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om\PycharmProjects\Vol\"/>
    </mc:Choice>
  </mc:AlternateContent>
  <xr:revisionPtr revIDLastSave="0" documentId="13_ncr:1_{1946F5AF-4F17-4709-AF60-EF284EC9435A}" xr6:coauthVersionLast="47" xr6:coauthVersionMax="47" xr10:uidLastSave="{00000000-0000-0000-0000-000000000000}"/>
  <bookViews>
    <workbookView xWindow="-110" yWindow="-110" windowWidth="19420" windowHeight="10300" xr2:uid="{9480EF17-6F56-5F4A-89BD-E9EE64B60CA0}"/>
  </bookViews>
  <sheets>
    <sheet name="Sheet1" sheetId="1" r:id="rId1"/>
    <sheet name="Sheet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1" l="1"/>
  <c r="O41" i="1"/>
  <c r="O40" i="1"/>
  <c r="O38" i="1"/>
  <c r="B11" i="1"/>
  <c r="F11" i="1" s="1"/>
  <c r="G5" i="1"/>
  <c r="B10" i="1" s="1"/>
  <c r="D13" i="1"/>
  <c r="C13" i="1"/>
  <c r="E13" i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AE4" i="1"/>
  <c r="AF4" i="1"/>
  <c r="AD4" i="1"/>
  <c r="AG4" i="1" s="1"/>
  <c r="F13" i="1"/>
  <c r="L2" i="1"/>
  <c r="K2" i="1"/>
  <c r="J2" i="1"/>
  <c r="L3" i="1"/>
  <c r="K3" i="1"/>
  <c r="I11" i="1"/>
  <c r="L11" i="1" s="1"/>
  <c r="M4" i="1"/>
  <c r="G13" i="1" l="1"/>
  <c r="K1" i="1"/>
  <c r="J1" i="1"/>
  <c r="L1" i="1"/>
  <c r="M1" i="1" s="1"/>
  <c r="M2" i="1"/>
  <c r="M3" i="1"/>
  <c r="K11" i="1"/>
  <c r="I13" i="1"/>
  <c r="J11" i="1"/>
  <c r="L13" i="1"/>
  <c r="K13" i="1"/>
  <c r="J13" i="1"/>
  <c r="M5" i="1"/>
  <c r="I10" i="1" s="1"/>
  <c r="C11" i="1"/>
  <c r="B9" i="1"/>
  <c r="F14" i="1" l="1"/>
  <c r="J14" i="1"/>
  <c r="L10" i="1"/>
  <c r="K10" i="1"/>
  <c r="I9" i="1"/>
  <c r="I15" i="1"/>
  <c r="K15" i="1"/>
  <c r="I14" i="1"/>
  <c r="K14" i="1"/>
  <c r="L15" i="1"/>
  <c r="D15" i="1"/>
  <c r="L14" i="1"/>
  <c r="J15" i="1"/>
  <c r="J10" i="1"/>
  <c r="M13" i="1"/>
  <c r="M11" i="1"/>
  <c r="C10" i="1"/>
  <c r="D11" i="1"/>
  <c r="E11" i="1"/>
  <c r="C14" i="1"/>
  <c r="D14" i="1"/>
  <c r="E15" i="1"/>
  <c r="E14" i="1"/>
  <c r="C15" i="1"/>
  <c r="G14" i="1" l="1"/>
  <c r="G11" i="1"/>
  <c r="H11" i="1" s="1"/>
  <c r="F15" i="1"/>
  <c r="G15" i="1" s="1"/>
  <c r="M15" i="1"/>
  <c r="M14" i="1"/>
  <c r="L9" i="1"/>
  <c r="K9" i="1"/>
  <c r="J9" i="1"/>
  <c r="E10" i="1"/>
  <c r="D10" i="1"/>
  <c r="E9" i="1"/>
  <c r="D9" i="1"/>
  <c r="C9" i="1"/>
  <c r="E16" i="1" l="1"/>
  <c r="F16" i="1"/>
  <c r="J16" i="1"/>
  <c r="C16" i="1"/>
  <c r="L16" i="1"/>
  <c r="K16" i="1"/>
  <c r="D16" i="1"/>
  <c r="I16" i="1"/>
  <c r="M9" i="1"/>
  <c r="M10" i="1"/>
  <c r="G10" i="1"/>
  <c r="G9" i="1"/>
  <c r="G16" i="1" l="1"/>
  <c r="M16" i="1"/>
  <c r="I17" i="1"/>
  <c r="F17" i="1"/>
  <c r="K17" i="1"/>
  <c r="C17" i="1"/>
  <c r="J17" i="1"/>
  <c r="E17" i="1"/>
  <c r="L17" i="1"/>
  <c r="D17" i="1"/>
  <c r="G17" i="1" l="1"/>
  <c r="I18" i="1"/>
  <c r="F18" i="1"/>
  <c r="D18" i="1"/>
  <c r="J18" i="1"/>
  <c r="C18" i="1"/>
  <c r="L18" i="1"/>
  <c r="K18" i="1"/>
  <c r="E18" i="1"/>
  <c r="M17" i="1"/>
  <c r="G18" i="1" l="1"/>
  <c r="I19" i="1"/>
  <c r="F19" i="1"/>
  <c r="J19" i="1"/>
  <c r="L19" i="1"/>
  <c r="C19" i="1"/>
  <c r="K19" i="1"/>
  <c r="E19" i="1"/>
  <c r="D19" i="1"/>
  <c r="M18" i="1"/>
  <c r="G19" i="1" l="1"/>
  <c r="M19" i="1"/>
  <c r="I20" i="1"/>
  <c r="F20" i="1"/>
  <c r="E20" i="1"/>
  <c r="K20" i="1"/>
  <c r="J20" i="1"/>
  <c r="D20" i="1"/>
  <c r="L20" i="1"/>
  <c r="C20" i="1"/>
  <c r="G20" i="1" l="1"/>
  <c r="M20" i="1"/>
  <c r="I21" i="1"/>
  <c r="F21" i="1"/>
  <c r="J21" i="1"/>
  <c r="C21" i="1"/>
  <c r="L21" i="1"/>
  <c r="E21" i="1"/>
  <c r="K21" i="1"/>
  <c r="D21" i="1"/>
  <c r="G21" i="1" l="1"/>
  <c r="M21" i="1"/>
  <c r="I22" i="1"/>
  <c r="F22" i="1"/>
  <c r="J22" i="1"/>
  <c r="L22" i="1"/>
  <c r="E22" i="1"/>
  <c r="K22" i="1"/>
  <c r="D22" i="1"/>
  <c r="C22" i="1"/>
  <c r="G22" i="1" l="1"/>
  <c r="I23" i="1"/>
  <c r="F23" i="1"/>
  <c r="L23" i="1"/>
  <c r="C23" i="1"/>
  <c r="K23" i="1"/>
  <c r="E23" i="1"/>
  <c r="D23" i="1"/>
  <c r="J23" i="1"/>
  <c r="M22" i="1"/>
  <c r="G23" i="1" l="1"/>
  <c r="M23" i="1"/>
  <c r="I24" i="1"/>
  <c r="F24" i="1"/>
  <c r="L24" i="1"/>
  <c r="D24" i="1"/>
  <c r="J24" i="1"/>
  <c r="E24" i="1"/>
  <c r="C24" i="1"/>
  <c r="G24" i="1" s="1"/>
  <c r="K24" i="1"/>
  <c r="I25" i="1" l="1"/>
  <c r="F25" i="1"/>
  <c r="L25" i="1"/>
  <c r="E25" i="1"/>
  <c r="D25" i="1"/>
  <c r="J25" i="1"/>
  <c r="K25" i="1"/>
  <c r="C25" i="1"/>
  <c r="M24" i="1"/>
  <c r="G25" i="1" l="1"/>
  <c r="M25" i="1"/>
  <c r="I26" i="1"/>
  <c r="F26" i="1"/>
  <c r="J26" i="1"/>
  <c r="D26" i="1"/>
  <c r="K26" i="1"/>
  <c r="C26" i="1"/>
  <c r="L26" i="1"/>
  <c r="E26" i="1"/>
  <c r="G26" i="1" l="1"/>
  <c r="M26" i="1"/>
  <c r="I27" i="1"/>
  <c r="F27" i="1"/>
  <c r="L27" i="1"/>
  <c r="C27" i="1"/>
  <c r="K27" i="1"/>
  <c r="E27" i="1"/>
  <c r="D27" i="1"/>
  <c r="J27" i="1"/>
  <c r="G27" i="1" l="1"/>
  <c r="M27" i="1"/>
  <c r="I28" i="1"/>
  <c r="F28" i="1"/>
  <c r="K28" i="1"/>
  <c r="D28" i="1"/>
  <c r="C28" i="1"/>
  <c r="E28" i="1"/>
  <c r="L28" i="1"/>
  <c r="J28" i="1"/>
  <c r="G28" i="1" l="1"/>
  <c r="I29" i="1"/>
  <c r="F29" i="1"/>
  <c r="J29" i="1"/>
  <c r="D29" i="1"/>
  <c r="C29" i="1"/>
  <c r="L29" i="1"/>
  <c r="K29" i="1"/>
  <c r="E29" i="1"/>
  <c r="M28" i="1"/>
  <c r="G29" i="1" l="1"/>
  <c r="I30" i="1"/>
  <c r="F30" i="1"/>
  <c r="J30" i="1"/>
  <c r="D30" i="1"/>
  <c r="C30" i="1"/>
  <c r="L30" i="1"/>
  <c r="E30" i="1"/>
  <c r="K30" i="1"/>
  <c r="M29" i="1"/>
  <c r="G30" i="1" l="1"/>
  <c r="M30" i="1"/>
  <c r="I31" i="1"/>
  <c r="F31" i="1"/>
  <c r="J31" i="1"/>
  <c r="C31" i="1"/>
  <c r="D31" i="1"/>
  <c r="K31" i="1"/>
  <c r="E31" i="1"/>
  <c r="L31" i="1"/>
  <c r="G31" i="1" l="1"/>
  <c r="I32" i="1"/>
  <c r="F32" i="1"/>
  <c r="C32" i="1"/>
  <c r="E32" i="1"/>
  <c r="K32" i="1"/>
  <c r="D32" i="1"/>
  <c r="L32" i="1"/>
  <c r="J32" i="1"/>
  <c r="M31" i="1"/>
  <c r="G32" i="1" l="1"/>
  <c r="I33" i="1"/>
  <c r="F33" i="1"/>
  <c r="L33" i="1"/>
  <c r="E33" i="1"/>
  <c r="D33" i="1"/>
  <c r="J33" i="1"/>
  <c r="K33" i="1"/>
  <c r="C33" i="1"/>
  <c r="G33" i="1" s="1"/>
  <c r="M32" i="1"/>
  <c r="I34" i="1" l="1"/>
  <c r="F34" i="1"/>
  <c r="L34" i="1"/>
  <c r="E34" i="1"/>
  <c r="C34" i="1"/>
  <c r="D34" i="1"/>
  <c r="J34" i="1"/>
  <c r="K34" i="1"/>
  <c r="M33" i="1"/>
  <c r="G34" i="1" l="1"/>
  <c r="M34" i="1"/>
  <c r="I35" i="1"/>
  <c r="F35" i="1"/>
  <c r="L35" i="1"/>
  <c r="C35" i="1"/>
  <c r="K35" i="1"/>
  <c r="E35" i="1"/>
  <c r="D35" i="1"/>
  <c r="J35" i="1"/>
  <c r="G35" i="1" l="1"/>
  <c r="I36" i="1"/>
  <c r="F36" i="1"/>
  <c r="K36" i="1"/>
  <c r="D36" i="1"/>
  <c r="L36" i="1"/>
  <c r="J36" i="1"/>
  <c r="C36" i="1"/>
  <c r="E36" i="1"/>
  <c r="M35" i="1"/>
  <c r="G36" i="1" l="1"/>
  <c r="M36" i="1"/>
  <c r="I37" i="1"/>
  <c r="F37" i="1"/>
  <c r="L37" i="1"/>
  <c r="E37" i="1"/>
  <c r="K37" i="1"/>
  <c r="D37" i="1"/>
  <c r="J37" i="1"/>
  <c r="C37" i="1"/>
  <c r="G37" i="1" l="1"/>
  <c r="M37" i="1"/>
  <c r="I38" i="1"/>
  <c r="F38" i="1"/>
  <c r="L38" i="1"/>
  <c r="E38" i="1"/>
  <c r="J38" i="1"/>
  <c r="C38" i="1"/>
  <c r="D38" i="1"/>
  <c r="K38" i="1"/>
  <c r="G38" i="1" l="1"/>
  <c r="I39" i="1"/>
  <c r="F39" i="1"/>
  <c r="K39" i="1"/>
  <c r="C39" i="1"/>
  <c r="L39" i="1"/>
  <c r="E39" i="1"/>
  <c r="D39" i="1"/>
  <c r="J39" i="1"/>
  <c r="M38" i="1"/>
  <c r="G39" i="1" l="1"/>
  <c r="I40" i="1"/>
  <c r="F40" i="1"/>
  <c r="K40" i="1"/>
  <c r="D40" i="1"/>
  <c r="C40" i="1"/>
  <c r="L40" i="1"/>
  <c r="E40" i="1"/>
  <c r="J40" i="1"/>
  <c r="M39" i="1"/>
  <c r="G40" i="1" l="1"/>
  <c r="I41" i="1"/>
  <c r="F41" i="1"/>
  <c r="L41" i="1"/>
  <c r="K41" i="1"/>
  <c r="D41" i="1"/>
  <c r="E41" i="1"/>
  <c r="J41" i="1"/>
  <c r="C41" i="1"/>
  <c r="M40" i="1"/>
  <c r="G41" i="1" l="1"/>
  <c r="M41" i="1"/>
  <c r="F42" i="1"/>
  <c r="I42" i="1"/>
  <c r="D42" i="1"/>
  <c r="E42" i="1"/>
  <c r="K42" i="1"/>
  <c r="J42" i="1"/>
  <c r="L42" i="1"/>
  <c r="C42" i="1"/>
  <c r="G42" i="1" s="1"/>
  <c r="I43" i="1" l="1"/>
  <c r="F43" i="1"/>
  <c r="J43" i="1"/>
  <c r="C43" i="1"/>
  <c r="E43" i="1"/>
  <c r="D43" i="1"/>
  <c r="K43" i="1"/>
  <c r="L43" i="1"/>
  <c r="M42" i="1"/>
  <c r="G43" i="1" l="1"/>
  <c r="M43" i="1"/>
  <c r="I44" i="1"/>
  <c r="F44" i="1"/>
  <c r="K44" i="1"/>
  <c r="C44" i="1"/>
  <c r="J44" i="1"/>
  <c r="E44" i="1"/>
  <c r="L44" i="1"/>
  <c r="D44" i="1"/>
  <c r="G44" i="1" l="1"/>
  <c r="M44" i="1"/>
  <c r="I45" i="1"/>
  <c r="F45" i="1"/>
  <c r="E45" i="1"/>
  <c r="D45" i="1"/>
  <c r="C45" i="1"/>
  <c r="L45" i="1"/>
  <c r="K45" i="1"/>
  <c r="J45" i="1"/>
  <c r="G45" i="1" l="1"/>
  <c r="M45" i="1"/>
  <c r="I46" i="1"/>
  <c r="F46" i="1"/>
  <c r="E46" i="1"/>
  <c r="J46" i="1"/>
  <c r="L46" i="1"/>
  <c r="D46" i="1"/>
  <c r="C46" i="1"/>
  <c r="K46" i="1"/>
  <c r="G46" i="1" l="1"/>
  <c r="I47" i="1"/>
  <c r="F47" i="1"/>
  <c r="J47" i="1"/>
  <c r="C47" i="1"/>
  <c r="K47" i="1"/>
  <c r="D47" i="1"/>
  <c r="L47" i="1"/>
  <c r="E47" i="1"/>
  <c r="M46" i="1"/>
  <c r="G47" i="1" l="1"/>
  <c r="M47" i="1"/>
  <c r="I48" i="1"/>
  <c r="F48" i="1"/>
  <c r="D48" i="1"/>
  <c r="J48" i="1"/>
  <c r="K48" i="1"/>
  <c r="C48" i="1"/>
  <c r="E48" i="1"/>
  <c r="L48" i="1"/>
  <c r="G48" i="1" l="1"/>
  <c r="M48" i="1"/>
  <c r="I49" i="1"/>
  <c r="F49" i="1"/>
  <c r="L49" i="1"/>
  <c r="E49" i="1"/>
  <c r="K49" i="1"/>
  <c r="D49" i="1"/>
  <c r="J49" i="1"/>
  <c r="C49" i="1"/>
  <c r="G49" i="1" l="1"/>
  <c r="M49" i="1"/>
  <c r="I50" i="1"/>
  <c r="F50" i="1"/>
  <c r="J50" i="1"/>
  <c r="D50" i="1"/>
  <c r="K50" i="1"/>
  <c r="E50" i="1"/>
  <c r="L50" i="1"/>
  <c r="C50" i="1"/>
  <c r="G50" i="1" l="1"/>
  <c r="M50" i="1"/>
  <c r="I51" i="1"/>
  <c r="F51" i="1"/>
  <c r="L51" i="1"/>
  <c r="D51" i="1"/>
  <c r="J51" i="1"/>
  <c r="E51" i="1"/>
  <c r="C51" i="1"/>
  <c r="K51" i="1"/>
  <c r="G51" i="1" l="1"/>
  <c r="M51" i="1"/>
  <c r="I52" i="1"/>
  <c r="F52" i="1"/>
  <c r="J52" i="1"/>
  <c r="C52" i="1"/>
  <c r="L52" i="1"/>
  <c r="E52" i="1"/>
  <c r="D52" i="1"/>
  <c r="K52" i="1"/>
  <c r="G52" i="1" l="1"/>
  <c r="M52" i="1"/>
  <c r="I53" i="1"/>
  <c r="F53" i="1"/>
  <c r="L53" i="1"/>
  <c r="E53" i="1"/>
  <c r="K53" i="1"/>
  <c r="D53" i="1"/>
  <c r="J53" i="1"/>
  <c r="M53" i="1" s="1"/>
  <c r="C53" i="1"/>
  <c r="G53" i="1" l="1"/>
  <c r="I54" i="1"/>
  <c r="F54" i="1"/>
  <c r="L54" i="1"/>
  <c r="D54" i="1"/>
  <c r="J54" i="1"/>
  <c r="C54" i="1"/>
  <c r="K54" i="1"/>
  <c r="E54" i="1"/>
  <c r="G54" i="1" l="1"/>
  <c r="I55" i="1"/>
  <c r="F55" i="1"/>
  <c r="K55" i="1"/>
  <c r="D55" i="1"/>
  <c r="E55" i="1"/>
  <c r="J55" i="1"/>
  <c r="C55" i="1"/>
  <c r="L55" i="1"/>
  <c r="M54" i="1"/>
  <c r="G55" i="1" l="1"/>
  <c r="M55" i="1"/>
  <c r="I56" i="1"/>
  <c r="F56" i="1"/>
  <c r="J56" i="1"/>
  <c r="E56" i="1"/>
  <c r="L56" i="1"/>
  <c r="D56" i="1"/>
  <c r="K56" i="1"/>
  <c r="C56" i="1"/>
  <c r="G56" i="1" l="1"/>
  <c r="M56" i="1"/>
  <c r="I57" i="1"/>
  <c r="F57" i="1"/>
  <c r="L57" i="1"/>
  <c r="E57" i="1"/>
  <c r="K57" i="1"/>
  <c r="J57" i="1"/>
  <c r="C57" i="1"/>
  <c r="D57" i="1"/>
  <c r="G57" i="1" l="1"/>
  <c r="M57" i="1"/>
  <c r="I58" i="1"/>
  <c r="F58" i="1"/>
  <c r="J58" i="1"/>
  <c r="D58" i="1"/>
  <c r="L58" i="1"/>
  <c r="K58" i="1"/>
  <c r="E58" i="1"/>
  <c r="C58" i="1"/>
  <c r="G58" i="1" l="1"/>
  <c r="I59" i="1"/>
  <c r="F59" i="1"/>
  <c r="J59" i="1"/>
  <c r="C59" i="1"/>
  <c r="K59" i="1"/>
  <c r="L59" i="1"/>
  <c r="D59" i="1"/>
  <c r="E59" i="1"/>
  <c r="M58" i="1"/>
  <c r="G59" i="1" l="1"/>
  <c r="M59" i="1"/>
  <c r="I60" i="1"/>
  <c r="F60" i="1"/>
  <c r="K60" i="1"/>
  <c r="C60" i="1"/>
  <c r="J60" i="1"/>
  <c r="E60" i="1"/>
  <c r="L60" i="1"/>
  <c r="D60" i="1"/>
  <c r="G60" i="1" l="1"/>
  <c r="I61" i="1"/>
  <c r="F61" i="1"/>
  <c r="L61" i="1"/>
  <c r="E61" i="1"/>
  <c r="K61" i="1"/>
  <c r="D61" i="1"/>
  <c r="J61" i="1"/>
  <c r="C61" i="1"/>
  <c r="M60" i="1"/>
  <c r="G61" i="1" l="1"/>
  <c r="M61" i="1"/>
  <c r="I62" i="1"/>
  <c r="F62" i="1"/>
  <c r="K62" i="1"/>
  <c r="C62" i="1"/>
  <c r="E62" i="1"/>
  <c r="L62" i="1"/>
  <c r="J62" i="1"/>
  <c r="D62" i="1"/>
  <c r="G62" i="1" l="1"/>
  <c r="M62" i="1"/>
  <c r="I63" i="1"/>
  <c r="F63" i="1"/>
  <c r="J63" i="1"/>
  <c r="D63" i="1"/>
  <c r="K63" i="1"/>
  <c r="E63" i="1"/>
  <c r="L63" i="1"/>
  <c r="C63" i="1"/>
  <c r="G63" i="1" l="1"/>
  <c r="M63" i="1"/>
  <c r="I64" i="1"/>
  <c r="F64" i="1"/>
  <c r="L64" i="1"/>
  <c r="E64" i="1"/>
  <c r="K64" i="1"/>
  <c r="J64" i="1"/>
  <c r="M64" i="1" s="1"/>
  <c r="D64" i="1"/>
  <c r="C64" i="1"/>
  <c r="G64" i="1" l="1"/>
  <c r="I65" i="1"/>
  <c r="F65" i="1"/>
  <c r="J65" i="1"/>
  <c r="C65" i="1"/>
  <c r="L65" i="1"/>
  <c r="K65" i="1"/>
  <c r="E65" i="1"/>
  <c r="D65" i="1"/>
  <c r="G65" i="1" l="1"/>
  <c r="M65" i="1"/>
  <c r="I66" i="1"/>
  <c r="F66" i="1"/>
  <c r="L66" i="1"/>
  <c r="C66" i="1"/>
  <c r="D66" i="1"/>
  <c r="K66" i="1"/>
  <c r="J66" i="1"/>
  <c r="E66" i="1"/>
  <c r="G66" i="1" l="1"/>
  <c r="M66" i="1"/>
  <c r="I67" i="1"/>
  <c r="F67" i="1"/>
  <c r="K67" i="1"/>
  <c r="E67" i="1"/>
  <c r="D67" i="1"/>
  <c r="J67" i="1"/>
  <c r="C67" i="1"/>
  <c r="L67" i="1"/>
  <c r="G67" i="1" l="1"/>
  <c r="M67" i="1"/>
  <c r="I68" i="1"/>
  <c r="F68" i="1"/>
  <c r="K68" i="1"/>
  <c r="D68" i="1"/>
  <c r="J68" i="1"/>
  <c r="C68" i="1"/>
  <c r="L68" i="1"/>
  <c r="E68" i="1"/>
  <c r="G68" i="1" l="1"/>
  <c r="I69" i="1"/>
  <c r="F69" i="1"/>
  <c r="K69" i="1"/>
  <c r="D69" i="1"/>
  <c r="J69" i="1"/>
  <c r="C69" i="1"/>
  <c r="L69" i="1"/>
  <c r="E69" i="1"/>
  <c r="M68" i="1"/>
  <c r="G69" i="1" l="1"/>
  <c r="I70" i="1"/>
  <c r="F70" i="1"/>
  <c r="K70" i="1"/>
  <c r="E70" i="1"/>
  <c r="L70" i="1"/>
  <c r="J70" i="1"/>
  <c r="D70" i="1"/>
  <c r="C70" i="1"/>
  <c r="M69" i="1"/>
  <c r="G70" i="1" l="1"/>
  <c r="M70" i="1"/>
  <c r="I71" i="1"/>
  <c r="F71" i="1"/>
  <c r="J71" i="1"/>
  <c r="C71" i="1"/>
  <c r="D71" i="1"/>
  <c r="L71" i="1"/>
  <c r="K71" i="1"/>
  <c r="E71" i="1"/>
  <c r="G71" i="1" l="1"/>
  <c r="I72" i="1"/>
  <c r="F72" i="1"/>
  <c r="K72" i="1"/>
  <c r="C72" i="1"/>
  <c r="J72" i="1"/>
  <c r="E72" i="1"/>
  <c r="L72" i="1"/>
  <c r="D72" i="1"/>
  <c r="M71" i="1"/>
  <c r="G72" i="1" l="1"/>
  <c r="I73" i="1"/>
  <c r="F73" i="1"/>
  <c r="K73" i="1"/>
  <c r="D73" i="1"/>
  <c r="C73" i="1"/>
  <c r="E73" i="1"/>
  <c r="J73" i="1"/>
  <c r="L73" i="1"/>
  <c r="M72" i="1"/>
  <c r="G73" i="1" l="1"/>
  <c r="M73" i="1"/>
  <c r="I74" i="1"/>
  <c r="F74" i="1"/>
  <c r="L74" i="1"/>
  <c r="D74" i="1"/>
  <c r="J74" i="1"/>
  <c r="K74" i="1"/>
  <c r="E74" i="1"/>
  <c r="C74" i="1"/>
  <c r="G74" i="1" l="1"/>
  <c r="I75" i="1"/>
  <c r="F75" i="1"/>
  <c r="K75" i="1"/>
  <c r="E75" i="1"/>
  <c r="D75" i="1"/>
  <c r="J75" i="1"/>
  <c r="L75" i="1"/>
  <c r="C75" i="1"/>
  <c r="M74" i="1"/>
  <c r="G75" i="1" l="1"/>
  <c r="M75" i="1"/>
  <c r="I76" i="1"/>
  <c r="F76" i="1"/>
  <c r="J76" i="1"/>
  <c r="C76" i="1"/>
  <c r="E76" i="1"/>
  <c r="D76" i="1"/>
  <c r="L76" i="1"/>
  <c r="K76" i="1"/>
  <c r="G76" i="1" l="1"/>
  <c r="M76" i="1"/>
  <c r="I77" i="1"/>
  <c r="F77" i="1"/>
  <c r="E77" i="1"/>
  <c r="D77" i="1"/>
  <c r="K77" i="1"/>
  <c r="L77" i="1"/>
  <c r="C77" i="1"/>
  <c r="J77" i="1"/>
  <c r="G77" i="1" l="1"/>
  <c r="I78" i="1"/>
  <c r="F78" i="1"/>
  <c r="E78" i="1"/>
  <c r="J78" i="1"/>
  <c r="D78" i="1"/>
  <c r="C78" i="1"/>
  <c r="K78" i="1"/>
  <c r="L78" i="1"/>
  <c r="M77" i="1"/>
  <c r="G78" i="1" l="1"/>
  <c r="M78" i="1"/>
  <c r="I79" i="1"/>
  <c r="F79" i="1"/>
  <c r="J79" i="1"/>
  <c r="C79" i="1"/>
  <c r="D79" i="1"/>
  <c r="L79" i="1"/>
  <c r="K79" i="1"/>
  <c r="E79" i="1"/>
  <c r="G79" i="1" l="1"/>
  <c r="M79" i="1"/>
  <c r="I80" i="1"/>
  <c r="F80" i="1"/>
  <c r="K80" i="1"/>
  <c r="D80" i="1"/>
  <c r="J80" i="1"/>
  <c r="L80" i="1"/>
  <c r="C80" i="1"/>
  <c r="E80" i="1"/>
  <c r="G80" i="1" l="1"/>
  <c r="I81" i="1"/>
  <c r="F81" i="1"/>
  <c r="L81" i="1"/>
  <c r="D81" i="1"/>
  <c r="C81" i="1"/>
  <c r="J81" i="1"/>
  <c r="K81" i="1"/>
  <c r="E81" i="1"/>
  <c r="M80" i="1"/>
  <c r="G81" i="1" l="1"/>
  <c r="I82" i="1"/>
  <c r="F82" i="1"/>
  <c r="J82" i="1"/>
  <c r="C82" i="1"/>
  <c r="L82" i="1"/>
  <c r="D82" i="1"/>
  <c r="K82" i="1"/>
  <c r="E82" i="1"/>
  <c r="M81" i="1"/>
  <c r="G82" i="1" l="1"/>
  <c r="I83" i="1"/>
  <c r="F83" i="1"/>
  <c r="L83" i="1"/>
  <c r="E83" i="1"/>
  <c r="K83" i="1"/>
  <c r="D83" i="1"/>
  <c r="J83" i="1"/>
  <c r="C83" i="1"/>
  <c r="M82" i="1"/>
  <c r="G83" i="1" l="1"/>
  <c r="M83" i="1"/>
  <c r="I84" i="1"/>
  <c r="F84" i="1"/>
  <c r="K84" i="1"/>
  <c r="D84" i="1"/>
  <c r="C84" i="1"/>
  <c r="E84" i="1"/>
  <c r="J84" i="1"/>
  <c r="L84" i="1"/>
  <c r="G84" i="1" l="1"/>
  <c r="M84" i="1"/>
  <c r="I85" i="1"/>
  <c r="F85" i="1"/>
  <c r="L85" i="1"/>
  <c r="D85" i="1"/>
  <c r="C85" i="1"/>
  <c r="E85" i="1"/>
  <c r="K85" i="1"/>
  <c r="J85" i="1"/>
  <c r="G85" i="1" l="1"/>
  <c r="I86" i="1"/>
  <c r="F86" i="1"/>
  <c r="J86" i="1"/>
  <c r="D86" i="1"/>
  <c r="L86" i="1"/>
  <c r="K86" i="1"/>
  <c r="C86" i="1"/>
  <c r="E86" i="1"/>
  <c r="M85" i="1"/>
  <c r="G86" i="1" l="1"/>
  <c r="M86" i="1"/>
  <c r="I87" i="1"/>
  <c r="F87" i="1"/>
  <c r="J87" i="1"/>
  <c r="C87" i="1"/>
  <c r="D87" i="1"/>
  <c r="K87" i="1"/>
  <c r="E87" i="1"/>
  <c r="L87" i="1"/>
  <c r="G87" i="1" l="1"/>
  <c r="M87" i="1"/>
  <c r="I88" i="1"/>
  <c r="F88" i="1"/>
  <c r="K88" i="1"/>
  <c r="D88" i="1"/>
  <c r="L88" i="1"/>
  <c r="J88" i="1"/>
  <c r="E88" i="1"/>
  <c r="C88" i="1"/>
  <c r="G88" i="1" l="1"/>
  <c r="M88" i="1"/>
  <c r="I89" i="1"/>
  <c r="F89" i="1"/>
  <c r="L89" i="1"/>
  <c r="D89" i="1"/>
  <c r="K89" i="1"/>
  <c r="J89" i="1"/>
  <c r="C89" i="1"/>
  <c r="E89" i="1"/>
  <c r="G89" i="1" l="1"/>
  <c r="M89" i="1"/>
  <c r="I90" i="1"/>
  <c r="F90" i="1"/>
  <c r="L90" i="1"/>
  <c r="C90" i="1"/>
  <c r="D90" i="1"/>
  <c r="J90" i="1"/>
  <c r="K90" i="1"/>
  <c r="E90" i="1"/>
  <c r="G90" i="1" l="1"/>
  <c r="I91" i="1"/>
  <c r="F91" i="1"/>
  <c r="J91" i="1"/>
  <c r="C91" i="1"/>
  <c r="K91" i="1"/>
  <c r="E91" i="1"/>
  <c r="L91" i="1"/>
  <c r="D91" i="1"/>
  <c r="M90" i="1"/>
  <c r="G91" i="1" l="1"/>
  <c r="M91" i="1"/>
  <c r="I92" i="1"/>
  <c r="F92" i="1"/>
  <c r="J92" i="1"/>
  <c r="C92" i="1"/>
  <c r="L92" i="1"/>
  <c r="D92" i="1"/>
  <c r="E92" i="1"/>
  <c r="K92" i="1"/>
  <c r="G92" i="1" l="1"/>
  <c r="I93" i="1"/>
  <c r="F93" i="1"/>
  <c r="L93" i="1"/>
  <c r="D93" i="1"/>
  <c r="K93" i="1"/>
  <c r="C93" i="1"/>
  <c r="J93" i="1"/>
  <c r="M93" i="1" s="1"/>
  <c r="E93" i="1"/>
  <c r="M92" i="1"/>
  <c r="G93" i="1" l="1"/>
  <c r="G12" i="1"/>
  <c r="H12" i="1" s="1"/>
</calcChain>
</file>

<file path=xl/sharedStrings.xml><?xml version="1.0" encoding="utf-8"?>
<sst xmlns="http://schemas.openxmlformats.org/spreadsheetml/2006/main" count="17485" uniqueCount="80">
  <si>
    <t>Strike</t>
  </si>
  <si>
    <t>C</t>
  </si>
  <si>
    <t>Type</t>
  </si>
  <si>
    <t>Pos</t>
  </si>
  <si>
    <t>Premium</t>
  </si>
  <si>
    <t>TradeDate</t>
  </si>
  <si>
    <t>Contract</t>
  </si>
  <si>
    <t>Opn</t>
  </si>
  <si>
    <t>High</t>
  </si>
  <si>
    <t>Low</t>
  </si>
  <si>
    <t>Clos</t>
  </si>
  <si>
    <t>Settle</t>
  </si>
  <si>
    <t>Chnge</t>
  </si>
  <si>
    <t>Volume</t>
  </si>
  <si>
    <t>EFP</t>
  </si>
  <si>
    <t>OI</t>
  </si>
  <si>
    <t>BDToExpiry</t>
  </si>
  <si>
    <t>CDToExpiry</t>
  </si>
  <si>
    <t>ExpiryDate</t>
  </si>
  <si>
    <t>ImpliedRate</t>
  </si>
  <si>
    <t>X (Nov 22)</t>
  </si>
  <si>
    <t>Z (Dec 22)</t>
  </si>
  <si>
    <t>N (Jul 22)</t>
  </si>
  <si>
    <t>F (Jan 23)</t>
  </si>
  <si>
    <t>G (Feb 23)</t>
  </si>
  <si>
    <t>V (Oct 22)</t>
  </si>
  <si>
    <t>Q (Aug 22)</t>
  </si>
  <si>
    <t>U (Sep 22)</t>
  </si>
  <si>
    <t>M (Jun 22)</t>
  </si>
  <si>
    <t>K (May 22)</t>
  </si>
  <si>
    <t>J (Apr 22)</t>
  </si>
  <si>
    <t>H (Mar 22)</t>
  </si>
  <si>
    <t>G (Feb 22)</t>
  </si>
  <si>
    <t>F (Jan 22)</t>
  </si>
  <si>
    <t>Z (Dec 21)</t>
  </si>
  <si>
    <t>X (Nov 21)</t>
  </si>
  <si>
    <t>V (Oct 21)</t>
  </si>
  <si>
    <t>U (Sep 21)</t>
  </si>
  <si>
    <t>Q (Aug 21)</t>
  </si>
  <si>
    <t>N (Jul 21)</t>
  </si>
  <si>
    <t>M (Jun 21)</t>
  </si>
  <si>
    <t>K (May 21)</t>
  </si>
  <si>
    <t>J (Apr 21)</t>
  </si>
  <si>
    <t>H (Mar 21)</t>
  </si>
  <si>
    <t>G (Feb 21)</t>
  </si>
  <si>
    <t>F (Jan 21)</t>
  </si>
  <si>
    <t>Z (Dec 20)</t>
  </si>
  <si>
    <t>X (Nov 20)</t>
  </si>
  <si>
    <t>V (Oct 20)</t>
  </si>
  <si>
    <t>U (Sep 20)</t>
  </si>
  <si>
    <t>Q (Aug 20)</t>
  </si>
  <si>
    <t>N (Jul 20)</t>
  </si>
  <si>
    <t>M (Jun 20)</t>
  </si>
  <si>
    <t>K (May 20)</t>
  </si>
  <si>
    <t>J (Apr 20)</t>
  </si>
  <si>
    <t>H (Mar 20)</t>
  </si>
  <si>
    <t>Grand Total</t>
  </si>
  <si>
    <t>Sum of Settle</t>
  </si>
  <si>
    <t>P</t>
  </si>
  <si>
    <t>Call</t>
  </si>
  <si>
    <t>BreakevenDown</t>
  </si>
  <si>
    <t>BreakevenUp</t>
  </si>
  <si>
    <t>Max Gain</t>
  </si>
  <si>
    <t>Max Loss</t>
  </si>
  <si>
    <t>Underlying</t>
  </si>
  <si>
    <t>Opening</t>
  </si>
  <si>
    <t>If we settle here</t>
  </si>
  <si>
    <t>Mtm theo</t>
  </si>
  <si>
    <t>MTM</t>
  </si>
  <si>
    <t>Position</t>
  </si>
  <si>
    <t>Option greeks</t>
  </si>
  <si>
    <t>Paper trading account ?</t>
  </si>
  <si>
    <t>Yesterday's close</t>
  </si>
  <si>
    <t>Margin</t>
  </si>
  <si>
    <t>PermiumPaid</t>
  </si>
  <si>
    <t>Vix Spot</t>
  </si>
  <si>
    <t>20% of spot</t>
  </si>
  <si>
    <t>Strike of option</t>
  </si>
  <si>
    <t>OTM amount</t>
  </si>
  <si>
    <t>10% of 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</si>
</sst>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00"/>
    <numFmt numFmtId="166" formatCode="_(* #,##0_);_(* \(#,##0\);_(* &quot;-&quot;??_);_(@_)"/>
    <numFmt numFmtId="167" formatCode="0.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165" fontId="0" fillId="2" borderId="0" xfId="0" applyNumberFormat="1" applyFill="1"/>
    <xf numFmtId="14" fontId="0" fillId="0" borderId="0" xfId="0" applyNumberFormat="1"/>
    <xf numFmtId="0" fontId="0" fillId="0" borderId="0" xfId="0" pivotButton="1"/>
    <xf numFmtId="0" fontId="2" fillId="0" borderId="0" xfId="0" applyFont="1"/>
    <xf numFmtId="2" fontId="0" fillId="0" borderId="0" xfId="0" applyNumberFormat="1"/>
    <xf numFmtId="2" fontId="0" fillId="2" borderId="0" xfId="0" applyNumberFormat="1" applyFill="1"/>
    <xf numFmtId="1" fontId="0" fillId="2" borderId="0" xfId="0" applyNumberFormat="1" applyFill="1"/>
    <xf numFmtId="9" fontId="0" fillId="0" borderId="0" xfId="0" applyNumberFormat="1"/>
    <xf numFmtId="0" fontId="0" fillId="0" borderId="0" xfId="0" applyAlignment="1">
      <alignment horizontal="right"/>
    </xf>
    <xf numFmtId="166" fontId="0" fillId="0" borderId="0" xfId="1" applyNumberFormat="1" applyFont="1"/>
    <xf numFmtId="166" fontId="0" fillId="0" borderId="0" xfId="0" applyNumberFormat="1"/>
    <xf numFmtId="1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Calls - Vix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Payoff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Sheet1!$B$13:$B$93</c:f>
              <c:numCache>
                <c:formatCode>0.0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Sheet1!$G$13:$G$93</c:f>
              <c:numCache>
                <c:formatCode>General</c:formatCode>
                <c:ptCount val="81"/>
                <c:pt idx="0">
                  <c:v>-3.0000000000000249</c:v>
                </c:pt>
                <c:pt idx="1">
                  <c:v>-3.0000000000000249</c:v>
                </c:pt>
                <c:pt idx="2">
                  <c:v>-3.0000000000000249</c:v>
                </c:pt>
                <c:pt idx="3">
                  <c:v>-3.0000000000000249</c:v>
                </c:pt>
                <c:pt idx="4">
                  <c:v>-3.0000000000000249</c:v>
                </c:pt>
                <c:pt idx="5">
                  <c:v>-3.0000000000000249</c:v>
                </c:pt>
                <c:pt idx="6">
                  <c:v>-3.0000000000000249</c:v>
                </c:pt>
                <c:pt idx="7">
                  <c:v>-3.0000000000000249</c:v>
                </c:pt>
                <c:pt idx="8">
                  <c:v>-3.0000000000000249</c:v>
                </c:pt>
                <c:pt idx="9">
                  <c:v>-3.0000000000000249</c:v>
                </c:pt>
                <c:pt idx="10">
                  <c:v>-3.0000000000000249</c:v>
                </c:pt>
                <c:pt idx="11">
                  <c:v>-3.0000000000000249</c:v>
                </c:pt>
                <c:pt idx="12">
                  <c:v>-3.0000000000000249</c:v>
                </c:pt>
                <c:pt idx="13">
                  <c:v>-3.0000000000000249</c:v>
                </c:pt>
                <c:pt idx="14">
                  <c:v>96.999999999999972</c:v>
                </c:pt>
                <c:pt idx="15">
                  <c:v>196.99999999999997</c:v>
                </c:pt>
                <c:pt idx="16">
                  <c:v>297</c:v>
                </c:pt>
                <c:pt idx="17">
                  <c:v>397</c:v>
                </c:pt>
                <c:pt idx="18">
                  <c:v>497</c:v>
                </c:pt>
                <c:pt idx="19">
                  <c:v>597</c:v>
                </c:pt>
                <c:pt idx="20">
                  <c:v>697</c:v>
                </c:pt>
                <c:pt idx="21">
                  <c:v>797</c:v>
                </c:pt>
                <c:pt idx="22">
                  <c:v>896.99999999999989</c:v>
                </c:pt>
                <c:pt idx="23">
                  <c:v>996.99999999999989</c:v>
                </c:pt>
                <c:pt idx="24">
                  <c:v>1097</c:v>
                </c:pt>
                <c:pt idx="25">
                  <c:v>1197</c:v>
                </c:pt>
                <c:pt idx="26">
                  <c:v>1297</c:v>
                </c:pt>
                <c:pt idx="27">
                  <c:v>1097</c:v>
                </c:pt>
                <c:pt idx="28">
                  <c:v>896.99999999999989</c:v>
                </c:pt>
                <c:pt idx="29">
                  <c:v>697</c:v>
                </c:pt>
                <c:pt idx="30">
                  <c:v>497.00000000000006</c:v>
                </c:pt>
                <c:pt idx="31">
                  <c:v>297</c:v>
                </c:pt>
                <c:pt idx="32">
                  <c:v>96.999999999999972</c:v>
                </c:pt>
                <c:pt idx="33">
                  <c:v>-103.00000000000003</c:v>
                </c:pt>
                <c:pt idx="34">
                  <c:v>-303</c:v>
                </c:pt>
                <c:pt idx="35">
                  <c:v>-503</c:v>
                </c:pt>
                <c:pt idx="36">
                  <c:v>-703</c:v>
                </c:pt>
                <c:pt idx="37">
                  <c:v>-903.00000000000011</c:v>
                </c:pt>
                <c:pt idx="38">
                  <c:v>-1103</c:v>
                </c:pt>
                <c:pt idx="39">
                  <c:v>-1302.9999999999998</c:v>
                </c:pt>
                <c:pt idx="40">
                  <c:v>-1502.9999999999998</c:v>
                </c:pt>
                <c:pt idx="41">
                  <c:v>-1602.9999999999998</c:v>
                </c:pt>
                <c:pt idx="42">
                  <c:v>-1702.9999999999998</c:v>
                </c:pt>
                <c:pt idx="43">
                  <c:v>-1802.9999999999998</c:v>
                </c:pt>
                <c:pt idx="44">
                  <c:v>-1902.9999999999998</c:v>
                </c:pt>
                <c:pt idx="45">
                  <c:v>-2002.9999999999998</c:v>
                </c:pt>
                <c:pt idx="46">
                  <c:v>-2102.9999999999995</c:v>
                </c:pt>
                <c:pt idx="47">
                  <c:v>-2202.9999999999995</c:v>
                </c:pt>
                <c:pt idx="48">
                  <c:v>-2302.9999999999995</c:v>
                </c:pt>
                <c:pt idx="49">
                  <c:v>-2403</c:v>
                </c:pt>
                <c:pt idx="50">
                  <c:v>-2503.0000000000009</c:v>
                </c:pt>
                <c:pt idx="51">
                  <c:v>-2603.0000000000009</c:v>
                </c:pt>
                <c:pt idx="52">
                  <c:v>-2703.0000000000009</c:v>
                </c:pt>
                <c:pt idx="53">
                  <c:v>-2803.0000000000009</c:v>
                </c:pt>
                <c:pt idx="54">
                  <c:v>-2903.0000000000009</c:v>
                </c:pt>
                <c:pt idx="55">
                  <c:v>-3003.0000000000009</c:v>
                </c:pt>
                <c:pt idx="56">
                  <c:v>-3103.0000000000009</c:v>
                </c:pt>
                <c:pt idx="57">
                  <c:v>-3203.0000000000009</c:v>
                </c:pt>
                <c:pt idx="58">
                  <c:v>-3303.0000000000009</c:v>
                </c:pt>
                <c:pt idx="59">
                  <c:v>-3403.0000000000009</c:v>
                </c:pt>
                <c:pt idx="60">
                  <c:v>-3503.0000000000009</c:v>
                </c:pt>
                <c:pt idx="61">
                  <c:v>-3603.0000000000009</c:v>
                </c:pt>
                <c:pt idx="62">
                  <c:v>-3703.0000000000009</c:v>
                </c:pt>
                <c:pt idx="63">
                  <c:v>-3803.0000000000009</c:v>
                </c:pt>
                <c:pt idx="64">
                  <c:v>-3903.0000000000009</c:v>
                </c:pt>
                <c:pt idx="65">
                  <c:v>-4003.0000000000009</c:v>
                </c:pt>
                <c:pt idx="66">
                  <c:v>-4103.0000000000009</c:v>
                </c:pt>
                <c:pt idx="67">
                  <c:v>-4203.0000000000009</c:v>
                </c:pt>
                <c:pt idx="68">
                  <c:v>-4303.0000000000009</c:v>
                </c:pt>
                <c:pt idx="69">
                  <c:v>-4403.0000000000009</c:v>
                </c:pt>
                <c:pt idx="70">
                  <c:v>-4503.0000000000009</c:v>
                </c:pt>
                <c:pt idx="71">
                  <c:v>-4603.0000000000009</c:v>
                </c:pt>
                <c:pt idx="72">
                  <c:v>-4703.0000000000009</c:v>
                </c:pt>
                <c:pt idx="73">
                  <c:v>-4803.0000000000009</c:v>
                </c:pt>
                <c:pt idx="74">
                  <c:v>-4903.0000000000009</c:v>
                </c:pt>
                <c:pt idx="75">
                  <c:v>-5003.0000000000009</c:v>
                </c:pt>
                <c:pt idx="76">
                  <c:v>-5103.0000000000009</c:v>
                </c:pt>
                <c:pt idx="77">
                  <c:v>-5203.0000000000009</c:v>
                </c:pt>
                <c:pt idx="78">
                  <c:v>-5303.0000000000009</c:v>
                </c:pt>
                <c:pt idx="79">
                  <c:v>-5403.0000000000009</c:v>
                </c:pt>
                <c:pt idx="80">
                  <c:v>-5503.0000000000009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3C-5448-87C8-D859008B31FB}"/>
            </c:ext>
          </c:extLst>
        </c:ser>
        <c:ser>
          <c:idx val="1"/>
          <c:order val="1"/>
          <c:tx>
            <c:v>Zero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Sheet1!$B$13:$B$93</c:f>
              <c:numCache>
                <c:formatCode>0.0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Sheet1!$A$13:$A$93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71-A244-B6FA-2D3D4E8F5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242447"/>
        <c:axId val="1070244095"/>
      </c:scatterChart>
      <c:valAx>
        <c:axId val="1070242447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Strike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244095"/>
        <c:crosses val="autoZero"/>
        <c:crossBetween val="midCat"/>
        <c:majorUnit val="10"/>
        <c:minorUnit val="1"/>
      </c:valAx>
      <c:valAx>
        <c:axId val="107024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PnL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242447"/>
        <c:crosses val="autoZero"/>
        <c:crossBetween val="midCat"/>
        <c:minorUnit val="2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Sheet1!$B$13:$B$93</c:f>
              <c:numCache>
                <c:formatCode>0.0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Sheet1!$M$13:$M$93</c:f>
              <c:numCache>
                <c:formatCode>General</c:formatCode>
                <c:ptCount val="81"/>
                <c:pt idx="0">
                  <c:v>744</c:v>
                </c:pt>
                <c:pt idx="1">
                  <c:v>644</c:v>
                </c:pt>
                <c:pt idx="2">
                  <c:v>544</c:v>
                </c:pt>
                <c:pt idx="3">
                  <c:v>443.99999999999994</c:v>
                </c:pt>
                <c:pt idx="4">
                  <c:v>344</c:v>
                </c:pt>
                <c:pt idx="5">
                  <c:v>244</c:v>
                </c:pt>
                <c:pt idx="6">
                  <c:v>144</c:v>
                </c:pt>
                <c:pt idx="7">
                  <c:v>43.999999999999993</c:v>
                </c:pt>
                <c:pt idx="8">
                  <c:v>-56.000000000000007</c:v>
                </c:pt>
                <c:pt idx="9">
                  <c:v>-56.000000000000007</c:v>
                </c:pt>
                <c:pt idx="10">
                  <c:v>-56.000000000000007</c:v>
                </c:pt>
                <c:pt idx="11">
                  <c:v>-56.000000000000007</c:v>
                </c:pt>
                <c:pt idx="12">
                  <c:v>-56.000000000000007</c:v>
                </c:pt>
                <c:pt idx="13">
                  <c:v>-56.000000000000007</c:v>
                </c:pt>
                <c:pt idx="14">
                  <c:v>-56.000000000000007</c:v>
                </c:pt>
                <c:pt idx="15">
                  <c:v>-56.000000000000007</c:v>
                </c:pt>
                <c:pt idx="16">
                  <c:v>-56.000000000000007</c:v>
                </c:pt>
                <c:pt idx="17">
                  <c:v>-56.000000000000007</c:v>
                </c:pt>
                <c:pt idx="18">
                  <c:v>-56.000000000000007</c:v>
                </c:pt>
                <c:pt idx="19">
                  <c:v>-56.000000000000007</c:v>
                </c:pt>
                <c:pt idx="20">
                  <c:v>-56.000000000000007</c:v>
                </c:pt>
                <c:pt idx="21">
                  <c:v>-56.000000000000007</c:v>
                </c:pt>
                <c:pt idx="22">
                  <c:v>-56.000000000000007</c:v>
                </c:pt>
                <c:pt idx="23">
                  <c:v>-56.000000000000007</c:v>
                </c:pt>
                <c:pt idx="24">
                  <c:v>-56.000000000000007</c:v>
                </c:pt>
                <c:pt idx="25">
                  <c:v>-56.000000000000007</c:v>
                </c:pt>
                <c:pt idx="26">
                  <c:v>-56.000000000000007</c:v>
                </c:pt>
                <c:pt idx="27">
                  <c:v>-56.000000000000007</c:v>
                </c:pt>
                <c:pt idx="28">
                  <c:v>-56.000000000000007</c:v>
                </c:pt>
                <c:pt idx="29">
                  <c:v>-56.000000000000007</c:v>
                </c:pt>
                <c:pt idx="30">
                  <c:v>-56.000000000000007</c:v>
                </c:pt>
                <c:pt idx="31">
                  <c:v>-56.000000000000007</c:v>
                </c:pt>
                <c:pt idx="32">
                  <c:v>-56.000000000000007</c:v>
                </c:pt>
                <c:pt idx="33">
                  <c:v>-56.000000000000007</c:v>
                </c:pt>
                <c:pt idx="34">
                  <c:v>-56.000000000000007</c:v>
                </c:pt>
                <c:pt idx="35">
                  <c:v>-56.000000000000007</c:v>
                </c:pt>
                <c:pt idx="36">
                  <c:v>-56.000000000000007</c:v>
                </c:pt>
                <c:pt idx="37">
                  <c:v>-56.000000000000007</c:v>
                </c:pt>
                <c:pt idx="38">
                  <c:v>-56.000000000000007</c:v>
                </c:pt>
                <c:pt idx="39">
                  <c:v>-56.000000000000007</c:v>
                </c:pt>
                <c:pt idx="40">
                  <c:v>-56.000000000000007</c:v>
                </c:pt>
                <c:pt idx="41">
                  <c:v>-56.000000000000007</c:v>
                </c:pt>
                <c:pt idx="42">
                  <c:v>-56.000000000000007</c:v>
                </c:pt>
                <c:pt idx="43">
                  <c:v>-56.000000000000007</c:v>
                </c:pt>
                <c:pt idx="44">
                  <c:v>-56.000000000000007</c:v>
                </c:pt>
                <c:pt idx="45">
                  <c:v>-56.000000000000007</c:v>
                </c:pt>
                <c:pt idx="46">
                  <c:v>-56.000000000000007</c:v>
                </c:pt>
                <c:pt idx="47">
                  <c:v>-56.000000000000007</c:v>
                </c:pt>
                <c:pt idx="48">
                  <c:v>-56.000000000000007</c:v>
                </c:pt>
                <c:pt idx="49">
                  <c:v>-56.000000000000007</c:v>
                </c:pt>
                <c:pt idx="50">
                  <c:v>-56.000000000000007</c:v>
                </c:pt>
                <c:pt idx="51">
                  <c:v>-56.000000000000007</c:v>
                </c:pt>
                <c:pt idx="52">
                  <c:v>-56.000000000000007</c:v>
                </c:pt>
                <c:pt idx="53">
                  <c:v>-56.000000000000007</c:v>
                </c:pt>
                <c:pt idx="54">
                  <c:v>-56.000000000000007</c:v>
                </c:pt>
                <c:pt idx="55">
                  <c:v>-56.000000000000007</c:v>
                </c:pt>
                <c:pt idx="56">
                  <c:v>-56.000000000000007</c:v>
                </c:pt>
                <c:pt idx="57">
                  <c:v>-56.000000000000007</c:v>
                </c:pt>
                <c:pt idx="58">
                  <c:v>-56.000000000000007</c:v>
                </c:pt>
                <c:pt idx="59">
                  <c:v>-56.000000000000007</c:v>
                </c:pt>
                <c:pt idx="60">
                  <c:v>-56.000000000000007</c:v>
                </c:pt>
                <c:pt idx="61">
                  <c:v>-56.000000000000007</c:v>
                </c:pt>
                <c:pt idx="62">
                  <c:v>-56.000000000000007</c:v>
                </c:pt>
                <c:pt idx="63">
                  <c:v>-56.000000000000007</c:v>
                </c:pt>
                <c:pt idx="64">
                  <c:v>-56.000000000000007</c:v>
                </c:pt>
                <c:pt idx="65">
                  <c:v>-56.000000000000007</c:v>
                </c:pt>
                <c:pt idx="66">
                  <c:v>-56.000000000000007</c:v>
                </c:pt>
                <c:pt idx="67">
                  <c:v>-56.000000000000007</c:v>
                </c:pt>
                <c:pt idx="68">
                  <c:v>-56.000000000000007</c:v>
                </c:pt>
                <c:pt idx="69">
                  <c:v>-56.000000000000007</c:v>
                </c:pt>
                <c:pt idx="70">
                  <c:v>-56.000000000000007</c:v>
                </c:pt>
                <c:pt idx="71">
                  <c:v>-56.000000000000007</c:v>
                </c:pt>
                <c:pt idx="72">
                  <c:v>-56.000000000000007</c:v>
                </c:pt>
                <c:pt idx="73">
                  <c:v>-56.000000000000007</c:v>
                </c:pt>
                <c:pt idx="74">
                  <c:v>-56.000000000000007</c:v>
                </c:pt>
                <c:pt idx="75">
                  <c:v>-56.000000000000007</c:v>
                </c:pt>
                <c:pt idx="76">
                  <c:v>-56.000000000000007</c:v>
                </c:pt>
                <c:pt idx="77">
                  <c:v>-56.000000000000007</c:v>
                </c:pt>
                <c:pt idx="78">
                  <c:v>-56.000000000000007</c:v>
                </c:pt>
                <c:pt idx="79">
                  <c:v>-56.000000000000007</c:v>
                </c:pt>
                <c:pt idx="80">
                  <c:v>-56.000000000000007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F0-B648-8F1E-D10CA52D29A5}"/>
            </c:ext>
          </c:extLst>
        </c:ser>
        <c:ser>
          <c:idx val="1"/>
          <c:order val="1"/>
          <c:tx>
            <c:v>Zero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Sheet1!$B$13:$B$93</c:f>
              <c:numCache>
                <c:formatCode>0.0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Sheet1!$A$13:$A$93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F0-B648-8F1E-D10CA52D2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242447"/>
        <c:axId val="1070244095"/>
      </c:scatterChart>
      <c:valAx>
        <c:axId val="1070242447"/>
        <c:scaling>
          <c:orientation val="minMax"/>
          <c:max val="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244095"/>
        <c:crosses val="autoZero"/>
        <c:crossBetween val="midCat"/>
        <c:majorUnit val="1"/>
      </c:valAx>
      <c:valAx>
        <c:axId val="107024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242447"/>
        <c:crosses val="autoZero"/>
        <c:crossBetween val="midCat"/>
        <c:minorUnit val="2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Sheet2!$S$5804</c:f>
              <c:strCache>
                <c:ptCount val="1"/>
                <c:pt idx="0">
                  <c:v>10/06/2022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Sheet2!$W$5804:$W$5812</c:f>
              <c:numCache>
                <c:formatCode>General</c:formatCode>
                <c:ptCount val="9"/>
                <c:pt idx="0">
                  <c:v>3</c:v>
                </c:pt>
                <c:pt idx="1">
                  <c:v>27</c:v>
                </c:pt>
                <c:pt idx="2">
                  <c:v>47</c:v>
                </c:pt>
                <c:pt idx="3">
                  <c:v>71</c:v>
                </c:pt>
                <c:pt idx="4">
                  <c:v>91</c:v>
                </c:pt>
                <c:pt idx="5">
                  <c:v>111</c:v>
                </c:pt>
                <c:pt idx="6">
                  <c:v>135</c:v>
                </c:pt>
                <c:pt idx="7">
                  <c:v>152</c:v>
                </c:pt>
                <c:pt idx="8">
                  <c:v>172</c:v>
                </c:pt>
              </c:numCache>
            </c:numRef>
          </c:xVal>
          <c:yVal>
            <c:numRef>
              <c:f>Sheet2!$X$5804:$X$5812</c:f>
              <c:numCache>
                <c:formatCode>General</c:formatCode>
                <c:ptCount val="9"/>
                <c:pt idx="0">
                  <c:v>28.289200000000001</c:v>
                </c:pt>
                <c:pt idx="1">
                  <c:v>29.085799999999999</c:v>
                </c:pt>
                <c:pt idx="2">
                  <c:v>29.341899999999999</c:v>
                </c:pt>
                <c:pt idx="3">
                  <c:v>29.734200000000001</c:v>
                </c:pt>
                <c:pt idx="4">
                  <c:v>29.789899999999999</c:v>
                </c:pt>
                <c:pt idx="5">
                  <c:v>29.617000000000001</c:v>
                </c:pt>
                <c:pt idx="6">
                  <c:v>29.110600000000002</c:v>
                </c:pt>
                <c:pt idx="7">
                  <c:v>29.7</c:v>
                </c:pt>
                <c:pt idx="8">
                  <c:v>29.524999999999999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A2-214A-8802-CDFFF5711AD4}"/>
            </c:ext>
          </c:extLst>
        </c:ser>
        <c:ser>
          <c:idx val="1"/>
          <c:order val="1"/>
          <c:tx>
            <c:strRef>
              <c:f>Sheet2!$S$5795</c:f>
              <c:strCache>
                <c:ptCount val="1"/>
                <c:pt idx="0">
                  <c:v>9/06/2022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Sheet2!$W$5795:$W$5803</c:f>
              <c:numCache>
                <c:formatCode>General</c:formatCode>
                <c:ptCount val="9"/>
                <c:pt idx="0">
                  <c:v>4</c:v>
                </c:pt>
                <c:pt idx="1">
                  <c:v>28</c:v>
                </c:pt>
                <c:pt idx="2">
                  <c:v>48</c:v>
                </c:pt>
                <c:pt idx="3">
                  <c:v>72</c:v>
                </c:pt>
                <c:pt idx="4">
                  <c:v>92</c:v>
                </c:pt>
                <c:pt idx="5">
                  <c:v>112</c:v>
                </c:pt>
                <c:pt idx="6">
                  <c:v>136</c:v>
                </c:pt>
                <c:pt idx="7">
                  <c:v>153</c:v>
                </c:pt>
                <c:pt idx="8">
                  <c:v>173</c:v>
                </c:pt>
              </c:numCache>
            </c:numRef>
          </c:xVal>
          <c:yVal>
            <c:numRef>
              <c:f>Sheet2!$X$5795:$X$5803</c:f>
              <c:numCache>
                <c:formatCode>General</c:formatCode>
                <c:ptCount val="9"/>
                <c:pt idx="0">
                  <c:v>26.424499999999998</c:v>
                </c:pt>
                <c:pt idx="1">
                  <c:v>27.499400000000001</c:v>
                </c:pt>
                <c:pt idx="2">
                  <c:v>27.869199999999999</c:v>
                </c:pt>
                <c:pt idx="3">
                  <c:v>28.385400000000001</c:v>
                </c:pt>
                <c:pt idx="4">
                  <c:v>28.772600000000001</c:v>
                </c:pt>
                <c:pt idx="5">
                  <c:v>28.724699999999999</c:v>
                </c:pt>
                <c:pt idx="6">
                  <c:v>28.3096</c:v>
                </c:pt>
                <c:pt idx="7">
                  <c:v>28.95</c:v>
                </c:pt>
                <c:pt idx="8">
                  <c:v>28.8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A2-214A-8802-CDFFF5711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969952"/>
        <c:axId val="719971600"/>
      </c:scatterChart>
      <c:valAx>
        <c:axId val="71996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971600"/>
        <c:crosses val="autoZero"/>
        <c:crossBetween val="midCat"/>
      </c:valAx>
      <c:valAx>
        <c:axId val="7199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96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469900</xdr:colOff>
      <xdr:row>6</xdr:row>
      <xdr:rowOff>158750</xdr:rowOff>
    </xdr:from>
    <xdr:to>
      <xdr:col>25</xdr:col>
      <xdr:colOff>781050</xdr:colOff>
      <xdr:row>33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1CF206-A6E4-B0AA-7FBB-DD30281E7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584200</xdr:colOff>
      <xdr:row>36</xdr:row>
      <xdr:rowOff>50800</xdr:rowOff>
    </xdr:from>
    <xdr:to>
      <xdr:col>27</xdr:col>
      <xdr:colOff>215900</xdr:colOff>
      <xdr:row>73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ED043C-3765-0D45-A41D-C3A604782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298450</xdr:colOff>
      <xdr:row>5783</xdr:row>
      <xdr:rowOff>12700</xdr:rowOff>
    </xdr:from>
    <xdr:to>
      <xdr:col>17</xdr:col>
      <xdr:colOff>742950</xdr:colOff>
      <xdr:row>5796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6FB33-9E52-01E3-0B17-036AFCEC6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24.38093958333" createdVersion="8" refreshedVersion="8" minRefreshableVersion="3" recordCount="5810" xr:uid="{E933D374-9A69-D54C-8E42-0C3E546BD2CF}">
  <cacheSource type="worksheet">
    <worksheetSource ref="A1:P5811" sheet="Sheet2"/>
  </cacheSource>
  <cacheFields count="16">
    <cacheField name="TradeDate" numFmtId="14">
      <sharedItems containsSemiMixedTypes="0" containsNonDate="0" containsDate="1" containsString="0" minDate="2019-07-08T00:00:00" maxDate="2022-06-11T00:00:00" count="740">
        <d v="2022-06-10T00:00:00"/>
        <d v="2022-06-09T00:00:00"/>
        <d v="2022-06-08T00:00:00"/>
        <d v="2022-06-07T00:00:00"/>
        <d v="2022-06-06T00:00:00"/>
        <d v="2022-06-03T00:00:00"/>
        <d v="2022-06-02T00:00:00"/>
        <d v="2022-06-01T00:00:00"/>
        <d v="2022-05-31T00:00:00"/>
        <d v="2022-05-27T00:00:00"/>
        <d v="2022-05-26T00:00:00"/>
        <d v="2022-05-25T00:00:00"/>
        <d v="2022-05-24T00:00:00"/>
        <d v="2022-05-23T00:00:00"/>
        <d v="2022-05-20T00:00:00"/>
        <d v="2022-05-19T00:00:00"/>
        <d v="2022-05-18T00:00:00"/>
        <d v="2022-05-17T00:00:00"/>
        <d v="2022-05-16T00:00:00"/>
        <d v="2022-05-13T00:00:00"/>
        <d v="2022-05-12T00:00:00"/>
        <d v="2022-05-11T00:00:00"/>
        <d v="2022-05-10T00:00:00"/>
        <d v="2022-05-09T00:00:00"/>
        <d v="2022-05-06T00:00:00"/>
        <d v="2022-05-05T00:00:00"/>
        <d v="2022-05-04T00:00:00"/>
        <d v="2022-05-03T00:00:00"/>
        <d v="2022-05-02T00:00:00"/>
        <d v="2022-04-29T00:00:00"/>
        <d v="2022-04-28T00:00:00"/>
        <d v="2022-04-27T00:00:00"/>
        <d v="2022-04-26T00:00:00"/>
        <d v="2022-04-25T00:00:00"/>
        <d v="2022-04-22T00:00:00"/>
        <d v="2022-04-21T00:00:00"/>
        <d v="2022-04-20T00:00:00"/>
        <d v="2022-04-19T00:00:00"/>
        <d v="2022-04-18T00:00:00"/>
        <d v="2022-04-14T00:00:00"/>
        <d v="2022-04-13T00:00:00"/>
        <d v="2022-04-12T00:00:00"/>
        <d v="2022-04-11T00:00:00"/>
        <d v="2022-04-08T00:00:00"/>
        <d v="2022-04-07T00:00:00"/>
        <d v="2022-04-06T00:00:00"/>
        <d v="2022-04-05T00:00:00"/>
        <d v="2022-04-04T00:00:00"/>
        <d v="2022-04-01T00:00:00"/>
        <d v="2022-03-31T00:00:00"/>
        <d v="2022-03-30T00:00:00"/>
        <d v="2022-03-29T00:00:00"/>
        <d v="2022-03-28T00:00:00"/>
        <d v="2022-03-25T00:00:00"/>
        <d v="2022-03-24T00:00:00"/>
        <d v="2022-03-23T00:00:00"/>
        <d v="2022-03-22T00:00:00"/>
        <d v="2022-03-21T00:00:00"/>
        <d v="2022-03-18T00:00:00"/>
        <d v="2022-03-17T00:00:00"/>
        <d v="2022-03-16T00:00:00"/>
        <d v="2022-03-15T00:00:00"/>
        <d v="2022-03-14T00:00:00"/>
        <d v="2022-03-11T00:00:00"/>
        <d v="2022-03-10T00:00:00"/>
        <d v="2022-03-09T00:00:00"/>
        <d v="2022-03-08T00:00:00"/>
        <d v="2022-03-07T00:00:00"/>
        <d v="2022-03-04T00:00:00"/>
        <d v="2022-03-03T00:00:00"/>
        <d v="2022-03-02T00:00:00"/>
        <d v="2022-03-01T00:00:00"/>
        <d v="2022-02-28T00:00:00"/>
        <d v="2022-02-27T00:00:00"/>
        <d v="2022-02-25T00:00:00"/>
        <d v="2022-02-24T00:00:00"/>
        <d v="2022-02-23T00:00:00"/>
        <d v="2022-02-22T00:00:00"/>
        <d v="2022-02-18T00:00:00"/>
        <d v="2022-02-17T00:00:00"/>
        <d v="2022-02-16T00:00:00"/>
        <d v="2022-02-15T00:00:00"/>
        <d v="2022-02-14T00:00:00"/>
        <d v="2022-02-11T00:00:00"/>
        <d v="2022-02-10T00:00:00"/>
        <d v="2022-02-09T00:00:00"/>
        <d v="2022-02-08T00:00:00"/>
        <d v="2022-02-07T00:00:00"/>
        <d v="2022-02-04T00:00:00"/>
        <d v="2022-02-03T00:00:00"/>
        <d v="2022-02-02T00:00:00"/>
        <d v="2022-02-01T00:00:00"/>
        <d v="2022-01-31T00:00:00"/>
        <d v="2022-01-30T00:00:00"/>
        <d v="2022-01-28T00:00:00"/>
        <d v="2022-01-27T00:00:00"/>
        <d v="2022-01-26T00:00:00"/>
        <d v="2022-01-25T00:00:00"/>
        <d v="2022-01-24T00:00:00"/>
        <d v="2022-01-21T00:00:00"/>
        <d v="2022-01-20T00:00:00"/>
        <d v="2022-01-19T00:00:00"/>
        <d v="2022-01-18T00:00:00"/>
        <d v="2022-01-14T00:00:00"/>
        <d v="2022-01-13T00:00:00"/>
        <d v="2022-01-12T00:00:00"/>
        <d v="2022-01-11T00:00:00"/>
        <d v="2022-01-10T00:00:00"/>
        <d v="2022-01-07T00:00:00"/>
        <d v="2022-01-06T00:00:00"/>
        <d v="2022-01-05T00:00:00"/>
        <d v="2022-01-04T00:00:00"/>
        <d v="2022-01-03T00:00:00"/>
        <d v="2021-12-31T00:00:00"/>
        <d v="2021-12-30T00:00:00"/>
        <d v="2021-12-29T00:00:00"/>
        <d v="2021-12-28T00:00:00"/>
        <d v="2021-12-27T00:00:00"/>
        <d v="2021-12-23T00:00:00"/>
        <d v="2021-12-22T00:00:00"/>
        <d v="2021-12-21T00:00:00"/>
        <d v="2021-12-20T00:00:00"/>
        <d v="2021-12-17T00:00:00"/>
        <d v="2021-12-16T00:00:00"/>
        <d v="2021-12-15T00:00:00"/>
        <d v="2021-12-14T00:00:00"/>
        <d v="2021-12-13T00:00:00"/>
        <d v="2021-12-10T00:00:00"/>
        <d v="2021-12-09T00:00:00"/>
        <d v="2021-12-08T00:00:00"/>
        <d v="2021-12-07T00:00:00"/>
        <d v="2021-12-06T00:00:00"/>
        <d v="2021-12-03T00:00:00"/>
        <d v="2021-12-02T00:00:00"/>
        <d v="2021-12-01T00:00:00"/>
        <d v="2021-11-30T00:00:00"/>
        <d v="2021-11-29T00:00:00"/>
        <d v="2021-11-26T00:00:00"/>
        <d v="2021-11-24T00:00:00"/>
        <d v="2021-11-23T00:00:00"/>
        <d v="2021-11-22T00:00:00"/>
        <d v="2021-11-19T00:00:00"/>
        <d v="2021-11-18T00:00:00"/>
        <d v="2021-11-17T00:00:00"/>
        <d v="2021-11-16T00:00:00"/>
        <d v="2021-11-15T00:00:00"/>
        <d v="2021-11-12T00:00:00"/>
        <d v="2021-11-11T00:00:00"/>
        <d v="2021-11-10T00:00:00"/>
        <d v="2021-11-09T00:00:00"/>
        <d v="2021-11-08T00:00:00"/>
        <d v="2021-11-05T00:00:00"/>
        <d v="2021-11-04T00:00:00"/>
        <d v="2021-11-03T00:00:00"/>
        <d v="2021-11-02T00:00:00"/>
        <d v="2021-11-01T00:00:00"/>
        <d v="2021-10-29T00:00:00"/>
        <d v="2021-10-28T00:00:00"/>
        <d v="2021-10-27T00:00:00"/>
        <d v="2021-10-26T00:00:00"/>
        <d v="2021-10-25T00:00:00"/>
        <d v="2021-10-22T00:00:00"/>
        <d v="2021-10-21T00:00:00"/>
        <d v="2021-10-20T00:00:00"/>
        <d v="2021-10-19T00:00:00"/>
        <d v="2021-10-18T00:00:00"/>
        <d v="2021-10-15T00:00:00"/>
        <d v="2021-10-14T00:00:00"/>
        <d v="2021-10-13T00:00:00"/>
        <d v="2021-10-12T00:00:00"/>
        <d v="2021-10-11T00:00:00"/>
        <d v="2021-10-08T00:00:00"/>
        <d v="2021-10-07T00:00:00"/>
        <d v="2021-10-06T00:00:00"/>
        <d v="2021-10-05T00:00:00"/>
        <d v="2021-10-04T00:00:00"/>
        <d v="2021-10-01T00:00:00"/>
        <d v="2021-09-30T00:00:00"/>
        <d v="2021-09-29T00:00:00"/>
        <d v="2021-09-28T00:00:00"/>
        <d v="2021-09-27T00:00:00"/>
        <d v="2021-09-24T00:00:00"/>
        <d v="2021-09-23T00:00:00"/>
        <d v="2021-09-22T00:00:00"/>
        <d v="2021-09-21T00:00:00"/>
        <d v="2021-09-20T00:00:00"/>
        <d v="2021-09-17T00:00:00"/>
        <d v="2021-09-16T00:00:00"/>
        <d v="2021-09-15T00:00:00"/>
        <d v="2021-09-14T00:00:00"/>
        <d v="2021-09-13T00:00:00"/>
        <d v="2021-09-10T00:00:00"/>
        <d v="2021-09-09T00:00:00"/>
        <d v="2021-09-08T00:00:00"/>
        <d v="2021-09-07T00:00:00"/>
        <d v="2021-09-03T00:00:00"/>
        <d v="2021-09-02T00:00:00"/>
        <d v="2021-09-01T00:00:00"/>
        <d v="2021-08-31T00:00:00"/>
        <d v="2021-08-30T00:00:00"/>
        <d v="2021-08-27T00:00:00"/>
        <d v="2021-08-26T00:00:00"/>
        <d v="2021-08-25T00:00:00"/>
        <d v="2021-08-24T00:00:00"/>
        <d v="2021-08-20T00:00:00"/>
        <d v="2021-08-19T00:00:00"/>
        <d v="2021-08-18T00:00:00"/>
        <d v="2021-08-17T00:00:00"/>
        <d v="2021-08-16T00:00:00"/>
        <d v="2021-08-13T00:00:00"/>
        <d v="2021-08-12T00:00:00"/>
        <d v="2021-08-11T00:00:00"/>
        <d v="2021-08-10T00:00:00"/>
        <d v="2021-08-09T00:00:00"/>
        <d v="2021-08-06T00:00:00"/>
        <d v="2021-08-05T00:00:00"/>
        <d v="2021-08-04T00:00:00"/>
        <d v="2021-08-03T00:00:00"/>
        <d v="2021-08-02T00:00:00"/>
        <d v="2021-07-30T00:00:00"/>
        <d v="2021-07-29T00:00:00"/>
        <d v="2021-07-28T00:00:00"/>
        <d v="2021-07-27T00:00:00"/>
        <d v="2021-07-26T00:00:00"/>
        <d v="2021-07-23T00:00:00"/>
        <d v="2021-07-22T00:00:00"/>
        <d v="2021-07-21T00:00:00"/>
        <d v="2021-07-20T00:00:00"/>
        <d v="2021-07-19T00:00:00"/>
        <d v="2021-07-16T00:00:00"/>
        <d v="2021-07-15T00:00:00"/>
        <d v="2021-07-14T00:00:00"/>
        <d v="2021-07-13T00:00:00"/>
        <d v="2021-07-12T00:00:00"/>
        <d v="2021-07-09T00:00:00"/>
        <d v="2021-07-08T00:00:00"/>
        <d v="2021-07-07T00:00:00"/>
        <d v="2021-07-06T00:00:00"/>
        <d v="2021-07-02T00:00:00"/>
        <d v="2021-07-01T00:00:00"/>
        <d v="2021-06-30T00:00:00"/>
        <d v="2021-06-29T00:00:00"/>
        <d v="2021-06-28T00:00:00"/>
        <d v="2021-06-25T00:00:00"/>
        <d v="2021-06-24T00:00:00"/>
        <d v="2021-06-23T00:00:00"/>
        <d v="2021-06-22T00:00:00"/>
        <d v="2021-06-21T00:00:00"/>
        <d v="2021-06-18T00:00:00"/>
        <d v="2021-06-17T00:00:00"/>
        <d v="2021-06-16T00:00:00"/>
        <d v="2021-06-15T00:00:00"/>
        <d v="2021-06-14T00:00:00"/>
        <d v="2021-06-11T00:00:00"/>
        <d v="2021-06-10T00:00:00"/>
        <d v="2021-06-09T00:00:00"/>
        <d v="2021-06-08T00:00:00"/>
        <d v="2021-06-07T00:00:00"/>
        <d v="2021-06-04T00:00:00"/>
        <d v="2021-06-03T00:00:00"/>
        <d v="2021-06-02T00:00:00"/>
        <d v="2021-06-01T00:00:00"/>
        <d v="2021-05-28T00:00:00"/>
        <d v="2021-05-27T00:00:00"/>
        <d v="2021-05-26T00:00:00"/>
        <d v="2021-05-25T00:00:00"/>
        <d v="2021-05-24T00:00:00"/>
        <d v="2021-05-21T00:00:00"/>
        <d v="2021-05-20T00:00:00"/>
        <d v="2021-05-19T00:00:00"/>
        <d v="2021-05-18T00:00:00"/>
        <d v="2021-05-17T00:00:00"/>
        <d v="2021-05-14T00:00:00"/>
        <d v="2021-05-13T00:00:00"/>
        <d v="2021-05-12T00:00:00"/>
        <d v="2021-05-11T00:00:00"/>
        <d v="2021-05-10T00:00:00"/>
        <d v="2021-05-07T00:00:00"/>
        <d v="2021-05-06T00:00:00"/>
        <d v="2021-05-05T00:00:00"/>
        <d v="2021-05-04T00:00:00"/>
        <d v="2021-05-03T00:00:00"/>
        <d v="2021-04-30T00:00:00"/>
        <d v="2021-04-29T00:00:00"/>
        <d v="2021-04-28T00:00:00"/>
        <d v="2021-04-27T00:00:00"/>
        <d v="2021-04-26T00:00:00"/>
        <d v="2021-04-23T00:00:00"/>
        <d v="2021-04-22T00:00:00"/>
        <d v="2021-04-21T00:00:00"/>
        <d v="2021-04-20T00:00:00"/>
        <d v="2021-04-19T00:00:00"/>
        <d v="2021-04-16T00:00:00"/>
        <d v="2021-04-15T00:00:00"/>
        <d v="2021-04-14T00:00:00"/>
        <d v="2021-04-13T00:00:00"/>
        <d v="2021-04-12T00:00:00"/>
        <d v="2021-04-09T00:00:00"/>
        <d v="2021-04-08T00:00:00"/>
        <d v="2021-04-07T00:00:00"/>
        <d v="2021-04-06T00:00:00"/>
        <d v="2021-04-05T00:00:00"/>
        <d v="2021-04-01T00:00:00"/>
        <d v="2021-03-31T00:00:00"/>
        <d v="2021-03-30T00:00:00"/>
        <d v="2021-03-29T00:00:00"/>
        <d v="2021-03-26T00:00:00"/>
        <d v="2021-03-25T00:00:00"/>
        <d v="2021-03-24T00:00:00"/>
        <d v="2021-03-23T00:00:00"/>
        <d v="2021-03-22T00:00:00"/>
        <d v="2021-03-19T00:00:00"/>
        <d v="2021-03-18T00:00:00"/>
        <d v="2021-03-17T00:00:00"/>
        <d v="2021-03-16T00:00:00"/>
        <d v="2021-03-15T00:00:00"/>
        <d v="2021-03-12T00:00:00"/>
        <d v="2021-03-11T00:00:00"/>
        <d v="2021-03-10T00:00:00"/>
        <d v="2021-03-09T00:00:00"/>
        <d v="2021-03-08T00:00:00"/>
        <d v="2021-03-05T00:00:00"/>
        <d v="2021-03-04T00:00:00"/>
        <d v="2021-03-03T00:00:00"/>
        <d v="2021-03-02T00:00:00"/>
        <d v="2021-03-01T00:00:00"/>
        <d v="2021-02-26T00:00:00"/>
        <d v="2021-02-25T00:00:00"/>
        <d v="2021-02-24T00:00:00"/>
        <d v="2021-02-22T00:00:00"/>
        <d v="2021-02-19T00:00:00"/>
        <d v="2021-02-18T00:00:00"/>
        <d v="2021-02-17T00:00:00"/>
        <d v="2021-02-16T00:00:00"/>
        <d v="2021-02-12T00:00:00"/>
        <d v="2021-02-11T00:00:00"/>
        <d v="2021-02-10T00:00:00"/>
        <d v="2021-02-09T00:00:00"/>
        <d v="2021-02-08T00:00:00"/>
        <d v="2021-02-05T00:00:00"/>
        <d v="2021-02-04T00:00:00"/>
        <d v="2021-02-03T00:00:00"/>
        <d v="2021-02-02T00:00:00"/>
        <d v="2021-02-01T00:00:00"/>
        <d v="2021-01-29T00:00:00"/>
        <d v="2021-01-28T00:00:00"/>
        <d v="2021-01-27T00:00:00"/>
        <d v="2021-01-26T00:00:00"/>
        <d v="2021-01-25T00:00:00"/>
        <d v="2021-01-22T00:00:00"/>
        <d v="2021-01-21T00:00:00"/>
        <d v="2021-01-20T00:00:00"/>
        <d v="2021-01-19T00:00:00"/>
        <d v="2021-01-15T00:00:00"/>
        <d v="2021-01-14T00:00:00"/>
        <d v="2021-01-13T00:00:00"/>
        <d v="2021-01-12T00:00:00"/>
        <d v="2021-01-11T00:00:00"/>
        <d v="2021-01-08T00:00:00"/>
        <d v="2021-01-07T00:00:00"/>
        <d v="2021-01-06T00:00:00"/>
        <d v="2021-01-05T00:00:00"/>
        <d v="2021-01-04T00:00:00"/>
        <d v="2020-12-31T00:00:00"/>
        <d v="2020-12-30T00:00:00"/>
        <d v="2020-12-29T00:00:00"/>
        <d v="2020-12-28T00:00:00"/>
        <d v="2020-12-24T00:00:00"/>
        <d v="2020-12-23T00:00:00"/>
        <d v="2020-12-22T00:00:00"/>
        <d v="2020-12-21T00:00:00"/>
        <d v="2020-12-18T00:00:00"/>
        <d v="2020-12-17T00:00:00"/>
        <d v="2020-12-16T00:00:00"/>
        <d v="2020-12-15T00:00:00"/>
        <d v="2020-12-14T00:00:00"/>
        <d v="2020-12-11T00:00:00"/>
        <d v="2020-12-10T00:00:00"/>
        <d v="2020-12-09T00:00:00"/>
        <d v="2020-12-08T00:00:00"/>
        <d v="2020-12-07T00:00:00"/>
        <d v="2020-12-04T00:00:00"/>
        <d v="2020-12-03T00:00:00"/>
        <d v="2020-12-02T00:00:00"/>
        <d v="2020-12-01T00:00:00"/>
        <d v="2020-11-30T00:00:00"/>
        <d v="2020-11-27T00:00:00"/>
        <d v="2020-11-25T00:00:00"/>
        <d v="2020-11-24T00:00:00"/>
        <d v="2020-11-23T00:00:00"/>
        <d v="2020-11-20T00:00:00"/>
        <d v="2020-11-19T00:00:00"/>
        <d v="2020-11-18T00:00:00"/>
        <d v="2020-11-17T00:00:00"/>
        <d v="2020-11-16T00:00:00"/>
        <d v="2020-11-13T00:00:00"/>
        <d v="2020-11-12T00:00:00"/>
        <d v="2020-11-11T00:00:00"/>
        <d v="2020-11-10T00:00:00"/>
        <d v="2020-11-09T00:00:00"/>
        <d v="2020-11-06T00:00:00"/>
        <d v="2020-11-05T00:00:00"/>
        <d v="2020-11-04T00:00:00"/>
        <d v="2020-11-03T00:00:00"/>
        <d v="2020-11-02T00:00:00"/>
        <d v="2020-10-30T00:00:00"/>
        <d v="2020-10-29T00:00:00"/>
        <d v="2020-10-28T00:00:00"/>
        <d v="2020-10-27T00:00:00"/>
        <d v="2020-10-26T00:00:00"/>
        <d v="2020-10-23T00:00:00"/>
        <d v="2020-10-22T00:00:00"/>
        <d v="2020-10-21T00:00:00"/>
        <d v="2020-10-20T00:00:00"/>
        <d v="2020-10-19T00:00:00"/>
        <d v="2020-10-16T00:00:00"/>
        <d v="2020-10-15T00:00:00"/>
        <d v="2020-10-14T00:00:00"/>
        <d v="2020-10-13T00:00:00"/>
        <d v="2020-10-12T00:00:00"/>
        <d v="2020-10-09T00:00:00"/>
        <d v="2020-10-08T00:00:00"/>
        <d v="2020-10-07T00:00:00"/>
        <d v="2020-10-06T00:00:00"/>
        <d v="2020-10-05T00:00:00"/>
        <d v="2020-10-02T00:00:00"/>
        <d v="2020-10-01T00:00:00"/>
        <d v="2020-09-30T00:00:00"/>
        <d v="2020-09-29T00:00:00"/>
        <d v="2020-09-28T00:00:00"/>
        <d v="2020-09-25T00:00:00"/>
        <d v="2020-09-24T00:00:00"/>
        <d v="2020-09-23T00:00:00"/>
        <d v="2020-09-22T00:00:00"/>
        <d v="2020-09-21T00:00:00"/>
        <d v="2020-09-18T00:00:00"/>
        <d v="2020-09-17T00:00:00"/>
        <d v="2020-09-16T00:00:00"/>
        <d v="2020-09-15T00:00:00"/>
        <d v="2020-09-14T00:00:00"/>
        <d v="2020-09-11T00:00:00"/>
        <d v="2020-09-10T00:00:00"/>
        <d v="2020-09-09T00:00:00"/>
        <d v="2020-09-08T00:00:00"/>
        <d v="2020-09-04T00:00:00"/>
        <d v="2020-09-03T00:00:00"/>
        <d v="2020-09-02T00:00:00"/>
        <d v="2020-09-01T00:00:00"/>
        <d v="2020-08-31T00:00:00"/>
        <d v="2020-08-28T00:00:00"/>
        <d v="2020-08-27T00:00:00"/>
        <d v="2020-08-26T00:00:00"/>
        <d v="2020-08-25T00:00:00"/>
        <d v="2020-08-24T00:00:00"/>
        <d v="2020-08-21T00:00:00"/>
        <d v="2020-08-20T00:00:00"/>
        <d v="2020-08-19T00:00:00"/>
        <d v="2020-08-18T00:00:00"/>
        <d v="2020-08-17T00:00:00"/>
        <d v="2020-08-14T00:00:00"/>
        <d v="2020-08-13T00:00:00"/>
        <d v="2020-08-12T00:00:00"/>
        <d v="2020-08-11T00:00:00"/>
        <d v="2020-08-10T00:00:00"/>
        <d v="2020-08-07T00:00:00"/>
        <d v="2020-08-06T00:00:00"/>
        <d v="2020-08-05T00:00:00"/>
        <d v="2020-08-04T00:00:00"/>
        <d v="2020-08-03T00:00:00"/>
        <d v="2020-07-31T00:00:00"/>
        <d v="2020-07-30T00:00:00"/>
        <d v="2020-07-29T00:00:00"/>
        <d v="2020-07-28T00:00:00"/>
        <d v="2020-07-27T00:00:00"/>
        <d v="2020-07-24T00:00:00"/>
        <d v="2020-07-23T00:00:00"/>
        <d v="2020-07-22T00:00:00"/>
        <d v="2020-07-21T00:00:00"/>
        <d v="2020-07-20T00:00:00"/>
        <d v="2020-07-17T00:00:00"/>
        <d v="2020-07-16T00:00:00"/>
        <d v="2020-07-15T00:00:00"/>
        <d v="2020-07-14T00:00:00"/>
        <d v="2020-07-13T00:00:00"/>
        <d v="2020-07-10T00:00:00"/>
        <d v="2020-07-09T00:00:00"/>
        <d v="2020-07-08T00:00:00"/>
        <d v="2020-07-07T00:00:00"/>
        <d v="2020-07-06T00:00:00"/>
        <d v="2020-07-02T00:00:00"/>
        <d v="2020-07-01T00:00:00"/>
        <d v="2020-06-30T00:00:00"/>
        <d v="2020-06-29T00:00:00"/>
        <d v="2020-06-26T00:00:00"/>
        <d v="2020-06-25T00:00:00"/>
        <d v="2020-06-24T00:00:00"/>
        <d v="2020-06-23T00:00:00"/>
        <d v="2020-06-22T00:00:00"/>
        <d v="2020-06-19T00:00:00"/>
        <d v="2020-06-18T00:00:00"/>
        <d v="2020-06-17T00:00:00"/>
        <d v="2020-06-16T00:00:00"/>
        <d v="2020-06-15T00:00:00"/>
        <d v="2020-06-12T00:00:00"/>
        <d v="2020-06-11T00:00:00"/>
        <d v="2020-06-10T00:00:00"/>
        <d v="2020-06-09T00:00:00"/>
        <d v="2020-06-08T00:00:00"/>
        <d v="2020-06-05T00:00:00"/>
        <d v="2020-06-04T00:00:00"/>
        <d v="2020-06-03T00:00:00"/>
        <d v="2020-06-02T00:00:00"/>
        <d v="2020-06-01T00:00:00"/>
        <d v="2020-05-29T00:00:00"/>
        <d v="2020-05-28T00:00:00"/>
        <d v="2020-05-27T00:00:00"/>
        <d v="2020-05-26T00:00:00"/>
        <d v="2020-05-22T00:00:00"/>
        <d v="2020-05-21T00:00:00"/>
        <d v="2020-05-20T00:00:00"/>
        <d v="2020-05-19T00:00:00"/>
        <d v="2020-05-18T00:00:00"/>
        <d v="2020-05-15T00:00:00"/>
        <d v="2020-05-14T00:00:00"/>
        <d v="2020-05-13T00:00:00"/>
        <d v="2020-05-12T00:00:00"/>
        <d v="2020-05-11T00:00:00"/>
        <d v="2020-05-08T00:00:00"/>
        <d v="2020-05-07T00:00:00"/>
        <d v="2020-05-06T00:00:00"/>
        <d v="2020-05-05T00:00:00"/>
        <d v="2020-05-04T00:00:00"/>
        <d v="2020-05-01T00:00:00"/>
        <d v="2020-04-30T00:00:00"/>
        <d v="2020-04-29T00:00:00"/>
        <d v="2020-04-28T00:00:00"/>
        <d v="2020-04-27T00:00:00"/>
        <d v="2020-04-24T00:00:00"/>
        <d v="2020-04-23T00:00:00"/>
        <d v="2020-04-22T00:00:00"/>
        <d v="2020-04-21T00:00:00"/>
        <d v="2020-04-20T00:00:00"/>
        <d v="2020-04-17T00:00:00"/>
        <d v="2020-04-16T00:00:00"/>
        <d v="2020-04-15T00:00:00"/>
        <d v="2020-04-14T00:00:00"/>
        <d v="2020-04-13T00:00:00"/>
        <d v="2020-04-09T00:00:00"/>
        <d v="2020-04-08T00:00:00"/>
        <d v="2020-04-07T00:00:00"/>
        <d v="2020-04-06T00:00:00"/>
        <d v="2020-04-03T00:00:00"/>
        <d v="2020-04-02T00:00:00"/>
        <d v="2020-04-01T00:00:00"/>
        <d v="2020-03-31T00:00:00"/>
        <d v="2020-03-30T00:00:00"/>
        <d v="2020-03-27T00:00:00"/>
        <d v="2020-03-26T00:00:00"/>
        <d v="2020-03-25T00:00:00"/>
        <d v="2020-03-24T00:00:00"/>
        <d v="2020-03-23T00:00:00"/>
        <d v="2020-03-20T00:00:00"/>
        <d v="2020-03-19T00:00:00"/>
        <d v="2020-03-18T00:00:00"/>
        <d v="2020-03-17T00:00:00"/>
        <d v="2020-03-16T00:00:00"/>
        <d v="2020-03-13T00:00:00"/>
        <d v="2020-03-12T00:00:00"/>
        <d v="2020-03-11T00:00:00"/>
        <d v="2020-03-10T00:00:00"/>
        <d v="2020-03-09T00:00:00"/>
        <d v="2020-03-06T00:00:00"/>
        <d v="2020-03-05T00:00:00"/>
        <d v="2020-03-04T00:00:00"/>
        <d v="2020-03-03T00:00:00"/>
        <d v="2020-03-02T00:00:00"/>
        <d v="2020-02-28T00:00:00"/>
        <d v="2020-02-27T00:00:00"/>
        <d v="2020-02-26T00:00:00"/>
        <d v="2020-02-25T00:00:00"/>
        <d v="2020-02-24T00:00:00"/>
        <d v="2020-02-21T00:00:00"/>
        <d v="2020-02-20T00:00:00"/>
        <d v="2020-02-19T00:00:00"/>
        <d v="2020-02-18T00:00:00"/>
        <d v="2020-02-14T00:00:00"/>
        <d v="2020-02-13T00:00:00"/>
        <d v="2020-02-12T00:00:00"/>
        <d v="2020-02-11T00:00:00"/>
        <d v="2020-02-10T00:00:00"/>
        <d v="2020-02-07T00:00:00"/>
        <d v="2020-02-06T00:00:00"/>
        <d v="2020-02-05T00:00:00"/>
        <d v="2020-02-04T00:00:00"/>
        <d v="2020-02-03T00:00:00"/>
        <d v="2020-01-31T00:00:00"/>
        <d v="2020-01-30T00:00:00"/>
        <d v="2020-01-29T00:00:00"/>
        <d v="2020-01-28T00:00:00"/>
        <d v="2020-01-27T00:00:00"/>
        <d v="2020-01-24T00:00:00"/>
        <d v="2020-01-23T00:00:00"/>
        <d v="2020-01-22T00:00:00"/>
        <d v="2020-01-21T00:00:00"/>
        <d v="2020-01-17T00:00:00"/>
        <d v="2020-01-16T00:00:00"/>
        <d v="2020-01-15T00:00:00"/>
        <d v="2020-01-14T00:00:00"/>
        <d v="2020-01-13T00:00:00"/>
        <d v="2020-01-10T00:00:00"/>
        <d v="2020-01-09T00:00:00"/>
        <d v="2020-01-08T00:00:00"/>
        <d v="2020-01-07T00:00:00"/>
        <d v="2020-01-06T00:00:00"/>
        <d v="2020-01-03T00:00:00"/>
        <d v="2020-01-02T00:00:00"/>
        <d v="2019-12-31T00:00:00"/>
        <d v="2019-12-30T00:00:00"/>
        <d v="2019-12-27T00:00:00"/>
        <d v="2019-12-26T00:00:00"/>
        <d v="2019-12-24T00:00:00"/>
        <d v="2019-12-23T00:00:00"/>
        <d v="2019-12-20T00:00:00"/>
        <d v="2019-12-19T00:00:00"/>
        <d v="2019-12-18T00:00:00"/>
        <d v="2019-12-17T00:00:00"/>
        <d v="2019-12-16T00:00:00"/>
        <d v="2019-12-13T00:00:00"/>
        <d v="2019-12-12T00:00:00"/>
        <d v="2019-12-11T00:00:00"/>
        <d v="2019-12-10T00:00:00"/>
        <d v="2019-12-09T00:00:00"/>
        <d v="2019-12-06T00:00:00"/>
        <d v="2019-12-05T00:00:00"/>
        <d v="2019-12-04T00:00:00"/>
        <d v="2019-12-03T00:00:00"/>
        <d v="2019-12-02T00:00:00"/>
        <d v="2019-11-29T00:00:00"/>
        <d v="2019-11-27T00:00:00"/>
        <d v="2019-11-26T00:00:00"/>
        <d v="2019-11-25T00:00:00"/>
        <d v="2019-11-22T00:00:00"/>
        <d v="2019-11-21T00:00:00"/>
        <d v="2019-11-20T00:00:00"/>
        <d v="2019-11-19T00:00:00"/>
        <d v="2019-11-18T00:00:00"/>
        <d v="2019-11-15T00:00:00"/>
        <d v="2019-11-14T00:00:00"/>
        <d v="2019-11-13T00:00:00"/>
        <d v="2019-11-12T00:00:00"/>
        <d v="2019-11-11T00:00:00"/>
        <d v="2019-11-08T00:00:00"/>
        <d v="2019-11-07T00:00:00"/>
        <d v="2019-11-06T00:00:00"/>
        <d v="2019-11-05T00:00:00"/>
        <d v="2019-11-04T00:00:00"/>
        <d v="2019-11-01T00:00:00"/>
        <d v="2019-10-31T00:00:00"/>
        <d v="2019-10-30T00:00:00"/>
        <d v="2019-10-29T00:00:00"/>
        <d v="2019-10-28T00:00:00"/>
        <d v="2019-10-25T00:00:00"/>
        <d v="2019-10-24T00:00:00"/>
        <d v="2019-10-23T00:00:00"/>
        <d v="2019-10-22T00:00:00"/>
        <d v="2019-10-21T00:00:00"/>
        <d v="2019-10-18T00:00:00"/>
        <d v="2019-10-17T00:00:00"/>
        <d v="2019-10-16T00:00:00"/>
        <d v="2019-10-15T00:00:00"/>
        <d v="2019-10-14T00:00:00"/>
        <d v="2019-10-11T00:00:00"/>
        <d v="2019-10-10T00:00:00"/>
        <d v="2019-10-09T00:00:00"/>
        <d v="2019-10-08T00:00:00"/>
        <d v="2019-10-07T00:00:00"/>
        <d v="2019-10-04T00:00:00"/>
        <d v="2019-10-03T00:00:00"/>
        <d v="2019-10-02T00:00:00"/>
        <d v="2019-10-01T00:00:00"/>
        <d v="2019-09-30T00:00:00"/>
        <d v="2019-09-27T00:00:00"/>
        <d v="2019-09-26T00:00:00"/>
        <d v="2019-09-25T00:00:00"/>
        <d v="2019-09-24T00:00:00"/>
        <d v="2019-09-23T00:00:00"/>
        <d v="2019-09-20T00:00:00"/>
        <d v="2019-09-19T00:00:00"/>
        <d v="2019-09-18T00:00:00"/>
        <d v="2019-09-17T00:00:00"/>
        <d v="2019-09-16T00:00:00"/>
        <d v="2019-09-13T00:00:00"/>
        <d v="2019-09-12T00:00:00"/>
        <d v="2019-09-11T00:00:00"/>
        <d v="2019-09-10T00:00:00"/>
        <d v="2019-09-09T00:00:00"/>
        <d v="2019-09-06T00:00:00"/>
        <d v="2019-09-05T00:00:00"/>
        <d v="2019-09-04T00:00:00"/>
        <d v="2019-09-03T00:00:00"/>
        <d v="2019-08-30T00:00:00"/>
        <d v="2019-08-29T00:00:00"/>
        <d v="2019-08-28T00:00:00"/>
        <d v="2019-08-27T00:00:00"/>
        <d v="2019-08-26T00:00:00"/>
        <d v="2019-08-23T00:00:00"/>
        <d v="2019-08-22T00:00:00"/>
        <d v="2019-08-21T00:00:00"/>
        <d v="2019-08-20T00:00:00"/>
        <d v="2019-08-19T00:00:00"/>
        <d v="2019-08-16T00:00:00"/>
        <d v="2019-08-15T00:00:00"/>
        <d v="2019-08-14T00:00:00"/>
        <d v="2019-08-13T00:00:00"/>
        <d v="2019-08-12T00:00:00"/>
        <d v="2019-08-09T00:00:00"/>
        <d v="2019-08-08T00:00:00"/>
        <d v="2019-08-07T00:00:00"/>
        <d v="2019-08-06T00:00:00"/>
        <d v="2019-08-05T00:00:00"/>
        <d v="2019-08-02T00:00:00"/>
        <d v="2019-08-01T00:00:00"/>
        <d v="2019-07-31T00:00:00"/>
        <d v="2019-07-30T00:00:00"/>
        <d v="2019-07-29T00:00:00"/>
        <d v="2019-07-26T00:00:00"/>
        <d v="2019-07-25T00:00:00"/>
        <d v="2019-07-24T00:00:00"/>
        <d v="2019-07-23T00:00:00"/>
        <d v="2019-07-22T00:00:00"/>
        <d v="2019-07-19T00:00:00"/>
        <d v="2019-07-18T00:00:00"/>
        <d v="2019-07-17T00:00:00"/>
        <d v="2019-07-16T00:00:00"/>
        <d v="2019-07-15T00:00:00"/>
        <d v="2019-07-12T00:00:00"/>
        <d v="2019-07-11T00:00:00"/>
        <d v="2019-07-10T00:00:00"/>
        <d v="2019-07-09T00:00:00"/>
        <d v="2019-07-08T00:00:00"/>
      </sharedItems>
    </cacheField>
    <cacheField name="Contract" numFmtId="0">
      <sharedItems count="36">
        <s v="X (Nov 22)"/>
        <s v="Z (Dec 22)"/>
        <s v="N (Jul 22)"/>
        <s v="F (Jan 23)"/>
        <s v="G (Feb 23)"/>
        <s v="V (Oct 22)"/>
        <s v="Q (Aug 22)"/>
        <s v="U (Sep 22)"/>
        <s v="M (Jun 22)"/>
        <s v="K (May 22)"/>
        <s v="J (Apr 22)"/>
        <s v="H (Mar 22)"/>
        <s v="G (Feb 22)"/>
        <s v="F (Jan 22)"/>
        <s v="Z (Dec 21)"/>
        <s v="X (Nov 21)"/>
        <s v="V (Oct 21)"/>
        <s v="U (Sep 21)"/>
        <s v="Q (Aug 21)"/>
        <s v="N (Jul 21)"/>
        <s v="M (Jun 21)"/>
        <s v="K (May 21)"/>
        <s v="J (Apr 21)"/>
        <s v="H (Mar 21)"/>
        <s v="G (Feb 21)"/>
        <s v="F (Jan 21)"/>
        <s v="Z (Dec 20)"/>
        <s v="X (Nov 20)"/>
        <s v="V (Oct 20)"/>
        <s v="U (Sep 20)"/>
        <s v="Q (Aug 20)"/>
        <s v="N (Jul 20)"/>
        <s v="M (Jun 20)"/>
        <s v="K (May 20)"/>
        <s v="J (Apr 20)"/>
        <s v="H (Mar 20)"/>
      </sharedItems>
    </cacheField>
    <cacheField name="Opn" numFmtId="0">
      <sharedItems containsSemiMixedTypes="0" containsString="0" containsNumber="1" minValue="0" maxValue="72.5"/>
    </cacheField>
    <cacheField name="High" numFmtId="0">
      <sharedItems containsSemiMixedTypes="0" containsString="0" containsNumber="1" minValue="0" maxValue="82"/>
    </cacheField>
    <cacheField name="Low" numFmtId="0">
      <sharedItems containsSemiMixedTypes="0" containsString="0" containsNumber="1" minValue="0" maxValue="70.25"/>
    </cacheField>
    <cacheField name="Clos" numFmtId="0">
      <sharedItems containsSemiMixedTypes="0" containsString="0" containsNumber="1" minValue="0" maxValue="81.95"/>
    </cacheField>
    <cacheField name="Settle" numFmtId="0">
      <sharedItems containsSemiMixedTypes="0" containsString="0" containsNumber="1" minValue="15.324999999999999" maxValue="72.625" count="2786">
        <n v="29.617000000000001"/>
        <n v="29.110600000000002"/>
        <n v="29.085799999999999"/>
        <n v="29.7"/>
        <n v="29.524999999999999"/>
        <n v="29.789899999999999"/>
        <n v="29.341899999999999"/>
        <n v="29.734200000000001"/>
        <n v="28.289200000000001"/>
        <n v="27.869199999999999"/>
        <n v="28.385400000000001"/>
        <n v="26.424499999999998"/>
        <n v="28.724699999999999"/>
        <n v="28.3096"/>
        <n v="27.499400000000001"/>
        <n v="28.95"/>
        <n v="28.8"/>
        <n v="28.772600000000001"/>
        <n v="28.1"/>
        <n v="27.7"/>
        <n v="26.256"/>
        <n v="28.375"/>
        <n v="28.274999999999999"/>
        <n v="28.1038"/>
        <n v="26.928599999999999"/>
        <n v="27.6113"/>
        <n v="24.699300000000001"/>
        <n v="26.896000000000001"/>
        <n v="27.610499999999998"/>
        <n v="24.680499999999999"/>
        <n v="27.599"/>
        <n v="26.304500000000001"/>
        <n v="28.295200000000001"/>
        <n v="28.225000000000001"/>
        <n v="28.097799999999999"/>
        <n v="28.111499999999999"/>
        <n v="27.791699999999999"/>
        <n v="26.9709"/>
        <n v="28.45"/>
        <n v="28.4955"/>
        <n v="28.384899999999998"/>
        <n v="27.532"/>
        <n v="28.083400000000001"/>
        <n v="25.5854"/>
        <n v="27.742000000000001"/>
        <n v="28.220600000000001"/>
        <n v="25.962700000000002"/>
        <n v="27.707599999999999"/>
        <n v="27.303899999999999"/>
        <n v="28.2"/>
        <n v="28.55"/>
        <n v="28.348199999999999"/>
        <n v="27.3"/>
        <n v="27.082799999999999"/>
        <n v="27.9"/>
        <n v="28.2224"/>
        <n v="28"/>
        <n v="27.472899999999999"/>
        <n v="27.998999999999999"/>
        <n v="25.600100000000001"/>
        <n v="28.049600000000002"/>
        <n v="28.513000000000002"/>
        <n v="26.1937"/>
        <n v="27.741700000000002"/>
        <n v="27.571400000000001"/>
        <n v="28.35"/>
        <n v="28.702100000000002"/>
        <n v="28.4466"/>
        <n v="27.817399999999999"/>
        <n v="27.790800000000001"/>
        <n v="28.5"/>
        <n v="28.7"/>
        <n v="28.852399999999999"/>
        <n v="28.554500000000001"/>
        <n v="28.238399999999999"/>
        <n v="28.6233"/>
        <n v="26.412299999999998"/>
        <n v="28.431999999999999"/>
        <n v="28.801600000000001"/>
        <n v="26.867799999999999"/>
        <n v="27.7958"/>
        <n v="28.173999999999999"/>
        <n v="28.3"/>
        <n v="28.9359"/>
        <n v="28.546800000000001"/>
        <n v="28.175000000000001"/>
        <n v="29.060400000000001"/>
        <n v="28.65"/>
        <n v="28.625"/>
        <n v="29.437799999999999"/>
        <n v="28.994800000000001"/>
        <n v="29.197900000000001"/>
        <n v="29.4"/>
        <n v="28.063600000000001"/>
        <n v="29.150099999999998"/>
        <n v="29.299900000000001"/>
        <n v="28.485900000000001"/>
        <n v="28.1294"/>
        <n v="29.1357"/>
        <n v="28.6"/>
        <n v="28.925000000000001"/>
        <n v="29.364699999999999"/>
        <n v="28.903700000000001"/>
        <n v="29.851800000000001"/>
        <n v="29.225000000000001"/>
        <n v="29.8827"/>
        <n v="29.346499999999999"/>
        <n v="29.857399999999998"/>
        <n v="29.918299999999999"/>
        <n v="29.185500000000001"/>
        <n v="29.799399999999999"/>
        <n v="29.894600000000001"/>
        <n v="29.079699999999999"/>
        <n v="28.425000000000001"/>
        <n v="29.827999999999999"/>
        <n v="29.125"/>
        <n v="29.816099999999999"/>
        <n v="29.268799999999999"/>
        <n v="28.5792"/>
        <n v="29.961099999999998"/>
        <n v="29.15"/>
        <n v="29.939599999999999"/>
        <n v="29.4192"/>
        <n v="29.9071"/>
        <n v="29.994199999999999"/>
        <n v="29.4224"/>
        <n v="29.683700000000002"/>
        <n v="29.799900000000001"/>
        <n v="29.286000000000001"/>
        <n v="28.2896"/>
        <n v="29.755500000000001"/>
        <n v="29.735099999999999"/>
        <n v="29.1968"/>
        <n v="28.887699999999999"/>
        <n v="31.382000000000001"/>
        <n v="29.375"/>
        <n v="27.68"/>
        <n v="30.520399999999999"/>
        <n v="29.866800000000001"/>
        <n v="30.988800000000001"/>
        <n v="30.802399999999999"/>
        <n v="31.519500000000001"/>
        <n v="28.875800000000002"/>
        <n v="29.1526"/>
        <n v="27.489599999999999"/>
        <n v="27.7439"/>
        <n v="28.584399999999999"/>
        <n v="28.25"/>
        <n v="26.598800000000001"/>
        <n v="29.166599999999999"/>
        <n v="28.5762"/>
        <n v="27.85"/>
        <n v="28.9801"/>
        <n v="27.585599999999999"/>
        <n v="29.2056"/>
        <n v="28.643599999999999"/>
        <n v="29.132300000000001"/>
        <n v="29.3386"/>
        <n v="28.0855"/>
        <n v="29.766999999999999"/>
        <n v="29.823799999999999"/>
        <n v="29.395900000000001"/>
        <n v="28.002800000000001"/>
        <n v="29.845600000000001"/>
        <n v="28.574999999999999"/>
        <n v="28.819099999999999"/>
        <n v="29.567"/>
        <n v="28.893799999999999"/>
        <n v="31.106000000000002"/>
        <n v="31.2544"/>
        <n v="30.175899999999999"/>
        <n v="29.45"/>
        <n v="30.774899999999999"/>
        <n v="30.576599999999999"/>
        <n v="31.260999999999999"/>
        <n v="31.061199999999999"/>
        <n v="30.840199999999999"/>
        <n v="31.738900000000001"/>
        <n v="28.824999999999999"/>
        <n v="31.448899999999998"/>
        <n v="29.3"/>
        <n v="32.162700000000001"/>
        <n v="30.4404"/>
        <n v="29.739100000000001"/>
        <n v="31.5975"/>
        <n v="29.074999999999999"/>
        <n v="32.253999999999998"/>
        <n v="30.301300000000001"/>
        <n v="29.55"/>
        <n v="31.05"/>
        <n v="30.679300000000001"/>
        <n v="31.961400000000001"/>
        <n v="31.837499999999999"/>
        <n v="31.398599999999998"/>
        <n v="33.070300000000003"/>
        <n v="29.129200000000001"/>
        <n v="32.419699999999999"/>
        <n v="29.5"/>
        <n v="33.816800000000001"/>
        <n v="30.917400000000001"/>
        <n v="30.045300000000001"/>
        <n v="28.247199999999999"/>
        <n v="30.619599999999998"/>
        <n v="30.811800000000002"/>
        <n v="29.746700000000001"/>
        <n v="29.05"/>
        <n v="30.238"/>
        <n v="29.999700000000001"/>
        <n v="30.789000000000001"/>
        <n v="30.533000000000001"/>
        <n v="30.174700000000001"/>
        <n v="31.372199999999999"/>
        <n v="28.185700000000001"/>
        <n v="31.1129"/>
        <n v="28.475000000000001"/>
        <n v="31.327100000000002"/>
        <n v="29.788900000000002"/>
        <n v="29.1069"/>
        <n v="26.4"/>
        <n v="27.6128"/>
        <n v="26.925000000000001"/>
        <n v="25.762"/>
        <n v="27.781700000000001"/>
        <n v="27.205300000000001"/>
        <n v="27.644500000000001"/>
        <n v="27.771000000000001"/>
        <n v="26.985399999999998"/>
        <n v="29.100999999999999"/>
        <n v="29.01"/>
        <n v="29.337700000000002"/>
        <n v="27.324999999999999"/>
        <n v="29.3553"/>
        <n v="27.824999999999999"/>
        <n v="28.886399999999998"/>
        <n v="28.859400000000001"/>
        <n v="30.503399999999999"/>
        <n v="28.024999999999999"/>
        <n v="30.947700000000001"/>
        <n v="29.3491"/>
        <n v="28.6433"/>
        <n v="29.9175"/>
        <n v="29.614100000000001"/>
        <n v="30.901199999999999"/>
        <n v="30.004200000000001"/>
        <n v="29.786100000000001"/>
        <n v="31.208500000000001"/>
        <n v="30.6328"/>
        <n v="31.648700000000002"/>
        <n v="29.5078"/>
        <n v="28.7865"/>
        <n v="27.05"/>
        <n v="29.221"/>
        <n v="27.35"/>
        <n v="29.2407"/>
        <n v="28.733799999999999"/>
        <n v="28.046399999999998"/>
        <n v="28.9084"/>
        <n v="28.843499999999999"/>
        <n v="29.281500000000001"/>
        <n v="29.5974"/>
        <n v="29.401399999999999"/>
        <n v="30.394200000000001"/>
        <n v="27.45"/>
        <n v="30.0578"/>
        <n v="27.75"/>
        <n v="30.8249"/>
        <n v="29.199300000000001"/>
        <n v="28.558900000000001"/>
        <n v="27.678599999999999"/>
        <n v="29.792400000000001"/>
        <n v="27.8"/>
        <n v="30.3018"/>
        <n v="29.255299999999998"/>
        <n v="28.7135"/>
        <n v="29.412800000000001"/>
        <n v="29.343800000000002"/>
        <n v="29.954599999999999"/>
        <n v="28.050699999999999"/>
        <n v="28.2453"/>
        <n v="27.705100000000002"/>
        <n v="27"/>
        <n v="28.1008"/>
        <n v="27.25"/>
        <n v="27.2576"/>
        <n v="28.395299999999999"/>
        <n v="28.579799999999999"/>
        <n v="27.9879"/>
        <n v="28.758800000000001"/>
        <n v="28.193200000000001"/>
        <n v="28.4132"/>
        <n v="28.638500000000001"/>
        <n v="28.217099999999999"/>
        <n v="27.180199999999999"/>
        <n v="27.6006"/>
        <n v="25.985499999999998"/>
        <n v="26.524999999999999"/>
        <n v="26.982900000000001"/>
        <n v="24.6907"/>
        <n v="27.886900000000001"/>
        <n v="27.359500000000001"/>
        <n v="25.85"/>
        <n v="25.743200000000002"/>
        <n v="22.991900000000001"/>
        <n v="27.212499999999999"/>
        <n v="26.7"/>
        <n v="20.3"/>
        <n v="26.169899999999998"/>
        <n v="26.8263"/>
        <n v="24.497900000000001"/>
        <n v="21.148900000000001"/>
        <n v="26.599599999999999"/>
        <n v="27.151399999999999"/>
        <n v="24.982900000000001"/>
        <n v="26.1"/>
        <n v="26.198599999999999"/>
        <n v="23.541599999999999"/>
        <n v="27.55"/>
        <n v="26.95"/>
        <n v="26.55"/>
        <n v="24.7867"/>
        <n v="28.086200000000002"/>
        <n v="22.951799999999999"/>
        <n v="27.799199999999999"/>
        <n v="25.9709"/>
        <n v="23.421099999999999"/>
        <n v="27.337399999999999"/>
        <n v="27.700800000000001"/>
        <n v="26.151599999999998"/>
        <n v="26.375"/>
        <n v="27.1"/>
        <n v="25.098299999999998"/>
        <n v="27.971699999999998"/>
        <n v="26.125"/>
        <n v="26.6828"/>
        <n v="24.428899999999999"/>
        <n v="27.5656"/>
        <n v="26.975000000000001"/>
        <n v="22.6858"/>
        <n v="26.9"/>
        <n v="25.7499"/>
        <n v="25.0641"/>
        <n v="27.6"/>
        <n v="27.8535"/>
        <n v="26.847799999999999"/>
        <n v="27.496200000000002"/>
        <n v="26.204699999999999"/>
        <n v="28.05"/>
        <n v="27.4"/>
        <n v="26.2"/>
        <n v="27.282900000000001"/>
        <n v="25.921900000000001"/>
        <n v="27.15"/>
        <n v="24.7042"/>
        <n v="27.398399999999999"/>
        <n v="26.617799999999999"/>
        <n v="22.8475"/>
        <n v="26.735600000000002"/>
        <n v="25.652100000000001"/>
        <n v="25.824999999999999"/>
        <n v="26.4968"/>
        <n v="24.748899999999999"/>
        <n v="27.38"/>
        <n v="25.75"/>
        <n v="26.432700000000001"/>
        <n v="24.712800000000001"/>
        <n v="27.2"/>
        <n v="26.574999999999999"/>
        <n v="22.976900000000001"/>
        <n v="26.650500000000001"/>
        <n v="26.9788"/>
        <n v="25.65"/>
        <n v="23.702200000000001"/>
        <n v="26.85"/>
        <n v="27.128499999999999"/>
        <n v="26.035"/>
        <n v="25.9"/>
        <n v="26.704799999999999"/>
        <n v="25.336300000000001"/>
        <n v="25.7"/>
        <n v="26.405899999999999"/>
        <n v="24.841200000000001"/>
        <n v="27.177800000000001"/>
        <n v="23.2559"/>
        <n v="26.561699999999998"/>
        <n v="26.928999999999998"/>
        <n v="25.6493"/>
        <n v="20.9619"/>
        <n v="25.697700000000001"/>
        <n v="26.1432"/>
        <n v="24.367599999999999"/>
        <n v="25.225000000000001"/>
        <n v="25.3995"/>
        <n v="23.147500000000001"/>
        <n v="26.418199999999999"/>
        <n v="25.45"/>
        <n v="24.214099999999998"/>
        <n v="26.8"/>
        <n v="26.15"/>
        <n v="22.3324"/>
        <n v="26.091799999999999"/>
        <n v="26.5"/>
        <n v="25.040500000000002"/>
        <n v="23.469000000000001"/>
        <n v="26.254899999999999"/>
        <n v="26.601400000000002"/>
        <n v="25.4773"/>
        <n v="25.625"/>
        <n v="26.105499999999999"/>
        <n v="24.9877"/>
        <n v="26.861499999999999"/>
        <n v="26.3"/>
        <n v="25.425000000000001"/>
        <n v="25.6294"/>
        <n v="24.073499999999999"/>
        <n v="25.95"/>
        <n v="22.07"/>
        <n v="25.831099999999999"/>
        <n v="26.228300000000001"/>
        <n v="24.8721"/>
        <n v="21.7532"/>
        <n v="25.599499999999999"/>
        <n v="26.017299999999999"/>
        <n v="24.601800000000001"/>
        <n v="25.25"/>
        <n v="23.714500000000001"/>
        <n v="26.370799999999999"/>
        <n v="25.5"/>
        <n v="25.863700000000001"/>
        <n v="24.611499999999999"/>
        <n v="26.5672"/>
        <n v="26.05"/>
        <n v="22.994599999999998"/>
        <n v="25.988800000000001"/>
        <n v="26.351299999999998"/>
        <n v="25.261299999999999"/>
        <n v="23.455200000000001"/>
        <n v="26.092099999999999"/>
        <n v="25.4985"/>
        <n v="25.574999999999999"/>
        <n v="26.0502"/>
        <n v="24.856400000000001"/>
        <n v="26.6172"/>
        <n v="26.449300000000001"/>
        <n v="25.451799999999999"/>
        <n v="26.895"/>
        <n v="26.324999999999999"/>
        <n v="24.2654"/>
        <n v="26.4404"/>
        <n v="26.688500000000001"/>
        <n v="25.991900000000001"/>
        <n v="24.892499999999998"/>
        <n v="26.553599999999999"/>
        <n v="26.75"/>
        <n v="26.153300000000002"/>
        <n v="25.774999999999999"/>
        <n v="26.624500000000001"/>
        <n v="25.7515"/>
        <n v="25.725000000000001"/>
        <n v="26.636399999999998"/>
        <n v="25.718599999999999"/>
        <n v="26.883299999999998"/>
        <n v="26.274999999999999"/>
        <n v="24.998899999999999"/>
        <n v="26.503"/>
        <n v="26.7425"/>
        <n v="26.166699999999999"/>
        <n v="25.481999999999999"/>
        <n v="26.890499999999999"/>
        <n v="27.092500000000001"/>
        <n v="26.6432"/>
        <n v="27.036999999999999"/>
        <n v="26.173100000000002"/>
        <n v="27.226900000000001"/>
        <n v="26.927900000000001"/>
        <n v="26.218499999999999"/>
        <n v="27.1739"/>
        <n v="25.640599999999999"/>
        <n v="26.815100000000001"/>
        <n v="27.022400000000001"/>
        <n v="26.528500000000001"/>
        <n v="27.1143"/>
        <n v="27.572199999999999"/>
        <n v="27.65"/>
        <n v="27.660499999999999"/>
        <n v="27.849799999999998"/>
        <n v="27.459299999999999"/>
        <n v="27.76"/>
        <n v="27.9725"/>
        <n v="27.375"/>
        <n v="27.5411"/>
        <n v="27.932200000000002"/>
        <n v="28.004999999999999"/>
        <n v="28.111000000000001"/>
        <n v="30.726099999999999"/>
        <n v="28.991700000000002"/>
        <n v="28.798500000000001"/>
        <n v="29.788799999999998"/>
        <n v="29.5916"/>
        <n v="30.229199999999999"/>
        <n v="32.28"/>
        <n v="28.77"/>
        <n v="27.916699999999999"/>
        <n v="30.055499999999999"/>
        <n v="30.998100000000001"/>
        <n v="31.803599999999999"/>
        <n v="31.723500000000001"/>
        <n v="29.548100000000002"/>
        <n v="29.416699999999999"/>
        <n v="30.2362"/>
        <n v="30.78"/>
        <n v="28.9727"/>
        <n v="28.763200000000001"/>
        <n v="29.805700000000002"/>
        <n v="29.594000000000001"/>
        <n v="30.219100000000001"/>
        <n v="31.002400000000002"/>
        <n v="27.574999999999999"/>
        <n v="29.264500000000002"/>
        <n v="29.75"/>
        <n v="30.415500000000002"/>
        <n v="28.524999999999999"/>
        <n v="30.126300000000001"/>
        <n v="28.762"/>
        <n v="28.6419"/>
        <n v="29.333100000000002"/>
        <n v="31.492699999999999"/>
        <n v="28.888500000000001"/>
        <n v="28.615100000000002"/>
        <n v="29.9072"/>
        <n v="29.568100000000001"/>
        <n v="30.595500000000001"/>
        <n v="32.119300000000003"/>
        <n v="29.986599999999999"/>
        <n v="31.355499999999999"/>
        <n v="33.918599999999998"/>
        <n v="32.606499999999997"/>
        <n v="29.1494"/>
        <n v="28.758900000000001"/>
        <n v="30.3992"/>
        <n v="32.86"/>
        <n v="29.175999999999998"/>
        <n v="28.716699999999999"/>
        <n v="30.466999999999999"/>
        <n v="30.003699999999998"/>
        <n v="31.4682"/>
        <n v="34.810499999999998"/>
        <n v="27.5"/>
        <n v="28.493500000000001"/>
        <n v="29.311"/>
        <n v="31.5274"/>
        <n v="26.824999999999999"/>
        <n v="30.301200000000001"/>
        <n v="27.8992"/>
        <n v="27.731300000000001"/>
        <n v="28.635999999999999"/>
        <n v="29.4694"/>
        <n v="27.546900000000001"/>
        <n v="27.43"/>
        <n v="28.149899999999999"/>
        <n v="28.0411"/>
        <n v="28.738600000000002"/>
        <n v="29.9057"/>
        <n v="26.675000000000001"/>
        <n v="27.739699999999999"/>
        <n v="28.324200000000001"/>
        <n v="29.6145"/>
        <n v="29.0901"/>
        <n v="27.241900000000001"/>
        <n v="27.175000000000001"/>
        <n v="27.741399999999999"/>
        <n v="30.676200000000001"/>
        <n v="27.876000000000001"/>
        <n v="28.774699999999999"/>
        <n v="28.5411"/>
        <n v="29.588200000000001"/>
        <n v="32.124099999999999"/>
        <n v="27.275300000000001"/>
        <n v="27.6021"/>
        <n v="28.616900000000001"/>
        <n v="26.875"/>
        <n v="26.475000000000001"/>
        <n v="28.150099999999998"/>
        <n v="26.848800000000001"/>
        <n v="26.843800000000002"/>
        <n v="27.2058"/>
        <n v="26.9481"/>
        <n v="26.1981"/>
        <n v="26.250399999999999"/>
        <n v="26.4101"/>
        <n v="27.257200000000001"/>
        <n v="26.506599999999999"/>
        <n v="26.5871"/>
        <n v="26.757300000000001"/>
        <n v="27.721800000000002"/>
        <n v="26.8553"/>
        <n v="27.126899999999999"/>
        <n v="28.5487"/>
        <n v="26.625"/>
        <n v="26.35"/>
        <n v="27.383099999999999"/>
        <n v="27.8291"/>
        <n v="29.6693"/>
        <n v="27.031099999999999"/>
        <n v="27.0288"/>
        <n v="27.348700000000001"/>
        <n v="28.513200000000001"/>
        <n v="26.45"/>
        <n v="26.398700000000002"/>
        <n v="27.085100000000001"/>
        <n v="26.5976"/>
        <n v="26.647500000000001"/>
        <n v="27.960100000000001"/>
        <n v="26.704999999999998"/>
        <n v="26.851700000000001"/>
        <n v="28.148199999999999"/>
        <n v="26.444400000000002"/>
        <n v="26.5733"/>
        <n v="26.524100000000001"/>
        <n v="27.276700000000002"/>
        <n v="26.37"/>
        <n v="25.720600000000001"/>
        <n v="25.383299999999998"/>
        <n v="25.925000000000001"/>
        <n v="25.6538"/>
        <n v="25.614999999999998"/>
        <n v="25.917400000000001"/>
        <n v="25.685199999999998"/>
        <n v="25.548400000000001"/>
        <n v="26"/>
        <n v="26.651399999999999"/>
        <n v="26.6707"/>
        <n v="27.747599999999998"/>
        <n v="26.725000000000001"/>
        <n v="26.454499999999999"/>
        <n v="28.337399999999999"/>
        <n v="26.65"/>
        <n v="26.483000000000001"/>
        <n v="27.020700000000001"/>
        <n v="26.573699999999999"/>
        <n v="27.814"/>
        <n v="26.5581"/>
        <n v="27.026599999999998"/>
        <n v="26.730699999999999"/>
        <n v="26.7377"/>
        <n v="27.69"/>
        <n v="27.074999999999999"/>
        <n v="25.945900000000002"/>
        <n v="25.357399999999998"/>
        <n v="24.579899999999999"/>
        <n v="25.898099999999999"/>
        <n v="24.218599999999999"/>
        <n v="25.5563"/>
        <n v="25.063600000000001"/>
        <n v="25.1023"/>
        <n v="21.156099999999999"/>
        <n v="25.524999999999999"/>
        <n v="24.599499999999999"/>
        <n v="23.695"/>
        <n v="25.146100000000001"/>
        <n v="24.247800000000002"/>
        <n v="22.668700000000001"/>
        <n v="25.558299999999999"/>
        <n v="24.704000000000001"/>
        <n v="23.409800000000001"/>
        <n v="25.563099999999999"/>
        <n v="22.311599999999999"/>
        <n v="25.05"/>
        <n v="24.257300000000001"/>
        <n v="25.970800000000001"/>
        <n v="23.652100000000001"/>
        <n v="26.25"/>
        <n v="25.6296"/>
        <n v="25.1601"/>
        <n v="25.492899999999999"/>
        <n v="24.536300000000001"/>
        <n v="26.045500000000001"/>
        <n v="25.950500000000002"/>
        <n v="25.148399999999999"/>
        <n v="26.400400000000001"/>
        <n v="26.297499999999999"/>
        <n v="24.261299999999999"/>
        <n v="26.000399999999999"/>
        <n v="25.703700000000001"/>
        <n v="26.2758"/>
        <n v="25.730599999999999"/>
        <n v="26.1038"/>
        <n v="26.156099999999999"/>
        <n v="26.0671"/>
        <n v="26.397300000000001"/>
        <n v="24.715800000000002"/>
        <n v="23.631799999999998"/>
        <n v="25.256399999999999"/>
        <n v="25.214200000000002"/>
        <n v="22.0259"/>
        <n v="25.6"/>
        <n v="24.8123"/>
        <n v="24.416"/>
        <n v="25.0962"/>
        <n v="22.745799999999999"/>
        <n v="24.698899999999998"/>
        <n v="24.453499999999998"/>
        <n v="24.590399999999999"/>
        <n v="23.906099999999999"/>
        <n v="25.104900000000001"/>
        <n v="25.575900000000001"/>
        <n v="25.544799999999999"/>
        <n v="25.8277"/>
        <n v="24.8523"/>
        <n v="25.6447"/>
        <n v="26.284500000000001"/>
        <n v="26.8734"/>
        <n v="26.124300000000002"/>
        <n v="26.680700000000002"/>
        <n v="26.3675"/>
        <n v="27.049299999999999"/>
        <n v="26.398"/>
        <n v="28.8263"/>
        <n v="27.225000000000001"/>
        <n v="27.034700000000001"/>
        <n v="27.757899999999999"/>
        <n v="27.317799999999998"/>
        <n v="28.486000000000001"/>
        <n v="27.121400000000001"/>
        <n v="27.0837"/>
        <n v="28.1099"/>
        <n v="27.039100000000001"/>
        <n v="28.632999999999999"/>
        <n v="27.125"/>
        <n v="26.836099999999998"/>
        <n v="27.453199999999999"/>
        <n v="28.1645"/>
        <n v="27.024999999999999"/>
        <n v="26.751799999999999"/>
        <n v="27.210699999999999"/>
        <n v="26.904199999999999"/>
        <n v="26.922599999999999"/>
        <n v="26.652699999999999"/>
        <n v="27.4498"/>
        <n v="26.752600000000001"/>
        <n v="26.691700000000001"/>
        <n v="28.068300000000001"/>
        <n v="26.485399999999998"/>
        <n v="26.9069"/>
        <n v="26.960899999999999"/>
        <n v="27.308599999999998"/>
        <n v="26.684899999999999"/>
        <n v="26.652000000000001"/>
        <n v="26.6309"/>
        <n v="26.8399"/>
        <n v="27.0336"/>
        <n v="25.557300000000001"/>
        <n v="25.106100000000001"/>
        <n v="26.290400000000002"/>
        <n v="26.316700000000001"/>
        <n v="24.965800000000002"/>
        <n v="25.7559"/>
        <n v="25.358699999999999"/>
        <n v="26.188500000000001"/>
        <n v="24.0687"/>
        <n v="26.425000000000001"/>
        <n v="25.6934"/>
        <n v="25.1404"/>
        <n v="22.79"/>
        <n v="25.447199999999999"/>
        <n v="24.565999999999999"/>
        <n v="26.186399999999999"/>
        <n v="25.307300000000001"/>
        <n v="24.2136"/>
        <n v="26.095500000000001"/>
        <n v="26.024999999999999"/>
        <n v="23.392199999999999"/>
        <n v="25.548300000000001"/>
        <n v="24.970800000000001"/>
        <n v="22.619700000000002"/>
        <n v="25.675000000000001"/>
        <n v="21.746200000000002"/>
        <n v="25.875"/>
        <n v="25.048500000000001"/>
        <n v="24.162700000000001"/>
        <n v="19.667000000000002"/>
        <n v="24.7516"/>
        <n v="23.012"/>
        <n v="25.645499999999998"/>
        <n v="25.0702"/>
        <n v="23.4145"/>
        <n v="25.904499999999999"/>
        <n v="22.0944"/>
        <n v="25.311699999999998"/>
        <n v="24.549800000000001"/>
        <n v="20.416699999999999"/>
        <n v="25.490400000000001"/>
        <n v="20.971299999999999"/>
        <n v="24.831299999999999"/>
        <n v="23.849499999999999"/>
        <n v="18.581399999999999"/>
        <n v="22.5427"/>
        <n v="25.465599999999998"/>
        <n v="24.470800000000001"/>
        <n v="22.55"/>
        <n v="25.436499999999999"/>
        <n v="20.993300000000001"/>
        <n v="24.811299999999999"/>
        <n v="23.857500000000002"/>
        <n v="18.954000000000001"/>
        <n v="25.8"/>
        <n v="21.704899999999999"/>
        <n v="25.147300000000001"/>
        <n v="24.25"/>
        <n v="19.903400000000001"/>
        <n v="24.8003"/>
        <n v="23.095099999999999"/>
        <n v="25.776700000000002"/>
        <n v="25.146000000000001"/>
        <n v="23.394600000000001"/>
        <n v="26.074999999999999"/>
        <n v="22.020399999999999"/>
        <n v="25.4422"/>
        <n v="24.511700000000001"/>
        <n v="20.398"/>
        <n v="22.8491"/>
        <n v="25.1"/>
        <n v="20.849599999999999"/>
        <n v="25.6496"/>
        <n v="24.05"/>
        <n v="25.6221"/>
        <n v="23.9498"/>
        <n v="22.617100000000001"/>
        <n v="25.950399999999998"/>
        <n v="25.0611"/>
        <n v="20.7745"/>
        <n v="21.3187"/>
        <n v="25.317900000000002"/>
        <n v="24.3035"/>
        <n v="18.869199999999999"/>
        <n v="24.995200000000001"/>
        <n v="23.017600000000002"/>
        <n v="25.9253"/>
        <n v="24.942599999999999"/>
        <n v="23.0959"/>
        <n v="25.843499999999999"/>
        <n v="21.409500000000001"/>
        <n v="25.975000000000001"/>
        <n v="25.267499999999998"/>
        <n v="24.349399999999999"/>
        <n v="18.857800000000001"/>
        <n v="21.970500000000001"/>
        <n v="25.5688"/>
        <n v="24.691299999999998"/>
        <n v="19.674499999999998"/>
        <n v="25.2468"/>
        <n v="23.468499999999999"/>
        <n v="25.3249"/>
        <n v="23.532900000000001"/>
        <n v="22.047000000000001"/>
        <n v="24.7318"/>
        <n v="19.943899999999999"/>
        <n v="22.103999999999999"/>
        <n v="25.449400000000001"/>
        <n v="24.660699999999999"/>
        <n v="20.007200000000001"/>
        <n v="25.200199999999999"/>
        <n v="23.548999999999999"/>
        <n v="25.4602"/>
        <n v="23.906199999999998"/>
        <n v="26.064299999999999"/>
        <n v="22.630299999999998"/>
        <n v="25.662500000000001"/>
        <n v="24.999300000000002"/>
        <n v="20.5305"/>
        <n v="23.030200000000001"/>
        <n v="25.8489"/>
        <n v="25.2561"/>
        <n v="21.005299999999998"/>
        <n v="25.697099999999999"/>
        <n v="24.3004"/>
        <n v="25.9512"/>
        <n v="24.599"/>
        <n v="26.435700000000001"/>
        <n v="26.175000000000001"/>
        <n v="23.3994"/>
        <n v="26.0839"/>
        <n v="25.550799999999999"/>
        <n v="21.651800000000001"/>
        <n v="23.548300000000001"/>
        <n v="20.83"/>
        <n v="26.0794"/>
        <n v="25.613399999999999"/>
        <n v="21.800699999999999"/>
        <n v="25.912700000000001"/>
        <n v="24.712599999999998"/>
        <n v="26.416699999999999"/>
        <n v="26.347999999999999"/>
        <n v="25.4724"/>
        <n v="24.4666"/>
        <n v="21.072600000000001"/>
        <n v="26.418800000000001"/>
        <n v="26.149100000000001"/>
        <n v="23.163599999999999"/>
        <n v="25.2532"/>
        <n v="22.808900000000001"/>
        <n v="26.652200000000001"/>
        <n v="26.554600000000001"/>
        <n v="24.310700000000001"/>
        <n v="26.663900000000002"/>
        <n v="25.9998"/>
        <n v="26.628799999999998"/>
        <n v="25.692399999999999"/>
        <n v="24.7317"/>
        <n v="21.069099999999999"/>
        <n v="26.689499999999999"/>
        <n v="26.4161"/>
        <n v="23.573899999999998"/>
        <n v="24.146000000000001"/>
        <n v="20.421700000000001"/>
        <n v="25.873899999999999"/>
        <n v="22.8188"/>
        <n v="26.0746"/>
        <n v="25.145299999999999"/>
        <n v="25.503499999999999"/>
        <n v="24.419899999999998"/>
        <n v="23.3657"/>
        <n v="19.075800000000001"/>
        <n v="25.5701"/>
        <n v="25.250299999999999"/>
        <n v="21.9711"/>
        <n v="24.6311"/>
        <n v="21.285699999999999"/>
        <n v="26.1996"/>
        <n v="23.482800000000001"/>
        <n v="25.5411"/>
        <n v="26.207799999999999"/>
        <n v="25.257300000000001"/>
        <n v="24.3443"/>
        <n v="20.584099999999999"/>
        <n v="25.962199999999999"/>
        <n v="23.163399999999999"/>
        <n v="23.507999999999999"/>
        <n v="19.797499999999999"/>
        <n v="25.568899999999999"/>
        <n v="25.217600000000001"/>
        <n v="22.266200000000001"/>
        <n v="24.450199999999999"/>
        <n v="25.878399999999999"/>
        <n v="25.104199999999999"/>
        <n v="24.352599999999999"/>
        <n v="21.5672"/>
        <n v="25.961099999999998"/>
        <n v="25.6935"/>
        <n v="23.5593"/>
        <n v="24.0745"/>
        <n v="20.826699999999999"/>
        <n v="25.5017"/>
        <n v="23.019200000000001"/>
        <n v="25.665500000000002"/>
        <n v="24.890999999999998"/>
        <n v="25.863800000000001"/>
        <n v="25.553599999999999"/>
        <n v="24.9983"/>
        <n v="22.543700000000001"/>
        <n v="25.838899999999999"/>
        <n v="25.853400000000001"/>
        <n v="24.200199999999999"/>
        <n v="26.8002"/>
        <n v="25.8521"/>
        <n v="26.803599999999999"/>
        <n v="27.029900000000001"/>
        <n v="26.650600000000001"/>
        <n v="26.915199999999999"/>
        <n v="27.008800000000001"/>
        <n v="27.693999999999999"/>
        <n v="28.116900000000001"/>
        <n v="28.256399999999999"/>
        <n v="28.7301"/>
        <n v="27.593499999999999"/>
        <n v="27.938600000000001"/>
        <n v="28.6173"/>
        <n v="26.774999999999999"/>
        <n v="26.967300000000002"/>
        <n v="25.9392"/>
        <n v="26.861999999999998"/>
        <n v="27.041799999999999"/>
        <n v="26.905000000000001"/>
        <n v="26.895700000000001"/>
        <n v="27.0685"/>
        <n v="27.465399999999999"/>
        <n v="27.7563"/>
        <n v="27.730799999999999"/>
        <n v="27.830400000000001"/>
        <n v="27.415400000000002"/>
        <n v="27.627099999999999"/>
        <n v="27.963999999999999"/>
        <n v="26.671299999999999"/>
        <n v="25.686499999999999"/>
        <n v="26.901900000000001"/>
        <n v="27.0152"/>
        <n v="26.477699999999999"/>
        <n v="26.941199999999998"/>
        <n v="26.906300000000002"/>
        <n v="25.8276"/>
        <n v="25.219000000000001"/>
        <n v="24.5746"/>
        <n v="22.2041"/>
        <n v="25.768799999999999"/>
        <n v="25.6859"/>
        <n v="23.747399999999999"/>
        <n v="27.107099999999999"/>
        <n v="26.5412"/>
        <n v="26.807099999999998"/>
        <n v="27.078399999999998"/>
        <n v="27.009599999999999"/>
        <n v="27.112500000000001"/>
        <n v="27.127099999999999"/>
        <n v="25.367000000000001"/>
        <n v="24.424700000000001"/>
        <n v="23.5747"/>
        <n v="20.347999999999999"/>
        <n v="25.605899999999998"/>
        <n v="25.0928"/>
        <n v="22.453800000000001"/>
        <n v="23.7759"/>
        <n v="20.562999999999999"/>
        <n v="25.668900000000001"/>
        <n v="25.2"/>
        <n v="22.665600000000001"/>
        <n v="25.484100000000002"/>
        <n v="24.571200000000001"/>
        <n v="24.85"/>
        <n v="24.049900000000001"/>
        <n v="21.152899999999999"/>
        <n v="25.468399999999999"/>
        <n v="23.099799999999998"/>
        <n v="23.709099999999999"/>
        <n v="20.799399999999999"/>
        <n v="25.7057"/>
        <n v="22.749700000000001"/>
        <n v="25.4984"/>
        <n v="24.5716"/>
        <n v="24.6"/>
        <n v="23.8"/>
        <n v="20.499500000000001"/>
        <n v="25.250499999999999"/>
        <n v="22.645499999999998"/>
        <n v="23.602"/>
        <n v="20.2745"/>
        <n v="25.8552"/>
        <n v="25.200700000000001"/>
        <n v="22.427"/>
        <n v="16.34"/>
        <n v="25.584199999999999"/>
        <n v="24.5"/>
        <n v="16.799099999999999"/>
        <n v="25.248200000000001"/>
        <n v="24.049800000000001"/>
        <n v="23.2013"/>
        <n v="20.0017"/>
        <n v="25.4"/>
        <n v="22.044599999999999"/>
        <n v="23.132000000000001"/>
        <n v="19.890999999999998"/>
        <n v="24.7028"/>
        <n v="21.953399999999998"/>
        <n v="17.001100000000001"/>
        <n v="24.0502"/>
        <n v="25.125"/>
        <n v="17.418199999999999"/>
        <n v="24.813199999999998"/>
        <n v="23.951499999999999"/>
        <n v="24.925000000000001"/>
        <n v="23.1752"/>
        <n v="20.108000000000001"/>
        <n v="24.875"/>
        <n v="22.046900000000001"/>
        <n v="23.386500000000002"/>
        <n v="20.7957"/>
        <n v="25"/>
        <n v="24.7"/>
        <n v="22.518899999999999"/>
        <n v="18.758800000000001"/>
        <n v="24.95"/>
        <n v="24.189699999999998"/>
        <n v="25.15"/>
        <n v="19.526800000000001"/>
        <n v="25.17"/>
        <n v="21.0045"/>
        <n v="24.399000000000001"/>
        <n v="25.3"/>
        <n v="23.621700000000001"/>
        <n v="24.940200000000001"/>
        <n v="22.712499999999999"/>
        <n v="23.6"/>
        <n v="25.274999999999999"/>
        <n v="24.964700000000001"/>
        <n v="22.558"/>
        <n v="18.900099999999998"/>
        <n v="20.827000000000002"/>
        <n v="24.417200000000001"/>
        <n v="25.35"/>
        <n v="18.494499999999999"/>
        <n v="24.962499999999999"/>
        <n v="20.500299999999999"/>
        <n v="24.153099999999998"/>
        <n v="23.25"/>
        <n v="22.209900000000001"/>
        <n v="23.222000000000001"/>
        <n v="24.9"/>
        <n v="24.623799999999999"/>
        <n v="22.332100000000001"/>
        <n v="18.440100000000001"/>
        <n v="24.783300000000001"/>
        <n v="20.505700000000001"/>
        <n v="24.1006"/>
        <n v="17.4041"/>
        <n v="24.55"/>
        <n v="20.084"/>
        <n v="23.7501"/>
        <n v="24.774999999999999"/>
        <n v="22.9"/>
        <n v="24.308"/>
        <n v="21.85"/>
        <n v="22.555700000000002"/>
        <n v="24.048300000000001"/>
        <n v="21.503499999999999"/>
        <n v="17.107800000000001"/>
        <n v="24.3"/>
        <n v="19.749500000000001"/>
        <n v="23.520299999999999"/>
        <n v="24.75"/>
        <n v="17.8505"/>
        <n v="24.6313"/>
        <n v="20.350899999999999"/>
        <n v="23.905000000000001"/>
        <n v="23.042899999999999"/>
        <n v="24.4"/>
        <n v="22.0047"/>
        <n v="23.3491"/>
        <n v="24.65"/>
        <n v="22.4497"/>
        <n v="18.399899999999999"/>
        <n v="24.8553"/>
        <n v="20.800599999999999"/>
        <n v="24.249400000000001"/>
        <n v="18.779299999999999"/>
        <n v="24.944700000000001"/>
        <n v="21.0533"/>
        <n v="24.339700000000001"/>
        <n v="23.4754"/>
        <n v="24.741900000000001"/>
        <n v="22.563400000000001"/>
        <n v="23.2"/>
        <n v="22.330400000000001"/>
        <n v="18.650300000000001"/>
        <n v="24.739100000000001"/>
        <n v="20.849299999999999"/>
        <n v="19.349599999999999"/>
        <n v="25.012499999999999"/>
        <n v="21.296199999999999"/>
        <n v="24.442599999999999"/>
        <n v="25.324999999999999"/>
        <n v="23.6082"/>
        <n v="24.848299999999998"/>
        <n v="22.8"/>
        <n v="23.2502"/>
        <n v="24.5259"/>
        <n v="22.395900000000001"/>
        <n v="18.924600000000002"/>
        <n v="24.725000000000001"/>
        <n v="20.803699999999999"/>
        <n v="24.101400000000002"/>
        <n v="18.5505"/>
        <n v="20.4983"/>
        <n v="23.9026"/>
        <n v="25.024999999999999"/>
        <n v="23.05"/>
        <n v="22.2"/>
        <n v="23.4862"/>
        <n v="24.8"/>
        <n v="22.725200000000001"/>
        <n v="19.101600000000001"/>
        <n v="21.100100000000001"/>
        <n v="24.368200000000002"/>
        <n v="18.697700000000001"/>
        <n v="24.81"/>
        <n v="20.650400000000001"/>
        <n v="24.1173"/>
        <n v="24.590900000000001"/>
        <n v="22.350200000000001"/>
        <n v="23.4526"/>
        <n v="24.767399999999999"/>
        <n v="15.35"/>
        <n v="22.7"/>
        <n v="19.3155"/>
        <n v="21.051100000000002"/>
        <n v="24.369900000000001"/>
        <n v="19.528700000000001"/>
        <n v="21.315000000000001"/>
        <n v="25.175000000000001"/>
        <n v="24.4986"/>
        <n v="23.683"/>
        <n v="24.9283"/>
        <n v="15.964700000000001"/>
        <n v="23.000399999999999"/>
        <n v="23.8856"/>
        <n v="16.617999999999999"/>
        <n v="23.061499999999999"/>
        <n v="19.696200000000001"/>
        <n v="21.305399999999999"/>
        <n v="24.616900000000001"/>
        <n v="20.098299999999998"/>
        <n v="21.595700000000001"/>
        <n v="24.45"/>
        <n v="23.702000000000002"/>
        <n v="17.172699999999999"/>
        <n v="23.0032"/>
        <n v="23.449400000000001"/>
        <n v="17.601400000000002"/>
        <n v="22.799600000000002"/>
        <n v="20.0046"/>
        <n v="24.625"/>
        <n v="21.3"/>
        <n v="24.199400000000001"/>
        <n v="21.106999999999999"/>
        <n v="22.126799999999999"/>
        <n v="24.7164"/>
        <n v="23.998899999999999"/>
        <n v="19.150600000000001"/>
        <n v="23.4057"/>
        <n v="24.186800000000002"/>
        <n v="25.116900000000001"/>
        <n v="19.716899999999999"/>
        <n v="21.450600000000001"/>
        <n v="22.3979"/>
        <n v="24.8461"/>
        <n v="21.8565"/>
        <n v="24.499099999999999"/>
        <n v="20.150500000000001"/>
        <n v="23.9"/>
        <n v="24.496300000000002"/>
        <n v="25.375"/>
        <n v="23.863600000000002"/>
        <n v="21.6097"/>
        <n v="22.598500000000001"/>
        <n v="25.092600000000001"/>
        <n v="22.085100000000001"/>
        <n v="22.809100000000001"/>
        <n v="25.000599999999999"/>
        <n v="24.495200000000001"/>
        <n v="20.101299999999998"/>
        <n v="23.8978"/>
        <n v="24.795500000000001"/>
        <n v="21.217099999999999"/>
        <n v="24.252199999999998"/>
        <n v="22.6587"/>
        <n v="25.55"/>
        <n v="23.2669"/>
        <n v="25.3005"/>
        <n v="23.027100000000001"/>
        <n v="23.534700000000001"/>
        <n v="25.415099999999999"/>
        <n v="24.908100000000001"/>
        <n v="25.6587"/>
        <n v="21.754100000000001"/>
        <n v="24.423999999999999"/>
        <n v="25.414300000000001"/>
        <n v="25.9816"/>
        <n v="22.681000000000001"/>
        <n v="25.029599999999999"/>
        <n v="23.699200000000001"/>
        <n v="24.153199999999998"/>
        <n v="25.8383"/>
        <n v="23.215800000000002"/>
        <n v="23.668800000000001"/>
        <n v="25.384899999999998"/>
        <n v="24.923400000000001"/>
        <n v="25.616700000000002"/>
        <n v="21.994"/>
        <n v="24.482299999999999"/>
        <n v="25.226500000000001"/>
        <n v="25.828299999999999"/>
        <n v="22.867799999999999"/>
        <n v="24.800699999999999"/>
        <n v="23.6859"/>
        <n v="23.9984"/>
        <n v="25.655100000000001"/>
        <n v="23.782299999999999"/>
        <n v="24.012799999999999"/>
        <n v="25.532900000000001"/>
        <n v="25.154499999999999"/>
        <n v="22.991199999999999"/>
        <n v="24.755500000000001"/>
        <n v="24.991099999999999"/>
        <n v="25.573799999999999"/>
        <n v="22.517299999999999"/>
        <n v="24.586200000000002"/>
        <n v="23.4435"/>
        <n v="23.805900000000001"/>
        <n v="25.439"/>
        <n v="21.677800000000001"/>
        <n v="22.443100000000001"/>
        <n v="24.642199999999999"/>
        <n v="24.807500000000001"/>
        <n v="20.1083"/>
        <n v="23.441800000000001"/>
        <n v="23.997599999999998"/>
        <n v="24.741700000000002"/>
        <n v="19.818200000000001"/>
        <n v="23.45"/>
        <n v="21.647099999999998"/>
        <n v="22.408799999999999"/>
        <n v="24.550599999999999"/>
        <n v="22.2012"/>
        <n v="22.7456"/>
        <n v="24.675000000000001"/>
        <n v="24.6601"/>
        <n v="24.142299999999999"/>
        <n v="24.8794"/>
        <n v="20.599599999999999"/>
        <n v="23.6541"/>
        <n v="24.698699999999999"/>
        <n v="25.2563"/>
        <n v="22.099399999999999"/>
        <n v="24.3399"/>
        <n v="23.134699999999999"/>
        <n v="23.538699999999999"/>
        <n v="25.092700000000001"/>
        <n v="24.115400000000001"/>
        <n v="24.3827"/>
        <n v="25.548999999999999"/>
        <n v="23.429400000000001"/>
        <n v="24.993200000000002"/>
        <n v="25.624199999999998"/>
        <n v="24.462900000000001"/>
        <n v="25.4788"/>
        <n v="24.697500000000002"/>
        <n v="24.8125"/>
        <n v="25.965900000000001"/>
        <n v="22.948899999999998"/>
        <n v="23.4405"/>
        <n v="25.209099999999999"/>
        <n v="21.9377"/>
        <n v="24.349499999999999"/>
        <n v="24.2941"/>
        <n v="24.914999999999999"/>
        <n v="20.555599999999998"/>
        <n v="23.85"/>
        <n v="22.002099999999999"/>
        <n v="22.795400000000001"/>
        <n v="22.2987"/>
        <n v="24.975000000000001"/>
        <n v="23.043299999999999"/>
        <n v="24.417899999999999"/>
        <n v="25.0031"/>
        <n v="20.837900000000001"/>
        <n v="24.000499999999999"/>
        <n v="24.709599999999998"/>
        <n v="21.560500000000001"/>
        <n v="24.299299999999999"/>
        <n v="22.6707"/>
        <n v="23.306100000000001"/>
        <n v="22.392399999999999"/>
        <n v="22.987300000000001"/>
        <n v="24.535900000000002"/>
        <n v="25.074999999999999"/>
        <n v="21.332100000000001"/>
        <n v="24.0686"/>
        <n v="24.721299999999999"/>
        <n v="25.296199999999999"/>
        <n v="22.154299999999999"/>
        <n v="24.259799999999998"/>
        <n v="22.847200000000001"/>
        <n v="23.200399999999998"/>
        <n v="25.22"/>
        <n v="22.4282"/>
        <n v="22.894600000000001"/>
        <n v="24.449100000000001"/>
        <n v="21.353000000000002"/>
        <n v="23.987100000000002"/>
        <n v="24.15"/>
        <n v="20.9315"/>
        <n v="23.737500000000001"/>
        <n v="22.194900000000001"/>
        <n v="22.6114"/>
        <n v="22.0426"/>
        <n v="22.448"/>
        <n v="24.613499999999998"/>
        <n v="24.1401"/>
        <n v="20.900500000000001"/>
        <n v="23.65"/>
        <n v="23.803999999999998"/>
        <n v="24.35"/>
        <n v="20.5624"/>
        <n v="23.354099999999999"/>
        <n v="21.730699999999999"/>
        <n v="22.150200000000002"/>
        <n v="24.36"/>
        <n v="21.55"/>
        <n v="24.225000000000001"/>
        <n v="22"/>
        <n v="24.125"/>
        <n v="23.625900000000001"/>
        <n v="24.2"/>
        <n v="20.443200000000001"/>
        <n v="23.62"/>
        <n v="20.446000000000002"/>
        <n v="21.5063"/>
        <n v="24.1"/>
        <n v="21.965900000000001"/>
        <n v="21.897500000000001"/>
        <n v="22.3"/>
        <n v="24.305900000000001"/>
        <n v="20.907399999999999"/>
        <n v="23.4177"/>
        <n v="23.815300000000001"/>
        <n v="20.949100000000001"/>
        <n v="23.437899999999999"/>
        <n v="21.9068"/>
        <n v="22.299900000000001"/>
        <n v="24.254200000000001"/>
        <n v="21.9481"/>
        <n v="22.2424"/>
        <n v="24.26"/>
        <n v="23.796500000000002"/>
        <n v="24.274999999999999"/>
        <n v="21.1309"/>
        <n v="23.322500000000002"/>
        <n v="24.344999999999999"/>
        <n v="24.824999999999999"/>
        <n v="21.950099999999999"/>
        <n v="22.605799999999999"/>
        <n v="22.859200000000001"/>
        <n v="20.122900000000001"/>
        <n v="22.1983"/>
        <n v="24.375"/>
        <n v="22.500499999999999"/>
        <n v="19.232800000000001"/>
        <n v="24.0456"/>
        <n v="21.289899999999999"/>
        <n v="22.155100000000001"/>
        <n v="23.889099999999999"/>
        <n v="22.747499999999999"/>
        <n v="22.931799999999999"/>
        <n v="24.955300000000001"/>
        <n v="20.5273"/>
        <n v="24.6708"/>
        <n v="23.177299999999999"/>
        <n v="24.311900000000001"/>
        <n v="23.4269"/>
        <n v="23.385999999999999"/>
        <n v="25.212499999999999"/>
        <n v="22.346"/>
        <n v="23.336300000000001"/>
        <n v="18.579999999999998"/>
        <n v="23.4313"/>
        <n v="25.165600000000001"/>
        <n v="21.7058"/>
        <n v="24.6891"/>
        <n v="22.927099999999999"/>
        <n v="24.343399999999999"/>
        <n v="23.95"/>
        <n v="21.684100000000001"/>
        <n v="23.5015"/>
        <n v="22.3124"/>
        <n v="17.578700000000001"/>
        <n v="22.623699999999999"/>
        <n v="20.169699999999999"/>
        <n v="21.712499999999999"/>
        <n v="16.504000000000001"/>
        <n v="22.200500000000002"/>
        <n v="19.623699999999999"/>
        <n v="23.7"/>
        <n v="24.175000000000001"/>
        <n v="21"/>
        <n v="23.533300000000001"/>
        <n v="20.8154"/>
        <n v="23.064900000000002"/>
        <n v="21.558700000000002"/>
        <n v="16.631"/>
        <n v="22.0669"/>
        <n v="23.975000000000001"/>
        <n v="19.486000000000001"/>
        <n v="21.549299999999999"/>
        <n v="17.002800000000001"/>
        <n v="22.051300000000001"/>
        <n v="19.3979"/>
        <n v="23.524999999999999"/>
        <n v="24.024999999999999"/>
        <n v="20.752500000000001"/>
        <n v="21.215599999999998"/>
        <n v="23.33"/>
        <n v="21.930399999999999"/>
        <n v="17.444299999999998"/>
        <n v="22.3583"/>
        <n v="19.7318"/>
        <n v="22.401299999999999"/>
        <n v="17.977599999999999"/>
        <n v="20.345600000000001"/>
        <n v="24.0212"/>
        <n v="21.669"/>
        <n v="24.1083"/>
        <n v="24.425000000000001"/>
        <n v="21.828600000000002"/>
        <n v="23.749700000000001"/>
        <n v="22.551300000000001"/>
        <n v="18.423100000000002"/>
        <n v="22.883299999999998"/>
        <n v="24.324999999999999"/>
        <n v="20.686699999999998"/>
        <n v="22.511900000000001"/>
        <n v="18.702400000000001"/>
        <n v="22.761099999999999"/>
        <n v="20.751000000000001"/>
        <n v="21.837399999999999"/>
        <n v="24.196200000000001"/>
        <n v="22.333300000000001"/>
        <n v="19.312899999999999"/>
        <n v="22.999500000000001"/>
        <n v="21.289200000000001"/>
        <n v="23.1982"/>
        <n v="19.849399999999999"/>
        <n v="23.296800000000001"/>
        <n v="21.7559"/>
        <n v="24.504200000000001"/>
        <n v="22.7944"/>
        <n v="24.152100000000001"/>
        <n v="22.828099999999999"/>
        <n v="23.179300000000001"/>
        <n v="19.852499999999999"/>
        <n v="23.241"/>
        <n v="21.8428"/>
        <n v="21.1496"/>
        <n v="23.699100000000001"/>
        <n v="22.7197"/>
        <n v="23.451499999999999"/>
        <n v="22.95"/>
        <n v="24.198399999999999"/>
        <n v="23.249600000000001"/>
        <n v="20.274000000000001"/>
        <n v="23.272200000000002"/>
        <n v="22.0749"/>
        <n v="19.709199999999999"/>
        <n v="22.900400000000001"/>
        <n v="24.475000000000001"/>
        <n v="21.548300000000001"/>
        <n v="24.206099999999999"/>
        <n v="22.441299999999998"/>
        <n v="23.839700000000001"/>
        <n v="24.357099999999999"/>
        <n v="22.6279"/>
        <n v="24"/>
        <n v="22.928899999999999"/>
        <n v="20.108899999999998"/>
        <n v="23.014399999999998"/>
        <n v="21.799900000000001"/>
        <n v="23.1721"/>
        <n v="20.714700000000001"/>
        <n v="23.241399999999999"/>
        <n v="24.5611"/>
        <n v="22.9026"/>
        <n v="24.251000000000001"/>
        <n v="24.331299999999999"/>
        <n v="22.514399999999998"/>
        <n v="23.9284"/>
        <n v="22.840299999999999"/>
        <n v="20.149699999999999"/>
        <n v="22.933700000000002"/>
        <n v="21.694700000000001"/>
        <n v="22.700299999999999"/>
        <n v="20.3675"/>
        <n v="22.8018"/>
        <n v="21.650600000000001"/>
        <n v="22.410900000000002"/>
        <n v="24.273299999999999"/>
        <n v="22.5382"/>
        <n v="22.8901"/>
        <n v="20.566500000000001"/>
        <n v="22.908799999999999"/>
        <n v="22.947199999999999"/>
        <n v="18.899999999999999"/>
        <n v="20.1082"/>
        <n v="23.0046"/>
        <n v="21.646799999999999"/>
        <n v="22.549399999999999"/>
        <n v="23.395700000000001"/>
        <n v="24.549499999999998"/>
        <n v="23.687899999999999"/>
        <n v="19.956099999999999"/>
        <n v="21.485199999999999"/>
        <n v="23.627199999999998"/>
        <n v="22.600100000000001"/>
        <n v="24.068899999999999"/>
        <n v="22.738"/>
        <n v="23.6675"/>
        <n v="23.925799999999999"/>
        <n v="23.965"/>
        <n v="23.999600000000001"/>
        <n v="24.7182"/>
        <n v="22.5793"/>
        <n v="24.074999999999999"/>
        <n v="23.017800000000001"/>
        <n v="18.622800000000002"/>
        <n v="20.633900000000001"/>
        <n v="23.122599999999998"/>
        <n v="21.746500000000001"/>
        <n v="22.6617"/>
        <n v="17.510000000000002"/>
        <n v="19.814900000000002"/>
        <n v="22.824100000000001"/>
        <n v="21.215699999999998"/>
        <n v="22.201899999999998"/>
        <n v="23.77"/>
        <n v="22.25"/>
        <n v="23.877800000000001"/>
        <n v="22.696100000000001"/>
        <n v="17.047000000000001"/>
        <n v="19.602900000000002"/>
        <n v="22.897400000000001"/>
        <n v="21.150700000000001"/>
        <n v="22.757100000000001"/>
        <n v="17.734200000000001"/>
        <n v="20.015699999999999"/>
        <n v="22.9054"/>
        <n v="21.4009"/>
        <n v="22.351800000000001"/>
        <n v="23.7974"/>
        <n v="22.5717"/>
        <n v="17.371300000000002"/>
        <n v="19.839500000000001"/>
        <n v="22.695799999999998"/>
        <n v="21.249199999999998"/>
        <n v="22.358799999999999"/>
        <n v="17.796199999999999"/>
        <n v="19.8444"/>
        <n v="22.5762"/>
        <n v="23.875"/>
        <n v="21.08"/>
        <n v="23.774999999999999"/>
        <n v="21.950199999999999"/>
        <n v="23.540700000000001"/>
        <n v="22.553899999999999"/>
        <n v="23.861799999999999"/>
        <n v="22.789100000000001"/>
        <n v="19.545000000000002"/>
        <n v="20.998799999999999"/>
        <n v="22.848600000000001"/>
        <n v="21.998999999999999"/>
        <n v="22.3034"/>
        <n v="18.048500000000001"/>
        <n v="19.945499999999999"/>
        <n v="22.451899999999998"/>
        <n v="21.173100000000002"/>
        <n v="21.9514"/>
        <n v="23.477799999999998"/>
        <n v="21.824999999999999"/>
        <n v="23.416699999999999"/>
        <n v="17.998699999999999"/>
        <n v="19.851299999999998"/>
        <n v="22.409199999999998"/>
        <n v="23.824999999999999"/>
        <n v="22.232500000000002"/>
        <n v="17.470600000000001"/>
        <n v="19.4999"/>
        <n v="22.2592"/>
        <n v="20.7956"/>
        <n v="22.096499999999999"/>
        <n v="23.5"/>
        <n v="21.65"/>
        <n v="23.26"/>
        <n v="21.7"/>
        <n v="23.3"/>
        <n v="17.473500000000001"/>
        <n v="19.544699999999999"/>
        <n v="22.297599999999999"/>
        <n v="22.1465"/>
        <n v="17.903300000000002"/>
        <n v="19.748699999999999"/>
        <n v="22.378499999999999"/>
        <n v="21.013999999999999"/>
        <n v="22.259"/>
        <n v="21.854399999999998"/>
        <n v="23.3794"/>
        <n v="21.889900000000001"/>
        <n v="23.307500000000001"/>
        <n v="18.127800000000001"/>
        <n v="19.952999999999999"/>
        <n v="22.290900000000001"/>
        <n v="21.100999999999999"/>
        <n v="17.721299999999999"/>
        <n v="19.515999999999998"/>
        <n v="22.0184"/>
        <n v="23.4"/>
        <n v="20.75"/>
        <n v="21.9496"/>
        <n v="23.35"/>
        <n v="21.599"/>
        <n v="23.074999999999999"/>
        <n v="21.727599999999999"/>
        <n v="23.155000000000001"/>
        <n v="17.701699999999999"/>
        <n v="19.6252"/>
        <n v="22.066800000000001"/>
        <n v="20.849799999999998"/>
        <n v="18.167000000000002"/>
        <n v="19.853000000000002"/>
        <n v="22.08"/>
        <n v="23.475000000000001"/>
        <n v="20.95"/>
        <n v="21.95"/>
        <n v="23.425000000000001"/>
        <n v="23.2087"/>
        <n v="23.55"/>
        <n v="18.441299999999998"/>
        <n v="20.191800000000001"/>
        <n v="21.268999999999998"/>
        <n v="18.826499999999999"/>
        <n v="20.529900000000001"/>
        <n v="22.45"/>
        <n v="21.6"/>
        <n v="22.4008"/>
        <n v="22.247399999999999"/>
        <n v="22.571100000000001"/>
        <n v="23.804500000000001"/>
        <n v="19.915900000000001"/>
        <n v="21.189699999999998"/>
        <n v="22.670999999999999"/>
        <n v="22.0825"/>
        <n v="22.662500000000001"/>
        <n v="21.338999999999999"/>
        <n v="22.260100000000001"/>
        <n v="23.169799999999999"/>
        <n v="22.915800000000001"/>
        <n v="23.2239"/>
        <n v="23.181999999999999"/>
        <n v="24.2667"/>
        <n v="23.675000000000001"/>
        <n v="22.319600000000001"/>
        <n v="19.514600000000002"/>
        <n v="20.906199999999998"/>
        <n v="22.4"/>
        <n v="21.807400000000001"/>
        <n v="22.385400000000001"/>
        <n v="19.623000000000001"/>
        <n v="21.049800000000001"/>
        <n v="21.989699999999999"/>
        <n v="16.38"/>
        <n v="22.584299999999999"/>
        <n v="22.477499999999999"/>
        <n v="23.74"/>
        <n v="22.309000000000001"/>
        <n v="23.505199999999999"/>
        <n v="19.564499999999999"/>
        <n v="20.865400000000001"/>
        <n v="22.423500000000001"/>
        <n v="21.802"/>
        <n v="17.101400000000002"/>
        <n v="19.075900000000001"/>
        <n v="20.5"/>
        <n v="22.35"/>
        <n v="21.488299999999999"/>
        <n v="16.4514"/>
        <n v="22.250399999999999"/>
        <n v="22.101099999999999"/>
        <n v="23.274999999999999"/>
        <n v="21.9937"/>
        <n v="23.1"/>
        <n v="18.850100000000001"/>
        <n v="20.338799999999999"/>
        <n v="22.244399999999999"/>
        <n v="21.393599999999999"/>
        <n v="16.5505"/>
        <n v="22.166899999999998"/>
        <n v="19.443000000000001"/>
        <n v="20.720300000000002"/>
        <n v="21.607800000000001"/>
        <n v="16.903099999999998"/>
        <n v="22.357900000000001"/>
        <n v="22.1541"/>
        <n v="23.128799999999998"/>
        <n v="20.498100000000001"/>
        <n v="21.748699999999999"/>
        <n v="23.2714"/>
        <n v="22.578499999999998"/>
        <n v="18.3797"/>
        <n v="23.202100000000002"/>
        <n v="20.2319"/>
        <n v="21.4"/>
        <n v="23.053899999999999"/>
        <n v="17.901199999999999"/>
        <n v="23.003399999999999"/>
        <n v="22.85"/>
        <n v="20.002099999999999"/>
        <n v="21.305299999999999"/>
        <n v="23.113299999999999"/>
        <n v="22.250599999999999"/>
        <n v="17.635899999999999"/>
        <n v="23.0854"/>
        <n v="20.338899999999999"/>
        <n v="21.532699999999998"/>
        <n v="23.2012"/>
        <n v="18.124600000000001"/>
        <n v="23.225899999999999"/>
        <n v="23.029299999999999"/>
        <n v="23.6694"/>
        <n v="21.386900000000001"/>
        <n v="22.402100000000001"/>
        <n v="23.15"/>
        <n v="19.2865"/>
        <n v="23.802600000000002"/>
        <n v="21.0457"/>
        <n v="22.090900000000001"/>
        <n v="23.5778"/>
        <n v="22.916499999999999"/>
        <n v="18.924800000000001"/>
        <n v="23.596399999999999"/>
        <n v="23.3414"/>
        <n v="21.370899999999999"/>
        <n v="22.171700000000001"/>
        <n v="23.447500000000002"/>
        <n v="22.855599999999999"/>
        <n v="19.555099999999999"/>
        <n v="20.850899999999999"/>
        <n v="21.825099999999999"/>
        <n v="23.305299999999999"/>
        <n v="22.662600000000001"/>
        <n v="19.1343"/>
        <n v="23.266100000000002"/>
        <n v="23.0852"/>
        <n v="20.648800000000001"/>
        <n v="21.733899999999998"/>
        <n v="23.118300000000001"/>
        <n v="22.58"/>
        <n v="18.5669"/>
        <n v="21.672699999999999"/>
        <n v="22.5426"/>
        <n v="23.5032"/>
        <n v="23.2715"/>
        <n v="19.623200000000001"/>
        <n v="22.649899999999999"/>
        <n v="23.897400000000001"/>
        <n v="20.7012"/>
        <n v="22.4758"/>
        <n v="23.1084"/>
        <n v="20.756900000000002"/>
        <n v="24.0047"/>
        <n v="24.524999999999999"/>
        <n v="23.28"/>
        <n v="23.828199999999999"/>
        <n v="24.357399999999998"/>
        <n v="21.845300000000002"/>
        <n v="23.634599999999999"/>
        <n v="24.158000000000001"/>
        <n v="24.649100000000001"/>
        <n v="22.103100000000001"/>
        <n v="24.707699999999999"/>
        <n v="24.800899999999999"/>
        <n v="25.358000000000001"/>
        <n v="24.380099999999999"/>
        <n v="24.819800000000001"/>
        <n v="25.21"/>
        <n v="23.386099999999999"/>
        <n v="25.167400000000001"/>
        <n v="23.877600000000001"/>
        <n v="24.504300000000001"/>
        <n v="24.985299999999999"/>
        <n v="21.143799999999999"/>
        <n v="22.3794"/>
        <n v="25.03"/>
        <n v="25.18"/>
        <n v="24.631799999999998"/>
        <n v="23.437100000000001"/>
        <n v="23.892399999999999"/>
        <n v="24.4148"/>
        <n v="19.906300000000002"/>
        <n v="22.1144"/>
        <n v="24.5075"/>
        <n v="22.805299999999999"/>
        <n v="23.334099999999999"/>
        <n v="23.813800000000001"/>
        <n v="19.1312"/>
        <n v="21.366800000000001"/>
        <n v="23.8489"/>
        <n v="24.042400000000001"/>
        <n v="25.217400000000001"/>
        <n v="25.475000000000001"/>
        <n v="24.891100000000002"/>
        <n v="25.211300000000001"/>
        <n v="22.693200000000001"/>
        <n v="24.0809"/>
        <n v="25.04"/>
        <n v="26.546800000000001"/>
        <n v="26.517199999999999"/>
        <n v="26.711200000000002"/>
        <n v="25.9725"/>
        <n v="26.433399999999999"/>
        <n v="26.155000000000001"/>
        <n v="26.553999999999998"/>
        <n v="24.9984"/>
        <n v="23.974399999999999"/>
        <n v="21.238800000000001"/>
        <n v="22.848700000000001"/>
        <n v="22.7989"/>
        <n v="24.000599999999999"/>
        <n v="19.4819"/>
        <n v="21.348700000000001"/>
        <n v="24.246700000000001"/>
        <n v="23.851099999999999"/>
        <n v="22.207999999999998"/>
        <n v="22.900500000000001"/>
        <n v="18.291699999999999"/>
        <n v="20.542400000000001"/>
        <n v="23.725000000000001"/>
        <n v="22.9619"/>
        <n v="24.072700000000001"/>
        <n v="19.6892"/>
        <n v="21.622699999999998"/>
        <n v="23"/>
        <n v="24.099599999999999"/>
        <n v="19.978400000000001"/>
        <n v="21.675799999999999"/>
        <n v="23.3978"/>
        <n v="20.549299999999999"/>
        <n v="22.235700000000001"/>
        <n v="24.642900000000001"/>
        <n v="24.331"/>
        <n v="22.926600000000001"/>
        <n v="23.4848"/>
        <n v="23.75"/>
        <n v="24.074400000000001"/>
        <n v="19.732399999999998"/>
        <n v="21.552199999999999"/>
        <n v="24.182400000000001"/>
        <n v="23.975999999999999"/>
        <n v="20.437999999999999"/>
        <n v="22.239100000000001"/>
        <n v="24.498799999999999"/>
        <n v="24.398399999999999"/>
        <n v="22.999600000000001"/>
        <n v="19.5684"/>
        <n v="21.597999999999999"/>
        <n v="24.2303"/>
        <n v="23.090900000000001"/>
        <n v="23.654900000000001"/>
        <n v="24.252500000000001"/>
        <n v="19.6632"/>
        <n v="21.701799999999999"/>
        <n v="23.046399999999998"/>
        <n v="23.552900000000001"/>
        <n v="24.193899999999999"/>
        <n v="19.709299999999999"/>
        <n v="21.6953"/>
        <n v="24.245100000000001"/>
        <n v="23.395099999999999"/>
        <n v="23.950700000000001"/>
        <n v="20.205100000000002"/>
        <n v="22.100100000000001"/>
        <n v="24.8323"/>
        <n v="23.4861"/>
        <n v="20.431799999999999"/>
        <n v="22.190999999999999"/>
        <n v="23.9968"/>
        <n v="24.4389"/>
        <n v="21.165800000000001"/>
        <n v="22.8048"/>
        <n v="25.091999999999999"/>
        <n v="23.700500000000002"/>
        <n v="24.292899999999999"/>
        <n v="19.28"/>
        <n v="19.9955"/>
        <n v="21.82"/>
        <n v="23.196200000000001"/>
        <n v="24.271899999999999"/>
        <n v="18.6526"/>
        <n v="21.052800000000001"/>
        <n v="22.7044"/>
        <n v="23.9038"/>
        <n v="24.551600000000001"/>
        <n v="23.849799999999998"/>
        <n v="24.386399999999998"/>
        <n v="17.657"/>
        <n v="20.700600000000001"/>
        <n v="22.262899999999998"/>
        <n v="23.452400000000001"/>
        <n v="23.3444"/>
        <n v="17.001899999999999"/>
        <n v="19.954999999999998"/>
        <n v="21.601099999999999"/>
        <n v="24.251999999999999"/>
        <n v="17.1523"/>
        <n v="20.2942"/>
        <n v="21.998699999999999"/>
        <n v="23.1557"/>
        <n v="18.0989"/>
        <n v="20.933299999999999"/>
        <n v="22.365600000000001"/>
        <n v="23.406300000000002"/>
        <n v="24.1982"/>
        <n v="23.543500000000002"/>
        <n v="24.024000000000001"/>
        <n v="17.678100000000001"/>
        <n v="20.473400000000002"/>
        <n v="22.114899999999999"/>
        <n v="23.1873"/>
        <n v="23.300599999999999"/>
        <n v="23.7818"/>
        <n v="18.003900000000002"/>
        <n v="20.565300000000001"/>
        <n v="22.05"/>
        <n v="23.007400000000001"/>
        <n v="23.421299999999999"/>
        <n v="18.150500000000001"/>
        <n v="20.8262"/>
        <n v="22.231000000000002"/>
        <n v="23.1646"/>
        <n v="18.488700000000001"/>
        <n v="20.805"/>
        <n v="22.1601"/>
        <n v="23.9529"/>
        <n v="18.986000000000001"/>
        <n v="21.0655"/>
        <n v="22.296399999999998"/>
        <n v="23.47"/>
        <n v="19.561"/>
        <n v="21.4864"/>
        <n v="22.542200000000001"/>
        <n v="23.251799999999999"/>
        <n v="23.5548"/>
        <n v="19.542300000000001"/>
        <n v="21.491399999999999"/>
        <n v="22.6"/>
        <n v="24.03"/>
        <n v="24.478300000000001"/>
        <n v="20.0824"/>
        <n v="22.0336"/>
        <n v="23.131"/>
        <n v="23.853899999999999"/>
        <n v="24.573399999999999"/>
        <n v="25.008299999999998"/>
        <n v="24.4511"/>
        <n v="24.851900000000001"/>
        <n v="20.734000000000002"/>
        <n v="22.675799999999999"/>
        <n v="23.646699999999999"/>
        <n v="21.0321"/>
        <n v="22.807600000000001"/>
        <n v="23.713200000000001"/>
        <n v="24.3811"/>
        <n v="25.031300000000002"/>
        <n v="25.233000000000001"/>
        <n v="22.0032"/>
        <n v="23.650200000000002"/>
        <n v="24.4815"/>
        <n v="25.360299999999999"/>
        <n v="25.708100000000002"/>
        <n v="21.385899999999999"/>
        <n v="23.313500000000001"/>
        <n v="24.357800000000001"/>
        <n v="25.1614"/>
        <n v="26.251200000000001"/>
        <n v="25.861799999999999"/>
        <n v="22.305599999999998"/>
        <n v="24.2012"/>
        <n v="25.704499999999999"/>
        <n v="26.258700000000001"/>
        <n v="26.590499999999999"/>
        <n v="22.977499999999999"/>
        <n v="24.761199999999999"/>
        <n v="25.5075"/>
        <n v="26.151700000000002"/>
        <n v="26.6265"/>
        <n v="26.551300000000001"/>
        <n v="22.832999999999998"/>
        <n v="24.746700000000001"/>
        <n v="25.565999999999999"/>
        <n v="26.0807"/>
        <n v="26.4925"/>
        <n v="21.731000000000002"/>
        <n v="23.944900000000001"/>
        <n v="24.901499999999999"/>
        <n v="26.225000000000001"/>
        <n v="27.487500000000001"/>
        <n v="23.315000000000001"/>
        <n v="25.2669"/>
        <n v="26.214500000000001"/>
        <n v="26.8444"/>
        <n v="27.0517"/>
        <n v="27.2667"/>
        <n v="24.3001"/>
        <n v="25.801400000000001"/>
        <n v="26.446100000000001"/>
        <n v="20.8"/>
        <n v="23.002500000000001"/>
        <n v="26.915099999999999"/>
        <n v="25.982900000000001"/>
        <n v="26.7974"/>
        <n v="25.019500000000001"/>
        <n v="26.801400000000001"/>
        <n v="25.999600000000001"/>
        <n v="19.920400000000001"/>
        <n v="24.047000000000001"/>
        <n v="20.1006"/>
        <n v="27.7529"/>
        <n v="27.625"/>
        <n v="23.978100000000001"/>
        <n v="26.9892"/>
        <n v="27.728300000000001"/>
        <n v="27.96"/>
        <n v="26.0626"/>
        <n v="27.758600000000001"/>
        <n v="27.101600000000001"/>
        <n v="21.977799999999998"/>
        <n v="28.15"/>
        <n v="27.675000000000001"/>
        <n v="25.410900000000002"/>
        <n v="22.888200000000001"/>
        <n v="28.06"/>
        <n v="25.801300000000001"/>
        <n v="27.706600000000002"/>
        <n v="28.197800000000001"/>
        <n v="27.193200000000001"/>
        <n v="28.2118"/>
        <n v="28.564800000000002"/>
        <n v="28.504200000000001"/>
        <n v="27.799399999999999"/>
        <n v="23.504799999999999"/>
        <n v="28.401399999999999"/>
        <n v="26.461600000000001"/>
        <n v="23.9726"/>
        <n v="28.6432"/>
        <n v="26.718800000000002"/>
        <n v="28.3688"/>
        <n v="28.8416"/>
        <n v="28.7227"/>
        <n v="27.8977"/>
        <n v="28.803000000000001"/>
        <n v="25.366700000000002"/>
        <n v="28.761099999999999"/>
        <n v="27.774999999999999"/>
        <n v="27.665700000000001"/>
        <n v="25.050699999999999"/>
        <n v="28.351700000000001"/>
        <n v="27.211200000000002"/>
        <n v="28.346599999999999"/>
        <n v="28.596"/>
        <n v="28.4"/>
        <n v="28.001799999999999"/>
        <n v="29.555399999999999"/>
        <n v="29.700299999999999"/>
        <n v="27.521000000000001"/>
        <n v="29.387"/>
        <n v="28.9361"/>
        <n v="26.127500000000001"/>
        <n v="28.9438"/>
        <n v="28.774999999999999"/>
        <n v="27.9008"/>
        <n v="28.950500000000002"/>
        <n v="29.2"/>
        <n v="28.548400000000001"/>
        <n v="28.9"/>
        <n v="28.725000000000001"/>
        <n v="28.069800000000001"/>
        <n v="24.765000000000001"/>
        <n v="28.6557"/>
        <n v="27.032900000000001"/>
        <n v="24.6158"/>
        <n v="28.122699999999998"/>
        <n v="28.125"/>
        <n v="26.903300000000002"/>
        <n v="28.1036"/>
        <n v="28.178599999999999"/>
        <n v="27.722100000000001"/>
        <n v="29.154900000000001"/>
        <n v="28.9556"/>
        <n v="28.854399999999998"/>
        <n v="26.744399999999999"/>
        <n v="28.952000000000002"/>
        <n v="28.232900000000001"/>
        <n v="28.215"/>
        <n v="29.387499999999999"/>
        <n v="29.024999999999999"/>
        <n v="29.652200000000001"/>
        <n v="29.885999999999999"/>
        <n v="29.805599999999998"/>
        <n v="29.311800000000002"/>
        <n v="29.875800000000002"/>
        <n v="29.85"/>
        <n v="30.15"/>
        <n v="29.8"/>
        <n v="29.400300000000001"/>
        <n v="25.903099999999998"/>
        <n v="29.9"/>
        <n v="29.65"/>
        <n v="28.6508"/>
        <n v="29.6"/>
        <n v="28.817399999999999"/>
        <n v="24.7988"/>
        <n v="29.405899999999999"/>
        <n v="27.8902"/>
        <n v="25.8017"/>
        <n v="29.412500000000001"/>
        <n v="29.5825"/>
        <n v="29.741499999999998"/>
        <n v="29.452100000000002"/>
        <n v="29.522099999999998"/>
        <n v="29.187100000000001"/>
        <n v="22.81"/>
        <n v="29.3094"/>
        <n v="29.287500000000001"/>
        <n v="28.5503"/>
        <n v="21.241800000000001"/>
        <n v="26.1251"/>
        <n v="29.198899999999998"/>
        <n v="28.4757"/>
        <n v="29.4008"/>
        <n v="29.402100000000001"/>
        <n v="29.0977"/>
        <n v="29.0946"/>
        <n v="29.084399999999999"/>
        <n v="28.75"/>
        <n v="21.359400000000001"/>
        <n v="25.878499999999999"/>
        <n v="28.149100000000001"/>
        <n v="22.71"/>
        <n v="26.692"/>
        <n v="28.74"/>
        <n v="28.691700000000001"/>
        <n v="29.101600000000001"/>
        <n v="29.042100000000001"/>
        <n v="29.2408"/>
        <n v="29.071300000000001"/>
        <n v="29.200399999999998"/>
        <n v="23.741299999999999"/>
        <n v="27.285499999999999"/>
        <n v="28.752099999999999"/>
        <n v="28.85"/>
        <n v="23.702100000000002"/>
        <n v="26.686299999999999"/>
        <n v="28.145199999999999"/>
        <n v="28.596499999999999"/>
        <n v="28.5931"/>
        <n v="28.2517"/>
        <n v="23.837900000000001"/>
        <n v="26.548400000000001"/>
        <n v="27.975000000000001"/>
        <n v="27.8415"/>
        <n v="24.099299999999999"/>
        <n v="27.95"/>
        <n v="27.475000000000001"/>
        <n v="27.844000000000001"/>
        <n v="28.097899999999999"/>
        <n v="28.0456"/>
        <n v="27.991800000000001"/>
        <n v="28.097999999999999"/>
        <n v="24.227399999999999"/>
        <n v="26.743600000000001"/>
        <n v="27.866700000000002"/>
        <n v="27.893699999999999"/>
        <n v="25.779399999999999"/>
        <n v="27.651399999999999"/>
        <n v="28.5214"/>
        <n v="28.1661"/>
        <n v="28.258299999999998"/>
        <n v="28.288699999999999"/>
        <n v="28.708300000000001"/>
        <n v="28.761700000000001"/>
        <n v="28.976199999999999"/>
        <n v="27.578099999999999"/>
        <n v="28.7376"/>
        <n v="29.337800000000001"/>
        <n v="30.330200000000001"/>
        <n v="31.026299999999999"/>
        <n v="29.144100000000002"/>
        <n v="30.7407"/>
        <n v="29.6632"/>
        <n v="29.4833"/>
        <n v="30.115100000000002"/>
        <n v="30.172899999999998"/>
        <n v="30"/>
        <n v="30.506799999999998"/>
        <n v="32.385899999999999"/>
        <n v="32.420499999999997"/>
        <n v="29.6417"/>
        <n v="29.1"/>
        <n v="31.433700000000002"/>
        <n v="30.394600000000001"/>
        <n v="30.719899999999999"/>
        <n v="28.675000000000001"/>
        <n v="30.106200000000001"/>
        <n v="29.079799999999999"/>
        <n v="28.9864"/>
        <n v="29.4496"/>
        <n v="29.574999999999999"/>
        <n v="29.9922"/>
        <n v="31.534199999999998"/>
        <n v="31.231300000000001"/>
        <n v="29.35"/>
        <n v="30.6007"/>
        <n v="25.409500000000001"/>
        <n v="27.226700000000001"/>
        <n v="27.6313"/>
        <n v="27.7319"/>
        <n v="27.7059"/>
        <n v="27.7972"/>
        <n v="27.788799999999998"/>
        <n v="27.6188"/>
        <n v="27.7455"/>
        <n v="27.667400000000001"/>
        <n v="25.953499999999998"/>
        <n v="27.400400000000001"/>
        <n v="27.531300000000002"/>
        <n v="27.7088"/>
        <n v="27.274999999999999"/>
        <n v="22.59"/>
        <n v="23.225000000000001"/>
        <n v="26.6"/>
        <n v="23.175000000000001"/>
        <n v="22.675000000000001"/>
        <n v="23.324999999999999"/>
        <n v="22.774999999999999"/>
        <n v="24.574999999999999"/>
        <n v="23.625"/>
        <n v="22.975000000000001"/>
        <n v="22.824999999999999"/>
        <n v="22.375"/>
        <n v="22.625"/>
        <n v="22.41"/>
        <n v="22.925000000000001"/>
        <n v="27.425000000000001"/>
        <n v="29.175000000000001"/>
        <n v="31.574999999999999"/>
        <n v="27.875"/>
        <n v="28.324999999999999"/>
        <n v="31.425000000000001"/>
        <n v="29.625"/>
        <n v="33.375"/>
        <n v="30.824999999999999"/>
        <n v="33.174999999999997"/>
        <n v="29.324999999999999"/>
        <n v="34.075000000000003"/>
        <n v="30.175000000000001"/>
        <n v="34.1"/>
        <n v="31.824999999999999"/>
        <n v="33.125"/>
        <n v="30.774999999999999"/>
        <n v="28.975000000000001"/>
        <n v="32.575000000000003"/>
        <n v="30.125"/>
        <n v="34.725000000000001"/>
        <n v="29.675000000000001"/>
        <n v="36"/>
        <n v="32.375"/>
        <n v="31.324999999999999"/>
        <n v="27.925000000000001"/>
        <n v="30.925000000000001"/>
        <n v="30.375"/>
        <n v="29.274999999999999"/>
        <n v="29.07"/>
        <n v="27.524999999999999"/>
        <n v="29.975000000000001"/>
        <n v="30.225000000000001"/>
        <n v="28.875"/>
        <n v="27.725000000000001"/>
        <n v="30.425000000000001"/>
        <n v="30.024999999999999"/>
        <n v="29.725000000000001"/>
        <n v="31.725000000000001"/>
        <n v="31.225000000000001"/>
        <n v="32.225000000000001"/>
        <n v="31.675000000000001"/>
        <n v="30.074999999999999"/>
        <n v="32.075000000000003"/>
        <n v="30.574999999999999"/>
        <n v="30.675000000000001"/>
        <n v="32.475000000000001"/>
        <n v="31.074999999999999"/>
        <n v="29.875"/>
        <n v="32.875"/>
        <n v="29.774999999999999"/>
        <n v="30.475000000000001"/>
        <n v="28.074999999999999"/>
        <n v="30.95"/>
        <n v="29.925000000000001"/>
        <n v="32.975000000000001"/>
        <n v="30.324999999999999"/>
        <n v="32.924999999999997"/>
        <n v="32.024999999999999"/>
        <n v="30.25"/>
        <n v="31.024999999999999"/>
        <n v="33.674999999999997"/>
        <n v="33.325000000000003"/>
        <n v="31.875"/>
        <n v="31.375"/>
        <n v="32.174999999999997"/>
        <n v="30.274999999999999"/>
        <n v="29.824999999999999"/>
        <n v="26.12"/>
        <n v="30.524999999999999"/>
        <n v="29.425000000000001"/>
        <n v="32.674999999999997"/>
        <n v="30.875"/>
        <n v="33.225000000000001"/>
        <n v="34.625"/>
        <n v="36.174999999999997"/>
        <n v="33.799999999999997"/>
        <n v="33.875"/>
        <n v="39.024999999999999"/>
        <n v="35.15"/>
        <n v="35.325000000000003"/>
        <n v="33.625"/>
        <n v="33.524999999999999"/>
        <n v="31.625"/>
        <n v="30.45"/>
        <n v="29.475000000000001"/>
        <n v="21.71"/>
        <n v="21.774999999999999"/>
        <n v="30.05"/>
        <n v="30.975000000000001"/>
        <n v="31.85"/>
        <n v="32.125"/>
        <n v="31.925000000000001"/>
        <n v="32.524999999999999"/>
        <n v="31.25"/>
        <n v="31.475000000000001"/>
        <n v="31.274999999999999"/>
        <n v="29"/>
        <n v="32.424999999999997"/>
        <n v="29.25"/>
        <n v="31.175000000000001"/>
        <n v="30.625"/>
        <n v="30.65"/>
        <n v="34.875"/>
        <n v="32.774999999999999"/>
        <n v="31.4"/>
        <n v="33.200000000000003"/>
        <n v="31.125"/>
        <n v="30.2"/>
        <n v="29.95"/>
        <n v="31.774999999999999"/>
        <n v="32.325000000000003"/>
        <n v="34.024999999999999"/>
        <n v="32.825000000000003"/>
        <n v="31.5"/>
        <n v="30.55"/>
        <n v="31.1"/>
        <n v="34.225000000000001"/>
        <n v="34.524999999999999"/>
        <n v="34.475000000000001"/>
        <n v="33.575000000000003"/>
        <n v="30.725000000000001"/>
        <n v="33.475000000000001"/>
        <n v="33.075000000000003"/>
        <n v="35.274999999999999"/>
        <n v="35.125"/>
        <n v="31"/>
        <n v="33.274999999999999"/>
        <n v="31.524999999999999"/>
        <n v="33.44"/>
        <n v="32.85"/>
        <n v="33.1"/>
        <n v="33.9"/>
        <n v="30.3"/>
        <n v="30.1"/>
        <n v="30.75"/>
        <n v="34.825000000000003"/>
        <n v="31.7"/>
        <n v="35.075000000000003"/>
        <n v="39.674999999999997"/>
        <n v="35.825000000000003"/>
        <n v="36.774999999999999"/>
        <n v="33.299999999999997"/>
        <n v="40.625"/>
        <n v="31.35"/>
        <n v="31.975000000000001"/>
        <n v="32.35"/>
        <n v="30.8"/>
        <n v="32.625"/>
        <n v="28.11"/>
        <n v="30.4"/>
        <n v="31.3"/>
        <n v="32.725000000000001"/>
        <n v="33.15"/>
        <n v="32.049999999999997"/>
        <n v="33.825000000000003"/>
        <n v="33.774999999999999"/>
        <n v="34.924999999999997"/>
        <n v="32.6"/>
        <n v="31.65"/>
        <n v="34.774999999999999"/>
        <n v="34.575000000000003"/>
        <n v="32.65"/>
        <n v="33.725000000000001"/>
        <n v="33.35"/>
        <n v="35.674999999999997"/>
        <n v="34.975000000000001"/>
        <n v="32.700000000000003"/>
        <n v="37.35"/>
        <n v="35.975000000000001"/>
        <n v="33.024999999999999"/>
        <n v="33.975000000000001"/>
        <n v="31.2"/>
        <n v="34.174999999999997"/>
        <n v="35.575000000000003"/>
        <n v="39.725000000000001"/>
        <n v="31.6"/>
        <n v="37.725000000000001"/>
        <n v="35.424999999999997"/>
        <n v="39.625"/>
        <n v="37.375"/>
        <n v="36.424999999999997"/>
        <n v="41.774999999999999"/>
        <n v="34.424999999999997"/>
        <n v="38.674999999999997"/>
        <n v="39.075000000000003"/>
        <n v="36.225000000000001"/>
        <n v="32.25"/>
        <n v="36.524999999999999"/>
        <n v="36.575000000000003"/>
        <n v="30.85"/>
        <n v="42.51"/>
        <n v="37.875"/>
        <n v="32.1"/>
        <n v="36.125"/>
        <n v="40.575000000000003"/>
        <n v="41.274999999999999"/>
        <n v="36.924999999999997"/>
        <n v="31.15"/>
        <n v="34.65"/>
        <n v="33.549999999999997"/>
        <n v="38.299999999999997"/>
        <n v="36.075000000000003"/>
        <n v="42.375"/>
        <n v="44.024999999999999"/>
        <n v="36.674999999999997"/>
        <n v="37.924999999999997"/>
        <n v="35.875"/>
        <n v="44.924999999999997"/>
        <n v="35.024999999999999"/>
        <n v="40.9"/>
        <n v="42.024999999999999"/>
        <n v="33.424999999999997"/>
        <n v="38.35"/>
        <n v="47.174999999999997"/>
        <n v="51.325000000000003"/>
        <n v="31.95"/>
        <n v="44.625"/>
        <n v="34.375"/>
        <n v="40.375"/>
        <n v="33.924999999999997"/>
        <n v="40.924999999999997"/>
        <n v="37.225000000000001"/>
        <n v="46.774999999999999"/>
        <n v="49.774999999999999"/>
        <n v="34.299999999999997"/>
        <n v="42.75"/>
        <n v="38.174999999999997"/>
        <n v="35.35"/>
        <n v="44.825000000000003"/>
        <n v="39.450000000000003"/>
        <n v="53.424999999999997"/>
        <n v="45.875"/>
        <n v="39.65"/>
        <n v="35.524999999999999"/>
        <n v="34.799999999999997"/>
        <n v="44.524999999999999"/>
        <n v="39.25"/>
        <n v="30.7"/>
        <n v="51.274999999999999"/>
        <n v="48.25"/>
        <n v="30.9"/>
        <n v="40.15"/>
        <n v="35.700000000000003"/>
        <n v="45.325000000000003"/>
        <n v="40.35"/>
        <n v="49.45"/>
        <n v="61.524999999999999"/>
        <n v="42.075000000000003"/>
        <n v="56.625"/>
        <n v="31.45"/>
        <n v="49.725000000000001"/>
        <n v="42.975000000000001"/>
        <n v="34.049999999999997"/>
        <n v="58.975000000000001"/>
        <n v="50.4"/>
        <n v="66.3"/>
        <n v="37"/>
        <n v="70.474999999999994"/>
        <n v="37.475000000000001"/>
        <n v="69.760000000000005"/>
        <n v="44.3"/>
        <n v="34.125"/>
        <n v="59.924999999999997"/>
        <n v="51.5"/>
        <n v="34.6"/>
        <n v="36.700000000000003"/>
        <n v="48.7"/>
        <n v="61.424999999999997"/>
        <n v="68.825000000000003"/>
        <n v="59.15"/>
        <n v="72.625"/>
        <n v="44.875"/>
        <n v="38.950000000000003"/>
        <n v="43.9"/>
        <n v="45.825000000000003"/>
        <n v="58.3"/>
        <n v="38.575000000000003"/>
        <n v="46.35"/>
        <n v="41.825000000000003"/>
        <n v="44.375"/>
        <n v="23.375"/>
        <n v="35.774999999999999"/>
        <n v="22.875"/>
        <n v="22.274999999999999"/>
        <n v="21.45"/>
        <n v="21.625"/>
        <n v="21.925000000000001"/>
        <n v="20.375"/>
        <n v="20.625"/>
        <n v="22.225000000000001"/>
        <n v="20.225000000000001"/>
        <n v="21.375"/>
        <n v="20.274999999999999"/>
        <n v="20.7"/>
        <n v="21.574999999999999"/>
        <n v="20.475000000000001"/>
        <n v="19.625"/>
        <n v="19.824999999999999"/>
        <n v="21.274999999999999"/>
        <n v="20.350000000000001"/>
        <n v="20.324999999999999"/>
        <n v="23.024999999999999"/>
        <n v="19.850000000000001"/>
        <n v="22.75"/>
        <n v="20.425000000000001"/>
        <n v="20.925000000000001"/>
        <n v="19.8"/>
        <n v="19.175000000000001"/>
        <n v="19.725000000000001"/>
        <n v="19.425000000000001"/>
        <n v="19.225000000000001"/>
        <n v="20.975000000000001"/>
        <n v="19.074999999999999"/>
        <n v="22.324999999999999"/>
        <n v="20.875"/>
        <n v="18.975000000000001"/>
        <n v="22.024999999999999"/>
        <n v="19.574999999999999"/>
        <n v="19.75"/>
        <n v="19.274999999999999"/>
        <n v="18.375"/>
        <n v="21.324999999999999"/>
        <n v="18.425000000000001"/>
        <n v="19.149999999999999"/>
        <n v="18.45"/>
        <n v="19.375"/>
        <n v="18.324999999999999"/>
        <n v="20.074999999999999"/>
        <n v="17.324999999999999"/>
        <n v="17.574999999999999"/>
        <n v="16.925000000000001"/>
        <n v="17.524999999999999"/>
        <n v="20.6"/>
        <n v="17.175000000000001"/>
        <n v="18.475000000000001"/>
        <n v="17.375"/>
        <n v="17.774999999999999"/>
        <n v="20.125"/>
        <n v="16.824999999999999"/>
        <n v="18.125"/>
        <n v="16.074999999999999"/>
        <n v="16.324999999999999"/>
        <n v="17.225000000000001"/>
        <n v="15.375"/>
        <n v="17.125"/>
        <n v="19.875"/>
        <n v="16.524999999999999"/>
        <n v="17.975000000000001"/>
        <n v="19.899999999999999"/>
        <n v="16.675000000000001"/>
        <n v="17.024999999999999"/>
        <n v="17.425000000000001"/>
        <n v="17.274999999999999"/>
        <n v="15.824999999999999"/>
        <n v="16.125"/>
        <n v="16.975000000000001"/>
        <n v="15.425000000000001"/>
        <n v="17.850000000000001"/>
        <n v="16.725000000000001"/>
        <n v="19.675000000000001"/>
        <n v="16.475000000000001"/>
        <n v="17.899999999999999"/>
        <n v="17.074999999999999"/>
        <n v="15.574999999999999"/>
        <n v="15.324999999999999"/>
        <n v="16.274999999999999"/>
        <n v="17.149999999999999"/>
        <n v="16.574999999999999"/>
        <n v="17.925000000000001"/>
        <n v="15.925000000000001"/>
        <n v="15.975"/>
        <n v="17.8"/>
        <n v="16.875"/>
        <n v="17.45"/>
        <n v="17.25"/>
        <n v="16.225000000000001"/>
        <n v="16.375"/>
        <n v="17.100000000000001"/>
        <n v="16.399999999999999"/>
        <n v="17.824999999999999"/>
        <n v="16.774999999999999"/>
        <n v="17.399999999999999"/>
        <n v="19.925000000000001"/>
        <n v="17.350000000000001"/>
        <n v="17.725000000000001"/>
        <n v="18.149999999999999"/>
        <n v="17.475000000000001"/>
        <n v="20.175000000000001"/>
        <n v="18.2"/>
        <n v="17.95"/>
        <n v="17.600000000000001"/>
        <n v="16.425000000000001"/>
        <n v="17.675000000000001"/>
        <n v="20"/>
        <n v="17.875"/>
        <n v="19.975000000000001"/>
        <n v="18.074999999999999"/>
        <n v="17.625"/>
        <n v="15.675000000000001"/>
        <n v="19.7"/>
        <n v="17.5"/>
        <n v="15.725"/>
        <n v="16.024999999999999"/>
        <n v="15.525"/>
        <n v="17"/>
        <n v="19.95"/>
        <n v="16.25"/>
        <n v="16.625"/>
        <n v="18.100000000000001"/>
        <n v="16.175000000000001"/>
        <n v="16.3"/>
        <n v="18.175000000000001"/>
        <n v="17.7"/>
        <n v="15.775"/>
        <n v="20.05"/>
        <n v="18.55"/>
        <n v="18.524999999999999"/>
        <n v="17.75"/>
        <n v="18.574999999999999"/>
        <n v="20.024999999999999"/>
        <n v="18.850000000000001"/>
        <n v="18.25"/>
        <n v="18.7"/>
        <n v="18.3"/>
        <n v="18.024999999999999"/>
        <n v="18.774999999999999"/>
        <n v="18.675000000000001"/>
        <n v="18.225000000000001"/>
        <n v="18.8"/>
        <n v="18.5"/>
        <n v="18.95"/>
        <n v="18.649999999999999"/>
        <n v="18.75"/>
        <n v="18.274999999999999"/>
        <n v="18.05"/>
        <n v="18.399999999999999"/>
        <n v="19.600000000000001"/>
        <n v="18.725000000000001"/>
        <n v="19.55"/>
        <n v="19.350000000000001"/>
        <n v="19.3"/>
        <n v="18.824999999999999"/>
        <n v="19.475000000000001"/>
        <n v="18.600000000000001"/>
        <n v="19.125"/>
        <n v="19.100000000000001"/>
        <n v="18.925000000000001"/>
        <n v="19.45"/>
        <n v="19.05"/>
        <n v="19"/>
        <n v="18.875"/>
        <n v="18.625"/>
        <n v="19.324999999999999"/>
        <n v="19.024999999999999"/>
        <n v="18.350000000000001"/>
        <n v="19.25"/>
        <n v="19.524999999999999"/>
        <n v="19.5"/>
        <n v="19.774999999999999"/>
        <n v="19.2"/>
        <n v="17.05"/>
      </sharedItems>
    </cacheField>
    <cacheField name="Chnge" numFmtId="0">
      <sharedItems containsSemiMixedTypes="0" containsString="0" containsNumber="1" minValue="-12.074999999999999" maxValue="19.2"/>
    </cacheField>
    <cacheField name="Volume" numFmtId="0">
      <sharedItems containsSemiMixedTypes="0" containsString="0" containsNumber="1" containsInteger="1" minValue="0" maxValue="419935"/>
    </cacheField>
    <cacheField name="EFP" numFmtId="0">
      <sharedItems containsSemiMixedTypes="0" containsString="0" containsNumber="1" containsInteger="1" minValue="0" maxValue="11265"/>
    </cacheField>
    <cacheField name="OI" numFmtId="0">
      <sharedItems containsSemiMixedTypes="0" containsString="0" containsNumber="1" containsInteger="1" minValue="0" maxValue="234727"/>
    </cacheField>
    <cacheField name="BDToExpiry" numFmtId="0">
      <sharedItems containsSemiMixedTypes="0" containsString="0" containsNumber="1" containsInteger="1" minValue="-1" maxValue="241" count="241">
        <n v="111"/>
        <n v="135"/>
        <n v="27"/>
        <n v="152"/>
        <n v="172"/>
        <n v="91"/>
        <n v="47"/>
        <n v="71"/>
        <n v="3"/>
        <n v="48"/>
        <n v="72"/>
        <n v="4"/>
        <n v="112"/>
        <n v="136"/>
        <n v="28"/>
        <n v="153"/>
        <n v="173"/>
        <n v="92"/>
        <n v="113"/>
        <n v="137"/>
        <n v="29"/>
        <n v="154"/>
        <n v="174"/>
        <n v="93"/>
        <n v="49"/>
        <n v="73"/>
        <n v="5"/>
        <n v="50"/>
        <n v="74"/>
        <n v="6"/>
        <n v="138"/>
        <n v="30"/>
        <n v="155"/>
        <n v="175"/>
        <n v="94"/>
        <n v="114"/>
        <n v="139"/>
        <n v="31"/>
        <n v="156"/>
        <n v="176"/>
        <n v="95"/>
        <n v="115"/>
        <n v="51"/>
        <n v="75"/>
        <n v="7"/>
        <n v="52"/>
        <n v="76"/>
        <n v="8"/>
        <n v="140"/>
        <n v="32"/>
        <n v="157"/>
        <n v="177"/>
        <n v="96"/>
        <n v="116"/>
        <n v="141"/>
        <n v="33"/>
        <n v="158"/>
        <n v="178"/>
        <n v="97"/>
        <n v="117"/>
        <n v="53"/>
        <n v="77"/>
        <n v="9"/>
        <n v="54"/>
        <n v="78"/>
        <n v="10"/>
        <n v="142"/>
        <n v="34"/>
        <n v="159"/>
        <n v="179"/>
        <n v="98"/>
        <n v="118"/>
        <n v="143"/>
        <n v="35"/>
        <n v="160"/>
        <n v="180"/>
        <n v="99"/>
        <n v="119"/>
        <n v="55"/>
        <n v="79"/>
        <n v="11"/>
        <n v="56"/>
        <n v="80"/>
        <n v="12"/>
        <n v="144"/>
        <n v="36"/>
        <n v="161"/>
        <n v="181"/>
        <n v="100"/>
        <n v="120"/>
        <n v="145"/>
        <n v="37"/>
        <n v="162"/>
        <n v="182"/>
        <n v="101"/>
        <n v="121"/>
        <n v="57"/>
        <n v="81"/>
        <n v="13"/>
        <n v="58"/>
        <n v="82"/>
        <n v="14"/>
        <n v="146"/>
        <n v="38"/>
        <n v="163"/>
        <n v="183"/>
        <n v="102"/>
        <n v="122"/>
        <n v="147"/>
        <n v="39"/>
        <n v="164"/>
        <n v="184"/>
        <n v="103"/>
        <n v="123"/>
        <n v="59"/>
        <n v="83"/>
        <n v="15"/>
        <n v="60"/>
        <n v="84"/>
        <n v="16"/>
        <n v="148"/>
        <n v="40"/>
        <n v="165"/>
        <n v="185"/>
        <n v="104"/>
        <n v="124"/>
        <n v="149"/>
        <n v="41"/>
        <n v="166"/>
        <n v="105"/>
        <n v="125"/>
        <n v="61"/>
        <n v="85"/>
        <n v="17"/>
        <n v="62"/>
        <n v="86"/>
        <n v="18"/>
        <n v="150"/>
        <n v="42"/>
        <n v="167"/>
        <n v="106"/>
        <n v="126"/>
        <n v="151"/>
        <n v="43"/>
        <n v="168"/>
        <n v="0"/>
        <n v="107"/>
        <n v="127"/>
        <n v="63"/>
        <n v="87"/>
        <n v="19"/>
        <n v="64"/>
        <n v="88"/>
        <n v="20"/>
        <n v="44"/>
        <n v="169"/>
        <n v="1"/>
        <n v="108"/>
        <n v="128"/>
        <n v="45"/>
        <n v="170"/>
        <n v="2"/>
        <n v="109"/>
        <n v="129"/>
        <n v="65"/>
        <n v="89"/>
        <n v="21"/>
        <n v="66"/>
        <n v="90"/>
        <n v="22"/>
        <n v="46"/>
        <n v="171"/>
        <n v="110"/>
        <n v="130"/>
        <n v="131"/>
        <n v="67"/>
        <n v="23"/>
        <n v="68"/>
        <n v="24"/>
        <n v="132"/>
        <n v="133"/>
        <n v="69"/>
        <n v="25"/>
        <n v="70"/>
        <n v="26"/>
        <n v="134"/>
        <n v="186"/>
        <n v="187"/>
        <n v="188"/>
        <n v="189"/>
        <n v="190"/>
        <n v="191"/>
        <n v="192"/>
        <n v="193"/>
        <n v="-1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7"/>
        <n v="238"/>
        <n v="240"/>
        <n v="241"/>
      </sharedItems>
    </cacheField>
    <cacheField name="CDToExpiry" numFmtId="0">
      <sharedItems containsSemiMixedTypes="0" containsString="0" containsNumber="1" containsInteger="1" minValue="-1" maxValue="345"/>
    </cacheField>
    <cacheField name="Contract2" numFmtId="0">
      <sharedItems/>
    </cacheField>
    <cacheField name="ExpiryDate" numFmtId="14">
      <sharedItems containsSemiMixedTypes="0" containsNonDate="0" containsDate="1" containsString="0" minDate="2020-03-18T00:00:00" maxDate="2023-02-16T00:00:00"/>
    </cacheField>
    <cacheField name="ImpliedRate" numFmtId="0">
      <sharedItems containsSemiMixedTypes="0" containsString="0" containsNumber="1" containsInteger="1" minValue="-1" maxValue="-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10">
  <r>
    <x v="0"/>
    <x v="0"/>
    <n v="0"/>
    <n v="0"/>
    <n v="0"/>
    <n v="0"/>
    <x v="0"/>
    <n v="0"/>
    <n v="0"/>
    <n v="0"/>
    <n v="0"/>
    <x v="0"/>
    <n v="159"/>
    <s v="X (Nov 22)"/>
    <d v="2022-11-16T00:00:00"/>
    <n v="-1"/>
  </r>
  <r>
    <x v="0"/>
    <x v="1"/>
    <n v="0"/>
    <n v="0"/>
    <n v="0"/>
    <n v="0"/>
    <x v="1"/>
    <n v="0"/>
    <n v="0"/>
    <n v="0"/>
    <n v="0"/>
    <x v="1"/>
    <n v="194"/>
    <s v="Z (Dec 22)"/>
    <d v="2022-12-21T00:00:00"/>
    <n v="-1"/>
  </r>
  <r>
    <x v="0"/>
    <x v="2"/>
    <n v="0"/>
    <n v="0"/>
    <n v="0"/>
    <n v="0"/>
    <x v="2"/>
    <n v="0"/>
    <n v="0"/>
    <n v="0"/>
    <n v="0"/>
    <x v="2"/>
    <n v="40"/>
    <s v="N (Jul 22)"/>
    <d v="2022-07-20T00:00:00"/>
    <n v="-1"/>
  </r>
  <r>
    <x v="0"/>
    <x v="3"/>
    <n v="0"/>
    <n v="0"/>
    <n v="0"/>
    <n v="0"/>
    <x v="3"/>
    <n v="0"/>
    <n v="0"/>
    <n v="0"/>
    <n v="0"/>
    <x v="3"/>
    <n v="222"/>
    <s v="F (Jan 23)"/>
    <d v="2023-01-18T00:00:00"/>
    <n v="-1"/>
  </r>
  <r>
    <x v="0"/>
    <x v="4"/>
    <n v="0"/>
    <n v="0"/>
    <n v="0"/>
    <n v="0"/>
    <x v="4"/>
    <n v="0"/>
    <n v="0"/>
    <n v="0"/>
    <n v="0"/>
    <x v="4"/>
    <n v="250"/>
    <s v="G (Feb 23)"/>
    <d v="2023-02-15T00:00:00"/>
    <n v="-1"/>
  </r>
  <r>
    <x v="0"/>
    <x v="5"/>
    <n v="0"/>
    <n v="0"/>
    <n v="0"/>
    <n v="0"/>
    <x v="5"/>
    <n v="0"/>
    <n v="0"/>
    <n v="0"/>
    <n v="0"/>
    <x v="5"/>
    <n v="131"/>
    <s v="V (Oct 22)"/>
    <d v="2022-10-19T00:00:00"/>
    <n v="-1"/>
  </r>
  <r>
    <x v="0"/>
    <x v="6"/>
    <n v="0"/>
    <n v="0"/>
    <n v="0"/>
    <n v="0"/>
    <x v="6"/>
    <n v="0"/>
    <n v="0"/>
    <n v="0"/>
    <n v="0"/>
    <x v="6"/>
    <n v="68"/>
    <s v="Q (Aug 22)"/>
    <d v="2022-08-17T00:00:00"/>
    <n v="-1"/>
  </r>
  <r>
    <x v="0"/>
    <x v="7"/>
    <n v="0"/>
    <n v="0"/>
    <n v="0"/>
    <n v="0"/>
    <x v="7"/>
    <n v="0"/>
    <n v="0"/>
    <n v="0"/>
    <n v="0"/>
    <x v="7"/>
    <n v="103"/>
    <s v="U (Sep 22)"/>
    <d v="2022-09-21T00:00:00"/>
    <n v="-1"/>
  </r>
  <r>
    <x v="0"/>
    <x v="8"/>
    <n v="0"/>
    <n v="0"/>
    <n v="0"/>
    <n v="0"/>
    <x v="8"/>
    <n v="0"/>
    <n v="0"/>
    <n v="0"/>
    <n v="0"/>
    <x v="8"/>
    <n v="5"/>
    <s v="M (Jun 22)"/>
    <d v="2022-06-15T00:00:00"/>
    <n v="-1"/>
  </r>
  <r>
    <x v="1"/>
    <x v="6"/>
    <n v="0"/>
    <n v="0"/>
    <n v="0"/>
    <n v="0"/>
    <x v="9"/>
    <n v="0"/>
    <n v="0"/>
    <n v="0"/>
    <n v="0"/>
    <x v="9"/>
    <n v="69"/>
    <s v="Q (Aug 22)"/>
    <d v="2022-08-17T00:00:00"/>
    <n v="-1"/>
  </r>
  <r>
    <x v="1"/>
    <x v="7"/>
    <n v="0"/>
    <n v="0"/>
    <n v="0"/>
    <n v="0"/>
    <x v="10"/>
    <n v="0"/>
    <n v="0"/>
    <n v="0"/>
    <n v="0"/>
    <x v="10"/>
    <n v="104"/>
    <s v="U (Sep 22)"/>
    <d v="2022-09-21T00:00:00"/>
    <n v="-1"/>
  </r>
  <r>
    <x v="1"/>
    <x v="8"/>
    <n v="0"/>
    <n v="0"/>
    <n v="0"/>
    <n v="0"/>
    <x v="11"/>
    <n v="0"/>
    <n v="0"/>
    <n v="0"/>
    <n v="0"/>
    <x v="11"/>
    <n v="6"/>
    <s v="M (Jun 22)"/>
    <d v="2022-06-15T00:00:00"/>
    <n v="-1"/>
  </r>
  <r>
    <x v="1"/>
    <x v="0"/>
    <n v="0"/>
    <n v="0"/>
    <n v="0"/>
    <n v="0"/>
    <x v="12"/>
    <n v="0"/>
    <n v="0"/>
    <n v="0"/>
    <n v="0"/>
    <x v="12"/>
    <n v="160"/>
    <s v="X (Nov 22)"/>
    <d v="2022-11-16T00:00:00"/>
    <n v="-1"/>
  </r>
  <r>
    <x v="1"/>
    <x v="1"/>
    <n v="0"/>
    <n v="0"/>
    <n v="0"/>
    <n v="0"/>
    <x v="13"/>
    <n v="0"/>
    <n v="0"/>
    <n v="0"/>
    <n v="0"/>
    <x v="13"/>
    <n v="195"/>
    <s v="Z (Dec 22)"/>
    <d v="2022-12-21T00:00:00"/>
    <n v="-1"/>
  </r>
  <r>
    <x v="1"/>
    <x v="2"/>
    <n v="0"/>
    <n v="0"/>
    <n v="0"/>
    <n v="0"/>
    <x v="14"/>
    <n v="0"/>
    <n v="0"/>
    <n v="0"/>
    <n v="0"/>
    <x v="14"/>
    <n v="41"/>
    <s v="N (Jul 22)"/>
    <d v="2022-07-20T00:00:00"/>
    <n v="-1"/>
  </r>
  <r>
    <x v="1"/>
    <x v="3"/>
    <n v="0"/>
    <n v="0"/>
    <n v="0"/>
    <n v="0"/>
    <x v="15"/>
    <n v="0"/>
    <n v="0"/>
    <n v="0"/>
    <n v="0"/>
    <x v="15"/>
    <n v="223"/>
    <s v="F (Jan 23)"/>
    <d v="2023-01-18T00:00:00"/>
    <n v="-1"/>
  </r>
  <r>
    <x v="1"/>
    <x v="4"/>
    <n v="0"/>
    <n v="0"/>
    <n v="0"/>
    <n v="0"/>
    <x v="16"/>
    <n v="0"/>
    <n v="0"/>
    <n v="0"/>
    <n v="0"/>
    <x v="16"/>
    <n v="251"/>
    <s v="G (Feb 23)"/>
    <d v="2023-02-15T00:00:00"/>
    <n v="-1"/>
  </r>
  <r>
    <x v="1"/>
    <x v="5"/>
    <n v="0"/>
    <n v="0"/>
    <n v="0"/>
    <n v="0"/>
    <x v="17"/>
    <n v="0"/>
    <n v="0"/>
    <n v="0"/>
    <n v="0"/>
    <x v="17"/>
    <n v="132"/>
    <s v="V (Oct 22)"/>
    <d v="2022-10-19T00:00:00"/>
    <n v="-1"/>
  </r>
  <r>
    <x v="2"/>
    <x v="0"/>
    <n v="0"/>
    <n v="0"/>
    <n v="0"/>
    <n v="0"/>
    <x v="18"/>
    <n v="0"/>
    <n v="0"/>
    <n v="0"/>
    <n v="0"/>
    <x v="18"/>
    <n v="161"/>
    <s v="X (Nov 22)"/>
    <d v="2022-11-16T00:00:00"/>
    <n v="-1"/>
  </r>
  <r>
    <x v="2"/>
    <x v="1"/>
    <n v="0"/>
    <n v="0"/>
    <n v="0"/>
    <n v="0"/>
    <x v="19"/>
    <n v="0"/>
    <n v="0"/>
    <n v="0"/>
    <n v="0"/>
    <x v="19"/>
    <n v="196"/>
    <s v="Z (Dec 22)"/>
    <d v="2022-12-21T00:00:00"/>
    <n v="-1"/>
  </r>
  <r>
    <x v="2"/>
    <x v="2"/>
    <n v="0"/>
    <n v="0"/>
    <n v="0"/>
    <n v="0"/>
    <x v="20"/>
    <n v="0"/>
    <n v="0"/>
    <n v="0"/>
    <n v="0"/>
    <x v="20"/>
    <n v="42"/>
    <s v="N (Jul 22)"/>
    <d v="2022-07-20T00:00:00"/>
    <n v="-1"/>
  </r>
  <r>
    <x v="2"/>
    <x v="3"/>
    <n v="0"/>
    <n v="0"/>
    <n v="0"/>
    <n v="0"/>
    <x v="21"/>
    <n v="0"/>
    <n v="0"/>
    <n v="0"/>
    <n v="0"/>
    <x v="21"/>
    <n v="224"/>
    <s v="F (Jan 23)"/>
    <d v="2023-01-18T00:00:00"/>
    <n v="-1"/>
  </r>
  <r>
    <x v="2"/>
    <x v="4"/>
    <n v="0"/>
    <n v="0"/>
    <n v="0"/>
    <n v="0"/>
    <x v="22"/>
    <n v="0"/>
    <n v="0"/>
    <n v="0"/>
    <n v="0"/>
    <x v="22"/>
    <n v="252"/>
    <s v="G (Feb 23)"/>
    <d v="2023-02-15T00:00:00"/>
    <n v="-1"/>
  </r>
  <r>
    <x v="2"/>
    <x v="5"/>
    <n v="0"/>
    <n v="0"/>
    <n v="0"/>
    <n v="0"/>
    <x v="23"/>
    <n v="0"/>
    <n v="0"/>
    <n v="0"/>
    <n v="0"/>
    <x v="23"/>
    <n v="133"/>
    <s v="V (Oct 22)"/>
    <d v="2022-10-19T00:00:00"/>
    <n v="-1"/>
  </r>
  <r>
    <x v="2"/>
    <x v="6"/>
    <n v="0"/>
    <n v="0"/>
    <n v="0"/>
    <n v="0"/>
    <x v="24"/>
    <n v="0"/>
    <n v="0"/>
    <n v="0"/>
    <n v="0"/>
    <x v="24"/>
    <n v="70"/>
    <s v="Q (Aug 22)"/>
    <d v="2022-08-17T00:00:00"/>
    <n v="-1"/>
  </r>
  <r>
    <x v="2"/>
    <x v="7"/>
    <n v="0"/>
    <n v="0"/>
    <n v="0"/>
    <n v="0"/>
    <x v="25"/>
    <n v="0"/>
    <n v="0"/>
    <n v="0"/>
    <n v="0"/>
    <x v="25"/>
    <n v="105"/>
    <s v="U (Sep 22)"/>
    <d v="2022-09-21T00:00:00"/>
    <n v="-1"/>
  </r>
  <r>
    <x v="2"/>
    <x v="8"/>
    <n v="0"/>
    <n v="0"/>
    <n v="0"/>
    <n v="0"/>
    <x v="26"/>
    <n v="0"/>
    <n v="0"/>
    <n v="0"/>
    <n v="0"/>
    <x v="26"/>
    <n v="7"/>
    <s v="M (Jun 22)"/>
    <d v="2022-06-15T00:00:00"/>
    <n v="-1"/>
  </r>
  <r>
    <x v="3"/>
    <x v="6"/>
    <n v="0"/>
    <n v="0"/>
    <n v="0"/>
    <n v="0"/>
    <x v="27"/>
    <n v="0"/>
    <n v="0"/>
    <n v="0"/>
    <n v="0"/>
    <x v="27"/>
    <n v="71"/>
    <s v="Q (Aug 22)"/>
    <d v="2022-08-17T00:00:00"/>
    <n v="-1"/>
  </r>
  <r>
    <x v="3"/>
    <x v="7"/>
    <n v="0"/>
    <n v="0"/>
    <n v="0"/>
    <n v="0"/>
    <x v="28"/>
    <n v="0"/>
    <n v="0"/>
    <n v="0"/>
    <n v="0"/>
    <x v="28"/>
    <n v="106"/>
    <s v="U (Sep 22)"/>
    <d v="2022-09-21T00:00:00"/>
    <n v="-1"/>
  </r>
  <r>
    <x v="3"/>
    <x v="8"/>
    <n v="0"/>
    <n v="0"/>
    <n v="0"/>
    <n v="0"/>
    <x v="29"/>
    <n v="0"/>
    <n v="0"/>
    <n v="0"/>
    <n v="0"/>
    <x v="29"/>
    <n v="8"/>
    <s v="M (Jun 22)"/>
    <d v="2022-06-15T00:00:00"/>
    <n v="-1"/>
  </r>
  <r>
    <x v="3"/>
    <x v="1"/>
    <n v="0"/>
    <n v="0"/>
    <n v="0"/>
    <n v="0"/>
    <x v="30"/>
    <n v="0"/>
    <n v="0"/>
    <n v="0"/>
    <n v="0"/>
    <x v="30"/>
    <n v="197"/>
    <s v="Z (Dec 22)"/>
    <d v="2022-12-21T00:00:00"/>
    <n v="-1"/>
  </r>
  <r>
    <x v="3"/>
    <x v="2"/>
    <n v="0"/>
    <n v="0"/>
    <n v="0"/>
    <n v="0"/>
    <x v="31"/>
    <n v="0"/>
    <n v="0"/>
    <n v="0"/>
    <n v="0"/>
    <x v="31"/>
    <n v="43"/>
    <s v="N (Jul 22)"/>
    <d v="2022-07-20T00:00:00"/>
    <n v="-1"/>
  </r>
  <r>
    <x v="3"/>
    <x v="3"/>
    <n v="0"/>
    <n v="0"/>
    <n v="0"/>
    <n v="0"/>
    <x v="32"/>
    <n v="0"/>
    <n v="0"/>
    <n v="0"/>
    <n v="0"/>
    <x v="32"/>
    <n v="225"/>
    <s v="F (Jan 23)"/>
    <d v="2023-01-18T00:00:00"/>
    <n v="-1"/>
  </r>
  <r>
    <x v="3"/>
    <x v="4"/>
    <n v="0"/>
    <n v="0"/>
    <n v="0"/>
    <n v="0"/>
    <x v="33"/>
    <n v="0"/>
    <n v="0"/>
    <n v="0"/>
    <n v="0"/>
    <x v="33"/>
    <n v="253"/>
    <s v="G (Feb 23)"/>
    <d v="2023-02-15T00:00:00"/>
    <n v="-1"/>
  </r>
  <r>
    <x v="3"/>
    <x v="5"/>
    <n v="0"/>
    <n v="0"/>
    <n v="0"/>
    <n v="0"/>
    <x v="34"/>
    <n v="0"/>
    <n v="0"/>
    <n v="0"/>
    <n v="0"/>
    <x v="34"/>
    <n v="134"/>
    <s v="V (Oct 22)"/>
    <d v="2022-10-19T00:00:00"/>
    <n v="-1"/>
  </r>
  <r>
    <x v="3"/>
    <x v="0"/>
    <n v="0"/>
    <n v="0"/>
    <n v="0"/>
    <n v="0"/>
    <x v="35"/>
    <n v="0"/>
    <n v="0"/>
    <n v="0"/>
    <n v="0"/>
    <x v="35"/>
    <n v="162"/>
    <s v="X (Nov 22)"/>
    <d v="2022-11-16T00:00:00"/>
    <n v="-1"/>
  </r>
  <r>
    <x v="4"/>
    <x v="1"/>
    <n v="0"/>
    <n v="0"/>
    <n v="0"/>
    <n v="0"/>
    <x v="36"/>
    <n v="0"/>
    <n v="0"/>
    <n v="0"/>
    <n v="0"/>
    <x v="36"/>
    <n v="198"/>
    <s v="Z (Dec 22)"/>
    <d v="2022-12-21T00:00:00"/>
    <n v="-1"/>
  </r>
  <r>
    <x v="4"/>
    <x v="2"/>
    <n v="0"/>
    <n v="0"/>
    <n v="0"/>
    <n v="0"/>
    <x v="37"/>
    <n v="0"/>
    <n v="0"/>
    <n v="0"/>
    <n v="0"/>
    <x v="37"/>
    <n v="44"/>
    <s v="N (Jul 22)"/>
    <d v="2022-07-20T00:00:00"/>
    <n v="-1"/>
  </r>
  <r>
    <x v="4"/>
    <x v="3"/>
    <n v="0"/>
    <n v="0"/>
    <n v="0"/>
    <n v="0"/>
    <x v="38"/>
    <n v="0"/>
    <n v="0"/>
    <n v="0"/>
    <n v="0"/>
    <x v="38"/>
    <n v="226"/>
    <s v="F (Jan 23)"/>
    <d v="2023-01-18T00:00:00"/>
    <n v="-1"/>
  </r>
  <r>
    <x v="4"/>
    <x v="4"/>
    <n v="0"/>
    <n v="0"/>
    <n v="0"/>
    <n v="0"/>
    <x v="22"/>
    <n v="0"/>
    <n v="0"/>
    <n v="0"/>
    <n v="0"/>
    <x v="39"/>
    <n v="254"/>
    <s v="G (Feb 23)"/>
    <d v="2023-02-15T00:00:00"/>
    <n v="-1"/>
  </r>
  <r>
    <x v="4"/>
    <x v="5"/>
    <n v="0"/>
    <n v="0"/>
    <n v="0"/>
    <n v="0"/>
    <x v="39"/>
    <n v="0"/>
    <n v="0"/>
    <n v="0"/>
    <n v="0"/>
    <x v="40"/>
    <n v="135"/>
    <s v="V (Oct 22)"/>
    <d v="2022-10-19T00:00:00"/>
    <n v="-1"/>
  </r>
  <r>
    <x v="4"/>
    <x v="0"/>
    <n v="0"/>
    <n v="0"/>
    <n v="0"/>
    <n v="0"/>
    <x v="40"/>
    <n v="0"/>
    <n v="0"/>
    <n v="0"/>
    <n v="0"/>
    <x v="41"/>
    <n v="163"/>
    <s v="X (Nov 22)"/>
    <d v="2022-11-16T00:00:00"/>
    <n v="-1"/>
  </r>
  <r>
    <x v="4"/>
    <x v="6"/>
    <n v="0"/>
    <n v="0"/>
    <n v="0"/>
    <n v="0"/>
    <x v="41"/>
    <n v="0"/>
    <n v="0"/>
    <n v="0"/>
    <n v="0"/>
    <x v="42"/>
    <n v="72"/>
    <s v="Q (Aug 22)"/>
    <d v="2022-08-17T00:00:00"/>
    <n v="-1"/>
  </r>
  <r>
    <x v="4"/>
    <x v="7"/>
    <n v="0"/>
    <n v="0"/>
    <n v="0"/>
    <n v="0"/>
    <x v="42"/>
    <n v="0"/>
    <n v="0"/>
    <n v="0"/>
    <n v="0"/>
    <x v="43"/>
    <n v="107"/>
    <s v="U (Sep 22)"/>
    <d v="2022-09-21T00:00:00"/>
    <n v="-1"/>
  </r>
  <r>
    <x v="4"/>
    <x v="8"/>
    <n v="0"/>
    <n v="0"/>
    <n v="0"/>
    <n v="0"/>
    <x v="43"/>
    <n v="0"/>
    <n v="0"/>
    <n v="0"/>
    <n v="0"/>
    <x v="44"/>
    <n v="9"/>
    <s v="M (Jun 22)"/>
    <d v="2022-06-15T00:00:00"/>
    <n v="-1"/>
  </r>
  <r>
    <x v="5"/>
    <x v="6"/>
    <n v="0"/>
    <n v="0"/>
    <n v="0"/>
    <n v="0"/>
    <x v="44"/>
    <n v="0"/>
    <n v="0"/>
    <n v="0"/>
    <n v="0"/>
    <x v="45"/>
    <n v="75"/>
    <s v="Q (Aug 22)"/>
    <d v="2022-08-17T00:00:00"/>
    <n v="-1"/>
  </r>
  <r>
    <x v="5"/>
    <x v="7"/>
    <n v="0"/>
    <n v="0"/>
    <n v="0"/>
    <n v="0"/>
    <x v="45"/>
    <n v="0"/>
    <n v="0"/>
    <n v="0"/>
    <n v="0"/>
    <x v="46"/>
    <n v="110"/>
    <s v="U (Sep 22)"/>
    <d v="2022-09-21T00:00:00"/>
    <n v="-1"/>
  </r>
  <r>
    <x v="5"/>
    <x v="8"/>
    <n v="0"/>
    <n v="0"/>
    <n v="0"/>
    <n v="0"/>
    <x v="46"/>
    <n v="0"/>
    <n v="0"/>
    <n v="0"/>
    <n v="0"/>
    <x v="47"/>
    <n v="12"/>
    <s v="M (Jun 22)"/>
    <d v="2022-06-15T00:00:00"/>
    <n v="-1"/>
  </r>
  <r>
    <x v="5"/>
    <x v="1"/>
    <n v="0"/>
    <n v="0"/>
    <n v="0"/>
    <n v="0"/>
    <x v="47"/>
    <n v="0"/>
    <n v="0"/>
    <n v="0"/>
    <n v="0"/>
    <x v="48"/>
    <n v="201"/>
    <s v="Z (Dec 22)"/>
    <d v="2022-12-21T00:00:00"/>
    <n v="-1"/>
  </r>
  <r>
    <x v="5"/>
    <x v="2"/>
    <n v="0"/>
    <n v="0"/>
    <n v="0"/>
    <n v="0"/>
    <x v="48"/>
    <n v="0"/>
    <n v="0"/>
    <n v="0"/>
    <n v="0"/>
    <x v="49"/>
    <n v="47"/>
    <s v="N (Jul 22)"/>
    <d v="2022-07-20T00:00:00"/>
    <n v="-1"/>
  </r>
  <r>
    <x v="5"/>
    <x v="3"/>
    <n v="0"/>
    <n v="0"/>
    <n v="0"/>
    <n v="0"/>
    <x v="22"/>
    <n v="0"/>
    <n v="0"/>
    <n v="0"/>
    <n v="0"/>
    <x v="50"/>
    <n v="229"/>
    <s v="F (Jan 23)"/>
    <d v="2023-01-18T00:00:00"/>
    <n v="-1"/>
  </r>
  <r>
    <x v="5"/>
    <x v="4"/>
    <n v="0"/>
    <n v="0"/>
    <n v="0"/>
    <n v="0"/>
    <x v="49"/>
    <n v="0"/>
    <n v="0"/>
    <n v="0"/>
    <n v="0"/>
    <x v="51"/>
    <n v="257"/>
    <s v="G (Feb 23)"/>
    <d v="2023-02-15T00:00:00"/>
    <n v="-1"/>
  </r>
  <r>
    <x v="5"/>
    <x v="5"/>
    <n v="0"/>
    <n v="0"/>
    <n v="0"/>
    <n v="0"/>
    <x v="50"/>
    <n v="0"/>
    <n v="0"/>
    <n v="0"/>
    <n v="0"/>
    <x v="52"/>
    <n v="138"/>
    <s v="V (Oct 22)"/>
    <d v="2022-10-19T00:00:00"/>
    <n v="-1"/>
  </r>
  <r>
    <x v="5"/>
    <x v="0"/>
    <n v="0"/>
    <n v="0"/>
    <n v="0"/>
    <n v="0"/>
    <x v="51"/>
    <n v="0"/>
    <n v="0"/>
    <n v="0"/>
    <n v="0"/>
    <x v="53"/>
    <n v="166"/>
    <s v="X (Nov 22)"/>
    <d v="2022-11-16T00:00:00"/>
    <n v="-1"/>
  </r>
  <r>
    <x v="6"/>
    <x v="1"/>
    <n v="0"/>
    <n v="0"/>
    <n v="0"/>
    <n v="0"/>
    <x v="52"/>
    <n v="0"/>
    <n v="0"/>
    <n v="0"/>
    <n v="0"/>
    <x v="54"/>
    <n v="202"/>
    <s v="Z (Dec 22)"/>
    <d v="2022-12-21T00:00:00"/>
    <n v="-1"/>
  </r>
  <r>
    <x v="6"/>
    <x v="2"/>
    <n v="0"/>
    <n v="0"/>
    <n v="0"/>
    <n v="0"/>
    <x v="53"/>
    <n v="0"/>
    <n v="0"/>
    <n v="0"/>
    <n v="0"/>
    <x v="55"/>
    <n v="48"/>
    <s v="N (Jul 22)"/>
    <d v="2022-07-20T00:00:00"/>
    <n v="-1"/>
  </r>
  <r>
    <x v="6"/>
    <x v="3"/>
    <n v="0"/>
    <n v="0"/>
    <n v="0"/>
    <n v="0"/>
    <x v="54"/>
    <n v="0"/>
    <n v="0"/>
    <n v="0"/>
    <n v="0"/>
    <x v="56"/>
    <n v="230"/>
    <s v="F (Jan 23)"/>
    <d v="2023-01-18T00:00:00"/>
    <n v="-1"/>
  </r>
  <r>
    <x v="6"/>
    <x v="4"/>
    <n v="0"/>
    <n v="0"/>
    <n v="0"/>
    <n v="0"/>
    <x v="54"/>
    <n v="0"/>
    <n v="0"/>
    <n v="0"/>
    <n v="0"/>
    <x v="57"/>
    <n v="258"/>
    <s v="G (Feb 23)"/>
    <d v="2023-02-15T00:00:00"/>
    <n v="-1"/>
  </r>
  <r>
    <x v="6"/>
    <x v="5"/>
    <n v="0"/>
    <n v="0"/>
    <n v="0"/>
    <n v="0"/>
    <x v="55"/>
    <n v="0"/>
    <n v="0"/>
    <n v="0"/>
    <n v="0"/>
    <x v="58"/>
    <n v="139"/>
    <s v="V (Oct 22)"/>
    <d v="2022-10-19T00:00:00"/>
    <n v="-1"/>
  </r>
  <r>
    <x v="6"/>
    <x v="0"/>
    <n v="0"/>
    <n v="0"/>
    <n v="0"/>
    <n v="0"/>
    <x v="56"/>
    <n v="0"/>
    <n v="0"/>
    <n v="0"/>
    <n v="0"/>
    <x v="59"/>
    <n v="167"/>
    <s v="X (Nov 22)"/>
    <d v="2022-11-16T00:00:00"/>
    <n v="-1"/>
  </r>
  <r>
    <x v="6"/>
    <x v="6"/>
    <n v="0"/>
    <n v="0"/>
    <n v="0"/>
    <n v="0"/>
    <x v="57"/>
    <n v="0"/>
    <n v="0"/>
    <n v="0"/>
    <n v="0"/>
    <x v="60"/>
    <n v="76"/>
    <s v="Q (Aug 22)"/>
    <d v="2022-08-17T00:00:00"/>
    <n v="-1"/>
  </r>
  <r>
    <x v="6"/>
    <x v="7"/>
    <n v="0"/>
    <n v="0"/>
    <n v="0"/>
    <n v="0"/>
    <x v="58"/>
    <n v="0"/>
    <n v="0"/>
    <n v="0"/>
    <n v="0"/>
    <x v="61"/>
    <n v="111"/>
    <s v="U (Sep 22)"/>
    <d v="2022-09-21T00:00:00"/>
    <n v="-1"/>
  </r>
  <r>
    <x v="6"/>
    <x v="8"/>
    <n v="0"/>
    <n v="0"/>
    <n v="0"/>
    <n v="0"/>
    <x v="59"/>
    <n v="0"/>
    <n v="0"/>
    <n v="0"/>
    <n v="0"/>
    <x v="62"/>
    <n v="13"/>
    <s v="M (Jun 22)"/>
    <d v="2022-06-15T00:00:00"/>
    <n v="-1"/>
  </r>
  <r>
    <x v="7"/>
    <x v="6"/>
    <n v="0"/>
    <n v="0"/>
    <n v="0"/>
    <n v="0"/>
    <x v="60"/>
    <n v="0"/>
    <n v="0"/>
    <n v="0"/>
    <n v="0"/>
    <x v="63"/>
    <n v="77"/>
    <s v="Q (Aug 22)"/>
    <d v="2022-08-17T00:00:00"/>
    <n v="-1"/>
  </r>
  <r>
    <x v="7"/>
    <x v="7"/>
    <n v="0"/>
    <n v="0"/>
    <n v="0"/>
    <n v="0"/>
    <x v="61"/>
    <n v="0"/>
    <n v="0"/>
    <n v="0"/>
    <n v="0"/>
    <x v="64"/>
    <n v="112"/>
    <s v="U (Sep 22)"/>
    <d v="2022-09-21T00:00:00"/>
    <n v="-1"/>
  </r>
  <r>
    <x v="7"/>
    <x v="8"/>
    <n v="0"/>
    <n v="0"/>
    <n v="0"/>
    <n v="0"/>
    <x v="62"/>
    <n v="0"/>
    <n v="0"/>
    <n v="0"/>
    <n v="0"/>
    <x v="65"/>
    <n v="14"/>
    <s v="M (Jun 22)"/>
    <d v="2022-06-15T00:00:00"/>
    <n v="-1"/>
  </r>
  <r>
    <x v="7"/>
    <x v="1"/>
    <n v="0"/>
    <n v="0"/>
    <n v="0"/>
    <n v="0"/>
    <x v="63"/>
    <n v="0"/>
    <n v="0"/>
    <n v="0"/>
    <n v="0"/>
    <x v="66"/>
    <n v="203"/>
    <s v="Z (Dec 22)"/>
    <d v="2022-12-21T00:00:00"/>
    <n v="-1"/>
  </r>
  <r>
    <x v="7"/>
    <x v="2"/>
    <n v="0"/>
    <n v="0"/>
    <n v="0"/>
    <n v="0"/>
    <x v="64"/>
    <n v="0"/>
    <n v="0"/>
    <n v="0"/>
    <n v="0"/>
    <x v="67"/>
    <n v="49"/>
    <s v="N (Jul 22)"/>
    <d v="2022-07-20T00:00:00"/>
    <n v="-1"/>
  </r>
  <r>
    <x v="7"/>
    <x v="3"/>
    <n v="0"/>
    <n v="0"/>
    <n v="0"/>
    <n v="0"/>
    <x v="65"/>
    <n v="0"/>
    <n v="0"/>
    <n v="0"/>
    <n v="0"/>
    <x v="68"/>
    <n v="231"/>
    <s v="F (Jan 23)"/>
    <d v="2023-01-18T00:00:00"/>
    <n v="-1"/>
  </r>
  <r>
    <x v="7"/>
    <x v="4"/>
    <n v="0"/>
    <n v="0"/>
    <n v="0"/>
    <n v="0"/>
    <x v="65"/>
    <n v="0"/>
    <n v="0"/>
    <n v="0"/>
    <n v="0"/>
    <x v="69"/>
    <n v="259"/>
    <s v="G (Feb 23)"/>
    <d v="2023-02-15T00:00:00"/>
    <n v="-1"/>
  </r>
  <r>
    <x v="7"/>
    <x v="5"/>
    <n v="0"/>
    <n v="0"/>
    <n v="0"/>
    <n v="0"/>
    <x v="66"/>
    <n v="0"/>
    <n v="0"/>
    <n v="0"/>
    <n v="0"/>
    <x v="70"/>
    <n v="140"/>
    <s v="V (Oct 22)"/>
    <d v="2022-10-19T00:00:00"/>
    <n v="-1"/>
  </r>
  <r>
    <x v="7"/>
    <x v="0"/>
    <n v="0"/>
    <n v="0"/>
    <n v="0"/>
    <n v="0"/>
    <x v="67"/>
    <n v="0"/>
    <n v="0"/>
    <n v="0"/>
    <n v="0"/>
    <x v="71"/>
    <n v="168"/>
    <s v="X (Nov 22)"/>
    <d v="2022-11-16T00:00:00"/>
    <n v="-1"/>
  </r>
  <r>
    <x v="8"/>
    <x v="1"/>
    <n v="0"/>
    <n v="0"/>
    <n v="0"/>
    <n v="0"/>
    <x v="68"/>
    <n v="0"/>
    <n v="0"/>
    <n v="0"/>
    <n v="0"/>
    <x v="72"/>
    <n v="204"/>
    <s v="Z (Dec 22)"/>
    <d v="2022-12-21T00:00:00"/>
    <n v="-1"/>
  </r>
  <r>
    <x v="8"/>
    <x v="2"/>
    <n v="0"/>
    <n v="0"/>
    <n v="0"/>
    <n v="0"/>
    <x v="69"/>
    <n v="0"/>
    <n v="0"/>
    <n v="0"/>
    <n v="0"/>
    <x v="73"/>
    <n v="50"/>
    <s v="N (Jul 22)"/>
    <d v="2022-07-20T00:00:00"/>
    <n v="-1"/>
  </r>
  <r>
    <x v="8"/>
    <x v="3"/>
    <n v="0"/>
    <n v="0"/>
    <n v="0"/>
    <n v="0"/>
    <x v="70"/>
    <n v="0"/>
    <n v="0"/>
    <n v="0"/>
    <n v="0"/>
    <x v="74"/>
    <n v="232"/>
    <s v="F (Jan 23)"/>
    <d v="2023-01-18T00:00:00"/>
    <n v="-1"/>
  </r>
  <r>
    <x v="8"/>
    <x v="4"/>
    <n v="0"/>
    <n v="0"/>
    <n v="0"/>
    <n v="0"/>
    <x v="71"/>
    <n v="0"/>
    <n v="0"/>
    <n v="0"/>
    <n v="0"/>
    <x v="75"/>
    <n v="260"/>
    <s v="G (Feb 23)"/>
    <d v="2023-02-15T00:00:00"/>
    <n v="-1"/>
  </r>
  <r>
    <x v="8"/>
    <x v="5"/>
    <n v="0"/>
    <n v="0"/>
    <n v="0"/>
    <n v="0"/>
    <x v="72"/>
    <n v="0"/>
    <n v="0"/>
    <n v="0"/>
    <n v="0"/>
    <x v="76"/>
    <n v="141"/>
    <s v="V (Oct 22)"/>
    <d v="2022-10-19T00:00:00"/>
    <n v="-1"/>
  </r>
  <r>
    <x v="8"/>
    <x v="0"/>
    <n v="0"/>
    <n v="0"/>
    <n v="0"/>
    <n v="0"/>
    <x v="73"/>
    <n v="0"/>
    <n v="0"/>
    <n v="0"/>
    <n v="0"/>
    <x v="77"/>
    <n v="169"/>
    <s v="X (Nov 22)"/>
    <d v="2022-11-16T00:00:00"/>
    <n v="-1"/>
  </r>
  <r>
    <x v="8"/>
    <x v="6"/>
    <n v="0"/>
    <n v="0"/>
    <n v="0"/>
    <n v="0"/>
    <x v="74"/>
    <n v="0"/>
    <n v="0"/>
    <n v="0"/>
    <n v="0"/>
    <x v="78"/>
    <n v="78"/>
    <s v="Q (Aug 22)"/>
    <d v="2022-08-17T00:00:00"/>
    <n v="-1"/>
  </r>
  <r>
    <x v="8"/>
    <x v="7"/>
    <n v="0"/>
    <n v="0"/>
    <n v="0"/>
    <n v="0"/>
    <x v="75"/>
    <n v="0"/>
    <n v="0"/>
    <n v="0"/>
    <n v="0"/>
    <x v="79"/>
    <n v="113"/>
    <s v="U (Sep 22)"/>
    <d v="2022-09-21T00:00:00"/>
    <n v="-1"/>
  </r>
  <r>
    <x v="8"/>
    <x v="8"/>
    <n v="0"/>
    <n v="0"/>
    <n v="0"/>
    <n v="0"/>
    <x v="76"/>
    <n v="0"/>
    <n v="0"/>
    <n v="0"/>
    <n v="0"/>
    <x v="80"/>
    <n v="15"/>
    <s v="M (Jun 22)"/>
    <d v="2022-06-15T00:00:00"/>
    <n v="-1"/>
  </r>
  <r>
    <x v="9"/>
    <x v="6"/>
    <n v="0"/>
    <n v="0"/>
    <n v="0"/>
    <n v="0"/>
    <x v="77"/>
    <n v="0"/>
    <n v="0"/>
    <n v="0"/>
    <n v="0"/>
    <x v="81"/>
    <n v="82"/>
    <s v="Q (Aug 22)"/>
    <d v="2022-08-17T00:00:00"/>
    <n v="-1"/>
  </r>
  <r>
    <x v="9"/>
    <x v="7"/>
    <n v="0"/>
    <n v="0"/>
    <n v="0"/>
    <n v="0"/>
    <x v="78"/>
    <n v="0"/>
    <n v="0"/>
    <n v="0"/>
    <n v="0"/>
    <x v="82"/>
    <n v="117"/>
    <s v="U (Sep 22)"/>
    <d v="2022-09-21T00:00:00"/>
    <n v="-1"/>
  </r>
  <r>
    <x v="9"/>
    <x v="8"/>
    <n v="0"/>
    <n v="0"/>
    <n v="0"/>
    <n v="0"/>
    <x v="79"/>
    <n v="0"/>
    <n v="0"/>
    <n v="0"/>
    <n v="0"/>
    <x v="83"/>
    <n v="19"/>
    <s v="M (Jun 22)"/>
    <d v="2022-06-15T00:00:00"/>
    <n v="-1"/>
  </r>
  <r>
    <x v="9"/>
    <x v="1"/>
    <n v="0"/>
    <n v="0"/>
    <n v="0"/>
    <n v="0"/>
    <x v="80"/>
    <n v="0"/>
    <n v="0"/>
    <n v="0"/>
    <n v="0"/>
    <x v="84"/>
    <n v="208"/>
    <s v="Z (Dec 22)"/>
    <d v="2022-12-21T00:00:00"/>
    <n v="-1"/>
  </r>
  <r>
    <x v="9"/>
    <x v="2"/>
    <n v="0"/>
    <n v="0"/>
    <n v="0"/>
    <n v="0"/>
    <x v="81"/>
    <n v="0"/>
    <n v="0"/>
    <n v="0"/>
    <n v="0"/>
    <x v="85"/>
    <n v="54"/>
    <s v="N (Jul 22)"/>
    <d v="2022-07-20T00:00:00"/>
    <n v="-1"/>
  </r>
  <r>
    <x v="9"/>
    <x v="3"/>
    <n v="0"/>
    <n v="0"/>
    <n v="0"/>
    <n v="0"/>
    <x v="82"/>
    <n v="0"/>
    <n v="0"/>
    <n v="0"/>
    <n v="0"/>
    <x v="86"/>
    <n v="236"/>
    <s v="F (Jan 23)"/>
    <d v="2023-01-18T00:00:00"/>
    <n v="-1"/>
  </r>
  <r>
    <x v="9"/>
    <x v="4"/>
    <n v="0"/>
    <n v="0"/>
    <n v="0"/>
    <n v="0"/>
    <x v="21"/>
    <n v="0"/>
    <n v="0"/>
    <n v="0"/>
    <n v="0"/>
    <x v="87"/>
    <n v="264"/>
    <s v="G (Feb 23)"/>
    <d v="2023-02-15T00:00:00"/>
    <n v="-1"/>
  </r>
  <r>
    <x v="9"/>
    <x v="5"/>
    <n v="0"/>
    <n v="0"/>
    <n v="0"/>
    <n v="0"/>
    <x v="83"/>
    <n v="0"/>
    <n v="0"/>
    <n v="0"/>
    <n v="0"/>
    <x v="88"/>
    <n v="145"/>
    <s v="V (Oct 22)"/>
    <d v="2022-10-19T00:00:00"/>
    <n v="-1"/>
  </r>
  <r>
    <x v="9"/>
    <x v="0"/>
    <n v="0"/>
    <n v="0"/>
    <n v="0"/>
    <n v="0"/>
    <x v="84"/>
    <n v="0"/>
    <n v="0"/>
    <n v="0"/>
    <n v="0"/>
    <x v="89"/>
    <n v="173"/>
    <s v="X (Nov 22)"/>
    <d v="2022-11-16T00:00:00"/>
    <n v="-1"/>
  </r>
  <r>
    <x v="10"/>
    <x v="1"/>
    <n v="0"/>
    <n v="0"/>
    <n v="0"/>
    <n v="0"/>
    <x v="85"/>
    <n v="0"/>
    <n v="0"/>
    <n v="0"/>
    <n v="0"/>
    <x v="90"/>
    <n v="209"/>
    <s v="Z (Dec 22)"/>
    <d v="2022-12-21T00:00:00"/>
    <n v="-1"/>
  </r>
  <r>
    <x v="10"/>
    <x v="2"/>
    <n v="0"/>
    <n v="0"/>
    <n v="0"/>
    <n v="0"/>
    <x v="86"/>
    <n v="0"/>
    <n v="0"/>
    <n v="0"/>
    <n v="0"/>
    <x v="91"/>
    <n v="55"/>
    <s v="N (Jul 22)"/>
    <d v="2022-07-20T00:00:00"/>
    <n v="-1"/>
  </r>
  <r>
    <x v="10"/>
    <x v="3"/>
    <n v="0"/>
    <n v="0"/>
    <n v="0"/>
    <n v="0"/>
    <x v="87"/>
    <n v="0"/>
    <n v="0"/>
    <n v="0"/>
    <n v="0"/>
    <x v="92"/>
    <n v="237"/>
    <s v="F (Jan 23)"/>
    <d v="2023-01-18T00:00:00"/>
    <n v="-1"/>
  </r>
  <r>
    <x v="10"/>
    <x v="4"/>
    <n v="0"/>
    <n v="0"/>
    <n v="0"/>
    <n v="0"/>
    <x v="88"/>
    <n v="0"/>
    <n v="0"/>
    <n v="0"/>
    <n v="0"/>
    <x v="93"/>
    <n v="265"/>
    <s v="G (Feb 23)"/>
    <d v="2023-02-15T00:00:00"/>
    <n v="-1"/>
  </r>
  <r>
    <x v="10"/>
    <x v="5"/>
    <n v="0"/>
    <n v="0"/>
    <n v="0"/>
    <n v="0"/>
    <x v="89"/>
    <n v="0"/>
    <n v="0"/>
    <n v="0"/>
    <n v="0"/>
    <x v="94"/>
    <n v="146"/>
    <s v="V (Oct 22)"/>
    <d v="2022-10-19T00:00:00"/>
    <n v="-1"/>
  </r>
  <r>
    <x v="10"/>
    <x v="0"/>
    <n v="0"/>
    <n v="0"/>
    <n v="0"/>
    <n v="0"/>
    <x v="90"/>
    <n v="0"/>
    <n v="0"/>
    <n v="0"/>
    <n v="0"/>
    <x v="95"/>
    <n v="174"/>
    <s v="X (Nov 22)"/>
    <d v="2022-11-16T00:00:00"/>
    <n v="-1"/>
  </r>
  <r>
    <x v="10"/>
    <x v="6"/>
    <n v="0"/>
    <n v="0"/>
    <n v="0"/>
    <n v="0"/>
    <x v="91"/>
    <n v="0"/>
    <n v="0"/>
    <n v="0"/>
    <n v="0"/>
    <x v="96"/>
    <n v="83"/>
    <s v="Q (Aug 22)"/>
    <d v="2022-08-17T00:00:00"/>
    <n v="-1"/>
  </r>
  <r>
    <x v="10"/>
    <x v="7"/>
    <n v="0"/>
    <n v="0"/>
    <n v="0"/>
    <n v="0"/>
    <x v="92"/>
    <n v="0"/>
    <n v="0"/>
    <n v="0"/>
    <n v="0"/>
    <x v="97"/>
    <n v="118"/>
    <s v="U (Sep 22)"/>
    <d v="2022-09-21T00:00:00"/>
    <n v="-1"/>
  </r>
  <r>
    <x v="10"/>
    <x v="8"/>
    <n v="0"/>
    <n v="0"/>
    <n v="0"/>
    <n v="0"/>
    <x v="93"/>
    <n v="0"/>
    <n v="0"/>
    <n v="0"/>
    <n v="0"/>
    <x v="98"/>
    <n v="20"/>
    <s v="M (Jun 22)"/>
    <d v="2022-06-15T00:00:00"/>
    <n v="-1"/>
  </r>
  <r>
    <x v="11"/>
    <x v="6"/>
    <n v="0"/>
    <n v="0"/>
    <n v="0"/>
    <n v="0"/>
    <x v="94"/>
    <n v="0"/>
    <n v="0"/>
    <n v="0"/>
    <n v="0"/>
    <x v="99"/>
    <n v="84"/>
    <s v="Q (Aug 22)"/>
    <d v="2022-08-17T00:00:00"/>
    <n v="-1"/>
  </r>
  <r>
    <x v="11"/>
    <x v="7"/>
    <n v="0"/>
    <n v="0"/>
    <n v="0"/>
    <n v="0"/>
    <x v="95"/>
    <n v="0"/>
    <n v="0"/>
    <n v="0"/>
    <n v="0"/>
    <x v="100"/>
    <n v="119"/>
    <s v="U (Sep 22)"/>
    <d v="2022-09-21T00:00:00"/>
    <n v="-1"/>
  </r>
  <r>
    <x v="11"/>
    <x v="8"/>
    <n v="0"/>
    <n v="0"/>
    <n v="0"/>
    <n v="0"/>
    <x v="96"/>
    <n v="0"/>
    <n v="0"/>
    <n v="0"/>
    <n v="0"/>
    <x v="101"/>
    <n v="21"/>
    <s v="M (Jun 22)"/>
    <d v="2022-06-15T00:00:00"/>
    <n v="-1"/>
  </r>
  <r>
    <x v="11"/>
    <x v="1"/>
    <n v="0"/>
    <n v="0"/>
    <n v="0"/>
    <n v="0"/>
    <x v="97"/>
    <n v="0"/>
    <n v="0"/>
    <n v="0"/>
    <n v="0"/>
    <x v="102"/>
    <n v="210"/>
    <s v="Z (Dec 22)"/>
    <d v="2022-12-21T00:00:00"/>
    <n v="-1"/>
  </r>
  <r>
    <x v="11"/>
    <x v="2"/>
    <n v="0"/>
    <n v="0"/>
    <n v="0"/>
    <n v="0"/>
    <x v="98"/>
    <n v="0"/>
    <n v="0"/>
    <n v="0"/>
    <n v="0"/>
    <x v="103"/>
    <n v="56"/>
    <s v="N (Jul 22)"/>
    <d v="2022-07-20T00:00:00"/>
    <n v="-1"/>
  </r>
  <r>
    <x v="11"/>
    <x v="3"/>
    <n v="0"/>
    <n v="0"/>
    <n v="0"/>
    <n v="0"/>
    <x v="99"/>
    <n v="0"/>
    <n v="0"/>
    <n v="0"/>
    <n v="0"/>
    <x v="104"/>
    <n v="238"/>
    <s v="F (Jan 23)"/>
    <d v="2023-01-18T00:00:00"/>
    <n v="-1"/>
  </r>
  <r>
    <x v="11"/>
    <x v="4"/>
    <n v="0"/>
    <n v="0"/>
    <n v="0"/>
    <n v="0"/>
    <x v="100"/>
    <n v="0"/>
    <n v="0"/>
    <n v="0"/>
    <n v="0"/>
    <x v="105"/>
    <n v="266"/>
    <s v="G (Feb 23)"/>
    <d v="2023-02-15T00:00:00"/>
    <n v="-1"/>
  </r>
  <r>
    <x v="11"/>
    <x v="5"/>
    <n v="0"/>
    <n v="0"/>
    <n v="0"/>
    <n v="0"/>
    <x v="101"/>
    <n v="0"/>
    <n v="0"/>
    <n v="0"/>
    <n v="0"/>
    <x v="106"/>
    <n v="147"/>
    <s v="V (Oct 22)"/>
    <d v="2022-10-19T00:00:00"/>
    <n v="-1"/>
  </r>
  <r>
    <x v="11"/>
    <x v="0"/>
    <n v="0"/>
    <n v="0"/>
    <n v="0"/>
    <n v="0"/>
    <x v="102"/>
    <n v="0"/>
    <n v="0"/>
    <n v="0"/>
    <n v="0"/>
    <x v="107"/>
    <n v="175"/>
    <s v="X (Nov 22)"/>
    <d v="2022-11-16T00:00:00"/>
    <n v="-1"/>
  </r>
  <r>
    <x v="12"/>
    <x v="1"/>
    <n v="0"/>
    <n v="0"/>
    <n v="0"/>
    <n v="0"/>
    <x v="70"/>
    <n v="0"/>
    <n v="0"/>
    <n v="0"/>
    <n v="0"/>
    <x v="108"/>
    <n v="211"/>
    <s v="Z (Dec 22)"/>
    <d v="2022-12-21T00:00:00"/>
    <n v="-1"/>
  </r>
  <r>
    <x v="12"/>
    <x v="2"/>
    <n v="0"/>
    <n v="0"/>
    <n v="0"/>
    <n v="0"/>
    <x v="103"/>
    <n v="0"/>
    <n v="0"/>
    <n v="0"/>
    <n v="0"/>
    <x v="109"/>
    <n v="57"/>
    <s v="N (Jul 22)"/>
    <d v="2022-07-20T00:00:00"/>
    <n v="-1"/>
  </r>
  <r>
    <x v="12"/>
    <x v="3"/>
    <n v="0"/>
    <n v="0"/>
    <n v="0"/>
    <n v="0"/>
    <x v="15"/>
    <n v="0"/>
    <n v="0"/>
    <n v="0"/>
    <n v="0"/>
    <x v="110"/>
    <n v="239"/>
    <s v="F (Jan 23)"/>
    <d v="2023-01-18T00:00:00"/>
    <n v="-1"/>
  </r>
  <r>
    <x v="12"/>
    <x v="4"/>
    <n v="0"/>
    <n v="0"/>
    <n v="0"/>
    <n v="0"/>
    <x v="104"/>
    <n v="0"/>
    <n v="0"/>
    <n v="0"/>
    <n v="0"/>
    <x v="111"/>
    <n v="267"/>
    <s v="G (Feb 23)"/>
    <d v="2023-02-15T00:00:00"/>
    <n v="-1"/>
  </r>
  <r>
    <x v="12"/>
    <x v="5"/>
    <n v="0"/>
    <n v="0"/>
    <n v="0"/>
    <n v="0"/>
    <x v="105"/>
    <n v="0"/>
    <n v="0"/>
    <n v="0"/>
    <n v="0"/>
    <x v="112"/>
    <n v="148"/>
    <s v="V (Oct 22)"/>
    <d v="2022-10-19T00:00:00"/>
    <n v="-1"/>
  </r>
  <r>
    <x v="12"/>
    <x v="0"/>
    <n v="0"/>
    <n v="0"/>
    <n v="0"/>
    <n v="0"/>
    <x v="106"/>
    <n v="0"/>
    <n v="0"/>
    <n v="0"/>
    <n v="0"/>
    <x v="113"/>
    <n v="176"/>
    <s v="X (Nov 22)"/>
    <d v="2022-11-16T00:00:00"/>
    <n v="-1"/>
  </r>
  <r>
    <x v="12"/>
    <x v="6"/>
    <n v="0"/>
    <n v="0"/>
    <n v="0"/>
    <n v="0"/>
    <x v="107"/>
    <n v="0"/>
    <n v="0"/>
    <n v="0"/>
    <n v="0"/>
    <x v="114"/>
    <n v="85"/>
    <s v="Q (Aug 22)"/>
    <d v="2022-08-17T00:00:00"/>
    <n v="-1"/>
  </r>
  <r>
    <x v="12"/>
    <x v="7"/>
    <n v="0"/>
    <n v="0"/>
    <n v="0"/>
    <n v="0"/>
    <x v="108"/>
    <n v="0"/>
    <n v="0"/>
    <n v="0"/>
    <n v="0"/>
    <x v="115"/>
    <n v="120"/>
    <s v="U (Sep 22)"/>
    <d v="2022-09-21T00:00:00"/>
    <n v="-1"/>
  </r>
  <r>
    <x v="12"/>
    <x v="8"/>
    <n v="0"/>
    <n v="0"/>
    <n v="0"/>
    <n v="0"/>
    <x v="109"/>
    <n v="0"/>
    <n v="0"/>
    <n v="0"/>
    <n v="0"/>
    <x v="116"/>
    <n v="22"/>
    <s v="M (Jun 22)"/>
    <d v="2022-06-15T00:00:00"/>
    <n v="-1"/>
  </r>
  <r>
    <x v="13"/>
    <x v="6"/>
    <n v="0"/>
    <n v="0"/>
    <n v="0"/>
    <n v="0"/>
    <x v="110"/>
    <n v="0"/>
    <n v="0"/>
    <n v="0"/>
    <n v="0"/>
    <x v="117"/>
    <n v="86"/>
    <s v="Q (Aug 22)"/>
    <d v="2022-08-17T00:00:00"/>
    <n v="-1"/>
  </r>
  <r>
    <x v="13"/>
    <x v="7"/>
    <n v="0"/>
    <n v="0"/>
    <n v="0"/>
    <n v="0"/>
    <x v="111"/>
    <n v="0"/>
    <n v="0"/>
    <n v="0"/>
    <n v="0"/>
    <x v="118"/>
    <n v="121"/>
    <s v="U (Sep 22)"/>
    <d v="2022-09-21T00:00:00"/>
    <n v="-1"/>
  </r>
  <r>
    <x v="13"/>
    <x v="8"/>
    <n v="0"/>
    <n v="0"/>
    <n v="0"/>
    <n v="0"/>
    <x v="112"/>
    <n v="0"/>
    <n v="0"/>
    <n v="0"/>
    <n v="0"/>
    <x v="119"/>
    <n v="23"/>
    <s v="M (Jun 22)"/>
    <d v="2022-06-15T00:00:00"/>
    <n v="-1"/>
  </r>
  <r>
    <x v="13"/>
    <x v="1"/>
    <n v="0"/>
    <n v="0"/>
    <n v="0"/>
    <n v="0"/>
    <x v="113"/>
    <n v="0"/>
    <n v="0"/>
    <n v="0"/>
    <n v="0"/>
    <x v="120"/>
    <n v="212"/>
    <s v="Z (Dec 22)"/>
    <d v="2022-12-21T00:00:00"/>
    <n v="-1"/>
  </r>
  <r>
    <x v="13"/>
    <x v="2"/>
    <n v="0"/>
    <n v="0"/>
    <n v="0"/>
    <n v="0"/>
    <x v="114"/>
    <n v="0"/>
    <n v="0"/>
    <n v="0"/>
    <n v="0"/>
    <x v="121"/>
    <n v="58"/>
    <s v="N (Jul 22)"/>
    <d v="2022-07-20T00:00:00"/>
    <n v="-1"/>
  </r>
  <r>
    <x v="13"/>
    <x v="3"/>
    <n v="0"/>
    <n v="0"/>
    <n v="0"/>
    <n v="0"/>
    <x v="15"/>
    <n v="0"/>
    <n v="0"/>
    <n v="0"/>
    <n v="0"/>
    <x v="122"/>
    <n v="240"/>
    <s v="F (Jan 23)"/>
    <d v="2023-01-18T00:00:00"/>
    <n v="-1"/>
  </r>
  <r>
    <x v="13"/>
    <x v="4"/>
    <n v="0"/>
    <n v="0"/>
    <n v="0"/>
    <n v="0"/>
    <x v="115"/>
    <n v="0"/>
    <n v="0"/>
    <n v="0"/>
    <n v="0"/>
    <x v="123"/>
    <n v="268"/>
    <s v="G (Feb 23)"/>
    <d v="2023-02-15T00:00:00"/>
    <n v="-1"/>
  </r>
  <r>
    <x v="13"/>
    <x v="5"/>
    <n v="0"/>
    <n v="0"/>
    <n v="0"/>
    <n v="0"/>
    <x v="116"/>
    <n v="0"/>
    <n v="0"/>
    <n v="0"/>
    <n v="0"/>
    <x v="124"/>
    <n v="149"/>
    <s v="V (Oct 22)"/>
    <d v="2022-10-19T00:00:00"/>
    <n v="-1"/>
  </r>
  <r>
    <x v="13"/>
    <x v="0"/>
    <n v="0"/>
    <n v="0"/>
    <n v="0"/>
    <n v="0"/>
    <x v="117"/>
    <n v="0"/>
    <n v="0"/>
    <n v="0"/>
    <n v="0"/>
    <x v="125"/>
    <n v="177"/>
    <s v="X (Nov 22)"/>
    <d v="2022-11-16T00:00:00"/>
    <n v="-1"/>
  </r>
  <r>
    <x v="14"/>
    <x v="1"/>
    <n v="0"/>
    <n v="0"/>
    <n v="0"/>
    <n v="0"/>
    <x v="118"/>
    <n v="0"/>
    <n v="0"/>
    <n v="0"/>
    <n v="0"/>
    <x v="126"/>
    <n v="215"/>
    <s v="Z (Dec 22)"/>
    <d v="2022-12-21T00:00:00"/>
    <n v="-1"/>
  </r>
  <r>
    <x v="14"/>
    <x v="2"/>
    <n v="0"/>
    <n v="0"/>
    <n v="0"/>
    <n v="0"/>
    <x v="119"/>
    <n v="0"/>
    <n v="0"/>
    <n v="0"/>
    <n v="0"/>
    <x v="127"/>
    <n v="61"/>
    <s v="N (Jul 22)"/>
    <d v="2022-07-20T00:00:00"/>
    <n v="-1"/>
  </r>
  <r>
    <x v="14"/>
    <x v="3"/>
    <n v="0"/>
    <n v="0"/>
    <n v="0"/>
    <n v="0"/>
    <x v="120"/>
    <n v="0"/>
    <n v="0"/>
    <n v="0"/>
    <n v="0"/>
    <x v="128"/>
    <n v="243"/>
    <s v="F (Jan 23)"/>
    <d v="2023-01-18T00:00:00"/>
    <n v="-1"/>
  </r>
  <r>
    <x v="14"/>
    <x v="5"/>
    <n v="0"/>
    <n v="0"/>
    <n v="0"/>
    <n v="0"/>
    <x v="121"/>
    <n v="0"/>
    <n v="0"/>
    <n v="0"/>
    <n v="0"/>
    <x v="129"/>
    <n v="152"/>
    <s v="V (Oct 22)"/>
    <d v="2022-10-19T00:00:00"/>
    <n v="-1"/>
  </r>
  <r>
    <x v="14"/>
    <x v="0"/>
    <n v="0"/>
    <n v="0"/>
    <n v="0"/>
    <n v="0"/>
    <x v="122"/>
    <n v="0"/>
    <n v="0"/>
    <n v="0"/>
    <n v="0"/>
    <x v="130"/>
    <n v="180"/>
    <s v="X (Nov 22)"/>
    <d v="2022-11-16T00:00:00"/>
    <n v="-1"/>
  </r>
  <r>
    <x v="14"/>
    <x v="6"/>
    <n v="0"/>
    <n v="0"/>
    <n v="0"/>
    <n v="0"/>
    <x v="123"/>
    <n v="0"/>
    <n v="0"/>
    <n v="0"/>
    <n v="0"/>
    <x v="131"/>
    <n v="89"/>
    <s v="Q (Aug 22)"/>
    <d v="2022-08-17T00:00:00"/>
    <n v="-1"/>
  </r>
  <r>
    <x v="14"/>
    <x v="7"/>
    <n v="0"/>
    <n v="0"/>
    <n v="0"/>
    <n v="0"/>
    <x v="124"/>
    <n v="0"/>
    <n v="0"/>
    <n v="0"/>
    <n v="0"/>
    <x v="132"/>
    <n v="124"/>
    <s v="U (Sep 22)"/>
    <d v="2022-09-21T00:00:00"/>
    <n v="-1"/>
  </r>
  <r>
    <x v="14"/>
    <x v="8"/>
    <n v="0"/>
    <n v="0"/>
    <n v="0"/>
    <n v="0"/>
    <x v="125"/>
    <n v="0"/>
    <n v="0"/>
    <n v="0"/>
    <n v="0"/>
    <x v="133"/>
    <n v="26"/>
    <s v="M (Jun 22)"/>
    <d v="2022-06-15T00:00:00"/>
    <n v="-1"/>
  </r>
  <r>
    <x v="15"/>
    <x v="6"/>
    <n v="0"/>
    <n v="0"/>
    <n v="0"/>
    <n v="0"/>
    <x v="126"/>
    <n v="0"/>
    <n v="0"/>
    <n v="0"/>
    <n v="0"/>
    <x v="134"/>
    <n v="90"/>
    <s v="Q (Aug 22)"/>
    <d v="2022-08-17T00:00:00"/>
    <n v="-1"/>
  </r>
  <r>
    <x v="15"/>
    <x v="7"/>
    <n v="0"/>
    <n v="0"/>
    <n v="0"/>
    <n v="0"/>
    <x v="127"/>
    <n v="0"/>
    <n v="0"/>
    <n v="0"/>
    <n v="0"/>
    <x v="135"/>
    <n v="125"/>
    <s v="U (Sep 22)"/>
    <d v="2022-09-21T00:00:00"/>
    <n v="-1"/>
  </r>
  <r>
    <x v="15"/>
    <x v="8"/>
    <n v="0"/>
    <n v="0"/>
    <n v="0"/>
    <n v="0"/>
    <x v="128"/>
    <n v="0"/>
    <n v="0"/>
    <n v="0"/>
    <n v="0"/>
    <x v="136"/>
    <n v="27"/>
    <s v="M (Jun 22)"/>
    <d v="2022-06-15T00:00:00"/>
    <n v="-1"/>
  </r>
  <r>
    <x v="15"/>
    <x v="1"/>
    <n v="0"/>
    <n v="0"/>
    <n v="0"/>
    <n v="0"/>
    <x v="129"/>
    <n v="0"/>
    <n v="0"/>
    <n v="0"/>
    <n v="0"/>
    <x v="137"/>
    <n v="216"/>
    <s v="Z (Dec 22)"/>
    <d v="2022-12-21T00:00:00"/>
    <n v="-1"/>
  </r>
  <r>
    <x v="15"/>
    <x v="2"/>
    <n v="0"/>
    <n v="0"/>
    <n v="0"/>
    <n v="0"/>
    <x v="130"/>
    <n v="0"/>
    <n v="0"/>
    <n v="0"/>
    <n v="0"/>
    <x v="138"/>
    <n v="62"/>
    <s v="N (Jul 22)"/>
    <d v="2022-07-20T00:00:00"/>
    <n v="-1"/>
  </r>
  <r>
    <x v="15"/>
    <x v="3"/>
    <n v="0"/>
    <n v="0"/>
    <n v="0"/>
    <n v="0"/>
    <x v="15"/>
    <n v="0"/>
    <n v="0"/>
    <n v="0"/>
    <n v="0"/>
    <x v="139"/>
    <n v="244"/>
    <s v="F (Jan 23)"/>
    <d v="2023-01-18T00:00:00"/>
    <n v="-1"/>
  </r>
  <r>
    <x v="15"/>
    <x v="5"/>
    <n v="0"/>
    <n v="0"/>
    <n v="0"/>
    <n v="0"/>
    <x v="131"/>
    <n v="0"/>
    <n v="0"/>
    <n v="0"/>
    <n v="0"/>
    <x v="140"/>
    <n v="153"/>
    <s v="V (Oct 22)"/>
    <d v="2022-10-19T00:00:00"/>
    <n v="-1"/>
  </r>
  <r>
    <x v="15"/>
    <x v="0"/>
    <n v="0"/>
    <n v="0"/>
    <n v="0"/>
    <n v="0"/>
    <x v="132"/>
    <n v="0"/>
    <n v="0"/>
    <n v="0"/>
    <n v="0"/>
    <x v="141"/>
    <n v="181"/>
    <s v="X (Nov 22)"/>
    <d v="2022-11-16T00:00:00"/>
    <n v="-1"/>
  </r>
  <r>
    <x v="16"/>
    <x v="1"/>
    <n v="0"/>
    <n v="0"/>
    <n v="0"/>
    <n v="0"/>
    <x v="133"/>
    <n v="0"/>
    <n v="0"/>
    <n v="0"/>
    <n v="0"/>
    <x v="142"/>
    <n v="217"/>
    <s v="Z (Dec 22)"/>
    <d v="2022-12-21T00:00:00"/>
    <n v="-1"/>
  </r>
  <r>
    <x v="16"/>
    <x v="2"/>
    <n v="0"/>
    <n v="0"/>
    <n v="0"/>
    <n v="0"/>
    <x v="134"/>
    <n v="0"/>
    <n v="0"/>
    <n v="0"/>
    <n v="0"/>
    <x v="143"/>
    <n v="63"/>
    <s v="N (Jul 22)"/>
    <d v="2022-07-20T00:00:00"/>
    <n v="-1"/>
  </r>
  <r>
    <x v="16"/>
    <x v="3"/>
    <n v="0"/>
    <n v="0"/>
    <n v="0"/>
    <n v="0"/>
    <x v="135"/>
    <n v="0"/>
    <n v="0"/>
    <n v="0"/>
    <n v="0"/>
    <x v="144"/>
    <n v="245"/>
    <s v="F (Jan 23)"/>
    <d v="2023-01-18T00:00:00"/>
    <n v="-1"/>
  </r>
  <r>
    <x v="16"/>
    <x v="9"/>
    <n v="0"/>
    <n v="0"/>
    <n v="0"/>
    <n v="0"/>
    <x v="136"/>
    <n v="0"/>
    <n v="0"/>
    <n v="0"/>
    <n v="0"/>
    <x v="145"/>
    <n v="0"/>
    <s v="K (May 22)"/>
    <d v="2022-05-18T00:00:00"/>
    <n v="-1"/>
  </r>
  <r>
    <x v="16"/>
    <x v="5"/>
    <n v="0"/>
    <n v="0"/>
    <n v="0"/>
    <n v="0"/>
    <x v="137"/>
    <n v="0"/>
    <n v="0"/>
    <n v="0"/>
    <n v="0"/>
    <x v="146"/>
    <n v="154"/>
    <s v="V (Oct 22)"/>
    <d v="2022-10-19T00:00:00"/>
    <n v="-1"/>
  </r>
  <r>
    <x v="16"/>
    <x v="0"/>
    <n v="0"/>
    <n v="0"/>
    <n v="0"/>
    <n v="0"/>
    <x v="138"/>
    <n v="0"/>
    <n v="0"/>
    <n v="0"/>
    <n v="0"/>
    <x v="147"/>
    <n v="182"/>
    <s v="X (Nov 22)"/>
    <d v="2022-11-16T00:00:00"/>
    <n v="-1"/>
  </r>
  <r>
    <x v="16"/>
    <x v="6"/>
    <n v="0"/>
    <n v="0"/>
    <n v="0"/>
    <n v="0"/>
    <x v="139"/>
    <n v="0"/>
    <n v="0"/>
    <n v="0"/>
    <n v="0"/>
    <x v="148"/>
    <n v="91"/>
    <s v="Q (Aug 22)"/>
    <d v="2022-08-17T00:00:00"/>
    <n v="-1"/>
  </r>
  <r>
    <x v="16"/>
    <x v="7"/>
    <n v="0"/>
    <n v="0"/>
    <n v="0"/>
    <n v="0"/>
    <x v="140"/>
    <n v="0"/>
    <n v="0"/>
    <n v="0"/>
    <n v="0"/>
    <x v="149"/>
    <n v="126"/>
    <s v="U (Sep 22)"/>
    <d v="2022-09-21T00:00:00"/>
    <n v="-1"/>
  </r>
  <r>
    <x v="16"/>
    <x v="8"/>
    <n v="0"/>
    <n v="0"/>
    <n v="0"/>
    <n v="0"/>
    <x v="141"/>
    <n v="0"/>
    <n v="0"/>
    <n v="0"/>
    <n v="0"/>
    <x v="150"/>
    <n v="28"/>
    <s v="M (Jun 22)"/>
    <d v="2022-06-15T00:00:00"/>
    <n v="-1"/>
  </r>
  <r>
    <x v="17"/>
    <x v="6"/>
    <n v="0"/>
    <n v="0"/>
    <n v="0"/>
    <n v="0"/>
    <x v="142"/>
    <n v="0"/>
    <n v="0"/>
    <n v="0"/>
    <n v="0"/>
    <x v="151"/>
    <n v="92"/>
    <s v="Q (Aug 22)"/>
    <d v="2022-08-17T00:00:00"/>
    <n v="-1"/>
  </r>
  <r>
    <x v="17"/>
    <x v="7"/>
    <n v="0"/>
    <n v="0"/>
    <n v="0"/>
    <n v="0"/>
    <x v="143"/>
    <n v="0"/>
    <n v="0"/>
    <n v="0"/>
    <n v="0"/>
    <x v="152"/>
    <n v="127"/>
    <s v="U (Sep 22)"/>
    <d v="2022-09-21T00:00:00"/>
    <n v="-1"/>
  </r>
  <r>
    <x v="17"/>
    <x v="8"/>
    <n v="0"/>
    <n v="0"/>
    <n v="0"/>
    <n v="0"/>
    <x v="144"/>
    <n v="0"/>
    <n v="0"/>
    <n v="0"/>
    <n v="0"/>
    <x v="153"/>
    <n v="29"/>
    <s v="M (Jun 22)"/>
    <d v="2022-06-15T00:00:00"/>
    <n v="-1"/>
  </r>
  <r>
    <x v="17"/>
    <x v="1"/>
    <n v="0"/>
    <n v="0"/>
    <n v="0"/>
    <n v="0"/>
    <x v="145"/>
    <n v="0"/>
    <n v="0"/>
    <n v="0"/>
    <n v="0"/>
    <x v="3"/>
    <n v="218"/>
    <s v="Z (Dec 22)"/>
    <d v="2022-12-21T00:00:00"/>
    <n v="-1"/>
  </r>
  <r>
    <x v="17"/>
    <x v="2"/>
    <n v="0"/>
    <n v="0"/>
    <n v="0"/>
    <n v="0"/>
    <x v="146"/>
    <n v="0"/>
    <n v="0"/>
    <n v="0"/>
    <n v="0"/>
    <x v="154"/>
    <n v="64"/>
    <s v="N (Jul 22)"/>
    <d v="2022-07-20T00:00:00"/>
    <n v="-1"/>
  </r>
  <r>
    <x v="17"/>
    <x v="3"/>
    <n v="0"/>
    <n v="0"/>
    <n v="0"/>
    <n v="0"/>
    <x v="147"/>
    <n v="0"/>
    <n v="0"/>
    <n v="0"/>
    <n v="0"/>
    <x v="155"/>
    <n v="246"/>
    <s v="F (Jan 23)"/>
    <d v="2023-01-18T00:00:00"/>
    <n v="-1"/>
  </r>
  <r>
    <x v="17"/>
    <x v="9"/>
    <n v="0"/>
    <n v="0"/>
    <n v="0"/>
    <n v="0"/>
    <x v="148"/>
    <n v="0"/>
    <n v="0"/>
    <n v="0"/>
    <n v="0"/>
    <x v="156"/>
    <n v="1"/>
    <s v="K (May 22)"/>
    <d v="2022-05-18T00:00:00"/>
    <n v="-1"/>
  </r>
  <r>
    <x v="17"/>
    <x v="5"/>
    <n v="0"/>
    <n v="0"/>
    <n v="0"/>
    <n v="0"/>
    <x v="149"/>
    <n v="0"/>
    <n v="0"/>
    <n v="0"/>
    <n v="0"/>
    <x v="157"/>
    <n v="155"/>
    <s v="V (Oct 22)"/>
    <d v="2022-10-19T00:00:00"/>
    <n v="-1"/>
  </r>
  <r>
    <x v="17"/>
    <x v="0"/>
    <n v="0"/>
    <n v="0"/>
    <n v="0"/>
    <n v="0"/>
    <x v="150"/>
    <n v="0"/>
    <n v="0"/>
    <n v="0"/>
    <n v="0"/>
    <x v="158"/>
    <n v="183"/>
    <s v="X (Nov 22)"/>
    <d v="2022-11-16T00:00:00"/>
    <n v="-1"/>
  </r>
  <r>
    <x v="18"/>
    <x v="1"/>
    <n v="0"/>
    <n v="0"/>
    <n v="0"/>
    <n v="0"/>
    <x v="151"/>
    <n v="0"/>
    <n v="0"/>
    <n v="0"/>
    <n v="0"/>
    <x v="15"/>
    <n v="219"/>
    <s v="Z (Dec 22)"/>
    <d v="2022-12-21T00:00:00"/>
    <n v="-1"/>
  </r>
  <r>
    <x v="18"/>
    <x v="2"/>
    <n v="0"/>
    <n v="0"/>
    <n v="0"/>
    <n v="0"/>
    <x v="152"/>
    <n v="0"/>
    <n v="0"/>
    <n v="0"/>
    <n v="0"/>
    <x v="159"/>
    <n v="65"/>
    <s v="N (Jul 22)"/>
    <d v="2022-07-20T00:00:00"/>
    <n v="-1"/>
  </r>
  <r>
    <x v="18"/>
    <x v="3"/>
    <n v="0"/>
    <n v="0"/>
    <n v="0"/>
    <n v="0"/>
    <x v="38"/>
    <n v="0"/>
    <n v="0"/>
    <n v="0"/>
    <n v="0"/>
    <x v="160"/>
    <n v="247"/>
    <s v="F (Jan 23)"/>
    <d v="2023-01-18T00:00:00"/>
    <n v="-1"/>
  </r>
  <r>
    <x v="18"/>
    <x v="9"/>
    <n v="0"/>
    <n v="0"/>
    <n v="0"/>
    <n v="0"/>
    <x v="153"/>
    <n v="0"/>
    <n v="0"/>
    <n v="0"/>
    <n v="0"/>
    <x v="161"/>
    <n v="2"/>
    <s v="K (May 22)"/>
    <d v="2022-05-18T00:00:00"/>
    <n v="-1"/>
  </r>
  <r>
    <x v="18"/>
    <x v="5"/>
    <n v="0"/>
    <n v="0"/>
    <n v="0"/>
    <n v="0"/>
    <x v="154"/>
    <n v="0"/>
    <n v="0"/>
    <n v="0"/>
    <n v="0"/>
    <x v="162"/>
    <n v="156"/>
    <s v="V (Oct 22)"/>
    <d v="2022-10-19T00:00:00"/>
    <n v="-1"/>
  </r>
  <r>
    <x v="18"/>
    <x v="0"/>
    <n v="0"/>
    <n v="0"/>
    <n v="0"/>
    <n v="0"/>
    <x v="155"/>
    <n v="0"/>
    <n v="0"/>
    <n v="0"/>
    <n v="0"/>
    <x v="163"/>
    <n v="184"/>
    <s v="X (Nov 22)"/>
    <d v="2022-11-16T00:00:00"/>
    <n v="-1"/>
  </r>
  <r>
    <x v="18"/>
    <x v="6"/>
    <n v="0"/>
    <n v="0"/>
    <n v="0"/>
    <n v="0"/>
    <x v="156"/>
    <n v="0"/>
    <n v="0"/>
    <n v="0"/>
    <n v="0"/>
    <x v="164"/>
    <n v="93"/>
    <s v="Q (Aug 22)"/>
    <d v="2022-08-17T00:00:00"/>
    <n v="-1"/>
  </r>
  <r>
    <x v="18"/>
    <x v="7"/>
    <n v="0"/>
    <n v="0"/>
    <n v="0"/>
    <n v="0"/>
    <x v="157"/>
    <n v="0"/>
    <n v="0"/>
    <n v="0"/>
    <n v="0"/>
    <x v="165"/>
    <n v="128"/>
    <s v="U (Sep 22)"/>
    <d v="2022-09-21T00:00:00"/>
    <n v="-1"/>
  </r>
  <r>
    <x v="18"/>
    <x v="8"/>
    <n v="0"/>
    <n v="0"/>
    <n v="0"/>
    <n v="0"/>
    <x v="158"/>
    <n v="0"/>
    <n v="0"/>
    <n v="0"/>
    <n v="0"/>
    <x v="166"/>
    <n v="30"/>
    <s v="M (Jun 22)"/>
    <d v="2022-06-15T00:00:00"/>
    <n v="-1"/>
  </r>
  <r>
    <x v="19"/>
    <x v="6"/>
    <n v="0"/>
    <n v="0"/>
    <n v="0"/>
    <n v="0"/>
    <x v="159"/>
    <n v="0"/>
    <n v="0"/>
    <n v="0"/>
    <n v="0"/>
    <x v="167"/>
    <n v="96"/>
    <s v="Q (Aug 22)"/>
    <d v="2022-08-17T00:00:00"/>
    <n v="-1"/>
  </r>
  <r>
    <x v="19"/>
    <x v="7"/>
    <n v="0"/>
    <n v="0"/>
    <n v="0"/>
    <n v="0"/>
    <x v="160"/>
    <n v="0"/>
    <n v="0"/>
    <n v="0"/>
    <n v="0"/>
    <x v="168"/>
    <n v="131"/>
    <s v="U (Sep 22)"/>
    <d v="2022-09-21T00:00:00"/>
    <n v="-1"/>
  </r>
  <r>
    <x v="19"/>
    <x v="8"/>
    <n v="0"/>
    <n v="0"/>
    <n v="0"/>
    <n v="0"/>
    <x v="161"/>
    <n v="0"/>
    <n v="0"/>
    <n v="0"/>
    <n v="0"/>
    <x v="169"/>
    <n v="33"/>
    <s v="M (Jun 22)"/>
    <d v="2022-06-15T00:00:00"/>
    <n v="-1"/>
  </r>
  <r>
    <x v="19"/>
    <x v="1"/>
    <n v="0"/>
    <n v="0"/>
    <n v="0"/>
    <n v="0"/>
    <x v="162"/>
    <n v="0"/>
    <n v="0"/>
    <n v="0"/>
    <n v="0"/>
    <x v="21"/>
    <n v="222"/>
    <s v="Z (Dec 22)"/>
    <d v="2022-12-21T00:00:00"/>
    <n v="-1"/>
  </r>
  <r>
    <x v="19"/>
    <x v="2"/>
    <n v="0"/>
    <n v="0"/>
    <n v="0"/>
    <n v="0"/>
    <x v="163"/>
    <n v="0"/>
    <n v="0"/>
    <n v="0"/>
    <n v="0"/>
    <x v="170"/>
    <n v="68"/>
    <s v="N (Jul 22)"/>
    <d v="2022-07-20T00:00:00"/>
    <n v="-1"/>
  </r>
  <r>
    <x v="19"/>
    <x v="3"/>
    <n v="0"/>
    <n v="0"/>
    <n v="0"/>
    <n v="0"/>
    <x v="164"/>
    <n v="0"/>
    <n v="0"/>
    <n v="0"/>
    <n v="0"/>
    <x v="171"/>
    <n v="250"/>
    <s v="F (Jan 23)"/>
    <d v="2023-01-18T00:00:00"/>
    <n v="-1"/>
  </r>
  <r>
    <x v="19"/>
    <x v="9"/>
    <n v="0"/>
    <n v="0"/>
    <n v="0"/>
    <n v="0"/>
    <x v="165"/>
    <n v="0"/>
    <n v="0"/>
    <n v="0"/>
    <n v="0"/>
    <x v="8"/>
    <n v="5"/>
    <s v="K (May 22)"/>
    <d v="2022-05-18T00:00:00"/>
    <n v="-1"/>
  </r>
  <r>
    <x v="19"/>
    <x v="5"/>
    <n v="0"/>
    <n v="0"/>
    <n v="0"/>
    <n v="0"/>
    <x v="166"/>
    <n v="0"/>
    <n v="0"/>
    <n v="0"/>
    <n v="0"/>
    <x v="172"/>
    <n v="159"/>
    <s v="V (Oct 22)"/>
    <d v="2022-10-19T00:00:00"/>
    <n v="-1"/>
  </r>
  <r>
    <x v="19"/>
    <x v="0"/>
    <n v="0"/>
    <n v="0"/>
    <n v="0"/>
    <n v="0"/>
    <x v="167"/>
    <n v="0"/>
    <n v="0"/>
    <n v="0"/>
    <n v="0"/>
    <x v="173"/>
    <n v="187"/>
    <s v="X (Nov 22)"/>
    <d v="2022-11-16T00:00:00"/>
    <n v="-1"/>
  </r>
  <r>
    <x v="20"/>
    <x v="1"/>
    <n v="0"/>
    <n v="0"/>
    <n v="0"/>
    <n v="0"/>
    <x v="50"/>
    <n v="0"/>
    <n v="0"/>
    <n v="0"/>
    <n v="0"/>
    <x v="32"/>
    <n v="223"/>
    <s v="Z (Dec 22)"/>
    <d v="2022-12-21T00:00:00"/>
    <n v="-1"/>
  </r>
  <r>
    <x v="20"/>
    <x v="2"/>
    <n v="0"/>
    <n v="0"/>
    <n v="0"/>
    <n v="0"/>
    <x v="168"/>
    <n v="0"/>
    <n v="0"/>
    <n v="0"/>
    <n v="0"/>
    <x v="6"/>
    <n v="69"/>
    <s v="N (Jul 22)"/>
    <d v="2022-07-20T00:00:00"/>
    <n v="-1"/>
  </r>
  <r>
    <x v="20"/>
    <x v="3"/>
    <n v="0"/>
    <n v="0"/>
    <n v="0"/>
    <n v="0"/>
    <x v="120"/>
    <n v="0"/>
    <n v="0"/>
    <n v="0"/>
    <n v="0"/>
    <x v="4"/>
    <n v="251"/>
    <s v="F (Jan 23)"/>
    <d v="2023-01-18T00:00:00"/>
    <n v="-1"/>
  </r>
  <r>
    <x v="20"/>
    <x v="9"/>
    <n v="0"/>
    <n v="0"/>
    <n v="0"/>
    <n v="0"/>
    <x v="169"/>
    <n v="0"/>
    <n v="0"/>
    <n v="0"/>
    <n v="0"/>
    <x v="11"/>
    <n v="6"/>
    <s v="K (May 22)"/>
    <d v="2022-05-18T00:00:00"/>
    <n v="-1"/>
  </r>
  <r>
    <x v="20"/>
    <x v="5"/>
    <n v="0"/>
    <n v="0"/>
    <n v="0"/>
    <n v="0"/>
    <x v="170"/>
    <n v="0"/>
    <n v="0"/>
    <n v="0"/>
    <n v="0"/>
    <x v="0"/>
    <n v="160"/>
    <s v="V (Oct 22)"/>
    <d v="2022-10-19T00:00:00"/>
    <n v="-1"/>
  </r>
  <r>
    <x v="20"/>
    <x v="0"/>
    <n v="0"/>
    <n v="0"/>
    <n v="0"/>
    <n v="0"/>
    <x v="171"/>
    <n v="0"/>
    <n v="0"/>
    <n v="0"/>
    <n v="0"/>
    <x v="174"/>
    <n v="188"/>
    <s v="X (Nov 22)"/>
    <d v="2022-11-16T00:00:00"/>
    <n v="-1"/>
  </r>
  <r>
    <x v="20"/>
    <x v="6"/>
    <n v="0"/>
    <n v="0"/>
    <n v="0"/>
    <n v="0"/>
    <x v="172"/>
    <n v="0"/>
    <n v="0"/>
    <n v="0"/>
    <n v="0"/>
    <x v="175"/>
    <n v="97"/>
    <s v="Q (Aug 22)"/>
    <d v="2022-08-17T00:00:00"/>
    <n v="-1"/>
  </r>
  <r>
    <x v="20"/>
    <x v="7"/>
    <n v="0"/>
    <n v="0"/>
    <n v="0"/>
    <n v="0"/>
    <x v="173"/>
    <n v="0"/>
    <n v="0"/>
    <n v="0"/>
    <n v="0"/>
    <x v="5"/>
    <n v="132"/>
    <s v="U (Sep 22)"/>
    <d v="2022-09-21T00:00:00"/>
    <n v="-1"/>
  </r>
  <r>
    <x v="20"/>
    <x v="8"/>
    <n v="0"/>
    <n v="0"/>
    <n v="0"/>
    <n v="0"/>
    <x v="174"/>
    <n v="0"/>
    <n v="0"/>
    <n v="0"/>
    <n v="0"/>
    <x v="176"/>
    <n v="34"/>
    <s v="M (Jun 22)"/>
    <d v="2022-06-15T00:00:00"/>
    <n v="-1"/>
  </r>
  <r>
    <x v="21"/>
    <x v="6"/>
    <n v="0"/>
    <n v="0"/>
    <n v="0"/>
    <n v="0"/>
    <x v="175"/>
    <n v="0"/>
    <n v="0"/>
    <n v="0"/>
    <n v="0"/>
    <x v="177"/>
    <n v="98"/>
    <s v="Q (Aug 22)"/>
    <d v="2022-08-17T00:00:00"/>
    <n v="-1"/>
  </r>
  <r>
    <x v="21"/>
    <x v="7"/>
    <n v="0"/>
    <n v="0"/>
    <n v="0"/>
    <n v="0"/>
    <x v="176"/>
    <n v="0"/>
    <n v="0"/>
    <n v="0"/>
    <n v="0"/>
    <x v="17"/>
    <n v="133"/>
    <s v="U (Sep 22)"/>
    <d v="2022-09-21T00:00:00"/>
    <n v="-1"/>
  </r>
  <r>
    <x v="21"/>
    <x v="8"/>
    <n v="0"/>
    <n v="0"/>
    <n v="0"/>
    <n v="0"/>
    <x v="177"/>
    <n v="0"/>
    <n v="0"/>
    <n v="0"/>
    <n v="0"/>
    <x v="178"/>
    <n v="35"/>
    <s v="M (Jun 22)"/>
    <d v="2022-06-15T00:00:00"/>
    <n v="-1"/>
  </r>
  <r>
    <x v="21"/>
    <x v="1"/>
    <n v="0"/>
    <n v="0"/>
    <n v="0"/>
    <n v="0"/>
    <x v="178"/>
    <n v="0"/>
    <n v="0"/>
    <n v="0"/>
    <n v="0"/>
    <x v="38"/>
    <n v="224"/>
    <s v="Z (Dec 22)"/>
    <d v="2022-12-21T00:00:00"/>
    <n v="-1"/>
  </r>
  <r>
    <x v="21"/>
    <x v="2"/>
    <n v="0"/>
    <n v="0"/>
    <n v="0"/>
    <n v="0"/>
    <x v="179"/>
    <n v="0"/>
    <n v="0"/>
    <n v="0"/>
    <n v="0"/>
    <x v="9"/>
    <n v="70"/>
    <s v="N (Jul 22)"/>
    <d v="2022-07-20T00:00:00"/>
    <n v="-1"/>
  </r>
  <r>
    <x v="21"/>
    <x v="3"/>
    <n v="0"/>
    <n v="0"/>
    <n v="0"/>
    <n v="0"/>
    <x v="180"/>
    <n v="0"/>
    <n v="0"/>
    <n v="0"/>
    <n v="0"/>
    <x v="16"/>
    <n v="252"/>
    <s v="F (Jan 23)"/>
    <d v="2023-01-18T00:00:00"/>
    <n v="-1"/>
  </r>
  <r>
    <x v="21"/>
    <x v="9"/>
    <n v="0"/>
    <n v="0"/>
    <n v="0"/>
    <n v="0"/>
    <x v="181"/>
    <n v="0"/>
    <n v="0"/>
    <n v="0"/>
    <n v="0"/>
    <x v="26"/>
    <n v="7"/>
    <s v="K (May 22)"/>
    <d v="2022-05-18T00:00:00"/>
    <n v="-1"/>
  </r>
  <r>
    <x v="21"/>
    <x v="5"/>
    <n v="0"/>
    <n v="0"/>
    <n v="0"/>
    <n v="0"/>
    <x v="182"/>
    <n v="0"/>
    <n v="0"/>
    <n v="0"/>
    <n v="0"/>
    <x v="12"/>
    <n v="161"/>
    <s v="V (Oct 22)"/>
    <d v="2022-10-19T00:00:00"/>
    <n v="-1"/>
  </r>
  <r>
    <x v="21"/>
    <x v="0"/>
    <n v="0"/>
    <n v="0"/>
    <n v="0"/>
    <n v="0"/>
    <x v="183"/>
    <n v="0"/>
    <n v="0"/>
    <n v="0"/>
    <n v="0"/>
    <x v="179"/>
    <n v="189"/>
    <s v="X (Nov 22)"/>
    <d v="2022-11-16T00:00:00"/>
    <n v="-1"/>
  </r>
  <r>
    <x v="22"/>
    <x v="1"/>
    <n v="0"/>
    <n v="0"/>
    <n v="0"/>
    <n v="0"/>
    <x v="87"/>
    <n v="0"/>
    <n v="0"/>
    <n v="0"/>
    <n v="0"/>
    <x v="50"/>
    <n v="225"/>
    <s v="Z (Dec 22)"/>
    <d v="2022-12-21T00:00:00"/>
    <n v="-1"/>
  </r>
  <r>
    <x v="22"/>
    <x v="2"/>
    <n v="0"/>
    <n v="0"/>
    <n v="0"/>
    <n v="0"/>
    <x v="184"/>
    <n v="0"/>
    <n v="0"/>
    <n v="0"/>
    <n v="0"/>
    <x v="24"/>
    <n v="71"/>
    <s v="N (Jul 22)"/>
    <d v="2022-07-20T00:00:00"/>
    <n v="-1"/>
  </r>
  <r>
    <x v="22"/>
    <x v="3"/>
    <n v="0"/>
    <n v="0"/>
    <n v="0"/>
    <n v="0"/>
    <x v="185"/>
    <n v="0"/>
    <n v="0"/>
    <n v="0"/>
    <n v="0"/>
    <x v="22"/>
    <n v="253"/>
    <s v="F (Jan 23)"/>
    <d v="2023-01-18T00:00:00"/>
    <n v="-1"/>
  </r>
  <r>
    <x v="22"/>
    <x v="9"/>
    <n v="0"/>
    <n v="0"/>
    <n v="0"/>
    <n v="0"/>
    <x v="186"/>
    <n v="0"/>
    <n v="0"/>
    <n v="0"/>
    <n v="0"/>
    <x v="29"/>
    <n v="8"/>
    <s v="K (May 22)"/>
    <d v="2022-05-18T00:00:00"/>
    <n v="-1"/>
  </r>
  <r>
    <x v="22"/>
    <x v="5"/>
    <n v="0"/>
    <n v="0"/>
    <n v="0"/>
    <n v="0"/>
    <x v="187"/>
    <n v="0"/>
    <n v="0"/>
    <n v="0"/>
    <n v="0"/>
    <x v="18"/>
    <n v="162"/>
    <s v="V (Oct 22)"/>
    <d v="2022-10-19T00:00:00"/>
    <n v="-1"/>
  </r>
  <r>
    <x v="22"/>
    <x v="0"/>
    <n v="0"/>
    <n v="0"/>
    <n v="0"/>
    <n v="0"/>
    <x v="188"/>
    <n v="0"/>
    <n v="0"/>
    <n v="0"/>
    <n v="0"/>
    <x v="180"/>
    <n v="190"/>
    <s v="X (Nov 22)"/>
    <d v="2022-11-16T00:00:00"/>
    <n v="-1"/>
  </r>
  <r>
    <x v="22"/>
    <x v="6"/>
    <n v="0"/>
    <n v="0"/>
    <n v="0"/>
    <n v="0"/>
    <x v="189"/>
    <n v="0"/>
    <n v="0"/>
    <n v="0"/>
    <n v="0"/>
    <x v="181"/>
    <n v="99"/>
    <s v="Q (Aug 22)"/>
    <d v="2022-08-17T00:00:00"/>
    <n v="-1"/>
  </r>
  <r>
    <x v="22"/>
    <x v="7"/>
    <n v="0"/>
    <n v="0"/>
    <n v="0"/>
    <n v="0"/>
    <x v="190"/>
    <n v="0"/>
    <n v="0"/>
    <n v="0"/>
    <n v="0"/>
    <x v="23"/>
    <n v="134"/>
    <s v="U (Sep 22)"/>
    <d v="2022-09-21T00:00:00"/>
    <n v="-1"/>
  </r>
  <r>
    <x v="22"/>
    <x v="8"/>
    <n v="0"/>
    <n v="0"/>
    <n v="0"/>
    <n v="0"/>
    <x v="191"/>
    <n v="0"/>
    <n v="0"/>
    <n v="0"/>
    <n v="0"/>
    <x v="182"/>
    <n v="36"/>
    <s v="M (Jun 22)"/>
    <d v="2022-06-15T00:00:00"/>
    <n v="-1"/>
  </r>
  <r>
    <x v="23"/>
    <x v="6"/>
    <n v="0"/>
    <n v="0"/>
    <n v="0"/>
    <n v="0"/>
    <x v="192"/>
    <n v="0"/>
    <n v="0"/>
    <n v="0"/>
    <n v="0"/>
    <x v="183"/>
    <n v="100"/>
    <s v="Q (Aug 22)"/>
    <d v="2022-08-17T00:00:00"/>
    <n v="-1"/>
  </r>
  <r>
    <x v="23"/>
    <x v="7"/>
    <n v="0"/>
    <n v="0"/>
    <n v="0"/>
    <n v="0"/>
    <x v="193"/>
    <n v="0"/>
    <n v="0"/>
    <n v="0"/>
    <n v="0"/>
    <x v="34"/>
    <n v="135"/>
    <s v="U (Sep 22)"/>
    <d v="2022-09-21T00:00:00"/>
    <n v="-1"/>
  </r>
  <r>
    <x v="23"/>
    <x v="8"/>
    <n v="0"/>
    <n v="0"/>
    <n v="0"/>
    <n v="0"/>
    <x v="194"/>
    <n v="0"/>
    <n v="0"/>
    <n v="0"/>
    <n v="0"/>
    <x v="184"/>
    <n v="37"/>
    <s v="M (Jun 22)"/>
    <d v="2022-06-15T00:00:00"/>
    <n v="-1"/>
  </r>
  <r>
    <x v="23"/>
    <x v="1"/>
    <n v="0"/>
    <n v="0"/>
    <n v="0"/>
    <n v="0"/>
    <x v="195"/>
    <n v="0"/>
    <n v="0"/>
    <n v="0"/>
    <n v="0"/>
    <x v="56"/>
    <n v="226"/>
    <s v="Z (Dec 22)"/>
    <d v="2022-12-21T00:00:00"/>
    <n v="-1"/>
  </r>
  <r>
    <x v="23"/>
    <x v="2"/>
    <n v="0"/>
    <n v="0"/>
    <n v="0"/>
    <n v="0"/>
    <x v="196"/>
    <n v="0"/>
    <n v="0"/>
    <n v="0"/>
    <n v="0"/>
    <x v="27"/>
    <n v="72"/>
    <s v="N (Jul 22)"/>
    <d v="2022-07-20T00:00:00"/>
    <n v="-1"/>
  </r>
  <r>
    <x v="23"/>
    <x v="3"/>
    <n v="0"/>
    <n v="0"/>
    <n v="0"/>
    <n v="0"/>
    <x v="197"/>
    <n v="0"/>
    <n v="0"/>
    <n v="0"/>
    <n v="0"/>
    <x v="33"/>
    <n v="254"/>
    <s v="F (Jan 23)"/>
    <d v="2023-01-18T00:00:00"/>
    <n v="-1"/>
  </r>
  <r>
    <x v="23"/>
    <x v="9"/>
    <n v="0"/>
    <n v="0"/>
    <n v="0"/>
    <n v="0"/>
    <x v="198"/>
    <n v="0"/>
    <n v="0"/>
    <n v="0"/>
    <n v="0"/>
    <x v="44"/>
    <n v="9"/>
    <s v="K (May 22)"/>
    <d v="2022-05-18T00:00:00"/>
    <n v="-1"/>
  </r>
  <r>
    <x v="23"/>
    <x v="5"/>
    <n v="0"/>
    <n v="0"/>
    <n v="0"/>
    <n v="0"/>
    <x v="199"/>
    <n v="0"/>
    <n v="0"/>
    <n v="0"/>
    <n v="0"/>
    <x v="35"/>
    <n v="163"/>
    <s v="V (Oct 22)"/>
    <d v="2022-10-19T00:00:00"/>
    <n v="-1"/>
  </r>
  <r>
    <x v="23"/>
    <x v="0"/>
    <n v="0"/>
    <n v="0"/>
    <n v="0"/>
    <n v="0"/>
    <x v="200"/>
    <n v="0"/>
    <n v="0"/>
    <n v="0"/>
    <n v="0"/>
    <x v="185"/>
    <n v="191"/>
    <s v="X (Nov 22)"/>
    <d v="2022-11-16T00:00:00"/>
    <n v="-1"/>
  </r>
  <r>
    <x v="24"/>
    <x v="1"/>
    <n v="0"/>
    <n v="0"/>
    <n v="0"/>
    <n v="0"/>
    <x v="201"/>
    <n v="0"/>
    <n v="0"/>
    <n v="0"/>
    <n v="0"/>
    <x v="68"/>
    <n v="229"/>
    <s v="Z (Dec 22)"/>
    <d v="2022-12-21T00:00:00"/>
    <n v="-1"/>
  </r>
  <r>
    <x v="24"/>
    <x v="2"/>
    <n v="0"/>
    <n v="0"/>
    <n v="0"/>
    <n v="0"/>
    <x v="202"/>
    <n v="0"/>
    <n v="0"/>
    <n v="0"/>
    <n v="0"/>
    <x v="42"/>
    <n v="75"/>
    <s v="N (Jul 22)"/>
    <d v="2022-07-20T00:00:00"/>
    <n v="-1"/>
  </r>
  <r>
    <x v="24"/>
    <x v="3"/>
    <n v="0"/>
    <n v="0"/>
    <n v="0"/>
    <n v="0"/>
    <x v="87"/>
    <n v="0"/>
    <n v="0"/>
    <n v="0"/>
    <n v="0"/>
    <x v="39"/>
    <n v="257"/>
    <s v="F (Jan 23)"/>
    <d v="2023-01-18T00:00:00"/>
    <n v="-1"/>
  </r>
  <r>
    <x v="24"/>
    <x v="9"/>
    <n v="0"/>
    <n v="0"/>
    <n v="0"/>
    <n v="0"/>
    <x v="203"/>
    <n v="0"/>
    <n v="0"/>
    <n v="0"/>
    <n v="0"/>
    <x v="47"/>
    <n v="12"/>
    <s v="K (May 22)"/>
    <d v="2022-05-18T00:00:00"/>
    <n v="-1"/>
  </r>
  <r>
    <x v="24"/>
    <x v="5"/>
    <n v="0"/>
    <n v="0"/>
    <n v="0"/>
    <n v="0"/>
    <x v="204"/>
    <n v="0"/>
    <n v="0"/>
    <n v="0"/>
    <n v="0"/>
    <x v="41"/>
    <n v="166"/>
    <s v="V (Oct 22)"/>
    <d v="2022-10-19T00:00:00"/>
    <n v="-1"/>
  </r>
  <r>
    <x v="24"/>
    <x v="0"/>
    <n v="0"/>
    <n v="0"/>
    <n v="0"/>
    <n v="0"/>
    <x v="205"/>
    <n v="0"/>
    <n v="0"/>
    <n v="0"/>
    <n v="0"/>
    <x v="1"/>
    <n v="194"/>
    <s v="X (Nov 22)"/>
    <d v="2022-11-16T00:00:00"/>
    <n v="-1"/>
  </r>
  <r>
    <x v="24"/>
    <x v="6"/>
    <n v="0"/>
    <n v="0"/>
    <n v="0"/>
    <n v="0"/>
    <x v="206"/>
    <n v="0"/>
    <n v="0"/>
    <n v="0"/>
    <n v="0"/>
    <x v="7"/>
    <n v="103"/>
    <s v="Q (Aug 22)"/>
    <d v="2022-08-17T00:00:00"/>
    <n v="-1"/>
  </r>
  <r>
    <x v="24"/>
    <x v="7"/>
    <n v="0"/>
    <n v="0"/>
    <n v="0"/>
    <n v="0"/>
    <x v="207"/>
    <n v="0"/>
    <n v="0"/>
    <n v="0"/>
    <n v="0"/>
    <x v="40"/>
    <n v="138"/>
    <s v="U (Sep 22)"/>
    <d v="2022-09-21T00:00:00"/>
    <n v="-1"/>
  </r>
  <r>
    <x v="24"/>
    <x v="8"/>
    <n v="0"/>
    <n v="0"/>
    <n v="0"/>
    <n v="0"/>
    <x v="208"/>
    <n v="0"/>
    <n v="0"/>
    <n v="0"/>
    <n v="0"/>
    <x v="2"/>
    <n v="40"/>
    <s v="M (Jun 22)"/>
    <d v="2022-06-15T00:00:00"/>
    <n v="-1"/>
  </r>
  <r>
    <x v="25"/>
    <x v="6"/>
    <n v="0"/>
    <n v="0"/>
    <n v="0"/>
    <n v="0"/>
    <x v="209"/>
    <n v="0"/>
    <n v="0"/>
    <n v="0"/>
    <n v="0"/>
    <x v="10"/>
    <n v="104"/>
    <s v="Q (Aug 22)"/>
    <d v="2022-08-17T00:00:00"/>
    <n v="-1"/>
  </r>
  <r>
    <x v="25"/>
    <x v="7"/>
    <n v="0"/>
    <n v="0"/>
    <n v="0"/>
    <n v="0"/>
    <x v="210"/>
    <n v="0"/>
    <n v="0"/>
    <n v="0"/>
    <n v="0"/>
    <x v="52"/>
    <n v="139"/>
    <s v="U (Sep 22)"/>
    <d v="2022-09-21T00:00:00"/>
    <n v="-1"/>
  </r>
  <r>
    <x v="25"/>
    <x v="8"/>
    <n v="0"/>
    <n v="0"/>
    <n v="0"/>
    <n v="0"/>
    <x v="211"/>
    <n v="0"/>
    <n v="0"/>
    <n v="0"/>
    <n v="0"/>
    <x v="14"/>
    <n v="41"/>
    <s v="M (Jun 22)"/>
    <d v="2022-06-15T00:00:00"/>
    <n v="-1"/>
  </r>
  <r>
    <x v="25"/>
    <x v="1"/>
    <n v="0"/>
    <n v="0"/>
    <n v="0"/>
    <n v="0"/>
    <x v="212"/>
    <n v="0"/>
    <n v="0"/>
    <n v="0"/>
    <n v="0"/>
    <x v="74"/>
    <n v="230"/>
    <s v="Z (Dec 22)"/>
    <d v="2022-12-21T00:00:00"/>
    <n v="-1"/>
  </r>
  <r>
    <x v="25"/>
    <x v="2"/>
    <n v="0"/>
    <n v="0"/>
    <n v="0"/>
    <n v="0"/>
    <x v="213"/>
    <n v="0"/>
    <n v="0"/>
    <n v="0"/>
    <n v="0"/>
    <x v="45"/>
    <n v="76"/>
    <s v="N (Jul 22)"/>
    <d v="2022-07-20T00:00:00"/>
    <n v="-1"/>
  </r>
  <r>
    <x v="25"/>
    <x v="3"/>
    <n v="0"/>
    <n v="0"/>
    <n v="0"/>
    <n v="0"/>
    <x v="214"/>
    <n v="0"/>
    <n v="0"/>
    <n v="0"/>
    <n v="0"/>
    <x v="51"/>
    <n v="258"/>
    <s v="F (Jan 23)"/>
    <d v="2023-01-18T00:00:00"/>
    <n v="-1"/>
  </r>
  <r>
    <x v="25"/>
    <x v="9"/>
    <n v="0"/>
    <n v="0"/>
    <n v="0"/>
    <n v="0"/>
    <x v="215"/>
    <n v="0"/>
    <n v="0"/>
    <n v="0"/>
    <n v="0"/>
    <x v="62"/>
    <n v="13"/>
    <s v="K (May 22)"/>
    <d v="2022-05-18T00:00:00"/>
    <n v="-1"/>
  </r>
  <r>
    <x v="25"/>
    <x v="5"/>
    <n v="0"/>
    <n v="0"/>
    <n v="0"/>
    <n v="0"/>
    <x v="216"/>
    <n v="0"/>
    <n v="0"/>
    <n v="0"/>
    <n v="0"/>
    <x v="53"/>
    <n v="167"/>
    <s v="V (Oct 22)"/>
    <d v="2022-10-19T00:00:00"/>
    <n v="-1"/>
  </r>
  <r>
    <x v="25"/>
    <x v="0"/>
    <n v="0"/>
    <n v="0"/>
    <n v="0"/>
    <n v="0"/>
    <x v="217"/>
    <n v="0"/>
    <n v="0"/>
    <n v="0"/>
    <n v="0"/>
    <x v="13"/>
    <n v="195"/>
    <s v="X (Nov 22)"/>
    <d v="2022-11-16T00:00:00"/>
    <n v="-1"/>
  </r>
  <r>
    <x v="26"/>
    <x v="1"/>
    <n v="0"/>
    <n v="0"/>
    <n v="0"/>
    <n v="0"/>
    <x v="218"/>
    <n v="0"/>
    <n v="0"/>
    <n v="0"/>
    <n v="0"/>
    <x v="86"/>
    <n v="231"/>
    <s v="Z (Dec 22)"/>
    <d v="2022-12-21T00:00:00"/>
    <n v="-1"/>
  </r>
  <r>
    <x v="26"/>
    <x v="2"/>
    <n v="0"/>
    <n v="0"/>
    <n v="0"/>
    <n v="0"/>
    <x v="219"/>
    <n v="0"/>
    <n v="0"/>
    <n v="0"/>
    <n v="0"/>
    <x v="60"/>
    <n v="77"/>
    <s v="N (Jul 22)"/>
    <d v="2022-07-20T00:00:00"/>
    <n v="-1"/>
  </r>
  <r>
    <x v="26"/>
    <x v="3"/>
    <n v="0"/>
    <n v="0"/>
    <n v="0"/>
    <n v="0"/>
    <x v="220"/>
    <n v="0"/>
    <n v="0"/>
    <n v="0"/>
    <n v="0"/>
    <x v="57"/>
    <n v="259"/>
    <s v="F (Jan 23)"/>
    <d v="2023-01-18T00:00:00"/>
    <n v="-1"/>
  </r>
  <r>
    <x v="26"/>
    <x v="9"/>
    <n v="0"/>
    <n v="0"/>
    <n v="0"/>
    <n v="0"/>
    <x v="221"/>
    <n v="0"/>
    <n v="0"/>
    <n v="0"/>
    <n v="0"/>
    <x v="65"/>
    <n v="14"/>
    <s v="K (May 22)"/>
    <d v="2022-05-18T00:00:00"/>
    <n v="-1"/>
  </r>
  <r>
    <x v="26"/>
    <x v="5"/>
    <n v="0"/>
    <n v="0"/>
    <n v="0"/>
    <n v="0"/>
    <x v="222"/>
    <n v="0"/>
    <n v="0"/>
    <n v="0"/>
    <n v="0"/>
    <x v="59"/>
    <n v="168"/>
    <s v="V (Oct 22)"/>
    <d v="2022-10-19T00:00:00"/>
    <n v="-1"/>
  </r>
  <r>
    <x v="26"/>
    <x v="0"/>
    <n v="0"/>
    <n v="0"/>
    <n v="0"/>
    <n v="0"/>
    <x v="223"/>
    <n v="0"/>
    <n v="0"/>
    <n v="0"/>
    <n v="0"/>
    <x v="19"/>
    <n v="196"/>
    <s v="X (Nov 22)"/>
    <d v="2022-11-16T00:00:00"/>
    <n v="-1"/>
  </r>
  <r>
    <x v="26"/>
    <x v="6"/>
    <n v="0"/>
    <n v="0"/>
    <n v="0"/>
    <n v="0"/>
    <x v="224"/>
    <n v="0"/>
    <n v="0"/>
    <n v="0"/>
    <n v="0"/>
    <x v="25"/>
    <n v="105"/>
    <s v="Q (Aug 22)"/>
    <d v="2022-08-17T00:00:00"/>
    <n v="-1"/>
  </r>
  <r>
    <x v="26"/>
    <x v="7"/>
    <n v="0"/>
    <n v="0"/>
    <n v="0"/>
    <n v="0"/>
    <x v="225"/>
    <n v="0"/>
    <n v="0"/>
    <n v="0"/>
    <n v="0"/>
    <x v="58"/>
    <n v="140"/>
    <s v="U (Sep 22)"/>
    <d v="2022-09-21T00:00:00"/>
    <n v="-1"/>
  </r>
  <r>
    <x v="26"/>
    <x v="8"/>
    <n v="0"/>
    <n v="0"/>
    <n v="0"/>
    <n v="0"/>
    <x v="226"/>
    <n v="0"/>
    <n v="0"/>
    <n v="0"/>
    <n v="0"/>
    <x v="20"/>
    <n v="42"/>
    <s v="M (Jun 22)"/>
    <d v="2022-06-15T00:00:00"/>
    <n v="-1"/>
  </r>
  <r>
    <x v="27"/>
    <x v="6"/>
    <n v="0"/>
    <n v="0"/>
    <n v="0"/>
    <n v="0"/>
    <x v="227"/>
    <n v="0"/>
    <n v="0"/>
    <n v="0"/>
    <n v="0"/>
    <x v="28"/>
    <n v="106"/>
    <s v="Q (Aug 22)"/>
    <d v="2022-08-17T00:00:00"/>
    <n v="-1"/>
  </r>
  <r>
    <x v="27"/>
    <x v="7"/>
    <n v="0"/>
    <n v="0"/>
    <n v="0"/>
    <n v="0"/>
    <x v="228"/>
    <n v="0"/>
    <n v="0"/>
    <n v="0"/>
    <n v="0"/>
    <x v="70"/>
    <n v="141"/>
    <s v="U (Sep 22)"/>
    <d v="2022-09-21T00:00:00"/>
    <n v="-1"/>
  </r>
  <r>
    <x v="27"/>
    <x v="8"/>
    <n v="0"/>
    <n v="0"/>
    <n v="0"/>
    <n v="0"/>
    <x v="229"/>
    <n v="0"/>
    <n v="0"/>
    <n v="0"/>
    <n v="0"/>
    <x v="31"/>
    <n v="43"/>
    <s v="M (Jun 22)"/>
    <d v="2022-06-15T00:00:00"/>
    <n v="-1"/>
  </r>
  <r>
    <x v="27"/>
    <x v="1"/>
    <n v="0"/>
    <n v="0"/>
    <n v="0"/>
    <n v="0"/>
    <x v="230"/>
    <n v="0"/>
    <n v="0"/>
    <n v="0"/>
    <n v="0"/>
    <x v="92"/>
    <n v="232"/>
    <s v="Z (Dec 22)"/>
    <d v="2022-12-21T00:00:00"/>
    <n v="-1"/>
  </r>
  <r>
    <x v="27"/>
    <x v="2"/>
    <n v="0"/>
    <n v="0"/>
    <n v="0"/>
    <n v="0"/>
    <x v="231"/>
    <n v="0"/>
    <n v="0"/>
    <n v="0"/>
    <n v="0"/>
    <x v="63"/>
    <n v="78"/>
    <s v="N (Jul 22)"/>
    <d v="2022-07-20T00:00:00"/>
    <n v="-1"/>
  </r>
  <r>
    <x v="27"/>
    <x v="3"/>
    <n v="0"/>
    <n v="0"/>
    <n v="0"/>
    <n v="0"/>
    <x v="232"/>
    <n v="0"/>
    <n v="0"/>
    <n v="0"/>
    <n v="0"/>
    <x v="69"/>
    <n v="260"/>
    <s v="F (Jan 23)"/>
    <d v="2023-01-18T00:00:00"/>
    <n v="-1"/>
  </r>
  <r>
    <x v="27"/>
    <x v="9"/>
    <n v="0"/>
    <n v="0"/>
    <n v="0"/>
    <n v="0"/>
    <x v="233"/>
    <n v="0"/>
    <n v="0"/>
    <n v="0"/>
    <n v="0"/>
    <x v="80"/>
    <n v="15"/>
    <s v="K (May 22)"/>
    <d v="2022-05-18T00:00:00"/>
    <n v="-1"/>
  </r>
  <r>
    <x v="27"/>
    <x v="5"/>
    <n v="0"/>
    <n v="0"/>
    <n v="0"/>
    <n v="0"/>
    <x v="234"/>
    <n v="0"/>
    <n v="0"/>
    <n v="0"/>
    <n v="0"/>
    <x v="71"/>
    <n v="169"/>
    <s v="V (Oct 22)"/>
    <d v="2022-10-19T00:00:00"/>
    <n v="-1"/>
  </r>
  <r>
    <x v="27"/>
    <x v="0"/>
    <n v="0"/>
    <n v="0"/>
    <n v="0"/>
    <n v="0"/>
    <x v="85"/>
    <n v="0"/>
    <n v="0"/>
    <n v="0"/>
    <n v="0"/>
    <x v="30"/>
    <n v="197"/>
    <s v="X (Nov 22)"/>
    <d v="2022-11-16T00:00:00"/>
    <n v="-1"/>
  </r>
  <r>
    <x v="28"/>
    <x v="1"/>
    <n v="0"/>
    <n v="0"/>
    <n v="0"/>
    <n v="0"/>
    <x v="19"/>
    <n v="0"/>
    <n v="0"/>
    <n v="0"/>
    <n v="0"/>
    <x v="104"/>
    <n v="233"/>
    <s v="Z (Dec 22)"/>
    <d v="2022-12-21T00:00:00"/>
    <n v="-1"/>
  </r>
  <r>
    <x v="28"/>
    <x v="2"/>
    <n v="0"/>
    <n v="0"/>
    <n v="0"/>
    <n v="0"/>
    <x v="235"/>
    <n v="0"/>
    <n v="0"/>
    <n v="0"/>
    <n v="0"/>
    <x v="78"/>
    <n v="79"/>
    <s v="N (Jul 22)"/>
    <d v="2022-07-20T00:00:00"/>
    <n v="-1"/>
  </r>
  <r>
    <x v="28"/>
    <x v="3"/>
    <n v="0"/>
    <n v="0"/>
    <n v="0"/>
    <n v="0"/>
    <x v="236"/>
    <n v="0"/>
    <n v="0"/>
    <n v="0"/>
    <n v="0"/>
    <x v="75"/>
    <n v="261"/>
    <s v="F (Jan 23)"/>
    <d v="2023-01-18T00:00:00"/>
    <n v="-1"/>
  </r>
  <r>
    <x v="28"/>
    <x v="9"/>
    <n v="0"/>
    <n v="0"/>
    <n v="0"/>
    <n v="0"/>
    <x v="237"/>
    <n v="0"/>
    <n v="0"/>
    <n v="0"/>
    <n v="0"/>
    <x v="83"/>
    <n v="16"/>
    <s v="K (May 22)"/>
    <d v="2022-05-18T00:00:00"/>
    <n v="-1"/>
  </r>
  <r>
    <x v="28"/>
    <x v="5"/>
    <n v="0"/>
    <n v="0"/>
    <n v="0"/>
    <n v="0"/>
    <x v="238"/>
    <n v="0"/>
    <n v="0"/>
    <n v="0"/>
    <n v="0"/>
    <x v="77"/>
    <n v="170"/>
    <s v="V (Oct 22)"/>
    <d v="2022-10-19T00:00:00"/>
    <n v="-1"/>
  </r>
  <r>
    <x v="28"/>
    <x v="0"/>
    <n v="0"/>
    <n v="0"/>
    <n v="0"/>
    <n v="0"/>
    <x v="239"/>
    <n v="0"/>
    <n v="0"/>
    <n v="0"/>
    <n v="0"/>
    <x v="36"/>
    <n v="198"/>
    <s v="X (Nov 22)"/>
    <d v="2022-11-16T00:00:00"/>
    <n v="-1"/>
  </r>
  <r>
    <x v="28"/>
    <x v="6"/>
    <n v="0"/>
    <n v="0"/>
    <n v="0"/>
    <n v="0"/>
    <x v="240"/>
    <n v="0"/>
    <n v="0"/>
    <n v="0"/>
    <n v="0"/>
    <x v="43"/>
    <n v="107"/>
    <s v="Q (Aug 22)"/>
    <d v="2022-08-17T00:00:00"/>
    <n v="-1"/>
  </r>
  <r>
    <x v="28"/>
    <x v="7"/>
    <n v="0"/>
    <n v="0"/>
    <n v="0"/>
    <n v="0"/>
    <x v="241"/>
    <n v="0"/>
    <n v="0"/>
    <n v="0"/>
    <n v="0"/>
    <x v="76"/>
    <n v="142"/>
    <s v="U (Sep 22)"/>
    <d v="2022-09-21T00:00:00"/>
    <n v="-1"/>
  </r>
  <r>
    <x v="28"/>
    <x v="8"/>
    <n v="0"/>
    <n v="0"/>
    <n v="0"/>
    <n v="0"/>
    <x v="242"/>
    <n v="0"/>
    <n v="0"/>
    <n v="0"/>
    <n v="0"/>
    <x v="37"/>
    <n v="44"/>
    <s v="M (Jun 22)"/>
    <d v="2022-06-15T00:00:00"/>
    <n v="-1"/>
  </r>
  <r>
    <x v="29"/>
    <x v="6"/>
    <n v="0"/>
    <n v="0"/>
    <n v="0"/>
    <n v="0"/>
    <x v="243"/>
    <n v="0"/>
    <n v="0"/>
    <n v="0"/>
    <n v="0"/>
    <x v="46"/>
    <n v="110"/>
    <s v="Q (Aug 22)"/>
    <d v="2022-08-17T00:00:00"/>
    <n v="-1"/>
  </r>
  <r>
    <x v="29"/>
    <x v="7"/>
    <n v="0"/>
    <n v="0"/>
    <n v="0"/>
    <n v="0"/>
    <x v="244"/>
    <n v="0"/>
    <n v="0"/>
    <n v="0"/>
    <n v="0"/>
    <x v="88"/>
    <n v="145"/>
    <s v="U (Sep 22)"/>
    <d v="2022-09-21T00:00:00"/>
    <n v="-1"/>
  </r>
  <r>
    <x v="29"/>
    <x v="8"/>
    <n v="0"/>
    <n v="0"/>
    <n v="0"/>
    <n v="0"/>
    <x v="245"/>
    <n v="0"/>
    <n v="0"/>
    <n v="0"/>
    <n v="0"/>
    <x v="49"/>
    <n v="47"/>
    <s v="M (Jun 22)"/>
    <d v="2022-06-15T00:00:00"/>
    <n v="-1"/>
  </r>
  <r>
    <x v="29"/>
    <x v="1"/>
    <n v="0"/>
    <n v="0"/>
    <n v="0"/>
    <n v="0"/>
    <x v="232"/>
    <n v="0"/>
    <n v="0"/>
    <n v="0"/>
    <n v="0"/>
    <x v="110"/>
    <n v="236"/>
    <s v="Z (Dec 22)"/>
    <d v="2022-12-21T00:00:00"/>
    <n v="-1"/>
  </r>
  <r>
    <x v="29"/>
    <x v="2"/>
    <n v="0"/>
    <n v="0"/>
    <n v="0"/>
    <n v="0"/>
    <x v="246"/>
    <n v="0"/>
    <n v="0"/>
    <n v="0"/>
    <n v="0"/>
    <x v="81"/>
    <n v="82"/>
    <s v="N (Jul 22)"/>
    <d v="2022-07-20T00:00:00"/>
    <n v="-1"/>
  </r>
  <r>
    <x v="29"/>
    <x v="3"/>
    <n v="0"/>
    <n v="0"/>
    <n v="0"/>
    <n v="0"/>
    <x v="232"/>
    <n v="0"/>
    <n v="0"/>
    <n v="0"/>
    <n v="0"/>
    <x v="87"/>
    <n v="264"/>
    <s v="F (Jan 23)"/>
    <d v="2023-01-18T00:00:00"/>
    <n v="-1"/>
  </r>
  <r>
    <x v="29"/>
    <x v="9"/>
    <n v="0"/>
    <n v="0"/>
    <n v="0"/>
    <n v="0"/>
    <x v="247"/>
    <n v="0"/>
    <n v="0"/>
    <n v="0"/>
    <n v="0"/>
    <x v="98"/>
    <n v="19"/>
    <s v="K (May 22)"/>
    <d v="2022-05-18T00:00:00"/>
    <n v="-1"/>
  </r>
  <r>
    <x v="29"/>
    <x v="5"/>
    <n v="0"/>
    <n v="0"/>
    <n v="0"/>
    <n v="0"/>
    <x v="248"/>
    <n v="0"/>
    <n v="0"/>
    <n v="0"/>
    <n v="0"/>
    <x v="89"/>
    <n v="173"/>
    <s v="V (Oct 22)"/>
    <d v="2022-10-19T00:00:00"/>
    <n v="-1"/>
  </r>
  <r>
    <x v="29"/>
    <x v="0"/>
    <n v="0"/>
    <n v="0"/>
    <n v="0"/>
    <n v="0"/>
    <x v="249"/>
    <n v="0"/>
    <n v="0"/>
    <n v="0"/>
    <n v="0"/>
    <x v="48"/>
    <n v="201"/>
    <s v="X (Nov 22)"/>
    <d v="2022-11-16T00:00:00"/>
    <n v="-1"/>
  </r>
  <r>
    <x v="30"/>
    <x v="1"/>
    <n v="0"/>
    <n v="0"/>
    <n v="0"/>
    <n v="0"/>
    <x v="250"/>
    <n v="0"/>
    <n v="0"/>
    <n v="0"/>
    <n v="0"/>
    <x v="122"/>
    <n v="237"/>
    <s v="Z (Dec 22)"/>
    <d v="2022-12-21T00:00:00"/>
    <n v="-1"/>
  </r>
  <r>
    <x v="30"/>
    <x v="2"/>
    <n v="0"/>
    <n v="0"/>
    <n v="0"/>
    <n v="0"/>
    <x v="251"/>
    <n v="0"/>
    <n v="0"/>
    <n v="0"/>
    <n v="0"/>
    <x v="96"/>
    <n v="83"/>
    <s v="N (Jul 22)"/>
    <d v="2022-07-20T00:00:00"/>
    <n v="-1"/>
  </r>
  <r>
    <x v="30"/>
    <x v="3"/>
    <n v="0"/>
    <n v="0"/>
    <n v="0"/>
    <n v="0"/>
    <x v="252"/>
    <n v="0"/>
    <n v="0"/>
    <n v="0"/>
    <n v="0"/>
    <x v="93"/>
    <n v="265"/>
    <s v="F (Jan 23)"/>
    <d v="2023-01-18T00:00:00"/>
    <n v="-1"/>
  </r>
  <r>
    <x v="30"/>
    <x v="9"/>
    <n v="0"/>
    <n v="0"/>
    <n v="0"/>
    <n v="0"/>
    <x v="253"/>
    <n v="0"/>
    <n v="0"/>
    <n v="0"/>
    <n v="0"/>
    <x v="101"/>
    <n v="20"/>
    <s v="K (May 22)"/>
    <d v="2022-05-18T00:00:00"/>
    <n v="-1"/>
  </r>
  <r>
    <x v="30"/>
    <x v="5"/>
    <n v="0"/>
    <n v="0"/>
    <n v="0"/>
    <n v="0"/>
    <x v="254"/>
    <n v="0"/>
    <n v="0"/>
    <n v="0"/>
    <n v="0"/>
    <x v="95"/>
    <n v="174"/>
    <s v="V (Oct 22)"/>
    <d v="2022-10-19T00:00:00"/>
    <n v="-1"/>
  </r>
  <r>
    <x v="30"/>
    <x v="0"/>
    <n v="0"/>
    <n v="0"/>
    <n v="0"/>
    <n v="0"/>
    <x v="255"/>
    <n v="0"/>
    <n v="0"/>
    <n v="0"/>
    <n v="0"/>
    <x v="54"/>
    <n v="202"/>
    <s v="X (Nov 22)"/>
    <d v="2022-11-16T00:00:00"/>
    <n v="-1"/>
  </r>
  <r>
    <x v="30"/>
    <x v="6"/>
    <n v="0"/>
    <n v="0"/>
    <n v="0"/>
    <n v="0"/>
    <x v="256"/>
    <n v="0"/>
    <n v="0"/>
    <n v="0"/>
    <n v="0"/>
    <x v="61"/>
    <n v="111"/>
    <s v="Q (Aug 22)"/>
    <d v="2022-08-17T00:00:00"/>
    <n v="-1"/>
  </r>
  <r>
    <x v="30"/>
    <x v="7"/>
    <n v="0"/>
    <n v="0"/>
    <n v="0"/>
    <n v="0"/>
    <x v="257"/>
    <n v="0"/>
    <n v="0"/>
    <n v="0"/>
    <n v="0"/>
    <x v="94"/>
    <n v="146"/>
    <s v="U (Sep 22)"/>
    <d v="2022-09-21T00:00:00"/>
    <n v="-1"/>
  </r>
  <r>
    <x v="30"/>
    <x v="8"/>
    <n v="0"/>
    <n v="0"/>
    <n v="0"/>
    <n v="0"/>
    <x v="258"/>
    <n v="0"/>
    <n v="0"/>
    <n v="0"/>
    <n v="0"/>
    <x v="55"/>
    <n v="48"/>
    <s v="M (Jun 22)"/>
    <d v="2022-06-15T00:00:00"/>
    <n v="-1"/>
  </r>
  <r>
    <x v="31"/>
    <x v="6"/>
    <n v="0"/>
    <n v="0"/>
    <n v="0"/>
    <n v="0"/>
    <x v="259"/>
    <n v="0"/>
    <n v="0"/>
    <n v="0"/>
    <n v="0"/>
    <x v="64"/>
    <n v="112"/>
    <s v="Q (Aug 22)"/>
    <d v="2022-08-17T00:00:00"/>
    <n v="-1"/>
  </r>
  <r>
    <x v="31"/>
    <x v="7"/>
    <n v="0"/>
    <n v="0"/>
    <n v="0"/>
    <n v="0"/>
    <x v="260"/>
    <n v="0"/>
    <n v="0"/>
    <n v="0"/>
    <n v="0"/>
    <x v="106"/>
    <n v="147"/>
    <s v="U (Sep 22)"/>
    <d v="2022-09-21T00:00:00"/>
    <n v="-1"/>
  </r>
  <r>
    <x v="31"/>
    <x v="8"/>
    <n v="0"/>
    <n v="0"/>
    <n v="0"/>
    <n v="0"/>
    <x v="261"/>
    <n v="0"/>
    <n v="0"/>
    <n v="0"/>
    <n v="0"/>
    <x v="67"/>
    <n v="49"/>
    <s v="M (Jun 22)"/>
    <d v="2022-06-15T00:00:00"/>
    <n v="-1"/>
  </r>
  <r>
    <x v="31"/>
    <x v="1"/>
    <n v="0"/>
    <n v="0"/>
    <n v="0"/>
    <n v="0"/>
    <x v="262"/>
    <n v="0"/>
    <n v="0"/>
    <n v="0"/>
    <n v="0"/>
    <x v="128"/>
    <n v="238"/>
    <s v="Z (Dec 22)"/>
    <d v="2022-12-21T00:00:00"/>
    <n v="-1"/>
  </r>
  <r>
    <x v="31"/>
    <x v="2"/>
    <n v="0"/>
    <n v="0"/>
    <n v="0"/>
    <n v="0"/>
    <x v="263"/>
    <n v="0"/>
    <n v="0"/>
    <n v="0"/>
    <n v="0"/>
    <x v="99"/>
    <n v="84"/>
    <s v="N (Jul 22)"/>
    <d v="2022-07-20T00:00:00"/>
    <n v="-1"/>
  </r>
  <r>
    <x v="31"/>
    <x v="3"/>
    <n v="0"/>
    <n v="0"/>
    <n v="0"/>
    <n v="0"/>
    <x v="264"/>
    <n v="0"/>
    <n v="0"/>
    <n v="0"/>
    <n v="0"/>
    <x v="105"/>
    <n v="266"/>
    <s v="F (Jan 23)"/>
    <d v="2023-01-18T00:00:00"/>
    <n v="-1"/>
  </r>
  <r>
    <x v="31"/>
    <x v="9"/>
    <n v="0"/>
    <n v="0"/>
    <n v="0"/>
    <n v="0"/>
    <x v="265"/>
    <n v="0"/>
    <n v="0"/>
    <n v="0"/>
    <n v="0"/>
    <x v="116"/>
    <n v="21"/>
    <s v="K (May 22)"/>
    <d v="2022-05-18T00:00:00"/>
    <n v="-1"/>
  </r>
  <r>
    <x v="31"/>
    <x v="5"/>
    <n v="0"/>
    <n v="0"/>
    <n v="0"/>
    <n v="0"/>
    <x v="266"/>
    <n v="0"/>
    <n v="0"/>
    <n v="0"/>
    <n v="0"/>
    <x v="107"/>
    <n v="175"/>
    <s v="V (Oct 22)"/>
    <d v="2022-10-19T00:00:00"/>
    <n v="-1"/>
  </r>
  <r>
    <x v="31"/>
    <x v="0"/>
    <n v="0"/>
    <n v="0"/>
    <n v="0"/>
    <n v="0"/>
    <x v="267"/>
    <n v="0"/>
    <n v="0"/>
    <n v="0"/>
    <n v="0"/>
    <x v="66"/>
    <n v="203"/>
    <s v="X (Nov 22)"/>
    <d v="2022-11-16T00:00:00"/>
    <n v="-1"/>
  </r>
  <r>
    <x v="32"/>
    <x v="1"/>
    <n v="0"/>
    <n v="0"/>
    <n v="0"/>
    <n v="0"/>
    <x v="268"/>
    <n v="0"/>
    <n v="0"/>
    <n v="0"/>
    <n v="0"/>
    <x v="139"/>
    <n v="239"/>
    <s v="Z (Dec 22)"/>
    <d v="2022-12-21T00:00:00"/>
    <n v="-1"/>
  </r>
  <r>
    <x v="32"/>
    <x v="2"/>
    <n v="0"/>
    <n v="0"/>
    <n v="0"/>
    <n v="0"/>
    <x v="269"/>
    <n v="0"/>
    <n v="0"/>
    <n v="0"/>
    <n v="0"/>
    <x v="114"/>
    <n v="85"/>
    <s v="N (Jul 22)"/>
    <d v="2022-07-20T00:00:00"/>
    <n v="-1"/>
  </r>
  <r>
    <x v="32"/>
    <x v="3"/>
    <n v="0"/>
    <n v="0"/>
    <n v="0"/>
    <n v="0"/>
    <x v="270"/>
    <n v="0"/>
    <n v="0"/>
    <n v="0"/>
    <n v="0"/>
    <x v="111"/>
    <n v="267"/>
    <s v="F (Jan 23)"/>
    <d v="2023-01-18T00:00:00"/>
    <n v="-1"/>
  </r>
  <r>
    <x v="32"/>
    <x v="9"/>
    <n v="0"/>
    <n v="0"/>
    <n v="0"/>
    <n v="0"/>
    <x v="271"/>
    <n v="0"/>
    <n v="0"/>
    <n v="0"/>
    <n v="0"/>
    <x v="119"/>
    <n v="22"/>
    <s v="K (May 22)"/>
    <d v="2022-05-18T00:00:00"/>
    <n v="-1"/>
  </r>
  <r>
    <x v="32"/>
    <x v="5"/>
    <n v="0"/>
    <n v="0"/>
    <n v="0"/>
    <n v="0"/>
    <x v="272"/>
    <n v="0"/>
    <n v="0"/>
    <n v="0"/>
    <n v="0"/>
    <x v="113"/>
    <n v="176"/>
    <s v="V (Oct 22)"/>
    <d v="2022-10-19T00:00:00"/>
    <n v="-1"/>
  </r>
  <r>
    <x v="32"/>
    <x v="0"/>
    <n v="0"/>
    <n v="0"/>
    <n v="0"/>
    <n v="0"/>
    <x v="273"/>
    <n v="0"/>
    <n v="0"/>
    <n v="0"/>
    <n v="0"/>
    <x v="72"/>
    <n v="204"/>
    <s v="X (Nov 22)"/>
    <d v="2022-11-16T00:00:00"/>
    <n v="-1"/>
  </r>
  <r>
    <x v="32"/>
    <x v="6"/>
    <n v="0"/>
    <n v="0"/>
    <n v="0"/>
    <n v="0"/>
    <x v="274"/>
    <n v="0"/>
    <n v="0"/>
    <n v="0"/>
    <n v="0"/>
    <x v="79"/>
    <n v="113"/>
    <s v="Q (Aug 22)"/>
    <d v="2022-08-17T00:00:00"/>
    <n v="-1"/>
  </r>
  <r>
    <x v="32"/>
    <x v="7"/>
    <n v="0"/>
    <n v="0"/>
    <n v="0"/>
    <n v="0"/>
    <x v="275"/>
    <n v="0"/>
    <n v="0"/>
    <n v="0"/>
    <n v="0"/>
    <x v="112"/>
    <n v="148"/>
    <s v="U (Sep 22)"/>
    <d v="2022-09-21T00:00:00"/>
    <n v="-1"/>
  </r>
  <r>
    <x v="32"/>
    <x v="8"/>
    <n v="0"/>
    <n v="0"/>
    <n v="0"/>
    <n v="0"/>
    <x v="276"/>
    <n v="0"/>
    <n v="0"/>
    <n v="0"/>
    <n v="0"/>
    <x v="73"/>
    <n v="50"/>
    <s v="M (Jun 22)"/>
    <d v="2022-06-15T00:00:00"/>
    <n v="-1"/>
  </r>
  <r>
    <x v="33"/>
    <x v="6"/>
    <n v="0"/>
    <n v="0"/>
    <n v="0"/>
    <n v="0"/>
    <x v="277"/>
    <n v="0"/>
    <n v="0"/>
    <n v="0"/>
    <n v="0"/>
    <x v="82"/>
    <n v="114"/>
    <s v="Q (Aug 22)"/>
    <d v="2022-08-17T00:00:00"/>
    <n v="-1"/>
  </r>
  <r>
    <x v="33"/>
    <x v="7"/>
    <n v="0"/>
    <n v="0"/>
    <n v="0"/>
    <n v="0"/>
    <x v="278"/>
    <n v="0"/>
    <n v="0"/>
    <n v="0"/>
    <n v="0"/>
    <x v="124"/>
    <n v="149"/>
    <s v="U (Sep 22)"/>
    <d v="2022-09-21T00:00:00"/>
    <n v="-1"/>
  </r>
  <r>
    <x v="33"/>
    <x v="8"/>
    <n v="0"/>
    <n v="0"/>
    <n v="0"/>
    <n v="0"/>
    <x v="279"/>
    <n v="0"/>
    <n v="0"/>
    <n v="0"/>
    <n v="0"/>
    <x v="85"/>
    <n v="51"/>
    <s v="M (Jun 22)"/>
    <d v="2022-06-15T00:00:00"/>
    <n v="-1"/>
  </r>
  <r>
    <x v="33"/>
    <x v="1"/>
    <n v="0"/>
    <n v="0"/>
    <n v="0"/>
    <n v="0"/>
    <x v="280"/>
    <n v="0"/>
    <n v="0"/>
    <n v="0"/>
    <n v="0"/>
    <x v="144"/>
    <n v="240"/>
    <s v="Z (Dec 22)"/>
    <d v="2022-12-21T00:00:00"/>
    <n v="-1"/>
  </r>
  <r>
    <x v="33"/>
    <x v="2"/>
    <n v="0"/>
    <n v="0"/>
    <n v="0"/>
    <n v="0"/>
    <x v="281"/>
    <n v="0"/>
    <n v="0"/>
    <n v="0"/>
    <n v="0"/>
    <x v="117"/>
    <n v="86"/>
    <s v="N (Jul 22)"/>
    <d v="2022-07-20T00:00:00"/>
    <n v="-1"/>
  </r>
  <r>
    <x v="33"/>
    <x v="3"/>
    <n v="0"/>
    <n v="0"/>
    <n v="0"/>
    <n v="0"/>
    <x v="282"/>
    <n v="0"/>
    <n v="0"/>
    <n v="0"/>
    <n v="0"/>
    <x v="123"/>
    <n v="268"/>
    <s v="F (Jan 23)"/>
    <d v="2023-01-18T00:00:00"/>
    <n v="-1"/>
  </r>
  <r>
    <x v="33"/>
    <x v="9"/>
    <n v="0"/>
    <n v="0"/>
    <n v="0"/>
    <n v="0"/>
    <x v="283"/>
    <n v="0"/>
    <n v="0"/>
    <n v="0"/>
    <n v="0"/>
    <x v="133"/>
    <n v="23"/>
    <s v="K (May 22)"/>
    <d v="2022-05-18T00:00:00"/>
    <n v="-1"/>
  </r>
  <r>
    <x v="33"/>
    <x v="5"/>
    <n v="0"/>
    <n v="0"/>
    <n v="0"/>
    <n v="0"/>
    <x v="284"/>
    <n v="0"/>
    <n v="0"/>
    <n v="0"/>
    <n v="0"/>
    <x v="125"/>
    <n v="177"/>
    <s v="V (Oct 22)"/>
    <d v="2022-10-19T00:00:00"/>
    <n v="-1"/>
  </r>
  <r>
    <x v="33"/>
    <x v="0"/>
    <n v="0"/>
    <n v="0"/>
    <n v="0"/>
    <n v="0"/>
    <x v="151"/>
    <n v="0"/>
    <n v="0"/>
    <n v="0"/>
    <n v="0"/>
    <x v="84"/>
    <n v="205"/>
    <s v="X (Nov 22)"/>
    <d v="2022-11-16T00:00:00"/>
    <n v="-1"/>
  </r>
  <r>
    <x v="34"/>
    <x v="1"/>
    <n v="0"/>
    <n v="0"/>
    <n v="0"/>
    <n v="0"/>
    <x v="252"/>
    <n v="0"/>
    <n v="0"/>
    <n v="0"/>
    <n v="0"/>
    <x v="155"/>
    <n v="243"/>
    <s v="Z (Dec 22)"/>
    <d v="2022-12-21T00:00:00"/>
    <n v="-1"/>
  </r>
  <r>
    <x v="34"/>
    <x v="2"/>
    <n v="0"/>
    <n v="0"/>
    <n v="0"/>
    <n v="0"/>
    <x v="285"/>
    <n v="0"/>
    <n v="0"/>
    <n v="0"/>
    <n v="0"/>
    <x v="131"/>
    <n v="89"/>
    <s v="N (Jul 22)"/>
    <d v="2022-07-20T00:00:00"/>
    <n v="-1"/>
  </r>
  <r>
    <x v="34"/>
    <x v="9"/>
    <n v="0"/>
    <n v="0"/>
    <n v="0"/>
    <n v="0"/>
    <x v="286"/>
    <n v="0"/>
    <n v="0"/>
    <n v="0"/>
    <n v="0"/>
    <x v="136"/>
    <n v="26"/>
    <s v="K (May 22)"/>
    <d v="2022-05-18T00:00:00"/>
    <n v="-1"/>
  </r>
  <r>
    <x v="34"/>
    <x v="5"/>
    <n v="0"/>
    <n v="0"/>
    <n v="0"/>
    <n v="0"/>
    <x v="287"/>
    <n v="0"/>
    <n v="0"/>
    <n v="0"/>
    <n v="0"/>
    <x v="130"/>
    <n v="180"/>
    <s v="V (Oct 22)"/>
    <d v="2022-10-19T00:00:00"/>
    <n v="-1"/>
  </r>
  <r>
    <x v="34"/>
    <x v="0"/>
    <n v="0"/>
    <n v="0"/>
    <n v="0"/>
    <n v="0"/>
    <x v="288"/>
    <n v="0"/>
    <n v="0"/>
    <n v="0"/>
    <n v="0"/>
    <x v="90"/>
    <n v="208"/>
    <s v="X (Nov 22)"/>
    <d v="2022-11-16T00:00:00"/>
    <n v="-1"/>
  </r>
  <r>
    <x v="34"/>
    <x v="6"/>
    <n v="0"/>
    <n v="0"/>
    <n v="0"/>
    <n v="0"/>
    <x v="289"/>
    <n v="0"/>
    <n v="0"/>
    <n v="0"/>
    <n v="0"/>
    <x v="97"/>
    <n v="117"/>
    <s v="Q (Aug 22)"/>
    <d v="2022-08-17T00:00:00"/>
    <n v="-1"/>
  </r>
  <r>
    <x v="34"/>
    <x v="7"/>
    <n v="0"/>
    <n v="0"/>
    <n v="0"/>
    <n v="0"/>
    <x v="290"/>
    <n v="0"/>
    <n v="0"/>
    <n v="0"/>
    <n v="0"/>
    <x v="129"/>
    <n v="152"/>
    <s v="U (Sep 22)"/>
    <d v="2022-09-21T00:00:00"/>
    <n v="-1"/>
  </r>
  <r>
    <x v="34"/>
    <x v="8"/>
    <n v="0"/>
    <n v="0"/>
    <n v="0"/>
    <n v="0"/>
    <x v="291"/>
    <n v="0"/>
    <n v="0"/>
    <n v="0"/>
    <n v="0"/>
    <x v="91"/>
    <n v="54"/>
    <s v="M (Jun 22)"/>
    <d v="2022-06-15T00:00:00"/>
    <n v="-1"/>
  </r>
  <r>
    <x v="35"/>
    <x v="6"/>
    <n v="0"/>
    <n v="0"/>
    <n v="0"/>
    <n v="0"/>
    <x v="292"/>
    <n v="0"/>
    <n v="0"/>
    <n v="0"/>
    <n v="0"/>
    <x v="100"/>
    <n v="118"/>
    <s v="Q (Aug 22)"/>
    <d v="2022-08-17T00:00:00"/>
    <n v="-1"/>
  </r>
  <r>
    <x v="35"/>
    <x v="7"/>
    <n v="0"/>
    <n v="0"/>
    <n v="0"/>
    <n v="0"/>
    <x v="293"/>
    <n v="0"/>
    <n v="0"/>
    <n v="0"/>
    <n v="0"/>
    <x v="140"/>
    <n v="153"/>
    <s v="U (Sep 22)"/>
    <d v="2022-09-21T00:00:00"/>
    <n v="-1"/>
  </r>
  <r>
    <x v="35"/>
    <x v="8"/>
    <n v="0"/>
    <n v="0"/>
    <n v="0"/>
    <n v="0"/>
    <x v="294"/>
    <n v="0"/>
    <n v="0"/>
    <n v="0"/>
    <n v="0"/>
    <x v="103"/>
    <n v="55"/>
    <s v="M (Jun 22)"/>
    <d v="2022-06-15T00:00:00"/>
    <n v="-1"/>
  </r>
  <r>
    <x v="35"/>
    <x v="1"/>
    <n v="0"/>
    <n v="0"/>
    <n v="0"/>
    <n v="0"/>
    <x v="295"/>
    <n v="0"/>
    <n v="0"/>
    <n v="0"/>
    <n v="0"/>
    <x v="160"/>
    <n v="244"/>
    <s v="Z (Dec 22)"/>
    <d v="2022-12-21T00:00:00"/>
    <n v="-1"/>
  </r>
  <r>
    <x v="35"/>
    <x v="2"/>
    <n v="0"/>
    <n v="0"/>
    <n v="0"/>
    <n v="0"/>
    <x v="296"/>
    <n v="0"/>
    <n v="0"/>
    <n v="0"/>
    <n v="0"/>
    <x v="134"/>
    <n v="90"/>
    <s v="N (Jul 22)"/>
    <d v="2022-07-20T00:00:00"/>
    <n v="-1"/>
  </r>
  <r>
    <x v="35"/>
    <x v="9"/>
    <n v="0"/>
    <n v="0"/>
    <n v="0"/>
    <n v="0"/>
    <x v="297"/>
    <n v="0"/>
    <n v="0"/>
    <n v="0"/>
    <n v="0"/>
    <x v="150"/>
    <n v="27"/>
    <s v="K (May 22)"/>
    <d v="2022-05-18T00:00:00"/>
    <n v="-1"/>
  </r>
  <r>
    <x v="35"/>
    <x v="5"/>
    <n v="0"/>
    <n v="0"/>
    <n v="0"/>
    <n v="0"/>
    <x v="298"/>
    <n v="0"/>
    <n v="0"/>
    <n v="0"/>
    <n v="0"/>
    <x v="141"/>
    <n v="181"/>
    <s v="V (Oct 22)"/>
    <d v="2022-10-19T00:00:00"/>
    <n v="-1"/>
  </r>
  <r>
    <x v="35"/>
    <x v="0"/>
    <n v="0"/>
    <n v="0"/>
    <n v="0"/>
    <n v="0"/>
    <x v="299"/>
    <n v="0"/>
    <n v="0"/>
    <n v="0"/>
    <n v="0"/>
    <x v="102"/>
    <n v="209"/>
    <s v="X (Nov 22)"/>
    <d v="2022-11-16T00:00:00"/>
    <n v="-1"/>
  </r>
  <r>
    <x v="36"/>
    <x v="1"/>
    <n v="0"/>
    <n v="0"/>
    <n v="0"/>
    <n v="0"/>
    <x v="300"/>
    <n v="0"/>
    <n v="0"/>
    <n v="0"/>
    <n v="0"/>
    <x v="171"/>
    <n v="245"/>
    <s v="Z (Dec 22)"/>
    <d v="2022-12-21T00:00:00"/>
    <n v="-1"/>
  </r>
  <r>
    <x v="36"/>
    <x v="2"/>
    <n v="0"/>
    <n v="0"/>
    <n v="0"/>
    <n v="0"/>
    <x v="301"/>
    <n v="0"/>
    <n v="0"/>
    <n v="0"/>
    <n v="0"/>
    <x v="148"/>
    <n v="91"/>
    <s v="N (Jul 22)"/>
    <d v="2022-07-20T00:00:00"/>
    <n v="-1"/>
  </r>
  <r>
    <x v="36"/>
    <x v="9"/>
    <n v="0"/>
    <n v="0"/>
    <n v="0"/>
    <n v="0"/>
    <x v="302"/>
    <n v="0"/>
    <n v="0"/>
    <n v="0"/>
    <n v="0"/>
    <x v="153"/>
    <n v="28"/>
    <s v="K (May 22)"/>
    <d v="2022-05-18T00:00:00"/>
    <n v="-1"/>
  </r>
  <r>
    <x v="36"/>
    <x v="5"/>
    <n v="0"/>
    <n v="0"/>
    <n v="0"/>
    <n v="0"/>
    <x v="303"/>
    <n v="0"/>
    <n v="0"/>
    <n v="0"/>
    <n v="0"/>
    <x v="147"/>
    <n v="182"/>
    <s v="V (Oct 22)"/>
    <d v="2022-10-19T00:00:00"/>
    <n v="-1"/>
  </r>
  <r>
    <x v="36"/>
    <x v="0"/>
    <n v="0"/>
    <n v="0"/>
    <n v="0"/>
    <n v="0"/>
    <x v="304"/>
    <n v="0"/>
    <n v="0"/>
    <n v="0"/>
    <n v="0"/>
    <x v="108"/>
    <n v="210"/>
    <s v="X (Nov 22)"/>
    <d v="2022-11-16T00:00:00"/>
    <n v="-1"/>
  </r>
  <r>
    <x v="36"/>
    <x v="10"/>
    <n v="0"/>
    <n v="0"/>
    <n v="0"/>
    <n v="0"/>
    <x v="305"/>
    <n v="0"/>
    <n v="0"/>
    <n v="0"/>
    <n v="0"/>
    <x v="145"/>
    <n v="0"/>
    <s v="J (Apr 22)"/>
    <d v="2022-04-20T00:00:00"/>
    <n v="-1"/>
  </r>
  <r>
    <x v="36"/>
    <x v="6"/>
    <n v="0"/>
    <n v="0"/>
    <n v="0"/>
    <n v="0"/>
    <x v="306"/>
    <n v="0"/>
    <n v="0"/>
    <n v="0"/>
    <n v="0"/>
    <x v="115"/>
    <n v="119"/>
    <s v="Q (Aug 22)"/>
    <d v="2022-08-17T00:00:00"/>
    <n v="-1"/>
  </r>
  <r>
    <x v="36"/>
    <x v="7"/>
    <n v="0"/>
    <n v="0"/>
    <n v="0"/>
    <n v="0"/>
    <x v="307"/>
    <n v="0"/>
    <n v="0"/>
    <n v="0"/>
    <n v="0"/>
    <x v="146"/>
    <n v="154"/>
    <s v="U (Sep 22)"/>
    <d v="2022-09-21T00:00:00"/>
    <n v="-1"/>
  </r>
  <r>
    <x v="36"/>
    <x v="8"/>
    <n v="0"/>
    <n v="0"/>
    <n v="0"/>
    <n v="0"/>
    <x v="308"/>
    <n v="0"/>
    <n v="0"/>
    <n v="0"/>
    <n v="0"/>
    <x v="109"/>
    <n v="56"/>
    <s v="M (Jun 22)"/>
    <d v="2022-06-15T00:00:00"/>
    <n v="-1"/>
  </r>
  <r>
    <x v="37"/>
    <x v="10"/>
    <n v="0"/>
    <n v="0"/>
    <n v="0"/>
    <n v="0"/>
    <x v="309"/>
    <n v="0"/>
    <n v="0"/>
    <n v="0"/>
    <n v="0"/>
    <x v="156"/>
    <n v="1"/>
    <s v="J (Apr 22)"/>
    <d v="2022-04-20T00:00:00"/>
    <n v="-1"/>
  </r>
  <r>
    <x v="37"/>
    <x v="6"/>
    <n v="0"/>
    <n v="0"/>
    <n v="0"/>
    <n v="0"/>
    <x v="310"/>
    <n v="0"/>
    <n v="0"/>
    <n v="0"/>
    <n v="0"/>
    <x v="118"/>
    <n v="120"/>
    <s v="Q (Aug 22)"/>
    <d v="2022-08-17T00:00:00"/>
    <n v="-1"/>
  </r>
  <r>
    <x v="37"/>
    <x v="7"/>
    <n v="0"/>
    <n v="0"/>
    <n v="0"/>
    <n v="0"/>
    <x v="311"/>
    <n v="0"/>
    <n v="0"/>
    <n v="0"/>
    <n v="0"/>
    <x v="157"/>
    <n v="155"/>
    <s v="U (Sep 22)"/>
    <d v="2022-09-21T00:00:00"/>
    <n v="-1"/>
  </r>
  <r>
    <x v="37"/>
    <x v="8"/>
    <n v="0"/>
    <n v="0"/>
    <n v="0"/>
    <n v="0"/>
    <x v="312"/>
    <n v="0"/>
    <n v="0"/>
    <n v="0"/>
    <n v="0"/>
    <x v="121"/>
    <n v="57"/>
    <s v="M (Jun 22)"/>
    <d v="2022-06-15T00:00:00"/>
    <n v="-1"/>
  </r>
  <r>
    <x v="37"/>
    <x v="1"/>
    <n v="0"/>
    <n v="0"/>
    <n v="0"/>
    <n v="0"/>
    <x v="313"/>
    <n v="0"/>
    <n v="0"/>
    <n v="0"/>
    <n v="0"/>
    <x v="4"/>
    <n v="246"/>
    <s v="Z (Dec 22)"/>
    <d v="2022-12-21T00:00:00"/>
    <n v="-1"/>
  </r>
  <r>
    <x v="37"/>
    <x v="2"/>
    <n v="0"/>
    <n v="0"/>
    <n v="0"/>
    <n v="0"/>
    <x v="314"/>
    <n v="0"/>
    <n v="0"/>
    <n v="0"/>
    <n v="0"/>
    <x v="151"/>
    <n v="92"/>
    <s v="N (Jul 22)"/>
    <d v="2022-07-20T00:00:00"/>
    <n v="-1"/>
  </r>
  <r>
    <x v="37"/>
    <x v="9"/>
    <n v="0"/>
    <n v="0"/>
    <n v="0"/>
    <n v="0"/>
    <x v="315"/>
    <n v="0"/>
    <n v="0"/>
    <n v="0"/>
    <n v="0"/>
    <x v="166"/>
    <n v="29"/>
    <s v="K (May 22)"/>
    <d v="2022-05-18T00:00:00"/>
    <n v="-1"/>
  </r>
  <r>
    <x v="37"/>
    <x v="5"/>
    <n v="0"/>
    <n v="0"/>
    <n v="0"/>
    <n v="0"/>
    <x v="316"/>
    <n v="0"/>
    <n v="0"/>
    <n v="0"/>
    <n v="0"/>
    <x v="158"/>
    <n v="183"/>
    <s v="V (Oct 22)"/>
    <d v="2022-10-19T00:00:00"/>
    <n v="-1"/>
  </r>
  <r>
    <x v="37"/>
    <x v="0"/>
    <n v="0"/>
    <n v="0"/>
    <n v="0"/>
    <n v="0"/>
    <x v="317"/>
    <n v="0"/>
    <n v="0"/>
    <n v="0"/>
    <n v="0"/>
    <x v="120"/>
    <n v="211"/>
    <s v="X (Nov 22)"/>
    <d v="2022-11-16T00:00:00"/>
    <n v="-1"/>
  </r>
  <r>
    <x v="38"/>
    <x v="1"/>
    <n v="0"/>
    <n v="0"/>
    <n v="0"/>
    <n v="0"/>
    <x v="318"/>
    <n v="0"/>
    <n v="0"/>
    <n v="0"/>
    <n v="0"/>
    <x v="16"/>
    <n v="247"/>
    <s v="Z (Dec 22)"/>
    <d v="2022-12-21T00:00:00"/>
    <n v="-1"/>
  </r>
  <r>
    <x v="38"/>
    <x v="2"/>
    <n v="0"/>
    <n v="0"/>
    <n v="0"/>
    <n v="0"/>
    <x v="280"/>
    <n v="0"/>
    <n v="0"/>
    <n v="0"/>
    <n v="0"/>
    <x v="164"/>
    <n v="93"/>
    <s v="N (Jul 22)"/>
    <d v="2022-07-20T00:00:00"/>
    <n v="-1"/>
  </r>
  <r>
    <x v="38"/>
    <x v="9"/>
    <n v="0"/>
    <n v="0"/>
    <n v="0"/>
    <n v="0"/>
    <x v="319"/>
    <n v="0"/>
    <n v="0"/>
    <n v="0"/>
    <n v="0"/>
    <x v="169"/>
    <n v="30"/>
    <s v="K (May 22)"/>
    <d v="2022-05-18T00:00:00"/>
    <n v="-1"/>
  </r>
  <r>
    <x v="38"/>
    <x v="5"/>
    <n v="0"/>
    <n v="0"/>
    <n v="0"/>
    <n v="0"/>
    <x v="320"/>
    <n v="0"/>
    <n v="0"/>
    <n v="0"/>
    <n v="0"/>
    <x v="163"/>
    <n v="184"/>
    <s v="V (Oct 22)"/>
    <d v="2022-10-19T00:00:00"/>
    <n v="-1"/>
  </r>
  <r>
    <x v="38"/>
    <x v="0"/>
    <n v="0"/>
    <n v="0"/>
    <n v="0"/>
    <n v="0"/>
    <x v="262"/>
    <n v="0"/>
    <n v="0"/>
    <n v="0"/>
    <n v="0"/>
    <x v="126"/>
    <n v="212"/>
    <s v="X (Nov 22)"/>
    <d v="2022-11-16T00:00:00"/>
    <n v="-1"/>
  </r>
  <r>
    <x v="38"/>
    <x v="10"/>
    <n v="0"/>
    <n v="0"/>
    <n v="0"/>
    <n v="0"/>
    <x v="321"/>
    <n v="0"/>
    <n v="0"/>
    <n v="0"/>
    <n v="0"/>
    <x v="161"/>
    <n v="2"/>
    <s v="J (Apr 22)"/>
    <d v="2022-04-20T00:00:00"/>
    <n v="-1"/>
  </r>
  <r>
    <x v="38"/>
    <x v="6"/>
    <n v="0"/>
    <n v="0"/>
    <n v="0"/>
    <n v="0"/>
    <x v="52"/>
    <n v="0"/>
    <n v="0"/>
    <n v="0"/>
    <n v="0"/>
    <x v="132"/>
    <n v="121"/>
    <s v="Q (Aug 22)"/>
    <d v="2022-08-17T00:00:00"/>
    <n v="-1"/>
  </r>
  <r>
    <x v="38"/>
    <x v="7"/>
    <n v="0"/>
    <n v="0"/>
    <n v="0"/>
    <n v="0"/>
    <x v="322"/>
    <n v="0"/>
    <n v="0"/>
    <n v="0"/>
    <n v="0"/>
    <x v="162"/>
    <n v="156"/>
    <s v="U (Sep 22)"/>
    <d v="2022-09-21T00:00:00"/>
    <n v="-1"/>
  </r>
  <r>
    <x v="38"/>
    <x v="8"/>
    <n v="0"/>
    <n v="0"/>
    <n v="0"/>
    <n v="0"/>
    <x v="323"/>
    <n v="0"/>
    <n v="0"/>
    <n v="0"/>
    <n v="0"/>
    <x v="127"/>
    <n v="58"/>
    <s v="M (Jun 22)"/>
    <d v="2022-06-15T00:00:00"/>
    <n v="-1"/>
  </r>
  <r>
    <x v="39"/>
    <x v="10"/>
    <n v="0"/>
    <n v="0"/>
    <n v="0"/>
    <n v="0"/>
    <x v="324"/>
    <n v="0"/>
    <n v="0"/>
    <n v="0"/>
    <n v="0"/>
    <x v="11"/>
    <n v="6"/>
    <s v="J (Apr 22)"/>
    <d v="2022-04-20T00:00:00"/>
    <n v="-1"/>
  </r>
  <r>
    <x v="39"/>
    <x v="6"/>
    <n v="0"/>
    <n v="0"/>
    <n v="0"/>
    <n v="0"/>
    <x v="325"/>
    <n v="0"/>
    <n v="0"/>
    <n v="0"/>
    <n v="0"/>
    <x v="149"/>
    <n v="125"/>
    <s v="Q (Aug 22)"/>
    <d v="2022-08-17T00:00:00"/>
    <n v="-1"/>
  </r>
  <r>
    <x v="39"/>
    <x v="7"/>
    <n v="0"/>
    <n v="0"/>
    <n v="0"/>
    <n v="0"/>
    <x v="326"/>
    <n v="0"/>
    <n v="0"/>
    <n v="0"/>
    <n v="0"/>
    <x v="0"/>
    <n v="160"/>
    <s v="U (Sep 22)"/>
    <d v="2022-09-21T00:00:00"/>
    <n v="-1"/>
  </r>
  <r>
    <x v="39"/>
    <x v="8"/>
    <n v="0"/>
    <n v="0"/>
    <n v="0"/>
    <n v="0"/>
    <x v="327"/>
    <n v="0"/>
    <n v="0"/>
    <n v="0"/>
    <n v="0"/>
    <x v="143"/>
    <n v="62"/>
    <s v="M (Jun 22)"/>
    <d v="2022-06-15T00:00:00"/>
    <n v="-1"/>
  </r>
  <r>
    <x v="39"/>
    <x v="1"/>
    <n v="0"/>
    <n v="0"/>
    <n v="0"/>
    <n v="0"/>
    <x v="328"/>
    <n v="0"/>
    <n v="0"/>
    <n v="0"/>
    <n v="0"/>
    <x v="33"/>
    <n v="251"/>
    <s v="Z (Dec 22)"/>
    <d v="2022-12-21T00:00:00"/>
    <n v="-1"/>
  </r>
  <r>
    <x v="39"/>
    <x v="2"/>
    <n v="0"/>
    <n v="0"/>
    <n v="0"/>
    <n v="0"/>
    <x v="329"/>
    <n v="0"/>
    <n v="0"/>
    <n v="0"/>
    <n v="0"/>
    <x v="175"/>
    <n v="97"/>
    <s v="N (Jul 22)"/>
    <d v="2022-07-20T00:00:00"/>
    <n v="-1"/>
  </r>
  <r>
    <x v="39"/>
    <x v="9"/>
    <n v="0"/>
    <n v="0"/>
    <n v="0"/>
    <n v="0"/>
    <x v="330"/>
    <n v="0"/>
    <n v="0"/>
    <n v="0"/>
    <n v="0"/>
    <x v="178"/>
    <n v="34"/>
    <s v="K (May 22)"/>
    <d v="2022-05-18T00:00:00"/>
    <n v="-1"/>
  </r>
  <r>
    <x v="39"/>
    <x v="5"/>
    <n v="0"/>
    <n v="0"/>
    <n v="0"/>
    <n v="0"/>
    <x v="331"/>
    <n v="0"/>
    <n v="0"/>
    <n v="0"/>
    <n v="0"/>
    <x v="174"/>
    <n v="188"/>
    <s v="V (Oct 22)"/>
    <d v="2022-10-19T00:00:00"/>
    <n v="-1"/>
  </r>
  <r>
    <x v="39"/>
    <x v="0"/>
    <n v="0"/>
    <n v="0"/>
    <n v="0"/>
    <n v="0"/>
    <x v="230"/>
    <n v="0"/>
    <n v="0"/>
    <n v="0"/>
    <n v="0"/>
    <x v="142"/>
    <n v="216"/>
    <s v="X (Nov 22)"/>
    <d v="2022-11-16T00:00:00"/>
    <n v="-1"/>
  </r>
  <r>
    <x v="40"/>
    <x v="1"/>
    <n v="0"/>
    <n v="0"/>
    <n v="0"/>
    <n v="0"/>
    <x v="332"/>
    <n v="0"/>
    <n v="0"/>
    <n v="0"/>
    <n v="0"/>
    <x v="39"/>
    <n v="252"/>
    <s v="Z (Dec 22)"/>
    <d v="2022-12-21T00:00:00"/>
    <n v="-1"/>
  </r>
  <r>
    <x v="40"/>
    <x v="2"/>
    <n v="0"/>
    <n v="0"/>
    <n v="0"/>
    <n v="0"/>
    <x v="333"/>
    <n v="0"/>
    <n v="0"/>
    <n v="0"/>
    <n v="0"/>
    <x v="177"/>
    <n v="98"/>
    <s v="N (Jul 22)"/>
    <d v="2022-07-20T00:00:00"/>
    <n v="-1"/>
  </r>
  <r>
    <x v="40"/>
    <x v="9"/>
    <n v="0"/>
    <n v="0"/>
    <n v="0"/>
    <n v="0"/>
    <x v="334"/>
    <n v="0"/>
    <n v="0"/>
    <n v="0"/>
    <n v="0"/>
    <x v="182"/>
    <n v="35"/>
    <s v="K (May 22)"/>
    <d v="2022-05-18T00:00:00"/>
    <n v="-1"/>
  </r>
  <r>
    <x v="40"/>
    <x v="5"/>
    <n v="0"/>
    <n v="0"/>
    <n v="0"/>
    <n v="0"/>
    <x v="335"/>
    <n v="0"/>
    <n v="0"/>
    <n v="0"/>
    <n v="0"/>
    <x v="179"/>
    <n v="189"/>
    <s v="V (Oct 22)"/>
    <d v="2022-10-19T00:00:00"/>
    <n v="-1"/>
  </r>
  <r>
    <x v="40"/>
    <x v="0"/>
    <n v="0"/>
    <n v="0"/>
    <n v="0"/>
    <n v="0"/>
    <x v="336"/>
    <n v="0"/>
    <n v="0"/>
    <n v="0"/>
    <n v="0"/>
    <x v="3"/>
    <n v="217"/>
    <s v="X (Nov 22)"/>
    <d v="2022-11-16T00:00:00"/>
    <n v="-1"/>
  </r>
  <r>
    <x v="40"/>
    <x v="10"/>
    <n v="0"/>
    <n v="0"/>
    <n v="0"/>
    <n v="0"/>
    <x v="337"/>
    <n v="0"/>
    <n v="0"/>
    <n v="0"/>
    <n v="0"/>
    <x v="26"/>
    <n v="7"/>
    <s v="J (Apr 22)"/>
    <d v="2022-04-20T00:00:00"/>
    <n v="-1"/>
  </r>
  <r>
    <x v="40"/>
    <x v="6"/>
    <n v="0"/>
    <n v="0"/>
    <n v="0"/>
    <n v="0"/>
    <x v="338"/>
    <n v="0"/>
    <n v="0"/>
    <n v="0"/>
    <n v="0"/>
    <x v="152"/>
    <n v="126"/>
    <s v="Q (Aug 22)"/>
    <d v="2022-08-17T00:00:00"/>
    <n v="-1"/>
  </r>
  <r>
    <x v="40"/>
    <x v="7"/>
    <n v="0"/>
    <n v="0"/>
    <n v="0"/>
    <n v="0"/>
    <x v="52"/>
    <n v="0"/>
    <n v="0"/>
    <n v="0"/>
    <n v="0"/>
    <x v="12"/>
    <n v="161"/>
    <s v="U (Sep 22)"/>
    <d v="2022-09-21T00:00:00"/>
    <n v="-1"/>
  </r>
  <r>
    <x v="40"/>
    <x v="8"/>
    <n v="0"/>
    <n v="0"/>
    <n v="0"/>
    <n v="0"/>
    <x v="339"/>
    <n v="0"/>
    <n v="0"/>
    <n v="0"/>
    <n v="0"/>
    <x v="154"/>
    <n v="63"/>
    <s v="M (Jun 22)"/>
    <d v="2022-06-15T00:00:00"/>
    <n v="-1"/>
  </r>
  <r>
    <x v="41"/>
    <x v="10"/>
    <n v="0"/>
    <n v="0"/>
    <n v="0"/>
    <n v="0"/>
    <x v="340"/>
    <n v="0"/>
    <n v="0"/>
    <n v="0"/>
    <n v="0"/>
    <x v="29"/>
    <n v="8"/>
    <s v="J (Apr 22)"/>
    <d v="2022-04-20T00:00:00"/>
    <n v="-1"/>
  </r>
  <r>
    <x v="41"/>
    <x v="6"/>
    <n v="0"/>
    <n v="0"/>
    <n v="0"/>
    <n v="0"/>
    <x v="341"/>
    <n v="0"/>
    <n v="0"/>
    <n v="0"/>
    <n v="0"/>
    <x v="165"/>
    <n v="127"/>
    <s v="Q (Aug 22)"/>
    <d v="2022-08-17T00:00:00"/>
    <n v="-1"/>
  </r>
  <r>
    <x v="41"/>
    <x v="7"/>
    <n v="0"/>
    <n v="0"/>
    <n v="0"/>
    <n v="0"/>
    <x v="342"/>
    <n v="0"/>
    <n v="0"/>
    <n v="0"/>
    <n v="0"/>
    <x v="18"/>
    <n v="162"/>
    <s v="U (Sep 22)"/>
    <d v="2022-09-21T00:00:00"/>
    <n v="-1"/>
  </r>
  <r>
    <x v="41"/>
    <x v="8"/>
    <n v="0"/>
    <n v="0"/>
    <n v="0"/>
    <n v="0"/>
    <x v="343"/>
    <n v="0"/>
    <n v="0"/>
    <n v="0"/>
    <n v="0"/>
    <x v="159"/>
    <n v="64"/>
    <s v="M (Jun 22)"/>
    <d v="2022-06-15T00:00:00"/>
    <n v="-1"/>
  </r>
  <r>
    <x v="41"/>
    <x v="1"/>
    <n v="0"/>
    <n v="0"/>
    <n v="0"/>
    <n v="0"/>
    <x v="218"/>
    <n v="0"/>
    <n v="0"/>
    <n v="0"/>
    <n v="0"/>
    <x v="51"/>
    <n v="253"/>
    <s v="Z (Dec 22)"/>
    <d v="2022-12-21T00:00:00"/>
    <n v="-1"/>
  </r>
  <r>
    <x v="41"/>
    <x v="2"/>
    <n v="0"/>
    <n v="0"/>
    <n v="0"/>
    <n v="0"/>
    <x v="344"/>
    <n v="0"/>
    <n v="0"/>
    <n v="0"/>
    <n v="0"/>
    <x v="181"/>
    <n v="99"/>
    <s v="N (Jul 22)"/>
    <d v="2022-07-20T00:00:00"/>
    <n v="-1"/>
  </r>
  <r>
    <x v="41"/>
    <x v="9"/>
    <n v="0"/>
    <n v="0"/>
    <n v="0"/>
    <n v="0"/>
    <x v="345"/>
    <n v="0"/>
    <n v="0"/>
    <n v="0"/>
    <n v="0"/>
    <x v="184"/>
    <n v="36"/>
    <s v="K (May 22)"/>
    <d v="2022-05-18T00:00:00"/>
    <n v="-1"/>
  </r>
  <r>
    <x v="41"/>
    <x v="5"/>
    <n v="0"/>
    <n v="0"/>
    <n v="0"/>
    <n v="0"/>
    <x v="346"/>
    <n v="0"/>
    <n v="0"/>
    <n v="0"/>
    <n v="0"/>
    <x v="180"/>
    <n v="190"/>
    <s v="V (Oct 22)"/>
    <d v="2022-10-19T00:00:00"/>
    <n v="-1"/>
  </r>
  <r>
    <x v="41"/>
    <x v="0"/>
    <n v="0"/>
    <n v="0"/>
    <n v="0"/>
    <n v="0"/>
    <x v="347"/>
    <n v="0"/>
    <n v="0"/>
    <n v="0"/>
    <n v="0"/>
    <x v="15"/>
    <n v="218"/>
    <s v="X (Nov 22)"/>
    <d v="2022-11-16T00:00:00"/>
    <n v="-1"/>
  </r>
  <r>
    <x v="42"/>
    <x v="1"/>
    <n v="0"/>
    <n v="0"/>
    <n v="0"/>
    <n v="0"/>
    <x v="348"/>
    <n v="0"/>
    <n v="0"/>
    <n v="0"/>
    <n v="0"/>
    <x v="57"/>
    <n v="254"/>
    <s v="Z (Dec 22)"/>
    <d v="2022-12-21T00:00:00"/>
    <n v="-1"/>
  </r>
  <r>
    <x v="42"/>
    <x v="2"/>
    <n v="0"/>
    <n v="0"/>
    <n v="0"/>
    <n v="0"/>
    <x v="349"/>
    <n v="0"/>
    <n v="0"/>
    <n v="0"/>
    <n v="0"/>
    <x v="183"/>
    <n v="100"/>
    <s v="N (Jul 22)"/>
    <d v="2022-07-20T00:00:00"/>
    <n v="-1"/>
  </r>
  <r>
    <x v="42"/>
    <x v="9"/>
    <n v="0"/>
    <n v="0"/>
    <n v="0"/>
    <n v="0"/>
    <x v="350"/>
    <n v="0"/>
    <n v="0"/>
    <n v="0"/>
    <n v="0"/>
    <x v="2"/>
    <n v="37"/>
    <s v="K (May 22)"/>
    <d v="2022-05-18T00:00:00"/>
    <n v="-1"/>
  </r>
  <r>
    <x v="42"/>
    <x v="5"/>
    <n v="0"/>
    <n v="0"/>
    <n v="0"/>
    <n v="0"/>
    <x v="151"/>
    <n v="0"/>
    <n v="0"/>
    <n v="0"/>
    <n v="0"/>
    <x v="185"/>
    <n v="191"/>
    <s v="V (Oct 22)"/>
    <d v="2022-10-19T00:00:00"/>
    <n v="-1"/>
  </r>
  <r>
    <x v="42"/>
    <x v="0"/>
    <n v="0"/>
    <n v="0"/>
    <n v="0"/>
    <n v="0"/>
    <x v="351"/>
    <n v="0"/>
    <n v="0"/>
    <n v="0"/>
    <n v="0"/>
    <x v="21"/>
    <n v="219"/>
    <s v="X (Nov 22)"/>
    <d v="2022-11-16T00:00:00"/>
    <n v="-1"/>
  </r>
  <r>
    <x v="42"/>
    <x v="10"/>
    <n v="0"/>
    <n v="0"/>
    <n v="0"/>
    <n v="0"/>
    <x v="352"/>
    <n v="0"/>
    <n v="0"/>
    <n v="0"/>
    <n v="0"/>
    <x v="44"/>
    <n v="9"/>
    <s v="J (Apr 22)"/>
    <d v="2022-04-20T00:00:00"/>
    <n v="-1"/>
  </r>
  <r>
    <x v="42"/>
    <x v="6"/>
    <n v="0"/>
    <n v="0"/>
    <n v="0"/>
    <n v="0"/>
    <x v="353"/>
    <n v="0"/>
    <n v="0"/>
    <n v="0"/>
    <n v="0"/>
    <x v="168"/>
    <n v="128"/>
    <s v="Q (Aug 22)"/>
    <d v="2022-08-17T00:00:00"/>
    <n v="-1"/>
  </r>
  <r>
    <x v="42"/>
    <x v="7"/>
    <n v="0"/>
    <n v="0"/>
    <n v="0"/>
    <n v="0"/>
    <x v="19"/>
    <n v="0"/>
    <n v="0"/>
    <n v="0"/>
    <n v="0"/>
    <x v="35"/>
    <n v="163"/>
    <s v="U (Sep 22)"/>
    <d v="2022-09-21T00:00:00"/>
    <n v="-1"/>
  </r>
  <r>
    <x v="42"/>
    <x v="8"/>
    <n v="0"/>
    <n v="0"/>
    <n v="0"/>
    <n v="0"/>
    <x v="354"/>
    <n v="0"/>
    <n v="0"/>
    <n v="0"/>
    <n v="0"/>
    <x v="170"/>
    <n v="65"/>
    <s v="M (Jun 22)"/>
    <d v="2022-06-15T00:00:00"/>
    <n v="-1"/>
  </r>
  <r>
    <x v="43"/>
    <x v="10"/>
    <n v="0"/>
    <n v="0"/>
    <n v="0"/>
    <n v="0"/>
    <x v="355"/>
    <n v="0"/>
    <n v="0"/>
    <n v="0"/>
    <n v="0"/>
    <x v="47"/>
    <n v="12"/>
    <s v="J (Apr 22)"/>
    <d v="2022-04-20T00:00:00"/>
    <n v="-1"/>
  </r>
  <r>
    <x v="43"/>
    <x v="6"/>
    <n v="0"/>
    <n v="0"/>
    <n v="0"/>
    <n v="0"/>
    <x v="356"/>
    <n v="0"/>
    <n v="0"/>
    <n v="0"/>
    <n v="0"/>
    <x v="5"/>
    <n v="131"/>
    <s v="Q (Aug 22)"/>
    <d v="2022-08-17T00:00:00"/>
    <n v="-1"/>
  </r>
  <r>
    <x v="43"/>
    <x v="7"/>
    <n v="0"/>
    <n v="0"/>
    <n v="0"/>
    <n v="0"/>
    <x v="329"/>
    <n v="0"/>
    <n v="0"/>
    <n v="0"/>
    <n v="0"/>
    <x v="41"/>
    <n v="166"/>
    <s v="U (Sep 22)"/>
    <d v="2022-09-21T00:00:00"/>
    <n v="-1"/>
  </r>
  <r>
    <x v="43"/>
    <x v="8"/>
    <n v="0"/>
    <n v="0"/>
    <n v="0"/>
    <n v="0"/>
    <x v="357"/>
    <n v="0"/>
    <n v="0"/>
    <n v="0"/>
    <n v="0"/>
    <x v="6"/>
    <n v="68"/>
    <s v="M (Jun 22)"/>
    <d v="2022-06-15T00:00:00"/>
    <n v="-1"/>
  </r>
  <r>
    <x v="43"/>
    <x v="1"/>
    <n v="0"/>
    <n v="0"/>
    <n v="0"/>
    <n v="0"/>
    <x v="358"/>
    <n v="0"/>
    <n v="0"/>
    <n v="0"/>
    <n v="0"/>
    <x v="69"/>
    <n v="257"/>
    <s v="Z (Dec 22)"/>
    <d v="2022-12-21T00:00:00"/>
    <n v="-1"/>
  </r>
  <r>
    <x v="43"/>
    <x v="2"/>
    <n v="0"/>
    <n v="0"/>
    <n v="0"/>
    <n v="0"/>
    <x v="359"/>
    <n v="0"/>
    <n v="0"/>
    <n v="0"/>
    <n v="0"/>
    <x v="7"/>
    <n v="103"/>
    <s v="N (Jul 22)"/>
    <d v="2022-07-20T00:00:00"/>
    <n v="-1"/>
  </r>
  <r>
    <x v="43"/>
    <x v="9"/>
    <n v="0"/>
    <n v="0"/>
    <n v="0"/>
    <n v="0"/>
    <x v="360"/>
    <n v="0"/>
    <n v="0"/>
    <n v="0"/>
    <n v="0"/>
    <x v="14"/>
    <n v="40"/>
    <s v="K (May 22)"/>
    <d v="2022-05-18T00:00:00"/>
    <n v="-1"/>
  </r>
  <r>
    <x v="43"/>
    <x v="5"/>
    <n v="0"/>
    <n v="0"/>
    <n v="0"/>
    <n v="0"/>
    <x v="361"/>
    <n v="0"/>
    <n v="0"/>
    <n v="0"/>
    <n v="0"/>
    <x v="1"/>
    <n v="194"/>
    <s v="V (Oct 22)"/>
    <d v="2022-10-19T00:00:00"/>
    <n v="-1"/>
  </r>
  <r>
    <x v="43"/>
    <x v="0"/>
    <n v="0"/>
    <n v="0"/>
    <n v="0"/>
    <n v="0"/>
    <x v="304"/>
    <n v="0"/>
    <n v="0"/>
    <n v="0"/>
    <n v="0"/>
    <x v="32"/>
    <n v="222"/>
    <s v="X (Nov 22)"/>
    <d v="2022-11-16T00:00:00"/>
    <n v="-1"/>
  </r>
  <r>
    <x v="44"/>
    <x v="1"/>
    <n v="0"/>
    <n v="0"/>
    <n v="0"/>
    <n v="0"/>
    <x v="362"/>
    <n v="0"/>
    <n v="0"/>
    <n v="0"/>
    <n v="0"/>
    <x v="75"/>
    <n v="258"/>
    <s v="Z (Dec 22)"/>
    <d v="2022-12-21T00:00:00"/>
    <n v="-1"/>
  </r>
  <r>
    <x v="44"/>
    <x v="2"/>
    <n v="0"/>
    <n v="0"/>
    <n v="0"/>
    <n v="0"/>
    <x v="363"/>
    <n v="0"/>
    <n v="0"/>
    <n v="0"/>
    <n v="0"/>
    <x v="10"/>
    <n v="104"/>
    <s v="N (Jul 22)"/>
    <d v="2022-07-20T00:00:00"/>
    <n v="-1"/>
  </r>
  <r>
    <x v="44"/>
    <x v="9"/>
    <n v="0"/>
    <n v="0"/>
    <n v="0"/>
    <n v="0"/>
    <x v="364"/>
    <n v="0"/>
    <n v="0"/>
    <n v="0"/>
    <n v="0"/>
    <x v="20"/>
    <n v="41"/>
    <s v="K (May 22)"/>
    <d v="2022-05-18T00:00:00"/>
    <n v="-1"/>
  </r>
  <r>
    <x v="44"/>
    <x v="5"/>
    <n v="0"/>
    <n v="0"/>
    <n v="0"/>
    <n v="0"/>
    <x v="365"/>
    <n v="0"/>
    <n v="0"/>
    <n v="0"/>
    <n v="0"/>
    <x v="13"/>
    <n v="195"/>
    <s v="V (Oct 22)"/>
    <d v="2022-10-19T00:00:00"/>
    <n v="-1"/>
  </r>
  <r>
    <x v="44"/>
    <x v="0"/>
    <n v="0"/>
    <n v="0"/>
    <n v="0"/>
    <n v="0"/>
    <x v="366"/>
    <n v="0"/>
    <n v="0"/>
    <n v="0"/>
    <n v="0"/>
    <x v="38"/>
    <n v="223"/>
    <s v="X (Nov 22)"/>
    <d v="2022-11-16T00:00:00"/>
    <n v="-1"/>
  </r>
  <r>
    <x v="44"/>
    <x v="10"/>
    <n v="0"/>
    <n v="0"/>
    <n v="0"/>
    <n v="0"/>
    <x v="367"/>
    <n v="0"/>
    <n v="0"/>
    <n v="0"/>
    <n v="0"/>
    <x v="62"/>
    <n v="13"/>
    <s v="J (Apr 22)"/>
    <d v="2022-04-20T00:00:00"/>
    <n v="-1"/>
  </r>
  <r>
    <x v="44"/>
    <x v="6"/>
    <n v="0"/>
    <n v="0"/>
    <n v="0"/>
    <n v="0"/>
    <x v="368"/>
    <n v="0"/>
    <n v="0"/>
    <n v="0"/>
    <n v="0"/>
    <x v="17"/>
    <n v="132"/>
    <s v="Q (Aug 22)"/>
    <d v="2022-08-17T00:00:00"/>
    <n v="-1"/>
  </r>
  <r>
    <x v="44"/>
    <x v="7"/>
    <n v="0"/>
    <n v="0"/>
    <n v="0"/>
    <n v="0"/>
    <x v="369"/>
    <n v="0"/>
    <n v="0"/>
    <n v="0"/>
    <n v="0"/>
    <x v="53"/>
    <n v="167"/>
    <s v="U (Sep 22)"/>
    <d v="2022-09-21T00:00:00"/>
    <n v="-1"/>
  </r>
  <r>
    <x v="44"/>
    <x v="8"/>
    <n v="0"/>
    <n v="0"/>
    <n v="0"/>
    <n v="0"/>
    <x v="370"/>
    <n v="0"/>
    <n v="0"/>
    <n v="0"/>
    <n v="0"/>
    <x v="9"/>
    <n v="69"/>
    <s v="M (Jun 22)"/>
    <d v="2022-06-15T00:00:00"/>
    <n v="-1"/>
  </r>
  <r>
    <x v="45"/>
    <x v="10"/>
    <n v="0"/>
    <n v="0"/>
    <n v="0"/>
    <n v="0"/>
    <x v="371"/>
    <n v="0"/>
    <n v="0"/>
    <n v="0"/>
    <n v="0"/>
    <x v="65"/>
    <n v="14"/>
    <s v="J (Apr 22)"/>
    <d v="2022-04-20T00:00:00"/>
    <n v="-1"/>
  </r>
  <r>
    <x v="45"/>
    <x v="6"/>
    <n v="0"/>
    <n v="0"/>
    <n v="0"/>
    <n v="0"/>
    <x v="372"/>
    <n v="0"/>
    <n v="0"/>
    <n v="0"/>
    <n v="0"/>
    <x v="23"/>
    <n v="133"/>
    <s v="Q (Aug 22)"/>
    <d v="2022-08-17T00:00:00"/>
    <n v="-1"/>
  </r>
  <r>
    <x v="45"/>
    <x v="7"/>
    <n v="0"/>
    <n v="0"/>
    <n v="0"/>
    <n v="0"/>
    <x v="373"/>
    <n v="0"/>
    <n v="0"/>
    <n v="0"/>
    <n v="0"/>
    <x v="59"/>
    <n v="168"/>
    <s v="U (Sep 22)"/>
    <d v="2022-09-21T00:00:00"/>
    <n v="-1"/>
  </r>
  <r>
    <x v="45"/>
    <x v="8"/>
    <n v="0"/>
    <n v="0"/>
    <n v="0"/>
    <n v="0"/>
    <x v="374"/>
    <n v="0"/>
    <n v="0"/>
    <n v="0"/>
    <n v="0"/>
    <x v="24"/>
    <n v="70"/>
    <s v="M (Jun 22)"/>
    <d v="2022-06-15T00:00:00"/>
    <n v="-1"/>
  </r>
  <r>
    <x v="45"/>
    <x v="1"/>
    <n v="0"/>
    <n v="0"/>
    <n v="0"/>
    <n v="0"/>
    <x v="375"/>
    <n v="0"/>
    <n v="0"/>
    <n v="0"/>
    <n v="0"/>
    <x v="87"/>
    <n v="259"/>
    <s v="Z (Dec 22)"/>
    <d v="2022-12-21T00:00:00"/>
    <n v="-1"/>
  </r>
  <r>
    <x v="45"/>
    <x v="2"/>
    <n v="0"/>
    <n v="0"/>
    <n v="0"/>
    <n v="0"/>
    <x v="376"/>
    <n v="0"/>
    <n v="0"/>
    <n v="0"/>
    <n v="0"/>
    <x v="25"/>
    <n v="105"/>
    <s v="N (Jul 22)"/>
    <d v="2022-07-20T00:00:00"/>
    <n v="-1"/>
  </r>
  <r>
    <x v="45"/>
    <x v="9"/>
    <n v="0"/>
    <n v="0"/>
    <n v="0"/>
    <n v="0"/>
    <x v="377"/>
    <n v="0"/>
    <n v="0"/>
    <n v="0"/>
    <n v="0"/>
    <x v="31"/>
    <n v="42"/>
    <s v="K (May 22)"/>
    <d v="2022-05-18T00:00:00"/>
    <n v="-1"/>
  </r>
  <r>
    <x v="45"/>
    <x v="5"/>
    <n v="0"/>
    <n v="0"/>
    <n v="0"/>
    <n v="0"/>
    <x v="52"/>
    <n v="0"/>
    <n v="0"/>
    <n v="0"/>
    <n v="0"/>
    <x v="19"/>
    <n v="196"/>
    <s v="V (Oct 22)"/>
    <d v="2022-10-19T00:00:00"/>
    <n v="-1"/>
  </r>
  <r>
    <x v="45"/>
    <x v="0"/>
    <n v="0"/>
    <n v="0"/>
    <n v="0"/>
    <n v="0"/>
    <x v="304"/>
    <n v="0"/>
    <n v="0"/>
    <n v="0"/>
    <n v="0"/>
    <x v="50"/>
    <n v="224"/>
    <s v="X (Nov 22)"/>
    <d v="2022-11-16T00:00:00"/>
    <n v="-1"/>
  </r>
  <r>
    <x v="46"/>
    <x v="1"/>
    <n v="0"/>
    <n v="0"/>
    <n v="0"/>
    <n v="0"/>
    <x v="378"/>
    <n v="0"/>
    <n v="0"/>
    <n v="0"/>
    <n v="0"/>
    <x v="93"/>
    <n v="260"/>
    <s v="Z (Dec 22)"/>
    <d v="2022-12-21T00:00:00"/>
    <n v="-1"/>
  </r>
  <r>
    <x v="46"/>
    <x v="2"/>
    <n v="0"/>
    <n v="0"/>
    <n v="0"/>
    <n v="0"/>
    <x v="379"/>
    <n v="0"/>
    <n v="0"/>
    <n v="0"/>
    <n v="0"/>
    <x v="28"/>
    <n v="106"/>
    <s v="N (Jul 22)"/>
    <d v="2022-07-20T00:00:00"/>
    <n v="-1"/>
  </r>
  <r>
    <x v="46"/>
    <x v="9"/>
    <n v="0"/>
    <n v="0"/>
    <n v="0"/>
    <n v="0"/>
    <x v="380"/>
    <n v="0"/>
    <n v="0"/>
    <n v="0"/>
    <n v="0"/>
    <x v="37"/>
    <n v="43"/>
    <s v="K (May 22)"/>
    <d v="2022-05-18T00:00:00"/>
    <n v="-1"/>
  </r>
  <r>
    <x v="46"/>
    <x v="5"/>
    <n v="0"/>
    <n v="0"/>
    <n v="0"/>
    <n v="0"/>
    <x v="381"/>
    <n v="0"/>
    <n v="0"/>
    <n v="0"/>
    <n v="0"/>
    <x v="30"/>
    <n v="197"/>
    <s v="V (Oct 22)"/>
    <d v="2022-10-19T00:00:00"/>
    <n v="-1"/>
  </r>
  <r>
    <x v="46"/>
    <x v="0"/>
    <n v="0"/>
    <n v="0"/>
    <n v="0"/>
    <n v="0"/>
    <x v="318"/>
    <n v="0"/>
    <n v="0"/>
    <n v="0"/>
    <n v="0"/>
    <x v="56"/>
    <n v="225"/>
    <s v="X (Nov 22)"/>
    <d v="2022-11-16T00:00:00"/>
    <n v="-1"/>
  </r>
  <r>
    <x v="46"/>
    <x v="10"/>
    <n v="0"/>
    <n v="0"/>
    <n v="0"/>
    <n v="0"/>
    <x v="382"/>
    <n v="0"/>
    <n v="0"/>
    <n v="0"/>
    <n v="0"/>
    <x v="80"/>
    <n v="15"/>
    <s v="J (Apr 22)"/>
    <d v="2022-04-20T00:00:00"/>
    <n v="-1"/>
  </r>
  <r>
    <x v="46"/>
    <x v="6"/>
    <n v="0"/>
    <n v="0"/>
    <n v="0"/>
    <n v="0"/>
    <x v="383"/>
    <n v="0"/>
    <n v="0"/>
    <n v="0"/>
    <n v="0"/>
    <x v="34"/>
    <n v="134"/>
    <s v="Q (Aug 22)"/>
    <d v="2022-08-17T00:00:00"/>
    <n v="-1"/>
  </r>
  <r>
    <x v="46"/>
    <x v="7"/>
    <n v="0"/>
    <n v="0"/>
    <n v="0"/>
    <n v="0"/>
    <x v="384"/>
    <n v="0"/>
    <n v="0"/>
    <n v="0"/>
    <n v="0"/>
    <x v="71"/>
    <n v="169"/>
    <s v="U (Sep 22)"/>
    <d v="2022-09-21T00:00:00"/>
    <n v="-1"/>
  </r>
  <r>
    <x v="46"/>
    <x v="8"/>
    <n v="0"/>
    <n v="0"/>
    <n v="0"/>
    <n v="0"/>
    <x v="385"/>
    <n v="0"/>
    <n v="0"/>
    <n v="0"/>
    <n v="0"/>
    <x v="27"/>
    <n v="71"/>
    <s v="M (Jun 22)"/>
    <d v="2022-06-15T00:00:00"/>
    <n v="-1"/>
  </r>
  <r>
    <x v="47"/>
    <x v="10"/>
    <n v="0"/>
    <n v="0"/>
    <n v="0"/>
    <n v="0"/>
    <x v="386"/>
    <n v="0"/>
    <n v="0"/>
    <n v="0"/>
    <n v="0"/>
    <x v="83"/>
    <n v="16"/>
    <s v="J (Apr 22)"/>
    <d v="2022-04-20T00:00:00"/>
    <n v="-1"/>
  </r>
  <r>
    <x v="47"/>
    <x v="6"/>
    <n v="0"/>
    <n v="0"/>
    <n v="0"/>
    <n v="0"/>
    <x v="387"/>
    <n v="0"/>
    <n v="0"/>
    <n v="0"/>
    <n v="0"/>
    <x v="40"/>
    <n v="135"/>
    <s v="Q (Aug 22)"/>
    <d v="2022-08-17T00:00:00"/>
    <n v="-1"/>
  </r>
  <r>
    <x v="47"/>
    <x v="7"/>
    <n v="0"/>
    <n v="0"/>
    <n v="0"/>
    <n v="0"/>
    <x v="388"/>
    <n v="0"/>
    <n v="0"/>
    <n v="0"/>
    <n v="0"/>
    <x v="77"/>
    <n v="170"/>
    <s v="U (Sep 22)"/>
    <d v="2022-09-21T00:00:00"/>
    <n v="-1"/>
  </r>
  <r>
    <x v="47"/>
    <x v="8"/>
    <n v="0"/>
    <n v="0"/>
    <n v="0"/>
    <n v="0"/>
    <x v="389"/>
    <n v="0"/>
    <n v="0"/>
    <n v="0"/>
    <n v="0"/>
    <x v="42"/>
    <n v="72"/>
    <s v="M (Jun 22)"/>
    <d v="2022-06-15T00:00:00"/>
    <n v="-1"/>
  </r>
  <r>
    <x v="47"/>
    <x v="1"/>
    <n v="0"/>
    <n v="0"/>
    <n v="0"/>
    <n v="0"/>
    <x v="390"/>
    <n v="0"/>
    <n v="0"/>
    <n v="0"/>
    <n v="0"/>
    <x v="105"/>
    <n v="261"/>
    <s v="Z (Dec 22)"/>
    <d v="2022-12-21T00:00:00"/>
    <n v="-1"/>
  </r>
  <r>
    <x v="47"/>
    <x v="2"/>
    <n v="0"/>
    <n v="0"/>
    <n v="0"/>
    <n v="0"/>
    <x v="391"/>
    <n v="0"/>
    <n v="0"/>
    <n v="0"/>
    <n v="0"/>
    <x v="43"/>
    <n v="107"/>
    <s v="N (Jul 22)"/>
    <d v="2022-07-20T00:00:00"/>
    <n v="-1"/>
  </r>
  <r>
    <x v="47"/>
    <x v="9"/>
    <n v="0"/>
    <n v="0"/>
    <n v="0"/>
    <n v="0"/>
    <x v="392"/>
    <n v="0"/>
    <n v="0"/>
    <n v="0"/>
    <n v="0"/>
    <x v="49"/>
    <n v="44"/>
    <s v="K (May 22)"/>
    <d v="2022-05-18T00:00:00"/>
    <n v="-1"/>
  </r>
  <r>
    <x v="47"/>
    <x v="5"/>
    <n v="0"/>
    <n v="0"/>
    <n v="0"/>
    <n v="0"/>
    <x v="393"/>
    <n v="0"/>
    <n v="0"/>
    <n v="0"/>
    <n v="0"/>
    <x v="36"/>
    <n v="198"/>
    <s v="V (Oct 22)"/>
    <d v="2022-10-19T00:00:00"/>
    <n v="-1"/>
  </r>
  <r>
    <x v="47"/>
    <x v="0"/>
    <n v="0"/>
    <n v="0"/>
    <n v="0"/>
    <n v="0"/>
    <x v="375"/>
    <n v="0"/>
    <n v="0"/>
    <n v="0"/>
    <n v="0"/>
    <x v="68"/>
    <n v="226"/>
    <s v="X (Nov 22)"/>
    <d v="2022-11-16T00:00:00"/>
    <n v="-1"/>
  </r>
  <r>
    <x v="48"/>
    <x v="1"/>
    <n v="0"/>
    <n v="0"/>
    <n v="0"/>
    <n v="0"/>
    <x v="394"/>
    <n v="0"/>
    <n v="0"/>
    <n v="0"/>
    <n v="0"/>
    <x v="111"/>
    <n v="264"/>
    <s v="Z (Dec 22)"/>
    <d v="2022-12-21T00:00:00"/>
    <n v="-1"/>
  </r>
  <r>
    <x v="48"/>
    <x v="2"/>
    <n v="0"/>
    <n v="0"/>
    <n v="0"/>
    <n v="0"/>
    <x v="300"/>
    <n v="0"/>
    <n v="0"/>
    <n v="0"/>
    <n v="0"/>
    <x v="46"/>
    <n v="110"/>
    <s v="N (Jul 22)"/>
    <d v="2022-07-20T00:00:00"/>
    <n v="-1"/>
  </r>
  <r>
    <x v="48"/>
    <x v="9"/>
    <n v="0"/>
    <n v="0"/>
    <n v="0"/>
    <n v="0"/>
    <x v="395"/>
    <n v="0"/>
    <n v="0"/>
    <n v="0"/>
    <n v="0"/>
    <x v="55"/>
    <n v="47"/>
    <s v="K (May 22)"/>
    <d v="2022-05-18T00:00:00"/>
    <n v="-1"/>
  </r>
  <r>
    <x v="48"/>
    <x v="5"/>
    <n v="0"/>
    <n v="0"/>
    <n v="0"/>
    <n v="0"/>
    <x v="396"/>
    <n v="0"/>
    <n v="0"/>
    <n v="0"/>
    <n v="0"/>
    <x v="48"/>
    <n v="201"/>
    <s v="V (Oct 22)"/>
    <d v="2022-10-19T00:00:00"/>
    <n v="-1"/>
  </r>
  <r>
    <x v="48"/>
    <x v="0"/>
    <n v="0"/>
    <n v="0"/>
    <n v="0"/>
    <n v="0"/>
    <x v="397"/>
    <n v="0"/>
    <n v="0"/>
    <n v="0"/>
    <n v="0"/>
    <x v="74"/>
    <n v="229"/>
    <s v="X (Nov 22)"/>
    <d v="2022-11-16T00:00:00"/>
    <n v="-1"/>
  </r>
  <r>
    <x v="48"/>
    <x v="10"/>
    <n v="0"/>
    <n v="0"/>
    <n v="0"/>
    <n v="0"/>
    <x v="398"/>
    <n v="0"/>
    <n v="0"/>
    <n v="0"/>
    <n v="0"/>
    <x v="98"/>
    <n v="19"/>
    <s v="J (Apr 22)"/>
    <d v="2022-04-20T00:00:00"/>
    <n v="-1"/>
  </r>
  <r>
    <x v="48"/>
    <x v="6"/>
    <n v="0"/>
    <n v="0"/>
    <n v="0"/>
    <n v="0"/>
    <x v="399"/>
    <n v="0"/>
    <n v="0"/>
    <n v="0"/>
    <n v="0"/>
    <x v="52"/>
    <n v="138"/>
    <s v="Q (Aug 22)"/>
    <d v="2022-08-17T00:00:00"/>
    <n v="-1"/>
  </r>
  <r>
    <x v="48"/>
    <x v="7"/>
    <n v="0"/>
    <n v="0"/>
    <n v="0"/>
    <n v="0"/>
    <x v="400"/>
    <n v="0"/>
    <n v="0"/>
    <n v="0"/>
    <n v="0"/>
    <x v="89"/>
    <n v="173"/>
    <s v="U (Sep 22)"/>
    <d v="2022-09-21T00:00:00"/>
    <n v="-1"/>
  </r>
  <r>
    <x v="48"/>
    <x v="8"/>
    <n v="0"/>
    <n v="0"/>
    <n v="0"/>
    <n v="0"/>
    <x v="401"/>
    <n v="0"/>
    <n v="0"/>
    <n v="0"/>
    <n v="0"/>
    <x v="45"/>
    <n v="75"/>
    <s v="M (Jun 22)"/>
    <d v="2022-06-15T00:00:00"/>
    <n v="-1"/>
  </r>
  <r>
    <x v="49"/>
    <x v="10"/>
    <n v="0"/>
    <n v="0"/>
    <n v="0"/>
    <n v="0"/>
    <x v="402"/>
    <n v="0"/>
    <n v="0"/>
    <n v="0"/>
    <n v="0"/>
    <x v="101"/>
    <n v="20"/>
    <s v="J (Apr 22)"/>
    <d v="2022-04-20T00:00:00"/>
    <n v="-1"/>
  </r>
  <r>
    <x v="49"/>
    <x v="6"/>
    <n v="0"/>
    <n v="0"/>
    <n v="0"/>
    <n v="0"/>
    <x v="403"/>
    <n v="0"/>
    <n v="0"/>
    <n v="0"/>
    <n v="0"/>
    <x v="58"/>
    <n v="139"/>
    <s v="Q (Aug 22)"/>
    <d v="2022-08-17T00:00:00"/>
    <n v="-1"/>
  </r>
  <r>
    <x v="49"/>
    <x v="7"/>
    <n v="0"/>
    <n v="0"/>
    <n v="0"/>
    <n v="0"/>
    <x v="404"/>
    <n v="0"/>
    <n v="0"/>
    <n v="0"/>
    <n v="0"/>
    <x v="95"/>
    <n v="174"/>
    <s v="U (Sep 22)"/>
    <d v="2022-09-21T00:00:00"/>
    <n v="-1"/>
  </r>
  <r>
    <x v="49"/>
    <x v="8"/>
    <n v="0"/>
    <n v="0"/>
    <n v="0"/>
    <n v="0"/>
    <x v="405"/>
    <n v="0"/>
    <n v="0"/>
    <n v="0"/>
    <n v="0"/>
    <x v="60"/>
    <n v="76"/>
    <s v="M (Jun 22)"/>
    <d v="2022-06-15T00:00:00"/>
    <n v="-1"/>
  </r>
  <r>
    <x v="49"/>
    <x v="1"/>
    <n v="0"/>
    <n v="0"/>
    <n v="0"/>
    <n v="0"/>
    <x v="406"/>
    <n v="0"/>
    <n v="0"/>
    <n v="0"/>
    <n v="0"/>
    <x v="123"/>
    <n v="265"/>
    <s v="Z (Dec 22)"/>
    <d v="2022-12-21T00:00:00"/>
    <n v="-1"/>
  </r>
  <r>
    <x v="49"/>
    <x v="2"/>
    <n v="0"/>
    <n v="0"/>
    <n v="0"/>
    <n v="0"/>
    <x v="407"/>
    <n v="0"/>
    <n v="0"/>
    <n v="0"/>
    <n v="0"/>
    <x v="61"/>
    <n v="111"/>
    <s v="N (Jul 22)"/>
    <d v="2022-07-20T00:00:00"/>
    <n v="-1"/>
  </r>
  <r>
    <x v="49"/>
    <x v="9"/>
    <n v="0"/>
    <n v="0"/>
    <n v="0"/>
    <n v="0"/>
    <x v="408"/>
    <n v="0"/>
    <n v="0"/>
    <n v="0"/>
    <n v="0"/>
    <x v="67"/>
    <n v="48"/>
    <s v="K (May 22)"/>
    <d v="2022-05-18T00:00:00"/>
    <n v="-1"/>
  </r>
  <r>
    <x v="49"/>
    <x v="5"/>
    <n v="0"/>
    <n v="0"/>
    <n v="0"/>
    <n v="0"/>
    <x v="409"/>
    <n v="0"/>
    <n v="0"/>
    <n v="0"/>
    <n v="0"/>
    <x v="54"/>
    <n v="202"/>
    <s v="V (Oct 22)"/>
    <d v="2022-10-19T00:00:00"/>
    <n v="-1"/>
  </r>
  <r>
    <x v="49"/>
    <x v="0"/>
    <n v="0"/>
    <n v="0"/>
    <n v="0"/>
    <n v="0"/>
    <x v="410"/>
    <n v="0"/>
    <n v="0"/>
    <n v="0"/>
    <n v="0"/>
    <x v="86"/>
    <n v="230"/>
    <s v="X (Nov 22)"/>
    <d v="2022-11-16T00:00:00"/>
    <n v="-1"/>
  </r>
  <r>
    <x v="50"/>
    <x v="1"/>
    <n v="0"/>
    <n v="0"/>
    <n v="0"/>
    <n v="0"/>
    <x v="411"/>
    <n v="0"/>
    <n v="0"/>
    <n v="0"/>
    <n v="0"/>
    <x v="186"/>
    <n v="266"/>
    <s v="Z (Dec 22)"/>
    <d v="2022-12-21T00:00:00"/>
    <n v="-1"/>
  </r>
  <r>
    <x v="50"/>
    <x v="2"/>
    <n v="0"/>
    <n v="0"/>
    <n v="0"/>
    <n v="0"/>
    <x v="412"/>
    <n v="0"/>
    <n v="0"/>
    <n v="0"/>
    <n v="0"/>
    <x v="64"/>
    <n v="112"/>
    <s v="N (Jul 22)"/>
    <d v="2022-07-20T00:00:00"/>
    <n v="-1"/>
  </r>
  <r>
    <x v="50"/>
    <x v="9"/>
    <n v="0"/>
    <n v="0"/>
    <n v="0"/>
    <n v="0"/>
    <x v="413"/>
    <n v="0"/>
    <n v="0"/>
    <n v="0"/>
    <n v="0"/>
    <x v="73"/>
    <n v="49"/>
    <s v="K (May 22)"/>
    <d v="2022-05-18T00:00:00"/>
    <n v="-1"/>
  </r>
  <r>
    <x v="50"/>
    <x v="5"/>
    <n v="0"/>
    <n v="0"/>
    <n v="0"/>
    <n v="0"/>
    <x v="400"/>
    <n v="0"/>
    <n v="0"/>
    <n v="0"/>
    <n v="0"/>
    <x v="66"/>
    <n v="203"/>
    <s v="V (Oct 22)"/>
    <d v="2022-10-19T00:00:00"/>
    <n v="-1"/>
  </r>
  <r>
    <x v="50"/>
    <x v="0"/>
    <n v="0"/>
    <n v="0"/>
    <n v="0"/>
    <n v="0"/>
    <x v="414"/>
    <n v="0"/>
    <n v="0"/>
    <n v="0"/>
    <n v="0"/>
    <x v="92"/>
    <n v="231"/>
    <s v="X (Nov 22)"/>
    <d v="2022-11-16T00:00:00"/>
    <n v="-1"/>
  </r>
  <r>
    <x v="50"/>
    <x v="10"/>
    <n v="0"/>
    <n v="0"/>
    <n v="0"/>
    <n v="0"/>
    <x v="415"/>
    <n v="0"/>
    <n v="0"/>
    <n v="0"/>
    <n v="0"/>
    <x v="116"/>
    <n v="21"/>
    <s v="J (Apr 22)"/>
    <d v="2022-04-20T00:00:00"/>
    <n v="-1"/>
  </r>
  <r>
    <x v="50"/>
    <x v="6"/>
    <n v="0"/>
    <n v="0"/>
    <n v="0"/>
    <n v="0"/>
    <x v="416"/>
    <n v="0"/>
    <n v="0"/>
    <n v="0"/>
    <n v="0"/>
    <x v="70"/>
    <n v="140"/>
    <s v="Q (Aug 22)"/>
    <d v="2022-08-17T00:00:00"/>
    <n v="-1"/>
  </r>
  <r>
    <x v="50"/>
    <x v="7"/>
    <n v="0"/>
    <n v="0"/>
    <n v="0"/>
    <n v="0"/>
    <x v="417"/>
    <n v="0"/>
    <n v="0"/>
    <n v="0"/>
    <n v="0"/>
    <x v="107"/>
    <n v="175"/>
    <s v="U (Sep 22)"/>
    <d v="2022-09-21T00:00:00"/>
    <n v="-1"/>
  </r>
  <r>
    <x v="50"/>
    <x v="8"/>
    <n v="0"/>
    <n v="0"/>
    <n v="0"/>
    <n v="0"/>
    <x v="418"/>
    <n v="0"/>
    <n v="0"/>
    <n v="0"/>
    <n v="0"/>
    <x v="63"/>
    <n v="77"/>
    <s v="M (Jun 22)"/>
    <d v="2022-06-15T00:00:00"/>
    <n v="-1"/>
  </r>
  <r>
    <x v="51"/>
    <x v="10"/>
    <n v="0"/>
    <n v="0"/>
    <n v="0"/>
    <n v="0"/>
    <x v="419"/>
    <n v="0"/>
    <n v="0"/>
    <n v="0"/>
    <n v="0"/>
    <x v="119"/>
    <n v="22"/>
    <s v="J (Apr 22)"/>
    <d v="2022-04-20T00:00:00"/>
    <n v="-1"/>
  </r>
  <r>
    <x v="51"/>
    <x v="6"/>
    <n v="0"/>
    <n v="0"/>
    <n v="0"/>
    <n v="0"/>
    <x v="420"/>
    <n v="0"/>
    <n v="0"/>
    <n v="0"/>
    <n v="0"/>
    <x v="76"/>
    <n v="141"/>
    <s v="Q (Aug 22)"/>
    <d v="2022-08-17T00:00:00"/>
    <n v="-1"/>
  </r>
  <r>
    <x v="51"/>
    <x v="7"/>
    <n v="0"/>
    <n v="0"/>
    <n v="0"/>
    <n v="0"/>
    <x v="421"/>
    <n v="0"/>
    <n v="0"/>
    <n v="0"/>
    <n v="0"/>
    <x v="113"/>
    <n v="176"/>
    <s v="U (Sep 22)"/>
    <d v="2022-09-21T00:00:00"/>
    <n v="-1"/>
  </r>
  <r>
    <x v="51"/>
    <x v="8"/>
    <n v="0"/>
    <n v="0"/>
    <n v="0"/>
    <n v="0"/>
    <x v="422"/>
    <n v="0"/>
    <n v="0"/>
    <n v="0"/>
    <n v="0"/>
    <x v="78"/>
    <n v="78"/>
    <s v="M (Jun 22)"/>
    <d v="2022-06-15T00:00:00"/>
    <n v="-1"/>
  </r>
  <r>
    <x v="51"/>
    <x v="1"/>
    <n v="0"/>
    <n v="0"/>
    <n v="0"/>
    <n v="0"/>
    <x v="423"/>
    <n v="0"/>
    <n v="0"/>
    <n v="0"/>
    <n v="0"/>
    <x v="187"/>
    <n v="267"/>
    <s v="Z (Dec 22)"/>
    <d v="2022-12-21T00:00:00"/>
    <n v="-1"/>
  </r>
  <r>
    <x v="51"/>
    <x v="2"/>
    <n v="0"/>
    <n v="0"/>
    <n v="0"/>
    <n v="0"/>
    <x v="391"/>
    <n v="0"/>
    <n v="0"/>
    <n v="0"/>
    <n v="0"/>
    <x v="79"/>
    <n v="113"/>
    <s v="N (Jul 22)"/>
    <d v="2022-07-20T00:00:00"/>
    <n v="-1"/>
  </r>
  <r>
    <x v="51"/>
    <x v="9"/>
    <n v="0"/>
    <n v="0"/>
    <n v="0"/>
    <n v="0"/>
    <x v="424"/>
    <n v="0"/>
    <n v="0"/>
    <n v="0"/>
    <n v="0"/>
    <x v="85"/>
    <n v="50"/>
    <s v="K (May 22)"/>
    <d v="2022-05-18T00:00:00"/>
    <n v="-1"/>
  </r>
  <r>
    <x v="51"/>
    <x v="5"/>
    <n v="0"/>
    <n v="0"/>
    <n v="0"/>
    <n v="0"/>
    <x v="425"/>
    <n v="0"/>
    <n v="0"/>
    <n v="0"/>
    <n v="0"/>
    <x v="72"/>
    <n v="204"/>
    <s v="V (Oct 22)"/>
    <d v="2022-10-19T00:00:00"/>
    <n v="-1"/>
  </r>
  <r>
    <x v="51"/>
    <x v="0"/>
    <n v="0"/>
    <n v="0"/>
    <n v="0"/>
    <n v="0"/>
    <x v="358"/>
    <n v="0"/>
    <n v="0"/>
    <n v="0"/>
    <n v="0"/>
    <x v="104"/>
    <n v="232"/>
    <s v="X (Nov 22)"/>
    <d v="2022-11-16T00:00:00"/>
    <n v="-1"/>
  </r>
  <r>
    <x v="52"/>
    <x v="1"/>
    <n v="0"/>
    <n v="0"/>
    <n v="0"/>
    <n v="0"/>
    <x v="426"/>
    <n v="0"/>
    <n v="0"/>
    <n v="0"/>
    <n v="0"/>
    <x v="188"/>
    <n v="268"/>
    <s v="Z (Dec 22)"/>
    <d v="2022-12-21T00:00:00"/>
    <n v="-1"/>
  </r>
  <r>
    <x v="52"/>
    <x v="2"/>
    <n v="0"/>
    <n v="0"/>
    <n v="0"/>
    <n v="0"/>
    <x v="427"/>
    <n v="0"/>
    <n v="0"/>
    <n v="0"/>
    <n v="0"/>
    <x v="82"/>
    <n v="114"/>
    <s v="N (Jul 22)"/>
    <d v="2022-07-20T00:00:00"/>
    <n v="-1"/>
  </r>
  <r>
    <x v="52"/>
    <x v="9"/>
    <n v="0"/>
    <n v="0"/>
    <n v="0"/>
    <n v="0"/>
    <x v="428"/>
    <n v="0"/>
    <n v="0"/>
    <n v="0"/>
    <n v="0"/>
    <x v="91"/>
    <n v="51"/>
    <s v="K (May 22)"/>
    <d v="2022-05-18T00:00:00"/>
    <n v="-1"/>
  </r>
  <r>
    <x v="52"/>
    <x v="5"/>
    <n v="0"/>
    <n v="0"/>
    <n v="0"/>
    <n v="0"/>
    <x v="429"/>
    <n v="0"/>
    <n v="0"/>
    <n v="0"/>
    <n v="0"/>
    <x v="84"/>
    <n v="205"/>
    <s v="V (Oct 22)"/>
    <d v="2022-10-19T00:00:00"/>
    <n v="-1"/>
  </r>
  <r>
    <x v="52"/>
    <x v="0"/>
    <n v="0"/>
    <n v="0"/>
    <n v="0"/>
    <n v="0"/>
    <x v="430"/>
    <n v="0"/>
    <n v="0"/>
    <n v="0"/>
    <n v="0"/>
    <x v="110"/>
    <n v="233"/>
    <s v="X (Nov 22)"/>
    <d v="2022-11-16T00:00:00"/>
    <n v="-1"/>
  </r>
  <r>
    <x v="52"/>
    <x v="10"/>
    <n v="0"/>
    <n v="0"/>
    <n v="0"/>
    <n v="0"/>
    <x v="431"/>
    <n v="0"/>
    <n v="0"/>
    <n v="0"/>
    <n v="0"/>
    <x v="133"/>
    <n v="23"/>
    <s v="J (Apr 22)"/>
    <d v="2022-04-20T00:00:00"/>
    <n v="-1"/>
  </r>
  <r>
    <x v="52"/>
    <x v="6"/>
    <n v="0"/>
    <n v="0"/>
    <n v="0"/>
    <n v="0"/>
    <x v="432"/>
    <n v="0"/>
    <n v="0"/>
    <n v="0"/>
    <n v="0"/>
    <x v="88"/>
    <n v="142"/>
    <s v="Q (Aug 22)"/>
    <d v="2022-08-17T00:00:00"/>
    <n v="-1"/>
  </r>
  <r>
    <x v="52"/>
    <x v="7"/>
    <n v="0"/>
    <n v="0"/>
    <n v="0"/>
    <n v="0"/>
    <x v="433"/>
    <n v="0"/>
    <n v="0"/>
    <n v="0"/>
    <n v="0"/>
    <x v="125"/>
    <n v="177"/>
    <s v="U (Sep 22)"/>
    <d v="2022-09-21T00:00:00"/>
    <n v="-1"/>
  </r>
  <r>
    <x v="52"/>
    <x v="8"/>
    <n v="0"/>
    <n v="0"/>
    <n v="0"/>
    <n v="0"/>
    <x v="434"/>
    <n v="0"/>
    <n v="0"/>
    <n v="0"/>
    <n v="0"/>
    <x v="81"/>
    <n v="79"/>
    <s v="M (Jun 22)"/>
    <d v="2022-06-15T00:00:00"/>
    <n v="-1"/>
  </r>
  <r>
    <x v="53"/>
    <x v="10"/>
    <n v="0"/>
    <n v="0"/>
    <n v="0"/>
    <n v="0"/>
    <x v="435"/>
    <n v="0"/>
    <n v="0"/>
    <n v="0"/>
    <n v="0"/>
    <x v="136"/>
    <n v="26"/>
    <s v="J (Apr 22)"/>
    <d v="2022-04-20T00:00:00"/>
    <n v="-1"/>
  </r>
  <r>
    <x v="53"/>
    <x v="6"/>
    <n v="0"/>
    <n v="0"/>
    <n v="0"/>
    <n v="0"/>
    <x v="436"/>
    <n v="0"/>
    <n v="0"/>
    <n v="0"/>
    <n v="0"/>
    <x v="94"/>
    <n v="145"/>
    <s v="Q (Aug 22)"/>
    <d v="2022-08-17T00:00:00"/>
    <n v="-1"/>
  </r>
  <r>
    <x v="53"/>
    <x v="7"/>
    <n v="0"/>
    <n v="0"/>
    <n v="0"/>
    <n v="0"/>
    <x v="218"/>
    <n v="0"/>
    <n v="0"/>
    <n v="0"/>
    <n v="0"/>
    <x v="130"/>
    <n v="180"/>
    <s v="U (Sep 22)"/>
    <d v="2022-09-21T00:00:00"/>
    <n v="-1"/>
  </r>
  <r>
    <x v="53"/>
    <x v="8"/>
    <n v="0"/>
    <n v="0"/>
    <n v="0"/>
    <n v="0"/>
    <x v="437"/>
    <n v="0"/>
    <n v="0"/>
    <n v="0"/>
    <n v="0"/>
    <x v="96"/>
    <n v="82"/>
    <s v="M (Jun 22)"/>
    <d v="2022-06-15T00:00:00"/>
    <n v="-1"/>
  </r>
  <r>
    <x v="53"/>
    <x v="1"/>
    <n v="0"/>
    <n v="0"/>
    <n v="0"/>
    <n v="0"/>
    <x v="438"/>
    <n v="0"/>
    <n v="0"/>
    <n v="0"/>
    <n v="0"/>
    <x v="189"/>
    <n v="271"/>
    <s v="Z (Dec 22)"/>
    <d v="2022-12-21T00:00:00"/>
    <n v="-1"/>
  </r>
  <r>
    <x v="53"/>
    <x v="2"/>
    <n v="0"/>
    <n v="0"/>
    <n v="0"/>
    <n v="0"/>
    <x v="439"/>
    <n v="0"/>
    <n v="0"/>
    <n v="0"/>
    <n v="0"/>
    <x v="97"/>
    <n v="117"/>
    <s v="N (Jul 22)"/>
    <d v="2022-07-20T00:00:00"/>
    <n v="-1"/>
  </r>
  <r>
    <x v="53"/>
    <x v="9"/>
    <n v="0"/>
    <n v="0"/>
    <n v="0"/>
    <n v="0"/>
    <x v="440"/>
    <n v="0"/>
    <n v="0"/>
    <n v="0"/>
    <n v="0"/>
    <x v="103"/>
    <n v="54"/>
    <s v="K (May 22)"/>
    <d v="2022-05-18T00:00:00"/>
    <n v="-1"/>
  </r>
  <r>
    <x v="53"/>
    <x v="5"/>
    <n v="0"/>
    <n v="0"/>
    <n v="0"/>
    <n v="0"/>
    <x v="441"/>
    <n v="0"/>
    <n v="0"/>
    <n v="0"/>
    <n v="0"/>
    <x v="90"/>
    <n v="208"/>
    <s v="V (Oct 22)"/>
    <d v="2022-10-19T00:00:00"/>
    <n v="-1"/>
  </r>
  <r>
    <x v="53"/>
    <x v="0"/>
    <n v="0"/>
    <n v="0"/>
    <n v="0"/>
    <n v="0"/>
    <x v="430"/>
    <n v="0"/>
    <n v="0"/>
    <n v="0"/>
    <n v="0"/>
    <x v="122"/>
    <n v="236"/>
    <s v="X (Nov 22)"/>
    <d v="2022-11-16T00:00:00"/>
    <n v="-1"/>
  </r>
  <r>
    <x v="54"/>
    <x v="1"/>
    <n v="0"/>
    <n v="0"/>
    <n v="0"/>
    <n v="0"/>
    <x v="362"/>
    <n v="0"/>
    <n v="0"/>
    <n v="0"/>
    <n v="0"/>
    <x v="190"/>
    <n v="272"/>
    <s v="Z (Dec 22)"/>
    <d v="2022-12-21T00:00:00"/>
    <n v="-1"/>
  </r>
  <r>
    <x v="54"/>
    <x v="2"/>
    <n v="0"/>
    <n v="0"/>
    <n v="0"/>
    <n v="0"/>
    <x v="442"/>
    <n v="0"/>
    <n v="0"/>
    <n v="0"/>
    <n v="0"/>
    <x v="100"/>
    <n v="118"/>
    <s v="N (Jul 22)"/>
    <d v="2022-07-20T00:00:00"/>
    <n v="-1"/>
  </r>
  <r>
    <x v="54"/>
    <x v="9"/>
    <n v="0"/>
    <n v="0"/>
    <n v="0"/>
    <n v="0"/>
    <x v="443"/>
    <n v="0"/>
    <n v="0"/>
    <n v="0"/>
    <n v="0"/>
    <x v="109"/>
    <n v="55"/>
    <s v="K (May 22)"/>
    <d v="2022-05-18T00:00:00"/>
    <n v="-1"/>
  </r>
  <r>
    <x v="54"/>
    <x v="5"/>
    <n v="0"/>
    <n v="0"/>
    <n v="0"/>
    <n v="0"/>
    <x v="444"/>
    <n v="0"/>
    <n v="0"/>
    <n v="0"/>
    <n v="0"/>
    <x v="102"/>
    <n v="209"/>
    <s v="V (Oct 22)"/>
    <d v="2022-10-19T00:00:00"/>
    <n v="-1"/>
  </r>
  <r>
    <x v="54"/>
    <x v="0"/>
    <n v="0"/>
    <n v="0"/>
    <n v="0"/>
    <n v="0"/>
    <x v="445"/>
    <n v="0"/>
    <n v="0"/>
    <n v="0"/>
    <n v="0"/>
    <x v="128"/>
    <n v="237"/>
    <s v="X (Nov 22)"/>
    <d v="2022-11-16T00:00:00"/>
    <n v="-1"/>
  </r>
  <r>
    <x v="54"/>
    <x v="10"/>
    <n v="0"/>
    <n v="0"/>
    <n v="0"/>
    <n v="0"/>
    <x v="446"/>
    <n v="0"/>
    <n v="0"/>
    <n v="0"/>
    <n v="0"/>
    <x v="150"/>
    <n v="27"/>
    <s v="J (Apr 22)"/>
    <d v="2022-04-20T00:00:00"/>
    <n v="-1"/>
  </r>
  <r>
    <x v="54"/>
    <x v="6"/>
    <n v="0"/>
    <n v="0"/>
    <n v="0"/>
    <n v="0"/>
    <x v="447"/>
    <n v="0"/>
    <n v="0"/>
    <n v="0"/>
    <n v="0"/>
    <x v="106"/>
    <n v="146"/>
    <s v="Q (Aug 22)"/>
    <d v="2022-08-17T00:00:00"/>
    <n v="-1"/>
  </r>
  <r>
    <x v="54"/>
    <x v="7"/>
    <n v="0"/>
    <n v="0"/>
    <n v="0"/>
    <n v="0"/>
    <x v="448"/>
    <n v="0"/>
    <n v="0"/>
    <n v="0"/>
    <n v="0"/>
    <x v="141"/>
    <n v="181"/>
    <s v="U (Sep 22)"/>
    <d v="2022-09-21T00:00:00"/>
    <n v="-1"/>
  </r>
  <r>
    <x v="54"/>
    <x v="8"/>
    <n v="0"/>
    <n v="0"/>
    <n v="0"/>
    <n v="0"/>
    <x v="449"/>
    <n v="0"/>
    <n v="0"/>
    <n v="0"/>
    <n v="0"/>
    <x v="99"/>
    <n v="83"/>
    <s v="M (Jun 22)"/>
    <d v="2022-06-15T00:00:00"/>
    <n v="-1"/>
  </r>
  <r>
    <x v="55"/>
    <x v="10"/>
    <n v="0"/>
    <n v="0"/>
    <n v="0"/>
    <n v="0"/>
    <x v="450"/>
    <n v="0"/>
    <n v="0"/>
    <n v="0"/>
    <n v="0"/>
    <x v="153"/>
    <n v="28"/>
    <s v="J (Apr 22)"/>
    <d v="2022-04-20T00:00:00"/>
    <n v="-1"/>
  </r>
  <r>
    <x v="55"/>
    <x v="6"/>
    <n v="0"/>
    <n v="0"/>
    <n v="0"/>
    <n v="0"/>
    <x v="451"/>
    <n v="0"/>
    <n v="0"/>
    <n v="0"/>
    <n v="0"/>
    <x v="112"/>
    <n v="147"/>
    <s v="Q (Aug 22)"/>
    <d v="2022-08-17T00:00:00"/>
    <n v="-1"/>
  </r>
  <r>
    <x v="55"/>
    <x v="7"/>
    <n v="0"/>
    <n v="0"/>
    <n v="0"/>
    <n v="0"/>
    <x v="452"/>
    <n v="0"/>
    <n v="0"/>
    <n v="0"/>
    <n v="0"/>
    <x v="147"/>
    <n v="182"/>
    <s v="U (Sep 22)"/>
    <d v="2022-09-21T00:00:00"/>
    <n v="-1"/>
  </r>
  <r>
    <x v="55"/>
    <x v="8"/>
    <n v="0"/>
    <n v="0"/>
    <n v="0"/>
    <n v="0"/>
    <x v="453"/>
    <n v="0"/>
    <n v="0"/>
    <n v="0"/>
    <n v="0"/>
    <x v="114"/>
    <n v="84"/>
    <s v="M (Jun 22)"/>
    <d v="2022-06-15T00:00:00"/>
    <n v="-1"/>
  </r>
  <r>
    <x v="55"/>
    <x v="1"/>
    <n v="0"/>
    <n v="0"/>
    <n v="0"/>
    <n v="0"/>
    <x v="454"/>
    <n v="0"/>
    <n v="0"/>
    <n v="0"/>
    <n v="0"/>
    <x v="191"/>
    <n v="273"/>
    <s v="Z (Dec 22)"/>
    <d v="2022-12-21T00:00:00"/>
    <n v="-1"/>
  </r>
  <r>
    <x v="55"/>
    <x v="2"/>
    <n v="0"/>
    <n v="0"/>
    <n v="0"/>
    <n v="0"/>
    <x v="455"/>
    <n v="0"/>
    <n v="0"/>
    <n v="0"/>
    <n v="0"/>
    <x v="115"/>
    <n v="119"/>
    <s v="N (Jul 22)"/>
    <d v="2022-07-20T00:00:00"/>
    <n v="-1"/>
  </r>
  <r>
    <x v="55"/>
    <x v="9"/>
    <n v="0"/>
    <n v="0"/>
    <n v="0"/>
    <n v="0"/>
    <x v="456"/>
    <n v="0"/>
    <n v="0"/>
    <n v="0"/>
    <n v="0"/>
    <x v="121"/>
    <n v="56"/>
    <s v="K (May 22)"/>
    <d v="2022-05-18T00:00:00"/>
    <n v="-1"/>
  </r>
  <r>
    <x v="55"/>
    <x v="5"/>
    <n v="0"/>
    <n v="0"/>
    <n v="0"/>
    <n v="0"/>
    <x v="338"/>
    <n v="0"/>
    <n v="0"/>
    <n v="0"/>
    <n v="0"/>
    <x v="108"/>
    <n v="210"/>
    <s v="V (Oct 22)"/>
    <d v="2022-10-19T00:00:00"/>
    <n v="-1"/>
  </r>
  <r>
    <x v="55"/>
    <x v="0"/>
    <n v="0"/>
    <n v="0"/>
    <n v="0"/>
    <n v="0"/>
    <x v="445"/>
    <n v="0"/>
    <n v="0"/>
    <n v="0"/>
    <n v="0"/>
    <x v="139"/>
    <n v="238"/>
    <s v="X (Nov 22)"/>
    <d v="2022-11-16T00:00:00"/>
    <n v="-1"/>
  </r>
  <r>
    <x v="56"/>
    <x v="1"/>
    <n v="0"/>
    <n v="0"/>
    <n v="0"/>
    <n v="0"/>
    <x v="457"/>
    <n v="0"/>
    <n v="0"/>
    <n v="0"/>
    <n v="0"/>
    <x v="192"/>
    <n v="274"/>
    <s v="Z (Dec 22)"/>
    <d v="2022-12-21T00:00:00"/>
    <n v="-1"/>
  </r>
  <r>
    <x v="56"/>
    <x v="2"/>
    <n v="0"/>
    <n v="0"/>
    <n v="0"/>
    <n v="0"/>
    <x v="458"/>
    <n v="0"/>
    <n v="0"/>
    <n v="0"/>
    <n v="0"/>
    <x v="118"/>
    <n v="120"/>
    <s v="N (Jul 22)"/>
    <d v="2022-07-20T00:00:00"/>
    <n v="-1"/>
  </r>
  <r>
    <x v="56"/>
    <x v="9"/>
    <n v="0"/>
    <n v="0"/>
    <n v="0"/>
    <n v="0"/>
    <x v="459"/>
    <n v="0"/>
    <n v="0"/>
    <n v="0"/>
    <n v="0"/>
    <x v="127"/>
    <n v="57"/>
    <s v="K (May 22)"/>
    <d v="2022-05-18T00:00:00"/>
    <n v="-1"/>
  </r>
  <r>
    <x v="56"/>
    <x v="5"/>
    <n v="0"/>
    <n v="0"/>
    <n v="0"/>
    <n v="0"/>
    <x v="460"/>
    <n v="0"/>
    <n v="0"/>
    <n v="0"/>
    <n v="0"/>
    <x v="120"/>
    <n v="211"/>
    <s v="V (Oct 22)"/>
    <d v="2022-10-19T00:00:00"/>
    <n v="-1"/>
  </r>
  <r>
    <x v="56"/>
    <x v="0"/>
    <n v="0"/>
    <n v="0"/>
    <n v="0"/>
    <n v="0"/>
    <x v="461"/>
    <n v="0"/>
    <n v="0"/>
    <n v="0"/>
    <n v="0"/>
    <x v="144"/>
    <n v="239"/>
    <s v="X (Nov 22)"/>
    <d v="2022-11-16T00:00:00"/>
    <n v="-1"/>
  </r>
  <r>
    <x v="56"/>
    <x v="10"/>
    <n v="0"/>
    <n v="0"/>
    <n v="0"/>
    <n v="0"/>
    <x v="462"/>
    <n v="0"/>
    <n v="0"/>
    <n v="0"/>
    <n v="0"/>
    <x v="166"/>
    <n v="29"/>
    <s v="J (Apr 22)"/>
    <d v="2022-04-20T00:00:00"/>
    <n v="-1"/>
  </r>
  <r>
    <x v="56"/>
    <x v="6"/>
    <n v="0"/>
    <n v="0"/>
    <n v="0"/>
    <n v="0"/>
    <x v="463"/>
    <n v="0"/>
    <n v="0"/>
    <n v="0"/>
    <n v="0"/>
    <x v="124"/>
    <n v="148"/>
    <s v="Q (Aug 22)"/>
    <d v="2022-08-17T00:00:00"/>
    <n v="-1"/>
  </r>
  <r>
    <x v="56"/>
    <x v="7"/>
    <n v="0"/>
    <n v="0"/>
    <n v="0"/>
    <n v="0"/>
    <x v="464"/>
    <n v="0"/>
    <n v="0"/>
    <n v="0"/>
    <n v="0"/>
    <x v="158"/>
    <n v="183"/>
    <s v="U (Sep 22)"/>
    <d v="2022-09-21T00:00:00"/>
    <n v="-1"/>
  </r>
  <r>
    <x v="56"/>
    <x v="8"/>
    <n v="0"/>
    <n v="0"/>
    <n v="0"/>
    <n v="0"/>
    <x v="465"/>
    <n v="0"/>
    <n v="0"/>
    <n v="0"/>
    <n v="0"/>
    <x v="117"/>
    <n v="85"/>
    <s v="M (Jun 22)"/>
    <d v="2022-06-15T00:00:00"/>
    <n v="-1"/>
  </r>
  <r>
    <x v="57"/>
    <x v="10"/>
    <n v="0"/>
    <n v="0"/>
    <n v="0"/>
    <n v="0"/>
    <x v="466"/>
    <n v="0"/>
    <n v="0"/>
    <n v="0"/>
    <n v="0"/>
    <x v="169"/>
    <n v="30"/>
    <s v="J (Apr 22)"/>
    <d v="2022-04-20T00:00:00"/>
    <n v="-1"/>
  </r>
  <r>
    <x v="57"/>
    <x v="6"/>
    <n v="0"/>
    <n v="0"/>
    <n v="0"/>
    <n v="0"/>
    <x v="467"/>
    <n v="0"/>
    <n v="0"/>
    <n v="0"/>
    <n v="0"/>
    <x v="129"/>
    <n v="149"/>
    <s v="Q (Aug 22)"/>
    <d v="2022-08-17T00:00:00"/>
    <n v="-1"/>
  </r>
  <r>
    <x v="57"/>
    <x v="7"/>
    <n v="0"/>
    <n v="0"/>
    <n v="0"/>
    <n v="0"/>
    <x v="468"/>
    <n v="0"/>
    <n v="0"/>
    <n v="0"/>
    <n v="0"/>
    <x v="163"/>
    <n v="184"/>
    <s v="U (Sep 22)"/>
    <d v="2022-09-21T00:00:00"/>
    <n v="-1"/>
  </r>
  <r>
    <x v="57"/>
    <x v="8"/>
    <n v="0"/>
    <n v="0"/>
    <n v="0"/>
    <n v="0"/>
    <x v="469"/>
    <n v="0"/>
    <n v="0"/>
    <n v="0"/>
    <n v="0"/>
    <x v="131"/>
    <n v="86"/>
    <s v="M (Jun 22)"/>
    <d v="2022-06-15T00:00:00"/>
    <n v="-1"/>
  </r>
  <r>
    <x v="57"/>
    <x v="1"/>
    <n v="0"/>
    <n v="0"/>
    <n v="0"/>
    <n v="0"/>
    <x v="318"/>
    <n v="0"/>
    <n v="0"/>
    <n v="0"/>
    <n v="0"/>
    <x v="193"/>
    <n v="275"/>
    <s v="Z (Dec 22)"/>
    <d v="2022-12-21T00:00:00"/>
    <n v="-1"/>
  </r>
  <r>
    <x v="57"/>
    <x v="2"/>
    <n v="0"/>
    <n v="0"/>
    <n v="0"/>
    <n v="0"/>
    <x v="470"/>
    <n v="0"/>
    <n v="0"/>
    <n v="0"/>
    <n v="0"/>
    <x v="132"/>
    <n v="121"/>
    <s v="N (Jul 22)"/>
    <d v="2022-07-20T00:00:00"/>
    <n v="-1"/>
  </r>
  <r>
    <x v="57"/>
    <x v="9"/>
    <n v="0"/>
    <n v="0"/>
    <n v="0"/>
    <n v="0"/>
    <x v="471"/>
    <n v="0"/>
    <n v="0"/>
    <n v="0"/>
    <n v="0"/>
    <x v="138"/>
    <n v="58"/>
    <s v="K (May 22)"/>
    <d v="2022-05-18T00:00:00"/>
    <n v="-1"/>
  </r>
  <r>
    <x v="57"/>
    <x v="5"/>
    <n v="0"/>
    <n v="0"/>
    <n v="0"/>
    <n v="0"/>
    <x v="472"/>
    <n v="0"/>
    <n v="0"/>
    <n v="0"/>
    <n v="0"/>
    <x v="126"/>
    <n v="212"/>
    <s v="V (Oct 22)"/>
    <d v="2022-10-19T00:00:00"/>
    <n v="-1"/>
  </r>
  <r>
    <x v="57"/>
    <x v="0"/>
    <n v="0"/>
    <n v="0"/>
    <n v="0"/>
    <n v="0"/>
    <x v="318"/>
    <n v="0"/>
    <n v="0"/>
    <n v="0"/>
    <n v="0"/>
    <x v="155"/>
    <n v="240"/>
    <s v="X (Nov 22)"/>
    <d v="2022-11-16T00:00:00"/>
    <n v="-1"/>
  </r>
  <r>
    <x v="58"/>
    <x v="2"/>
    <n v="0"/>
    <n v="0"/>
    <n v="0"/>
    <n v="0"/>
    <x v="473"/>
    <n v="0"/>
    <n v="0"/>
    <n v="0"/>
    <n v="0"/>
    <x v="135"/>
    <n v="124"/>
    <s v="N (Jul 22)"/>
    <d v="2022-07-20T00:00:00"/>
    <n v="-1"/>
  </r>
  <r>
    <x v="58"/>
    <x v="9"/>
    <n v="0"/>
    <n v="0"/>
    <n v="0"/>
    <n v="0"/>
    <x v="474"/>
    <n v="0"/>
    <n v="0"/>
    <n v="0"/>
    <n v="0"/>
    <x v="143"/>
    <n v="61"/>
    <s v="K (May 22)"/>
    <d v="2022-05-18T00:00:00"/>
    <n v="-1"/>
  </r>
  <r>
    <x v="58"/>
    <x v="5"/>
    <n v="0"/>
    <n v="0"/>
    <n v="0"/>
    <n v="0"/>
    <x v="475"/>
    <n v="0"/>
    <n v="0"/>
    <n v="0"/>
    <n v="0"/>
    <x v="137"/>
    <n v="215"/>
    <s v="V (Oct 22)"/>
    <d v="2022-10-19T00:00:00"/>
    <n v="-1"/>
  </r>
  <r>
    <x v="58"/>
    <x v="0"/>
    <n v="0"/>
    <n v="0"/>
    <n v="0"/>
    <n v="0"/>
    <x v="452"/>
    <n v="0"/>
    <n v="0"/>
    <n v="0"/>
    <n v="0"/>
    <x v="160"/>
    <n v="243"/>
    <s v="X (Nov 22)"/>
    <d v="2022-11-16T00:00:00"/>
    <n v="-1"/>
  </r>
  <r>
    <x v="58"/>
    <x v="10"/>
    <n v="0"/>
    <n v="0"/>
    <n v="0"/>
    <n v="0"/>
    <x v="476"/>
    <n v="0"/>
    <n v="0"/>
    <n v="0"/>
    <n v="0"/>
    <x v="176"/>
    <n v="33"/>
    <s v="J (Apr 22)"/>
    <d v="2022-04-20T00:00:00"/>
    <n v="-1"/>
  </r>
  <r>
    <x v="58"/>
    <x v="6"/>
    <n v="0"/>
    <n v="0"/>
    <n v="0"/>
    <n v="0"/>
    <x v="477"/>
    <n v="0"/>
    <n v="0"/>
    <n v="0"/>
    <n v="0"/>
    <x v="140"/>
    <n v="152"/>
    <s v="Q (Aug 22)"/>
    <d v="2022-08-17T00:00:00"/>
    <n v="-1"/>
  </r>
  <r>
    <x v="58"/>
    <x v="7"/>
    <n v="0"/>
    <n v="0"/>
    <n v="0"/>
    <n v="0"/>
    <x v="478"/>
    <n v="0"/>
    <n v="0"/>
    <n v="0"/>
    <n v="0"/>
    <x v="173"/>
    <n v="187"/>
    <s v="U (Sep 22)"/>
    <d v="2022-09-21T00:00:00"/>
    <n v="-1"/>
  </r>
  <r>
    <x v="58"/>
    <x v="8"/>
    <n v="0"/>
    <n v="0"/>
    <n v="0"/>
    <n v="0"/>
    <x v="479"/>
    <n v="0"/>
    <n v="0"/>
    <n v="0"/>
    <n v="0"/>
    <x v="134"/>
    <n v="89"/>
    <s v="M (Jun 22)"/>
    <d v="2022-06-15T00:00:00"/>
    <n v="-1"/>
  </r>
  <r>
    <x v="59"/>
    <x v="10"/>
    <n v="0"/>
    <n v="0"/>
    <n v="0"/>
    <n v="0"/>
    <x v="480"/>
    <n v="0"/>
    <n v="0"/>
    <n v="0"/>
    <n v="0"/>
    <x v="178"/>
    <n v="34"/>
    <s v="J (Apr 22)"/>
    <d v="2022-04-20T00:00:00"/>
    <n v="-1"/>
  </r>
  <r>
    <x v="59"/>
    <x v="6"/>
    <n v="0"/>
    <n v="0"/>
    <n v="0"/>
    <n v="0"/>
    <x v="481"/>
    <n v="0"/>
    <n v="0"/>
    <n v="0"/>
    <n v="0"/>
    <x v="146"/>
    <n v="153"/>
    <s v="Q (Aug 22)"/>
    <d v="2022-08-17T00:00:00"/>
    <n v="-1"/>
  </r>
  <r>
    <x v="59"/>
    <x v="7"/>
    <n v="0"/>
    <n v="0"/>
    <n v="0"/>
    <n v="0"/>
    <x v="482"/>
    <n v="0"/>
    <n v="0"/>
    <n v="0"/>
    <n v="0"/>
    <x v="174"/>
    <n v="188"/>
    <s v="U (Sep 22)"/>
    <d v="2022-09-21T00:00:00"/>
    <n v="-1"/>
  </r>
  <r>
    <x v="59"/>
    <x v="8"/>
    <n v="0"/>
    <n v="0"/>
    <n v="0"/>
    <n v="0"/>
    <x v="483"/>
    <n v="0"/>
    <n v="0"/>
    <n v="0"/>
    <n v="0"/>
    <x v="148"/>
    <n v="90"/>
    <s v="M (Jun 22)"/>
    <d v="2022-06-15T00:00:00"/>
    <n v="-1"/>
  </r>
  <r>
    <x v="59"/>
    <x v="2"/>
    <n v="0"/>
    <n v="0"/>
    <n v="0"/>
    <n v="0"/>
    <x v="484"/>
    <n v="0"/>
    <n v="0"/>
    <n v="0"/>
    <n v="0"/>
    <x v="149"/>
    <n v="125"/>
    <s v="N (Jul 22)"/>
    <d v="2022-07-20T00:00:00"/>
    <n v="-1"/>
  </r>
  <r>
    <x v="59"/>
    <x v="9"/>
    <n v="0"/>
    <n v="0"/>
    <n v="0"/>
    <n v="0"/>
    <x v="485"/>
    <n v="0"/>
    <n v="0"/>
    <n v="0"/>
    <n v="0"/>
    <x v="154"/>
    <n v="62"/>
    <s v="K (May 22)"/>
    <d v="2022-05-18T00:00:00"/>
    <n v="-1"/>
  </r>
  <r>
    <x v="59"/>
    <x v="5"/>
    <n v="0"/>
    <n v="0"/>
    <n v="0"/>
    <n v="0"/>
    <x v="486"/>
    <n v="0"/>
    <n v="0"/>
    <n v="0"/>
    <n v="0"/>
    <x v="142"/>
    <n v="216"/>
    <s v="V (Oct 22)"/>
    <d v="2022-10-19T00:00:00"/>
    <n v="-1"/>
  </r>
  <r>
    <x v="59"/>
    <x v="0"/>
    <n v="0"/>
    <n v="0"/>
    <n v="0"/>
    <n v="0"/>
    <x v="329"/>
    <n v="0"/>
    <n v="0"/>
    <n v="0"/>
    <n v="0"/>
    <x v="171"/>
    <n v="244"/>
    <s v="X (Nov 22)"/>
    <d v="2022-11-16T00:00:00"/>
    <n v="-1"/>
  </r>
  <r>
    <x v="60"/>
    <x v="2"/>
    <n v="0"/>
    <n v="0"/>
    <n v="0"/>
    <n v="0"/>
    <x v="278"/>
    <n v="0"/>
    <n v="0"/>
    <n v="0"/>
    <n v="0"/>
    <x v="152"/>
    <n v="126"/>
    <s v="N (Jul 22)"/>
    <d v="2022-07-20T00:00:00"/>
    <n v="-1"/>
  </r>
  <r>
    <x v="60"/>
    <x v="9"/>
    <n v="0"/>
    <n v="0"/>
    <n v="0"/>
    <n v="0"/>
    <x v="487"/>
    <n v="0"/>
    <n v="0"/>
    <n v="0"/>
    <n v="0"/>
    <x v="159"/>
    <n v="63"/>
    <s v="K (May 22)"/>
    <d v="2022-05-18T00:00:00"/>
    <n v="-1"/>
  </r>
  <r>
    <x v="60"/>
    <x v="5"/>
    <n v="0"/>
    <n v="0"/>
    <n v="0"/>
    <n v="0"/>
    <x v="18"/>
    <n v="0"/>
    <n v="0"/>
    <n v="0"/>
    <n v="0"/>
    <x v="3"/>
    <n v="217"/>
    <s v="V (Oct 22)"/>
    <d v="2022-10-19T00:00:00"/>
    <n v="-1"/>
  </r>
  <r>
    <x v="60"/>
    <x v="0"/>
    <n v="0"/>
    <n v="0"/>
    <n v="0"/>
    <n v="0"/>
    <x v="488"/>
    <n v="0"/>
    <n v="0"/>
    <n v="0"/>
    <n v="0"/>
    <x v="4"/>
    <n v="245"/>
    <s v="X (Nov 22)"/>
    <d v="2022-11-16T00:00:00"/>
    <n v="-1"/>
  </r>
  <r>
    <x v="60"/>
    <x v="10"/>
    <n v="0"/>
    <n v="0"/>
    <n v="0"/>
    <n v="0"/>
    <x v="489"/>
    <n v="0"/>
    <n v="0"/>
    <n v="0"/>
    <n v="0"/>
    <x v="182"/>
    <n v="35"/>
    <s v="J (Apr 22)"/>
    <d v="2022-04-20T00:00:00"/>
    <n v="-1"/>
  </r>
  <r>
    <x v="60"/>
    <x v="6"/>
    <n v="0"/>
    <n v="0"/>
    <n v="0"/>
    <n v="0"/>
    <x v="490"/>
    <n v="0"/>
    <n v="0"/>
    <n v="0"/>
    <n v="0"/>
    <x v="157"/>
    <n v="154"/>
    <s v="Q (Aug 22)"/>
    <d v="2022-08-17T00:00:00"/>
    <n v="-1"/>
  </r>
  <r>
    <x v="60"/>
    <x v="7"/>
    <n v="0"/>
    <n v="0"/>
    <n v="0"/>
    <n v="0"/>
    <x v="491"/>
    <n v="0"/>
    <n v="0"/>
    <n v="0"/>
    <n v="0"/>
    <x v="179"/>
    <n v="189"/>
    <s v="U (Sep 22)"/>
    <d v="2022-09-21T00:00:00"/>
    <n v="-1"/>
  </r>
  <r>
    <x v="60"/>
    <x v="8"/>
    <n v="0"/>
    <n v="0"/>
    <n v="0"/>
    <n v="0"/>
    <x v="492"/>
    <n v="0"/>
    <n v="0"/>
    <n v="0"/>
    <n v="0"/>
    <x v="151"/>
    <n v="91"/>
    <s v="M (Jun 22)"/>
    <d v="2022-06-15T00:00:00"/>
    <n v="-1"/>
  </r>
  <r>
    <x v="61"/>
    <x v="10"/>
    <n v="0"/>
    <n v="0"/>
    <n v="0"/>
    <n v="0"/>
    <x v="493"/>
    <n v="0"/>
    <n v="0"/>
    <n v="0"/>
    <n v="0"/>
    <x v="184"/>
    <n v="36"/>
    <s v="J (Apr 22)"/>
    <d v="2022-04-20T00:00:00"/>
    <n v="-1"/>
  </r>
  <r>
    <x v="61"/>
    <x v="6"/>
    <n v="0"/>
    <n v="0"/>
    <n v="0"/>
    <n v="0"/>
    <x v="494"/>
    <n v="0"/>
    <n v="0"/>
    <n v="0"/>
    <n v="0"/>
    <x v="162"/>
    <n v="155"/>
    <s v="Q (Aug 22)"/>
    <d v="2022-08-17T00:00:00"/>
    <n v="-1"/>
  </r>
  <r>
    <x v="61"/>
    <x v="7"/>
    <n v="0"/>
    <n v="0"/>
    <n v="0"/>
    <n v="0"/>
    <x v="495"/>
    <n v="0"/>
    <n v="0"/>
    <n v="0"/>
    <n v="0"/>
    <x v="180"/>
    <n v="190"/>
    <s v="U (Sep 22)"/>
    <d v="2022-09-21T00:00:00"/>
    <n v="-1"/>
  </r>
  <r>
    <x v="61"/>
    <x v="8"/>
    <n v="0"/>
    <n v="0"/>
    <n v="0"/>
    <n v="0"/>
    <x v="496"/>
    <n v="0"/>
    <n v="0"/>
    <n v="0"/>
    <n v="0"/>
    <x v="164"/>
    <n v="92"/>
    <s v="M (Jun 22)"/>
    <d v="2022-06-15T00:00:00"/>
    <n v="-1"/>
  </r>
  <r>
    <x v="61"/>
    <x v="2"/>
    <n v="0"/>
    <n v="0"/>
    <n v="0"/>
    <n v="0"/>
    <x v="497"/>
    <n v="0"/>
    <n v="0"/>
    <n v="0"/>
    <n v="0"/>
    <x v="165"/>
    <n v="127"/>
    <s v="N (Jul 22)"/>
    <d v="2022-07-20T00:00:00"/>
    <n v="-1"/>
  </r>
  <r>
    <x v="61"/>
    <x v="9"/>
    <n v="0"/>
    <n v="0"/>
    <n v="0"/>
    <n v="0"/>
    <x v="498"/>
    <n v="0"/>
    <n v="0"/>
    <n v="0"/>
    <n v="0"/>
    <x v="170"/>
    <n v="64"/>
    <s v="K (May 22)"/>
    <d v="2022-05-18T00:00:00"/>
    <n v="-1"/>
  </r>
  <r>
    <x v="61"/>
    <x v="11"/>
    <n v="0"/>
    <n v="0"/>
    <n v="0"/>
    <n v="0"/>
    <x v="499"/>
    <n v="0"/>
    <n v="0"/>
    <n v="0"/>
    <n v="0"/>
    <x v="145"/>
    <n v="0"/>
    <s v="H (Mar 22)"/>
    <d v="2022-03-15T00:00:00"/>
    <n v="-1"/>
  </r>
  <r>
    <x v="61"/>
    <x v="5"/>
    <n v="0"/>
    <n v="0"/>
    <n v="0"/>
    <n v="0"/>
    <x v="500"/>
    <n v="0"/>
    <n v="0"/>
    <n v="0"/>
    <n v="0"/>
    <x v="15"/>
    <n v="218"/>
    <s v="V (Oct 22)"/>
    <d v="2022-10-19T00:00:00"/>
    <n v="-1"/>
  </r>
  <r>
    <x v="61"/>
    <x v="0"/>
    <n v="0"/>
    <n v="0"/>
    <n v="0"/>
    <n v="0"/>
    <x v="501"/>
    <n v="0"/>
    <n v="0"/>
    <n v="0"/>
    <n v="0"/>
    <x v="16"/>
    <n v="246"/>
    <s v="X (Nov 22)"/>
    <d v="2022-11-16T00:00:00"/>
    <n v="-1"/>
  </r>
  <r>
    <x v="62"/>
    <x v="2"/>
    <n v="0"/>
    <n v="0"/>
    <n v="0"/>
    <n v="0"/>
    <x v="502"/>
    <n v="0"/>
    <n v="0"/>
    <n v="0"/>
    <n v="0"/>
    <x v="168"/>
    <n v="128"/>
    <s v="N (Jul 22)"/>
    <d v="2022-07-20T00:00:00"/>
    <n v="-1"/>
  </r>
  <r>
    <x v="62"/>
    <x v="9"/>
    <n v="0"/>
    <n v="0"/>
    <n v="0"/>
    <n v="0"/>
    <x v="503"/>
    <n v="0"/>
    <n v="0"/>
    <n v="0"/>
    <n v="0"/>
    <x v="6"/>
    <n v="65"/>
    <s v="K (May 22)"/>
    <d v="2022-05-18T00:00:00"/>
    <n v="-1"/>
  </r>
  <r>
    <x v="62"/>
    <x v="11"/>
    <n v="0"/>
    <n v="0"/>
    <n v="0"/>
    <n v="0"/>
    <x v="504"/>
    <n v="0"/>
    <n v="0"/>
    <n v="0"/>
    <n v="0"/>
    <x v="156"/>
    <n v="1"/>
    <s v="H (Mar 22)"/>
    <d v="2022-03-15T00:00:00"/>
    <n v="-1"/>
  </r>
  <r>
    <x v="62"/>
    <x v="5"/>
    <n v="0"/>
    <n v="0"/>
    <n v="0"/>
    <n v="0"/>
    <x v="180"/>
    <n v="0"/>
    <n v="0"/>
    <n v="0"/>
    <n v="0"/>
    <x v="21"/>
    <n v="219"/>
    <s v="V (Oct 22)"/>
    <d v="2022-10-19T00:00:00"/>
    <n v="-1"/>
  </r>
  <r>
    <x v="62"/>
    <x v="0"/>
    <n v="0"/>
    <n v="0"/>
    <n v="0"/>
    <n v="0"/>
    <x v="85"/>
    <n v="0"/>
    <n v="0"/>
    <n v="0"/>
    <n v="0"/>
    <x v="22"/>
    <n v="247"/>
    <s v="X (Nov 22)"/>
    <d v="2022-11-16T00:00:00"/>
    <n v="-1"/>
  </r>
  <r>
    <x v="62"/>
    <x v="10"/>
    <n v="0"/>
    <n v="0"/>
    <n v="0"/>
    <n v="0"/>
    <x v="505"/>
    <n v="0"/>
    <n v="0"/>
    <n v="0"/>
    <n v="0"/>
    <x v="2"/>
    <n v="37"/>
    <s v="J (Apr 22)"/>
    <d v="2022-04-20T00:00:00"/>
    <n v="-1"/>
  </r>
  <r>
    <x v="62"/>
    <x v="6"/>
    <n v="0"/>
    <n v="0"/>
    <n v="0"/>
    <n v="0"/>
    <x v="506"/>
    <n v="0"/>
    <n v="0"/>
    <n v="0"/>
    <n v="0"/>
    <x v="172"/>
    <n v="156"/>
    <s v="Q (Aug 22)"/>
    <d v="2022-08-17T00:00:00"/>
    <n v="-1"/>
  </r>
  <r>
    <x v="62"/>
    <x v="7"/>
    <n v="0"/>
    <n v="0"/>
    <n v="0"/>
    <n v="0"/>
    <x v="507"/>
    <n v="0"/>
    <n v="0"/>
    <n v="0"/>
    <n v="0"/>
    <x v="185"/>
    <n v="191"/>
    <s v="U (Sep 22)"/>
    <d v="2022-09-21T00:00:00"/>
    <n v="-1"/>
  </r>
  <r>
    <x v="62"/>
    <x v="8"/>
    <n v="0"/>
    <n v="0"/>
    <n v="0"/>
    <n v="0"/>
    <x v="508"/>
    <n v="0"/>
    <n v="0"/>
    <n v="0"/>
    <n v="0"/>
    <x v="167"/>
    <n v="93"/>
    <s v="M (Jun 22)"/>
    <d v="2022-06-15T00:00:00"/>
    <n v="-1"/>
  </r>
  <r>
    <x v="63"/>
    <x v="10"/>
    <n v="0"/>
    <n v="0"/>
    <n v="0"/>
    <n v="0"/>
    <x v="509"/>
    <n v="0"/>
    <n v="0"/>
    <n v="0"/>
    <n v="0"/>
    <x v="14"/>
    <n v="40"/>
    <s v="J (Apr 22)"/>
    <d v="2022-04-20T00:00:00"/>
    <n v="-1"/>
  </r>
  <r>
    <x v="63"/>
    <x v="6"/>
    <n v="0"/>
    <n v="0"/>
    <n v="0"/>
    <n v="0"/>
    <x v="510"/>
    <n v="0"/>
    <n v="0"/>
    <n v="0"/>
    <n v="0"/>
    <x v="0"/>
    <n v="159"/>
    <s v="Q (Aug 22)"/>
    <d v="2022-08-17T00:00:00"/>
    <n v="-1"/>
  </r>
  <r>
    <x v="63"/>
    <x v="7"/>
    <n v="0"/>
    <n v="0"/>
    <n v="0"/>
    <n v="0"/>
    <x v="511"/>
    <n v="0"/>
    <n v="0"/>
    <n v="0"/>
    <n v="0"/>
    <x v="1"/>
    <n v="194"/>
    <s v="U (Sep 22)"/>
    <d v="2022-09-21T00:00:00"/>
    <n v="-1"/>
  </r>
  <r>
    <x v="63"/>
    <x v="8"/>
    <n v="0"/>
    <n v="0"/>
    <n v="0"/>
    <n v="0"/>
    <x v="512"/>
    <n v="0"/>
    <n v="0"/>
    <n v="0"/>
    <n v="0"/>
    <x v="175"/>
    <n v="96"/>
    <s v="M (Jun 22)"/>
    <d v="2022-06-15T00:00:00"/>
    <n v="-1"/>
  </r>
  <r>
    <x v="63"/>
    <x v="2"/>
    <n v="0"/>
    <n v="0"/>
    <n v="0"/>
    <n v="0"/>
    <x v="513"/>
    <n v="0"/>
    <n v="0"/>
    <n v="0"/>
    <n v="0"/>
    <x v="5"/>
    <n v="131"/>
    <s v="N (Jul 22)"/>
    <d v="2022-07-20T00:00:00"/>
    <n v="-1"/>
  </r>
  <r>
    <x v="63"/>
    <x v="9"/>
    <n v="0"/>
    <n v="0"/>
    <n v="0"/>
    <n v="0"/>
    <x v="514"/>
    <n v="0"/>
    <n v="0"/>
    <n v="0"/>
    <n v="0"/>
    <x v="9"/>
    <n v="68"/>
    <s v="K (May 22)"/>
    <d v="2022-05-18T00:00:00"/>
    <n v="-1"/>
  </r>
  <r>
    <x v="63"/>
    <x v="11"/>
    <n v="0"/>
    <n v="0"/>
    <n v="0"/>
    <n v="0"/>
    <x v="515"/>
    <n v="0"/>
    <n v="0"/>
    <n v="0"/>
    <n v="0"/>
    <x v="161"/>
    <n v="4"/>
    <s v="H (Mar 22)"/>
    <d v="2022-03-15T00:00:00"/>
    <n v="-1"/>
  </r>
  <r>
    <x v="63"/>
    <x v="5"/>
    <n v="0"/>
    <n v="0"/>
    <n v="0"/>
    <n v="0"/>
    <x v="88"/>
    <n v="0"/>
    <n v="0"/>
    <n v="0"/>
    <n v="0"/>
    <x v="32"/>
    <n v="222"/>
    <s v="V (Oct 22)"/>
    <d v="2022-10-19T00:00:00"/>
    <n v="-1"/>
  </r>
  <r>
    <x v="63"/>
    <x v="0"/>
    <n v="0"/>
    <n v="0"/>
    <n v="0"/>
    <n v="0"/>
    <x v="516"/>
    <n v="0"/>
    <n v="0"/>
    <n v="0"/>
    <n v="0"/>
    <x v="33"/>
    <n v="250"/>
    <s v="X (Nov 22)"/>
    <d v="2022-11-16T00:00:00"/>
    <n v="-1"/>
  </r>
  <r>
    <x v="64"/>
    <x v="2"/>
    <n v="0"/>
    <n v="0"/>
    <n v="0"/>
    <n v="0"/>
    <x v="517"/>
    <n v="0"/>
    <n v="0"/>
    <n v="0"/>
    <n v="0"/>
    <x v="17"/>
    <n v="132"/>
    <s v="N (Jul 22)"/>
    <d v="2022-07-20T00:00:00"/>
    <n v="-1"/>
  </r>
  <r>
    <x v="64"/>
    <x v="9"/>
    <n v="0"/>
    <n v="0"/>
    <n v="0"/>
    <n v="0"/>
    <x v="518"/>
    <n v="0"/>
    <n v="0"/>
    <n v="0"/>
    <n v="0"/>
    <x v="24"/>
    <n v="69"/>
    <s v="K (May 22)"/>
    <d v="2022-05-18T00:00:00"/>
    <n v="-1"/>
  </r>
  <r>
    <x v="64"/>
    <x v="11"/>
    <n v="0"/>
    <n v="0"/>
    <n v="0"/>
    <n v="0"/>
    <x v="519"/>
    <n v="0"/>
    <n v="0"/>
    <n v="0"/>
    <n v="0"/>
    <x v="8"/>
    <n v="5"/>
    <s v="H (Mar 22)"/>
    <d v="2022-03-15T00:00:00"/>
    <n v="-1"/>
  </r>
  <r>
    <x v="64"/>
    <x v="5"/>
    <n v="0"/>
    <n v="0"/>
    <n v="0"/>
    <n v="0"/>
    <x v="520"/>
    <n v="0"/>
    <n v="0"/>
    <n v="0"/>
    <n v="0"/>
    <x v="38"/>
    <n v="223"/>
    <s v="V (Oct 22)"/>
    <d v="2022-10-19T00:00:00"/>
    <n v="-1"/>
  </r>
  <r>
    <x v="64"/>
    <x v="0"/>
    <n v="0"/>
    <n v="0"/>
    <n v="0"/>
    <n v="0"/>
    <x v="341"/>
    <n v="0"/>
    <n v="0"/>
    <n v="0"/>
    <n v="0"/>
    <x v="39"/>
    <n v="251"/>
    <s v="X (Nov 22)"/>
    <d v="2022-11-16T00:00:00"/>
    <n v="-1"/>
  </r>
  <r>
    <x v="64"/>
    <x v="10"/>
    <n v="0"/>
    <n v="0"/>
    <n v="0"/>
    <n v="0"/>
    <x v="521"/>
    <n v="0"/>
    <n v="0"/>
    <n v="0"/>
    <n v="0"/>
    <x v="20"/>
    <n v="41"/>
    <s v="J (Apr 22)"/>
    <d v="2022-04-20T00:00:00"/>
    <n v="-1"/>
  </r>
  <r>
    <x v="64"/>
    <x v="6"/>
    <n v="0"/>
    <n v="0"/>
    <n v="0"/>
    <n v="0"/>
    <x v="522"/>
    <n v="0"/>
    <n v="0"/>
    <n v="0"/>
    <n v="0"/>
    <x v="12"/>
    <n v="160"/>
    <s v="Q (Aug 22)"/>
    <d v="2022-08-17T00:00:00"/>
    <n v="-1"/>
  </r>
  <r>
    <x v="64"/>
    <x v="7"/>
    <n v="0"/>
    <n v="0"/>
    <n v="0"/>
    <n v="0"/>
    <x v="523"/>
    <n v="0"/>
    <n v="0"/>
    <n v="0"/>
    <n v="0"/>
    <x v="13"/>
    <n v="195"/>
    <s v="U (Sep 22)"/>
    <d v="2022-09-21T00:00:00"/>
    <n v="-1"/>
  </r>
  <r>
    <x v="64"/>
    <x v="8"/>
    <n v="0"/>
    <n v="0"/>
    <n v="0"/>
    <n v="0"/>
    <x v="524"/>
    <n v="0"/>
    <n v="0"/>
    <n v="0"/>
    <n v="0"/>
    <x v="177"/>
    <n v="97"/>
    <s v="M (Jun 22)"/>
    <d v="2022-06-15T00:00:00"/>
    <n v="-1"/>
  </r>
  <r>
    <x v="65"/>
    <x v="10"/>
    <n v="0"/>
    <n v="0"/>
    <n v="0"/>
    <n v="0"/>
    <x v="525"/>
    <n v="0"/>
    <n v="0"/>
    <n v="0"/>
    <n v="0"/>
    <x v="31"/>
    <n v="42"/>
    <s v="J (Apr 22)"/>
    <d v="2022-04-20T00:00:00"/>
    <n v="-1"/>
  </r>
  <r>
    <x v="65"/>
    <x v="6"/>
    <n v="0"/>
    <n v="0"/>
    <n v="0"/>
    <n v="0"/>
    <x v="526"/>
    <n v="0"/>
    <n v="0"/>
    <n v="0"/>
    <n v="0"/>
    <x v="18"/>
    <n v="161"/>
    <s v="Q (Aug 22)"/>
    <d v="2022-08-17T00:00:00"/>
    <n v="-1"/>
  </r>
  <r>
    <x v="65"/>
    <x v="7"/>
    <n v="0"/>
    <n v="0"/>
    <n v="0"/>
    <n v="0"/>
    <x v="527"/>
    <n v="0"/>
    <n v="0"/>
    <n v="0"/>
    <n v="0"/>
    <x v="19"/>
    <n v="196"/>
    <s v="U (Sep 22)"/>
    <d v="2022-09-21T00:00:00"/>
    <n v="-1"/>
  </r>
  <r>
    <x v="65"/>
    <x v="8"/>
    <n v="0"/>
    <n v="0"/>
    <n v="0"/>
    <n v="0"/>
    <x v="528"/>
    <n v="0"/>
    <n v="0"/>
    <n v="0"/>
    <n v="0"/>
    <x v="181"/>
    <n v="98"/>
    <s v="M (Jun 22)"/>
    <d v="2022-06-15T00:00:00"/>
    <n v="-1"/>
  </r>
  <r>
    <x v="65"/>
    <x v="2"/>
    <n v="0"/>
    <n v="0"/>
    <n v="0"/>
    <n v="0"/>
    <x v="529"/>
    <n v="0"/>
    <n v="0"/>
    <n v="0"/>
    <n v="0"/>
    <x v="23"/>
    <n v="133"/>
    <s v="N (Jul 22)"/>
    <d v="2022-07-20T00:00:00"/>
    <n v="-1"/>
  </r>
  <r>
    <x v="65"/>
    <x v="9"/>
    <n v="0"/>
    <n v="0"/>
    <n v="0"/>
    <n v="0"/>
    <x v="530"/>
    <n v="0"/>
    <n v="0"/>
    <n v="0"/>
    <n v="0"/>
    <x v="27"/>
    <n v="70"/>
    <s v="K (May 22)"/>
    <d v="2022-05-18T00:00:00"/>
    <n v="-1"/>
  </r>
  <r>
    <x v="65"/>
    <x v="11"/>
    <n v="0"/>
    <n v="0"/>
    <n v="0"/>
    <n v="0"/>
    <x v="531"/>
    <n v="0"/>
    <n v="0"/>
    <n v="0"/>
    <n v="0"/>
    <x v="11"/>
    <n v="6"/>
    <s v="H (Mar 22)"/>
    <d v="2022-03-15T00:00:00"/>
    <n v="-1"/>
  </r>
  <r>
    <x v="65"/>
    <x v="5"/>
    <n v="0"/>
    <n v="0"/>
    <n v="0"/>
    <n v="0"/>
    <x v="113"/>
    <n v="0"/>
    <n v="0"/>
    <n v="0"/>
    <n v="0"/>
    <x v="50"/>
    <n v="224"/>
    <s v="V (Oct 22)"/>
    <d v="2022-10-19T00:00:00"/>
    <n v="-1"/>
  </r>
  <r>
    <x v="65"/>
    <x v="0"/>
    <n v="0"/>
    <n v="0"/>
    <n v="0"/>
    <n v="0"/>
    <x v="316"/>
    <n v="0"/>
    <n v="0"/>
    <n v="0"/>
    <n v="0"/>
    <x v="51"/>
    <n v="252"/>
    <s v="X (Nov 22)"/>
    <d v="2022-11-16T00:00:00"/>
    <n v="-1"/>
  </r>
  <r>
    <x v="66"/>
    <x v="2"/>
    <n v="0"/>
    <n v="0"/>
    <n v="0"/>
    <n v="0"/>
    <x v="532"/>
    <n v="0"/>
    <n v="0"/>
    <n v="0"/>
    <n v="0"/>
    <x v="34"/>
    <n v="134"/>
    <s v="N (Jul 22)"/>
    <d v="2022-07-20T00:00:00"/>
    <n v="-1"/>
  </r>
  <r>
    <x v="66"/>
    <x v="9"/>
    <n v="0"/>
    <n v="0"/>
    <n v="0"/>
    <n v="0"/>
    <x v="533"/>
    <n v="0"/>
    <n v="0"/>
    <n v="0"/>
    <n v="0"/>
    <x v="42"/>
    <n v="71"/>
    <s v="K (May 22)"/>
    <d v="2022-05-18T00:00:00"/>
    <n v="-1"/>
  </r>
  <r>
    <x v="66"/>
    <x v="11"/>
    <n v="0"/>
    <n v="0"/>
    <n v="0"/>
    <n v="0"/>
    <x v="534"/>
    <n v="0"/>
    <n v="0"/>
    <n v="0"/>
    <n v="0"/>
    <x v="26"/>
    <n v="7"/>
    <s v="H (Mar 22)"/>
    <d v="2022-03-15T00:00:00"/>
    <n v="-1"/>
  </r>
  <r>
    <x v="66"/>
    <x v="5"/>
    <n v="0"/>
    <n v="0"/>
    <n v="0"/>
    <n v="0"/>
    <x v="38"/>
    <n v="0"/>
    <n v="0"/>
    <n v="0"/>
    <n v="0"/>
    <x v="56"/>
    <n v="225"/>
    <s v="V (Oct 22)"/>
    <d v="2022-10-19T00:00:00"/>
    <n v="-1"/>
  </r>
  <r>
    <x v="66"/>
    <x v="0"/>
    <n v="0"/>
    <n v="0"/>
    <n v="0"/>
    <n v="0"/>
    <x v="347"/>
    <n v="0"/>
    <n v="0"/>
    <n v="0"/>
    <n v="0"/>
    <x v="57"/>
    <n v="253"/>
    <s v="X (Nov 22)"/>
    <d v="2022-11-16T00:00:00"/>
    <n v="-1"/>
  </r>
  <r>
    <x v="66"/>
    <x v="10"/>
    <n v="0"/>
    <n v="0"/>
    <n v="0"/>
    <n v="0"/>
    <x v="535"/>
    <n v="0"/>
    <n v="0"/>
    <n v="0"/>
    <n v="0"/>
    <x v="37"/>
    <n v="43"/>
    <s v="J (Apr 22)"/>
    <d v="2022-04-20T00:00:00"/>
    <n v="-1"/>
  </r>
  <r>
    <x v="66"/>
    <x v="6"/>
    <n v="0"/>
    <n v="0"/>
    <n v="0"/>
    <n v="0"/>
    <x v="536"/>
    <n v="0"/>
    <n v="0"/>
    <n v="0"/>
    <n v="0"/>
    <x v="35"/>
    <n v="162"/>
    <s v="Q (Aug 22)"/>
    <d v="2022-08-17T00:00:00"/>
    <n v="-1"/>
  </r>
  <r>
    <x v="66"/>
    <x v="7"/>
    <n v="0"/>
    <n v="0"/>
    <n v="0"/>
    <n v="0"/>
    <x v="537"/>
    <n v="0"/>
    <n v="0"/>
    <n v="0"/>
    <n v="0"/>
    <x v="30"/>
    <n v="197"/>
    <s v="U (Sep 22)"/>
    <d v="2022-09-21T00:00:00"/>
    <n v="-1"/>
  </r>
  <r>
    <x v="66"/>
    <x v="8"/>
    <n v="0"/>
    <n v="0"/>
    <n v="0"/>
    <n v="0"/>
    <x v="538"/>
    <n v="0"/>
    <n v="0"/>
    <n v="0"/>
    <n v="0"/>
    <x v="183"/>
    <n v="99"/>
    <s v="M (Jun 22)"/>
    <d v="2022-06-15T00:00:00"/>
    <n v="-1"/>
  </r>
  <r>
    <x v="67"/>
    <x v="10"/>
    <n v="0"/>
    <n v="0"/>
    <n v="0"/>
    <n v="0"/>
    <x v="539"/>
    <n v="0"/>
    <n v="0"/>
    <n v="0"/>
    <n v="0"/>
    <x v="49"/>
    <n v="44"/>
    <s v="J (Apr 22)"/>
    <d v="2022-04-20T00:00:00"/>
    <n v="-1"/>
  </r>
  <r>
    <x v="67"/>
    <x v="6"/>
    <n v="0"/>
    <n v="0"/>
    <n v="0"/>
    <n v="0"/>
    <x v="540"/>
    <n v="0"/>
    <n v="0"/>
    <n v="0"/>
    <n v="0"/>
    <x v="41"/>
    <n v="163"/>
    <s v="Q (Aug 22)"/>
    <d v="2022-08-17T00:00:00"/>
    <n v="-1"/>
  </r>
  <r>
    <x v="67"/>
    <x v="7"/>
    <n v="0"/>
    <n v="0"/>
    <n v="0"/>
    <n v="0"/>
    <x v="541"/>
    <n v="0"/>
    <n v="0"/>
    <n v="0"/>
    <n v="0"/>
    <x v="36"/>
    <n v="198"/>
    <s v="U (Sep 22)"/>
    <d v="2022-09-21T00:00:00"/>
    <n v="-1"/>
  </r>
  <r>
    <x v="67"/>
    <x v="8"/>
    <n v="0"/>
    <n v="0"/>
    <n v="0"/>
    <n v="0"/>
    <x v="542"/>
    <n v="0"/>
    <n v="0"/>
    <n v="0"/>
    <n v="0"/>
    <x v="7"/>
    <n v="100"/>
    <s v="M (Jun 22)"/>
    <d v="2022-06-15T00:00:00"/>
    <n v="-1"/>
  </r>
  <r>
    <x v="67"/>
    <x v="2"/>
    <n v="0"/>
    <n v="0"/>
    <n v="0"/>
    <n v="0"/>
    <x v="543"/>
    <n v="0"/>
    <n v="0"/>
    <n v="0"/>
    <n v="0"/>
    <x v="40"/>
    <n v="135"/>
    <s v="N (Jul 22)"/>
    <d v="2022-07-20T00:00:00"/>
    <n v="-1"/>
  </r>
  <r>
    <x v="67"/>
    <x v="9"/>
    <n v="0"/>
    <n v="0"/>
    <n v="0"/>
    <n v="0"/>
    <x v="544"/>
    <n v="0"/>
    <n v="0"/>
    <n v="0"/>
    <n v="0"/>
    <x v="45"/>
    <n v="72"/>
    <s v="K (May 22)"/>
    <d v="2022-05-18T00:00:00"/>
    <n v="-1"/>
  </r>
  <r>
    <x v="67"/>
    <x v="11"/>
    <n v="0"/>
    <n v="0"/>
    <n v="0"/>
    <n v="0"/>
    <x v="545"/>
    <n v="0"/>
    <n v="0"/>
    <n v="0"/>
    <n v="0"/>
    <x v="29"/>
    <n v="8"/>
    <s v="H (Mar 22)"/>
    <d v="2022-03-15T00:00:00"/>
    <n v="-1"/>
  </r>
  <r>
    <x v="67"/>
    <x v="5"/>
    <n v="0"/>
    <n v="0"/>
    <n v="0"/>
    <n v="0"/>
    <x v="70"/>
    <n v="0"/>
    <n v="0"/>
    <n v="0"/>
    <n v="0"/>
    <x v="68"/>
    <n v="226"/>
    <s v="V (Oct 22)"/>
    <d v="2022-10-19T00:00:00"/>
    <n v="-1"/>
  </r>
  <r>
    <x v="67"/>
    <x v="0"/>
    <n v="0"/>
    <n v="0"/>
    <n v="0"/>
    <n v="0"/>
    <x v="546"/>
    <n v="0"/>
    <n v="0"/>
    <n v="0"/>
    <n v="0"/>
    <x v="69"/>
    <n v="254"/>
    <s v="X (Nov 22)"/>
    <d v="2022-11-16T00:00:00"/>
    <n v="-1"/>
  </r>
  <r>
    <x v="68"/>
    <x v="2"/>
    <n v="0"/>
    <n v="0"/>
    <n v="0"/>
    <n v="0"/>
    <x v="547"/>
    <n v="0"/>
    <n v="0"/>
    <n v="0"/>
    <n v="0"/>
    <x v="52"/>
    <n v="138"/>
    <s v="N (Jul 22)"/>
    <d v="2022-07-20T00:00:00"/>
    <n v="-1"/>
  </r>
  <r>
    <x v="68"/>
    <x v="9"/>
    <n v="0"/>
    <n v="0"/>
    <n v="0"/>
    <n v="0"/>
    <x v="548"/>
    <n v="0"/>
    <n v="0"/>
    <n v="0"/>
    <n v="0"/>
    <x v="60"/>
    <n v="75"/>
    <s v="K (May 22)"/>
    <d v="2022-05-18T00:00:00"/>
    <n v="-1"/>
  </r>
  <r>
    <x v="68"/>
    <x v="11"/>
    <n v="0"/>
    <n v="0"/>
    <n v="0"/>
    <n v="0"/>
    <x v="549"/>
    <n v="0"/>
    <n v="0"/>
    <n v="0"/>
    <n v="0"/>
    <x v="44"/>
    <n v="11"/>
    <s v="H (Mar 22)"/>
    <d v="2022-03-15T00:00:00"/>
    <n v="-1"/>
  </r>
  <r>
    <x v="68"/>
    <x v="5"/>
    <n v="0"/>
    <n v="0"/>
    <n v="0"/>
    <n v="0"/>
    <x v="516"/>
    <n v="0"/>
    <n v="0"/>
    <n v="0"/>
    <n v="0"/>
    <x v="74"/>
    <n v="229"/>
    <s v="V (Oct 22)"/>
    <d v="2022-10-19T00:00:00"/>
    <n v="-1"/>
  </r>
  <r>
    <x v="68"/>
    <x v="0"/>
    <n v="0"/>
    <n v="0"/>
    <n v="0"/>
    <n v="0"/>
    <x v="550"/>
    <n v="0"/>
    <n v="0"/>
    <n v="0"/>
    <n v="0"/>
    <x v="75"/>
    <n v="257"/>
    <s v="X (Nov 22)"/>
    <d v="2022-11-16T00:00:00"/>
    <n v="-1"/>
  </r>
  <r>
    <x v="68"/>
    <x v="10"/>
    <n v="0"/>
    <n v="0"/>
    <n v="0"/>
    <n v="0"/>
    <x v="551"/>
    <n v="0"/>
    <n v="0"/>
    <n v="0"/>
    <n v="0"/>
    <x v="55"/>
    <n v="47"/>
    <s v="J (Apr 22)"/>
    <d v="2022-04-20T00:00:00"/>
    <n v="-1"/>
  </r>
  <r>
    <x v="68"/>
    <x v="6"/>
    <n v="0"/>
    <n v="0"/>
    <n v="0"/>
    <n v="0"/>
    <x v="552"/>
    <n v="0"/>
    <n v="0"/>
    <n v="0"/>
    <n v="0"/>
    <x v="53"/>
    <n v="166"/>
    <s v="Q (Aug 22)"/>
    <d v="2022-08-17T00:00:00"/>
    <n v="-1"/>
  </r>
  <r>
    <x v="68"/>
    <x v="7"/>
    <n v="0"/>
    <n v="0"/>
    <n v="0"/>
    <n v="0"/>
    <x v="553"/>
    <n v="0"/>
    <n v="0"/>
    <n v="0"/>
    <n v="0"/>
    <x v="48"/>
    <n v="201"/>
    <s v="U (Sep 22)"/>
    <d v="2022-09-21T00:00:00"/>
    <n v="-1"/>
  </r>
  <r>
    <x v="68"/>
    <x v="8"/>
    <n v="0"/>
    <n v="0"/>
    <n v="0"/>
    <n v="0"/>
    <x v="554"/>
    <n v="0"/>
    <n v="0"/>
    <n v="0"/>
    <n v="0"/>
    <x v="10"/>
    <n v="103"/>
    <s v="M (Jun 22)"/>
    <d v="2022-06-15T00:00:00"/>
    <n v="-1"/>
  </r>
  <r>
    <x v="69"/>
    <x v="10"/>
    <n v="0"/>
    <n v="0"/>
    <n v="0"/>
    <n v="0"/>
    <x v="555"/>
    <n v="0"/>
    <n v="0"/>
    <n v="0"/>
    <n v="0"/>
    <x v="67"/>
    <n v="48"/>
    <s v="J (Apr 22)"/>
    <d v="2022-04-20T00:00:00"/>
    <n v="-1"/>
  </r>
  <r>
    <x v="69"/>
    <x v="6"/>
    <n v="0"/>
    <n v="0"/>
    <n v="0"/>
    <n v="0"/>
    <x v="556"/>
    <n v="0"/>
    <n v="0"/>
    <n v="0"/>
    <n v="0"/>
    <x v="59"/>
    <n v="167"/>
    <s v="Q (Aug 22)"/>
    <d v="2022-08-17T00:00:00"/>
    <n v="-1"/>
  </r>
  <r>
    <x v="69"/>
    <x v="7"/>
    <n v="0"/>
    <n v="0"/>
    <n v="0"/>
    <n v="0"/>
    <x v="557"/>
    <n v="0"/>
    <n v="0"/>
    <n v="0"/>
    <n v="0"/>
    <x v="54"/>
    <n v="202"/>
    <s v="U (Sep 22)"/>
    <d v="2022-09-21T00:00:00"/>
    <n v="-1"/>
  </r>
  <r>
    <x v="69"/>
    <x v="8"/>
    <n v="0"/>
    <n v="0"/>
    <n v="0"/>
    <n v="0"/>
    <x v="558"/>
    <n v="0"/>
    <n v="0"/>
    <n v="0"/>
    <n v="0"/>
    <x v="25"/>
    <n v="104"/>
    <s v="M (Jun 22)"/>
    <d v="2022-06-15T00:00:00"/>
    <n v="-1"/>
  </r>
  <r>
    <x v="69"/>
    <x v="2"/>
    <n v="0"/>
    <n v="0"/>
    <n v="0"/>
    <n v="0"/>
    <x v="559"/>
    <n v="0"/>
    <n v="0"/>
    <n v="0"/>
    <n v="0"/>
    <x v="58"/>
    <n v="139"/>
    <s v="N (Jul 22)"/>
    <d v="2022-07-20T00:00:00"/>
    <n v="-1"/>
  </r>
  <r>
    <x v="69"/>
    <x v="9"/>
    <n v="0"/>
    <n v="0"/>
    <n v="0"/>
    <n v="0"/>
    <x v="560"/>
    <n v="0"/>
    <n v="0"/>
    <n v="0"/>
    <n v="0"/>
    <x v="63"/>
    <n v="76"/>
    <s v="K (May 22)"/>
    <d v="2022-05-18T00:00:00"/>
    <n v="-1"/>
  </r>
  <r>
    <x v="69"/>
    <x v="11"/>
    <n v="0"/>
    <n v="0"/>
    <n v="0"/>
    <n v="0"/>
    <x v="561"/>
    <n v="0"/>
    <n v="0"/>
    <n v="0"/>
    <n v="0"/>
    <x v="47"/>
    <n v="12"/>
    <s v="H (Mar 22)"/>
    <d v="2022-03-15T00:00:00"/>
    <n v="-1"/>
  </r>
  <r>
    <x v="69"/>
    <x v="5"/>
    <n v="0"/>
    <n v="0"/>
    <n v="0"/>
    <n v="0"/>
    <x v="252"/>
    <n v="0"/>
    <n v="0"/>
    <n v="0"/>
    <n v="0"/>
    <x v="86"/>
    <n v="230"/>
    <s v="V (Oct 22)"/>
    <d v="2022-10-19T00:00:00"/>
    <n v="-1"/>
  </r>
  <r>
    <x v="69"/>
    <x v="0"/>
    <n v="0"/>
    <n v="0"/>
    <n v="0"/>
    <n v="0"/>
    <x v="562"/>
    <n v="0"/>
    <n v="0"/>
    <n v="0"/>
    <n v="0"/>
    <x v="87"/>
    <n v="258"/>
    <s v="X (Nov 22)"/>
    <d v="2022-11-16T00:00:00"/>
    <n v="-1"/>
  </r>
  <r>
    <x v="70"/>
    <x v="2"/>
    <n v="0"/>
    <n v="0"/>
    <n v="0"/>
    <n v="0"/>
    <x v="563"/>
    <n v="0"/>
    <n v="0"/>
    <n v="0"/>
    <n v="0"/>
    <x v="70"/>
    <n v="140"/>
    <s v="N (Jul 22)"/>
    <d v="2022-07-20T00:00:00"/>
    <n v="-1"/>
  </r>
  <r>
    <x v="70"/>
    <x v="9"/>
    <n v="0"/>
    <n v="0"/>
    <n v="0"/>
    <n v="0"/>
    <x v="564"/>
    <n v="0"/>
    <n v="0"/>
    <n v="0"/>
    <n v="0"/>
    <x v="78"/>
    <n v="77"/>
    <s v="K (May 22)"/>
    <d v="2022-05-18T00:00:00"/>
    <n v="-1"/>
  </r>
  <r>
    <x v="70"/>
    <x v="11"/>
    <n v="0"/>
    <n v="0"/>
    <n v="0"/>
    <n v="0"/>
    <x v="565"/>
    <n v="0"/>
    <n v="0"/>
    <n v="0"/>
    <n v="0"/>
    <x v="62"/>
    <n v="13"/>
    <s v="H (Mar 22)"/>
    <d v="2022-03-15T00:00:00"/>
    <n v="-1"/>
  </r>
  <r>
    <x v="70"/>
    <x v="5"/>
    <n v="0"/>
    <n v="0"/>
    <n v="0"/>
    <n v="0"/>
    <x v="329"/>
    <n v="0"/>
    <n v="0"/>
    <n v="0"/>
    <n v="0"/>
    <x v="92"/>
    <n v="231"/>
    <s v="V (Oct 22)"/>
    <d v="2022-10-19T00:00:00"/>
    <n v="-1"/>
  </r>
  <r>
    <x v="70"/>
    <x v="0"/>
    <n v="0"/>
    <n v="0"/>
    <n v="0"/>
    <n v="0"/>
    <x v="218"/>
    <n v="0"/>
    <n v="0"/>
    <n v="0"/>
    <n v="0"/>
    <x v="93"/>
    <n v="259"/>
    <s v="X (Nov 22)"/>
    <d v="2022-11-16T00:00:00"/>
    <n v="-1"/>
  </r>
  <r>
    <x v="70"/>
    <x v="10"/>
    <n v="0"/>
    <n v="0"/>
    <n v="0"/>
    <n v="0"/>
    <x v="566"/>
    <n v="0"/>
    <n v="0"/>
    <n v="0"/>
    <n v="0"/>
    <x v="73"/>
    <n v="49"/>
    <s v="J (Apr 22)"/>
    <d v="2022-04-20T00:00:00"/>
    <n v="-1"/>
  </r>
  <r>
    <x v="70"/>
    <x v="6"/>
    <n v="0"/>
    <n v="0"/>
    <n v="0"/>
    <n v="0"/>
    <x v="567"/>
    <n v="0"/>
    <n v="0"/>
    <n v="0"/>
    <n v="0"/>
    <x v="71"/>
    <n v="168"/>
    <s v="Q (Aug 22)"/>
    <d v="2022-08-17T00:00:00"/>
    <n v="-1"/>
  </r>
  <r>
    <x v="70"/>
    <x v="7"/>
    <n v="0"/>
    <n v="0"/>
    <n v="0"/>
    <n v="0"/>
    <x v="568"/>
    <n v="0"/>
    <n v="0"/>
    <n v="0"/>
    <n v="0"/>
    <x v="66"/>
    <n v="203"/>
    <s v="U (Sep 22)"/>
    <d v="2022-09-21T00:00:00"/>
    <n v="-1"/>
  </r>
  <r>
    <x v="70"/>
    <x v="8"/>
    <n v="0"/>
    <n v="0"/>
    <n v="0"/>
    <n v="0"/>
    <x v="569"/>
    <n v="0"/>
    <n v="0"/>
    <n v="0"/>
    <n v="0"/>
    <x v="28"/>
    <n v="105"/>
    <s v="M (Jun 22)"/>
    <d v="2022-06-15T00:00:00"/>
    <n v="-1"/>
  </r>
  <r>
    <x v="71"/>
    <x v="10"/>
    <n v="0"/>
    <n v="0"/>
    <n v="0"/>
    <n v="0"/>
    <x v="570"/>
    <n v="0"/>
    <n v="0"/>
    <n v="0"/>
    <n v="0"/>
    <x v="85"/>
    <n v="50"/>
    <s v="J (Apr 22)"/>
    <d v="2022-04-20T00:00:00"/>
    <n v="-1"/>
  </r>
  <r>
    <x v="71"/>
    <x v="6"/>
    <n v="0"/>
    <n v="0"/>
    <n v="0"/>
    <n v="0"/>
    <x v="571"/>
    <n v="0"/>
    <n v="0"/>
    <n v="0"/>
    <n v="0"/>
    <x v="77"/>
    <n v="169"/>
    <s v="Q (Aug 22)"/>
    <d v="2022-08-17T00:00:00"/>
    <n v="-1"/>
  </r>
  <r>
    <x v="71"/>
    <x v="7"/>
    <n v="0"/>
    <n v="0"/>
    <n v="0"/>
    <n v="0"/>
    <x v="19"/>
    <n v="0"/>
    <n v="0"/>
    <n v="0"/>
    <n v="0"/>
    <x v="72"/>
    <n v="204"/>
    <s v="U (Sep 22)"/>
    <d v="2022-09-21T00:00:00"/>
    <n v="-1"/>
  </r>
  <r>
    <x v="71"/>
    <x v="8"/>
    <n v="0"/>
    <n v="0"/>
    <n v="0"/>
    <n v="0"/>
    <x v="572"/>
    <n v="0"/>
    <n v="0"/>
    <n v="0"/>
    <n v="0"/>
    <x v="43"/>
    <n v="106"/>
    <s v="M (Jun 22)"/>
    <d v="2022-06-15T00:00:00"/>
    <n v="-1"/>
  </r>
  <r>
    <x v="71"/>
    <x v="2"/>
    <n v="0"/>
    <n v="0"/>
    <n v="0"/>
    <n v="0"/>
    <x v="573"/>
    <n v="0"/>
    <n v="0"/>
    <n v="0"/>
    <n v="0"/>
    <x v="76"/>
    <n v="141"/>
    <s v="N (Jul 22)"/>
    <d v="2022-07-20T00:00:00"/>
    <n v="-1"/>
  </r>
  <r>
    <x v="71"/>
    <x v="9"/>
    <n v="0"/>
    <n v="0"/>
    <n v="0"/>
    <n v="0"/>
    <x v="574"/>
    <n v="0"/>
    <n v="0"/>
    <n v="0"/>
    <n v="0"/>
    <x v="81"/>
    <n v="78"/>
    <s v="K (May 22)"/>
    <d v="2022-05-18T00:00:00"/>
    <n v="-1"/>
  </r>
  <r>
    <x v="71"/>
    <x v="11"/>
    <n v="0"/>
    <n v="0"/>
    <n v="0"/>
    <n v="0"/>
    <x v="575"/>
    <n v="0"/>
    <n v="0"/>
    <n v="0"/>
    <n v="0"/>
    <x v="65"/>
    <n v="14"/>
    <s v="H (Mar 22)"/>
    <d v="2022-03-15T00:00:00"/>
    <n v="-1"/>
  </r>
  <r>
    <x v="71"/>
    <x v="5"/>
    <n v="0"/>
    <n v="0"/>
    <n v="0"/>
    <n v="0"/>
    <x v="341"/>
    <n v="0"/>
    <n v="0"/>
    <n v="0"/>
    <n v="0"/>
    <x v="104"/>
    <n v="232"/>
    <s v="V (Oct 22)"/>
    <d v="2022-10-19T00:00:00"/>
    <n v="-1"/>
  </r>
  <r>
    <x v="71"/>
    <x v="0"/>
    <n v="0"/>
    <n v="0"/>
    <n v="0"/>
    <n v="0"/>
    <x v="280"/>
    <n v="0"/>
    <n v="0"/>
    <n v="0"/>
    <n v="0"/>
    <x v="105"/>
    <n v="260"/>
    <s v="X (Nov 22)"/>
    <d v="2022-11-16T00:00:00"/>
    <n v="-1"/>
  </r>
  <r>
    <x v="72"/>
    <x v="2"/>
    <n v="0"/>
    <n v="0"/>
    <n v="0"/>
    <n v="0"/>
    <x v="576"/>
    <n v="0"/>
    <n v="0"/>
    <n v="0"/>
    <n v="0"/>
    <x v="88"/>
    <n v="142"/>
    <s v="N (Jul 22)"/>
    <d v="2022-07-20T00:00:00"/>
    <n v="-1"/>
  </r>
  <r>
    <x v="72"/>
    <x v="9"/>
    <n v="0"/>
    <n v="0"/>
    <n v="0"/>
    <n v="0"/>
    <x v="577"/>
    <n v="0"/>
    <n v="0"/>
    <n v="0"/>
    <n v="0"/>
    <x v="96"/>
    <n v="79"/>
    <s v="K (May 22)"/>
    <d v="2022-05-18T00:00:00"/>
    <n v="-1"/>
  </r>
  <r>
    <x v="72"/>
    <x v="11"/>
    <n v="0"/>
    <n v="0"/>
    <n v="0"/>
    <n v="0"/>
    <x v="578"/>
    <n v="0"/>
    <n v="0"/>
    <n v="0"/>
    <n v="0"/>
    <x v="80"/>
    <n v="15"/>
    <s v="H (Mar 22)"/>
    <d v="2022-03-15T00:00:00"/>
    <n v="-1"/>
  </r>
  <r>
    <x v="72"/>
    <x v="5"/>
    <n v="0"/>
    <n v="0"/>
    <n v="0"/>
    <n v="0"/>
    <x v="579"/>
    <n v="0"/>
    <n v="0"/>
    <n v="0"/>
    <n v="0"/>
    <x v="110"/>
    <n v="233"/>
    <s v="V (Oct 22)"/>
    <d v="2022-10-19T00:00:00"/>
    <n v="-1"/>
  </r>
  <r>
    <x v="72"/>
    <x v="0"/>
    <n v="0"/>
    <n v="0"/>
    <n v="0"/>
    <n v="0"/>
    <x v="580"/>
    <n v="0"/>
    <n v="0"/>
    <n v="0"/>
    <n v="0"/>
    <x v="111"/>
    <n v="261"/>
    <s v="X (Nov 22)"/>
    <d v="2022-11-16T00:00:00"/>
    <n v="-1"/>
  </r>
  <r>
    <x v="72"/>
    <x v="10"/>
    <n v="0"/>
    <n v="0"/>
    <n v="0"/>
    <n v="0"/>
    <x v="581"/>
    <n v="0"/>
    <n v="0"/>
    <n v="0"/>
    <n v="0"/>
    <x v="91"/>
    <n v="51"/>
    <s v="J (Apr 22)"/>
    <d v="2022-04-20T00:00:00"/>
    <n v="-1"/>
  </r>
  <r>
    <x v="72"/>
    <x v="6"/>
    <n v="0"/>
    <n v="0"/>
    <n v="0"/>
    <n v="0"/>
    <x v="582"/>
    <n v="0"/>
    <n v="0"/>
    <n v="0"/>
    <n v="0"/>
    <x v="89"/>
    <n v="170"/>
    <s v="Q (Aug 22)"/>
    <d v="2022-08-17T00:00:00"/>
    <n v="-1"/>
  </r>
  <r>
    <x v="72"/>
    <x v="7"/>
    <n v="0"/>
    <n v="0"/>
    <n v="0"/>
    <n v="0"/>
    <x v="583"/>
    <n v="0"/>
    <n v="0"/>
    <n v="0"/>
    <n v="0"/>
    <x v="84"/>
    <n v="205"/>
    <s v="U (Sep 22)"/>
    <d v="2022-09-21T00:00:00"/>
    <n v="-1"/>
  </r>
  <r>
    <x v="72"/>
    <x v="8"/>
    <n v="0"/>
    <n v="0"/>
    <n v="0"/>
    <n v="0"/>
    <x v="584"/>
    <n v="0"/>
    <n v="0"/>
    <n v="0"/>
    <n v="0"/>
    <x v="46"/>
    <n v="107"/>
    <s v="M (Jun 22)"/>
    <d v="2022-06-15T00:00:00"/>
    <n v="-1"/>
  </r>
  <r>
    <x v="73"/>
    <x v="10"/>
    <n v="0"/>
    <n v="0"/>
    <n v="0"/>
    <n v="0"/>
    <x v="585"/>
    <n v="0"/>
    <n v="0"/>
    <n v="0"/>
    <n v="0"/>
    <x v="91"/>
    <n v="52"/>
    <s v="J (Apr 22)"/>
    <d v="2022-04-20T00:00:00"/>
    <n v="-1"/>
  </r>
  <r>
    <x v="73"/>
    <x v="6"/>
    <n v="0"/>
    <n v="0"/>
    <n v="0"/>
    <n v="0"/>
    <x v="586"/>
    <n v="0"/>
    <n v="0"/>
    <n v="0"/>
    <n v="0"/>
    <x v="89"/>
    <n v="171"/>
    <s v="Q (Aug 22)"/>
    <d v="2022-08-17T00:00:00"/>
    <n v="-1"/>
  </r>
  <r>
    <x v="73"/>
    <x v="7"/>
    <n v="0"/>
    <n v="0"/>
    <n v="0"/>
    <n v="0"/>
    <x v="410"/>
    <n v="0"/>
    <n v="0"/>
    <n v="0"/>
    <n v="0"/>
    <x v="84"/>
    <n v="206"/>
    <s v="U (Sep 22)"/>
    <d v="2022-09-21T00:00:00"/>
    <n v="-1"/>
  </r>
  <r>
    <x v="73"/>
    <x v="8"/>
    <n v="0"/>
    <n v="0"/>
    <n v="0"/>
    <n v="0"/>
    <x v="587"/>
    <n v="0"/>
    <n v="0"/>
    <n v="0"/>
    <n v="0"/>
    <x v="46"/>
    <n v="108"/>
    <s v="M (Jun 22)"/>
    <d v="2022-06-15T00:00:00"/>
    <n v="-1"/>
  </r>
  <r>
    <x v="73"/>
    <x v="2"/>
    <n v="0"/>
    <n v="0"/>
    <n v="0"/>
    <n v="0"/>
    <x v="588"/>
    <n v="0"/>
    <n v="0"/>
    <n v="0"/>
    <n v="0"/>
    <x v="88"/>
    <n v="143"/>
    <s v="N (Jul 22)"/>
    <d v="2022-07-20T00:00:00"/>
    <n v="-1"/>
  </r>
  <r>
    <x v="73"/>
    <x v="9"/>
    <n v="0"/>
    <n v="0"/>
    <n v="0"/>
    <n v="0"/>
    <x v="318"/>
    <n v="0"/>
    <n v="0"/>
    <n v="0"/>
    <n v="0"/>
    <x v="96"/>
    <n v="80"/>
    <s v="K (May 22)"/>
    <d v="2022-05-18T00:00:00"/>
    <n v="-1"/>
  </r>
  <r>
    <x v="73"/>
    <x v="11"/>
    <n v="0"/>
    <n v="0"/>
    <n v="0"/>
    <n v="0"/>
    <x v="589"/>
    <n v="0"/>
    <n v="0"/>
    <n v="0"/>
    <n v="0"/>
    <x v="80"/>
    <n v="16"/>
    <s v="H (Mar 22)"/>
    <d v="2022-03-15T00:00:00"/>
    <n v="-1"/>
  </r>
  <r>
    <x v="73"/>
    <x v="5"/>
    <n v="0"/>
    <n v="0"/>
    <n v="0"/>
    <n v="0"/>
    <x v="218"/>
    <n v="0"/>
    <n v="0"/>
    <n v="0"/>
    <n v="0"/>
    <x v="110"/>
    <n v="234"/>
    <s v="V (Oct 22)"/>
    <d v="2022-10-19T00:00:00"/>
    <n v="-1"/>
  </r>
  <r>
    <x v="73"/>
    <x v="0"/>
    <n v="0"/>
    <n v="0"/>
    <n v="0"/>
    <n v="0"/>
    <x v="332"/>
    <n v="0"/>
    <n v="0"/>
    <n v="0"/>
    <n v="0"/>
    <x v="111"/>
    <n v="262"/>
    <s v="X (Nov 22)"/>
    <d v="2022-11-16T00:00:00"/>
    <n v="-1"/>
  </r>
  <r>
    <x v="74"/>
    <x v="2"/>
    <n v="0"/>
    <n v="0"/>
    <n v="0"/>
    <n v="0"/>
    <x v="588"/>
    <n v="0"/>
    <n v="0"/>
    <n v="0"/>
    <n v="0"/>
    <x v="94"/>
    <n v="145"/>
    <s v="N (Jul 22)"/>
    <d v="2022-07-20T00:00:00"/>
    <n v="-1"/>
  </r>
  <r>
    <x v="74"/>
    <x v="9"/>
    <n v="0"/>
    <n v="0"/>
    <n v="0"/>
    <n v="0"/>
    <x v="318"/>
    <n v="0"/>
    <n v="0"/>
    <n v="0"/>
    <n v="0"/>
    <x v="99"/>
    <n v="82"/>
    <s v="K (May 22)"/>
    <d v="2022-05-18T00:00:00"/>
    <n v="-1"/>
  </r>
  <r>
    <x v="74"/>
    <x v="11"/>
    <n v="0"/>
    <n v="0"/>
    <n v="0"/>
    <n v="0"/>
    <x v="589"/>
    <n v="0"/>
    <n v="0"/>
    <n v="0"/>
    <n v="0"/>
    <x v="83"/>
    <n v="18"/>
    <s v="H (Mar 22)"/>
    <d v="2022-03-15T00:00:00"/>
    <n v="-1"/>
  </r>
  <r>
    <x v="74"/>
    <x v="5"/>
    <n v="0"/>
    <n v="0"/>
    <n v="0"/>
    <n v="0"/>
    <x v="218"/>
    <n v="0"/>
    <n v="0"/>
    <n v="0"/>
    <n v="0"/>
    <x v="122"/>
    <n v="236"/>
    <s v="V (Oct 22)"/>
    <d v="2022-10-19T00:00:00"/>
    <n v="-1"/>
  </r>
  <r>
    <x v="74"/>
    <x v="0"/>
    <n v="0"/>
    <n v="0"/>
    <n v="0"/>
    <n v="0"/>
    <x v="332"/>
    <n v="0"/>
    <n v="0"/>
    <n v="0"/>
    <n v="0"/>
    <x v="123"/>
    <n v="264"/>
    <s v="X (Nov 22)"/>
    <d v="2022-11-16T00:00:00"/>
    <n v="-1"/>
  </r>
  <r>
    <x v="74"/>
    <x v="6"/>
    <n v="0"/>
    <n v="0"/>
    <n v="0"/>
    <n v="0"/>
    <x v="586"/>
    <n v="0"/>
    <n v="0"/>
    <n v="0"/>
    <n v="0"/>
    <x v="95"/>
    <n v="173"/>
    <s v="Q (Aug 22)"/>
    <d v="2022-08-17T00:00:00"/>
    <n v="-1"/>
  </r>
  <r>
    <x v="74"/>
    <x v="7"/>
    <n v="0"/>
    <n v="0"/>
    <n v="0"/>
    <n v="0"/>
    <x v="410"/>
    <n v="0"/>
    <n v="0"/>
    <n v="0"/>
    <n v="0"/>
    <x v="90"/>
    <n v="208"/>
    <s v="U (Sep 22)"/>
    <d v="2022-09-21T00:00:00"/>
    <n v="-1"/>
  </r>
  <r>
    <x v="74"/>
    <x v="8"/>
    <n v="0"/>
    <n v="0"/>
    <n v="0"/>
    <n v="0"/>
    <x v="587"/>
    <n v="0"/>
    <n v="0"/>
    <n v="0"/>
    <n v="0"/>
    <x v="61"/>
    <n v="110"/>
    <s v="M (Jun 22)"/>
    <d v="2022-06-15T00:00:00"/>
    <n v="-1"/>
  </r>
  <r>
    <x v="74"/>
    <x v="10"/>
    <n v="0"/>
    <n v="0"/>
    <n v="0"/>
    <n v="0"/>
    <x v="585"/>
    <n v="0"/>
    <n v="0"/>
    <n v="0"/>
    <n v="0"/>
    <x v="103"/>
    <n v="54"/>
    <s v="J (Apr 22)"/>
    <d v="2022-04-20T00:00:00"/>
    <n v="-1"/>
  </r>
  <r>
    <x v="75"/>
    <x v="6"/>
    <n v="0"/>
    <n v="0"/>
    <n v="0"/>
    <n v="0"/>
    <x v="590"/>
    <n v="0"/>
    <n v="0"/>
    <n v="0"/>
    <n v="0"/>
    <x v="107"/>
    <n v="174"/>
    <s v="Q (Aug 22)"/>
    <d v="2022-08-17T00:00:00"/>
    <n v="-1"/>
  </r>
  <r>
    <x v="75"/>
    <x v="7"/>
    <n v="0"/>
    <n v="0"/>
    <n v="0"/>
    <n v="0"/>
    <x v="591"/>
    <n v="0"/>
    <n v="0"/>
    <n v="0"/>
    <n v="0"/>
    <x v="102"/>
    <n v="209"/>
    <s v="U (Sep 22)"/>
    <d v="2022-09-21T00:00:00"/>
    <n v="-1"/>
  </r>
  <r>
    <x v="75"/>
    <x v="8"/>
    <n v="0"/>
    <n v="0"/>
    <n v="0"/>
    <n v="0"/>
    <x v="592"/>
    <n v="0"/>
    <n v="0"/>
    <n v="0"/>
    <n v="0"/>
    <x v="64"/>
    <n v="111"/>
    <s v="M (Jun 22)"/>
    <d v="2022-06-15T00:00:00"/>
    <n v="-1"/>
  </r>
  <r>
    <x v="75"/>
    <x v="10"/>
    <n v="0"/>
    <n v="0"/>
    <n v="0"/>
    <n v="0"/>
    <x v="593"/>
    <n v="0"/>
    <n v="0"/>
    <n v="0"/>
    <n v="0"/>
    <x v="109"/>
    <n v="55"/>
    <s v="J (Apr 22)"/>
    <d v="2022-04-20T00:00:00"/>
    <n v="-1"/>
  </r>
  <r>
    <x v="75"/>
    <x v="2"/>
    <n v="0"/>
    <n v="0"/>
    <n v="0"/>
    <n v="0"/>
    <x v="594"/>
    <n v="0"/>
    <n v="0"/>
    <n v="0"/>
    <n v="0"/>
    <x v="106"/>
    <n v="146"/>
    <s v="N (Jul 22)"/>
    <d v="2022-07-20T00:00:00"/>
    <n v="-1"/>
  </r>
  <r>
    <x v="75"/>
    <x v="9"/>
    <n v="0"/>
    <n v="0"/>
    <n v="0"/>
    <n v="0"/>
    <x v="595"/>
    <n v="0"/>
    <n v="0"/>
    <n v="0"/>
    <n v="0"/>
    <x v="114"/>
    <n v="83"/>
    <s v="K (May 22)"/>
    <d v="2022-05-18T00:00:00"/>
    <n v="-1"/>
  </r>
  <r>
    <x v="75"/>
    <x v="11"/>
    <n v="0"/>
    <n v="0"/>
    <n v="0"/>
    <n v="0"/>
    <x v="596"/>
    <n v="0"/>
    <n v="0"/>
    <n v="0"/>
    <n v="0"/>
    <x v="98"/>
    <n v="19"/>
    <s v="H (Mar 22)"/>
    <d v="2022-03-15T00:00:00"/>
    <n v="-1"/>
  </r>
  <r>
    <x v="75"/>
    <x v="5"/>
    <n v="0"/>
    <n v="0"/>
    <n v="0"/>
    <n v="0"/>
    <x v="597"/>
    <n v="0"/>
    <n v="0"/>
    <n v="0"/>
    <n v="0"/>
    <x v="128"/>
    <n v="237"/>
    <s v="V (Oct 22)"/>
    <d v="2022-10-19T00:00:00"/>
    <n v="-1"/>
  </r>
  <r>
    <x v="75"/>
    <x v="0"/>
    <n v="0"/>
    <n v="0"/>
    <n v="0"/>
    <n v="0"/>
    <x v="598"/>
    <n v="0"/>
    <n v="0"/>
    <n v="0"/>
    <n v="0"/>
    <x v="186"/>
    <n v="265"/>
    <s v="X (Nov 22)"/>
    <d v="2022-11-16T00:00:00"/>
    <n v="-1"/>
  </r>
  <r>
    <x v="76"/>
    <x v="2"/>
    <n v="0"/>
    <n v="0"/>
    <n v="0"/>
    <n v="0"/>
    <x v="599"/>
    <n v="0"/>
    <n v="0"/>
    <n v="0"/>
    <n v="0"/>
    <x v="112"/>
    <n v="147"/>
    <s v="N (Jul 22)"/>
    <d v="2022-07-20T00:00:00"/>
    <n v="-1"/>
  </r>
  <r>
    <x v="76"/>
    <x v="9"/>
    <n v="0"/>
    <n v="0"/>
    <n v="0"/>
    <n v="0"/>
    <x v="600"/>
    <n v="0"/>
    <n v="0"/>
    <n v="0"/>
    <n v="0"/>
    <x v="117"/>
    <n v="84"/>
    <s v="K (May 22)"/>
    <d v="2022-05-18T00:00:00"/>
    <n v="-1"/>
  </r>
  <r>
    <x v="76"/>
    <x v="11"/>
    <n v="0"/>
    <n v="0"/>
    <n v="0"/>
    <n v="0"/>
    <x v="601"/>
    <n v="0"/>
    <n v="0"/>
    <n v="0"/>
    <n v="0"/>
    <x v="101"/>
    <n v="20"/>
    <s v="H (Mar 22)"/>
    <d v="2022-03-15T00:00:00"/>
    <n v="-1"/>
  </r>
  <r>
    <x v="76"/>
    <x v="5"/>
    <n v="0"/>
    <n v="0"/>
    <n v="0"/>
    <n v="0"/>
    <x v="250"/>
    <n v="0"/>
    <n v="0"/>
    <n v="0"/>
    <n v="0"/>
    <x v="139"/>
    <n v="238"/>
    <s v="V (Oct 22)"/>
    <d v="2022-10-19T00:00:00"/>
    <n v="-1"/>
  </r>
  <r>
    <x v="76"/>
    <x v="0"/>
    <n v="0"/>
    <n v="0"/>
    <n v="0"/>
    <n v="0"/>
    <x v="550"/>
    <n v="0"/>
    <n v="0"/>
    <n v="0"/>
    <n v="0"/>
    <x v="187"/>
    <n v="266"/>
    <s v="X (Nov 22)"/>
    <d v="2022-11-16T00:00:00"/>
    <n v="-1"/>
  </r>
  <r>
    <x v="76"/>
    <x v="6"/>
    <n v="0"/>
    <n v="0"/>
    <n v="0"/>
    <n v="0"/>
    <x v="602"/>
    <n v="0"/>
    <n v="0"/>
    <n v="0"/>
    <n v="0"/>
    <x v="113"/>
    <n v="175"/>
    <s v="Q (Aug 22)"/>
    <d v="2022-08-17T00:00:00"/>
    <n v="-1"/>
  </r>
  <r>
    <x v="76"/>
    <x v="7"/>
    <n v="0"/>
    <n v="0"/>
    <n v="0"/>
    <n v="0"/>
    <x v="603"/>
    <n v="0"/>
    <n v="0"/>
    <n v="0"/>
    <n v="0"/>
    <x v="108"/>
    <n v="210"/>
    <s v="U (Sep 22)"/>
    <d v="2022-09-21T00:00:00"/>
    <n v="-1"/>
  </r>
  <r>
    <x v="76"/>
    <x v="8"/>
    <n v="0"/>
    <n v="0"/>
    <n v="0"/>
    <n v="0"/>
    <x v="604"/>
    <n v="0"/>
    <n v="0"/>
    <n v="0"/>
    <n v="0"/>
    <x v="79"/>
    <n v="112"/>
    <s v="M (Jun 22)"/>
    <d v="2022-06-15T00:00:00"/>
    <n v="-1"/>
  </r>
  <r>
    <x v="76"/>
    <x v="10"/>
    <n v="0"/>
    <n v="0"/>
    <n v="0"/>
    <n v="0"/>
    <x v="605"/>
    <n v="0"/>
    <n v="0"/>
    <n v="0"/>
    <n v="0"/>
    <x v="121"/>
    <n v="56"/>
    <s v="J (Apr 22)"/>
    <d v="2022-04-20T00:00:00"/>
    <n v="-1"/>
  </r>
  <r>
    <x v="77"/>
    <x v="6"/>
    <n v="0"/>
    <n v="0"/>
    <n v="0"/>
    <n v="0"/>
    <x v="598"/>
    <n v="0"/>
    <n v="0"/>
    <n v="0"/>
    <n v="0"/>
    <x v="125"/>
    <n v="176"/>
    <s v="Q (Aug 22)"/>
    <d v="2022-08-17T00:00:00"/>
    <n v="-1"/>
  </r>
  <r>
    <x v="77"/>
    <x v="7"/>
    <n v="0"/>
    <n v="0"/>
    <n v="0"/>
    <n v="0"/>
    <x v="606"/>
    <n v="0"/>
    <n v="0"/>
    <n v="0"/>
    <n v="0"/>
    <x v="120"/>
    <n v="211"/>
    <s v="U (Sep 22)"/>
    <d v="2022-09-21T00:00:00"/>
    <n v="-1"/>
  </r>
  <r>
    <x v="77"/>
    <x v="8"/>
    <n v="0"/>
    <n v="0"/>
    <n v="0"/>
    <n v="0"/>
    <x v="607"/>
    <n v="0"/>
    <n v="0"/>
    <n v="0"/>
    <n v="0"/>
    <x v="82"/>
    <n v="113"/>
    <s v="M (Jun 22)"/>
    <d v="2022-06-15T00:00:00"/>
    <n v="-1"/>
  </r>
  <r>
    <x v="77"/>
    <x v="10"/>
    <n v="0"/>
    <n v="0"/>
    <n v="0"/>
    <n v="0"/>
    <x v="608"/>
    <n v="0"/>
    <n v="0"/>
    <n v="0"/>
    <n v="0"/>
    <x v="127"/>
    <n v="57"/>
    <s v="J (Apr 22)"/>
    <d v="2022-04-20T00:00:00"/>
    <n v="-1"/>
  </r>
  <r>
    <x v="77"/>
    <x v="2"/>
    <n v="0"/>
    <n v="0"/>
    <n v="0"/>
    <n v="0"/>
    <x v="609"/>
    <n v="0"/>
    <n v="0"/>
    <n v="0"/>
    <n v="0"/>
    <x v="124"/>
    <n v="148"/>
    <s v="N (Jul 22)"/>
    <d v="2022-07-20T00:00:00"/>
    <n v="-1"/>
  </r>
  <r>
    <x v="77"/>
    <x v="9"/>
    <n v="0"/>
    <n v="0"/>
    <n v="0"/>
    <n v="0"/>
    <x v="610"/>
    <n v="0"/>
    <n v="0"/>
    <n v="0"/>
    <n v="0"/>
    <x v="131"/>
    <n v="85"/>
    <s v="K (May 22)"/>
    <d v="2022-05-18T00:00:00"/>
    <n v="-1"/>
  </r>
  <r>
    <x v="77"/>
    <x v="11"/>
    <n v="0"/>
    <n v="0"/>
    <n v="0"/>
    <n v="0"/>
    <x v="611"/>
    <n v="0"/>
    <n v="0"/>
    <n v="0"/>
    <n v="0"/>
    <x v="116"/>
    <n v="21"/>
    <s v="H (Mar 22)"/>
    <d v="2022-03-15T00:00:00"/>
    <n v="-1"/>
  </r>
  <r>
    <x v="77"/>
    <x v="5"/>
    <n v="0"/>
    <n v="0"/>
    <n v="0"/>
    <n v="0"/>
    <x v="400"/>
    <n v="0"/>
    <n v="0"/>
    <n v="0"/>
    <n v="0"/>
    <x v="144"/>
    <n v="239"/>
    <s v="V (Oct 22)"/>
    <d v="2022-10-19T00:00:00"/>
    <n v="-1"/>
  </r>
  <r>
    <x v="77"/>
    <x v="0"/>
    <n v="0"/>
    <n v="0"/>
    <n v="0"/>
    <n v="0"/>
    <x v="332"/>
    <n v="0"/>
    <n v="0"/>
    <n v="0"/>
    <n v="0"/>
    <x v="188"/>
    <n v="267"/>
    <s v="X (Nov 22)"/>
    <d v="2022-11-16T00:00:00"/>
    <n v="-1"/>
  </r>
  <r>
    <x v="78"/>
    <x v="2"/>
    <n v="0"/>
    <n v="0"/>
    <n v="0"/>
    <n v="0"/>
    <x v="612"/>
    <n v="0"/>
    <n v="0"/>
    <n v="0"/>
    <n v="0"/>
    <x v="129"/>
    <n v="152"/>
    <s v="N (Jul 22)"/>
    <d v="2022-07-20T00:00:00"/>
    <n v="-1"/>
  </r>
  <r>
    <x v="78"/>
    <x v="9"/>
    <n v="0"/>
    <n v="0"/>
    <n v="0"/>
    <n v="0"/>
    <x v="613"/>
    <n v="0"/>
    <n v="0"/>
    <n v="0"/>
    <n v="0"/>
    <x v="134"/>
    <n v="89"/>
    <s v="K (May 22)"/>
    <d v="2022-05-18T00:00:00"/>
    <n v="-1"/>
  </r>
  <r>
    <x v="78"/>
    <x v="11"/>
    <n v="0"/>
    <n v="0"/>
    <n v="0"/>
    <n v="0"/>
    <x v="614"/>
    <n v="0"/>
    <n v="0"/>
    <n v="0"/>
    <n v="0"/>
    <x v="119"/>
    <n v="25"/>
    <s v="H (Mar 22)"/>
    <d v="2022-03-15T00:00:00"/>
    <n v="-1"/>
  </r>
  <r>
    <x v="78"/>
    <x v="5"/>
    <n v="0"/>
    <n v="0"/>
    <n v="0"/>
    <n v="0"/>
    <x v="597"/>
    <n v="0"/>
    <n v="0"/>
    <n v="0"/>
    <n v="0"/>
    <x v="155"/>
    <n v="243"/>
    <s v="V (Oct 22)"/>
    <d v="2022-10-19T00:00:00"/>
    <n v="-1"/>
  </r>
  <r>
    <x v="78"/>
    <x v="6"/>
    <n v="0"/>
    <n v="0"/>
    <n v="0"/>
    <n v="0"/>
    <x v="615"/>
    <n v="0"/>
    <n v="0"/>
    <n v="0"/>
    <n v="0"/>
    <x v="130"/>
    <n v="180"/>
    <s v="Q (Aug 22)"/>
    <d v="2022-08-17T00:00:00"/>
    <n v="-1"/>
  </r>
  <r>
    <x v="78"/>
    <x v="7"/>
    <n v="0"/>
    <n v="0"/>
    <n v="0"/>
    <n v="0"/>
    <x v="616"/>
    <n v="0"/>
    <n v="0"/>
    <n v="0"/>
    <n v="0"/>
    <x v="126"/>
    <n v="215"/>
    <s v="U (Sep 22)"/>
    <d v="2022-09-21T00:00:00"/>
    <n v="-1"/>
  </r>
  <r>
    <x v="78"/>
    <x v="8"/>
    <n v="0"/>
    <n v="0"/>
    <n v="0"/>
    <n v="0"/>
    <x v="617"/>
    <n v="0"/>
    <n v="0"/>
    <n v="0"/>
    <n v="0"/>
    <x v="97"/>
    <n v="117"/>
    <s v="M (Jun 22)"/>
    <d v="2022-06-15T00:00:00"/>
    <n v="-1"/>
  </r>
  <r>
    <x v="78"/>
    <x v="10"/>
    <n v="0"/>
    <n v="0"/>
    <n v="0"/>
    <n v="0"/>
    <x v="618"/>
    <n v="0"/>
    <n v="0"/>
    <n v="0"/>
    <n v="0"/>
    <x v="138"/>
    <n v="61"/>
    <s v="J (Apr 22)"/>
    <d v="2022-04-20T00:00:00"/>
    <n v="-1"/>
  </r>
  <r>
    <x v="79"/>
    <x v="12"/>
    <n v="0"/>
    <n v="0"/>
    <n v="0"/>
    <n v="0"/>
    <x v="619"/>
    <n v="0"/>
    <n v="0"/>
    <n v="0"/>
    <n v="0"/>
    <x v="194"/>
    <n v="-1"/>
    <s v="G (Feb 22)"/>
    <d v="2022-02-16T00:00:00"/>
    <n v="-1"/>
  </r>
  <r>
    <x v="80"/>
    <x v="12"/>
    <n v="0"/>
    <n v="0"/>
    <n v="0"/>
    <n v="0"/>
    <x v="619"/>
    <n v="0"/>
    <n v="0"/>
    <n v="0"/>
    <n v="0"/>
    <x v="145"/>
    <n v="0"/>
    <s v="G (Feb 22)"/>
    <d v="2022-02-16T00:00:00"/>
    <n v="-1"/>
  </r>
  <r>
    <x v="81"/>
    <x v="6"/>
    <n v="0"/>
    <n v="0"/>
    <n v="0"/>
    <n v="0"/>
    <x v="620"/>
    <n v="0"/>
    <n v="0"/>
    <n v="0"/>
    <n v="0"/>
    <x v="158"/>
    <n v="183"/>
    <s v="Q (Aug 22)"/>
    <d v="2022-08-17T00:00:00"/>
    <n v="-1"/>
  </r>
  <r>
    <x v="81"/>
    <x v="12"/>
    <n v="0"/>
    <n v="0"/>
    <n v="0"/>
    <n v="0"/>
    <x v="621"/>
    <n v="0"/>
    <n v="0"/>
    <n v="0"/>
    <n v="0"/>
    <x v="156"/>
    <n v="1"/>
    <s v="G (Feb 22)"/>
    <d v="2022-02-16T00:00:00"/>
    <n v="-1"/>
  </r>
  <r>
    <x v="81"/>
    <x v="7"/>
    <n v="0"/>
    <n v="0"/>
    <n v="0"/>
    <n v="0"/>
    <x v="622"/>
    <n v="0"/>
    <n v="0"/>
    <n v="0"/>
    <n v="0"/>
    <x v="3"/>
    <n v="218"/>
    <s v="U (Sep 22)"/>
    <d v="2022-09-21T00:00:00"/>
    <n v="-1"/>
  </r>
  <r>
    <x v="81"/>
    <x v="8"/>
    <n v="0"/>
    <n v="0"/>
    <n v="0"/>
    <n v="0"/>
    <x v="623"/>
    <n v="0"/>
    <n v="0"/>
    <n v="0"/>
    <n v="0"/>
    <x v="118"/>
    <n v="120"/>
    <s v="M (Jun 22)"/>
    <d v="2022-06-15T00:00:00"/>
    <n v="-1"/>
  </r>
  <r>
    <x v="81"/>
    <x v="10"/>
    <n v="0"/>
    <n v="0"/>
    <n v="0"/>
    <n v="0"/>
    <x v="624"/>
    <n v="0"/>
    <n v="0"/>
    <n v="0"/>
    <n v="0"/>
    <x v="159"/>
    <n v="64"/>
    <s v="J (Apr 22)"/>
    <d v="2022-04-20T00:00:00"/>
    <n v="-1"/>
  </r>
  <r>
    <x v="81"/>
    <x v="2"/>
    <n v="0"/>
    <n v="0"/>
    <n v="0"/>
    <n v="0"/>
    <x v="625"/>
    <n v="0"/>
    <n v="0"/>
    <n v="0"/>
    <n v="0"/>
    <x v="157"/>
    <n v="155"/>
    <s v="N (Jul 22)"/>
    <d v="2022-07-20T00:00:00"/>
    <n v="-1"/>
  </r>
  <r>
    <x v="81"/>
    <x v="9"/>
    <n v="0"/>
    <n v="0"/>
    <n v="0"/>
    <n v="0"/>
    <x v="626"/>
    <n v="0"/>
    <n v="0"/>
    <n v="0"/>
    <n v="0"/>
    <x v="164"/>
    <n v="92"/>
    <s v="K (May 22)"/>
    <d v="2022-05-18T00:00:00"/>
    <n v="-1"/>
  </r>
  <r>
    <x v="81"/>
    <x v="11"/>
    <n v="0"/>
    <n v="0"/>
    <n v="0"/>
    <n v="0"/>
    <x v="627"/>
    <n v="0"/>
    <n v="0"/>
    <n v="0"/>
    <n v="0"/>
    <x v="150"/>
    <n v="28"/>
    <s v="H (Mar 22)"/>
    <d v="2022-03-15T00:00:00"/>
    <n v="-1"/>
  </r>
  <r>
    <x v="81"/>
    <x v="5"/>
    <n v="0"/>
    <n v="0"/>
    <n v="0"/>
    <n v="0"/>
    <x v="628"/>
    <n v="0"/>
    <n v="0"/>
    <n v="0"/>
    <n v="0"/>
    <x v="4"/>
    <n v="246"/>
    <s v="V (Oct 22)"/>
    <d v="2022-10-19T00:00:00"/>
    <n v="-1"/>
  </r>
  <r>
    <x v="82"/>
    <x v="2"/>
    <n v="0"/>
    <n v="0"/>
    <n v="0"/>
    <n v="0"/>
    <x v="629"/>
    <n v="0"/>
    <n v="0"/>
    <n v="0"/>
    <n v="0"/>
    <x v="162"/>
    <n v="156"/>
    <s v="N (Jul 22)"/>
    <d v="2022-07-20T00:00:00"/>
    <n v="-1"/>
  </r>
  <r>
    <x v="82"/>
    <x v="9"/>
    <n v="0"/>
    <n v="0"/>
    <n v="0"/>
    <n v="0"/>
    <x v="630"/>
    <n v="0"/>
    <n v="0"/>
    <n v="0"/>
    <n v="0"/>
    <x v="167"/>
    <n v="93"/>
    <s v="K (May 22)"/>
    <d v="2022-05-18T00:00:00"/>
    <n v="-1"/>
  </r>
  <r>
    <x v="82"/>
    <x v="11"/>
    <n v="0"/>
    <n v="0"/>
    <n v="0"/>
    <n v="0"/>
    <x v="631"/>
    <n v="0"/>
    <n v="0"/>
    <n v="0"/>
    <n v="0"/>
    <x v="153"/>
    <n v="29"/>
    <s v="H (Mar 22)"/>
    <d v="2022-03-15T00:00:00"/>
    <n v="-1"/>
  </r>
  <r>
    <x v="82"/>
    <x v="5"/>
    <n v="0"/>
    <n v="0"/>
    <n v="0"/>
    <n v="0"/>
    <x v="632"/>
    <n v="0"/>
    <n v="0"/>
    <n v="0"/>
    <n v="0"/>
    <x v="16"/>
    <n v="247"/>
    <s v="V (Oct 22)"/>
    <d v="2022-10-19T00:00:00"/>
    <n v="-1"/>
  </r>
  <r>
    <x v="82"/>
    <x v="6"/>
    <n v="0"/>
    <n v="0"/>
    <n v="0"/>
    <n v="0"/>
    <x v="633"/>
    <n v="0"/>
    <n v="0"/>
    <n v="0"/>
    <n v="0"/>
    <x v="163"/>
    <n v="184"/>
    <s v="Q (Aug 22)"/>
    <d v="2022-08-17T00:00:00"/>
    <n v="-1"/>
  </r>
  <r>
    <x v="82"/>
    <x v="12"/>
    <n v="0"/>
    <n v="0"/>
    <n v="0"/>
    <n v="0"/>
    <x v="634"/>
    <n v="0"/>
    <n v="0"/>
    <n v="0"/>
    <n v="0"/>
    <x v="161"/>
    <n v="2"/>
    <s v="G (Feb 22)"/>
    <d v="2022-02-16T00:00:00"/>
    <n v="-1"/>
  </r>
  <r>
    <x v="82"/>
    <x v="7"/>
    <n v="0"/>
    <n v="0"/>
    <n v="0"/>
    <n v="0"/>
    <x v="635"/>
    <n v="0"/>
    <n v="0"/>
    <n v="0"/>
    <n v="0"/>
    <x v="15"/>
    <n v="219"/>
    <s v="U (Sep 22)"/>
    <d v="2022-09-21T00:00:00"/>
    <n v="-1"/>
  </r>
  <r>
    <x v="82"/>
    <x v="8"/>
    <n v="0"/>
    <n v="0"/>
    <n v="0"/>
    <n v="0"/>
    <x v="636"/>
    <n v="0"/>
    <n v="0"/>
    <n v="0"/>
    <n v="0"/>
    <x v="132"/>
    <n v="121"/>
    <s v="M (Jun 22)"/>
    <d v="2022-06-15T00:00:00"/>
    <n v="-1"/>
  </r>
  <r>
    <x v="82"/>
    <x v="10"/>
    <n v="0"/>
    <n v="0"/>
    <n v="0"/>
    <n v="0"/>
    <x v="637"/>
    <n v="0"/>
    <n v="0"/>
    <n v="0"/>
    <n v="0"/>
    <x v="170"/>
    <n v="65"/>
    <s v="J (Apr 22)"/>
    <d v="2022-04-20T00:00:00"/>
    <n v="-1"/>
  </r>
  <r>
    <x v="83"/>
    <x v="6"/>
    <n v="0"/>
    <n v="0"/>
    <n v="0"/>
    <n v="0"/>
    <x v="638"/>
    <n v="0"/>
    <n v="0"/>
    <n v="0"/>
    <n v="0"/>
    <x v="173"/>
    <n v="187"/>
    <s v="Q (Aug 22)"/>
    <d v="2022-08-17T00:00:00"/>
    <n v="-1"/>
  </r>
  <r>
    <x v="83"/>
    <x v="12"/>
    <n v="0"/>
    <n v="0"/>
    <n v="0"/>
    <n v="0"/>
    <x v="639"/>
    <n v="0"/>
    <n v="0"/>
    <n v="0"/>
    <n v="0"/>
    <x v="8"/>
    <n v="5"/>
    <s v="G (Feb 22)"/>
    <d v="2022-02-16T00:00:00"/>
    <n v="-1"/>
  </r>
  <r>
    <x v="83"/>
    <x v="7"/>
    <n v="0"/>
    <n v="0"/>
    <n v="0"/>
    <n v="0"/>
    <x v="220"/>
    <n v="0"/>
    <n v="0"/>
    <n v="0"/>
    <n v="0"/>
    <x v="21"/>
    <n v="222"/>
    <s v="U (Sep 22)"/>
    <d v="2022-09-21T00:00:00"/>
    <n v="-1"/>
  </r>
  <r>
    <x v="83"/>
    <x v="8"/>
    <n v="0"/>
    <n v="0"/>
    <n v="0"/>
    <n v="0"/>
    <x v="640"/>
    <n v="0"/>
    <n v="0"/>
    <n v="0"/>
    <n v="0"/>
    <x v="135"/>
    <n v="124"/>
    <s v="M (Jun 22)"/>
    <d v="2022-06-15T00:00:00"/>
    <n v="-1"/>
  </r>
  <r>
    <x v="83"/>
    <x v="10"/>
    <n v="0"/>
    <n v="0"/>
    <n v="0"/>
    <n v="0"/>
    <x v="641"/>
    <n v="0"/>
    <n v="0"/>
    <n v="0"/>
    <n v="0"/>
    <x v="6"/>
    <n v="68"/>
    <s v="J (Apr 22)"/>
    <d v="2022-04-20T00:00:00"/>
    <n v="-1"/>
  </r>
  <r>
    <x v="83"/>
    <x v="2"/>
    <n v="0"/>
    <n v="0"/>
    <n v="0"/>
    <n v="0"/>
    <x v="642"/>
    <n v="0"/>
    <n v="0"/>
    <n v="0"/>
    <n v="0"/>
    <x v="172"/>
    <n v="159"/>
    <s v="N (Jul 22)"/>
    <d v="2022-07-20T00:00:00"/>
    <n v="-1"/>
  </r>
  <r>
    <x v="83"/>
    <x v="9"/>
    <n v="0"/>
    <n v="0"/>
    <n v="0"/>
    <n v="0"/>
    <x v="643"/>
    <n v="0"/>
    <n v="0"/>
    <n v="0"/>
    <n v="0"/>
    <x v="175"/>
    <n v="96"/>
    <s v="K (May 22)"/>
    <d v="2022-05-18T00:00:00"/>
    <n v="-1"/>
  </r>
  <r>
    <x v="83"/>
    <x v="11"/>
    <n v="0"/>
    <n v="0"/>
    <n v="0"/>
    <n v="0"/>
    <x v="644"/>
    <n v="0"/>
    <n v="0"/>
    <n v="0"/>
    <n v="0"/>
    <x v="166"/>
    <n v="32"/>
    <s v="H (Mar 22)"/>
    <d v="2022-03-15T00:00:00"/>
    <n v="-1"/>
  </r>
  <r>
    <x v="83"/>
    <x v="5"/>
    <n v="0"/>
    <n v="0"/>
    <n v="0"/>
    <n v="0"/>
    <x v="645"/>
    <n v="0"/>
    <n v="0"/>
    <n v="0"/>
    <n v="0"/>
    <x v="22"/>
    <n v="250"/>
    <s v="V (Oct 22)"/>
    <d v="2022-10-19T00:00:00"/>
    <n v="-1"/>
  </r>
  <r>
    <x v="84"/>
    <x v="2"/>
    <n v="0"/>
    <n v="0"/>
    <n v="0"/>
    <n v="0"/>
    <x v="646"/>
    <n v="0"/>
    <n v="0"/>
    <n v="0"/>
    <n v="0"/>
    <x v="0"/>
    <n v="160"/>
    <s v="N (Jul 22)"/>
    <d v="2022-07-20T00:00:00"/>
    <n v="-1"/>
  </r>
  <r>
    <x v="84"/>
    <x v="9"/>
    <n v="0"/>
    <n v="0"/>
    <n v="0"/>
    <n v="0"/>
    <x v="647"/>
    <n v="0"/>
    <n v="0"/>
    <n v="0"/>
    <n v="0"/>
    <x v="177"/>
    <n v="97"/>
    <s v="K (May 22)"/>
    <d v="2022-05-18T00:00:00"/>
    <n v="-1"/>
  </r>
  <r>
    <x v="84"/>
    <x v="11"/>
    <n v="0"/>
    <n v="0"/>
    <n v="0"/>
    <n v="0"/>
    <x v="648"/>
    <n v="0"/>
    <n v="0"/>
    <n v="0"/>
    <n v="0"/>
    <x v="169"/>
    <n v="33"/>
    <s v="H (Mar 22)"/>
    <d v="2022-03-15T00:00:00"/>
    <n v="-1"/>
  </r>
  <r>
    <x v="84"/>
    <x v="5"/>
    <n v="0"/>
    <n v="0"/>
    <n v="0"/>
    <n v="0"/>
    <x v="598"/>
    <n v="0"/>
    <n v="0"/>
    <n v="0"/>
    <n v="0"/>
    <x v="33"/>
    <n v="251"/>
    <s v="V (Oct 22)"/>
    <d v="2022-10-19T00:00:00"/>
    <n v="-1"/>
  </r>
  <r>
    <x v="84"/>
    <x v="6"/>
    <n v="0"/>
    <n v="0"/>
    <n v="0"/>
    <n v="0"/>
    <x v="649"/>
    <n v="0"/>
    <n v="0"/>
    <n v="0"/>
    <n v="0"/>
    <x v="174"/>
    <n v="188"/>
    <s v="Q (Aug 22)"/>
    <d v="2022-08-17T00:00:00"/>
    <n v="-1"/>
  </r>
  <r>
    <x v="84"/>
    <x v="12"/>
    <n v="0"/>
    <n v="0"/>
    <n v="0"/>
    <n v="0"/>
    <x v="650"/>
    <n v="0"/>
    <n v="0"/>
    <n v="0"/>
    <n v="0"/>
    <x v="11"/>
    <n v="6"/>
    <s v="G (Feb 22)"/>
    <d v="2022-02-16T00:00:00"/>
    <n v="-1"/>
  </r>
  <r>
    <x v="84"/>
    <x v="7"/>
    <n v="0"/>
    <n v="0"/>
    <n v="0"/>
    <n v="0"/>
    <x v="348"/>
    <n v="0"/>
    <n v="0"/>
    <n v="0"/>
    <n v="0"/>
    <x v="32"/>
    <n v="223"/>
    <s v="U (Sep 22)"/>
    <d v="2022-09-21T00:00:00"/>
    <n v="-1"/>
  </r>
  <r>
    <x v="84"/>
    <x v="8"/>
    <n v="0"/>
    <n v="0"/>
    <n v="0"/>
    <n v="0"/>
    <x v="651"/>
    <n v="0"/>
    <n v="0"/>
    <n v="0"/>
    <n v="0"/>
    <x v="149"/>
    <n v="125"/>
    <s v="M (Jun 22)"/>
    <d v="2022-06-15T00:00:00"/>
    <n v="-1"/>
  </r>
  <r>
    <x v="84"/>
    <x v="10"/>
    <n v="0"/>
    <n v="0"/>
    <n v="0"/>
    <n v="0"/>
    <x v="652"/>
    <n v="0"/>
    <n v="0"/>
    <n v="0"/>
    <n v="0"/>
    <x v="9"/>
    <n v="69"/>
    <s v="J (Apr 22)"/>
    <d v="2022-04-20T00:00:00"/>
    <n v="-1"/>
  </r>
  <r>
    <x v="85"/>
    <x v="6"/>
    <n v="0"/>
    <n v="0"/>
    <n v="0"/>
    <n v="0"/>
    <x v="653"/>
    <n v="0"/>
    <n v="0"/>
    <n v="0"/>
    <n v="0"/>
    <x v="179"/>
    <n v="189"/>
    <s v="Q (Aug 22)"/>
    <d v="2022-08-17T00:00:00"/>
    <n v="-1"/>
  </r>
  <r>
    <x v="85"/>
    <x v="12"/>
    <n v="0"/>
    <n v="0"/>
    <n v="0"/>
    <n v="0"/>
    <x v="654"/>
    <n v="0"/>
    <n v="0"/>
    <n v="0"/>
    <n v="0"/>
    <x v="26"/>
    <n v="7"/>
    <s v="G (Feb 22)"/>
    <d v="2022-02-16T00:00:00"/>
    <n v="-1"/>
  </r>
  <r>
    <x v="85"/>
    <x v="7"/>
    <n v="0"/>
    <n v="0"/>
    <n v="0"/>
    <n v="0"/>
    <x v="655"/>
    <n v="0"/>
    <n v="0"/>
    <n v="0"/>
    <n v="0"/>
    <x v="38"/>
    <n v="224"/>
    <s v="U (Sep 22)"/>
    <d v="2022-09-21T00:00:00"/>
    <n v="-1"/>
  </r>
  <r>
    <x v="85"/>
    <x v="8"/>
    <n v="0"/>
    <n v="0"/>
    <n v="0"/>
    <n v="0"/>
    <x v="656"/>
    <n v="0"/>
    <n v="0"/>
    <n v="0"/>
    <n v="0"/>
    <x v="152"/>
    <n v="126"/>
    <s v="M (Jun 22)"/>
    <d v="2022-06-15T00:00:00"/>
    <n v="-1"/>
  </r>
  <r>
    <x v="85"/>
    <x v="10"/>
    <n v="0"/>
    <n v="0"/>
    <n v="0"/>
    <n v="0"/>
    <x v="657"/>
    <n v="0"/>
    <n v="0"/>
    <n v="0"/>
    <n v="0"/>
    <x v="24"/>
    <n v="70"/>
    <s v="J (Apr 22)"/>
    <d v="2022-04-20T00:00:00"/>
    <n v="-1"/>
  </r>
  <r>
    <x v="85"/>
    <x v="2"/>
    <n v="0"/>
    <n v="0"/>
    <n v="0"/>
    <n v="0"/>
    <x v="658"/>
    <n v="0"/>
    <n v="0"/>
    <n v="0"/>
    <n v="0"/>
    <x v="12"/>
    <n v="161"/>
    <s v="N (Jul 22)"/>
    <d v="2022-07-20T00:00:00"/>
    <n v="-1"/>
  </r>
  <r>
    <x v="85"/>
    <x v="9"/>
    <n v="0"/>
    <n v="0"/>
    <n v="0"/>
    <n v="0"/>
    <x v="659"/>
    <n v="0"/>
    <n v="0"/>
    <n v="0"/>
    <n v="0"/>
    <x v="181"/>
    <n v="98"/>
    <s v="K (May 22)"/>
    <d v="2022-05-18T00:00:00"/>
    <n v="-1"/>
  </r>
  <r>
    <x v="85"/>
    <x v="11"/>
    <n v="0"/>
    <n v="0"/>
    <n v="0"/>
    <n v="0"/>
    <x v="660"/>
    <n v="0"/>
    <n v="0"/>
    <n v="0"/>
    <n v="0"/>
    <x v="176"/>
    <n v="34"/>
    <s v="H (Mar 22)"/>
    <d v="2022-03-15T00:00:00"/>
    <n v="-1"/>
  </r>
  <r>
    <x v="85"/>
    <x v="5"/>
    <n v="0"/>
    <n v="0"/>
    <n v="0"/>
    <n v="0"/>
    <x v="406"/>
    <n v="0"/>
    <n v="0"/>
    <n v="0"/>
    <n v="0"/>
    <x v="39"/>
    <n v="252"/>
    <s v="V (Oct 22)"/>
    <d v="2022-10-19T00:00:00"/>
    <n v="-1"/>
  </r>
  <r>
    <x v="86"/>
    <x v="2"/>
    <n v="0"/>
    <n v="0"/>
    <n v="0"/>
    <n v="0"/>
    <x v="661"/>
    <n v="0"/>
    <n v="0"/>
    <n v="0"/>
    <n v="0"/>
    <x v="18"/>
    <n v="162"/>
    <s v="N (Jul 22)"/>
    <d v="2022-07-20T00:00:00"/>
    <n v="-1"/>
  </r>
  <r>
    <x v="86"/>
    <x v="9"/>
    <n v="0"/>
    <n v="0"/>
    <n v="0"/>
    <n v="0"/>
    <x v="662"/>
    <n v="0"/>
    <n v="0"/>
    <n v="0"/>
    <n v="0"/>
    <x v="183"/>
    <n v="99"/>
    <s v="K (May 22)"/>
    <d v="2022-05-18T00:00:00"/>
    <n v="-1"/>
  </r>
  <r>
    <x v="86"/>
    <x v="11"/>
    <n v="0"/>
    <n v="0"/>
    <n v="0"/>
    <n v="0"/>
    <x v="663"/>
    <n v="0"/>
    <n v="0"/>
    <n v="0"/>
    <n v="0"/>
    <x v="178"/>
    <n v="35"/>
    <s v="H (Mar 22)"/>
    <d v="2022-03-15T00:00:00"/>
    <n v="-1"/>
  </r>
  <r>
    <x v="86"/>
    <x v="5"/>
    <n v="0"/>
    <n v="0"/>
    <n v="0"/>
    <n v="0"/>
    <x v="430"/>
    <n v="0"/>
    <n v="0"/>
    <n v="0"/>
    <n v="0"/>
    <x v="51"/>
    <n v="253"/>
    <s v="V (Oct 22)"/>
    <d v="2022-10-19T00:00:00"/>
    <n v="-1"/>
  </r>
  <r>
    <x v="86"/>
    <x v="6"/>
    <n v="0"/>
    <n v="0"/>
    <n v="0"/>
    <n v="0"/>
    <x v="664"/>
    <n v="0"/>
    <n v="0"/>
    <n v="0"/>
    <n v="0"/>
    <x v="180"/>
    <n v="190"/>
    <s v="Q (Aug 22)"/>
    <d v="2022-08-17T00:00:00"/>
    <n v="-1"/>
  </r>
  <r>
    <x v="86"/>
    <x v="12"/>
    <n v="0"/>
    <n v="0"/>
    <n v="0"/>
    <n v="0"/>
    <x v="665"/>
    <n v="0"/>
    <n v="0"/>
    <n v="0"/>
    <n v="0"/>
    <x v="29"/>
    <n v="8"/>
    <s v="G (Feb 22)"/>
    <d v="2022-02-16T00:00:00"/>
    <n v="-1"/>
  </r>
  <r>
    <x v="86"/>
    <x v="7"/>
    <n v="0"/>
    <n v="0"/>
    <n v="0"/>
    <n v="0"/>
    <x v="375"/>
    <n v="0"/>
    <n v="0"/>
    <n v="0"/>
    <n v="0"/>
    <x v="50"/>
    <n v="225"/>
    <s v="U (Sep 22)"/>
    <d v="2022-09-21T00:00:00"/>
    <n v="-1"/>
  </r>
  <r>
    <x v="86"/>
    <x v="8"/>
    <n v="0"/>
    <n v="0"/>
    <n v="0"/>
    <n v="0"/>
    <x v="666"/>
    <n v="0"/>
    <n v="0"/>
    <n v="0"/>
    <n v="0"/>
    <x v="165"/>
    <n v="127"/>
    <s v="M (Jun 22)"/>
    <d v="2022-06-15T00:00:00"/>
    <n v="-1"/>
  </r>
  <r>
    <x v="86"/>
    <x v="10"/>
    <n v="0"/>
    <n v="0"/>
    <n v="0"/>
    <n v="0"/>
    <x v="667"/>
    <n v="0"/>
    <n v="0"/>
    <n v="0"/>
    <n v="0"/>
    <x v="27"/>
    <n v="71"/>
    <s v="J (Apr 22)"/>
    <d v="2022-04-20T00:00:00"/>
    <n v="-1"/>
  </r>
  <r>
    <x v="87"/>
    <x v="6"/>
    <n v="0"/>
    <n v="0"/>
    <n v="0"/>
    <n v="0"/>
    <x v="668"/>
    <n v="0"/>
    <n v="0"/>
    <n v="0"/>
    <n v="0"/>
    <x v="185"/>
    <n v="191"/>
    <s v="Q (Aug 22)"/>
    <d v="2022-08-17T00:00:00"/>
    <n v="-1"/>
  </r>
  <r>
    <x v="87"/>
    <x v="12"/>
    <n v="0"/>
    <n v="0"/>
    <n v="0"/>
    <n v="0"/>
    <x v="669"/>
    <n v="0"/>
    <n v="0"/>
    <n v="0"/>
    <n v="0"/>
    <x v="44"/>
    <n v="9"/>
    <s v="G (Feb 22)"/>
    <d v="2022-02-16T00:00:00"/>
    <n v="-1"/>
  </r>
  <r>
    <x v="87"/>
    <x v="7"/>
    <n v="0"/>
    <n v="0"/>
    <n v="0"/>
    <n v="0"/>
    <x v="670"/>
    <n v="0"/>
    <n v="0"/>
    <n v="0"/>
    <n v="0"/>
    <x v="56"/>
    <n v="226"/>
    <s v="U (Sep 22)"/>
    <d v="2022-09-21T00:00:00"/>
    <n v="-1"/>
  </r>
  <r>
    <x v="87"/>
    <x v="8"/>
    <n v="0"/>
    <n v="0"/>
    <n v="0"/>
    <n v="0"/>
    <x v="671"/>
    <n v="0"/>
    <n v="0"/>
    <n v="0"/>
    <n v="0"/>
    <x v="168"/>
    <n v="128"/>
    <s v="M (Jun 22)"/>
    <d v="2022-06-15T00:00:00"/>
    <n v="-1"/>
  </r>
  <r>
    <x v="87"/>
    <x v="10"/>
    <n v="0"/>
    <n v="0"/>
    <n v="0"/>
    <n v="0"/>
    <x v="672"/>
    <n v="0"/>
    <n v="0"/>
    <n v="0"/>
    <n v="0"/>
    <x v="42"/>
    <n v="72"/>
    <s v="J (Apr 22)"/>
    <d v="2022-04-20T00:00:00"/>
    <n v="-1"/>
  </r>
  <r>
    <x v="87"/>
    <x v="9"/>
    <n v="0"/>
    <n v="0"/>
    <n v="0"/>
    <n v="0"/>
    <x v="673"/>
    <n v="0"/>
    <n v="0"/>
    <n v="0"/>
    <n v="0"/>
    <x v="7"/>
    <n v="100"/>
    <s v="K (May 22)"/>
    <d v="2022-05-18T00:00:00"/>
    <n v="-1"/>
  </r>
  <r>
    <x v="87"/>
    <x v="11"/>
    <n v="0"/>
    <n v="0"/>
    <n v="0"/>
    <n v="0"/>
    <x v="674"/>
    <n v="0"/>
    <n v="0"/>
    <n v="0"/>
    <n v="0"/>
    <x v="182"/>
    <n v="36"/>
    <s v="H (Mar 22)"/>
    <d v="2022-03-15T00:00:00"/>
    <n v="-1"/>
  </r>
  <r>
    <x v="87"/>
    <x v="5"/>
    <n v="0"/>
    <n v="0"/>
    <n v="0"/>
    <n v="0"/>
    <x v="461"/>
    <n v="0"/>
    <n v="0"/>
    <n v="0"/>
    <n v="0"/>
    <x v="57"/>
    <n v="254"/>
    <s v="V (Oct 22)"/>
    <d v="2022-10-19T00:00:00"/>
    <n v="-1"/>
  </r>
  <r>
    <x v="87"/>
    <x v="2"/>
    <n v="0"/>
    <n v="0"/>
    <n v="0"/>
    <n v="0"/>
    <x v="675"/>
    <n v="0"/>
    <n v="0"/>
    <n v="0"/>
    <n v="0"/>
    <x v="35"/>
    <n v="163"/>
    <s v="N (Jul 22)"/>
    <d v="2022-07-20T00:00:00"/>
    <n v="-1"/>
  </r>
  <r>
    <x v="88"/>
    <x v="9"/>
    <n v="0"/>
    <n v="0"/>
    <n v="0"/>
    <n v="0"/>
    <x v="676"/>
    <n v="0"/>
    <n v="0"/>
    <n v="0"/>
    <n v="0"/>
    <x v="10"/>
    <n v="103"/>
    <s v="K (May 22)"/>
    <d v="2022-05-18T00:00:00"/>
    <n v="-1"/>
  </r>
  <r>
    <x v="88"/>
    <x v="11"/>
    <n v="0"/>
    <n v="0"/>
    <n v="0"/>
    <n v="0"/>
    <x v="677"/>
    <n v="0"/>
    <n v="0"/>
    <n v="0"/>
    <n v="0"/>
    <x v="184"/>
    <n v="39"/>
    <s v="H (Mar 22)"/>
    <d v="2022-03-15T00:00:00"/>
    <n v="-1"/>
  </r>
  <r>
    <x v="88"/>
    <x v="5"/>
    <n v="0"/>
    <n v="0"/>
    <n v="0"/>
    <n v="0"/>
    <x v="635"/>
    <n v="0"/>
    <n v="0"/>
    <n v="0"/>
    <n v="0"/>
    <x v="69"/>
    <n v="257"/>
    <s v="V (Oct 22)"/>
    <d v="2022-10-19T00:00:00"/>
    <n v="-1"/>
  </r>
  <r>
    <x v="88"/>
    <x v="2"/>
    <n v="0"/>
    <n v="0"/>
    <n v="0"/>
    <n v="0"/>
    <x v="678"/>
    <n v="0"/>
    <n v="0"/>
    <n v="0"/>
    <n v="0"/>
    <x v="41"/>
    <n v="166"/>
    <s v="N (Jul 22)"/>
    <d v="2022-07-20T00:00:00"/>
    <n v="-1"/>
  </r>
  <r>
    <x v="88"/>
    <x v="6"/>
    <n v="0"/>
    <n v="0"/>
    <n v="0"/>
    <n v="0"/>
    <x v="679"/>
    <n v="0"/>
    <n v="0"/>
    <n v="0"/>
    <n v="0"/>
    <x v="1"/>
    <n v="194"/>
    <s v="Q (Aug 22)"/>
    <d v="2022-08-17T00:00:00"/>
    <n v="-1"/>
  </r>
  <r>
    <x v="88"/>
    <x v="12"/>
    <n v="0"/>
    <n v="0"/>
    <n v="0"/>
    <n v="0"/>
    <x v="680"/>
    <n v="0"/>
    <n v="0"/>
    <n v="0"/>
    <n v="0"/>
    <x v="47"/>
    <n v="12"/>
    <s v="G (Feb 22)"/>
    <d v="2022-02-16T00:00:00"/>
    <n v="-1"/>
  </r>
  <r>
    <x v="88"/>
    <x v="7"/>
    <n v="0"/>
    <n v="0"/>
    <n v="0"/>
    <n v="0"/>
    <x v="318"/>
    <n v="0"/>
    <n v="0"/>
    <n v="0"/>
    <n v="0"/>
    <x v="68"/>
    <n v="229"/>
    <s v="U (Sep 22)"/>
    <d v="2022-09-21T00:00:00"/>
    <n v="-1"/>
  </r>
  <r>
    <x v="88"/>
    <x v="8"/>
    <n v="0"/>
    <n v="0"/>
    <n v="0"/>
    <n v="0"/>
    <x v="681"/>
    <n v="0"/>
    <n v="0"/>
    <n v="0"/>
    <n v="0"/>
    <x v="5"/>
    <n v="131"/>
    <s v="M (Jun 22)"/>
    <d v="2022-06-15T00:00:00"/>
    <n v="-1"/>
  </r>
  <r>
    <x v="88"/>
    <x v="10"/>
    <n v="0"/>
    <n v="0"/>
    <n v="0"/>
    <n v="0"/>
    <x v="682"/>
    <n v="0"/>
    <n v="0"/>
    <n v="0"/>
    <n v="0"/>
    <x v="45"/>
    <n v="75"/>
    <s v="J (Apr 22)"/>
    <d v="2022-04-20T00:00:00"/>
    <n v="-1"/>
  </r>
  <r>
    <x v="89"/>
    <x v="6"/>
    <n v="0"/>
    <n v="0"/>
    <n v="0"/>
    <n v="0"/>
    <x v="683"/>
    <n v="0"/>
    <n v="0"/>
    <n v="0"/>
    <n v="0"/>
    <x v="13"/>
    <n v="195"/>
    <s v="Q (Aug 22)"/>
    <d v="2022-08-17T00:00:00"/>
    <n v="-1"/>
  </r>
  <r>
    <x v="89"/>
    <x v="12"/>
    <n v="0"/>
    <n v="0"/>
    <n v="0"/>
    <n v="0"/>
    <x v="684"/>
    <n v="0"/>
    <n v="0"/>
    <n v="0"/>
    <n v="0"/>
    <x v="62"/>
    <n v="13"/>
    <s v="G (Feb 22)"/>
    <d v="2022-02-16T00:00:00"/>
    <n v="-1"/>
  </r>
  <r>
    <x v="89"/>
    <x v="7"/>
    <n v="0"/>
    <n v="0"/>
    <n v="0"/>
    <n v="0"/>
    <x v="400"/>
    <n v="0"/>
    <n v="0"/>
    <n v="0"/>
    <n v="0"/>
    <x v="74"/>
    <n v="230"/>
    <s v="U (Sep 22)"/>
    <d v="2022-09-21T00:00:00"/>
    <n v="-1"/>
  </r>
  <r>
    <x v="89"/>
    <x v="8"/>
    <n v="0"/>
    <n v="0"/>
    <n v="0"/>
    <n v="0"/>
    <x v="685"/>
    <n v="0"/>
    <n v="0"/>
    <n v="0"/>
    <n v="0"/>
    <x v="17"/>
    <n v="132"/>
    <s v="M (Jun 22)"/>
    <d v="2022-06-15T00:00:00"/>
    <n v="-1"/>
  </r>
  <r>
    <x v="89"/>
    <x v="10"/>
    <n v="0"/>
    <n v="0"/>
    <n v="0"/>
    <n v="0"/>
    <x v="397"/>
    <n v="0"/>
    <n v="0"/>
    <n v="0"/>
    <n v="0"/>
    <x v="60"/>
    <n v="76"/>
    <s v="J (Apr 22)"/>
    <d v="2022-04-20T00:00:00"/>
    <n v="-1"/>
  </r>
  <r>
    <x v="89"/>
    <x v="9"/>
    <n v="0"/>
    <n v="0"/>
    <n v="0"/>
    <n v="0"/>
    <x v="686"/>
    <n v="0"/>
    <n v="0"/>
    <n v="0"/>
    <n v="0"/>
    <x v="25"/>
    <n v="104"/>
    <s v="K (May 22)"/>
    <d v="2022-05-18T00:00:00"/>
    <n v="-1"/>
  </r>
  <r>
    <x v="89"/>
    <x v="11"/>
    <n v="0"/>
    <n v="0"/>
    <n v="0"/>
    <n v="0"/>
    <x v="687"/>
    <n v="0"/>
    <n v="0"/>
    <n v="0"/>
    <n v="0"/>
    <x v="2"/>
    <n v="40"/>
    <s v="H (Mar 22)"/>
    <d v="2022-03-15T00:00:00"/>
    <n v="-1"/>
  </r>
  <r>
    <x v="89"/>
    <x v="5"/>
    <n v="0"/>
    <n v="0"/>
    <n v="0"/>
    <n v="0"/>
    <x v="400"/>
    <n v="0"/>
    <n v="0"/>
    <n v="0"/>
    <n v="0"/>
    <x v="75"/>
    <n v="258"/>
    <s v="V (Oct 22)"/>
    <d v="2022-10-19T00:00:00"/>
    <n v="-1"/>
  </r>
  <r>
    <x v="89"/>
    <x v="2"/>
    <n v="0"/>
    <n v="0"/>
    <n v="0"/>
    <n v="0"/>
    <x v="688"/>
    <n v="0"/>
    <n v="0"/>
    <n v="0"/>
    <n v="0"/>
    <x v="53"/>
    <n v="167"/>
    <s v="N (Jul 22)"/>
    <d v="2022-07-20T00:00:00"/>
    <n v="-1"/>
  </r>
  <r>
    <x v="90"/>
    <x v="9"/>
    <n v="0"/>
    <n v="0"/>
    <n v="0"/>
    <n v="0"/>
    <x v="689"/>
    <n v="0"/>
    <n v="0"/>
    <n v="0"/>
    <n v="0"/>
    <x v="28"/>
    <n v="105"/>
    <s v="K (May 22)"/>
    <d v="2022-05-18T00:00:00"/>
    <n v="-1"/>
  </r>
  <r>
    <x v="90"/>
    <x v="11"/>
    <n v="0"/>
    <n v="0"/>
    <n v="0"/>
    <n v="0"/>
    <x v="690"/>
    <n v="0"/>
    <n v="0"/>
    <n v="0"/>
    <n v="0"/>
    <x v="14"/>
    <n v="41"/>
    <s v="H (Mar 22)"/>
    <d v="2022-03-15T00:00:00"/>
    <n v="-1"/>
  </r>
  <r>
    <x v="90"/>
    <x v="5"/>
    <n v="0"/>
    <n v="0"/>
    <n v="0"/>
    <n v="0"/>
    <x v="370"/>
    <n v="0"/>
    <n v="0"/>
    <n v="0"/>
    <n v="0"/>
    <x v="87"/>
    <n v="259"/>
    <s v="V (Oct 22)"/>
    <d v="2022-10-19T00:00:00"/>
    <n v="-1"/>
  </r>
  <r>
    <x v="90"/>
    <x v="2"/>
    <n v="0"/>
    <n v="0"/>
    <n v="0"/>
    <n v="0"/>
    <x v="691"/>
    <n v="0"/>
    <n v="0"/>
    <n v="0"/>
    <n v="0"/>
    <x v="59"/>
    <n v="168"/>
    <s v="N (Jul 22)"/>
    <d v="2022-07-20T00:00:00"/>
    <n v="-1"/>
  </r>
  <r>
    <x v="90"/>
    <x v="6"/>
    <n v="0"/>
    <n v="0"/>
    <n v="0"/>
    <n v="0"/>
    <x v="692"/>
    <n v="0"/>
    <n v="0"/>
    <n v="0"/>
    <n v="0"/>
    <x v="19"/>
    <n v="196"/>
    <s v="Q (Aug 22)"/>
    <d v="2022-08-17T00:00:00"/>
    <n v="-1"/>
  </r>
  <r>
    <x v="90"/>
    <x v="12"/>
    <n v="0"/>
    <n v="0"/>
    <n v="0"/>
    <n v="0"/>
    <x v="693"/>
    <n v="0"/>
    <n v="0"/>
    <n v="0"/>
    <n v="0"/>
    <x v="65"/>
    <n v="14"/>
    <s v="G (Feb 22)"/>
    <d v="2022-02-16T00:00:00"/>
    <n v="-1"/>
  </r>
  <r>
    <x v="90"/>
    <x v="7"/>
    <n v="0"/>
    <n v="0"/>
    <n v="0"/>
    <n v="0"/>
    <x v="694"/>
    <n v="0"/>
    <n v="0"/>
    <n v="0"/>
    <n v="0"/>
    <x v="86"/>
    <n v="231"/>
    <s v="U (Sep 22)"/>
    <d v="2022-09-21T00:00:00"/>
    <n v="-1"/>
  </r>
  <r>
    <x v="90"/>
    <x v="8"/>
    <n v="0"/>
    <n v="0"/>
    <n v="0"/>
    <n v="0"/>
    <x v="695"/>
    <n v="0"/>
    <n v="0"/>
    <n v="0"/>
    <n v="0"/>
    <x v="23"/>
    <n v="133"/>
    <s v="M (Jun 22)"/>
    <d v="2022-06-15T00:00:00"/>
    <n v="-1"/>
  </r>
  <r>
    <x v="90"/>
    <x v="10"/>
    <n v="0"/>
    <n v="0"/>
    <n v="0"/>
    <n v="0"/>
    <x v="696"/>
    <n v="0"/>
    <n v="0"/>
    <n v="0"/>
    <n v="0"/>
    <x v="63"/>
    <n v="77"/>
    <s v="J (Apr 22)"/>
    <d v="2022-04-20T00:00:00"/>
    <n v="-1"/>
  </r>
  <r>
    <x v="91"/>
    <x v="6"/>
    <n v="0"/>
    <n v="0"/>
    <n v="0"/>
    <n v="0"/>
    <x v="697"/>
    <n v="0"/>
    <n v="0"/>
    <n v="0"/>
    <n v="0"/>
    <x v="30"/>
    <n v="197"/>
    <s v="Q (Aug 22)"/>
    <d v="2022-08-17T00:00:00"/>
    <n v="-1"/>
  </r>
  <r>
    <x v="91"/>
    <x v="12"/>
    <n v="0"/>
    <n v="0"/>
    <n v="0"/>
    <n v="0"/>
    <x v="698"/>
    <n v="0"/>
    <n v="0"/>
    <n v="0"/>
    <n v="0"/>
    <x v="80"/>
    <n v="15"/>
    <s v="G (Feb 22)"/>
    <d v="2022-02-16T00:00:00"/>
    <n v="-1"/>
  </r>
  <r>
    <x v="91"/>
    <x v="7"/>
    <n v="0"/>
    <n v="0"/>
    <n v="0"/>
    <n v="0"/>
    <x v="411"/>
    <n v="0"/>
    <n v="0"/>
    <n v="0"/>
    <n v="0"/>
    <x v="92"/>
    <n v="232"/>
    <s v="U (Sep 22)"/>
    <d v="2022-09-21T00:00:00"/>
    <n v="-1"/>
  </r>
  <r>
    <x v="91"/>
    <x v="8"/>
    <n v="0"/>
    <n v="0"/>
    <n v="0"/>
    <n v="0"/>
    <x v="699"/>
    <n v="0"/>
    <n v="0"/>
    <n v="0"/>
    <n v="0"/>
    <x v="34"/>
    <n v="134"/>
    <s v="M (Jun 22)"/>
    <d v="2022-06-15T00:00:00"/>
    <n v="-1"/>
  </r>
  <r>
    <x v="91"/>
    <x v="10"/>
    <n v="0"/>
    <n v="0"/>
    <n v="0"/>
    <n v="0"/>
    <x v="700"/>
    <n v="0"/>
    <n v="0"/>
    <n v="0"/>
    <n v="0"/>
    <x v="78"/>
    <n v="78"/>
    <s v="J (Apr 22)"/>
    <d v="2022-04-20T00:00:00"/>
    <n v="-1"/>
  </r>
  <r>
    <x v="91"/>
    <x v="9"/>
    <n v="0"/>
    <n v="0"/>
    <n v="0"/>
    <n v="0"/>
    <x v="701"/>
    <n v="0"/>
    <n v="0"/>
    <n v="0"/>
    <n v="0"/>
    <x v="43"/>
    <n v="106"/>
    <s v="K (May 22)"/>
    <d v="2022-05-18T00:00:00"/>
    <n v="-1"/>
  </r>
  <r>
    <x v="91"/>
    <x v="11"/>
    <n v="0"/>
    <n v="0"/>
    <n v="0"/>
    <n v="0"/>
    <x v="702"/>
    <n v="0"/>
    <n v="0"/>
    <n v="0"/>
    <n v="0"/>
    <x v="20"/>
    <n v="42"/>
    <s v="H (Mar 22)"/>
    <d v="2022-03-15T00:00:00"/>
    <n v="-1"/>
  </r>
  <r>
    <x v="91"/>
    <x v="5"/>
    <n v="0"/>
    <n v="0"/>
    <n v="0"/>
    <n v="0"/>
    <x v="406"/>
    <n v="0"/>
    <n v="0"/>
    <n v="0"/>
    <n v="0"/>
    <x v="93"/>
    <n v="260"/>
    <s v="V (Oct 22)"/>
    <d v="2022-10-19T00:00:00"/>
    <n v="-1"/>
  </r>
  <r>
    <x v="91"/>
    <x v="2"/>
    <n v="0"/>
    <n v="0"/>
    <n v="0"/>
    <n v="0"/>
    <x v="703"/>
    <n v="0"/>
    <n v="0"/>
    <n v="0"/>
    <n v="0"/>
    <x v="71"/>
    <n v="169"/>
    <s v="N (Jul 22)"/>
    <d v="2022-07-20T00:00:00"/>
    <n v="-1"/>
  </r>
  <r>
    <x v="92"/>
    <x v="9"/>
    <n v="0"/>
    <n v="0"/>
    <n v="0"/>
    <n v="0"/>
    <x v="704"/>
    <n v="0"/>
    <n v="0"/>
    <n v="0"/>
    <n v="0"/>
    <x v="46"/>
    <n v="107"/>
    <s v="K (May 22)"/>
    <d v="2022-05-18T00:00:00"/>
    <n v="-1"/>
  </r>
  <r>
    <x v="92"/>
    <x v="11"/>
    <n v="0"/>
    <n v="0"/>
    <n v="0"/>
    <n v="0"/>
    <x v="705"/>
    <n v="0"/>
    <n v="0"/>
    <n v="0"/>
    <n v="0"/>
    <x v="31"/>
    <n v="43"/>
    <s v="H (Mar 22)"/>
    <d v="2022-03-15T00:00:00"/>
    <n v="-1"/>
  </r>
  <r>
    <x v="92"/>
    <x v="5"/>
    <n v="0"/>
    <n v="0"/>
    <n v="0"/>
    <n v="0"/>
    <x v="348"/>
    <n v="0"/>
    <n v="0"/>
    <n v="0"/>
    <n v="0"/>
    <x v="105"/>
    <n v="261"/>
    <s v="V (Oct 22)"/>
    <d v="2022-10-19T00:00:00"/>
    <n v="-1"/>
  </r>
  <r>
    <x v="92"/>
    <x v="2"/>
    <n v="0"/>
    <n v="0"/>
    <n v="0"/>
    <n v="0"/>
    <x v="706"/>
    <n v="0"/>
    <n v="0"/>
    <n v="0"/>
    <n v="0"/>
    <x v="77"/>
    <n v="170"/>
    <s v="N (Jul 22)"/>
    <d v="2022-07-20T00:00:00"/>
    <n v="-1"/>
  </r>
  <r>
    <x v="92"/>
    <x v="6"/>
    <n v="0"/>
    <n v="0"/>
    <n v="0"/>
    <n v="0"/>
    <x v="362"/>
    <n v="0"/>
    <n v="0"/>
    <n v="0"/>
    <n v="0"/>
    <x v="36"/>
    <n v="198"/>
    <s v="Q (Aug 22)"/>
    <d v="2022-08-17T00:00:00"/>
    <n v="-1"/>
  </r>
  <r>
    <x v="92"/>
    <x v="12"/>
    <n v="0"/>
    <n v="0"/>
    <n v="0"/>
    <n v="0"/>
    <x v="707"/>
    <n v="0"/>
    <n v="0"/>
    <n v="0"/>
    <n v="0"/>
    <x v="83"/>
    <n v="16"/>
    <s v="G (Feb 22)"/>
    <d v="2022-02-16T00:00:00"/>
    <n v="-1"/>
  </r>
  <r>
    <x v="92"/>
    <x v="7"/>
    <n v="0"/>
    <n v="0"/>
    <n v="0"/>
    <n v="0"/>
    <x v="430"/>
    <n v="0"/>
    <n v="0"/>
    <n v="0"/>
    <n v="0"/>
    <x v="104"/>
    <n v="233"/>
    <s v="U (Sep 22)"/>
    <d v="2022-09-21T00:00:00"/>
    <n v="-1"/>
  </r>
  <r>
    <x v="92"/>
    <x v="8"/>
    <n v="0"/>
    <n v="0"/>
    <n v="0"/>
    <n v="0"/>
    <x v="437"/>
    <n v="0"/>
    <n v="0"/>
    <n v="0"/>
    <n v="0"/>
    <x v="40"/>
    <n v="135"/>
    <s v="M (Jun 22)"/>
    <d v="2022-06-15T00:00:00"/>
    <n v="-1"/>
  </r>
  <r>
    <x v="92"/>
    <x v="10"/>
    <n v="0"/>
    <n v="0"/>
    <n v="0"/>
    <n v="0"/>
    <x v="708"/>
    <n v="0"/>
    <n v="0"/>
    <n v="0"/>
    <n v="0"/>
    <x v="81"/>
    <n v="79"/>
    <s v="J (Apr 22)"/>
    <d v="2022-04-20T00:00:00"/>
    <n v="-1"/>
  </r>
  <r>
    <x v="93"/>
    <x v="6"/>
    <n v="0"/>
    <n v="0"/>
    <n v="0"/>
    <n v="0"/>
    <x v="709"/>
    <n v="0"/>
    <n v="0"/>
    <n v="0"/>
    <n v="0"/>
    <x v="36"/>
    <n v="199"/>
    <s v="Q (Aug 22)"/>
    <d v="2022-08-17T00:00:00"/>
    <n v="-1"/>
  </r>
  <r>
    <x v="93"/>
    <x v="12"/>
    <n v="0"/>
    <n v="0"/>
    <n v="0"/>
    <n v="0"/>
    <x v="710"/>
    <n v="0"/>
    <n v="0"/>
    <n v="0"/>
    <n v="0"/>
    <x v="83"/>
    <n v="17"/>
    <s v="G (Feb 22)"/>
    <d v="2022-02-16T00:00:00"/>
    <n v="-1"/>
  </r>
  <r>
    <x v="93"/>
    <x v="7"/>
    <n v="0"/>
    <n v="0"/>
    <n v="0"/>
    <n v="0"/>
    <x v="366"/>
    <n v="0"/>
    <n v="0"/>
    <n v="0"/>
    <n v="0"/>
    <x v="104"/>
    <n v="234"/>
    <s v="U (Sep 22)"/>
    <d v="2022-09-21T00:00:00"/>
    <n v="-1"/>
  </r>
  <r>
    <x v="93"/>
    <x v="8"/>
    <n v="0"/>
    <n v="0"/>
    <n v="0"/>
    <n v="0"/>
    <x v="711"/>
    <n v="0"/>
    <n v="0"/>
    <n v="0"/>
    <n v="0"/>
    <x v="40"/>
    <n v="136"/>
    <s v="M (Jun 22)"/>
    <d v="2022-06-15T00:00:00"/>
    <n v="-1"/>
  </r>
  <r>
    <x v="93"/>
    <x v="10"/>
    <n v="0"/>
    <n v="0"/>
    <n v="0"/>
    <n v="0"/>
    <x v="712"/>
    <n v="0"/>
    <n v="0"/>
    <n v="0"/>
    <n v="0"/>
    <x v="81"/>
    <n v="80"/>
    <s v="J (Apr 22)"/>
    <d v="2022-04-20T00:00:00"/>
    <n v="-1"/>
  </r>
  <r>
    <x v="93"/>
    <x v="9"/>
    <n v="0"/>
    <n v="0"/>
    <n v="0"/>
    <n v="0"/>
    <x v="713"/>
    <n v="0"/>
    <n v="0"/>
    <n v="0"/>
    <n v="0"/>
    <x v="46"/>
    <n v="108"/>
    <s v="K (May 22)"/>
    <d v="2022-05-18T00:00:00"/>
    <n v="-1"/>
  </r>
  <r>
    <x v="93"/>
    <x v="11"/>
    <n v="0"/>
    <n v="0"/>
    <n v="0"/>
    <n v="0"/>
    <x v="714"/>
    <n v="0"/>
    <n v="0"/>
    <n v="0"/>
    <n v="0"/>
    <x v="31"/>
    <n v="44"/>
    <s v="H (Mar 22)"/>
    <d v="2022-03-15T00:00:00"/>
    <n v="-1"/>
  </r>
  <r>
    <x v="93"/>
    <x v="5"/>
    <n v="0"/>
    <n v="0"/>
    <n v="0"/>
    <n v="0"/>
    <x v="452"/>
    <n v="0"/>
    <n v="0"/>
    <n v="0"/>
    <n v="0"/>
    <x v="105"/>
    <n v="262"/>
    <s v="V (Oct 22)"/>
    <d v="2022-10-19T00:00:00"/>
    <n v="-1"/>
  </r>
  <r>
    <x v="93"/>
    <x v="2"/>
    <n v="0"/>
    <n v="0"/>
    <n v="0"/>
    <n v="0"/>
    <x v="715"/>
    <n v="0"/>
    <n v="0"/>
    <n v="0"/>
    <n v="0"/>
    <x v="77"/>
    <n v="171"/>
    <s v="N (Jul 22)"/>
    <d v="2022-07-20T00:00:00"/>
    <n v="-1"/>
  </r>
  <r>
    <x v="94"/>
    <x v="9"/>
    <n v="0"/>
    <n v="0"/>
    <n v="0"/>
    <n v="0"/>
    <x v="713"/>
    <n v="0"/>
    <n v="0"/>
    <n v="0"/>
    <n v="0"/>
    <x v="61"/>
    <n v="110"/>
    <s v="K (May 22)"/>
    <d v="2022-05-18T00:00:00"/>
    <n v="-1"/>
  </r>
  <r>
    <x v="94"/>
    <x v="11"/>
    <n v="0"/>
    <n v="0"/>
    <n v="0"/>
    <n v="0"/>
    <x v="714"/>
    <n v="0"/>
    <n v="0"/>
    <n v="0"/>
    <n v="0"/>
    <x v="37"/>
    <n v="46"/>
    <s v="H (Mar 22)"/>
    <d v="2022-03-15T00:00:00"/>
    <n v="-1"/>
  </r>
  <r>
    <x v="94"/>
    <x v="5"/>
    <n v="0"/>
    <n v="0"/>
    <n v="0"/>
    <n v="0"/>
    <x v="452"/>
    <n v="0"/>
    <n v="0"/>
    <n v="0"/>
    <n v="0"/>
    <x v="111"/>
    <n v="264"/>
    <s v="V (Oct 22)"/>
    <d v="2022-10-19T00:00:00"/>
    <n v="-1"/>
  </r>
  <r>
    <x v="94"/>
    <x v="2"/>
    <n v="0"/>
    <n v="0"/>
    <n v="0"/>
    <n v="0"/>
    <x v="715"/>
    <n v="0"/>
    <n v="0"/>
    <n v="0"/>
    <n v="0"/>
    <x v="89"/>
    <n v="173"/>
    <s v="N (Jul 22)"/>
    <d v="2022-07-20T00:00:00"/>
    <n v="-1"/>
  </r>
  <r>
    <x v="94"/>
    <x v="6"/>
    <n v="0"/>
    <n v="0"/>
    <n v="0"/>
    <n v="0"/>
    <x v="709"/>
    <n v="0"/>
    <n v="0"/>
    <n v="0"/>
    <n v="0"/>
    <x v="48"/>
    <n v="201"/>
    <s v="Q (Aug 22)"/>
    <d v="2022-08-17T00:00:00"/>
    <n v="-1"/>
  </r>
  <r>
    <x v="94"/>
    <x v="12"/>
    <n v="0"/>
    <n v="0"/>
    <n v="0"/>
    <n v="0"/>
    <x v="710"/>
    <n v="0"/>
    <n v="0"/>
    <n v="0"/>
    <n v="0"/>
    <x v="98"/>
    <n v="19"/>
    <s v="G (Feb 22)"/>
    <d v="2022-02-16T00:00:00"/>
    <n v="-1"/>
  </r>
  <r>
    <x v="94"/>
    <x v="7"/>
    <n v="0"/>
    <n v="0"/>
    <n v="0"/>
    <n v="0"/>
    <x v="366"/>
    <n v="0"/>
    <n v="0"/>
    <n v="0"/>
    <n v="0"/>
    <x v="110"/>
    <n v="236"/>
    <s v="U (Sep 22)"/>
    <d v="2022-09-21T00:00:00"/>
    <n v="-1"/>
  </r>
  <r>
    <x v="94"/>
    <x v="8"/>
    <n v="0"/>
    <n v="0"/>
    <n v="0"/>
    <n v="0"/>
    <x v="711"/>
    <n v="0"/>
    <n v="0"/>
    <n v="0"/>
    <n v="0"/>
    <x v="52"/>
    <n v="138"/>
    <s v="M (Jun 22)"/>
    <d v="2022-06-15T00:00:00"/>
    <n v="-1"/>
  </r>
  <r>
    <x v="94"/>
    <x v="10"/>
    <n v="0"/>
    <n v="0"/>
    <n v="0"/>
    <n v="0"/>
    <x v="712"/>
    <n v="0"/>
    <n v="0"/>
    <n v="0"/>
    <n v="0"/>
    <x v="96"/>
    <n v="82"/>
    <s v="J (Apr 22)"/>
    <d v="2022-04-20T00:00:00"/>
    <n v="-1"/>
  </r>
  <r>
    <x v="95"/>
    <x v="6"/>
    <n v="0"/>
    <n v="0"/>
    <n v="0"/>
    <n v="0"/>
    <x v="317"/>
    <n v="0"/>
    <n v="0"/>
    <n v="0"/>
    <n v="0"/>
    <x v="54"/>
    <n v="202"/>
    <s v="Q (Aug 22)"/>
    <d v="2022-08-17T00:00:00"/>
    <n v="-1"/>
  </r>
  <r>
    <x v="95"/>
    <x v="12"/>
    <n v="0"/>
    <n v="0"/>
    <n v="0"/>
    <n v="0"/>
    <x v="716"/>
    <n v="0"/>
    <n v="0"/>
    <n v="0"/>
    <n v="0"/>
    <x v="101"/>
    <n v="20"/>
    <s v="G (Feb 22)"/>
    <d v="2022-02-16T00:00:00"/>
    <n v="-1"/>
  </r>
  <r>
    <x v="95"/>
    <x v="7"/>
    <n v="0"/>
    <n v="0"/>
    <n v="0"/>
    <n v="0"/>
    <x v="717"/>
    <n v="0"/>
    <n v="0"/>
    <n v="0"/>
    <n v="0"/>
    <x v="122"/>
    <n v="237"/>
    <s v="U (Sep 22)"/>
    <d v="2022-09-21T00:00:00"/>
    <n v="-1"/>
  </r>
  <r>
    <x v="95"/>
    <x v="8"/>
    <n v="0"/>
    <n v="0"/>
    <n v="0"/>
    <n v="0"/>
    <x v="718"/>
    <n v="0"/>
    <n v="0"/>
    <n v="0"/>
    <n v="0"/>
    <x v="58"/>
    <n v="139"/>
    <s v="M (Jun 22)"/>
    <d v="2022-06-15T00:00:00"/>
    <n v="-1"/>
  </r>
  <r>
    <x v="95"/>
    <x v="10"/>
    <n v="0"/>
    <n v="0"/>
    <n v="0"/>
    <n v="0"/>
    <x v="719"/>
    <n v="0"/>
    <n v="0"/>
    <n v="0"/>
    <n v="0"/>
    <x v="99"/>
    <n v="83"/>
    <s v="J (Apr 22)"/>
    <d v="2022-04-20T00:00:00"/>
    <n v="-1"/>
  </r>
  <r>
    <x v="95"/>
    <x v="9"/>
    <n v="0"/>
    <n v="0"/>
    <n v="0"/>
    <n v="0"/>
    <x v="720"/>
    <n v="0"/>
    <n v="0"/>
    <n v="0"/>
    <n v="0"/>
    <x v="64"/>
    <n v="111"/>
    <s v="K (May 22)"/>
    <d v="2022-05-18T00:00:00"/>
    <n v="-1"/>
  </r>
  <r>
    <x v="95"/>
    <x v="11"/>
    <n v="0"/>
    <n v="0"/>
    <n v="0"/>
    <n v="0"/>
    <x v="721"/>
    <n v="0"/>
    <n v="0"/>
    <n v="0"/>
    <n v="0"/>
    <x v="49"/>
    <n v="47"/>
    <s v="H (Mar 22)"/>
    <d v="2022-03-15T00:00:00"/>
    <n v="-1"/>
  </r>
  <r>
    <x v="95"/>
    <x v="5"/>
    <n v="0"/>
    <n v="0"/>
    <n v="0"/>
    <n v="0"/>
    <x v="282"/>
    <n v="0"/>
    <n v="0"/>
    <n v="0"/>
    <n v="0"/>
    <x v="123"/>
    <n v="265"/>
    <s v="V (Oct 22)"/>
    <d v="2022-10-19T00:00:00"/>
    <n v="-1"/>
  </r>
  <r>
    <x v="95"/>
    <x v="2"/>
    <n v="0"/>
    <n v="0"/>
    <n v="0"/>
    <n v="0"/>
    <x v="722"/>
    <n v="0"/>
    <n v="0"/>
    <n v="0"/>
    <n v="0"/>
    <x v="95"/>
    <n v="174"/>
    <s v="N (Jul 22)"/>
    <d v="2022-07-20T00:00:00"/>
    <n v="-1"/>
  </r>
  <r>
    <x v="96"/>
    <x v="9"/>
    <n v="0"/>
    <n v="0"/>
    <n v="0"/>
    <n v="0"/>
    <x v="723"/>
    <n v="0"/>
    <n v="0"/>
    <n v="0"/>
    <n v="0"/>
    <x v="79"/>
    <n v="112"/>
    <s v="K (May 22)"/>
    <d v="2022-05-18T00:00:00"/>
    <n v="-1"/>
  </r>
  <r>
    <x v="96"/>
    <x v="11"/>
    <n v="0"/>
    <n v="0"/>
    <n v="0"/>
    <n v="0"/>
    <x v="724"/>
    <n v="0"/>
    <n v="0"/>
    <n v="0"/>
    <n v="0"/>
    <x v="55"/>
    <n v="48"/>
    <s v="H (Mar 22)"/>
    <d v="2022-03-15T00:00:00"/>
    <n v="-1"/>
  </r>
  <r>
    <x v="96"/>
    <x v="5"/>
    <n v="0"/>
    <n v="0"/>
    <n v="0"/>
    <n v="0"/>
    <x v="365"/>
    <n v="0"/>
    <n v="0"/>
    <n v="0"/>
    <n v="0"/>
    <x v="186"/>
    <n v="266"/>
    <s v="V (Oct 22)"/>
    <d v="2022-10-19T00:00:00"/>
    <n v="-1"/>
  </r>
  <r>
    <x v="96"/>
    <x v="2"/>
    <n v="0"/>
    <n v="0"/>
    <n v="0"/>
    <n v="0"/>
    <x v="725"/>
    <n v="0"/>
    <n v="0"/>
    <n v="0"/>
    <n v="0"/>
    <x v="107"/>
    <n v="175"/>
    <s v="N (Jul 22)"/>
    <d v="2022-07-20T00:00:00"/>
    <n v="-1"/>
  </r>
  <r>
    <x v="96"/>
    <x v="6"/>
    <n v="0"/>
    <n v="0"/>
    <n v="0"/>
    <n v="0"/>
    <x v="220"/>
    <n v="0"/>
    <n v="0"/>
    <n v="0"/>
    <n v="0"/>
    <x v="66"/>
    <n v="203"/>
    <s v="Q (Aug 22)"/>
    <d v="2022-08-17T00:00:00"/>
    <n v="-1"/>
  </r>
  <r>
    <x v="96"/>
    <x v="12"/>
    <n v="0"/>
    <n v="0"/>
    <n v="0"/>
    <n v="0"/>
    <x v="726"/>
    <n v="0"/>
    <n v="0"/>
    <n v="0"/>
    <n v="0"/>
    <x v="116"/>
    <n v="21"/>
    <s v="G (Feb 22)"/>
    <d v="2022-02-16T00:00:00"/>
    <n v="-1"/>
  </r>
  <r>
    <x v="96"/>
    <x v="7"/>
    <n v="0"/>
    <n v="0"/>
    <n v="0"/>
    <n v="0"/>
    <x v="727"/>
    <n v="0"/>
    <n v="0"/>
    <n v="0"/>
    <n v="0"/>
    <x v="128"/>
    <n v="238"/>
    <s v="U (Sep 22)"/>
    <d v="2022-09-21T00:00:00"/>
    <n v="-1"/>
  </r>
  <r>
    <x v="96"/>
    <x v="8"/>
    <n v="0"/>
    <n v="0"/>
    <n v="0"/>
    <n v="0"/>
    <x v="728"/>
    <n v="0"/>
    <n v="0"/>
    <n v="0"/>
    <n v="0"/>
    <x v="70"/>
    <n v="140"/>
    <s v="M (Jun 22)"/>
    <d v="2022-06-15T00:00:00"/>
    <n v="-1"/>
  </r>
  <r>
    <x v="96"/>
    <x v="10"/>
    <n v="0"/>
    <n v="0"/>
    <n v="0"/>
    <n v="0"/>
    <x v="729"/>
    <n v="0"/>
    <n v="0"/>
    <n v="0"/>
    <n v="0"/>
    <x v="114"/>
    <n v="84"/>
    <s v="J (Apr 22)"/>
    <d v="2022-04-20T00:00:00"/>
    <n v="-1"/>
  </r>
  <r>
    <x v="97"/>
    <x v="6"/>
    <n v="0"/>
    <n v="0"/>
    <n v="0"/>
    <n v="0"/>
    <x v="372"/>
    <n v="0"/>
    <n v="0"/>
    <n v="0"/>
    <n v="0"/>
    <x v="72"/>
    <n v="204"/>
    <s v="Q (Aug 22)"/>
    <d v="2022-08-17T00:00:00"/>
    <n v="-1"/>
  </r>
  <r>
    <x v="97"/>
    <x v="12"/>
    <n v="0"/>
    <n v="0"/>
    <n v="0"/>
    <n v="0"/>
    <x v="730"/>
    <n v="0"/>
    <n v="0"/>
    <n v="0"/>
    <n v="0"/>
    <x v="119"/>
    <n v="22"/>
    <s v="G (Feb 22)"/>
    <d v="2022-02-16T00:00:00"/>
    <n v="-1"/>
  </r>
  <r>
    <x v="97"/>
    <x v="7"/>
    <n v="0"/>
    <n v="0"/>
    <n v="0"/>
    <n v="0"/>
    <x v="731"/>
    <n v="0"/>
    <n v="0"/>
    <n v="0"/>
    <n v="0"/>
    <x v="139"/>
    <n v="239"/>
    <s v="U (Sep 22)"/>
    <d v="2022-09-21T00:00:00"/>
    <n v="-1"/>
  </r>
  <r>
    <x v="97"/>
    <x v="8"/>
    <n v="0"/>
    <n v="0"/>
    <n v="0"/>
    <n v="0"/>
    <x v="732"/>
    <n v="0"/>
    <n v="0"/>
    <n v="0"/>
    <n v="0"/>
    <x v="76"/>
    <n v="141"/>
    <s v="M (Jun 22)"/>
    <d v="2022-06-15T00:00:00"/>
    <n v="-1"/>
  </r>
  <r>
    <x v="97"/>
    <x v="10"/>
    <n v="0"/>
    <n v="0"/>
    <n v="0"/>
    <n v="0"/>
    <x v="733"/>
    <n v="0"/>
    <n v="0"/>
    <n v="0"/>
    <n v="0"/>
    <x v="117"/>
    <n v="85"/>
    <s v="J (Apr 22)"/>
    <d v="2022-04-20T00:00:00"/>
    <n v="-1"/>
  </r>
  <r>
    <x v="97"/>
    <x v="9"/>
    <n v="0"/>
    <n v="0"/>
    <n v="0"/>
    <n v="0"/>
    <x v="734"/>
    <n v="0"/>
    <n v="0"/>
    <n v="0"/>
    <n v="0"/>
    <x v="82"/>
    <n v="113"/>
    <s v="K (May 22)"/>
    <d v="2022-05-18T00:00:00"/>
    <n v="-1"/>
  </r>
  <r>
    <x v="97"/>
    <x v="11"/>
    <n v="0"/>
    <n v="0"/>
    <n v="0"/>
    <n v="0"/>
    <x v="553"/>
    <n v="0"/>
    <n v="0"/>
    <n v="0"/>
    <n v="0"/>
    <x v="67"/>
    <n v="49"/>
    <s v="H (Mar 22)"/>
    <d v="2022-03-15T00:00:00"/>
    <n v="-1"/>
  </r>
  <r>
    <x v="97"/>
    <x v="5"/>
    <n v="0"/>
    <n v="0"/>
    <n v="0"/>
    <n v="0"/>
    <x v="731"/>
    <n v="0"/>
    <n v="0"/>
    <n v="0"/>
    <n v="0"/>
    <x v="187"/>
    <n v="267"/>
    <s v="V (Oct 22)"/>
    <d v="2022-10-19T00:00:00"/>
    <n v="-1"/>
  </r>
  <r>
    <x v="97"/>
    <x v="2"/>
    <n v="0"/>
    <n v="0"/>
    <n v="0"/>
    <n v="0"/>
    <x v="735"/>
    <n v="0"/>
    <n v="0"/>
    <n v="0"/>
    <n v="0"/>
    <x v="113"/>
    <n v="176"/>
    <s v="N (Jul 22)"/>
    <d v="2022-07-20T00:00:00"/>
    <n v="-1"/>
  </r>
  <r>
    <x v="98"/>
    <x v="9"/>
    <n v="0"/>
    <n v="0"/>
    <n v="0"/>
    <n v="0"/>
    <x v="736"/>
    <n v="0"/>
    <n v="0"/>
    <n v="0"/>
    <n v="0"/>
    <x v="97"/>
    <n v="114"/>
    <s v="K (May 22)"/>
    <d v="2022-05-18T00:00:00"/>
    <n v="-1"/>
  </r>
  <r>
    <x v="98"/>
    <x v="11"/>
    <n v="0"/>
    <n v="0"/>
    <n v="0"/>
    <n v="0"/>
    <x v="737"/>
    <n v="0"/>
    <n v="0"/>
    <n v="0"/>
    <n v="0"/>
    <x v="73"/>
    <n v="50"/>
    <s v="H (Mar 22)"/>
    <d v="2022-03-15T00:00:00"/>
    <n v="-1"/>
  </r>
  <r>
    <x v="98"/>
    <x v="5"/>
    <n v="0"/>
    <n v="0"/>
    <n v="0"/>
    <n v="0"/>
    <x v="452"/>
    <n v="0"/>
    <n v="0"/>
    <n v="0"/>
    <n v="0"/>
    <x v="188"/>
    <n v="268"/>
    <s v="V (Oct 22)"/>
    <d v="2022-10-19T00:00:00"/>
    <n v="-1"/>
  </r>
  <r>
    <x v="98"/>
    <x v="2"/>
    <n v="0"/>
    <n v="0"/>
    <n v="0"/>
    <n v="0"/>
    <x v="738"/>
    <n v="0"/>
    <n v="0"/>
    <n v="0"/>
    <n v="0"/>
    <x v="125"/>
    <n v="177"/>
    <s v="N (Jul 22)"/>
    <d v="2022-07-20T00:00:00"/>
    <n v="-1"/>
  </r>
  <r>
    <x v="98"/>
    <x v="6"/>
    <n v="0"/>
    <n v="0"/>
    <n v="0"/>
    <n v="0"/>
    <x v="739"/>
    <n v="0"/>
    <n v="0"/>
    <n v="0"/>
    <n v="0"/>
    <x v="84"/>
    <n v="205"/>
    <s v="Q (Aug 22)"/>
    <d v="2022-08-17T00:00:00"/>
    <n v="-1"/>
  </r>
  <r>
    <x v="98"/>
    <x v="12"/>
    <n v="0"/>
    <n v="0"/>
    <n v="0"/>
    <n v="0"/>
    <x v="740"/>
    <n v="0"/>
    <n v="0"/>
    <n v="0"/>
    <n v="0"/>
    <x v="133"/>
    <n v="23"/>
    <s v="G (Feb 22)"/>
    <d v="2022-02-16T00:00:00"/>
    <n v="-1"/>
  </r>
  <r>
    <x v="98"/>
    <x v="7"/>
    <n v="0"/>
    <n v="0"/>
    <n v="0"/>
    <n v="0"/>
    <x v="317"/>
    <n v="0"/>
    <n v="0"/>
    <n v="0"/>
    <n v="0"/>
    <x v="144"/>
    <n v="240"/>
    <s v="U (Sep 22)"/>
    <d v="2022-09-21T00:00:00"/>
    <n v="-1"/>
  </r>
  <r>
    <x v="98"/>
    <x v="8"/>
    <n v="0"/>
    <n v="0"/>
    <n v="0"/>
    <n v="0"/>
    <x v="741"/>
    <n v="0"/>
    <n v="0"/>
    <n v="0"/>
    <n v="0"/>
    <x v="88"/>
    <n v="142"/>
    <s v="M (Jun 22)"/>
    <d v="2022-06-15T00:00:00"/>
    <n v="-1"/>
  </r>
  <r>
    <x v="98"/>
    <x v="10"/>
    <n v="0"/>
    <n v="0"/>
    <n v="0"/>
    <n v="0"/>
    <x v="742"/>
    <n v="0"/>
    <n v="0"/>
    <n v="0"/>
    <n v="0"/>
    <x v="131"/>
    <n v="86"/>
    <s v="J (Apr 22)"/>
    <d v="2022-04-20T00:00:00"/>
    <n v="-1"/>
  </r>
  <r>
    <x v="99"/>
    <x v="6"/>
    <n v="0"/>
    <n v="0"/>
    <n v="0"/>
    <n v="0"/>
    <x v="743"/>
    <n v="0"/>
    <n v="0"/>
    <n v="0"/>
    <n v="0"/>
    <x v="90"/>
    <n v="208"/>
    <s v="Q (Aug 22)"/>
    <d v="2022-08-17T00:00:00"/>
    <n v="-1"/>
  </r>
  <r>
    <x v="99"/>
    <x v="12"/>
    <n v="0"/>
    <n v="0"/>
    <n v="0"/>
    <n v="0"/>
    <x v="744"/>
    <n v="0"/>
    <n v="0"/>
    <n v="0"/>
    <n v="0"/>
    <x v="136"/>
    <n v="26"/>
    <s v="G (Feb 22)"/>
    <d v="2022-02-16T00:00:00"/>
    <n v="-1"/>
  </r>
  <r>
    <x v="99"/>
    <x v="7"/>
    <n v="0"/>
    <n v="0"/>
    <n v="0"/>
    <n v="0"/>
    <x v="568"/>
    <n v="0"/>
    <n v="0"/>
    <n v="0"/>
    <n v="0"/>
    <x v="155"/>
    <n v="243"/>
    <s v="U (Sep 22)"/>
    <d v="2022-09-21T00:00:00"/>
    <n v="-1"/>
  </r>
  <r>
    <x v="99"/>
    <x v="8"/>
    <n v="0"/>
    <n v="0"/>
    <n v="0"/>
    <n v="0"/>
    <x v="745"/>
    <n v="0"/>
    <n v="0"/>
    <n v="0"/>
    <n v="0"/>
    <x v="94"/>
    <n v="145"/>
    <s v="M (Jun 22)"/>
    <d v="2022-06-15T00:00:00"/>
    <n v="-1"/>
  </r>
  <r>
    <x v="99"/>
    <x v="10"/>
    <n v="0"/>
    <n v="0"/>
    <n v="0"/>
    <n v="0"/>
    <x v="746"/>
    <n v="0"/>
    <n v="0"/>
    <n v="0"/>
    <n v="0"/>
    <x v="134"/>
    <n v="89"/>
    <s v="J (Apr 22)"/>
    <d v="2022-04-20T00:00:00"/>
    <n v="-1"/>
  </r>
  <r>
    <x v="99"/>
    <x v="9"/>
    <n v="0"/>
    <n v="0"/>
    <n v="0"/>
    <n v="0"/>
    <x v="747"/>
    <n v="0"/>
    <n v="0"/>
    <n v="0"/>
    <n v="0"/>
    <x v="100"/>
    <n v="117"/>
    <s v="K (May 22)"/>
    <d v="2022-05-18T00:00:00"/>
    <n v="-1"/>
  </r>
  <r>
    <x v="99"/>
    <x v="11"/>
    <n v="0"/>
    <n v="0"/>
    <n v="0"/>
    <n v="0"/>
    <x v="748"/>
    <n v="0"/>
    <n v="0"/>
    <n v="0"/>
    <n v="0"/>
    <x v="85"/>
    <n v="53"/>
    <s v="H (Mar 22)"/>
    <d v="2022-03-15T00:00:00"/>
    <n v="-1"/>
  </r>
  <r>
    <x v="99"/>
    <x v="2"/>
    <n v="0"/>
    <n v="0"/>
    <n v="0"/>
    <n v="0"/>
    <x v="749"/>
    <n v="0"/>
    <n v="0"/>
    <n v="0"/>
    <n v="0"/>
    <x v="130"/>
    <n v="180"/>
    <s v="N (Jul 22)"/>
    <d v="2022-07-20T00:00:00"/>
    <n v="-1"/>
  </r>
  <r>
    <x v="100"/>
    <x v="9"/>
    <n v="0"/>
    <n v="0"/>
    <n v="0"/>
    <n v="0"/>
    <x v="750"/>
    <n v="0"/>
    <n v="0"/>
    <n v="0"/>
    <n v="0"/>
    <x v="115"/>
    <n v="118"/>
    <s v="K (May 22)"/>
    <d v="2022-05-18T00:00:00"/>
    <n v="-1"/>
  </r>
  <r>
    <x v="100"/>
    <x v="11"/>
    <n v="0"/>
    <n v="0"/>
    <n v="0"/>
    <n v="0"/>
    <x v="751"/>
    <n v="0"/>
    <n v="0"/>
    <n v="0"/>
    <n v="0"/>
    <x v="91"/>
    <n v="54"/>
    <s v="H (Mar 22)"/>
    <d v="2022-03-15T00:00:00"/>
    <n v="-1"/>
  </r>
  <r>
    <x v="100"/>
    <x v="2"/>
    <n v="0"/>
    <n v="0"/>
    <n v="0"/>
    <n v="0"/>
    <x v="752"/>
    <n v="0"/>
    <n v="0"/>
    <n v="0"/>
    <n v="0"/>
    <x v="141"/>
    <n v="181"/>
    <s v="N (Jul 22)"/>
    <d v="2022-07-20T00:00:00"/>
    <n v="-1"/>
  </r>
  <r>
    <x v="100"/>
    <x v="6"/>
    <n v="0"/>
    <n v="0"/>
    <n v="0"/>
    <n v="0"/>
    <x v="753"/>
    <n v="0"/>
    <n v="0"/>
    <n v="0"/>
    <n v="0"/>
    <x v="102"/>
    <n v="209"/>
    <s v="Q (Aug 22)"/>
    <d v="2022-08-17T00:00:00"/>
    <n v="-1"/>
  </r>
  <r>
    <x v="100"/>
    <x v="12"/>
    <n v="0"/>
    <n v="0"/>
    <n v="0"/>
    <n v="0"/>
    <x v="754"/>
    <n v="0"/>
    <n v="0"/>
    <n v="0"/>
    <n v="0"/>
    <x v="150"/>
    <n v="27"/>
    <s v="G (Feb 22)"/>
    <d v="2022-02-16T00:00:00"/>
    <n v="-1"/>
  </r>
  <r>
    <x v="100"/>
    <x v="7"/>
    <n v="0"/>
    <n v="0"/>
    <n v="0"/>
    <n v="0"/>
    <x v="318"/>
    <n v="0"/>
    <n v="0"/>
    <n v="0"/>
    <n v="0"/>
    <x v="160"/>
    <n v="244"/>
    <s v="U (Sep 22)"/>
    <d v="2022-09-21T00:00:00"/>
    <n v="-1"/>
  </r>
  <r>
    <x v="100"/>
    <x v="8"/>
    <n v="0"/>
    <n v="0"/>
    <n v="0"/>
    <n v="0"/>
    <x v="755"/>
    <n v="0"/>
    <n v="0"/>
    <n v="0"/>
    <n v="0"/>
    <x v="106"/>
    <n v="146"/>
    <s v="M (Jun 22)"/>
    <d v="2022-06-15T00:00:00"/>
    <n v="-1"/>
  </r>
  <r>
    <x v="100"/>
    <x v="10"/>
    <n v="0"/>
    <n v="0"/>
    <n v="0"/>
    <n v="0"/>
    <x v="756"/>
    <n v="0"/>
    <n v="0"/>
    <n v="0"/>
    <n v="0"/>
    <x v="148"/>
    <n v="90"/>
    <s v="J (Apr 22)"/>
    <d v="2022-04-20T00:00:00"/>
    <n v="-1"/>
  </r>
  <r>
    <x v="101"/>
    <x v="6"/>
    <n v="0"/>
    <n v="0"/>
    <n v="0"/>
    <n v="0"/>
    <x v="757"/>
    <n v="0"/>
    <n v="0"/>
    <n v="0"/>
    <n v="0"/>
    <x v="108"/>
    <n v="210"/>
    <s v="Q (Aug 22)"/>
    <d v="2022-08-17T00:00:00"/>
    <n v="-1"/>
  </r>
  <r>
    <x v="101"/>
    <x v="12"/>
    <n v="0"/>
    <n v="0"/>
    <n v="0"/>
    <n v="0"/>
    <x v="758"/>
    <n v="0"/>
    <n v="0"/>
    <n v="0"/>
    <n v="0"/>
    <x v="153"/>
    <n v="28"/>
    <s v="G (Feb 22)"/>
    <d v="2022-02-16T00:00:00"/>
    <n v="-1"/>
  </r>
  <r>
    <x v="101"/>
    <x v="7"/>
    <n v="0"/>
    <n v="0"/>
    <n v="0"/>
    <n v="0"/>
    <x v="759"/>
    <n v="0"/>
    <n v="0"/>
    <n v="0"/>
    <n v="0"/>
    <x v="171"/>
    <n v="245"/>
    <s v="U (Sep 22)"/>
    <d v="2022-09-21T00:00:00"/>
    <n v="-1"/>
  </r>
  <r>
    <x v="101"/>
    <x v="8"/>
    <n v="0"/>
    <n v="0"/>
    <n v="0"/>
    <n v="0"/>
    <x v="760"/>
    <n v="0"/>
    <n v="0"/>
    <n v="0"/>
    <n v="0"/>
    <x v="112"/>
    <n v="147"/>
    <s v="M (Jun 22)"/>
    <d v="2022-06-15T00:00:00"/>
    <n v="-1"/>
  </r>
  <r>
    <x v="101"/>
    <x v="10"/>
    <n v="0"/>
    <n v="0"/>
    <n v="0"/>
    <n v="0"/>
    <x v="761"/>
    <n v="0"/>
    <n v="0"/>
    <n v="0"/>
    <n v="0"/>
    <x v="151"/>
    <n v="91"/>
    <s v="J (Apr 22)"/>
    <d v="2022-04-20T00:00:00"/>
    <n v="-1"/>
  </r>
  <r>
    <x v="101"/>
    <x v="13"/>
    <n v="0"/>
    <n v="0"/>
    <n v="0"/>
    <n v="0"/>
    <x v="762"/>
    <n v="0"/>
    <n v="0"/>
    <n v="0"/>
    <n v="0"/>
    <x v="145"/>
    <n v="0"/>
    <s v="F (Jan 22)"/>
    <d v="2022-01-19T00:00:00"/>
    <n v="-1"/>
  </r>
  <r>
    <x v="101"/>
    <x v="9"/>
    <n v="0"/>
    <n v="0"/>
    <n v="0"/>
    <n v="0"/>
    <x v="763"/>
    <n v="0"/>
    <n v="0"/>
    <n v="0"/>
    <n v="0"/>
    <x v="118"/>
    <n v="119"/>
    <s v="K (May 22)"/>
    <d v="2022-05-18T00:00:00"/>
    <n v="-1"/>
  </r>
  <r>
    <x v="101"/>
    <x v="11"/>
    <n v="0"/>
    <n v="0"/>
    <n v="0"/>
    <n v="0"/>
    <x v="764"/>
    <n v="0"/>
    <n v="0"/>
    <n v="0"/>
    <n v="0"/>
    <x v="103"/>
    <n v="55"/>
    <s v="H (Mar 22)"/>
    <d v="2022-03-15T00:00:00"/>
    <n v="-1"/>
  </r>
  <r>
    <x v="101"/>
    <x v="2"/>
    <n v="0"/>
    <n v="0"/>
    <n v="0"/>
    <n v="0"/>
    <x v="765"/>
    <n v="0"/>
    <n v="0"/>
    <n v="0"/>
    <n v="0"/>
    <x v="147"/>
    <n v="182"/>
    <s v="N (Jul 22)"/>
    <d v="2022-07-20T00:00:00"/>
    <n v="-1"/>
  </r>
  <r>
    <x v="102"/>
    <x v="9"/>
    <n v="0"/>
    <n v="0"/>
    <n v="0"/>
    <n v="0"/>
    <x v="766"/>
    <n v="0"/>
    <n v="0"/>
    <n v="0"/>
    <n v="0"/>
    <x v="132"/>
    <n v="120"/>
    <s v="K (May 22)"/>
    <d v="2022-05-18T00:00:00"/>
    <n v="-1"/>
  </r>
  <r>
    <x v="102"/>
    <x v="11"/>
    <n v="0"/>
    <n v="0"/>
    <n v="0"/>
    <n v="0"/>
    <x v="767"/>
    <n v="0"/>
    <n v="0"/>
    <n v="0"/>
    <n v="0"/>
    <x v="109"/>
    <n v="56"/>
    <s v="H (Mar 22)"/>
    <d v="2022-03-15T00:00:00"/>
    <n v="-1"/>
  </r>
  <r>
    <x v="102"/>
    <x v="2"/>
    <n v="0"/>
    <n v="0"/>
    <n v="0"/>
    <n v="0"/>
    <x v="768"/>
    <n v="0"/>
    <n v="0"/>
    <n v="0"/>
    <n v="0"/>
    <x v="158"/>
    <n v="183"/>
    <s v="N (Jul 22)"/>
    <d v="2022-07-20T00:00:00"/>
    <n v="-1"/>
  </r>
  <r>
    <x v="102"/>
    <x v="6"/>
    <n v="0"/>
    <n v="0"/>
    <n v="0"/>
    <n v="0"/>
    <x v="769"/>
    <n v="0"/>
    <n v="0"/>
    <n v="0"/>
    <n v="0"/>
    <x v="120"/>
    <n v="211"/>
    <s v="Q (Aug 22)"/>
    <d v="2022-08-17T00:00:00"/>
    <n v="-1"/>
  </r>
  <r>
    <x v="102"/>
    <x v="12"/>
    <n v="0"/>
    <n v="0"/>
    <n v="0"/>
    <n v="0"/>
    <x v="770"/>
    <n v="0"/>
    <n v="0"/>
    <n v="0"/>
    <n v="0"/>
    <x v="166"/>
    <n v="29"/>
    <s v="G (Feb 22)"/>
    <d v="2022-02-16T00:00:00"/>
    <n v="-1"/>
  </r>
  <r>
    <x v="102"/>
    <x v="7"/>
    <n v="0"/>
    <n v="0"/>
    <n v="0"/>
    <n v="0"/>
    <x v="461"/>
    <n v="0"/>
    <n v="0"/>
    <n v="0"/>
    <n v="0"/>
    <x v="4"/>
    <n v="246"/>
    <s v="U (Sep 22)"/>
    <d v="2022-09-21T00:00:00"/>
    <n v="-1"/>
  </r>
  <r>
    <x v="102"/>
    <x v="8"/>
    <n v="0"/>
    <n v="0"/>
    <n v="0"/>
    <n v="0"/>
    <x v="771"/>
    <n v="0"/>
    <n v="0"/>
    <n v="0"/>
    <n v="0"/>
    <x v="124"/>
    <n v="148"/>
    <s v="M (Jun 22)"/>
    <d v="2022-06-15T00:00:00"/>
    <n v="-1"/>
  </r>
  <r>
    <x v="102"/>
    <x v="10"/>
    <n v="0"/>
    <n v="0"/>
    <n v="0"/>
    <n v="0"/>
    <x v="772"/>
    <n v="0"/>
    <n v="0"/>
    <n v="0"/>
    <n v="0"/>
    <x v="164"/>
    <n v="92"/>
    <s v="J (Apr 22)"/>
    <d v="2022-04-20T00:00:00"/>
    <n v="-1"/>
  </r>
  <r>
    <x v="102"/>
    <x v="13"/>
    <n v="0"/>
    <n v="0"/>
    <n v="0"/>
    <n v="0"/>
    <x v="773"/>
    <n v="0"/>
    <n v="0"/>
    <n v="0"/>
    <n v="0"/>
    <x v="156"/>
    <n v="1"/>
    <s v="F (Jan 22)"/>
    <d v="2022-01-19T00:00:00"/>
    <n v="-1"/>
  </r>
  <r>
    <x v="103"/>
    <x v="6"/>
    <n v="0"/>
    <n v="0"/>
    <n v="0"/>
    <n v="0"/>
    <x v="774"/>
    <n v="0"/>
    <n v="0"/>
    <n v="0"/>
    <n v="0"/>
    <x v="126"/>
    <n v="215"/>
    <s v="Q (Aug 22)"/>
    <d v="2022-08-17T00:00:00"/>
    <n v="-1"/>
  </r>
  <r>
    <x v="103"/>
    <x v="12"/>
    <n v="0"/>
    <n v="0"/>
    <n v="0"/>
    <n v="0"/>
    <x v="775"/>
    <n v="0"/>
    <n v="0"/>
    <n v="0"/>
    <n v="0"/>
    <x v="169"/>
    <n v="33"/>
    <s v="G (Feb 22)"/>
    <d v="2022-02-16T00:00:00"/>
    <n v="-1"/>
  </r>
  <r>
    <x v="103"/>
    <x v="7"/>
    <n v="0"/>
    <n v="0"/>
    <n v="0"/>
    <n v="0"/>
    <x v="776"/>
    <n v="0"/>
    <n v="0"/>
    <n v="0"/>
    <n v="0"/>
    <x v="16"/>
    <n v="250"/>
    <s v="U (Sep 22)"/>
    <d v="2022-09-21T00:00:00"/>
    <n v="-1"/>
  </r>
  <r>
    <x v="103"/>
    <x v="8"/>
    <n v="0"/>
    <n v="0"/>
    <n v="0"/>
    <n v="0"/>
    <x v="777"/>
    <n v="0"/>
    <n v="0"/>
    <n v="0"/>
    <n v="0"/>
    <x v="129"/>
    <n v="152"/>
    <s v="M (Jun 22)"/>
    <d v="2022-06-15T00:00:00"/>
    <n v="-1"/>
  </r>
  <r>
    <x v="103"/>
    <x v="10"/>
    <n v="0"/>
    <n v="0"/>
    <n v="0"/>
    <n v="0"/>
    <x v="778"/>
    <n v="0"/>
    <n v="0"/>
    <n v="0"/>
    <n v="0"/>
    <x v="167"/>
    <n v="96"/>
    <s v="J (Apr 22)"/>
    <d v="2022-04-20T00:00:00"/>
    <n v="-1"/>
  </r>
  <r>
    <x v="103"/>
    <x v="13"/>
    <n v="0"/>
    <n v="0"/>
    <n v="0"/>
    <n v="0"/>
    <x v="779"/>
    <n v="0"/>
    <n v="0"/>
    <n v="0"/>
    <n v="0"/>
    <x v="161"/>
    <n v="5"/>
    <s v="F (Jan 22)"/>
    <d v="2022-01-19T00:00:00"/>
    <n v="-1"/>
  </r>
  <r>
    <x v="103"/>
    <x v="9"/>
    <n v="0"/>
    <n v="0"/>
    <n v="0"/>
    <n v="0"/>
    <x v="780"/>
    <n v="0"/>
    <n v="0"/>
    <n v="0"/>
    <n v="0"/>
    <x v="135"/>
    <n v="124"/>
    <s v="K (May 22)"/>
    <d v="2022-05-18T00:00:00"/>
    <n v="-1"/>
  </r>
  <r>
    <x v="103"/>
    <x v="11"/>
    <n v="0"/>
    <n v="0"/>
    <n v="0"/>
    <n v="0"/>
    <x v="781"/>
    <n v="0"/>
    <n v="0"/>
    <n v="0"/>
    <n v="0"/>
    <x v="121"/>
    <n v="60"/>
    <s v="H (Mar 22)"/>
    <d v="2022-03-15T00:00:00"/>
    <n v="-1"/>
  </r>
  <r>
    <x v="103"/>
    <x v="2"/>
    <n v="0"/>
    <n v="0"/>
    <n v="0"/>
    <n v="0"/>
    <x v="782"/>
    <n v="0"/>
    <n v="0"/>
    <n v="0"/>
    <n v="0"/>
    <x v="163"/>
    <n v="187"/>
    <s v="N (Jul 22)"/>
    <d v="2022-07-20T00:00:00"/>
    <n v="-1"/>
  </r>
  <r>
    <x v="104"/>
    <x v="9"/>
    <n v="0"/>
    <n v="0"/>
    <n v="0"/>
    <n v="0"/>
    <x v="783"/>
    <n v="0"/>
    <n v="0"/>
    <n v="0"/>
    <n v="0"/>
    <x v="149"/>
    <n v="125"/>
    <s v="K (May 22)"/>
    <d v="2022-05-18T00:00:00"/>
    <n v="-1"/>
  </r>
  <r>
    <x v="104"/>
    <x v="11"/>
    <n v="0"/>
    <n v="0"/>
    <n v="0"/>
    <n v="0"/>
    <x v="784"/>
    <n v="0"/>
    <n v="0"/>
    <n v="0"/>
    <n v="0"/>
    <x v="127"/>
    <n v="61"/>
    <s v="H (Mar 22)"/>
    <d v="2022-03-15T00:00:00"/>
    <n v="-1"/>
  </r>
  <r>
    <x v="104"/>
    <x v="2"/>
    <n v="0"/>
    <n v="0"/>
    <n v="0"/>
    <n v="0"/>
    <x v="785"/>
    <n v="0"/>
    <n v="0"/>
    <n v="0"/>
    <n v="0"/>
    <x v="173"/>
    <n v="188"/>
    <s v="N (Jul 22)"/>
    <d v="2022-07-20T00:00:00"/>
    <n v="-1"/>
  </r>
  <r>
    <x v="104"/>
    <x v="6"/>
    <n v="0"/>
    <n v="0"/>
    <n v="0"/>
    <n v="0"/>
    <x v="375"/>
    <n v="0"/>
    <n v="0"/>
    <n v="0"/>
    <n v="0"/>
    <x v="137"/>
    <n v="216"/>
    <s v="Q (Aug 22)"/>
    <d v="2022-08-17T00:00:00"/>
    <n v="-1"/>
  </r>
  <r>
    <x v="104"/>
    <x v="12"/>
    <n v="0"/>
    <n v="0"/>
    <n v="0"/>
    <n v="0"/>
    <x v="786"/>
    <n v="0"/>
    <n v="0"/>
    <n v="0"/>
    <n v="0"/>
    <x v="176"/>
    <n v="34"/>
    <s v="G (Feb 22)"/>
    <d v="2022-02-16T00:00:00"/>
    <n v="-1"/>
  </r>
  <r>
    <x v="104"/>
    <x v="7"/>
    <n v="0"/>
    <n v="0"/>
    <n v="0"/>
    <n v="0"/>
    <x v="313"/>
    <n v="0"/>
    <n v="0"/>
    <n v="0"/>
    <n v="0"/>
    <x v="22"/>
    <n v="251"/>
    <s v="U (Sep 22)"/>
    <d v="2022-09-21T00:00:00"/>
    <n v="-1"/>
  </r>
  <r>
    <x v="104"/>
    <x v="8"/>
    <n v="0"/>
    <n v="0"/>
    <n v="0"/>
    <n v="0"/>
    <x v="787"/>
    <n v="0"/>
    <n v="0"/>
    <n v="0"/>
    <n v="0"/>
    <x v="140"/>
    <n v="153"/>
    <s v="M (Jun 22)"/>
    <d v="2022-06-15T00:00:00"/>
    <n v="-1"/>
  </r>
  <r>
    <x v="104"/>
    <x v="10"/>
    <n v="0"/>
    <n v="0"/>
    <n v="0"/>
    <n v="0"/>
    <x v="788"/>
    <n v="0"/>
    <n v="0"/>
    <n v="0"/>
    <n v="0"/>
    <x v="175"/>
    <n v="97"/>
    <s v="J (Apr 22)"/>
    <d v="2022-04-20T00:00:00"/>
    <n v="-1"/>
  </r>
  <r>
    <x v="104"/>
    <x v="13"/>
    <n v="0"/>
    <n v="0"/>
    <n v="0"/>
    <n v="0"/>
    <x v="789"/>
    <n v="0"/>
    <n v="0"/>
    <n v="0"/>
    <n v="0"/>
    <x v="8"/>
    <n v="6"/>
    <s v="F (Jan 22)"/>
    <d v="2022-01-19T00:00:00"/>
    <n v="-1"/>
  </r>
  <r>
    <x v="105"/>
    <x v="6"/>
    <n v="0"/>
    <n v="0"/>
    <n v="0"/>
    <n v="0"/>
    <x v="790"/>
    <n v="0"/>
    <n v="0"/>
    <n v="0"/>
    <n v="0"/>
    <x v="142"/>
    <n v="217"/>
    <s v="Q (Aug 22)"/>
    <d v="2022-08-17T00:00:00"/>
    <n v="-1"/>
  </r>
  <r>
    <x v="105"/>
    <x v="12"/>
    <n v="0"/>
    <n v="0"/>
    <n v="0"/>
    <n v="0"/>
    <x v="791"/>
    <n v="0"/>
    <n v="0"/>
    <n v="0"/>
    <n v="0"/>
    <x v="178"/>
    <n v="35"/>
    <s v="G (Feb 22)"/>
    <d v="2022-02-16T00:00:00"/>
    <n v="-1"/>
  </r>
  <r>
    <x v="105"/>
    <x v="7"/>
    <n v="0"/>
    <n v="0"/>
    <n v="0"/>
    <n v="0"/>
    <x v="406"/>
    <n v="0"/>
    <n v="0"/>
    <n v="0"/>
    <n v="0"/>
    <x v="33"/>
    <n v="252"/>
    <s v="U (Sep 22)"/>
    <d v="2022-09-21T00:00:00"/>
    <n v="-1"/>
  </r>
  <r>
    <x v="105"/>
    <x v="8"/>
    <n v="0"/>
    <n v="0"/>
    <n v="0"/>
    <n v="0"/>
    <x v="792"/>
    <n v="0"/>
    <n v="0"/>
    <n v="0"/>
    <n v="0"/>
    <x v="146"/>
    <n v="154"/>
    <s v="M (Jun 22)"/>
    <d v="2022-06-15T00:00:00"/>
    <n v="-1"/>
  </r>
  <r>
    <x v="105"/>
    <x v="10"/>
    <n v="0"/>
    <n v="0"/>
    <n v="0"/>
    <n v="0"/>
    <x v="793"/>
    <n v="0"/>
    <n v="0"/>
    <n v="0"/>
    <n v="0"/>
    <x v="177"/>
    <n v="98"/>
    <s v="J (Apr 22)"/>
    <d v="2022-04-20T00:00:00"/>
    <n v="-1"/>
  </r>
  <r>
    <x v="105"/>
    <x v="13"/>
    <n v="0"/>
    <n v="0"/>
    <n v="0"/>
    <n v="0"/>
    <x v="794"/>
    <n v="0"/>
    <n v="0"/>
    <n v="0"/>
    <n v="0"/>
    <x v="11"/>
    <n v="7"/>
    <s v="F (Jan 22)"/>
    <d v="2022-01-19T00:00:00"/>
    <n v="-1"/>
  </r>
  <r>
    <x v="105"/>
    <x v="9"/>
    <n v="0"/>
    <n v="0"/>
    <n v="0"/>
    <n v="0"/>
    <x v="308"/>
    <n v="0"/>
    <n v="0"/>
    <n v="0"/>
    <n v="0"/>
    <x v="152"/>
    <n v="126"/>
    <s v="K (May 22)"/>
    <d v="2022-05-18T00:00:00"/>
    <n v="-1"/>
  </r>
  <r>
    <x v="105"/>
    <x v="11"/>
    <n v="0"/>
    <n v="0"/>
    <n v="0"/>
    <n v="0"/>
    <x v="795"/>
    <n v="0"/>
    <n v="0"/>
    <n v="0"/>
    <n v="0"/>
    <x v="138"/>
    <n v="62"/>
    <s v="H (Mar 22)"/>
    <d v="2022-03-15T00:00:00"/>
    <n v="-1"/>
  </r>
  <r>
    <x v="105"/>
    <x v="2"/>
    <n v="0"/>
    <n v="0"/>
    <n v="0"/>
    <n v="0"/>
    <x v="796"/>
    <n v="0"/>
    <n v="0"/>
    <n v="0"/>
    <n v="0"/>
    <x v="174"/>
    <n v="189"/>
    <s v="N (Jul 22)"/>
    <d v="2022-07-20T00:00:00"/>
    <n v="-1"/>
  </r>
  <r>
    <x v="106"/>
    <x v="9"/>
    <n v="0"/>
    <n v="0"/>
    <n v="0"/>
    <n v="0"/>
    <x v="797"/>
    <n v="0"/>
    <n v="0"/>
    <n v="0"/>
    <n v="0"/>
    <x v="165"/>
    <n v="127"/>
    <s v="K (May 22)"/>
    <d v="2022-05-18T00:00:00"/>
    <n v="-1"/>
  </r>
  <r>
    <x v="106"/>
    <x v="11"/>
    <n v="0"/>
    <n v="0"/>
    <n v="0"/>
    <n v="0"/>
    <x v="798"/>
    <n v="0"/>
    <n v="0"/>
    <n v="0"/>
    <n v="0"/>
    <x v="143"/>
    <n v="63"/>
    <s v="H (Mar 22)"/>
    <d v="2022-03-15T00:00:00"/>
    <n v="-1"/>
  </r>
  <r>
    <x v="106"/>
    <x v="2"/>
    <n v="0"/>
    <n v="0"/>
    <n v="0"/>
    <n v="0"/>
    <x v="799"/>
    <n v="0"/>
    <n v="0"/>
    <n v="0"/>
    <n v="0"/>
    <x v="179"/>
    <n v="190"/>
    <s v="N (Jul 22)"/>
    <d v="2022-07-20T00:00:00"/>
    <n v="-1"/>
  </r>
  <r>
    <x v="106"/>
    <x v="6"/>
    <n v="0"/>
    <n v="0"/>
    <n v="0"/>
    <n v="0"/>
    <x v="426"/>
    <n v="0"/>
    <n v="0"/>
    <n v="0"/>
    <n v="0"/>
    <x v="3"/>
    <n v="218"/>
    <s v="Q (Aug 22)"/>
    <d v="2022-08-17T00:00:00"/>
    <n v="-1"/>
  </r>
  <r>
    <x v="106"/>
    <x v="12"/>
    <n v="0"/>
    <n v="0"/>
    <n v="0"/>
    <n v="0"/>
    <x v="800"/>
    <n v="0"/>
    <n v="0"/>
    <n v="0"/>
    <n v="0"/>
    <x v="182"/>
    <n v="36"/>
    <s v="G (Feb 22)"/>
    <d v="2022-02-16T00:00:00"/>
    <n v="-1"/>
  </r>
  <r>
    <x v="106"/>
    <x v="7"/>
    <n v="0"/>
    <n v="0"/>
    <n v="0"/>
    <n v="0"/>
    <x v="454"/>
    <n v="0"/>
    <n v="0"/>
    <n v="0"/>
    <n v="0"/>
    <x v="39"/>
    <n v="253"/>
    <s v="U (Sep 22)"/>
    <d v="2022-09-21T00:00:00"/>
    <n v="-1"/>
  </r>
  <r>
    <x v="106"/>
    <x v="8"/>
    <n v="0"/>
    <n v="0"/>
    <n v="0"/>
    <n v="0"/>
    <x v="801"/>
    <n v="0"/>
    <n v="0"/>
    <n v="0"/>
    <n v="0"/>
    <x v="157"/>
    <n v="155"/>
    <s v="M (Jun 22)"/>
    <d v="2022-06-15T00:00:00"/>
    <n v="-1"/>
  </r>
  <r>
    <x v="106"/>
    <x v="10"/>
    <n v="0"/>
    <n v="0"/>
    <n v="0"/>
    <n v="0"/>
    <x v="802"/>
    <n v="0"/>
    <n v="0"/>
    <n v="0"/>
    <n v="0"/>
    <x v="181"/>
    <n v="99"/>
    <s v="J (Apr 22)"/>
    <d v="2022-04-20T00:00:00"/>
    <n v="-1"/>
  </r>
  <r>
    <x v="106"/>
    <x v="13"/>
    <n v="0"/>
    <n v="0"/>
    <n v="0"/>
    <n v="0"/>
    <x v="803"/>
    <n v="0"/>
    <n v="0"/>
    <n v="0"/>
    <n v="0"/>
    <x v="26"/>
    <n v="8"/>
    <s v="F (Jan 22)"/>
    <d v="2022-01-19T00:00:00"/>
    <n v="-1"/>
  </r>
  <r>
    <x v="107"/>
    <x v="6"/>
    <n v="0"/>
    <n v="0"/>
    <n v="0"/>
    <n v="0"/>
    <x v="804"/>
    <n v="0"/>
    <n v="0"/>
    <n v="0"/>
    <n v="0"/>
    <x v="15"/>
    <n v="219"/>
    <s v="Q (Aug 22)"/>
    <d v="2022-08-17T00:00:00"/>
    <n v="-1"/>
  </r>
  <r>
    <x v="107"/>
    <x v="12"/>
    <n v="0"/>
    <n v="0"/>
    <n v="0"/>
    <n v="0"/>
    <x v="805"/>
    <n v="0"/>
    <n v="0"/>
    <n v="0"/>
    <n v="0"/>
    <x v="184"/>
    <n v="37"/>
    <s v="G (Feb 22)"/>
    <d v="2022-02-16T00:00:00"/>
    <n v="-1"/>
  </r>
  <r>
    <x v="107"/>
    <x v="7"/>
    <n v="0"/>
    <n v="0"/>
    <n v="0"/>
    <n v="0"/>
    <x v="430"/>
    <n v="0"/>
    <n v="0"/>
    <n v="0"/>
    <n v="0"/>
    <x v="51"/>
    <n v="254"/>
    <s v="U (Sep 22)"/>
    <d v="2022-09-21T00:00:00"/>
    <n v="-1"/>
  </r>
  <r>
    <x v="107"/>
    <x v="8"/>
    <n v="0"/>
    <n v="0"/>
    <n v="0"/>
    <n v="0"/>
    <x v="806"/>
    <n v="0"/>
    <n v="0"/>
    <n v="0"/>
    <n v="0"/>
    <x v="162"/>
    <n v="156"/>
    <s v="M (Jun 22)"/>
    <d v="2022-06-15T00:00:00"/>
    <n v="-1"/>
  </r>
  <r>
    <x v="107"/>
    <x v="10"/>
    <n v="0"/>
    <n v="0"/>
    <n v="0"/>
    <n v="0"/>
    <x v="807"/>
    <n v="0"/>
    <n v="0"/>
    <n v="0"/>
    <n v="0"/>
    <x v="183"/>
    <n v="100"/>
    <s v="J (Apr 22)"/>
    <d v="2022-04-20T00:00:00"/>
    <n v="-1"/>
  </r>
  <r>
    <x v="107"/>
    <x v="13"/>
    <n v="0"/>
    <n v="0"/>
    <n v="0"/>
    <n v="0"/>
    <x v="808"/>
    <n v="0"/>
    <n v="0"/>
    <n v="0"/>
    <n v="0"/>
    <x v="29"/>
    <n v="9"/>
    <s v="F (Jan 22)"/>
    <d v="2022-01-19T00:00:00"/>
    <n v="-1"/>
  </r>
  <r>
    <x v="107"/>
    <x v="9"/>
    <n v="0"/>
    <n v="0"/>
    <n v="0"/>
    <n v="0"/>
    <x v="809"/>
    <n v="0"/>
    <n v="0"/>
    <n v="0"/>
    <n v="0"/>
    <x v="168"/>
    <n v="128"/>
    <s v="K (May 22)"/>
    <d v="2022-05-18T00:00:00"/>
    <n v="-1"/>
  </r>
  <r>
    <x v="107"/>
    <x v="11"/>
    <n v="0"/>
    <n v="0"/>
    <n v="0"/>
    <n v="0"/>
    <x v="810"/>
    <n v="0"/>
    <n v="0"/>
    <n v="0"/>
    <n v="0"/>
    <x v="154"/>
    <n v="64"/>
    <s v="H (Mar 22)"/>
    <d v="2022-03-15T00:00:00"/>
    <n v="-1"/>
  </r>
  <r>
    <x v="107"/>
    <x v="2"/>
    <n v="0"/>
    <n v="0"/>
    <n v="0"/>
    <n v="0"/>
    <x v="811"/>
    <n v="0"/>
    <n v="0"/>
    <n v="0"/>
    <n v="0"/>
    <x v="180"/>
    <n v="191"/>
    <s v="N (Jul 22)"/>
    <d v="2022-07-20T00:00:00"/>
    <n v="-1"/>
  </r>
  <r>
    <x v="108"/>
    <x v="9"/>
    <n v="0"/>
    <n v="0"/>
    <n v="0"/>
    <n v="0"/>
    <x v="812"/>
    <n v="0"/>
    <n v="0"/>
    <n v="0"/>
    <n v="0"/>
    <x v="5"/>
    <n v="131"/>
    <s v="K (May 22)"/>
    <d v="2022-05-18T00:00:00"/>
    <n v="-1"/>
  </r>
  <r>
    <x v="108"/>
    <x v="11"/>
    <n v="0"/>
    <n v="0"/>
    <n v="0"/>
    <n v="0"/>
    <x v="813"/>
    <n v="0"/>
    <n v="0"/>
    <n v="0"/>
    <n v="0"/>
    <x v="159"/>
    <n v="67"/>
    <s v="H (Mar 22)"/>
    <d v="2022-03-15T00:00:00"/>
    <n v="-1"/>
  </r>
  <r>
    <x v="108"/>
    <x v="2"/>
    <n v="0"/>
    <n v="0"/>
    <n v="0"/>
    <n v="0"/>
    <x v="814"/>
    <n v="0"/>
    <n v="0"/>
    <n v="0"/>
    <n v="0"/>
    <x v="185"/>
    <n v="194"/>
    <s v="N (Jul 22)"/>
    <d v="2022-07-20T00:00:00"/>
    <n v="-1"/>
  </r>
  <r>
    <x v="108"/>
    <x v="6"/>
    <n v="0"/>
    <n v="0"/>
    <n v="0"/>
    <n v="0"/>
    <x v="397"/>
    <n v="0"/>
    <n v="0"/>
    <n v="0"/>
    <n v="0"/>
    <x v="21"/>
    <n v="222"/>
    <s v="Q (Aug 22)"/>
    <d v="2022-08-17T00:00:00"/>
    <n v="-1"/>
  </r>
  <r>
    <x v="108"/>
    <x v="12"/>
    <n v="0"/>
    <n v="0"/>
    <n v="0"/>
    <n v="0"/>
    <x v="815"/>
    <n v="0"/>
    <n v="0"/>
    <n v="0"/>
    <n v="0"/>
    <x v="2"/>
    <n v="40"/>
    <s v="G (Feb 22)"/>
    <d v="2022-02-16T00:00:00"/>
    <n v="-1"/>
  </r>
  <r>
    <x v="108"/>
    <x v="7"/>
    <n v="0"/>
    <n v="0"/>
    <n v="0"/>
    <n v="0"/>
    <x v="445"/>
    <n v="0"/>
    <n v="0"/>
    <n v="0"/>
    <n v="0"/>
    <x v="57"/>
    <n v="257"/>
    <s v="U (Sep 22)"/>
    <d v="2022-09-21T00:00:00"/>
    <n v="-1"/>
  </r>
  <r>
    <x v="108"/>
    <x v="8"/>
    <n v="0"/>
    <n v="0"/>
    <n v="0"/>
    <n v="0"/>
    <x v="816"/>
    <n v="0"/>
    <n v="0"/>
    <n v="0"/>
    <n v="0"/>
    <x v="172"/>
    <n v="159"/>
    <s v="M (Jun 22)"/>
    <d v="2022-06-15T00:00:00"/>
    <n v="-1"/>
  </r>
  <r>
    <x v="108"/>
    <x v="10"/>
    <n v="0"/>
    <n v="0"/>
    <n v="0"/>
    <n v="0"/>
    <x v="817"/>
    <n v="0"/>
    <n v="0"/>
    <n v="0"/>
    <n v="0"/>
    <x v="7"/>
    <n v="103"/>
    <s v="J (Apr 22)"/>
    <d v="2022-04-20T00:00:00"/>
    <n v="-1"/>
  </r>
  <r>
    <x v="108"/>
    <x v="13"/>
    <n v="0"/>
    <n v="0"/>
    <n v="0"/>
    <n v="0"/>
    <x v="818"/>
    <n v="0"/>
    <n v="0"/>
    <n v="0"/>
    <n v="0"/>
    <x v="44"/>
    <n v="12"/>
    <s v="F (Jan 22)"/>
    <d v="2022-01-19T00:00:00"/>
    <n v="-1"/>
  </r>
  <r>
    <x v="109"/>
    <x v="6"/>
    <n v="0"/>
    <n v="0"/>
    <n v="0"/>
    <n v="0"/>
    <x v="295"/>
    <n v="0"/>
    <n v="0"/>
    <n v="0"/>
    <n v="0"/>
    <x v="32"/>
    <n v="223"/>
    <s v="Q (Aug 22)"/>
    <d v="2022-08-17T00:00:00"/>
    <n v="-1"/>
  </r>
  <r>
    <x v="109"/>
    <x v="12"/>
    <n v="0"/>
    <n v="0"/>
    <n v="0"/>
    <n v="0"/>
    <x v="819"/>
    <n v="0"/>
    <n v="0"/>
    <n v="0"/>
    <n v="0"/>
    <x v="14"/>
    <n v="41"/>
    <s v="G (Feb 22)"/>
    <d v="2022-02-16T00:00:00"/>
    <n v="-1"/>
  </r>
  <r>
    <x v="109"/>
    <x v="7"/>
    <n v="0"/>
    <n v="0"/>
    <n v="0"/>
    <n v="0"/>
    <x v="295"/>
    <n v="0"/>
    <n v="0"/>
    <n v="0"/>
    <n v="0"/>
    <x v="69"/>
    <n v="258"/>
    <s v="U (Sep 22)"/>
    <d v="2022-09-21T00:00:00"/>
    <n v="-1"/>
  </r>
  <r>
    <x v="109"/>
    <x v="8"/>
    <n v="0"/>
    <n v="0"/>
    <n v="0"/>
    <n v="0"/>
    <x v="414"/>
    <n v="0"/>
    <n v="0"/>
    <n v="0"/>
    <n v="0"/>
    <x v="0"/>
    <n v="160"/>
    <s v="M (Jun 22)"/>
    <d v="2022-06-15T00:00:00"/>
    <n v="-1"/>
  </r>
  <r>
    <x v="109"/>
    <x v="10"/>
    <n v="0"/>
    <n v="0"/>
    <n v="0"/>
    <n v="0"/>
    <x v="820"/>
    <n v="0"/>
    <n v="0"/>
    <n v="0"/>
    <n v="0"/>
    <x v="10"/>
    <n v="104"/>
    <s v="J (Apr 22)"/>
    <d v="2022-04-20T00:00:00"/>
    <n v="-1"/>
  </r>
  <r>
    <x v="109"/>
    <x v="13"/>
    <n v="0"/>
    <n v="0"/>
    <n v="0"/>
    <n v="0"/>
    <x v="821"/>
    <n v="0"/>
    <n v="0"/>
    <n v="0"/>
    <n v="0"/>
    <x v="47"/>
    <n v="13"/>
    <s v="F (Jan 22)"/>
    <d v="2022-01-19T00:00:00"/>
    <n v="-1"/>
  </r>
  <r>
    <x v="109"/>
    <x v="9"/>
    <n v="0"/>
    <n v="0"/>
    <n v="0"/>
    <n v="0"/>
    <x v="822"/>
    <n v="0"/>
    <n v="0"/>
    <n v="0"/>
    <n v="0"/>
    <x v="17"/>
    <n v="132"/>
    <s v="K (May 22)"/>
    <d v="2022-05-18T00:00:00"/>
    <n v="-1"/>
  </r>
  <r>
    <x v="109"/>
    <x v="11"/>
    <n v="0"/>
    <n v="0"/>
    <n v="0"/>
    <n v="0"/>
    <x v="823"/>
    <n v="0"/>
    <n v="0"/>
    <n v="0"/>
    <n v="0"/>
    <x v="170"/>
    <n v="68"/>
    <s v="H (Mar 22)"/>
    <d v="2022-03-15T00:00:00"/>
    <n v="-1"/>
  </r>
  <r>
    <x v="109"/>
    <x v="2"/>
    <n v="0"/>
    <n v="0"/>
    <n v="0"/>
    <n v="0"/>
    <x v="318"/>
    <n v="0"/>
    <n v="0"/>
    <n v="0"/>
    <n v="0"/>
    <x v="1"/>
    <n v="195"/>
    <s v="N (Jul 22)"/>
    <d v="2022-07-20T00:00:00"/>
    <n v="-1"/>
  </r>
  <r>
    <x v="110"/>
    <x v="9"/>
    <n v="0"/>
    <n v="0"/>
    <n v="0"/>
    <n v="0"/>
    <x v="824"/>
    <n v="0"/>
    <n v="0"/>
    <n v="0"/>
    <n v="0"/>
    <x v="23"/>
    <n v="133"/>
    <s v="K (May 22)"/>
    <d v="2022-05-18T00:00:00"/>
    <n v="-1"/>
  </r>
  <r>
    <x v="110"/>
    <x v="11"/>
    <n v="0"/>
    <n v="0"/>
    <n v="0"/>
    <n v="0"/>
    <x v="825"/>
    <n v="0"/>
    <n v="0"/>
    <n v="0"/>
    <n v="0"/>
    <x v="6"/>
    <n v="69"/>
    <s v="H (Mar 22)"/>
    <d v="2022-03-15T00:00:00"/>
    <n v="-1"/>
  </r>
  <r>
    <x v="110"/>
    <x v="2"/>
    <n v="0"/>
    <n v="0"/>
    <n v="0"/>
    <n v="0"/>
    <x v="318"/>
    <n v="0"/>
    <n v="0"/>
    <n v="0"/>
    <n v="0"/>
    <x v="13"/>
    <n v="196"/>
    <s v="N (Jul 22)"/>
    <d v="2022-07-20T00:00:00"/>
    <n v="-1"/>
  </r>
  <r>
    <x v="110"/>
    <x v="6"/>
    <n v="0"/>
    <n v="0"/>
    <n v="0"/>
    <n v="0"/>
    <x v="318"/>
    <n v="0"/>
    <n v="0"/>
    <n v="0"/>
    <n v="0"/>
    <x v="38"/>
    <n v="224"/>
    <s v="Q (Aug 22)"/>
    <d v="2022-08-17T00:00:00"/>
    <n v="-1"/>
  </r>
  <r>
    <x v="110"/>
    <x v="12"/>
    <n v="0"/>
    <n v="0"/>
    <n v="0"/>
    <n v="0"/>
    <x v="826"/>
    <n v="0"/>
    <n v="0"/>
    <n v="0"/>
    <n v="0"/>
    <x v="20"/>
    <n v="42"/>
    <s v="G (Feb 22)"/>
    <d v="2022-02-16T00:00:00"/>
    <n v="-1"/>
  </r>
  <r>
    <x v="110"/>
    <x v="7"/>
    <n v="0"/>
    <n v="0"/>
    <n v="0"/>
    <n v="0"/>
    <x v="366"/>
    <n v="0"/>
    <n v="0"/>
    <n v="0"/>
    <n v="0"/>
    <x v="75"/>
    <n v="259"/>
    <s v="U (Sep 22)"/>
    <d v="2022-09-21T00:00:00"/>
    <n v="-1"/>
  </r>
  <r>
    <x v="110"/>
    <x v="8"/>
    <n v="0"/>
    <n v="0"/>
    <n v="0"/>
    <n v="0"/>
    <x v="827"/>
    <n v="0"/>
    <n v="0"/>
    <n v="0"/>
    <n v="0"/>
    <x v="12"/>
    <n v="161"/>
    <s v="M (Jun 22)"/>
    <d v="2022-06-15T00:00:00"/>
    <n v="-1"/>
  </r>
  <r>
    <x v="110"/>
    <x v="10"/>
    <n v="0"/>
    <n v="0"/>
    <n v="0"/>
    <n v="0"/>
    <x v="828"/>
    <n v="0"/>
    <n v="0"/>
    <n v="0"/>
    <n v="0"/>
    <x v="25"/>
    <n v="105"/>
    <s v="J (Apr 22)"/>
    <d v="2022-04-20T00:00:00"/>
    <n v="-1"/>
  </r>
  <r>
    <x v="110"/>
    <x v="13"/>
    <n v="0"/>
    <n v="0"/>
    <n v="0"/>
    <n v="0"/>
    <x v="829"/>
    <n v="0"/>
    <n v="0"/>
    <n v="0"/>
    <n v="0"/>
    <x v="62"/>
    <n v="14"/>
    <s v="F (Jan 22)"/>
    <d v="2022-01-19T00:00:00"/>
    <n v="-1"/>
  </r>
  <r>
    <x v="111"/>
    <x v="6"/>
    <n v="0"/>
    <n v="0"/>
    <n v="0"/>
    <n v="0"/>
    <x v="414"/>
    <n v="0"/>
    <n v="0"/>
    <n v="0"/>
    <n v="0"/>
    <x v="50"/>
    <n v="225"/>
    <s v="Q (Aug 22)"/>
    <d v="2022-08-17T00:00:00"/>
    <n v="-1"/>
  </r>
  <r>
    <x v="111"/>
    <x v="12"/>
    <n v="0"/>
    <n v="0"/>
    <n v="0"/>
    <n v="0"/>
    <x v="830"/>
    <n v="0"/>
    <n v="0"/>
    <n v="0"/>
    <n v="0"/>
    <x v="31"/>
    <n v="43"/>
    <s v="G (Feb 22)"/>
    <d v="2022-02-16T00:00:00"/>
    <n v="-1"/>
  </r>
  <r>
    <x v="111"/>
    <x v="7"/>
    <n v="0"/>
    <n v="0"/>
    <n v="0"/>
    <n v="0"/>
    <x v="313"/>
    <n v="0"/>
    <n v="0"/>
    <n v="0"/>
    <n v="0"/>
    <x v="87"/>
    <n v="260"/>
    <s v="U (Sep 22)"/>
    <d v="2022-09-21T00:00:00"/>
    <n v="-1"/>
  </r>
  <r>
    <x v="111"/>
    <x v="8"/>
    <n v="0"/>
    <n v="0"/>
    <n v="0"/>
    <n v="0"/>
    <x v="831"/>
    <n v="0"/>
    <n v="0"/>
    <n v="0"/>
    <n v="0"/>
    <x v="18"/>
    <n v="162"/>
    <s v="M (Jun 22)"/>
    <d v="2022-06-15T00:00:00"/>
    <n v="-1"/>
  </r>
  <r>
    <x v="111"/>
    <x v="10"/>
    <n v="0"/>
    <n v="0"/>
    <n v="0"/>
    <n v="0"/>
    <x v="832"/>
    <n v="0"/>
    <n v="0"/>
    <n v="0"/>
    <n v="0"/>
    <x v="28"/>
    <n v="106"/>
    <s v="J (Apr 22)"/>
    <d v="2022-04-20T00:00:00"/>
    <n v="-1"/>
  </r>
  <r>
    <x v="111"/>
    <x v="13"/>
    <n v="0"/>
    <n v="0"/>
    <n v="0"/>
    <n v="0"/>
    <x v="833"/>
    <n v="0"/>
    <n v="0"/>
    <n v="0"/>
    <n v="0"/>
    <x v="65"/>
    <n v="15"/>
    <s v="F (Jan 22)"/>
    <d v="2022-01-19T00:00:00"/>
    <n v="-1"/>
  </r>
  <r>
    <x v="111"/>
    <x v="9"/>
    <n v="0"/>
    <n v="0"/>
    <n v="0"/>
    <n v="0"/>
    <x v="834"/>
    <n v="0"/>
    <n v="0"/>
    <n v="0"/>
    <n v="0"/>
    <x v="34"/>
    <n v="134"/>
    <s v="K (May 22)"/>
    <d v="2022-05-18T00:00:00"/>
    <n v="-1"/>
  </r>
  <r>
    <x v="111"/>
    <x v="11"/>
    <n v="0"/>
    <n v="0"/>
    <n v="0"/>
    <n v="0"/>
    <x v="835"/>
    <n v="0"/>
    <n v="0"/>
    <n v="0"/>
    <n v="0"/>
    <x v="9"/>
    <n v="70"/>
    <s v="H (Mar 22)"/>
    <d v="2022-03-15T00:00:00"/>
    <n v="-1"/>
  </r>
  <r>
    <x v="111"/>
    <x v="2"/>
    <n v="0"/>
    <n v="0"/>
    <n v="0"/>
    <n v="0"/>
    <x v="836"/>
    <n v="0"/>
    <n v="0"/>
    <n v="0"/>
    <n v="0"/>
    <x v="19"/>
    <n v="197"/>
    <s v="N (Jul 22)"/>
    <d v="2022-07-20T00:00:00"/>
    <n v="-1"/>
  </r>
  <r>
    <x v="112"/>
    <x v="9"/>
    <n v="0"/>
    <n v="0"/>
    <n v="0"/>
    <n v="0"/>
    <x v="837"/>
    <n v="0"/>
    <n v="0"/>
    <n v="0"/>
    <n v="0"/>
    <x v="40"/>
    <n v="135"/>
    <s v="K (May 22)"/>
    <d v="2022-05-18T00:00:00"/>
    <n v="-1"/>
  </r>
  <r>
    <x v="112"/>
    <x v="11"/>
    <n v="0"/>
    <n v="0"/>
    <n v="0"/>
    <n v="0"/>
    <x v="838"/>
    <n v="0"/>
    <n v="0"/>
    <n v="0"/>
    <n v="0"/>
    <x v="24"/>
    <n v="71"/>
    <s v="H (Mar 22)"/>
    <d v="2022-03-15T00:00:00"/>
    <n v="-1"/>
  </r>
  <r>
    <x v="112"/>
    <x v="2"/>
    <n v="0"/>
    <n v="0"/>
    <n v="0"/>
    <n v="0"/>
    <x v="839"/>
    <n v="0"/>
    <n v="0"/>
    <n v="0"/>
    <n v="0"/>
    <x v="30"/>
    <n v="198"/>
    <s v="N (Jul 22)"/>
    <d v="2022-07-20T00:00:00"/>
    <n v="-1"/>
  </r>
  <r>
    <x v="112"/>
    <x v="6"/>
    <n v="0"/>
    <n v="0"/>
    <n v="0"/>
    <n v="0"/>
    <x v="804"/>
    <n v="0"/>
    <n v="0"/>
    <n v="0"/>
    <n v="0"/>
    <x v="56"/>
    <n v="226"/>
    <s v="Q (Aug 22)"/>
    <d v="2022-08-17T00:00:00"/>
    <n v="-1"/>
  </r>
  <r>
    <x v="112"/>
    <x v="12"/>
    <n v="0"/>
    <n v="0"/>
    <n v="0"/>
    <n v="0"/>
    <x v="840"/>
    <n v="0"/>
    <n v="0"/>
    <n v="0"/>
    <n v="0"/>
    <x v="37"/>
    <n v="44"/>
    <s v="G (Feb 22)"/>
    <d v="2022-02-16T00:00:00"/>
    <n v="-1"/>
  </r>
  <r>
    <x v="112"/>
    <x v="7"/>
    <n v="0"/>
    <n v="0"/>
    <n v="0"/>
    <n v="0"/>
    <x v="841"/>
    <n v="0"/>
    <n v="0"/>
    <n v="0"/>
    <n v="0"/>
    <x v="93"/>
    <n v="261"/>
    <s v="U (Sep 22)"/>
    <d v="2022-09-21T00:00:00"/>
    <n v="-1"/>
  </r>
  <r>
    <x v="112"/>
    <x v="8"/>
    <n v="0"/>
    <n v="0"/>
    <n v="0"/>
    <n v="0"/>
    <x v="842"/>
    <n v="0"/>
    <n v="0"/>
    <n v="0"/>
    <n v="0"/>
    <x v="35"/>
    <n v="163"/>
    <s v="M (Jun 22)"/>
    <d v="2022-06-15T00:00:00"/>
    <n v="-1"/>
  </r>
  <r>
    <x v="112"/>
    <x v="10"/>
    <n v="0"/>
    <n v="0"/>
    <n v="0"/>
    <n v="0"/>
    <x v="843"/>
    <n v="0"/>
    <n v="0"/>
    <n v="0"/>
    <n v="0"/>
    <x v="43"/>
    <n v="107"/>
    <s v="J (Apr 22)"/>
    <d v="2022-04-20T00:00:00"/>
    <n v="-1"/>
  </r>
  <r>
    <x v="112"/>
    <x v="13"/>
    <n v="0"/>
    <n v="0"/>
    <n v="0"/>
    <n v="0"/>
    <x v="844"/>
    <n v="0"/>
    <n v="0"/>
    <n v="0"/>
    <n v="0"/>
    <x v="80"/>
    <n v="16"/>
    <s v="F (Jan 22)"/>
    <d v="2022-01-19T00:00:00"/>
    <n v="-1"/>
  </r>
  <r>
    <x v="113"/>
    <x v="6"/>
    <n v="0"/>
    <n v="0"/>
    <n v="0"/>
    <n v="0"/>
    <x v="430"/>
    <n v="0"/>
    <n v="0"/>
    <n v="0"/>
    <n v="0"/>
    <x v="68"/>
    <n v="229"/>
    <s v="Q (Aug 22)"/>
    <d v="2022-08-17T00:00:00"/>
    <n v="-1"/>
  </r>
  <r>
    <x v="113"/>
    <x v="12"/>
    <n v="0"/>
    <n v="0"/>
    <n v="0"/>
    <n v="0"/>
    <x v="845"/>
    <n v="0"/>
    <n v="0"/>
    <n v="0"/>
    <n v="0"/>
    <x v="49"/>
    <n v="47"/>
    <s v="G (Feb 22)"/>
    <d v="2022-02-16T00:00:00"/>
    <n v="-1"/>
  </r>
  <r>
    <x v="113"/>
    <x v="7"/>
    <n v="0"/>
    <n v="0"/>
    <n v="0"/>
    <n v="0"/>
    <x v="670"/>
    <n v="0"/>
    <n v="0"/>
    <n v="0"/>
    <n v="0"/>
    <x v="105"/>
    <n v="264"/>
    <s v="U (Sep 22)"/>
    <d v="2022-09-21T00:00:00"/>
    <n v="-1"/>
  </r>
  <r>
    <x v="113"/>
    <x v="8"/>
    <n v="0"/>
    <n v="0"/>
    <n v="0"/>
    <n v="0"/>
    <x v="846"/>
    <n v="0"/>
    <n v="0"/>
    <n v="0"/>
    <n v="0"/>
    <x v="41"/>
    <n v="166"/>
    <s v="M (Jun 22)"/>
    <d v="2022-06-15T00:00:00"/>
    <n v="-1"/>
  </r>
  <r>
    <x v="113"/>
    <x v="10"/>
    <n v="0"/>
    <n v="0"/>
    <n v="0"/>
    <n v="0"/>
    <x v="847"/>
    <n v="0"/>
    <n v="0"/>
    <n v="0"/>
    <n v="0"/>
    <x v="46"/>
    <n v="110"/>
    <s v="J (Apr 22)"/>
    <d v="2022-04-20T00:00:00"/>
    <n v="-1"/>
  </r>
  <r>
    <x v="113"/>
    <x v="13"/>
    <n v="0"/>
    <n v="0"/>
    <n v="0"/>
    <n v="0"/>
    <x v="848"/>
    <n v="0"/>
    <n v="0"/>
    <n v="0"/>
    <n v="0"/>
    <x v="83"/>
    <n v="19"/>
    <s v="F (Jan 22)"/>
    <d v="2022-01-19T00:00:00"/>
    <n v="-1"/>
  </r>
  <r>
    <x v="113"/>
    <x v="9"/>
    <n v="0"/>
    <n v="0"/>
    <n v="0"/>
    <n v="0"/>
    <x v="849"/>
    <n v="0"/>
    <n v="0"/>
    <n v="0"/>
    <n v="0"/>
    <x v="52"/>
    <n v="138"/>
    <s v="K (May 22)"/>
    <d v="2022-05-18T00:00:00"/>
    <n v="-1"/>
  </r>
  <r>
    <x v="113"/>
    <x v="11"/>
    <n v="0"/>
    <n v="0"/>
    <n v="0"/>
    <n v="0"/>
    <x v="850"/>
    <n v="0"/>
    <n v="0"/>
    <n v="0"/>
    <n v="0"/>
    <x v="27"/>
    <n v="74"/>
    <s v="H (Mar 22)"/>
    <d v="2022-03-15T00:00:00"/>
    <n v="-1"/>
  </r>
  <r>
    <x v="113"/>
    <x v="2"/>
    <n v="0"/>
    <n v="0"/>
    <n v="0"/>
    <n v="0"/>
    <x v="397"/>
    <n v="0"/>
    <n v="0"/>
    <n v="0"/>
    <n v="0"/>
    <x v="36"/>
    <n v="201"/>
    <s v="N (Jul 22)"/>
    <d v="2022-07-20T00:00:00"/>
    <n v="-1"/>
  </r>
  <r>
    <x v="114"/>
    <x v="9"/>
    <n v="0"/>
    <n v="0"/>
    <n v="0"/>
    <n v="0"/>
    <x v="851"/>
    <n v="0"/>
    <n v="0"/>
    <n v="0"/>
    <n v="0"/>
    <x v="58"/>
    <n v="139"/>
    <s v="K (May 22)"/>
    <d v="2022-05-18T00:00:00"/>
    <n v="-1"/>
  </r>
  <r>
    <x v="114"/>
    <x v="11"/>
    <n v="0"/>
    <n v="0"/>
    <n v="0"/>
    <n v="0"/>
    <x v="852"/>
    <n v="0"/>
    <n v="0"/>
    <n v="0"/>
    <n v="0"/>
    <x v="42"/>
    <n v="75"/>
    <s v="H (Mar 22)"/>
    <d v="2022-03-15T00:00:00"/>
    <n v="-1"/>
  </r>
  <r>
    <x v="114"/>
    <x v="2"/>
    <n v="0"/>
    <n v="0"/>
    <n v="0"/>
    <n v="0"/>
    <x v="430"/>
    <n v="0"/>
    <n v="0"/>
    <n v="0"/>
    <n v="0"/>
    <x v="48"/>
    <n v="202"/>
    <s v="N (Jul 22)"/>
    <d v="2022-07-20T00:00:00"/>
    <n v="-1"/>
  </r>
  <r>
    <x v="114"/>
    <x v="6"/>
    <n v="0"/>
    <n v="0"/>
    <n v="0"/>
    <n v="0"/>
    <x v="628"/>
    <n v="0"/>
    <n v="0"/>
    <n v="0"/>
    <n v="0"/>
    <x v="74"/>
    <n v="230"/>
    <s v="Q (Aug 22)"/>
    <d v="2022-08-17T00:00:00"/>
    <n v="-1"/>
  </r>
  <r>
    <x v="114"/>
    <x v="12"/>
    <n v="0"/>
    <n v="0"/>
    <n v="0"/>
    <n v="0"/>
    <x v="853"/>
    <n v="0"/>
    <n v="0"/>
    <n v="0"/>
    <n v="0"/>
    <x v="55"/>
    <n v="48"/>
    <s v="G (Feb 22)"/>
    <d v="2022-02-16T00:00:00"/>
    <n v="-1"/>
  </r>
  <r>
    <x v="114"/>
    <x v="7"/>
    <n v="0"/>
    <n v="0"/>
    <n v="0"/>
    <n v="0"/>
    <x v="332"/>
    <n v="0"/>
    <n v="0"/>
    <n v="0"/>
    <n v="0"/>
    <x v="111"/>
    <n v="265"/>
    <s v="U (Sep 22)"/>
    <d v="2022-09-21T00:00:00"/>
    <n v="-1"/>
  </r>
  <r>
    <x v="114"/>
    <x v="8"/>
    <n v="0"/>
    <n v="0"/>
    <n v="0"/>
    <n v="0"/>
    <x v="694"/>
    <n v="0"/>
    <n v="0"/>
    <n v="0"/>
    <n v="0"/>
    <x v="53"/>
    <n v="167"/>
    <s v="M (Jun 22)"/>
    <d v="2022-06-15T00:00:00"/>
    <n v="-1"/>
  </r>
  <r>
    <x v="114"/>
    <x v="10"/>
    <n v="0"/>
    <n v="0"/>
    <n v="0"/>
    <n v="0"/>
    <x v="854"/>
    <n v="0"/>
    <n v="0"/>
    <n v="0"/>
    <n v="0"/>
    <x v="61"/>
    <n v="111"/>
    <s v="J (Apr 22)"/>
    <d v="2022-04-20T00:00:00"/>
    <n v="-1"/>
  </r>
  <r>
    <x v="114"/>
    <x v="13"/>
    <n v="0"/>
    <n v="0"/>
    <n v="0"/>
    <n v="0"/>
    <x v="855"/>
    <n v="0"/>
    <n v="0"/>
    <n v="0"/>
    <n v="0"/>
    <x v="98"/>
    <n v="20"/>
    <s v="F (Jan 22)"/>
    <d v="2022-01-19T00:00:00"/>
    <n v="-1"/>
  </r>
  <r>
    <x v="115"/>
    <x v="6"/>
    <n v="0"/>
    <n v="0"/>
    <n v="0"/>
    <n v="0"/>
    <x v="300"/>
    <n v="0"/>
    <n v="0"/>
    <n v="0"/>
    <n v="0"/>
    <x v="86"/>
    <n v="231"/>
    <s v="Q (Aug 22)"/>
    <d v="2022-08-17T00:00:00"/>
    <n v="-1"/>
  </r>
  <r>
    <x v="115"/>
    <x v="12"/>
    <n v="0"/>
    <n v="0"/>
    <n v="0"/>
    <n v="0"/>
    <x v="856"/>
    <n v="0"/>
    <n v="0"/>
    <n v="0"/>
    <n v="0"/>
    <x v="67"/>
    <n v="49"/>
    <s v="G (Feb 22)"/>
    <d v="2022-02-16T00:00:00"/>
    <n v="-1"/>
  </r>
  <r>
    <x v="115"/>
    <x v="7"/>
    <n v="0"/>
    <n v="0"/>
    <n v="0"/>
    <n v="0"/>
    <x v="841"/>
    <n v="0"/>
    <n v="0"/>
    <n v="0"/>
    <n v="0"/>
    <x v="123"/>
    <n v="266"/>
    <s v="U (Sep 22)"/>
    <d v="2022-09-21T00:00:00"/>
    <n v="-1"/>
  </r>
  <r>
    <x v="115"/>
    <x v="8"/>
    <n v="0"/>
    <n v="0"/>
    <n v="0"/>
    <n v="0"/>
    <x v="857"/>
    <n v="0"/>
    <n v="0"/>
    <n v="0"/>
    <n v="0"/>
    <x v="59"/>
    <n v="168"/>
    <s v="M (Jun 22)"/>
    <d v="2022-06-15T00:00:00"/>
    <n v="-1"/>
  </r>
  <r>
    <x v="115"/>
    <x v="10"/>
    <n v="0"/>
    <n v="0"/>
    <n v="0"/>
    <n v="0"/>
    <x v="858"/>
    <n v="0"/>
    <n v="0"/>
    <n v="0"/>
    <n v="0"/>
    <x v="64"/>
    <n v="112"/>
    <s v="J (Apr 22)"/>
    <d v="2022-04-20T00:00:00"/>
    <n v="-1"/>
  </r>
  <r>
    <x v="115"/>
    <x v="13"/>
    <n v="0"/>
    <n v="0"/>
    <n v="0"/>
    <n v="0"/>
    <x v="859"/>
    <n v="0"/>
    <n v="0"/>
    <n v="0"/>
    <n v="0"/>
    <x v="101"/>
    <n v="21"/>
    <s v="F (Jan 22)"/>
    <d v="2022-01-19T00:00:00"/>
    <n v="-1"/>
  </r>
  <r>
    <x v="115"/>
    <x v="9"/>
    <n v="0"/>
    <n v="0"/>
    <n v="0"/>
    <n v="0"/>
    <x v="860"/>
    <n v="0"/>
    <n v="0"/>
    <n v="0"/>
    <n v="0"/>
    <x v="70"/>
    <n v="140"/>
    <s v="K (May 22)"/>
    <d v="2022-05-18T00:00:00"/>
    <n v="-1"/>
  </r>
  <r>
    <x v="115"/>
    <x v="11"/>
    <n v="0"/>
    <n v="0"/>
    <n v="0"/>
    <n v="0"/>
    <x v="861"/>
    <n v="0"/>
    <n v="0"/>
    <n v="0"/>
    <n v="0"/>
    <x v="45"/>
    <n v="76"/>
    <s v="H (Mar 22)"/>
    <d v="2022-03-15T00:00:00"/>
    <n v="-1"/>
  </r>
  <r>
    <x v="115"/>
    <x v="2"/>
    <n v="0"/>
    <n v="0"/>
    <n v="0"/>
    <n v="0"/>
    <x v="375"/>
    <n v="0"/>
    <n v="0"/>
    <n v="0"/>
    <n v="0"/>
    <x v="54"/>
    <n v="203"/>
    <s v="N (Jul 22)"/>
    <d v="2022-07-20T00:00:00"/>
    <n v="-1"/>
  </r>
  <r>
    <x v="116"/>
    <x v="9"/>
    <n v="0"/>
    <n v="0"/>
    <n v="0"/>
    <n v="0"/>
    <x v="862"/>
    <n v="0"/>
    <n v="0"/>
    <n v="0"/>
    <n v="0"/>
    <x v="76"/>
    <n v="141"/>
    <s v="K (May 22)"/>
    <d v="2022-05-18T00:00:00"/>
    <n v="-1"/>
  </r>
  <r>
    <x v="116"/>
    <x v="11"/>
    <n v="0"/>
    <n v="0"/>
    <n v="0"/>
    <n v="0"/>
    <x v="863"/>
    <n v="0"/>
    <n v="0"/>
    <n v="0"/>
    <n v="0"/>
    <x v="60"/>
    <n v="77"/>
    <s v="H (Mar 22)"/>
    <d v="2022-03-15T00:00:00"/>
    <n v="-1"/>
  </r>
  <r>
    <x v="116"/>
    <x v="2"/>
    <n v="0"/>
    <n v="0"/>
    <n v="0"/>
    <n v="0"/>
    <x v="864"/>
    <n v="0"/>
    <n v="0"/>
    <n v="0"/>
    <n v="0"/>
    <x v="66"/>
    <n v="204"/>
    <s v="N (Jul 22)"/>
    <d v="2022-07-20T00:00:00"/>
    <n v="-1"/>
  </r>
  <r>
    <x v="116"/>
    <x v="6"/>
    <n v="0"/>
    <n v="0"/>
    <n v="0"/>
    <n v="0"/>
    <x v="841"/>
    <n v="0"/>
    <n v="0"/>
    <n v="0"/>
    <n v="0"/>
    <x v="92"/>
    <n v="232"/>
    <s v="Q (Aug 22)"/>
    <d v="2022-08-17T00:00:00"/>
    <n v="-1"/>
  </r>
  <r>
    <x v="116"/>
    <x v="12"/>
    <n v="0"/>
    <n v="0"/>
    <n v="0"/>
    <n v="0"/>
    <x v="865"/>
    <n v="0"/>
    <n v="0"/>
    <n v="0"/>
    <n v="0"/>
    <x v="73"/>
    <n v="50"/>
    <s v="G (Feb 22)"/>
    <d v="2022-02-16T00:00:00"/>
    <n v="-1"/>
  </r>
  <r>
    <x v="116"/>
    <x v="7"/>
    <n v="0"/>
    <n v="0"/>
    <n v="0"/>
    <n v="0"/>
    <x v="841"/>
    <n v="0"/>
    <n v="0"/>
    <n v="0"/>
    <n v="0"/>
    <x v="186"/>
    <n v="267"/>
    <s v="U (Sep 22)"/>
    <d v="2022-09-21T00:00:00"/>
    <n v="-1"/>
  </r>
  <r>
    <x v="116"/>
    <x v="8"/>
    <n v="0"/>
    <n v="0"/>
    <n v="0"/>
    <n v="0"/>
    <x v="866"/>
    <n v="0"/>
    <n v="0"/>
    <n v="0"/>
    <n v="0"/>
    <x v="71"/>
    <n v="169"/>
    <s v="M (Jun 22)"/>
    <d v="2022-06-15T00:00:00"/>
    <n v="-1"/>
  </r>
  <r>
    <x v="116"/>
    <x v="10"/>
    <n v="0"/>
    <n v="0"/>
    <n v="0"/>
    <n v="0"/>
    <x v="867"/>
    <n v="0"/>
    <n v="0"/>
    <n v="0"/>
    <n v="0"/>
    <x v="79"/>
    <n v="113"/>
    <s v="J (Apr 22)"/>
    <d v="2022-04-20T00:00:00"/>
    <n v="-1"/>
  </r>
  <r>
    <x v="116"/>
    <x v="13"/>
    <n v="0"/>
    <n v="0"/>
    <n v="0"/>
    <n v="0"/>
    <x v="868"/>
    <n v="0"/>
    <n v="0"/>
    <n v="0"/>
    <n v="0"/>
    <x v="116"/>
    <n v="22"/>
    <s v="F (Jan 22)"/>
    <d v="2022-01-19T00:00:00"/>
    <n v="-1"/>
  </r>
  <r>
    <x v="117"/>
    <x v="6"/>
    <n v="0"/>
    <n v="0"/>
    <n v="0"/>
    <n v="0"/>
    <x v="430"/>
    <n v="0"/>
    <n v="0"/>
    <n v="0"/>
    <n v="0"/>
    <x v="92"/>
    <n v="233"/>
    <s v="Q (Aug 22)"/>
    <d v="2022-08-17T00:00:00"/>
    <n v="-1"/>
  </r>
  <r>
    <x v="117"/>
    <x v="12"/>
    <n v="0"/>
    <n v="0"/>
    <n v="0"/>
    <n v="0"/>
    <x v="869"/>
    <n v="0"/>
    <n v="0"/>
    <n v="0"/>
    <n v="0"/>
    <x v="73"/>
    <n v="51"/>
    <s v="G (Feb 22)"/>
    <d v="2022-02-16T00:00:00"/>
    <n v="-1"/>
  </r>
  <r>
    <x v="117"/>
    <x v="7"/>
    <n v="0"/>
    <n v="0"/>
    <n v="0"/>
    <n v="0"/>
    <x v="430"/>
    <n v="0"/>
    <n v="0"/>
    <n v="0"/>
    <n v="0"/>
    <x v="186"/>
    <n v="268"/>
    <s v="U (Sep 22)"/>
    <d v="2022-09-21T00:00:00"/>
    <n v="-1"/>
  </r>
  <r>
    <x v="117"/>
    <x v="8"/>
    <n v="0"/>
    <n v="0"/>
    <n v="0"/>
    <n v="0"/>
    <x v="870"/>
    <n v="0"/>
    <n v="0"/>
    <n v="0"/>
    <n v="0"/>
    <x v="71"/>
    <n v="170"/>
    <s v="M (Jun 22)"/>
    <d v="2022-06-15T00:00:00"/>
    <n v="-1"/>
  </r>
  <r>
    <x v="117"/>
    <x v="10"/>
    <n v="0"/>
    <n v="0"/>
    <n v="0"/>
    <n v="0"/>
    <x v="871"/>
    <n v="0"/>
    <n v="0"/>
    <n v="0"/>
    <n v="0"/>
    <x v="79"/>
    <n v="114"/>
    <s v="J (Apr 22)"/>
    <d v="2022-04-20T00:00:00"/>
    <n v="-1"/>
  </r>
  <r>
    <x v="117"/>
    <x v="13"/>
    <n v="0"/>
    <n v="0"/>
    <n v="0"/>
    <n v="0"/>
    <x v="872"/>
    <n v="0"/>
    <n v="0"/>
    <n v="0"/>
    <n v="0"/>
    <x v="116"/>
    <n v="23"/>
    <s v="F (Jan 22)"/>
    <d v="2022-01-19T00:00:00"/>
    <n v="-1"/>
  </r>
  <r>
    <x v="117"/>
    <x v="9"/>
    <n v="0"/>
    <n v="0"/>
    <n v="0"/>
    <n v="0"/>
    <x v="873"/>
    <n v="0"/>
    <n v="0"/>
    <n v="0"/>
    <n v="0"/>
    <x v="76"/>
    <n v="142"/>
    <s v="K (May 22)"/>
    <d v="2022-05-18T00:00:00"/>
    <n v="-1"/>
  </r>
  <r>
    <x v="117"/>
    <x v="11"/>
    <n v="0"/>
    <n v="0"/>
    <n v="0"/>
    <n v="0"/>
    <x v="874"/>
    <n v="0"/>
    <n v="0"/>
    <n v="0"/>
    <n v="0"/>
    <x v="60"/>
    <n v="78"/>
    <s v="H (Mar 22)"/>
    <d v="2022-03-15T00:00:00"/>
    <n v="-1"/>
  </r>
  <r>
    <x v="117"/>
    <x v="2"/>
    <n v="0"/>
    <n v="0"/>
    <n v="0"/>
    <n v="0"/>
    <x v="348"/>
    <n v="0"/>
    <n v="0"/>
    <n v="0"/>
    <n v="0"/>
    <x v="66"/>
    <n v="205"/>
    <s v="N (Jul 22)"/>
    <d v="2022-07-20T00:00:00"/>
    <n v="-1"/>
  </r>
  <r>
    <x v="118"/>
    <x v="9"/>
    <n v="0"/>
    <n v="0"/>
    <n v="0"/>
    <n v="0"/>
    <x v="875"/>
    <n v="0"/>
    <n v="0"/>
    <n v="0"/>
    <n v="0"/>
    <x v="94"/>
    <n v="146"/>
    <s v="K (May 22)"/>
    <d v="2022-05-18T00:00:00"/>
    <n v="-1"/>
  </r>
  <r>
    <x v="118"/>
    <x v="11"/>
    <n v="0"/>
    <n v="0"/>
    <n v="0"/>
    <n v="0"/>
    <x v="876"/>
    <n v="0"/>
    <n v="0"/>
    <n v="0"/>
    <n v="0"/>
    <x v="78"/>
    <n v="82"/>
    <s v="H (Mar 22)"/>
    <d v="2022-03-15T00:00:00"/>
    <n v="-1"/>
  </r>
  <r>
    <x v="118"/>
    <x v="2"/>
    <n v="0"/>
    <n v="0"/>
    <n v="0"/>
    <n v="0"/>
    <x v="877"/>
    <n v="0"/>
    <n v="0"/>
    <n v="0"/>
    <n v="0"/>
    <x v="84"/>
    <n v="209"/>
    <s v="N (Jul 22)"/>
    <d v="2022-07-20T00:00:00"/>
    <n v="-1"/>
  </r>
  <r>
    <x v="118"/>
    <x v="6"/>
    <n v="0"/>
    <n v="0"/>
    <n v="0"/>
    <n v="0"/>
    <x v="878"/>
    <n v="0"/>
    <n v="0"/>
    <n v="0"/>
    <n v="0"/>
    <x v="110"/>
    <n v="237"/>
    <s v="Q (Aug 22)"/>
    <d v="2022-08-17T00:00:00"/>
    <n v="-1"/>
  </r>
  <r>
    <x v="118"/>
    <x v="12"/>
    <n v="0"/>
    <n v="0"/>
    <n v="0"/>
    <n v="0"/>
    <x v="879"/>
    <n v="0"/>
    <n v="0"/>
    <n v="0"/>
    <n v="0"/>
    <x v="91"/>
    <n v="55"/>
    <s v="G (Feb 22)"/>
    <d v="2022-02-16T00:00:00"/>
    <n v="-1"/>
  </r>
  <r>
    <x v="118"/>
    <x v="8"/>
    <n v="0"/>
    <n v="0"/>
    <n v="0"/>
    <n v="0"/>
    <x v="880"/>
    <n v="0"/>
    <n v="0"/>
    <n v="0"/>
    <n v="0"/>
    <x v="89"/>
    <n v="174"/>
    <s v="M (Jun 22)"/>
    <d v="2022-06-15T00:00:00"/>
    <n v="-1"/>
  </r>
  <r>
    <x v="118"/>
    <x v="10"/>
    <n v="0"/>
    <n v="0"/>
    <n v="0"/>
    <n v="0"/>
    <x v="881"/>
    <n v="0"/>
    <n v="0"/>
    <n v="0"/>
    <n v="0"/>
    <x v="97"/>
    <n v="118"/>
    <s v="J (Apr 22)"/>
    <d v="2022-04-20T00:00:00"/>
    <n v="-1"/>
  </r>
  <r>
    <x v="118"/>
    <x v="13"/>
    <n v="0"/>
    <n v="0"/>
    <n v="0"/>
    <n v="0"/>
    <x v="882"/>
    <n v="0"/>
    <n v="0"/>
    <n v="0"/>
    <n v="0"/>
    <x v="133"/>
    <n v="27"/>
    <s v="F (Jan 22)"/>
    <d v="2022-01-19T00:00:00"/>
    <n v="-1"/>
  </r>
  <r>
    <x v="119"/>
    <x v="6"/>
    <n v="0"/>
    <n v="0"/>
    <n v="0"/>
    <n v="0"/>
    <x v="878"/>
    <n v="0"/>
    <n v="0"/>
    <n v="0"/>
    <n v="0"/>
    <x v="122"/>
    <n v="238"/>
    <s v="Q (Aug 22)"/>
    <d v="2022-08-17T00:00:00"/>
    <n v="-1"/>
  </r>
  <r>
    <x v="119"/>
    <x v="12"/>
    <n v="0"/>
    <n v="0"/>
    <n v="0"/>
    <n v="0"/>
    <x v="883"/>
    <n v="0"/>
    <n v="0"/>
    <n v="0"/>
    <n v="0"/>
    <x v="103"/>
    <n v="56"/>
    <s v="G (Feb 22)"/>
    <d v="2022-02-16T00:00:00"/>
    <n v="-1"/>
  </r>
  <r>
    <x v="119"/>
    <x v="14"/>
    <n v="0"/>
    <n v="0"/>
    <n v="0"/>
    <n v="0"/>
    <x v="884"/>
    <n v="0"/>
    <n v="0"/>
    <n v="0"/>
    <n v="0"/>
    <x v="145"/>
    <n v="0"/>
    <s v="Z (Dec 21)"/>
    <d v="2021-12-22T00:00:00"/>
    <n v="-1"/>
  </r>
  <r>
    <x v="119"/>
    <x v="8"/>
    <n v="0"/>
    <n v="0"/>
    <n v="0"/>
    <n v="0"/>
    <x v="885"/>
    <n v="0"/>
    <n v="0"/>
    <n v="0"/>
    <n v="0"/>
    <x v="95"/>
    <n v="175"/>
    <s v="M (Jun 22)"/>
    <d v="2022-06-15T00:00:00"/>
    <n v="-1"/>
  </r>
  <r>
    <x v="119"/>
    <x v="10"/>
    <n v="0"/>
    <n v="0"/>
    <n v="0"/>
    <n v="0"/>
    <x v="886"/>
    <n v="0"/>
    <n v="0"/>
    <n v="0"/>
    <n v="0"/>
    <x v="100"/>
    <n v="119"/>
    <s v="J (Apr 22)"/>
    <d v="2022-04-20T00:00:00"/>
    <n v="-1"/>
  </r>
  <r>
    <x v="119"/>
    <x v="13"/>
    <n v="0"/>
    <n v="0"/>
    <n v="0"/>
    <n v="0"/>
    <x v="887"/>
    <n v="0"/>
    <n v="0"/>
    <n v="0"/>
    <n v="0"/>
    <x v="136"/>
    <n v="28"/>
    <s v="F (Jan 22)"/>
    <d v="2022-01-19T00:00:00"/>
    <n v="-1"/>
  </r>
  <r>
    <x v="119"/>
    <x v="9"/>
    <n v="0"/>
    <n v="0"/>
    <n v="0"/>
    <n v="0"/>
    <x v="888"/>
    <n v="0"/>
    <n v="0"/>
    <n v="0"/>
    <n v="0"/>
    <x v="106"/>
    <n v="147"/>
    <s v="K (May 22)"/>
    <d v="2022-05-18T00:00:00"/>
    <n v="-1"/>
  </r>
  <r>
    <x v="119"/>
    <x v="11"/>
    <n v="0"/>
    <n v="0"/>
    <n v="0"/>
    <n v="0"/>
    <x v="889"/>
    <n v="0"/>
    <n v="0"/>
    <n v="0"/>
    <n v="0"/>
    <x v="81"/>
    <n v="83"/>
    <s v="H (Mar 22)"/>
    <d v="2022-03-15T00:00:00"/>
    <n v="-1"/>
  </r>
  <r>
    <x v="119"/>
    <x v="2"/>
    <n v="0"/>
    <n v="0"/>
    <n v="0"/>
    <n v="0"/>
    <x v="890"/>
    <n v="0"/>
    <n v="0"/>
    <n v="0"/>
    <n v="0"/>
    <x v="90"/>
    <n v="210"/>
    <s v="N (Jul 22)"/>
    <d v="2022-07-20T00:00:00"/>
    <n v="-1"/>
  </r>
  <r>
    <x v="120"/>
    <x v="9"/>
    <n v="0"/>
    <n v="0"/>
    <n v="0"/>
    <n v="0"/>
    <x v="891"/>
    <n v="0"/>
    <n v="0"/>
    <n v="0"/>
    <n v="0"/>
    <x v="112"/>
    <n v="148"/>
    <s v="K (May 22)"/>
    <d v="2022-05-18T00:00:00"/>
    <n v="-1"/>
  </r>
  <r>
    <x v="120"/>
    <x v="11"/>
    <n v="0"/>
    <n v="0"/>
    <n v="0"/>
    <n v="0"/>
    <x v="892"/>
    <n v="0"/>
    <n v="0"/>
    <n v="0"/>
    <n v="0"/>
    <x v="96"/>
    <n v="84"/>
    <s v="H (Mar 22)"/>
    <d v="2022-03-15T00:00:00"/>
    <n v="-1"/>
  </r>
  <r>
    <x v="120"/>
    <x v="2"/>
    <n v="0"/>
    <n v="0"/>
    <n v="0"/>
    <n v="0"/>
    <x v="635"/>
    <n v="0"/>
    <n v="0"/>
    <n v="0"/>
    <n v="0"/>
    <x v="102"/>
    <n v="211"/>
    <s v="N (Jul 22)"/>
    <d v="2022-07-20T00:00:00"/>
    <n v="-1"/>
  </r>
  <r>
    <x v="120"/>
    <x v="6"/>
    <n v="0"/>
    <n v="0"/>
    <n v="0"/>
    <n v="0"/>
    <x v="410"/>
    <n v="0"/>
    <n v="0"/>
    <n v="0"/>
    <n v="0"/>
    <x v="128"/>
    <n v="239"/>
    <s v="Q (Aug 22)"/>
    <d v="2022-08-17T00:00:00"/>
    <n v="-1"/>
  </r>
  <r>
    <x v="120"/>
    <x v="12"/>
    <n v="0"/>
    <n v="0"/>
    <n v="0"/>
    <n v="0"/>
    <x v="893"/>
    <n v="0"/>
    <n v="0"/>
    <n v="0"/>
    <n v="0"/>
    <x v="109"/>
    <n v="57"/>
    <s v="G (Feb 22)"/>
    <d v="2022-02-16T00:00:00"/>
    <n v="-1"/>
  </r>
  <r>
    <x v="120"/>
    <x v="14"/>
    <n v="0"/>
    <n v="0"/>
    <n v="0"/>
    <n v="0"/>
    <x v="894"/>
    <n v="0"/>
    <n v="0"/>
    <n v="0"/>
    <n v="0"/>
    <x v="156"/>
    <n v="1"/>
    <s v="Z (Dec 21)"/>
    <d v="2021-12-22T00:00:00"/>
    <n v="-1"/>
  </r>
  <r>
    <x v="120"/>
    <x v="8"/>
    <n v="0"/>
    <n v="0"/>
    <n v="0"/>
    <n v="0"/>
    <x v="895"/>
    <n v="0"/>
    <n v="0"/>
    <n v="0"/>
    <n v="0"/>
    <x v="107"/>
    <n v="176"/>
    <s v="M (Jun 22)"/>
    <d v="2022-06-15T00:00:00"/>
    <n v="-1"/>
  </r>
  <r>
    <x v="120"/>
    <x v="10"/>
    <n v="0"/>
    <n v="0"/>
    <n v="0"/>
    <n v="0"/>
    <x v="896"/>
    <n v="0"/>
    <n v="0"/>
    <n v="0"/>
    <n v="0"/>
    <x v="115"/>
    <n v="120"/>
    <s v="J (Apr 22)"/>
    <d v="2022-04-20T00:00:00"/>
    <n v="-1"/>
  </r>
  <r>
    <x v="120"/>
    <x v="13"/>
    <n v="0"/>
    <n v="0"/>
    <n v="0"/>
    <n v="0"/>
    <x v="897"/>
    <n v="0"/>
    <n v="0"/>
    <n v="0"/>
    <n v="0"/>
    <x v="150"/>
    <n v="29"/>
    <s v="F (Jan 22)"/>
    <d v="2022-01-19T00:00:00"/>
    <n v="-1"/>
  </r>
  <r>
    <x v="121"/>
    <x v="6"/>
    <n v="0"/>
    <n v="0"/>
    <n v="0"/>
    <n v="0"/>
    <x v="400"/>
    <n v="0"/>
    <n v="0"/>
    <n v="0"/>
    <n v="0"/>
    <x v="139"/>
    <n v="240"/>
    <s v="Q (Aug 22)"/>
    <d v="2022-08-17T00:00:00"/>
    <n v="-1"/>
  </r>
  <r>
    <x v="121"/>
    <x v="12"/>
    <n v="0"/>
    <n v="0"/>
    <n v="0"/>
    <n v="0"/>
    <x v="898"/>
    <n v="0"/>
    <n v="0"/>
    <n v="0"/>
    <n v="0"/>
    <x v="121"/>
    <n v="58"/>
    <s v="G (Feb 22)"/>
    <d v="2022-02-16T00:00:00"/>
    <n v="-1"/>
  </r>
  <r>
    <x v="121"/>
    <x v="14"/>
    <n v="0"/>
    <n v="0"/>
    <n v="0"/>
    <n v="0"/>
    <x v="899"/>
    <n v="0"/>
    <n v="0"/>
    <n v="0"/>
    <n v="0"/>
    <x v="161"/>
    <n v="2"/>
    <s v="Z (Dec 21)"/>
    <d v="2021-12-22T00:00:00"/>
    <n v="-1"/>
  </r>
  <r>
    <x v="121"/>
    <x v="8"/>
    <n v="0"/>
    <n v="0"/>
    <n v="0"/>
    <n v="0"/>
    <x v="900"/>
    <n v="0"/>
    <n v="0"/>
    <n v="0"/>
    <n v="0"/>
    <x v="113"/>
    <n v="177"/>
    <s v="M (Jun 22)"/>
    <d v="2022-06-15T00:00:00"/>
    <n v="-1"/>
  </r>
  <r>
    <x v="121"/>
    <x v="10"/>
    <n v="0"/>
    <n v="0"/>
    <n v="0"/>
    <n v="0"/>
    <x v="901"/>
    <n v="0"/>
    <n v="0"/>
    <n v="0"/>
    <n v="0"/>
    <x v="118"/>
    <n v="121"/>
    <s v="J (Apr 22)"/>
    <d v="2022-04-20T00:00:00"/>
    <n v="-1"/>
  </r>
  <r>
    <x v="121"/>
    <x v="13"/>
    <n v="0"/>
    <n v="0"/>
    <n v="0"/>
    <n v="0"/>
    <x v="902"/>
    <n v="0"/>
    <n v="0"/>
    <n v="0"/>
    <n v="0"/>
    <x v="153"/>
    <n v="30"/>
    <s v="F (Jan 22)"/>
    <d v="2022-01-19T00:00:00"/>
    <n v="-1"/>
  </r>
  <r>
    <x v="121"/>
    <x v="9"/>
    <n v="0"/>
    <n v="0"/>
    <n v="0"/>
    <n v="0"/>
    <x v="903"/>
    <n v="0"/>
    <n v="0"/>
    <n v="0"/>
    <n v="0"/>
    <x v="124"/>
    <n v="149"/>
    <s v="K (May 22)"/>
    <d v="2022-05-18T00:00:00"/>
    <n v="-1"/>
  </r>
  <r>
    <x v="121"/>
    <x v="11"/>
    <n v="0"/>
    <n v="0"/>
    <n v="0"/>
    <n v="0"/>
    <x v="904"/>
    <n v="0"/>
    <n v="0"/>
    <n v="0"/>
    <n v="0"/>
    <x v="99"/>
    <n v="85"/>
    <s v="H (Mar 22)"/>
    <d v="2022-03-15T00:00:00"/>
    <n v="-1"/>
  </r>
  <r>
    <x v="121"/>
    <x v="2"/>
    <n v="0"/>
    <n v="0"/>
    <n v="0"/>
    <n v="0"/>
    <x v="372"/>
    <n v="0"/>
    <n v="0"/>
    <n v="0"/>
    <n v="0"/>
    <x v="108"/>
    <n v="212"/>
    <s v="N (Jul 22)"/>
    <d v="2022-07-20T00:00:00"/>
    <n v="-1"/>
  </r>
  <r>
    <x v="122"/>
    <x v="9"/>
    <n v="0"/>
    <n v="0"/>
    <n v="0"/>
    <n v="0"/>
    <x v="905"/>
    <n v="0"/>
    <n v="0"/>
    <n v="0"/>
    <n v="0"/>
    <x v="129"/>
    <n v="152"/>
    <s v="K (May 22)"/>
    <d v="2022-05-18T00:00:00"/>
    <n v="-1"/>
  </r>
  <r>
    <x v="122"/>
    <x v="11"/>
    <n v="0"/>
    <n v="0"/>
    <n v="0"/>
    <n v="0"/>
    <x v="906"/>
    <n v="0"/>
    <n v="0"/>
    <n v="0"/>
    <n v="0"/>
    <x v="114"/>
    <n v="88"/>
    <s v="H (Mar 22)"/>
    <d v="2022-03-15T00:00:00"/>
    <n v="-1"/>
  </r>
  <r>
    <x v="122"/>
    <x v="2"/>
    <n v="0"/>
    <n v="0"/>
    <n v="0"/>
    <n v="0"/>
    <x v="579"/>
    <n v="0"/>
    <n v="0"/>
    <n v="0"/>
    <n v="0"/>
    <x v="120"/>
    <n v="215"/>
    <s v="N (Jul 22)"/>
    <d v="2022-07-20T00:00:00"/>
    <n v="-1"/>
  </r>
  <r>
    <x v="122"/>
    <x v="6"/>
    <n v="0"/>
    <n v="0"/>
    <n v="0"/>
    <n v="0"/>
    <x v="400"/>
    <n v="0"/>
    <n v="0"/>
    <n v="0"/>
    <n v="0"/>
    <x v="144"/>
    <n v="243"/>
    <s v="Q (Aug 22)"/>
    <d v="2022-08-17T00:00:00"/>
    <n v="-1"/>
  </r>
  <r>
    <x v="122"/>
    <x v="12"/>
    <n v="0"/>
    <n v="0"/>
    <n v="0"/>
    <n v="0"/>
    <x v="907"/>
    <n v="0"/>
    <n v="0"/>
    <n v="0"/>
    <n v="0"/>
    <x v="127"/>
    <n v="61"/>
    <s v="G (Feb 22)"/>
    <d v="2022-02-16T00:00:00"/>
    <n v="-1"/>
  </r>
  <r>
    <x v="122"/>
    <x v="14"/>
    <n v="0"/>
    <n v="0"/>
    <n v="0"/>
    <n v="0"/>
    <x v="908"/>
    <n v="0"/>
    <n v="0"/>
    <n v="0"/>
    <n v="0"/>
    <x v="8"/>
    <n v="5"/>
    <s v="Z (Dec 21)"/>
    <d v="2021-12-22T00:00:00"/>
    <n v="-1"/>
  </r>
  <r>
    <x v="122"/>
    <x v="8"/>
    <n v="0"/>
    <n v="0"/>
    <n v="0"/>
    <n v="0"/>
    <x v="909"/>
    <n v="0"/>
    <n v="0"/>
    <n v="0"/>
    <n v="0"/>
    <x v="125"/>
    <n v="180"/>
    <s v="M (Jun 22)"/>
    <d v="2022-06-15T00:00:00"/>
    <n v="-1"/>
  </r>
  <r>
    <x v="122"/>
    <x v="10"/>
    <n v="0"/>
    <n v="0"/>
    <n v="0"/>
    <n v="0"/>
    <x v="910"/>
    <n v="0"/>
    <n v="0"/>
    <n v="0"/>
    <n v="0"/>
    <x v="132"/>
    <n v="124"/>
    <s v="J (Apr 22)"/>
    <d v="2022-04-20T00:00:00"/>
    <n v="-1"/>
  </r>
  <r>
    <x v="122"/>
    <x v="13"/>
    <n v="0"/>
    <n v="0"/>
    <n v="0"/>
    <n v="0"/>
    <x v="911"/>
    <n v="0"/>
    <n v="0"/>
    <n v="0"/>
    <n v="0"/>
    <x v="166"/>
    <n v="33"/>
    <s v="F (Jan 22)"/>
    <d v="2022-01-19T00:00:00"/>
    <n v="-1"/>
  </r>
  <r>
    <x v="123"/>
    <x v="6"/>
    <n v="0"/>
    <n v="0"/>
    <n v="0"/>
    <n v="0"/>
    <x v="814"/>
    <n v="0"/>
    <n v="0"/>
    <n v="0"/>
    <n v="0"/>
    <x v="155"/>
    <n v="244"/>
    <s v="Q (Aug 22)"/>
    <d v="2022-08-17T00:00:00"/>
    <n v="-1"/>
  </r>
  <r>
    <x v="123"/>
    <x v="12"/>
    <n v="0"/>
    <n v="0"/>
    <n v="0"/>
    <n v="0"/>
    <x v="912"/>
    <n v="0"/>
    <n v="0"/>
    <n v="0"/>
    <n v="0"/>
    <x v="138"/>
    <n v="62"/>
    <s v="G (Feb 22)"/>
    <d v="2022-02-16T00:00:00"/>
    <n v="-1"/>
  </r>
  <r>
    <x v="123"/>
    <x v="14"/>
    <n v="0"/>
    <n v="0"/>
    <n v="0"/>
    <n v="0"/>
    <x v="913"/>
    <n v="0"/>
    <n v="0"/>
    <n v="0"/>
    <n v="0"/>
    <x v="11"/>
    <n v="6"/>
    <s v="Z (Dec 21)"/>
    <d v="2021-12-22T00:00:00"/>
    <n v="-1"/>
  </r>
  <r>
    <x v="123"/>
    <x v="8"/>
    <n v="0"/>
    <n v="0"/>
    <n v="0"/>
    <n v="0"/>
    <x v="878"/>
    <n v="0"/>
    <n v="0"/>
    <n v="0"/>
    <n v="0"/>
    <x v="130"/>
    <n v="181"/>
    <s v="M (Jun 22)"/>
    <d v="2022-06-15T00:00:00"/>
    <n v="-1"/>
  </r>
  <r>
    <x v="123"/>
    <x v="10"/>
    <n v="0"/>
    <n v="0"/>
    <n v="0"/>
    <n v="0"/>
    <x v="914"/>
    <n v="0"/>
    <n v="0"/>
    <n v="0"/>
    <n v="0"/>
    <x v="135"/>
    <n v="125"/>
    <s v="J (Apr 22)"/>
    <d v="2022-04-20T00:00:00"/>
    <n v="-1"/>
  </r>
  <r>
    <x v="123"/>
    <x v="13"/>
    <n v="0"/>
    <n v="0"/>
    <n v="0"/>
    <n v="0"/>
    <x v="915"/>
    <n v="0"/>
    <n v="0"/>
    <n v="0"/>
    <n v="0"/>
    <x v="169"/>
    <n v="34"/>
    <s v="F (Jan 22)"/>
    <d v="2022-01-19T00:00:00"/>
    <n v="-1"/>
  </r>
  <r>
    <x v="123"/>
    <x v="9"/>
    <n v="0"/>
    <n v="0"/>
    <n v="0"/>
    <n v="0"/>
    <x v="916"/>
    <n v="0"/>
    <n v="0"/>
    <n v="0"/>
    <n v="0"/>
    <x v="140"/>
    <n v="153"/>
    <s v="K (May 22)"/>
    <d v="2022-05-18T00:00:00"/>
    <n v="-1"/>
  </r>
  <r>
    <x v="123"/>
    <x v="11"/>
    <n v="0"/>
    <n v="0"/>
    <n v="0"/>
    <n v="0"/>
    <x v="917"/>
    <n v="0"/>
    <n v="0"/>
    <n v="0"/>
    <n v="0"/>
    <x v="117"/>
    <n v="89"/>
    <s v="H (Mar 22)"/>
    <d v="2022-03-15T00:00:00"/>
    <n v="-1"/>
  </r>
  <r>
    <x v="123"/>
    <x v="2"/>
    <n v="0"/>
    <n v="0"/>
    <n v="0"/>
    <n v="0"/>
    <x v="598"/>
    <n v="0"/>
    <n v="0"/>
    <n v="0"/>
    <n v="0"/>
    <x v="126"/>
    <n v="216"/>
    <s v="N (Jul 22)"/>
    <d v="2022-07-20T00:00:00"/>
    <n v="-1"/>
  </r>
  <r>
    <x v="124"/>
    <x v="9"/>
    <n v="0"/>
    <n v="0"/>
    <n v="0"/>
    <n v="0"/>
    <x v="918"/>
    <n v="0"/>
    <n v="0"/>
    <n v="0"/>
    <n v="0"/>
    <x v="146"/>
    <n v="154"/>
    <s v="K (May 22)"/>
    <d v="2022-05-18T00:00:00"/>
    <n v="-1"/>
  </r>
  <r>
    <x v="124"/>
    <x v="11"/>
    <n v="0"/>
    <n v="0"/>
    <n v="0"/>
    <n v="0"/>
    <x v="919"/>
    <n v="0"/>
    <n v="0"/>
    <n v="0"/>
    <n v="0"/>
    <x v="131"/>
    <n v="90"/>
    <s v="H (Mar 22)"/>
    <d v="2022-03-15T00:00:00"/>
    <n v="-1"/>
  </r>
  <r>
    <x v="124"/>
    <x v="2"/>
    <n v="0"/>
    <n v="0"/>
    <n v="0"/>
    <n v="0"/>
    <x v="300"/>
    <n v="0"/>
    <n v="0"/>
    <n v="0"/>
    <n v="0"/>
    <x v="137"/>
    <n v="217"/>
    <s v="N (Jul 22)"/>
    <d v="2022-07-20T00:00:00"/>
    <n v="-1"/>
  </r>
  <r>
    <x v="124"/>
    <x v="6"/>
    <n v="0"/>
    <n v="0"/>
    <n v="0"/>
    <n v="0"/>
    <x v="370"/>
    <n v="0"/>
    <n v="0"/>
    <n v="0"/>
    <n v="0"/>
    <x v="160"/>
    <n v="245"/>
    <s v="Q (Aug 22)"/>
    <d v="2022-08-17T00:00:00"/>
    <n v="-1"/>
  </r>
  <r>
    <x v="124"/>
    <x v="12"/>
    <n v="0"/>
    <n v="0"/>
    <n v="0"/>
    <n v="0"/>
    <x v="920"/>
    <n v="0"/>
    <n v="0"/>
    <n v="0"/>
    <n v="0"/>
    <x v="143"/>
    <n v="63"/>
    <s v="G (Feb 22)"/>
    <d v="2022-02-16T00:00:00"/>
    <n v="-1"/>
  </r>
  <r>
    <x v="124"/>
    <x v="14"/>
    <n v="0"/>
    <n v="0"/>
    <n v="0"/>
    <n v="0"/>
    <x v="921"/>
    <n v="0"/>
    <n v="0"/>
    <n v="0"/>
    <n v="0"/>
    <x v="26"/>
    <n v="7"/>
    <s v="Z (Dec 21)"/>
    <d v="2021-12-22T00:00:00"/>
    <n v="-1"/>
  </r>
  <r>
    <x v="124"/>
    <x v="8"/>
    <n v="0"/>
    <n v="0"/>
    <n v="0"/>
    <n v="0"/>
    <x v="922"/>
    <n v="0"/>
    <n v="0"/>
    <n v="0"/>
    <n v="0"/>
    <x v="141"/>
    <n v="182"/>
    <s v="M (Jun 22)"/>
    <d v="2022-06-15T00:00:00"/>
    <n v="-1"/>
  </r>
  <r>
    <x v="124"/>
    <x v="10"/>
    <n v="0"/>
    <n v="0"/>
    <n v="0"/>
    <n v="0"/>
    <x v="923"/>
    <n v="0"/>
    <n v="0"/>
    <n v="0"/>
    <n v="0"/>
    <x v="149"/>
    <n v="126"/>
    <s v="J (Apr 22)"/>
    <d v="2022-04-20T00:00:00"/>
    <n v="-1"/>
  </r>
  <r>
    <x v="124"/>
    <x v="13"/>
    <n v="0"/>
    <n v="0"/>
    <n v="0"/>
    <n v="0"/>
    <x v="924"/>
    <n v="0"/>
    <n v="0"/>
    <n v="0"/>
    <n v="0"/>
    <x v="176"/>
    <n v="35"/>
    <s v="F (Jan 22)"/>
    <d v="2022-01-19T00:00:00"/>
    <n v="-1"/>
  </r>
  <r>
    <x v="125"/>
    <x v="6"/>
    <n v="0"/>
    <n v="0"/>
    <n v="0"/>
    <n v="0"/>
    <x v="397"/>
    <n v="0"/>
    <n v="0"/>
    <n v="0"/>
    <n v="0"/>
    <x v="171"/>
    <n v="246"/>
    <s v="Q (Aug 22)"/>
    <d v="2022-08-17T00:00:00"/>
    <n v="-1"/>
  </r>
  <r>
    <x v="125"/>
    <x v="12"/>
    <n v="0"/>
    <n v="0"/>
    <n v="0"/>
    <n v="0"/>
    <x v="925"/>
    <n v="0"/>
    <n v="0"/>
    <n v="0"/>
    <n v="0"/>
    <x v="154"/>
    <n v="64"/>
    <s v="G (Feb 22)"/>
    <d v="2022-02-16T00:00:00"/>
    <n v="-1"/>
  </r>
  <r>
    <x v="125"/>
    <x v="14"/>
    <n v="0"/>
    <n v="0"/>
    <n v="0"/>
    <n v="0"/>
    <x v="926"/>
    <n v="0"/>
    <n v="0"/>
    <n v="0"/>
    <n v="0"/>
    <x v="29"/>
    <n v="8"/>
    <s v="Z (Dec 21)"/>
    <d v="2021-12-22T00:00:00"/>
    <n v="-1"/>
  </r>
  <r>
    <x v="125"/>
    <x v="8"/>
    <n v="0"/>
    <n v="0"/>
    <n v="0"/>
    <n v="0"/>
    <x v="598"/>
    <n v="0"/>
    <n v="0"/>
    <n v="0"/>
    <n v="0"/>
    <x v="147"/>
    <n v="183"/>
    <s v="M (Jun 22)"/>
    <d v="2022-06-15T00:00:00"/>
    <n v="-1"/>
  </r>
  <r>
    <x v="125"/>
    <x v="10"/>
    <n v="0"/>
    <n v="0"/>
    <n v="0"/>
    <n v="0"/>
    <x v="927"/>
    <n v="0"/>
    <n v="0"/>
    <n v="0"/>
    <n v="0"/>
    <x v="152"/>
    <n v="127"/>
    <s v="J (Apr 22)"/>
    <d v="2022-04-20T00:00:00"/>
    <n v="-1"/>
  </r>
  <r>
    <x v="125"/>
    <x v="13"/>
    <n v="0"/>
    <n v="0"/>
    <n v="0"/>
    <n v="0"/>
    <x v="928"/>
    <n v="0"/>
    <n v="0"/>
    <n v="0"/>
    <n v="0"/>
    <x v="178"/>
    <n v="36"/>
    <s v="F (Jan 22)"/>
    <d v="2022-01-19T00:00:00"/>
    <n v="-1"/>
  </r>
  <r>
    <x v="125"/>
    <x v="9"/>
    <n v="0"/>
    <n v="0"/>
    <n v="0"/>
    <n v="0"/>
    <x v="598"/>
    <n v="0"/>
    <n v="0"/>
    <n v="0"/>
    <n v="0"/>
    <x v="157"/>
    <n v="155"/>
    <s v="K (May 22)"/>
    <d v="2022-05-18T00:00:00"/>
    <n v="-1"/>
  </r>
  <r>
    <x v="125"/>
    <x v="11"/>
    <n v="0"/>
    <n v="0"/>
    <n v="0"/>
    <n v="0"/>
    <x v="929"/>
    <n v="0"/>
    <n v="0"/>
    <n v="0"/>
    <n v="0"/>
    <x v="134"/>
    <n v="91"/>
    <s v="H (Mar 22)"/>
    <d v="2022-03-15T00:00:00"/>
    <n v="-1"/>
  </r>
  <r>
    <x v="125"/>
    <x v="2"/>
    <n v="0"/>
    <n v="0"/>
    <n v="0"/>
    <n v="0"/>
    <x v="400"/>
    <n v="0"/>
    <n v="0"/>
    <n v="0"/>
    <n v="0"/>
    <x v="142"/>
    <n v="218"/>
    <s v="N (Jul 22)"/>
    <d v="2022-07-20T00:00:00"/>
    <n v="-1"/>
  </r>
  <r>
    <x v="126"/>
    <x v="9"/>
    <n v="0"/>
    <n v="0"/>
    <n v="0"/>
    <n v="0"/>
    <x v="930"/>
    <n v="0"/>
    <n v="0"/>
    <n v="0"/>
    <n v="0"/>
    <x v="162"/>
    <n v="156"/>
    <s v="K (May 22)"/>
    <d v="2022-05-18T00:00:00"/>
    <n v="-1"/>
  </r>
  <r>
    <x v="126"/>
    <x v="11"/>
    <n v="0"/>
    <n v="0"/>
    <n v="0"/>
    <n v="0"/>
    <x v="931"/>
    <n v="0"/>
    <n v="0"/>
    <n v="0"/>
    <n v="0"/>
    <x v="148"/>
    <n v="92"/>
    <s v="H (Mar 22)"/>
    <d v="2022-03-15T00:00:00"/>
    <n v="-1"/>
  </r>
  <r>
    <x v="126"/>
    <x v="2"/>
    <n v="0"/>
    <n v="0"/>
    <n v="0"/>
    <n v="0"/>
    <x v="218"/>
    <n v="0"/>
    <n v="0"/>
    <n v="0"/>
    <n v="0"/>
    <x v="3"/>
    <n v="219"/>
    <s v="N (Jul 22)"/>
    <d v="2022-07-20T00:00:00"/>
    <n v="-1"/>
  </r>
  <r>
    <x v="126"/>
    <x v="6"/>
    <n v="0"/>
    <n v="0"/>
    <n v="0"/>
    <n v="0"/>
    <x v="397"/>
    <n v="0"/>
    <n v="0"/>
    <n v="0"/>
    <n v="0"/>
    <x v="4"/>
    <n v="247"/>
    <s v="Q (Aug 22)"/>
    <d v="2022-08-17T00:00:00"/>
    <n v="-1"/>
  </r>
  <r>
    <x v="126"/>
    <x v="12"/>
    <n v="0"/>
    <n v="0"/>
    <n v="0"/>
    <n v="0"/>
    <x v="932"/>
    <n v="0"/>
    <n v="0"/>
    <n v="0"/>
    <n v="0"/>
    <x v="159"/>
    <n v="65"/>
    <s v="G (Feb 22)"/>
    <d v="2022-02-16T00:00:00"/>
    <n v="-1"/>
  </r>
  <r>
    <x v="126"/>
    <x v="14"/>
    <n v="0"/>
    <n v="0"/>
    <n v="0"/>
    <n v="0"/>
    <x v="933"/>
    <n v="0"/>
    <n v="0"/>
    <n v="0"/>
    <n v="0"/>
    <x v="44"/>
    <n v="9"/>
    <s v="Z (Dec 21)"/>
    <d v="2021-12-22T00:00:00"/>
    <n v="-1"/>
  </r>
  <r>
    <x v="126"/>
    <x v="8"/>
    <n v="0"/>
    <n v="0"/>
    <n v="0"/>
    <n v="0"/>
    <x v="670"/>
    <n v="0"/>
    <n v="0"/>
    <n v="0"/>
    <n v="0"/>
    <x v="158"/>
    <n v="184"/>
    <s v="M (Jun 22)"/>
    <d v="2022-06-15T00:00:00"/>
    <n v="-1"/>
  </r>
  <r>
    <x v="126"/>
    <x v="10"/>
    <n v="0"/>
    <n v="0"/>
    <n v="0"/>
    <n v="0"/>
    <x v="934"/>
    <n v="0"/>
    <n v="0"/>
    <n v="0"/>
    <n v="0"/>
    <x v="165"/>
    <n v="128"/>
    <s v="J (Apr 22)"/>
    <d v="2022-04-20T00:00:00"/>
    <n v="-1"/>
  </r>
  <r>
    <x v="126"/>
    <x v="13"/>
    <n v="0"/>
    <n v="0"/>
    <n v="0"/>
    <n v="0"/>
    <x v="935"/>
    <n v="0"/>
    <n v="0"/>
    <n v="0"/>
    <n v="0"/>
    <x v="182"/>
    <n v="37"/>
    <s v="F (Jan 22)"/>
    <d v="2022-01-19T00:00:00"/>
    <n v="-1"/>
  </r>
  <r>
    <x v="127"/>
    <x v="6"/>
    <n v="0"/>
    <n v="0"/>
    <n v="0"/>
    <n v="0"/>
    <x v="694"/>
    <n v="0"/>
    <n v="0"/>
    <n v="0"/>
    <n v="0"/>
    <x v="16"/>
    <n v="250"/>
    <s v="Q (Aug 22)"/>
    <d v="2022-08-17T00:00:00"/>
    <n v="-1"/>
  </r>
  <r>
    <x v="127"/>
    <x v="12"/>
    <n v="0"/>
    <n v="0"/>
    <n v="0"/>
    <n v="0"/>
    <x v="936"/>
    <n v="0"/>
    <n v="0"/>
    <n v="0"/>
    <n v="0"/>
    <x v="170"/>
    <n v="68"/>
    <s v="G (Feb 22)"/>
    <d v="2022-02-16T00:00:00"/>
    <n v="-1"/>
  </r>
  <r>
    <x v="127"/>
    <x v="14"/>
    <n v="0"/>
    <n v="0"/>
    <n v="0"/>
    <n v="0"/>
    <x v="937"/>
    <n v="0"/>
    <n v="0"/>
    <n v="0"/>
    <n v="0"/>
    <x v="47"/>
    <n v="12"/>
    <s v="Z (Dec 21)"/>
    <d v="2021-12-22T00:00:00"/>
    <n v="-1"/>
  </r>
  <r>
    <x v="127"/>
    <x v="8"/>
    <n v="0"/>
    <n v="0"/>
    <n v="0"/>
    <n v="0"/>
    <x v="938"/>
    <n v="0"/>
    <n v="0"/>
    <n v="0"/>
    <n v="0"/>
    <x v="163"/>
    <n v="187"/>
    <s v="M (Jun 22)"/>
    <d v="2022-06-15T00:00:00"/>
    <n v="-1"/>
  </r>
  <r>
    <x v="127"/>
    <x v="10"/>
    <n v="0"/>
    <n v="0"/>
    <n v="0"/>
    <n v="0"/>
    <x v="939"/>
    <n v="0"/>
    <n v="0"/>
    <n v="0"/>
    <n v="0"/>
    <x v="168"/>
    <n v="131"/>
    <s v="J (Apr 22)"/>
    <d v="2022-04-20T00:00:00"/>
    <n v="-1"/>
  </r>
  <r>
    <x v="127"/>
    <x v="13"/>
    <n v="0"/>
    <n v="0"/>
    <n v="0"/>
    <n v="0"/>
    <x v="940"/>
    <n v="0"/>
    <n v="0"/>
    <n v="0"/>
    <n v="0"/>
    <x v="184"/>
    <n v="40"/>
    <s v="F (Jan 22)"/>
    <d v="2022-01-19T00:00:00"/>
    <n v="-1"/>
  </r>
  <r>
    <x v="127"/>
    <x v="9"/>
    <n v="0"/>
    <n v="0"/>
    <n v="0"/>
    <n v="0"/>
    <x v="405"/>
    <n v="0"/>
    <n v="0"/>
    <n v="0"/>
    <n v="0"/>
    <x v="172"/>
    <n v="159"/>
    <s v="K (May 22)"/>
    <d v="2022-05-18T00:00:00"/>
    <n v="-1"/>
  </r>
  <r>
    <x v="127"/>
    <x v="11"/>
    <n v="0"/>
    <n v="0"/>
    <n v="0"/>
    <n v="0"/>
    <x v="941"/>
    <n v="0"/>
    <n v="0"/>
    <n v="0"/>
    <n v="0"/>
    <x v="151"/>
    <n v="95"/>
    <s v="H (Mar 22)"/>
    <d v="2022-03-15T00:00:00"/>
    <n v="-1"/>
  </r>
  <r>
    <x v="127"/>
    <x v="2"/>
    <n v="0"/>
    <n v="0"/>
    <n v="0"/>
    <n v="0"/>
    <x v="358"/>
    <n v="0"/>
    <n v="0"/>
    <n v="0"/>
    <n v="0"/>
    <x v="15"/>
    <n v="222"/>
    <s v="N (Jul 22)"/>
    <d v="2022-07-20T00:00:00"/>
    <n v="-1"/>
  </r>
  <r>
    <x v="128"/>
    <x v="9"/>
    <n v="0"/>
    <n v="0"/>
    <n v="0"/>
    <n v="0"/>
    <x v="942"/>
    <n v="0"/>
    <n v="0"/>
    <n v="0"/>
    <n v="0"/>
    <x v="0"/>
    <n v="160"/>
    <s v="K (May 22)"/>
    <d v="2022-05-18T00:00:00"/>
    <n v="-1"/>
  </r>
  <r>
    <x v="128"/>
    <x v="11"/>
    <n v="0"/>
    <n v="0"/>
    <n v="0"/>
    <n v="0"/>
    <x v="943"/>
    <n v="0"/>
    <n v="0"/>
    <n v="0"/>
    <n v="0"/>
    <x v="164"/>
    <n v="96"/>
    <s v="H (Mar 22)"/>
    <d v="2022-03-15T00:00:00"/>
    <n v="-1"/>
  </r>
  <r>
    <x v="128"/>
    <x v="2"/>
    <n v="0"/>
    <n v="0"/>
    <n v="0"/>
    <n v="0"/>
    <x v="397"/>
    <n v="0"/>
    <n v="0"/>
    <n v="0"/>
    <n v="0"/>
    <x v="21"/>
    <n v="223"/>
    <s v="N (Jul 22)"/>
    <d v="2022-07-20T00:00:00"/>
    <n v="-1"/>
  </r>
  <r>
    <x v="128"/>
    <x v="6"/>
    <n v="0"/>
    <n v="0"/>
    <n v="0"/>
    <n v="0"/>
    <x v="375"/>
    <n v="0"/>
    <n v="0"/>
    <n v="0"/>
    <n v="0"/>
    <x v="22"/>
    <n v="251"/>
    <s v="Q (Aug 22)"/>
    <d v="2022-08-17T00:00:00"/>
    <n v="-1"/>
  </r>
  <r>
    <x v="128"/>
    <x v="12"/>
    <n v="0"/>
    <n v="0"/>
    <n v="0"/>
    <n v="0"/>
    <x v="944"/>
    <n v="0"/>
    <n v="0"/>
    <n v="0"/>
    <n v="0"/>
    <x v="6"/>
    <n v="69"/>
    <s v="G (Feb 22)"/>
    <d v="2022-02-16T00:00:00"/>
    <n v="-1"/>
  </r>
  <r>
    <x v="128"/>
    <x v="14"/>
    <n v="0"/>
    <n v="0"/>
    <n v="0"/>
    <n v="0"/>
    <x v="945"/>
    <n v="0"/>
    <n v="0"/>
    <n v="0"/>
    <n v="0"/>
    <x v="62"/>
    <n v="13"/>
    <s v="Z (Dec 21)"/>
    <d v="2021-12-22T00:00:00"/>
    <n v="-1"/>
  </r>
  <r>
    <x v="128"/>
    <x v="8"/>
    <n v="0"/>
    <n v="0"/>
    <n v="0"/>
    <n v="0"/>
    <x v="946"/>
    <n v="0"/>
    <n v="0"/>
    <n v="0"/>
    <n v="0"/>
    <x v="173"/>
    <n v="188"/>
    <s v="M (Jun 22)"/>
    <d v="2022-06-15T00:00:00"/>
    <n v="-1"/>
  </r>
  <r>
    <x v="128"/>
    <x v="10"/>
    <n v="0"/>
    <n v="0"/>
    <n v="0"/>
    <n v="0"/>
    <x v="947"/>
    <n v="0"/>
    <n v="0"/>
    <n v="0"/>
    <n v="0"/>
    <x v="5"/>
    <n v="132"/>
    <s v="J (Apr 22)"/>
    <d v="2022-04-20T00:00:00"/>
    <n v="-1"/>
  </r>
  <r>
    <x v="128"/>
    <x v="13"/>
    <n v="0"/>
    <n v="0"/>
    <n v="0"/>
    <n v="0"/>
    <x v="948"/>
    <n v="0"/>
    <n v="0"/>
    <n v="0"/>
    <n v="0"/>
    <x v="2"/>
    <n v="41"/>
    <s v="F (Jan 22)"/>
    <d v="2022-01-19T00:00:00"/>
    <n v="-1"/>
  </r>
  <r>
    <x v="129"/>
    <x v="6"/>
    <n v="0"/>
    <n v="0"/>
    <n v="0"/>
    <n v="0"/>
    <x v="457"/>
    <n v="0"/>
    <n v="0"/>
    <n v="0"/>
    <n v="0"/>
    <x v="33"/>
    <n v="252"/>
    <s v="Q (Aug 22)"/>
    <d v="2022-08-17T00:00:00"/>
    <n v="-1"/>
  </r>
  <r>
    <x v="129"/>
    <x v="12"/>
    <n v="0"/>
    <n v="0"/>
    <n v="0"/>
    <n v="0"/>
    <x v="949"/>
    <n v="0"/>
    <n v="0"/>
    <n v="0"/>
    <n v="0"/>
    <x v="9"/>
    <n v="70"/>
    <s v="G (Feb 22)"/>
    <d v="2022-02-16T00:00:00"/>
    <n v="-1"/>
  </r>
  <r>
    <x v="129"/>
    <x v="14"/>
    <n v="0"/>
    <n v="0"/>
    <n v="0"/>
    <n v="0"/>
    <x v="950"/>
    <n v="0"/>
    <n v="0"/>
    <n v="0"/>
    <n v="0"/>
    <x v="65"/>
    <n v="14"/>
    <s v="Z (Dec 21)"/>
    <d v="2021-12-22T00:00:00"/>
    <n v="-1"/>
  </r>
  <r>
    <x v="129"/>
    <x v="8"/>
    <n v="0"/>
    <n v="0"/>
    <n v="0"/>
    <n v="0"/>
    <x v="362"/>
    <n v="0"/>
    <n v="0"/>
    <n v="0"/>
    <n v="0"/>
    <x v="174"/>
    <n v="189"/>
    <s v="M (Jun 22)"/>
    <d v="2022-06-15T00:00:00"/>
    <n v="-1"/>
  </r>
  <r>
    <x v="129"/>
    <x v="10"/>
    <n v="0"/>
    <n v="0"/>
    <n v="0"/>
    <n v="0"/>
    <x v="951"/>
    <n v="0"/>
    <n v="0"/>
    <n v="0"/>
    <n v="0"/>
    <x v="17"/>
    <n v="133"/>
    <s v="J (Apr 22)"/>
    <d v="2022-04-20T00:00:00"/>
    <n v="-1"/>
  </r>
  <r>
    <x v="129"/>
    <x v="13"/>
    <n v="0"/>
    <n v="0"/>
    <n v="0"/>
    <n v="0"/>
    <x v="952"/>
    <n v="0"/>
    <n v="0"/>
    <n v="0"/>
    <n v="0"/>
    <x v="14"/>
    <n v="42"/>
    <s v="F (Jan 22)"/>
    <d v="2022-01-19T00:00:00"/>
    <n v="-1"/>
  </r>
  <r>
    <x v="129"/>
    <x v="9"/>
    <n v="0"/>
    <n v="0"/>
    <n v="0"/>
    <n v="0"/>
    <x v="953"/>
    <n v="0"/>
    <n v="0"/>
    <n v="0"/>
    <n v="0"/>
    <x v="12"/>
    <n v="161"/>
    <s v="K (May 22)"/>
    <d v="2022-05-18T00:00:00"/>
    <n v="-1"/>
  </r>
  <r>
    <x v="129"/>
    <x v="11"/>
    <n v="0"/>
    <n v="0"/>
    <n v="0"/>
    <n v="0"/>
    <x v="954"/>
    <n v="0"/>
    <n v="0"/>
    <n v="0"/>
    <n v="0"/>
    <x v="167"/>
    <n v="97"/>
    <s v="H (Mar 22)"/>
    <d v="2022-03-15T00:00:00"/>
    <n v="-1"/>
  </r>
  <r>
    <x v="129"/>
    <x v="2"/>
    <n v="0"/>
    <n v="0"/>
    <n v="0"/>
    <n v="0"/>
    <x v="375"/>
    <n v="0"/>
    <n v="0"/>
    <n v="0"/>
    <n v="0"/>
    <x v="32"/>
    <n v="224"/>
    <s v="N (Jul 22)"/>
    <d v="2022-07-20T00:00:00"/>
    <n v="-1"/>
  </r>
  <r>
    <x v="130"/>
    <x v="9"/>
    <n v="0"/>
    <n v="0"/>
    <n v="0"/>
    <n v="0"/>
    <x v="955"/>
    <n v="0"/>
    <n v="0"/>
    <n v="0"/>
    <n v="0"/>
    <x v="18"/>
    <n v="162"/>
    <s v="K (May 22)"/>
    <d v="2022-05-18T00:00:00"/>
    <n v="-1"/>
  </r>
  <r>
    <x v="130"/>
    <x v="11"/>
    <n v="0"/>
    <n v="0"/>
    <n v="0"/>
    <n v="0"/>
    <x v="956"/>
    <n v="0"/>
    <n v="0"/>
    <n v="0"/>
    <n v="0"/>
    <x v="175"/>
    <n v="98"/>
    <s v="H (Mar 22)"/>
    <d v="2022-03-15T00:00:00"/>
    <n v="-1"/>
  </r>
  <r>
    <x v="130"/>
    <x v="2"/>
    <n v="0"/>
    <n v="0"/>
    <n v="0"/>
    <n v="0"/>
    <x v="628"/>
    <n v="0"/>
    <n v="0"/>
    <n v="0"/>
    <n v="0"/>
    <x v="38"/>
    <n v="225"/>
    <s v="N (Jul 22)"/>
    <d v="2022-07-20T00:00:00"/>
    <n v="-1"/>
  </r>
  <r>
    <x v="130"/>
    <x v="6"/>
    <n v="0"/>
    <n v="0"/>
    <n v="0"/>
    <n v="0"/>
    <x v="300"/>
    <n v="0"/>
    <n v="0"/>
    <n v="0"/>
    <n v="0"/>
    <x v="39"/>
    <n v="253"/>
    <s v="Q (Aug 22)"/>
    <d v="2022-08-17T00:00:00"/>
    <n v="-1"/>
  </r>
  <r>
    <x v="130"/>
    <x v="12"/>
    <n v="0"/>
    <n v="0"/>
    <n v="0"/>
    <n v="0"/>
    <x v="957"/>
    <n v="0"/>
    <n v="0"/>
    <n v="0"/>
    <n v="0"/>
    <x v="24"/>
    <n v="71"/>
    <s v="G (Feb 22)"/>
    <d v="2022-02-16T00:00:00"/>
    <n v="-1"/>
  </r>
  <r>
    <x v="130"/>
    <x v="14"/>
    <n v="0"/>
    <n v="0"/>
    <n v="0"/>
    <n v="0"/>
    <x v="958"/>
    <n v="0"/>
    <n v="0"/>
    <n v="0"/>
    <n v="0"/>
    <x v="80"/>
    <n v="15"/>
    <s v="Z (Dec 21)"/>
    <d v="2021-12-22T00:00:00"/>
    <n v="-1"/>
  </r>
  <r>
    <x v="130"/>
    <x v="8"/>
    <n v="0"/>
    <n v="0"/>
    <n v="0"/>
    <n v="0"/>
    <x v="959"/>
    <n v="0"/>
    <n v="0"/>
    <n v="0"/>
    <n v="0"/>
    <x v="179"/>
    <n v="190"/>
    <s v="M (Jun 22)"/>
    <d v="2022-06-15T00:00:00"/>
    <n v="-1"/>
  </r>
  <r>
    <x v="130"/>
    <x v="10"/>
    <n v="0"/>
    <n v="0"/>
    <n v="0"/>
    <n v="0"/>
    <x v="960"/>
    <n v="0"/>
    <n v="0"/>
    <n v="0"/>
    <n v="0"/>
    <x v="23"/>
    <n v="134"/>
    <s v="J (Apr 22)"/>
    <d v="2022-04-20T00:00:00"/>
    <n v="-1"/>
  </r>
  <r>
    <x v="130"/>
    <x v="13"/>
    <n v="0"/>
    <n v="0"/>
    <n v="0"/>
    <n v="0"/>
    <x v="961"/>
    <n v="0"/>
    <n v="0"/>
    <n v="0"/>
    <n v="0"/>
    <x v="20"/>
    <n v="43"/>
    <s v="F (Jan 22)"/>
    <d v="2022-01-19T00:00:00"/>
    <n v="-1"/>
  </r>
  <r>
    <x v="131"/>
    <x v="6"/>
    <n v="0"/>
    <n v="0"/>
    <n v="0"/>
    <n v="0"/>
    <x v="597"/>
    <n v="0"/>
    <n v="0"/>
    <n v="0"/>
    <n v="0"/>
    <x v="51"/>
    <n v="254"/>
    <s v="Q (Aug 22)"/>
    <d v="2022-08-17T00:00:00"/>
    <n v="-1"/>
  </r>
  <r>
    <x v="131"/>
    <x v="12"/>
    <n v="0"/>
    <n v="0"/>
    <n v="0"/>
    <n v="0"/>
    <x v="962"/>
    <n v="0"/>
    <n v="0"/>
    <n v="0"/>
    <n v="0"/>
    <x v="27"/>
    <n v="72"/>
    <s v="G (Feb 22)"/>
    <d v="2022-02-16T00:00:00"/>
    <n v="-1"/>
  </r>
  <r>
    <x v="131"/>
    <x v="14"/>
    <n v="0"/>
    <n v="0"/>
    <n v="0"/>
    <n v="0"/>
    <x v="963"/>
    <n v="0"/>
    <n v="0"/>
    <n v="0"/>
    <n v="0"/>
    <x v="83"/>
    <n v="16"/>
    <s v="Z (Dec 21)"/>
    <d v="2021-12-22T00:00:00"/>
    <n v="-1"/>
  </r>
  <r>
    <x v="131"/>
    <x v="8"/>
    <n v="0"/>
    <n v="0"/>
    <n v="0"/>
    <n v="0"/>
    <x v="964"/>
    <n v="0"/>
    <n v="0"/>
    <n v="0"/>
    <n v="0"/>
    <x v="180"/>
    <n v="191"/>
    <s v="M (Jun 22)"/>
    <d v="2022-06-15T00:00:00"/>
    <n v="-1"/>
  </r>
  <r>
    <x v="131"/>
    <x v="10"/>
    <n v="0"/>
    <n v="0"/>
    <n v="0"/>
    <n v="0"/>
    <x v="965"/>
    <n v="0"/>
    <n v="0"/>
    <n v="0"/>
    <n v="0"/>
    <x v="34"/>
    <n v="135"/>
    <s v="J (Apr 22)"/>
    <d v="2022-04-20T00:00:00"/>
    <n v="-1"/>
  </r>
  <r>
    <x v="131"/>
    <x v="13"/>
    <n v="0"/>
    <n v="0"/>
    <n v="0"/>
    <n v="0"/>
    <x v="966"/>
    <n v="0"/>
    <n v="0"/>
    <n v="0"/>
    <n v="0"/>
    <x v="31"/>
    <n v="44"/>
    <s v="F (Jan 22)"/>
    <d v="2022-01-19T00:00:00"/>
    <n v="-1"/>
  </r>
  <r>
    <x v="131"/>
    <x v="9"/>
    <n v="0"/>
    <n v="0"/>
    <n v="0"/>
    <n v="0"/>
    <x v="967"/>
    <n v="0"/>
    <n v="0"/>
    <n v="0"/>
    <n v="0"/>
    <x v="35"/>
    <n v="163"/>
    <s v="K (May 22)"/>
    <d v="2022-05-18T00:00:00"/>
    <n v="-1"/>
  </r>
  <r>
    <x v="131"/>
    <x v="11"/>
    <n v="0"/>
    <n v="0"/>
    <n v="0"/>
    <n v="0"/>
    <x v="968"/>
    <n v="0"/>
    <n v="0"/>
    <n v="0"/>
    <n v="0"/>
    <x v="177"/>
    <n v="99"/>
    <s v="H (Mar 22)"/>
    <d v="2022-03-15T00:00:00"/>
    <n v="-1"/>
  </r>
  <r>
    <x v="131"/>
    <x v="2"/>
    <n v="0"/>
    <n v="0"/>
    <n v="0"/>
    <n v="0"/>
    <x v="372"/>
    <n v="0"/>
    <n v="0"/>
    <n v="0"/>
    <n v="0"/>
    <x v="50"/>
    <n v="226"/>
    <s v="N (Jul 22)"/>
    <d v="2022-07-20T00:00:00"/>
    <n v="-1"/>
  </r>
  <r>
    <x v="132"/>
    <x v="9"/>
    <n v="0"/>
    <n v="0"/>
    <n v="0"/>
    <n v="0"/>
    <x v="969"/>
    <n v="0"/>
    <n v="0"/>
    <n v="0"/>
    <n v="0"/>
    <x v="41"/>
    <n v="166"/>
    <s v="K (May 22)"/>
    <d v="2022-05-18T00:00:00"/>
    <n v="-1"/>
  </r>
  <r>
    <x v="132"/>
    <x v="11"/>
    <n v="0"/>
    <n v="0"/>
    <n v="0"/>
    <n v="0"/>
    <x v="970"/>
    <n v="0"/>
    <n v="0"/>
    <n v="0"/>
    <n v="0"/>
    <x v="181"/>
    <n v="102"/>
    <s v="H (Mar 22)"/>
    <d v="2022-03-15T00:00:00"/>
    <n v="-1"/>
  </r>
  <r>
    <x v="132"/>
    <x v="2"/>
    <n v="0"/>
    <n v="0"/>
    <n v="0"/>
    <n v="0"/>
    <x v="316"/>
    <n v="0"/>
    <n v="0"/>
    <n v="0"/>
    <n v="0"/>
    <x v="56"/>
    <n v="229"/>
    <s v="N (Jul 22)"/>
    <d v="2022-07-20T00:00:00"/>
    <n v="-1"/>
  </r>
  <r>
    <x v="132"/>
    <x v="6"/>
    <n v="0"/>
    <n v="0"/>
    <n v="0"/>
    <n v="0"/>
    <x v="568"/>
    <n v="0"/>
    <n v="0"/>
    <n v="0"/>
    <n v="0"/>
    <x v="57"/>
    <n v="257"/>
    <s v="Q (Aug 22)"/>
    <d v="2022-08-17T00:00:00"/>
    <n v="-1"/>
  </r>
  <r>
    <x v="132"/>
    <x v="12"/>
    <n v="0"/>
    <n v="0"/>
    <n v="0"/>
    <n v="0"/>
    <x v="971"/>
    <n v="0"/>
    <n v="0"/>
    <n v="0"/>
    <n v="0"/>
    <x v="42"/>
    <n v="75"/>
    <s v="G (Feb 22)"/>
    <d v="2022-02-16T00:00:00"/>
    <n v="-1"/>
  </r>
  <r>
    <x v="132"/>
    <x v="14"/>
    <n v="0"/>
    <n v="0"/>
    <n v="0"/>
    <n v="0"/>
    <x v="972"/>
    <n v="0"/>
    <n v="0"/>
    <n v="0"/>
    <n v="0"/>
    <x v="98"/>
    <n v="19"/>
    <s v="Z (Dec 21)"/>
    <d v="2021-12-22T00:00:00"/>
    <n v="-1"/>
  </r>
  <r>
    <x v="132"/>
    <x v="8"/>
    <n v="0"/>
    <n v="0"/>
    <n v="0"/>
    <n v="0"/>
    <x v="973"/>
    <n v="0"/>
    <n v="0"/>
    <n v="0"/>
    <n v="0"/>
    <x v="185"/>
    <n v="194"/>
    <s v="M (Jun 22)"/>
    <d v="2022-06-15T00:00:00"/>
    <n v="-1"/>
  </r>
  <r>
    <x v="132"/>
    <x v="10"/>
    <n v="0"/>
    <n v="0"/>
    <n v="0"/>
    <n v="0"/>
    <x v="974"/>
    <n v="0"/>
    <n v="0"/>
    <n v="0"/>
    <n v="0"/>
    <x v="40"/>
    <n v="138"/>
    <s v="J (Apr 22)"/>
    <d v="2022-04-20T00:00:00"/>
    <n v="-1"/>
  </r>
  <r>
    <x v="132"/>
    <x v="13"/>
    <n v="0"/>
    <n v="0"/>
    <n v="0"/>
    <n v="0"/>
    <x v="975"/>
    <n v="0"/>
    <n v="0"/>
    <n v="0"/>
    <n v="0"/>
    <x v="37"/>
    <n v="47"/>
    <s v="F (Jan 22)"/>
    <d v="2022-01-19T00:00:00"/>
    <n v="-1"/>
  </r>
  <r>
    <x v="133"/>
    <x v="6"/>
    <n v="0"/>
    <n v="0"/>
    <n v="0"/>
    <n v="0"/>
    <x v="976"/>
    <n v="0"/>
    <n v="0"/>
    <n v="0"/>
    <n v="0"/>
    <x v="69"/>
    <n v="258"/>
    <s v="Q (Aug 22)"/>
    <d v="2022-08-17T00:00:00"/>
    <n v="-1"/>
  </r>
  <r>
    <x v="133"/>
    <x v="12"/>
    <n v="0"/>
    <n v="0"/>
    <n v="0"/>
    <n v="0"/>
    <x v="977"/>
    <n v="0"/>
    <n v="0"/>
    <n v="0"/>
    <n v="0"/>
    <x v="45"/>
    <n v="76"/>
    <s v="G (Feb 22)"/>
    <d v="2022-02-16T00:00:00"/>
    <n v="-1"/>
  </r>
  <r>
    <x v="133"/>
    <x v="14"/>
    <n v="0"/>
    <n v="0"/>
    <n v="0"/>
    <n v="0"/>
    <x v="978"/>
    <n v="0"/>
    <n v="0"/>
    <n v="0"/>
    <n v="0"/>
    <x v="101"/>
    <n v="20"/>
    <s v="Z (Dec 21)"/>
    <d v="2021-12-22T00:00:00"/>
    <n v="-1"/>
  </r>
  <r>
    <x v="133"/>
    <x v="8"/>
    <n v="0"/>
    <n v="0"/>
    <n v="0"/>
    <n v="0"/>
    <x v="979"/>
    <n v="0"/>
    <n v="0"/>
    <n v="0"/>
    <n v="0"/>
    <x v="1"/>
    <n v="195"/>
    <s v="M (Jun 22)"/>
    <d v="2022-06-15T00:00:00"/>
    <n v="-1"/>
  </r>
  <r>
    <x v="133"/>
    <x v="10"/>
    <n v="0"/>
    <n v="0"/>
    <n v="0"/>
    <n v="0"/>
    <x v="980"/>
    <n v="0"/>
    <n v="0"/>
    <n v="0"/>
    <n v="0"/>
    <x v="52"/>
    <n v="139"/>
    <s v="J (Apr 22)"/>
    <d v="2022-04-20T00:00:00"/>
    <n v="-1"/>
  </r>
  <r>
    <x v="133"/>
    <x v="13"/>
    <n v="0"/>
    <n v="0"/>
    <n v="0"/>
    <n v="0"/>
    <x v="981"/>
    <n v="0"/>
    <n v="0"/>
    <n v="0"/>
    <n v="0"/>
    <x v="49"/>
    <n v="48"/>
    <s v="F (Jan 22)"/>
    <d v="2022-01-19T00:00:00"/>
    <n v="-1"/>
  </r>
  <r>
    <x v="133"/>
    <x v="9"/>
    <n v="0"/>
    <n v="0"/>
    <n v="0"/>
    <n v="0"/>
    <x v="982"/>
    <n v="0"/>
    <n v="0"/>
    <n v="0"/>
    <n v="0"/>
    <x v="53"/>
    <n v="167"/>
    <s v="K (May 22)"/>
    <d v="2022-05-18T00:00:00"/>
    <n v="-1"/>
  </r>
  <r>
    <x v="133"/>
    <x v="11"/>
    <n v="0"/>
    <n v="0"/>
    <n v="0"/>
    <n v="0"/>
    <x v="983"/>
    <n v="0"/>
    <n v="0"/>
    <n v="0"/>
    <n v="0"/>
    <x v="183"/>
    <n v="103"/>
    <s v="H (Mar 22)"/>
    <d v="2022-03-15T00:00:00"/>
    <n v="-1"/>
  </r>
  <r>
    <x v="133"/>
    <x v="2"/>
    <n v="0"/>
    <n v="0"/>
    <n v="0"/>
    <n v="0"/>
    <x v="317"/>
    <n v="0"/>
    <n v="0"/>
    <n v="0"/>
    <n v="0"/>
    <x v="68"/>
    <n v="230"/>
    <s v="N (Jul 22)"/>
    <d v="2022-07-20T00:00:00"/>
    <n v="-1"/>
  </r>
  <r>
    <x v="134"/>
    <x v="9"/>
    <n v="0"/>
    <n v="0"/>
    <n v="0"/>
    <n v="0"/>
    <x v="984"/>
    <n v="0"/>
    <n v="0"/>
    <n v="0"/>
    <n v="0"/>
    <x v="59"/>
    <n v="168"/>
    <s v="K (May 22)"/>
    <d v="2022-05-18T00:00:00"/>
    <n v="-1"/>
  </r>
  <r>
    <x v="134"/>
    <x v="11"/>
    <n v="0"/>
    <n v="0"/>
    <n v="0"/>
    <n v="0"/>
    <x v="985"/>
    <n v="0"/>
    <n v="0"/>
    <n v="0"/>
    <n v="0"/>
    <x v="7"/>
    <n v="104"/>
    <s v="H (Mar 22)"/>
    <d v="2022-03-15T00:00:00"/>
    <n v="-1"/>
  </r>
  <r>
    <x v="134"/>
    <x v="2"/>
    <n v="0"/>
    <n v="0"/>
    <n v="0"/>
    <n v="0"/>
    <x v="546"/>
    <n v="0"/>
    <n v="0"/>
    <n v="0"/>
    <n v="0"/>
    <x v="74"/>
    <n v="231"/>
    <s v="N (Jul 22)"/>
    <d v="2022-07-20T00:00:00"/>
    <n v="-1"/>
  </r>
  <r>
    <x v="134"/>
    <x v="6"/>
    <n v="0"/>
    <n v="0"/>
    <n v="0"/>
    <n v="0"/>
    <x v="568"/>
    <n v="0"/>
    <n v="0"/>
    <n v="0"/>
    <n v="0"/>
    <x v="75"/>
    <n v="259"/>
    <s v="Q (Aug 22)"/>
    <d v="2022-08-17T00:00:00"/>
    <n v="-1"/>
  </r>
  <r>
    <x v="134"/>
    <x v="12"/>
    <n v="0"/>
    <n v="0"/>
    <n v="0"/>
    <n v="0"/>
    <x v="986"/>
    <n v="0"/>
    <n v="0"/>
    <n v="0"/>
    <n v="0"/>
    <x v="60"/>
    <n v="77"/>
    <s v="G (Feb 22)"/>
    <d v="2022-02-16T00:00:00"/>
    <n v="-1"/>
  </r>
  <r>
    <x v="134"/>
    <x v="14"/>
    <n v="0"/>
    <n v="0"/>
    <n v="0"/>
    <n v="0"/>
    <x v="987"/>
    <n v="0"/>
    <n v="0"/>
    <n v="0"/>
    <n v="0"/>
    <x v="116"/>
    <n v="21"/>
    <s v="Z (Dec 21)"/>
    <d v="2021-12-22T00:00:00"/>
    <n v="-1"/>
  </r>
  <r>
    <x v="134"/>
    <x v="8"/>
    <n v="0"/>
    <n v="0"/>
    <n v="0"/>
    <n v="0"/>
    <x v="988"/>
    <n v="0"/>
    <n v="0"/>
    <n v="0"/>
    <n v="0"/>
    <x v="13"/>
    <n v="196"/>
    <s v="M (Jun 22)"/>
    <d v="2022-06-15T00:00:00"/>
    <n v="-1"/>
  </r>
  <r>
    <x v="134"/>
    <x v="10"/>
    <n v="0"/>
    <n v="0"/>
    <n v="0"/>
    <n v="0"/>
    <x v="989"/>
    <n v="0"/>
    <n v="0"/>
    <n v="0"/>
    <n v="0"/>
    <x v="58"/>
    <n v="140"/>
    <s v="J (Apr 22)"/>
    <d v="2022-04-20T00:00:00"/>
    <n v="-1"/>
  </r>
  <r>
    <x v="134"/>
    <x v="13"/>
    <n v="0"/>
    <n v="0"/>
    <n v="0"/>
    <n v="0"/>
    <x v="990"/>
    <n v="0"/>
    <n v="0"/>
    <n v="0"/>
    <n v="0"/>
    <x v="55"/>
    <n v="49"/>
    <s v="F (Jan 22)"/>
    <d v="2022-01-19T00:00:00"/>
    <n v="-1"/>
  </r>
  <r>
    <x v="135"/>
    <x v="6"/>
    <n v="0"/>
    <n v="0"/>
    <n v="0"/>
    <n v="0"/>
    <x v="579"/>
    <n v="0"/>
    <n v="0"/>
    <n v="0"/>
    <n v="0"/>
    <x v="87"/>
    <n v="260"/>
    <s v="Q (Aug 22)"/>
    <d v="2022-08-17T00:00:00"/>
    <n v="-1"/>
  </r>
  <r>
    <x v="135"/>
    <x v="12"/>
    <n v="0"/>
    <n v="0"/>
    <n v="0"/>
    <n v="0"/>
    <x v="991"/>
    <n v="0"/>
    <n v="0"/>
    <n v="0"/>
    <n v="0"/>
    <x v="63"/>
    <n v="78"/>
    <s v="G (Feb 22)"/>
    <d v="2022-02-16T00:00:00"/>
    <n v="-1"/>
  </r>
  <r>
    <x v="135"/>
    <x v="14"/>
    <n v="0"/>
    <n v="0"/>
    <n v="0"/>
    <n v="0"/>
    <x v="992"/>
    <n v="0"/>
    <n v="0"/>
    <n v="0"/>
    <n v="0"/>
    <x v="119"/>
    <n v="22"/>
    <s v="Z (Dec 21)"/>
    <d v="2021-12-22T00:00:00"/>
    <n v="-1"/>
  </r>
  <r>
    <x v="135"/>
    <x v="8"/>
    <n v="0"/>
    <n v="0"/>
    <n v="0"/>
    <n v="0"/>
    <x v="993"/>
    <n v="0"/>
    <n v="0"/>
    <n v="0"/>
    <n v="0"/>
    <x v="19"/>
    <n v="197"/>
    <s v="M (Jun 22)"/>
    <d v="2022-06-15T00:00:00"/>
    <n v="-1"/>
  </r>
  <r>
    <x v="135"/>
    <x v="10"/>
    <n v="0"/>
    <n v="0"/>
    <n v="0"/>
    <n v="0"/>
    <x v="994"/>
    <n v="0"/>
    <n v="0"/>
    <n v="0"/>
    <n v="0"/>
    <x v="70"/>
    <n v="141"/>
    <s v="J (Apr 22)"/>
    <d v="2022-04-20T00:00:00"/>
    <n v="-1"/>
  </r>
  <r>
    <x v="135"/>
    <x v="13"/>
    <n v="0"/>
    <n v="0"/>
    <n v="0"/>
    <n v="0"/>
    <x v="995"/>
    <n v="0"/>
    <n v="0"/>
    <n v="0"/>
    <n v="0"/>
    <x v="67"/>
    <n v="50"/>
    <s v="F (Jan 22)"/>
    <d v="2022-01-19T00:00:00"/>
    <n v="-1"/>
  </r>
  <r>
    <x v="135"/>
    <x v="9"/>
    <n v="0"/>
    <n v="0"/>
    <n v="0"/>
    <n v="0"/>
    <x v="996"/>
    <n v="0"/>
    <n v="0"/>
    <n v="0"/>
    <n v="0"/>
    <x v="71"/>
    <n v="169"/>
    <s v="K (May 22)"/>
    <d v="2022-05-18T00:00:00"/>
    <n v="-1"/>
  </r>
  <r>
    <x v="135"/>
    <x v="11"/>
    <n v="0"/>
    <n v="0"/>
    <n v="0"/>
    <n v="0"/>
    <x v="997"/>
    <n v="0"/>
    <n v="0"/>
    <n v="0"/>
    <n v="0"/>
    <x v="10"/>
    <n v="105"/>
    <s v="H (Mar 22)"/>
    <d v="2022-03-15T00:00:00"/>
    <n v="-1"/>
  </r>
  <r>
    <x v="135"/>
    <x v="2"/>
    <n v="0"/>
    <n v="0"/>
    <n v="0"/>
    <n v="0"/>
    <x v="280"/>
    <n v="0"/>
    <n v="0"/>
    <n v="0"/>
    <n v="0"/>
    <x v="86"/>
    <n v="232"/>
    <s v="N (Jul 22)"/>
    <d v="2022-07-20T00:00:00"/>
    <n v="-1"/>
  </r>
  <r>
    <x v="136"/>
    <x v="9"/>
    <n v="0"/>
    <n v="0"/>
    <n v="0"/>
    <n v="0"/>
    <x v="998"/>
    <n v="0"/>
    <n v="0"/>
    <n v="0"/>
    <n v="0"/>
    <x v="77"/>
    <n v="170"/>
    <s v="K (May 22)"/>
    <d v="2022-05-18T00:00:00"/>
    <n v="-1"/>
  </r>
  <r>
    <x v="136"/>
    <x v="11"/>
    <n v="0"/>
    <n v="0"/>
    <n v="0"/>
    <n v="0"/>
    <x v="999"/>
    <n v="0"/>
    <n v="0"/>
    <n v="0"/>
    <n v="0"/>
    <x v="25"/>
    <n v="106"/>
    <s v="H (Mar 22)"/>
    <d v="2022-03-15T00:00:00"/>
    <n v="-1"/>
  </r>
  <r>
    <x v="136"/>
    <x v="2"/>
    <n v="0"/>
    <n v="0"/>
    <n v="0"/>
    <n v="0"/>
    <x v="414"/>
    <n v="0"/>
    <n v="0"/>
    <n v="0"/>
    <n v="0"/>
    <x v="92"/>
    <n v="233"/>
    <s v="N (Jul 22)"/>
    <d v="2022-07-20T00:00:00"/>
    <n v="-1"/>
  </r>
  <r>
    <x v="136"/>
    <x v="6"/>
    <n v="0"/>
    <n v="0"/>
    <n v="0"/>
    <n v="0"/>
    <x v="841"/>
    <n v="0"/>
    <n v="0"/>
    <n v="0"/>
    <n v="0"/>
    <x v="93"/>
    <n v="261"/>
    <s v="Q (Aug 22)"/>
    <d v="2022-08-17T00:00:00"/>
    <n v="-1"/>
  </r>
  <r>
    <x v="136"/>
    <x v="12"/>
    <n v="0"/>
    <n v="0"/>
    <n v="0"/>
    <n v="0"/>
    <x v="1000"/>
    <n v="0"/>
    <n v="0"/>
    <n v="0"/>
    <n v="0"/>
    <x v="78"/>
    <n v="79"/>
    <s v="G (Feb 22)"/>
    <d v="2022-02-16T00:00:00"/>
    <n v="-1"/>
  </r>
  <r>
    <x v="136"/>
    <x v="14"/>
    <n v="0"/>
    <n v="0"/>
    <n v="0"/>
    <n v="0"/>
    <x v="1001"/>
    <n v="0"/>
    <n v="0"/>
    <n v="0"/>
    <n v="0"/>
    <x v="133"/>
    <n v="23"/>
    <s v="Z (Dec 21)"/>
    <d v="2021-12-22T00:00:00"/>
    <n v="-1"/>
  </r>
  <r>
    <x v="136"/>
    <x v="8"/>
    <n v="0"/>
    <n v="0"/>
    <n v="0"/>
    <n v="0"/>
    <x v="1002"/>
    <n v="0"/>
    <n v="0"/>
    <n v="0"/>
    <n v="0"/>
    <x v="30"/>
    <n v="198"/>
    <s v="M (Jun 22)"/>
    <d v="2022-06-15T00:00:00"/>
    <n v="-1"/>
  </r>
  <r>
    <x v="136"/>
    <x v="10"/>
    <n v="0"/>
    <n v="0"/>
    <n v="0"/>
    <n v="0"/>
    <x v="1003"/>
    <n v="0"/>
    <n v="0"/>
    <n v="0"/>
    <n v="0"/>
    <x v="76"/>
    <n v="142"/>
    <s v="J (Apr 22)"/>
    <d v="2022-04-20T00:00:00"/>
    <n v="-1"/>
  </r>
  <r>
    <x v="136"/>
    <x v="13"/>
    <n v="0"/>
    <n v="0"/>
    <n v="0"/>
    <n v="0"/>
    <x v="1004"/>
    <n v="0"/>
    <n v="0"/>
    <n v="0"/>
    <n v="0"/>
    <x v="73"/>
    <n v="51"/>
    <s v="F (Jan 22)"/>
    <d v="2022-01-19T00:00:00"/>
    <n v="-1"/>
  </r>
  <r>
    <x v="137"/>
    <x v="6"/>
    <n v="0"/>
    <n v="0"/>
    <n v="0"/>
    <n v="0"/>
    <x v="218"/>
    <n v="0"/>
    <n v="0"/>
    <n v="0"/>
    <n v="0"/>
    <x v="105"/>
    <n v="264"/>
    <s v="Q (Aug 22)"/>
    <d v="2022-08-17T00:00:00"/>
    <n v="-1"/>
  </r>
  <r>
    <x v="137"/>
    <x v="12"/>
    <n v="0"/>
    <n v="0"/>
    <n v="0"/>
    <n v="0"/>
    <x v="1005"/>
    <n v="0"/>
    <n v="0"/>
    <n v="0"/>
    <n v="0"/>
    <x v="81"/>
    <n v="82"/>
    <s v="G (Feb 22)"/>
    <d v="2022-02-16T00:00:00"/>
    <n v="-1"/>
  </r>
  <r>
    <x v="137"/>
    <x v="14"/>
    <n v="0"/>
    <n v="0"/>
    <n v="0"/>
    <n v="0"/>
    <x v="1006"/>
    <n v="0"/>
    <n v="0"/>
    <n v="0"/>
    <n v="0"/>
    <x v="136"/>
    <n v="26"/>
    <s v="Z (Dec 21)"/>
    <d v="2021-12-22T00:00:00"/>
    <n v="-1"/>
  </r>
  <r>
    <x v="137"/>
    <x v="8"/>
    <n v="0"/>
    <n v="0"/>
    <n v="0"/>
    <n v="0"/>
    <x v="1007"/>
    <n v="0"/>
    <n v="0"/>
    <n v="0"/>
    <n v="0"/>
    <x v="36"/>
    <n v="201"/>
    <s v="M (Jun 22)"/>
    <d v="2022-06-15T00:00:00"/>
    <n v="-1"/>
  </r>
  <r>
    <x v="137"/>
    <x v="10"/>
    <n v="0"/>
    <n v="0"/>
    <n v="0"/>
    <n v="0"/>
    <x v="1008"/>
    <n v="0"/>
    <n v="0"/>
    <n v="0"/>
    <n v="0"/>
    <x v="88"/>
    <n v="145"/>
    <s v="J (Apr 22)"/>
    <d v="2022-04-20T00:00:00"/>
    <n v="-1"/>
  </r>
  <r>
    <x v="137"/>
    <x v="13"/>
    <n v="0"/>
    <n v="0"/>
    <n v="0"/>
    <n v="0"/>
    <x v="1009"/>
    <n v="0"/>
    <n v="0"/>
    <n v="0"/>
    <n v="0"/>
    <x v="85"/>
    <n v="54"/>
    <s v="F (Jan 22)"/>
    <d v="2022-01-19T00:00:00"/>
    <n v="-1"/>
  </r>
  <r>
    <x v="137"/>
    <x v="9"/>
    <n v="0"/>
    <n v="0"/>
    <n v="0"/>
    <n v="0"/>
    <x v="1010"/>
    <n v="0"/>
    <n v="0"/>
    <n v="0"/>
    <n v="0"/>
    <x v="89"/>
    <n v="173"/>
    <s v="K (May 22)"/>
    <d v="2022-05-18T00:00:00"/>
    <n v="-1"/>
  </r>
  <r>
    <x v="137"/>
    <x v="11"/>
    <n v="0"/>
    <n v="0"/>
    <n v="0"/>
    <n v="0"/>
    <x v="1011"/>
    <n v="0"/>
    <n v="0"/>
    <n v="0"/>
    <n v="0"/>
    <x v="28"/>
    <n v="109"/>
    <s v="H (Mar 22)"/>
    <d v="2022-03-15T00:00:00"/>
    <n v="-1"/>
  </r>
  <r>
    <x v="137"/>
    <x v="2"/>
    <n v="0"/>
    <n v="0"/>
    <n v="0"/>
    <n v="0"/>
    <x v="304"/>
    <n v="0"/>
    <n v="0"/>
    <n v="0"/>
    <n v="0"/>
    <x v="104"/>
    <n v="236"/>
    <s v="N (Jul 22)"/>
    <d v="2022-07-20T00:00:00"/>
    <n v="-1"/>
  </r>
  <r>
    <x v="138"/>
    <x v="9"/>
    <n v="0"/>
    <n v="0"/>
    <n v="0"/>
    <n v="0"/>
    <x v="1012"/>
    <n v="0"/>
    <n v="0"/>
    <n v="0"/>
    <n v="0"/>
    <x v="95"/>
    <n v="175"/>
    <s v="K (May 22)"/>
    <d v="2022-05-18T00:00:00"/>
    <n v="-1"/>
  </r>
  <r>
    <x v="138"/>
    <x v="11"/>
    <n v="0"/>
    <n v="0"/>
    <n v="0"/>
    <n v="0"/>
    <x v="1013"/>
    <n v="0"/>
    <n v="0"/>
    <n v="0"/>
    <n v="0"/>
    <x v="43"/>
    <n v="111"/>
    <s v="H (Mar 22)"/>
    <d v="2022-03-15T00:00:00"/>
    <n v="-1"/>
  </r>
  <r>
    <x v="138"/>
    <x v="2"/>
    <n v="0"/>
    <n v="0"/>
    <n v="0"/>
    <n v="0"/>
    <x v="378"/>
    <n v="0"/>
    <n v="0"/>
    <n v="0"/>
    <n v="0"/>
    <x v="110"/>
    <n v="238"/>
    <s v="N (Jul 22)"/>
    <d v="2022-07-20T00:00:00"/>
    <n v="-1"/>
  </r>
  <r>
    <x v="138"/>
    <x v="6"/>
    <n v="0"/>
    <n v="0"/>
    <n v="0"/>
    <n v="0"/>
    <x v="362"/>
    <n v="0"/>
    <n v="0"/>
    <n v="0"/>
    <n v="0"/>
    <x v="111"/>
    <n v="266"/>
    <s v="Q (Aug 22)"/>
    <d v="2022-08-17T00:00:00"/>
    <n v="-1"/>
  </r>
  <r>
    <x v="138"/>
    <x v="12"/>
    <n v="0"/>
    <n v="0"/>
    <n v="0"/>
    <n v="0"/>
    <x v="1014"/>
    <n v="0"/>
    <n v="0"/>
    <n v="0"/>
    <n v="0"/>
    <x v="96"/>
    <n v="84"/>
    <s v="G (Feb 22)"/>
    <d v="2022-02-16T00:00:00"/>
    <n v="-1"/>
  </r>
  <r>
    <x v="138"/>
    <x v="14"/>
    <n v="0"/>
    <n v="0"/>
    <n v="0"/>
    <n v="0"/>
    <x v="1015"/>
    <n v="0"/>
    <n v="0"/>
    <n v="0"/>
    <n v="0"/>
    <x v="150"/>
    <n v="28"/>
    <s v="Z (Dec 21)"/>
    <d v="2021-12-22T00:00:00"/>
    <n v="-1"/>
  </r>
  <r>
    <x v="138"/>
    <x v="8"/>
    <n v="0"/>
    <n v="0"/>
    <n v="0"/>
    <n v="0"/>
    <x v="1016"/>
    <n v="0"/>
    <n v="0"/>
    <n v="0"/>
    <n v="0"/>
    <x v="48"/>
    <n v="203"/>
    <s v="M (Jun 22)"/>
    <d v="2022-06-15T00:00:00"/>
    <n v="-1"/>
  </r>
  <r>
    <x v="138"/>
    <x v="10"/>
    <n v="0"/>
    <n v="0"/>
    <n v="0"/>
    <n v="0"/>
    <x v="1017"/>
    <n v="0"/>
    <n v="0"/>
    <n v="0"/>
    <n v="0"/>
    <x v="94"/>
    <n v="147"/>
    <s v="J (Apr 22)"/>
    <d v="2022-04-20T00:00:00"/>
    <n v="-1"/>
  </r>
  <r>
    <x v="138"/>
    <x v="13"/>
    <n v="0"/>
    <n v="0"/>
    <n v="0"/>
    <n v="0"/>
    <x v="1018"/>
    <n v="0"/>
    <n v="0"/>
    <n v="0"/>
    <n v="0"/>
    <x v="91"/>
    <n v="56"/>
    <s v="F (Jan 22)"/>
    <d v="2022-01-19T00:00:00"/>
    <n v="-1"/>
  </r>
  <r>
    <x v="139"/>
    <x v="6"/>
    <n v="0"/>
    <n v="0"/>
    <n v="0"/>
    <n v="0"/>
    <x v="378"/>
    <n v="0"/>
    <n v="0"/>
    <n v="0"/>
    <n v="0"/>
    <x v="123"/>
    <n v="267"/>
    <s v="Q (Aug 22)"/>
    <d v="2022-08-17T00:00:00"/>
    <n v="-1"/>
  </r>
  <r>
    <x v="139"/>
    <x v="12"/>
    <n v="0"/>
    <n v="0"/>
    <n v="0"/>
    <n v="0"/>
    <x v="1019"/>
    <n v="0"/>
    <n v="0"/>
    <n v="0"/>
    <n v="0"/>
    <x v="99"/>
    <n v="85"/>
    <s v="G (Feb 22)"/>
    <d v="2022-02-16T00:00:00"/>
    <n v="-1"/>
  </r>
  <r>
    <x v="139"/>
    <x v="14"/>
    <n v="0"/>
    <n v="0"/>
    <n v="0"/>
    <n v="0"/>
    <x v="1020"/>
    <n v="0"/>
    <n v="0"/>
    <n v="0"/>
    <n v="0"/>
    <x v="153"/>
    <n v="29"/>
    <s v="Z (Dec 21)"/>
    <d v="2021-12-22T00:00:00"/>
    <n v="-1"/>
  </r>
  <r>
    <x v="139"/>
    <x v="8"/>
    <n v="0"/>
    <n v="0"/>
    <n v="0"/>
    <n v="0"/>
    <x v="1021"/>
    <n v="0"/>
    <n v="0"/>
    <n v="0"/>
    <n v="0"/>
    <x v="54"/>
    <n v="204"/>
    <s v="M (Jun 22)"/>
    <d v="2022-06-15T00:00:00"/>
    <n v="-1"/>
  </r>
  <r>
    <x v="139"/>
    <x v="10"/>
    <n v="0"/>
    <n v="0"/>
    <n v="0"/>
    <n v="0"/>
    <x v="1022"/>
    <n v="0"/>
    <n v="0"/>
    <n v="0"/>
    <n v="0"/>
    <x v="106"/>
    <n v="148"/>
    <s v="J (Apr 22)"/>
    <d v="2022-04-20T00:00:00"/>
    <n v="-1"/>
  </r>
  <r>
    <x v="139"/>
    <x v="13"/>
    <n v="0"/>
    <n v="0"/>
    <n v="0"/>
    <n v="0"/>
    <x v="1023"/>
    <n v="0"/>
    <n v="0"/>
    <n v="0"/>
    <n v="0"/>
    <x v="103"/>
    <n v="57"/>
    <s v="F (Jan 22)"/>
    <d v="2022-01-19T00:00:00"/>
    <n v="-1"/>
  </r>
  <r>
    <x v="139"/>
    <x v="9"/>
    <n v="0"/>
    <n v="0"/>
    <n v="0"/>
    <n v="0"/>
    <x v="1024"/>
    <n v="0"/>
    <n v="0"/>
    <n v="0"/>
    <n v="0"/>
    <x v="107"/>
    <n v="176"/>
    <s v="K (May 22)"/>
    <d v="2022-05-18T00:00:00"/>
    <n v="-1"/>
  </r>
  <r>
    <x v="139"/>
    <x v="11"/>
    <n v="0"/>
    <n v="0"/>
    <n v="0"/>
    <n v="0"/>
    <x v="1025"/>
    <n v="0"/>
    <n v="0"/>
    <n v="0"/>
    <n v="0"/>
    <x v="46"/>
    <n v="112"/>
    <s v="H (Mar 22)"/>
    <d v="2022-03-15T00:00:00"/>
    <n v="-1"/>
  </r>
  <r>
    <x v="139"/>
    <x v="2"/>
    <n v="0"/>
    <n v="0"/>
    <n v="0"/>
    <n v="0"/>
    <x v="362"/>
    <n v="0"/>
    <n v="0"/>
    <n v="0"/>
    <n v="0"/>
    <x v="122"/>
    <n v="239"/>
    <s v="N (Jul 22)"/>
    <d v="2022-07-20T00:00:00"/>
    <n v="-1"/>
  </r>
  <r>
    <x v="140"/>
    <x v="9"/>
    <n v="0"/>
    <n v="0"/>
    <n v="0"/>
    <n v="0"/>
    <x v="378"/>
    <n v="0"/>
    <n v="0"/>
    <n v="0"/>
    <n v="0"/>
    <x v="113"/>
    <n v="177"/>
    <s v="K (May 22)"/>
    <d v="2022-05-18T00:00:00"/>
    <n v="-1"/>
  </r>
  <r>
    <x v="140"/>
    <x v="11"/>
    <n v="0"/>
    <n v="0"/>
    <n v="0"/>
    <n v="0"/>
    <x v="1026"/>
    <n v="0"/>
    <n v="0"/>
    <n v="0"/>
    <n v="0"/>
    <x v="61"/>
    <n v="113"/>
    <s v="H (Mar 22)"/>
    <d v="2022-03-15T00:00:00"/>
    <n v="-1"/>
  </r>
  <r>
    <x v="140"/>
    <x v="2"/>
    <n v="0"/>
    <n v="0"/>
    <n v="0"/>
    <n v="0"/>
    <x v="769"/>
    <n v="0"/>
    <n v="0"/>
    <n v="0"/>
    <n v="0"/>
    <x v="128"/>
    <n v="240"/>
    <s v="N (Jul 22)"/>
    <d v="2022-07-20T00:00:00"/>
    <n v="-1"/>
  </r>
  <r>
    <x v="140"/>
    <x v="6"/>
    <n v="0"/>
    <n v="0"/>
    <n v="0"/>
    <n v="0"/>
    <x v="362"/>
    <n v="0"/>
    <n v="0"/>
    <n v="0"/>
    <n v="0"/>
    <x v="186"/>
    <n v="268"/>
    <s v="Q (Aug 22)"/>
    <d v="2022-08-17T00:00:00"/>
    <n v="-1"/>
  </r>
  <r>
    <x v="140"/>
    <x v="12"/>
    <n v="0"/>
    <n v="0"/>
    <n v="0"/>
    <n v="0"/>
    <x v="1027"/>
    <n v="0"/>
    <n v="0"/>
    <n v="0"/>
    <n v="0"/>
    <x v="114"/>
    <n v="86"/>
    <s v="G (Feb 22)"/>
    <d v="2022-02-16T00:00:00"/>
    <n v="-1"/>
  </r>
  <r>
    <x v="140"/>
    <x v="14"/>
    <n v="0"/>
    <n v="0"/>
    <n v="0"/>
    <n v="0"/>
    <x v="1028"/>
    <n v="0"/>
    <n v="0"/>
    <n v="0"/>
    <n v="0"/>
    <x v="166"/>
    <n v="30"/>
    <s v="Z (Dec 21)"/>
    <d v="2021-12-22T00:00:00"/>
    <n v="-1"/>
  </r>
  <r>
    <x v="140"/>
    <x v="8"/>
    <n v="0"/>
    <n v="0"/>
    <n v="0"/>
    <n v="0"/>
    <x v="375"/>
    <n v="0"/>
    <n v="0"/>
    <n v="0"/>
    <n v="0"/>
    <x v="66"/>
    <n v="205"/>
    <s v="M (Jun 22)"/>
    <d v="2022-06-15T00:00:00"/>
    <n v="-1"/>
  </r>
  <r>
    <x v="140"/>
    <x v="10"/>
    <n v="0"/>
    <n v="0"/>
    <n v="0"/>
    <n v="0"/>
    <x v="1029"/>
    <n v="0"/>
    <n v="0"/>
    <n v="0"/>
    <n v="0"/>
    <x v="112"/>
    <n v="149"/>
    <s v="J (Apr 22)"/>
    <d v="2022-04-20T00:00:00"/>
    <n v="-1"/>
  </r>
  <r>
    <x v="140"/>
    <x v="13"/>
    <n v="0"/>
    <n v="0"/>
    <n v="0"/>
    <n v="0"/>
    <x v="1030"/>
    <n v="0"/>
    <n v="0"/>
    <n v="0"/>
    <n v="0"/>
    <x v="109"/>
    <n v="58"/>
    <s v="F (Jan 22)"/>
    <d v="2022-01-19T00:00:00"/>
    <n v="-1"/>
  </r>
  <r>
    <x v="141"/>
    <x v="12"/>
    <n v="0"/>
    <n v="0"/>
    <n v="0"/>
    <n v="0"/>
    <x v="1031"/>
    <n v="0"/>
    <n v="0"/>
    <n v="0"/>
    <n v="0"/>
    <x v="117"/>
    <n v="89"/>
    <s v="G (Feb 22)"/>
    <d v="2022-02-16T00:00:00"/>
    <n v="-1"/>
  </r>
  <r>
    <x v="141"/>
    <x v="14"/>
    <n v="0"/>
    <n v="0"/>
    <n v="0"/>
    <n v="0"/>
    <x v="1032"/>
    <n v="0"/>
    <n v="0"/>
    <n v="0"/>
    <n v="0"/>
    <x v="169"/>
    <n v="33"/>
    <s v="Z (Dec 21)"/>
    <d v="2021-12-22T00:00:00"/>
    <n v="-1"/>
  </r>
  <r>
    <x v="141"/>
    <x v="8"/>
    <n v="0"/>
    <n v="0"/>
    <n v="0"/>
    <n v="0"/>
    <x v="1033"/>
    <n v="0"/>
    <n v="0"/>
    <n v="0"/>
    <n v="0"/>
    <x v="72"/>
    <n v="208"/>
    <s v="M (Jun 22)"/>
    <d v="2022-06-15T00:00:00"/>
    <n v="-1"/>
  </r>
  <r>
    <x v="141"/>
    <x v="10"/>
    <n v="0"/>
    <n v="0"/>
    <n v="0"/>
    <n v="0"/>
    <x v="1022"/>
    <n v="0"/>
    <n v="0"/>
    <n v="0"/>
    <n v="0"/>
    <x v="124"/>
    <n v="152"/>
    <s v="J (Apr 22)"/>
    <d v="2022-04-20T00:00:00"/>
    <n v="-1"/>
  </r>
  <r>
    <x v="141"/>
    <x v="13"/>
    <n v="0"/>
    <n v="0"/>
    <n v="0"/>
    <n v="0"/>
    <x v="1034"/>
    <n v="0"/>
    <n v="0"/>
    <n v="0"/>
    <n v="0"/>
    <x v="121"/>
    <n v="61"/>
    <s v="F (Jan 22)"/>
    <d v="2022-01-19T00:00:00"/>
    <n v="-1"/>
  </r>
  <r>
    <x v="141"/>
    <x v="9"/>
    <n v="0"/>
    <n v="0"/>
    <n v="0"/>
    <n v="0"/>
    <x v="1035"/>
    <n v="0"/>
    <n v="0"/>
    <n v="0"/>
    <n v="0"/>
    <x v="125"/>
    <n v="180"/>
    <s v="K (May 22)"/>
    <d v="2022-05-18T00:00:00"/>
    <n v="-1"/>
  </r>
  <r>
    <x v="141"/>
    <x v="11"/>
    <n v="0"/>
    <n v="0"/>
    <n v="0"/>
    <n v="0"/>
    <x v="1036"/>
    <n v="0"/>
    <n v="0"/>
    <n v="0"/>
    <n v="0"/>
    <x v="64"/>
    <n v="116"/>
    <s v="H (Mar 22)"/>
    <d v="2022-03-15T00:00:00"/>
    <n v="-1"/>
  </r>
  <r>
    <x v="141"/>
    <x v="2"/>
    <n v="0"/>
    <n v="0"/>
    <n v="0"/>
    <n v="0"/>
    <x v="776"/>
    <n v="0"/>
    <n v="0"/>
    <n v="0"/>
    <n v="0"/>
    <x v="139"/>
    <n v="243"/>
    <s v="N (Jul 22)"/>
    <d v="2022-07-20T00:00:00"/>
    <n v="-1"/>
  </r>
  <r>
    <x v="142"/>
    <x v="9"/>
    <n v="0"/>
    <n v="0"/>
    <n v="0"/>
    <n v="0"/>
    <x v="694"/>
    <n v="0"/>
    <n v="0"/>
    <n v="0"/>
    <n v="0"/>
    <x v="130"/>
    <n v="181"/>
    <s v="K (May 22)"/>
    <d v="2022-05-18T00:00:00"/>
    <n v="-1"/>
  </r>
  <r>
    <x v="142"/>
    <x v="11"/>
    <n v="0"/>
    <n v="0"/>
    <n v="0"/>
    <n v="0"/>
    <x v="1037"/>
    <n v="0"/>
    <n v="0"/>
    <n v="0"/>
    <n v="0"/>
    <x v="79"/>
    <n v="117"/>
    <s v="H (Mar 22)"/>
    <d v="2022-03-15T00:00:00"/>
    <n v="-1"/>
  </r>
  <r>
    <x v="142"/>
    <x v="2"/>
    <n v="0"/>
    <n v="0"/>
    <n v="0"/>
    <n v="0"/>
    <x v="414"/>
    <n v="0"/>
    <n v="0"/>
    <n v="0"/>
    <n v="0"/>
    <x v="144"/>
    <n v="244"/>
    <s v="N (Jul 22)"/>
    <d v="2022-07-20T00:00:00"/>
    <n v="-1"/>
  </r>
  <r>
    <x v="142"/>
    <x v="12"/>
    <n v="0"/>
    <n v="0"/>
    <n v="0"/>
    <n v="0"/>
    <x v="1038"/>
    <n v="0"/>
    <n v="0"/>
    <n v="0"/>
    <n v="0"/>
    <x v="131"/>
    <n v="90"/>
    <s v="G (Feb 22)"/>
    <d v="2022-02-16T00:00:00"/>
    <n v="-1"/>
  </r>
  <r>
    <x v="142"/>
    <x v="14"/>
    <n v="0"/>
    <n v="0"/>
    <n v="0"/>
    <n v="0"/>
    <x v="1039"/>
    <n v="0"/>
    <n v="0"/>
    <n v="0"/>
    <n v="0"/>
    <x v="176"/>
    <n v="34"/>
    <s v="Z (Dec 21)"/>
    <d v="2021-12-22T00:00:00"/>
    <n v="-1"/>
  </r>
  <r>
    <x v="142"/>
    <x v="8"/>
    <n v="0"/>
    <n v="0"/>
    <n v="0"/>
    <n v="0"/>
    <x v="300"/>
    <n v="0"/>
    <n v="0"/>
    <n v="0"/>
    <n v="0"/>
    <x v="84"/>
    <n v="209"/>
    <s v="M (Jun 22)"/>
    <d v="2022-06-15T00:00:00"/>
    <n v="-1"/>
  </r>
  <r>
    <x v="142"/>
    <x v="10"/>
    <n v="0"/>
    <n v="0"/>
    <n v="0"/>
    <n v="0"/>
    <x v="1040"/>
    <n v="0"/>
    <n v="0"/>
    <n v="0"/>
    <n v="0"/>
    <x v="129"/>
    <n v="153"/>
    <s v="J (Apr 22)"/>
    <d v="2022-04-20T00:00:00"/>
    <n v="-1"/>
  </r>
  <r>
    <x v="142"/>
    <x v="13"/>
    <n v="0"/>
    <n v="0"/>
    <n v="0"/>
    <n v="0"/>
    <x v="1041"/>
    <n v="0"/>
    <n v="0"/>
    <n v="0"/>
    <n v="0"/>
    <x v="127"/>
    <n v="62"/>
    <s v="F (Jan 22)"/>
    <d v="2022-01-19T00:00:00"/>
    <n v="-1"/>
  </r>
  <r>
    <x v="143"/>
    <x v="12"/>
    <n v="0"/>
    <n v="0"/>
    <n v="0"/>
    <n v="0"/>
    <x v="1042"/>
    <n v="0"/>
    <n v="0"/>
    <n v="0"/>
    <n v="0"/>
    <x v="134"/>
    <n v="91"/>
    <s v="G (Feb 22)"/>
    <d v="2022-02-16T00:00:00"/>
    <n v="-1"/>
  </r>
  <r>
    <x v="143"/>
    <x v="14"/>
    <n v="0"/>
    <n v="0"/>
    <n v="0"/>
    <n v="0"/>
    <x v="1043"/>
    <n v="0"/>
    <n v="0"/>
    <n v="0"/>
    <n v="0"/>
    <x v="178"/>
    <n v="35"/>
    <s v="Z (Dec 21)"/>
    <d v="2021-12-22T00:00:00"/>
    <n v="-1"/>
  </r>
  <r>
    <x v="143"/>
    <x v="8"/>
    <n v="0"/>
    <n v="0"/>
    <n v="0"/>
    <n v="0"/>
    <x v="1044"/>
    <n v="0"/>
    <n v="0"/>
    <n v="0"/>
    <n v="0"/>
    <x v="90"/>
    <n v="210"/>
    <s v="M (Jun 22)"/>
    <d v="2022-06-15T00:00:00"/>
    <n v="-1"/>
  </r>
  <r>
    <x v="143"/>
    <x v="10"/>
    <n v="0"/>
    <n v="0"/>
    <n v="0"/>
    <n v="0"/>
    <x v="1045"/>
    <n v="0"/>
    <n v="0"/>
    <n v="0"/>
    <n v="0"/>
    <x v="140"/>
    <n v="154"/>
    <s v="J (Apr 22)"/>
    <d v="2022-04-20T00:00:00"/>
    <n v="-1"/>
  </r>
  <r>
    <x v="143"/>
    <x v="13"/>
    <n v="0"/>
    <n v="0"/>
    <n v="0"/>
    <n v="0"/>
    <x v="1046"/>
    <n v="0"/>
    <n v="0"/>
    <n v="0"/>
    <n v="0"/>
    <x v="138"/>
    <n v="63"/>
    <s v="F (Jan 22)"/>
    <d v="2022-01-19T00:00:00"/>
    <n v="-1"/>
  </r>
  <r>
    <x v="143"/>
    <x v="15"/>
    <n v="0"/>
    <n v="0"/>
    <n v="0"/>
    <n v="0"/>
    <x v="1047"/>
    <n v="0"/>
    <n v="0"/>
    <n v="0"/>
    <n v="0"/>
    <x v="145"/>
    <n v="0"/>
    <s v="X (Nov 21)"/>
    <d v="2021-11-17T00:00:00"/>
    <n v="-1"/>
  </r>
  <r>
    <x v="143"/>
    <x v="9"/>
    <n v="0"/>
    <n v="0"/>
    <n v="0"/>
    <n v="0"/>
    <x v="1048"/>
    <n v="0"/>
    <n v="0"/>
    <n v="0"/>
    <n v="0"/>
    <x v="141"/>
    <n v="182"/>
    <s v="K (May 22)"/>
    <d v="2022-05-18T00:00:00"/>
    <n v="-1"/>
  </r>
  <r>
    <x v="143"/>
    <x v="11"/>
    <n v="0"/>
    <n v="0"/>
    <n v="0"/>
    <n v="0"/>
    <x v="1049"/>
    <n v="0"/>
    <n v="0"/>
    <n v="0"/>
    <n v="0"/>
    <x v="82"/>
    <n v="118"/>
    <s v="H (Mar 22)"/>
    <d v="2022-03-15T00:00:00"/>
    <n v="-1"/>
  </r>
  <r>
    <x v="143"/>
    <x v="2"/>
    <n v="0"/>
    <n v="0"/>
    <n v="0"/>
    <n v="0"/>
    <x v="414"/>
    <n v="0"/>
    <n v="0"/>
    <n v="0"/>
    <n v="0"/>
    <x v="155"/>
    <n v="245"/>
    <s v="N (Jul 22)"/>
    <d v="2022-07-20T00:00:00"/>
    <n v="-1"/>
  </r>
  <r>
    <x v="144"/>
    <x v="15"/>
    <n v="0"/>
    <n v="0"/>
    <n v="0"/>
    <n v="0"/>
    <x v="1050"/>
    <n v="0"/>
    <n v="0"/>
    <n v="0"/>
    <n v="0"/>
    <x v="156"/>
    <n v="1"/>
    <s v="X (Nov 21)"/>
    <d v="2021-11-17T00:00:00"/>
    <n v="-1"/>
  </r>
  <r>
    <x v="144"/>
    <x v="9"/>
    <n v="0"/>
    <n v="0"/>
    <n v="0"/>
    <n v="0"/>
    <x v="1051"/>
    <n v="0"/>
    <n v="0"/>
    <n v="0"/>
    <n v="0"/>
    <x v="147"/>
    <n v="183"/>
    <s v="K (May 22)"/>
    <d v="2022-05-18T00:00:00"/>
    <n v="-1"/>
  </r>
  <r>
    <x v="144"/>
    <x v="11"/>
    <n v="0"/>
    <n v="0"/>
    <n v="0"/>
    <n v="0"/>
    <x v="1052"/>
    <n v="0"/>
    <n v="0"/>
    <n v="0"/>
    <n v="0"/>
    <x v="97"/>
    <n v="119"/>
    <s v="H (Mar 22)"/>
    <d v="2022-03-15T00:00:00"/>
    <n v="-1"/>
  </r>
  <r>
    <x v="144"/>
    <x v="2"/>
    <n v="0"/>
    <n v="0"/>
    <n v="0"/>
    <n v="0"/>
    <x v="411"/>
    <n v="0"/>
    <n v="0"/>
    <n v="0"/>
    <n v="0"/>
    <x v="160"/>
    <n v="246"/>
    <s v="N (Jul 22)"/>
    <d v="2022-07-20T00:00:00"/>
    <n v="-1"/>
  </r>
  <r>
    <x v="144"/>
    <x v="12"/>
    <n v="0"/>
    <n v="0"/>
    <n v="0"/>
    <n v="0"/>
    <x v="1053"/>
    <n v="0"/>
    <n v="0"/>
    <n v="0"/>
    <n v="0"/>
    <x v="148"/>
    <n v="92"/>
    <s v="G (Feb 22)"/>
    <d v="2022-02-16T00:00:00"/>
    <n v="-1"/>
  </r>
  <r>
    <x v="144"/>
    <x v="14"/>
    <n v="0"/>
    <n v="0"/>
    <n v="0"/>
    <n v="0"/>
    <x v="1054"/>
    <n v="0"/>
    <n v="0"/>
    <n v="0"/>
    <n v="0"/>
    <x v="182"/>
    <n v="36"/>
    <s v="Z (Dec 21)"/>
    <d v="2021-12-22T00:00:00"/>
    <n v="-1"/>
  </r>
  <r>
    <x v="144"/>
    <x v="8"/>
    <n v="0"/>
    <n v="0"/>
    <n v="0"/>
    <n v="0"/>
    <x v="1055"/>
    <n v="0"/>
    <n v="0"/>
    <n v="0"/>
    <n v="0"/>
    <x v="102"/>
    <n v="211"/>
    <s v="M (Jun 22)"/>
    <d v="2022-06-15T00:00:00"/>
    <n v="-1"/>
  </r>
  <r>
    <x v="144"/>
    <x v="10"/>
    <n v="0"/>
    <n v="0"/>
    <n v="0"/>
    <n v="0"/>
    <x v="1026"/>
    <n v="0"/>
    <n v="0"/>
    <n v="0"/>
    <n v="0"/>
    <x v="146"/>
    <n v="155"/>
    <s v="J (Apr 22)"/>
    <d v="2022-04-20T00:00:00"/>
    <n v="-1"/>
  </r>
  <r>
    <x v="144"/>
    <x v="13"/>
    <n v="0"/>
    <n v="0"/>
    <n v="0"/>
    <n v="0"/>
    <x v="1056"/>
    <n v="0"/>
    <n v="0"/>
    <n v="0"/>
    <n v="0"/>
    <x v="143"/>
    <n v="64"/>
    <s v="F (Jan 22)"/>
    <d v="2022-01-19T00:00:00"/>
    <n v="-1"/>
  </r>
  <r>
    <x v="145"/>
    <x v="12"/>
    <n v="0"/>
    <n v="0"/>
    <n v="0"/>
    <n v="0"/>
    <x v="1057"/>
    <n v="0"/>
    <n v="0"/>
    <n v="0"/>
    <n v="0"/>
    <x v="151"/>
    <n v="93"/>
    <s v="G (Feb 22)"/>
    <d v="2022-02-16T00:00:00"/>
    <n v="-1"/>
  </r>
  <r>
    <x v="145"/>
    <x v="14"/>
    <n v="0"/>
    <n v="0"/>
    <n v="0"/>
    <n v="0"/>
    <x v="1058"/>
    <n v="0"/>
    <n v="0"/>
    <n v="0"/>
    <n v="0"/>
    <x v="184"/>
    <n v="37"/>
    <s v="Z (Dec 21)"/>
    <d v="2021-12-22T00:00:00"/>
    <n v="-1"/>
  </r>
  <r>
    <x v="145"/>
    <x v="8"/>
    <n v="0"/>
    <n v="0"/>
    <n v="0"/>
    <n v="0"/>
    <x v="666"/>
    <n v="0"/>
    <n v="0"/>
    <n v="0"/>
    <n v="0"/>
    <x v="108"/>
    <n v="212"/>
    <s v="M (Jun 22)"/>
    <d v="2022-06-15T00:00:00"/>
    <n v="-1"/>
  </r>
  <r>
    <x v="145"/>
    <x v="10"/>
    <n v="0"/>
    <n v="0"/>
    <n v="0"/>
    <n v="0"/>
    <x v="1059"/>
    <n v="0"/>
    <n v="0"/>
    <n v="0"/>
    <n v="0"/>
    <x v="157"/>
    <n v="156"/>
    <s v="J (Apr 22)"/>
    <d v="2022-04-20T00:00:00"/>
    <n v="-1"/>
  </r>
  <r>
    <x v="145"/>
    <x v="13"/>
    <n v="0"/>
    <n v="0"/>
    <n v="0"/>
    <n v="0"/>
    <x v="1060"/>
    <n v="0"/>
    <n v="0"/>
    <n v="0"/>
    <n v="0"/>
    <x v="154"/>
    <n v="65"/>
    <s v="F (Jan 22)"/>
    <d v="2022-01-19T00:00:00"/>
    <n v="-1"/>
  </r>
  <r>
    <x v="145"/>
    <x v="15"/>
    <n v="0"/>
    <n v="0"/>
    <n v="0"/>
    <n v="0"/>
    <x v="1061"/>
    <n v="0"/>
    <n v="0"/>
    <n v="0"/>
    <n v="0"/>
    <x v="161"/>
    <n v="2"/>
    <s v="X (Nov 21)"/>
    <d v="2021-11-17T00:00:00"/>
    <n v="-1"/>
  </r>
  <r>
    <x v="145"/>
    <x v="9"/>
    <n v="0"/>
    <n v="0"/>
    <n v="0"/>
    <n v="0"/>
    <x v="666"/>
    <n v="0"/>
    <n v="0"/>
    <n v="0"/>
    <n v="0"/>
    <x v="158"/>
    <n v="184"/>
    <s v="K (May 22)"/>
    <d v="2022-05-18T00:00:00"/>
    <n v="-1"/>
  </r>
  <r>
    <x v="145"/>
    <x v="11"/>
    <n v="0"/>
    <n v="0"/>
    <n v="0"/>
    <n v="0"/>
    <x v="1062"/>
    <n v="0"/>
    <n v="0"/>
    <n v="0"/>
    <n v="0"/>
    <x v="100"/>
    <n v="120"/>
    <s v="H (Mar 22)"/>
    <d v="2022-03-15T00:00:00"/>
    <n v="-1"/>
  </r>
  <r>
    <x v="145"/>
    <x v="2"/>
    <n v="0"/>
    <n v="0"/>
    <n v="0"/>
    <n v="0"/>
    <x v="1063"/>
    <n v="0"/>
    <n v="0"/>
    <n v="0"/>
    <n v="0"/>
    <x v="171"/>
    <n v="247"/>
    <s v="N (Jul 22)"/>
    <d v="2022-07-20T00:00:00"/>
    <n v="-1"/>
  </r>
  <r>
    <x v="146"/>
    <x v="15"/>
    <n v="0"/>
    <n v="0"/>
    <n v="0"/>
    <n v="0"/>
    <x v="1064"/>
    <n v="0"/>
    <n v="0"/>
    <n v="0"/>
    <n v="0"/>
    <x v="8"/>
    <n v="5"/>
    <s v="X (Nov 21)"/>
    <d v="2021-11-17T00:00:00"/>
    <n v="-1"/>
  </r>
  <r>
    <x v="146"/>
    <x v="9"/>
    <n v="0"/>
    <n v="0"/>
    <n v="0"/>
    <n v="0"/>
    <x v="1065"/>
    <n v="0"/>
    <n v="0"/>
    <n v="0"/>
    <n v="0"/>
    <x v="163"/>
    <n v="187"/>
    <s v="K (May 22)"/>
    <d v="2022-05-18T00:00:00"/>
    <n v="-1"/>
  </r>
  <r>
    <x v="146"/>
    <x v="11"/>
    <n v="0"/>
    <n v="0"/>
    <n v="0"/>
    <n v="0"/>
    <x v="1066"/>
    <n v="0"/>
    <n v="0"/>
    <n v="0"/>
    <n v="0"/>
    <x v="115"/>
    <n v="123"/>
    <s v="H (Mar 22)"/>
    <d v="2022-03-15T00:00:00"/>
    <n v="-1"/>
  </r>
  <r>
    <x v="146"/>
    <x v="2"/>
    <n v="0"/>
    <n v="0"/>
    <n v="0"/>
    <n v="0"/>
    <x v="1067"/>
    <n v="0"/>
    <n v="0"/>
    <n v="0"/>
    <n v="0"/>
    <x v="4"/>
    <n v="250"/>
    <s v="N (Jul 22)"/>
    <d v="2022-07-20T00:00:00"/>
    <n v="-1"/>
  </r>
  <r>
    <x v="146"/>
    <x v="12"/>
    <n v="0"/>
    <n v="0"/>
    <n v="0"/>
    <n v="0"/>
    <x v="1068"/>
    <n v="0"/>
    <n v="0"/>
    <n v="0"/>
    <n v="0"/>
    <x v="164"/>
    <n v="96"/>
    <s v="G (Feb 22)"/>
    <d v="2022-02-16T00:00:00"/>
    <n v="-1"/>
  </r>
  <r>
    <x v="146"/>
    <x v="14"/>
    <n v="0"/>
    <n v="0"/>
    <n v="0"/>
    <n v="0"/>
    <x v="1069"/>
    <n v="0"/>
    <n v="0"/>
    <n v="0"/>
    <n v="0"/>
    <x v="2"/>
    <n v="40"/>
    <s v="Z (Dec 21)"/>
    <d v="2021-12-22T00:00:00"/>
    <n v="-1"/>
  </r>
  <r>
    <x v="146"/>
    <x v="8"/>
    <n v="0"/>
    <n v="0"/>
    <n v="0"/>
    <n v="0"/>
    <x v="1070"/>
    <n v="0"/>
    <n v="0"/>
    <n v="0"/>
    <n v="0"/>
    <x v="120"/>
    <n v="215"/>
    <s v="M (Jun 22)"/>
    <d v="2022-06-15T00:00:00"/>
    <n v="-1"/>
  </r>
  <r>
    <x v="146"/>
    <x v="10"/>
    <n v="0"/>
    <n v="0"/>
    <n v="0"/>
    <n v="0"/>
    <x v="1049"/>
    <n v="0"/>
    <n v="0"/>
    <n v="0"/>
    <n v="0"/>
    <x v="162"/>
    <n v="159"/>
    <s v="J (Apr 22)"/>
    <d v="2022-04-20T00:00:00"/>
    <n v="-1"/>
  </r>
  <r>
    <x v="146"/>
    <x v="13"/>
    <n v="0"/>
    <n v="0"/>
    <n v="0"/>
    <n v="0"/>
    <x v="1071"/>
    <n v="0"/>
    <n v="0"/>
    <n v="0"/>
    <n v="0"/>
    <x v="159"/>
    <n v="68"/>
    <s v="F (Jan 22)"/>
    <d v="2022-01-19T00:00:00"/>
    <n v="-1"/>
  </r>
  <r>
    <x v="147"/>
    <x v="12"/>
    <n v="0"/>
    <n v="0"/>
    <n v="0"/>
    <n v="0"/>
    <x v="1072"/>
    <n v="0"/>
    <n v="0"/>
    <n v="0"/>
    <n v="0"/>
    <x v="167"/>
    <n v="97"/>
    <s v="G (Feb 22)"/>
    <d v="2022-02-16T00:00:00"/>
    <n v="-1"/>
  </r>
  <r>
    <x v="147"/>
    <x v="14"/>
    <n v="0"/>
    <n v="0"/>
    <n v="0"/>
    <n v="0"/>
    <x v="1073"/>
    <n v="0"/>
    <n v="0"/>
    <n v="0"/>
    <n v="0"/>
    <x v="14"/>
    <n v="41"/>
    <s v="Z (Dec 21)"/>
    <d v="2021-12-22T00:00:00"/>
    <n v="-1"/>
  </r>
  <r>
    <x v="147"/>
    <x v="8"/>
    <n v="0"/>
    <n v="0"/>
    <n v="0"/>
    <n v="0"/>
    <x v="1074"/>
    <n v="0"/>
    <n v="0"/>
    <n v="0"/>
    <n v="0"/>
    <x v="126"/>
    <n v="216"/>
    <s v="M (Jun 22)"/>
    <d v="2022-06-15T00:00:00"/>
    <n v="-1"/>
  </r>
  <r>
    <x v="147"/>
    <x v="10"/>
    <n v="0"/>
    <n v="0"/>
    <n v="0"/>
    <n v="0"/>
    <x v="1075"/>
    <n v="0"/>
    <n v="0"/>
    <n v="0"/>
    <n v="0"/>
    <x v="172"/>
    <n v="160"/>
    <s v="J (Apr 22)"/>
    <d v="2022-04-20T00:00:00"/>
    <n v="-1"/>
  </r>
  <r>
    <x v="147"/>
    <x v="13"/>
    <n v="0"/>
    <n v="0"/>
    <n v="0"/>
    <n v="0"/>
    <x v="1076"/>
    <n v="0"/>
    <n v="0"/>
    <n v="0"/>
    <n v="0"/>
    <x v="170"/>
    <n v="69"/>
    <s v="F (Jan 22)"/>
    <d v="2022-01-19T00:00:00"/>
    <n v="-1"/>
  </r>
  <r>
    <x v="147"/>
    <x v="15"/>
    <n v="0"/>
    <n v="0"/>
    <n v="0"/>
    <n v="0"/>
    <x v="1077"/>
    <n v="0"/>
    <n v="0"/>
    <n v="0"/>
    <n v="0"/>
    <x v="11"/>
    <n v="6"/>
    <s v="X (Nov 21)"/>
    <d v="2021-11-17T00:00:00"/>
    <n v="-1"/>
  </r>
  <r>
    <x v="147"/>
    <x v="9"/>
    <n v="0"/>
    <n v="0"/>
    <n v="0"/>
    <n v="0"/>
    <x v="1078"/>
    <n v="0"/>
    <n v="0"/>
    <n v="0"/>
    <n v="0"/>
    <x v="173"/>
    <n v="188"/>
    <s v="K (May 22)"/>
    <d v="2022-05-18T00:00:00"/>
    <n v="-1"/>
  </r>
  <r>
    <x v="147"/>
    <x v="11"/>
    <n v="0"/>
    <n v="0"/>
    <n v="0"/>
    <n v="0"/>
    <x v="1079"/>
    <n v="0"/>
    <n v="0"/>
    <n v="0"/>
    <n v="0"/>
    <x v="118"/>
    <n v="124"/>
    <s v="H (Mar 22)"/>
    <d v="2022-03-15T00:00:00"/>
    <n v="-1"/>
  </r>
  <r>
    <x v="147"/>
    <x v="2"/>
    <n v="0"/>
    <n v="0"/>
    <n v="0"/>
    <n v="0"/>
    <x v="1080"/>
    <n v="0"/>
    <n v="0"/>
    <n v="0"/>
    <n v="0"/>
    <x v="16"/>
    <n v="251"/>
    <s v="N (Jul 22)"/>
    <d v="2022-07-20T00:00:00"/>
    <n v="-1"/>
  </r>
  <r>
    <x v="148"/>
    <x v="15"/>
    <n v="0"/>
    <n v="0"/>
    <n v="0"/>
    <n v="0"/>
    <x v="1081"/>
    <n v="0"/>
    <n v="0"/>
    <n v="0"/>
    <n v="0"/>
    <x v="26"/>
    <n v="7"/>
    <s v="X (Nov 21)"/>
    <d v="2021-11-17T00:00:00"/>
    <n v="-1"/>
  </r>
  <r>
    <x v="148"/>
    <x v="9"/>
    <n v="0"/>
    <n v="0"/>
    <n v="0"/>
    <n v="0"/>
    <x v="1082"/>
    <n v="0"/>
    <n v="0"/>
    <n v="0"/>
    <n v="0"/>
    <x v="174"/>
    <n v="189"/>
    <s v="K (May 22)"/>
    <d v="2022-05-18T00:00:00"/>
    <n v="-1"/>
  </r>
  <r>
    <x v="148"/>
    <x v="14"/>
    <n v="0"/>
    <n v="0"/>
    <n v="0"/>
    <n v="0"/>
    <x v="1083"/>
    <n v="0"/>
    <n v="0"/>
    <n v="0"/>
    <n v="0"/>
    <x v="20"/>
    <n v="42"/>
    <s v="Z (Dec 21)"/>
    <d v="2021-12-22T00:00:00"/>
    <n v="-1"/>
  </r>
  <r>
    <x v="148"/>
    <x v="11"/>
    <n v="0"/>
    <n v="0"/>
    <n v="0"/>
    <n v="0"/>
    <x v="1084"/>
    <n v="0"/>
    <n v="0"/>
    <n v="0"/>
    <n v="0"/>
    <x v="132"/>
    <n v="125"/>
    <s v="H (Mar 22)"/>
    <d v="2022-03-15T00:00:00"/>
    <n v="-1"/>
  </r>
  <r>
    <x v="148"/>
    <x v="2"/>
    <n v="0"/>
    <n v="0"/>
    <n v="0"/>
    <n v="0"/>
    <x v="1085"/>
    <n v="0"/>
    <n v="0"/>
    <n v="0"/>
    <n v="0"/>
    <x v="22"/>
    <n v="252"/>
    <s v="N (Jul 22)"/>
    <d v="2022-07-20T00:00:00"/>
    <n v="-1"/>
  </r>
  <r>
    <x v="148"/>
    <x v="12"/>
    <n v="0"/>
    <n v="0"/>
    <n v="0"/>
    <n v="0"/>
    <x v="1086"/>
    <n v="0"/>
    <n v="0"/>
    <n v="0"/>
    <n v="0"/>
    <x v="175"/>
    <n v="98"/>
    <s v="G (Feb 22)"/>
    <d v="2022-02-16T00:00:00"/>
    <n v="-1"/>
  </r>
  <r>
    <x v="148"/>
    <x v="8"/>
    <n v="0"/>
    <n v="0"/>
    <n v="0"/>
    <n v="0"/>
    <x v="1022"/>
    <n v="0"/>
    <n v="0"/>
    <n v="0"/>
    <n v="0"/>
    <x v="137"/>
    <n v="217"/>
    <s v="M (Jun 22)"/>
    <d v="2022-06-15T00:00:00"/>
    <n v="-1"/>
  </r>
  <r>
    <x v="148"/>
    <x v="10"/>
    <n v="0"/>
    <n v="0"/>
    <n v="0"/>
    <n v="0"/>
    <x v="1087"/>
    <n v="0"/>
    <n v="0"/>
    <n v="0"/>
    <n v="0"/>
    <x v="0"/>
    <n v="161"/>
    <s v="J (Apr 22)"/>
    <d v="2022-04-20T00:00:00"/>
    <n v="-1"/>
  </r>
  <r>
    <x v="148"/>
    <x v="13"/>
    <n v="0"/>
    <n v="0"/>
    <n v="0"/>
    <n v="0"/>
    <x v="1088"/>
    <n v="0"/>
    <n v="0"/>
    <n v="0"/>
    <n v="0"/>
    <x v="6"/>
    <n v="70"/>
    <s v="F (Jan 22)"/>
    <d v="2022-01-19T00:00:00"/>
    <n v="-1"/>
  </r>
  <r>
    <x v="149"/>
    <x v="12"/>
    <n v="0"/>
    <n v="0"/>
    <n v="0"/>
    <n v="0"/>
    <x v="1089"/>
    <n v="0"/>
    <n v="0"/>
    <n v="0"/>
    <n v="0"/>
    <x v="177"/>
    <n v="99"/>
    <s v="G (Feb 22)"/>
    <d v="2022-02-16T00:00:00"/>
    <n v="-1"/>
  </r>
  <r>
    <x v="149"/>
    <x v="8"/>
    <n v="0"/>
    <n v="0"/>
    <n v="0"/>
    <n v="0"/>
    <x v="1090"/>
    <n v="0"/>
    <n v="0"/>
    <n v="0"/>
    <n v="0"/>
    <x v="142"/>
    <n v="218"/>
    <s v="M (Jun 22)"/>
    <d v="2022-06-15T00:00:00"/>
    <n v="-1"/>
  </r>
  <r>
    <x v="149"/>
    <x v="10"/>
    <n v="0"/>
    <n v="0"/>
    <n v="0"/>
    <n v="0"/>
    <x v="1091"/>
    <n v="0"/>
    <n v="0"/>
    <n v="0"/>
    <n v="0"/>
    <x v="12"/>
    <n v="162"/>
    <s v="J (Apr 22)"/>
    <d v="2022-04-20T00:00:00"/>
    <n v="-1"/>
  </r>
  <r>
    <x v="149"/>
    <x v="13"/>
    <n v="0"/>
    <n v="0"/>
    <n v="0"/>
    <n v="0"/>
    <x v="1092"/>
    <n v="0"/>
    <n v="0"/>
    <n v="0"/>
    <n v="0"/>
    <x v="9"/>
    <n v="71"/>
    <s v="F (Jan 22)"/>
    <d v="2022-01-19T00:00:00"/>
    <n v="-1"/>
  </r>
  <r>
    <x v="149"/>
    <x v="15"/>
    <n v="0"/>
    <n v="0"/>
    <n v="0"/>
    <n v="0"/>
    <x v="1093"/>
    <n v="0"/>
    <n v="0"/>
    <n v="0"/>
    <n v="0"/>
    <x v="29"/>
    <n v="8"/>
    <s v="X (Nov 21)"/>
    <d v="2021-11-17T00:00:00"/>
    <n v="-1"/>
  </r>
  <r>
    <x v="149"/>
    <x v="9"/>
    <n v="0"/>
    <n v="0"/>
    <n v="0"/>
    <n v="0"/>
    <x v="390"/>
    <n v="0"/>
    <n v="0"/>
    <n v="0"/>
    <n v="0"/>
    <x v="179"/>
    <n v="190"/>
    <s v="K (May 22)"/>
    <d v="2022-05-18T00:00:00"/>
    <n v="-1"/>
  </r>
  <r>
    <x v="149"/>
    <x v="14"/>
    <n v="0"/>
    <n v="0"/>
    <n v="0"/>
    <n v="0"/>
    <x v="1094"/>
    <n v="0"/>
    <n v="0"/>
    <n v="0"/>
    <n v="0"/>
    <x v="31"/>
    <n v="43"/>
    <s v="Z (Dec 21)"/>
    <d v="2021-12-22T00:00:00"/>
    <n v="-1"/>
  </r>
  <r>
    <x v="149"/>
    <x v="11"/>
    <n v="0"/>
    <n v="0"/>
    <n v="0"/>
    <n v="0"/>
    <x v="1095"/>
    <n v="0"/>
    <n v="0"/>
    <n v="0"/>
    <n v="0"/>
    <x v="135"/>
    <n v="126"/>
    <s v="H (Mar 22)"/>
    <d v="2022-03-15T00:00:00"/>
    <n v="-1"/>
  </r>
  <r>
    <x v="149"/>
    <x v="2"/>
    <n v="0"/>
    <n v="0"/>
    <n v="0"/>
    <n v="0"/>
    <x v="1096"/>
    <n v="0"/>
    <n v="0"/>
    <n v="0"/>
    <n v="0"/>
    <x v="33"/>
    <n v="253"/>
    <s v="N (Jul 22)"/>
    <d v="2022-07-20T00:00:00"/>
    <n v="-1"/>
  </r>
  <r>
    <x v="150"/>
    <x v="15"/>
    <n v="0"/>
    <n v="0"/>
    <n v="0"/>
    <n v="0"/>
    <x v="1097"/>
    <n v="0"/>
    <n v="0"/>
    <n v="0"/>
    <n v="0"/>
    <x v="44"/>
    <n v="9"/>
    <s v="X (Nov 21)"/>
    <d v="2021-11-17T00:00:00"/>
    <n v="-1"/>
  </r>
  <r>
    <x v="150"/>
    <x v="9"/>
    <n v="0"/>
    <n v="0"/>
    <n v="0"/>
    <n v="0"/>
    <x v="1098"/>
    <n v="0"/>
    <n v="0"/>
    <n v="0"/>
    <n v="0"/>
    <x v="180"/>
    <n v="191"/>
    <s v="K (May 22)"/>
    <d v="2022-05-18T00:00:00"/>
    <n v="-1"/>
  </r>
  <r>
    <x v="150"/>
    <x v="14"/>
    <n v="0"/>
    <n v="0"/>
    <n v="0"/>
    <n v="0"/>
    <x v="1099"/>
    <n v="0"/>
    <n v="0"/>
    <n v="0"/>
    <n v="0"/>
    <x v="37"/>
    <n v="44"/>
    <s v="Z (Dec 21)"/>
    <d v="2021-12-22T00:00:00"/>
    <n v="-1"/>
  </r>
  <r>
    <x v="150"/>
    <x v="11"/>
    <n v="0"/>
    <n v="0"/>
    <n v="0"/>
    <n v="0"/>
    <x v="1100"/>
    <n v="0"/>
    <n v="0"/>
    <n v="0"/>
    <n v="0"/>
    <x v="149"/>
    <n v="127"/>
    <s v="H (Mar 22)"/>
    <d v="2022-03-15T00:00:00"/>
    <n v="-1"/>
  </r>
  <r>
    <x v="150"/>
    <x v="2"/>
    <n v="0"/>
    <n v="0"/>
    <n v="0"/>
    <n v="0"/>
    <x v="666"/>
    <n v="0"/>
    <n v="0"/>
    <n v="0"/>
    <n v="0"/>
    <x v="39"/>
    <n v="254"/>
    <s v="N (Jul 22)"/>
    <d v="2022-07-20T00:00:00"/>
    <n v="-1"/>
  </r>
  <r>
    <x v="150"/>
    <x v="12"/>
    <n v="0"/>
    <n v="0"/>
    <n v="0"/>
    <n v="0"/>
    <x v="1101"/>
    <n v="0"/>
    <n v="0"/>
    <n v="0"/>
    <n v="0"/>
    <x v="181"/>
    <n v="100"/>
    <s v="G (Feb 22)"/>
    <d v="2022-02-16T00:00:00"/>
    <n v="-1"/>
  </r>
  <r>
    <x v="150"/>
    <x v="8"/>
    <n v="0"/>
    <n v="0"/>
    <n v="0"/>
    <n v="0"/>
    <x v="666"/>
    <n v="0"/>
    <n v="0"/>
    <n v="0"/>
    <n v="0"/>
    <x v="3"/>
    <n v="219"/>
    <s v="M (Jun 22)"/>
    <d v="2022-06-15T00:00:00"/>
    <n v="-1"/>
  </r>
  <r>
    <x v="150"/>
    <x v="10"/>
    <n v="0"/>
    <n v="0"/>
    <n v="0"/>
    <n v="0"/>
    <x v="360"/>
    <n v="0"/>
    <n v="0"/>
    <n v="0"/>
    <n v="0"/>
    <x v="18"/>
    <n v="163"/>
    <s v="J (Apr 22)"/>
    <d v="2022-04-20T00:00:00"/>
    <n v="-1"/>
  </r>
  <r>
    <x v="150"/>
    <x v="13"/>
    <n v="0"/>
    <n v="0"/>
    <n v="0"/>
    <n v="0"/>
    <x v="1102"/>
    <n v="0"/>
    <n v="0"/>
    <n v="0"/>
    <n v="0"/>
    <x v="24"/>
    <n v="72"/>
    <s v="F (Jan 22)"/>
    <d v="2022-01-19T00:00:00"/>
    <n v="-1"/>
  </r>
  <r>
    <x v="151"/>
    <x v="12"/>
    <n v="0"/>
    <n v="0"/>
    <n v="0"/>
    <n v="0"/>
    <x v="1103"/>
    <n v="0"/>
    <n v="0"/>
    <n v="0"/>
    <n v="0"/>
    <x v="183"/>
    <n v="103"/>
    <s v="G (Feb 22)"/>
    <d v="2022-02-16T00:00:00"/>
    <n v="-1"/>
  </r>
  <r>
    <x v="151"/>
    <x v="8"/>
    <n v="0"/>
    <n v="0"/>
    <n v="0"/>
    <n v="0"/>
    <x v="1104"/>
    <n v="0"/>
    <n v="0"/>
    <n v="0"/>
    <n v="0"/>
    <x v="15"/>
    <n v="222"/>
    <s v="M (Jun 22)"/>
    <d v="2022-06-15T00:00:00"/>
    <n v="-1"/>
  </r>
  <r>
    <x v="151"/>
    <x v="10"/>
    <n v="0"/>
    <n v="0"/>
    <n v="0"/>
    <n v="0"/>
    <x v="1105"/>
    <n v="0"/>
    <n v="0"/>
    <n v="0"/>
    <n v="0"/>
    <x v="35"/>
    <n v="166"/>
    <s v="J (Apr 22)"/>
    <d v="2022-04-20T00:00:00"/>
    <n v="-1"/>
  </r>
  <r>
    <x v="151"/>
    <x v="13"/>
    <n v="0"/>
    <n v="0"/>
    <n v="0"/>
    <n v="0"/>
    <x v="1106"/>
    <n v="0"/>
    <n v="0"/>
    <n v="0"/>
    <n v="0"/>
    <x v="27"/>
    <n v="75"/>
    <s v="F (Jan 22)"/>
    <d v="2022-01-19T00:00:00"/>
    <n v="-1"/>
  </r>
  <r>
    <x v="151"/>
    <x v="15"/>
    <n v="0"/>
    <n v="0"/>
    <n v="0"/>
    <n v="0"/>
    <x v="1107"/>
    <n v="0"/>
    <n v="0"/>
    <n v="0"/>
    <n v="0"/>
    <x v="47"/>
    <n v="12"/>
    <s v="X (Nov 21)"/>
    <d v="2021-11-17T00:00:00"/>
    <n v="-1"/>
  </r>
  <r>
    <x v="151"/>
    <x v="9"/>
    <n v="0"/>
    <n v="0"/>
    <n v="0"/>
    <n v="0"/>
    <x v="1108"/>
    <n v="0"/>
    <n v="0"/>
    <n v="0"/>
    <n v="0"/>
    <x v="185"/>
    <n v="194"/>
    <s v="K (May 22)"/>
    <d v="2022-05-18T00:00:00"/>
    <n v="-1"/>
  </r>
  <r>
    <x v="151"/>
    <x v="14"/>
    <n v="0"/>
    <n v="0"/>
    <n v="0"/>
    <n v="0"/>
    <x v="1109"/>
    <n v="0"/>
    <n v="0"/>
    <n v="0"/>
    <n v="0"/>
    <x v="49"/>
    <n v="47"/>
    <s v="Z (Dec 21)"/>
    <d v="2021-12-22T00:00:00"/>
    <n v="-1"/>
  </r>
  <r>
    <x v="151"/>
    <x v="11"/>
    <n v="0"/>
    <n v="0"/>
    <n v="0"/>
    <n v="0"/>
    <x v="1110"/>
    <n v="0"/>
    <n v="0"/>
    <n v="0"/>
    <n v="0"/>
    <x v="152"/>
    <n v="130"/>
    <s v="H (Mar 22)"/>
    <d v="2022-03-15T00:00:00"/>
    <n v="-1"/>
  </r>
  <r>
    <x v="151"/>
    <x v="2"/>
    <n v="0"/>
    <n v="0"/>
    <n v="0"/>
    <n v="0"/>
    <x v="1067"/>
    <n v="0"/>
    <n v="0"/>
    <n v="0"/>
    <n v="0"/>
    <x v="51"/>
    <n v="257"/>
    <s v="N (Jul 22)"/>
    <d v="2022-07-20T00:00:00"/>
    <n v="-1"/>
  </r>
  <r>
    <x v="152"/>
    <x v="15"/>
    <n v="0"/>
    <n v="0"/>
    <n v="0"/>
    <n v="0"/>
    <x v="1111"/>
    <n v="0"/>
    <n v="0"/>
    <n v="0"/>
    <n v="0"/>
    <x v="62"/>
    <n v="13"/>
    <s v="X (Nov 21)"/>
    <d v="2021-11-17T00:00:00"/>
    <n v="-1"/>
  </r>
  <r>
    <x v="152"/>
    <x v="9"/>
    <n v="0"/>
    <n v="0"/>
    <n v="0"/>
    <n v="0"/>
    <x v="1112"/>
    <n v="0"/>
    <n v="0"/>
    <n v="0"/>
    <n v="0"/>
    <x v="1"/>
    <n v="195"/>
    <s v="K (May 22)"/>
    <d v="2022-05-18T00:00:00"/>
    <n v="-1"/>
  </r>
  <r>
    <x v="152"/>
    <x v="14"/>
    <n v="0"/>
    <n v="0"/>
    <n v="0"/>
    <n v="0"/>
    <x v="1113"/>
    <n v="0"/>
    <n v="0"/>
    <n v="0"/>
    <n v="0"/>
    <x v="55"/>
    <n v="48"/>
    <s v="Z (Dec 21)"/>
    <d v="2021-12-22T00:00:00"/>
    <n v="-1"/>
  </r>
  <r>
    <x v="152"/>
    <x v="8"/>
    <n v="0"/>
    <n v="0"/>
    <n v="0"/>
    <n v="0"/>
    <x v="1075"/>
    <n v="0"/>
    <n v="0"/>
    <n v="0"/>
    <n v="0"/>
    <x v="21"/>
    <n v="223"/>
    <s v="M (Jun 22)"/>
    <d v="2022-06-15T00:00:00"/>
    <n v="-1"/>
  </r>
  <r>
    <x v="152"/>
    <x v="11"/>
    <n v="0"/>
    <n v="0"/>
    <n v="0"/>
    <n v="0"/>
    <x v="1114"/>
    <n v="0"/>
    <n v="0"/>
    <n v="0"/>
    <n v="0"/>
    <x v="165"/>
    <n v="131"/>
    <s v="H (Mar 22)"/>
    <d v="2022-03-15T00:00:00"/>
    <n v="-1"/>
  </r>
  <r>
    <x v="152"/>
    <x v="2"/>
    <n v="0"/>
    <n v="0"/>
    <n v="0"/>
    <n v="0"/>
    <x v="1115"/>
    <n v="0"/>
    <n v="0"/>
    <n v="0"/>
    <n v="0"/>
    <x v="57"/>
    <n v="258"/>
    <s v="N (Jul 22)"/>
    <d v="2022-07-20T00:00:00"/>
    <n v="-1"/>
  </r>
  <r>
    <x v="152"/>
    <x v="12"/>
    <n v="0"/>
    <n v="0"/>
    <n v="0"/>
    <n v="0"/>
    <x v="1116"/>
    <n v="0"/>
    <n v="0"/>
    <n v="0"/>
    <n v="0"/>
    <x v="7"/>
    <n v="104"/>
    <s v="G (Feb 22)"/>
    <d v="2022-02-16T00:00:00"/>
    <n v="-1"/>
  </r>
  <r>
    <x v="152"/>
    <x v="10"/>
    <n v="0"/>
    <n v="0"/>
    <n v="0"/>
    <n v="0"/>
    <x v="1117"/>
    <n v="0"/>
    <n v="0"/>
    <n v="0"/>
    <n v="0"/>
    <x v="41"/>
    <n v="167"/>
    <s v="J (Apr 22)"/>
    <d v="2022-04-20T00:00:00"/>
    <n v="-1"/>
  </r>
  <r>
    <x v="152"/>
    <x v="13"/>
    <n v="0"/>
    <n v="0"/>
    <n v="0"/>
    <n v="0"/>
    <x v="1118"/>
    <n v="0"/>
    <n v="0"/>
    <n v="0"/>
    <n v="0"/>
    <x v="42"/>
    <n v="76"/>
    <s v="F (Jan 22)"/>
    <d v="2022-01-19T00:00:00"/>
    <n v="-1"/>
  </r>
  <r>
    <x v="153"/>
    <x v="12"/>
    <n v="0"/>
    <n v="0"/>
    <n v="0"/>
    <n v="0"/>
    <x v="1119"/>
    <n v="0"/>
    <n v="0"/>
    <n v="0"/>
    <n v="0"/>
    <x v="10"/>
    <n v="105"/>
    <s v="G (Feb 22)"/>
    <d v="2022-02-16T00:00:00"/>
    <n v="-1"/>
  </r>
  <r>
    <x v="153"/>
    <x v="10"/>
    <n v="0"/>
    <n v="0"/>
    <n v="0"/>
    <n v="0"/>
    <x v="1120"/>
    <n v="0"/>
    <n v="0"/>
    <n v="0"/>
    <n v="0"/>
    <x v="53"/>
    <n v="168"/>
    <s v="J (Apr 22)"/>
    <d v="2022-04-20T00:00:00"/>
    <n v="-1"/>
  </r>
  <r>
    <x v="153"/>
    <x v="13"/>
    <n v="0"/>
    <n v="0"/>
    <n v="0"/>
    <n v="0"/>
    <x v="1121"/>
    <n v="0"/>
    <n v="0"/>
    <n v="0"/>
    <n v="0"/>
    <x v="45"/>
    <n v="77"/>
    <s v="F (Jan 22)"/>
    <d v="2022-01-19T00:00:00"/>
    <n v="-1"/>
  </r>
  <r>
    <x v="153"/>
    <x v="15"/>
    <n v="0"/>
    <n v="0"/>
    <n v="0"/>
    <n v="0"/>
    <x v="1122"/>
    <n v="0"/>
    <n v="0"/>
    <n v="0"/>
    <n v="0"/>
    <x v="65"/>
    <n v="14"/>
    <s v="X (Nov 21)"/>
    <d v="2021-11-17T00:00:00"/>
    <n v="-1"/>
  </r>
  <r>
    <x v="153"/>
    <x v="9"/>
    <n v="0"/>
    <n v="0"/>
    <n v="0"/>
    <n v="0"/>
    <x v="1123"/>
    <n v="0"/>
    <n v="0"/>
    <n v="0"/>
    <n v="0"/>
    <x v="13"/>
    <n v="196"/>
    <s v="K (May 22)"/>
    <d v="2022-05-18T00:00:00"/>
    <n v="-1"/>
  </r>
  <r>
    <x v="153"/>
    <x v="14"/>
    <n v="0"/>
    <n v="0"/>
    <n v="0"/>
    <n v="0"/>
    <x v="1124"/>
    <n v="0"/>
    <n v="0"/>
    <n v="0"/>
    <n v="0"/>
    <x v="67"/>
    <n v="49"/>
    <s v="Z (Dec 21)"/>
    <d v="2021-12-22T00:00:00"/>
    <n v="-1"/>
  </r>
  <r>
    <x v="153"/>
    <x v="8"/>
    <n v="0"/>
    <n v="0"/>
    <n v="0"/>
    <n v="0"/>
    <x v="1049"/>
    <n v="0"/>
    <n v="0"/>
    <n v="0"/>
    <n v="0"/>
    <x v="32"/>
    <n v="224"/>
    <s v="M (Jun 22)"/>
    <d v="2022-06-15T00:00:00"/>
    <n v="-1"/>
  </r>
  <r>
    <x v="153"/>
    <x v="11"/>
    <n v="0"/>
    <n v="0"/>
    <n v="0"/>
    <n v="0"/>
    <x v="1125"/>
    <n v="0"/>
    <n v="0"/>
    <n v="0"/>
    <n v="0"/>
    <x v="168"/>
    <n v="132"/>
    <s v="H (Mar 22)"/>
    <d v="2022-03-15T00:00:00"/>
    <n v="-1"/>
  </r>
  <r>
    <x v="153"/>
    <x v="2"/>
    <n v="0"/>
    <n v="0"/>
    <n v="0"/>
    <n v="0"/>
    <x v="1126"/>
    <n v="0"/>
    <n v="0"/>
    <n v="0"/>
    <n v="0"/>
    <x v="69"/>
    <n v="259"/>
    <s v="N (Jul 22)"/>
    <d v="2022-07-20T00:00:00"/>
    <n v="-1"/>
  </r>
  <r>
    <x v="154"/>
    <x v="15"/>
    <n v="0"/>
    <n v="0"/>
    <n v="0"/>
    <n v="0"/>
    <x v="1127"/>
    <n v="0"/>
    <n v="0"/>
    <n v="0"/>
    <n v="0"/>
    <x v="80"/>
    <n v="15"/>
    <s v="X (Nov 21)"/>
    <d v="2021-11-17T00:00:00"/>
    <n v="-1"/>
  </r>
  <r>
    <x v="154"/>
    <x v="9"/>
    <n v="0"/>
    <n v="0"/>
    <n v="0"/>
    <n v="0"/>
    <x v="1128"/>
    <n v="0"/>
    <n v="0"/>
    <n v="0"/>
    <n v="0"/>
    <x v="19"/>
    <n v="197"/>
    <s v="K (May 22)"/>
    <d v="2022-05-18T00:00:00"/>
    <n v="-1"/>
  </r>
  <r>
    <x v="154"/>
    <x v="14"/>
    <n v="0"/>
    <n v="0"/>
    <n v="0"/>
    <n v="0"/>
    <x v="1129"/>
    <n v="0"/>
    <n v="0"/>
    <n v="0"/>
    <n v="0"/>
    <x v="73"/>
    <n v="50"/>
    <s v="Z (Dec 21)"/>
    <d v="2021-12-22T00:00:00"/>
    <n v="-1"/>
  </r>
  <r>
    <x v="154"/>
    <x v="8"/>
    <n v="0"/>
    <n v="0"/>
    <n v="0"/>
    <n v="0"/>
    <x v="1115"/>
    <n v="0"/>
    <n v="0"/>
    <n v="0"/>
    <n v="0"/>
    <x v="38"/>
    <n v="225"/>
    <s v="M (Jun 22)"/>
    <d v="2022-06-15T00:00:00"/>
    <n v="-1"/>
  </r>
  <r>
    <x v="154"/>
    <x v="11"/>
    <n v="0"/>
    <n v="0"/>
    <n v="0"/>
    <n v="0"/>
    <x v="1130"/>
    <n v="0"/>
    <n v="0"/>
    <n v="0"/>
    <n v="0"/>
    <x v="5"/>
    <n v="133"/>
    <s v="H (Mar 22)"/>
    <d v="2022-03-15T00:00:00"/>
    <n v="-1"/>
  </r>
  <r>
    <x v="154"/>
    <x v="2"/>
    <n v="0"/>
    <n v="0"/>
    <n v="0"/>
    <n v="0"/>
    <x v="1078"/>
    <n v="0"/>
    <n v="0"/>
    <n v="0"/>
    <n v="0"/>
    <x v="75"/>
    <n v="260"/>
    <s v="N (Jul 22)"/>
    <d v="2022-07-20T00:00:00"/>
    <n v="-1"/>
  </r>
  <r>
    <x v="154"/>
    <x v="12"/>
    <n v="0"/>
    <n v="0"/>
    <n v="0"/>
    <n v="0"/>
    <x v="1131"/>
    <n v="0"/>
    <n v="0"/>
    <n v="0"/>
    <n v="0"/>
    <x v="25"/>
    <n v="106"/>
    <s v="G (Feb 22)"/>
    <d v="2022-02-16T00:00:00"/>
    <n v="-1"/>
  </r>
  <r>
    <x v="154"/>
    <x v="10"/>
    <n v="0"/>
    <n v="0"/>
    <n v="0"/>
    <n v="0"/>
    <x v="1132"/>
    <n v="0"/>
    <n v="0"/>
    <n v="0"/>
    <n v="0"/>
    <x v="59"/>
    <n v="169"/>
    <s v="J (Apr 22)"/>
    <d v="2022-04-20T00:00:00"/>
    <n v="-1"/>
  </r>
  <r>
    <x v="154"/>
    <x v="13"/>
    <n v="0"/>
    <n v="0"/>
    <n v="0"/>
    <n v="0"/>
    <x v="1133"/>
    <n v="0"/>
    <n v="0"/>
    <n v="0"/>
    <n v="0"/>
    <x v="60"/>
    <n v="78"/>
    <s v="F (Jan 22)"/>
    <d v="2022-01-19T00:00:00"/>
    <n v="-1"/>
  </r>
  <r>
    <x v="155"/>
    <x v="12"/>
    <n v="0"/>
    <n v="0"/>
    <n v="0"/>
    <n v="0"/>
    <x v="1134"/>
    <n v="0"/>
    <n v="0"/>
    <n v="0"/>
    <n v="0"/>
    <x v="28"/>
    <n v="107"/>
    <s v="G (Feb 22)"/>
    <d v="2022-02-16T00:00:00"/>
    <n v="-1"/>
  </r>
  <r>
    <x v="155"/>
    <x v="10"/>
    <n v="0"/>
    <n v="0"/>
    <n v="0"/>
    <n v="0"/>
    <x v="1135"/>
    <n v="0"/>
    <n v="0"/>
    <n v="0"/>
    <n v="0"/>
    <x v="71"/>
    <n v="170"/>
    <s v="J (Apr 22)"/>
    <d v="2022-04-20T00:00:00"/>
    <n v="-1"/>
  </r>
  <r>
    <x v="155"/>
    <x v="13"/>
    <n v="0"/>
    <n v="0"/>
    <n v="0"/>
    <n v="0"/>
    <x v="1136"/>
    <n v="0"/>
    <n v="0"/>
    <n v="0"/>
    <n v="0"/>
    <x v="63"/>
    <n v="79"/>
    <s v="F (Jan 22)"/>
    <d v="2022-01-19T00:00:00"/>
    <n v="-1"/>
  </r>
  <r>
    <x v="155"/>
    <x v="15"/>
    <n v="0"/>
    <n v="0"/>
    <n v="0"/>
    <n v="0"/>
    <x v="1137"/>
    <n v="0"/>
    <n v="0"/>
    <n v="0"/>
    <n v="0"/>
    <x v="83"/>
    <n v="16"/>
    <s v="X (Nov 21)"/>
    <d v="2021-11-17T00:00:00"/>
    <n v="-1"/>
  </r>
  <r>
    <x v="155"/>
    <x v="9"/>
    <n v="0"/>
    <n v="0"/>
    <n v="0"/>
    <n v="0"/>
    <x v="1138"/>
    <n v="0"/>
    <n v="0"/>
    <n v="0"/>
    <n v="0"/>
    <x v="30"/>
    <n v="198"/>
    <s v="K (May 22)"/>
    <d v="2022-05-18T00:00:00"/>
    <n v="-1"/>
  </r>
  <r>
    <x v="155"/>
    <x v="14"/>
    <n v="0"/>
    <n v="0"/>
    <n v="0"/>
    <n v="0"/>
    <x v="1139"/>
    <n v="0"/>
    <n v="0"/>
    <n v="0"/>
    <n v="0"/>
    <x v="85"/>
    <n v="51"/>
    <s v="Z (Dec 21)"/>
    <d v="2021-12-22T00:00:00"/>
    <n v="-1"/>
  </r>
  <r>
    <x v="155"/>
    <x v="8"/>
    <n v="0"/>
    <n v="0"/>
    <n v="0"/>
    <n v="0"/>
    <x v="1078"/>
    <n v="0"/>
    <n v="0"/>
    <n v="0"/>
    <n v="0"/>
    <x v="50"/>
    <n v="226"/>
    <s v="M (Jun 22)"/>
    <d v="2022-06-15T00:00:00"/>
    <n v="-1"/>
  </r>
  <r>
    <x v="155"/>
    <x v="11"/>
    <n v="0"/>
    <n v="0"/>
    <n v="0"/>
    <n v="0"/>
    <x v="1140"/>
    <n v="0"/>
    <n v="0"/>
    <n v="0"/>
    <n v="0"/>
    <x v="17"/>
    <n v="134"/>
    <s v="H (Mar 22)"/>
    <d v="2022-03-15T00:00:00"/>
    <n v="-1"/>
  </r>
  <r>
    <x v="155"/>
    <x v="2"/>
    <n v="0"/>
    <n v="0"/>
    <n v="0"/>
    <n v="0"/>
    <x v="1063"/>
    <n v="0"/>
    <n v="0"/>
    <n v="0"/>
    <n v="0"/>
    <x v="87"/>
    <n v="261"/>
    <s v="N (Jul 22)"/>
    <d v="2022-07-20T00:00:00"/>
    <n v="-1"/>
  </r>
  <r>
    <x v="156"/>
    <x v="15"/>
    <n v="0"/>
    <n v="0"/>
    <n v="0"/>
    <n v="0"/>
    <x v="1141"/>
    <n v="0"/>
    <n v="0"/>
    <n v="0"/>
    <n v="0"/>
    <x v="98"/>
    <n v="19"/>
    <s v="X (Nov 21)"/>
    <d v="2021-11-17T00:00:00"/>
    <n v="-1"/>
  </r>
  <r>
    <x v="156"/>
    <x v="9"/>
    <n v="0"/>
    <n v="0"/>
    <n v="0"/>
    <n v="0"/>
    <x v="1142"/>
    <n v="0"/>
    <n v="0"/>
    <n v="0"/>
    <n v="0"/>
    <x v="36"/>
    <n v="201"/>
    <s v="K (May 22)"/>
    <d v="2022-05-18T00:00:00"/>
    <n v="-1"/>
  </r>
  <r>
    <x v="156"/>
    <x v="14"/>
    <n v="0"/>
    <n v="0"/>
    <n v="0"/>
    <n v="0"/>
    <x v="1143"/>
    <n v="0"/>
    <n v="0"/>
    <n v="0"/>
    <n v="0"/>
    <x v="91"/>
    <n v="54"/>
    <s v="Z (Dec 21)"/>
    <d v="2021-12-22T00:00:00"/>
    <n v="-1"/>
  </r>
  <r>
    <x v="156"/>
    <x v="8"/>
    <n v="0"/>
    <n v="0"/>
    <n v="0"/>
    <n v="0"/>
    <x v="666"/>
    <n v="0"/>
    <n v="0"/>
    <n v="0"/>
    <n v="0"/>
    <x v="56"/>
    <n v="229"/>
    <s v="M (Jun 22)"/>
    <d v="2022-06-15T00:00:00"/>
    <n v="-1"/>
  </r>
  <r>
    <x v="156"/>
    <x v="11"/>
    <n v="0"/>
    <n v="0"/>
    <n v="0"/>
    <n v="0"/>
    <x v="1144"/>
    <n v="0"/>
    <n v="0"/>
    <n v="0"/>
    <n v="0"/>
    <x v="23"/>
    <n v="137"/>
    <s v="H (Mar 22)"/>
    <d v="2022-03-15T00:00:00"/>
    <n v="-1"/>
  </r>
  <r>
    <x v="156"/>
    <x v="2"/>
    <n v="0"/>
    <n v="0"/>
    <n v="0"/>
    <n v="0"/>
    <x v="1063"/>
    <n v="0"/>
    <n v="0"/>
    <n v="0"/>
    <n v="0"/>
    <x v="93"/>
    <n v="264"/>
    <s v="N (Jul 22)"/>
    <d v="2022-07-20T00:00:00"/>
    <n v="-1"/>
  </r>
  <r>
    <x v="156"/>
    <x v="12"/>
    <n v="0"/>
    <n v="0"/>
    <n v="0"/>
    <n v="0"/>
    <x v="1145"/>
    <n v="0"/>
    <n v="0"/>
    <n v="0"/>
    <n v="0"/>
    <x v="43"/>
    <n v="110"/>
    <s v="G (Feb 22)"/>
    <d v="2022-02-16T00:00:00"/>
    <n v="-1"/>
  </r>
  <r>
    <x v="156"/>
    <x v="10"/>
    <n v="0"/>
    <n v="0"/>
    <n v="0"/>
    <n v="0"/>
    <x v="1146"/>
    <n v="0"/>
    <n v="0"/>
    <n v="0"/>
    <n v="0"/>
    <x v="77"/>
    <n v="173"/>
    <s v="J (Apr 22)"/>
    <d v="2022-04-20T00:00:00"/>
    <n v="-1"/>
  </r>
  <r>
    <x v="156"/>
    <x v="13"/>
    <n v="0"/>
    <n v="0"/>
    <n v="0"/>
    <n v="0"/>
    <x v="1147"/>
    <n v="0"/>
    <n v="0"/>
    <n v="0"/>
    <n v="0"/>
    <x v="78"/>
    <n v="82"/>
    <s v="F (Jan 22)"/>
    <d v="2022-01-19T00:00:00"/>
    <n v="-1"/>
  </r>
  <r>
    <x v="157"/>
    <x v="12"/>
    <n v="0"/>
    <n v="0"/>
    <n v="0"/>
    <n v="0"/>
    <x v="1148"/>
    <n v="0"/>
    <n v="0"/>
    <n v="0"/>
    <n v="0"/>
    <x v="46"/>
    <n v="111"/>
    <s v="G (Feb 22)"/>
    <d v="2022-02-16T00:00:00"/>
    <n v="-1"/>
  </r>
  <r>
    <x v="157"/>
    <x v="10"/>
    <n v="0"/>
    <n v="0"/>
    <n v="0"/>
    <n v="0"/>
    <x v="1049"/>
    <n v="0"/>
    <n v="0"/>
    <n v="0"/>
    <n v="0"/>
    <x v="89"/>
    <n v="174"/>
    <s v="J (Apr 22)"/>
    <d v="2022-04-20T00:00:00"/>
    <n v="-1"/>
  </r>
  <r>
    <x v="157"/>
    <x v="13"/>
    <n v="0"/>
    <n v="0"/>
    <n v="0"/>
    <n v="0"/>
    <x v="1149"/>
    <n v="0"/>
    <n v="0"/>
    <n v="0"/>
    <n v="0"/>
    <x v="81"/>
    <n v="83"/>
    <s v="F (Jan 22)"/>
    <d v="2022-01-19T00:00:00"/>
    <n v="-1"/>
  </r>
  <r>
    <x v="157"/>
    <x v="15"/>
    <n v="0"/>
    <n v="0"/>
    <n v="0"/>
    <n v="0"/>
    <x v="1150"/>
    <n v="0"/>
    <n v="0"/>
    <n v="0"/>
    <n v="0"/>
    <x v="101"/>
    <n v="20"/>
    <s v="X (Nov 21)"/>
    <d v="2021-11-17T00:00:00"/>
    <n v="-1"/>
  </r>
  <r>
    <x v="157"/>
    <x v="9"/>
    <n v="0"/>
    <n v="0"/>
    <n v="0"/>
    <n v="0"/>
    <x v="1151"/>
    <n v="0"/>
    <n v="0"/>
    <n v="0"/>
    <n v="0"/>
    <x v="48"/>
    <n v="202"/>
    <s v="K (May 22)"/>
    <d v="2022-05-18T00:00:00"/>
    <n v="-1"/>
  </r>
  <r>
    <x v="157"/>
    <x v="14"/>
    <n v="0"/>
    <n v="0"/>
    <n v="0"/>
    <n v="0"/>
    <x v="1152"/>
    <n v="0"/>
    <n v="0"/>
    <n v="0"/>
    <n v="0"/>
    <x v="103"/>
    <n v="55"/>
    <s v="Z (Dec 21)"/>
    <d v="2021-12-22T00:00:00"/>
    <n v="-1"/>
  </r>
  <r>
    <x v="157"/>
    <x v="8"/>
    <n v="0"/>
    <n v="0"/>
    <n v="0"/>
    <n v="0"/>
    <x v="1026"/>
    <n v="0"/>
    <n v="0"/>
    <n v="0"/>
    <n v="0"/>
    <x v="68"/>
    <n v="230"/>
    <s v="M (Jun 22)"/>
    <d v="2022-06-15T00:00:00"/>
    <n v="-1"/>
  </r>
  <r>
    <x v="157"/>
    <x v="11"/>
    <n v="0"/>
    <n v="0"/>
    <n v="0"/>
    <n v="0"/>
    <x v="823"/>
    <n v="0"/>
    <n v="0"/>
    <n v="0"/>
    <n v="0"/>
    <x v="34"/>
    <n v="138"/>
    <s v="H (Mar 22)"/>
    <d v="2022-03-15T00:00:00"/>
    <n v="-1"/>
  </r>
  <r>
    <x v="157"/>
    <x v="2"/>
    <n v="0"/>
    <n v="0"/>
    <n v="0"/>
    <n v="0"/>
    <x v="1080"/>
    <n v="0"/>
    <n v="0"/>
    <n v="0"/>
    <n v="0"/>
    <x v="105"/>
    <n v="265"/>
    <s v="N (Jul 22)"/>
    <d v="2022-07-20T00:00:00"/>
    <n v="-1"/>
  </r>
  <r>
    <x v="158"/>
    <x v="15"/>
    <n v="0"/>
    <n v="0"/>
    <n v="0"/>
    <n v="0"/>
    <x v="1153"/>
    <n v="0"/>
    <n v="0"/>
    <n v="0"/>
    <n v="0"/>
    <x v="116"/>
    <n v="21"/>
    <s v="X (Nov 21)"/>
    <d v="2021-11-17T00:00:00"/>
    <n v="-1"/>
  </r>
  <r>
    <x v="158"/>
    <x v="9"/>
    <n v="0"/>
    <n v="0"/>
    <n v="0"/>
    <n v="0"/>
    <x v="1154"/>
    <n v="0"/>
    <n v="0"/>
    <n v="0"/>
    <n v="0"/>
    <x v="54"/>
    <n v="203"/>
    <s v="K (May 22)"/>
    <d v="2022-05-18T00:00:00"/>
    <n v="-1"/>
  </r>
  <r>
    <x v="158"/>
    <x v="14"/>
    <n v="0"/>
    <n v="0"/>
    <n v="0"/>
    <n v="0"/>
    <x v="1155"/>
    <n v="0"/>
    <n v="0"/>
    <n v="0"/>
    <n v="0"/>
    <x v="109"/>
    <n v="56"/>
    <s v="Z (Dec 21)"/>
    <d v="2021-12-22T00:00:00"/>
    <n v="-1"/>
  </r>
  <r>
    <x v="158"/>
    <x v="8"/>
    <n v="0"/>
    <n v="0"/>
    <n v="0"/>
    <n v="0"/>
    <x v="1080"/>
    <n v="0"/>
    <n v="0"/>
    <n v="0"/>
    <n v="0"/>
    <x v="74"/>
    <n v="231"/>
    <s v="M (Jun 22)"/>
    <d v="2022-06-15T00:00:00"/>
    <n v="-1"/>
  </r>
  <r>
    <x v="158"/>
    <x v="11"/>
    <n v="0"/>
    <n v="0"/>
    <n v="0"/>
    <n v="0"/>
    <x v="1156"/>
    <n v="0"/>
    <n v="0"/>
    <n v="0"/>
    <n v="0"/>
    <x v="40"/>
    <n v="139"/>
    <s v="H (Mar 22)"/>
    <d v="2022-03-15T00:00:00"/>
    <n v="-1"/>
  </r>
  <r>
    <x v="158"/>
    <x v="2"/>
    <n v="0"/>
    <n v="0"/>
    <n v="0"/>
    <n v="0"/>
    <x v="1157"/>
    <n v="0"/>
    <n v="0"/>
    <n v="0"/>
    <n v="0"/>
    <x v="111"/>
    <n v="266"/>
    <s v="N (Jul 22)"/>
    <d v="2022-07-20T00:00:00"/>
    <n v="-1"/>
  </r>
  <r>
    <x v="158"/>
    <x v="12"/>
    <n v="0"/>
    <n v="0"/>
    <n v="0"/>
    <n v="0"/>
    <x v="1158"/>
    <n v="0"/>
    <n v="0"/>
    <n v="0"/>
    <n v="0"/>
    <x v="61"/>
    <n v="112"/>
    <s v="G (Feb 22)"/>
    <d v="2022-02-16T00:00:00"/>
    <n v="-1"/>
  </r>
  <r>
    <x v="158"/>
    <x v="10"/>
    <n v="0"/>
    <n v="0"/>
    <n v="0"/>
    <n v="0"/>
    <x v="1159"/>
    <n v="0"/>
    <n v="0"/>
    <n v="0"/>
    <n v="0"/>
    <x v="95"/>
    <n v="175"/>
    <s v="J (Apr 22)"/>
    <d v="2022-04-20T00:00:00"/>
    <n v="-1"/>
  </r>
  <r>
    <x v="158"/>
    <x v="13"/>
    <n v="0"/>
    <n v="0"/>
    <n v="0"/>
    <n v="0"/>
    <x v="1160"/>
    <n v="0"/>
    <n v="0"/>
    <n v="0"/>
    <n v="0"/>
    <x v="96"/>
    <n v="84"/>
    <s v="F (Jan 22)"/>
    <d v="2022-01-19T00:00:00"/>
    <n v="-1"/>
  </r>
  <r>
    <x v="159"/>
    <x v="12"/>
    <n v="0"/>
    <n v="0"/>
    <n v="0"/>
    <n v="0"/>
    <x v="1161"/>
    <n v="0"/>
    <n v="0"/>
    <n v="0"/>
    <n v="0"/>
    <x v="64"/>
    <n v="113"/>
    <s v="G (Feb 22)"/>
    <d v="2022-02-16T00:00:00"/>
    <n v="-1"/>
  </r>
  <r>
    <x v="159"/>
    <x v="10"/>
    <n v="0"/>
    <n v="0"/>
    <n v="0"/>
    <n v="0"/>
    <x v="1162"/>
    <n v="0"/>
    <n v="0"/>
    <n v="0"/>
    <n v="0"/>
    <x v="107"/>
    <n v="176"/>
    <s v="J (Apr 22)"/>
    <d v="2022-04-20T00:00:00"/>
    <n v="-1"/>
  </r>
  <r>
    <x v="159"/>
    <x v="13"/>
    <n v="0"/>
    <n v="0"/>
    <n v="0"/>
    <n v="0"/>
    <x v="1163"/>
    <n v="0"/>
    <n v="0"/>
    <n v="0"/>
    <n v="0"/>
    <x v="99"/>
    <n v="85"/>
    <s v="F (Jan 22)"/>
    <d v="2022-01-19T00:00:00"/>
    <n v="-1"/>
  </r>
  <r>
    <x v="159"/>
    <x v="15"/>
    <n v="0"/>
    <n v="0"/>
    <n v="0"/>
    <n v="0"/>
    <x v="1164"/>
    <n v="0"/>
    <n v="0"/>
    <n v="0"/>
    <n v="0"/>
    <x v="119"/>
    <n v="22"/>
    <s v="X (Nov 21)"/>
    <d v="2021-11-17T00:00:00"/>
    <n v="-1"/>
  </r>
  <r>
    <x v="159"/>
    <x v="9"/>
    <n v="0"/>
    <n v="0"/>
    <n v="0"/>
    <n v="0"/>
    <x v="1165"/>
    <n v="0"/>
    <n v="0"/>
    <n v="0"/>
    <n v="0"/>
    <x v="66"/>
    <n v="204"/>
    <s v="K (May 22)"/>
    <d v="2022-05-18T00:00:00"/>
    <n v="-1"/>
  </r>
  <r>
    <x v="159"/>
    <x v="14"/>
    <n v="0"/>
    <n v="0"/>
    <n v="0"/>
    <n v="0"/>
    <x v="1166"/>
    <n v="0"/>
    <n v="0"/>
    <n v="0"/>
    <n v="0"/>
    <x v="121"/>
    <n v="57"/>
    <s v="Z (Dec 21)"/>
    <d v="2021-12-22T00:00:00"/>
    <n v="-1"/>
  </r>
  <r>
    <x v="159"/>
    <x v="8"/>
    <n v="0"/>
    <n v="0"/>
    <n v="0"/>
    <n v="0"/>
    <x v="1026"/>
    <n v="0"/>
    <n v="0"/>
    <n v="0"/>
    <n v="0"/>
    <x v="86"/>
    <n v="232"/>
    <s v="M (Jun 22)"/>
    <d v="2022-06-15T00:00:00"/>
    <n v="-1"/>
  </r>
  <r>
    <x v="159"/>
    <x v="11"/>
    <n v="0"/>
    <n v="0"/>
    <n v="0"/>
    <n v="0"/>
    <x v="1167"/>
    <n v="0"/>
    <n v="0"/>
    <n v="0"/>
    <n v="0"/>
    <x v="52"/>
    <n v="140"/>
    <s v="H (Mar 22)"/>
    <d v="2022-03-15T00:00:00"/>
    <n v="-1"/>
  </r>
  <r>
    <x v="159"/>
    <x v="2"/>
    <n v="0"/>
    <n v="0"/>
    <n v="0"/>
    <n v="0"/>
    <x v="666"/>
    <n v="0"/>
    <n v="0"/>
    <n v="0"/>
    <n v="0"/>
    <x v="123"/>
    <n v="267"/>
    <s v="N (Jul 22)"/>
    <d v="2022-07-20T00:00:00"/>
    <n v="-1"/>
  </r>
  <r>
    <x v="160"/>
    <x v="15"/>
    <n v="0"/>
    <n v="0"/>
    <n v="0"/>
    <n v="0"/>
    <x v="1168"/>
    <n v="0"/>
    <n v="0"/>
    <n v="0"/>
    <n v="0"/>
    <x v="133"/>
    <n v="23"/>
    <s v="X (Nov 21)"/>
    <d v="2021-11-17T00:00:00"/>
    <n v="-1"/>
  </r>
  <r>
    <x v="160"/>
    <x v="9"/>
    <n v="0"/>
    <n v="0"/>
    <n v="0"/>
    <n v="0"/>
    <x v="1037"/>
    <n v="0"/>
    <n v="0"/>
    <n v="0"/>
    <n v="0"/>
    <x v="72"/>
    <n v="205"/>
    <s v="K (May 22)"/>
    <d v="2022-05-18T00:00:00"/>
    <n v="-1"/>
  </r>
  <r>
    <x v="160"/>
    <x v="14"/>
    <n v="0"/>
    <n v="0"/>
    <n v="0"/>
    <n v="0"/>
    <x v="1169"/>
    <n v="0"/>
    <n v="0"/>
    <n v="0"/>
    <n v="0"/>
    <x v="127"/>
    <n v="58"/>
    <s v="Z (Dec 21)"/>
    <d v="2021-12-22T00:00:00"/>
    <n v="-1"/>
  </r>
  <r>
    <x v="160"/>
    <x v="8"/>
    <n v="0"/>
    <n v="0"/>
    <n v="0"/>
    <n v="0"/>
    <x v="1126"/>
    <n v="0"/>
    <n v="0"/>
    <n v="0"/>
    <n v="0"/>
    <x v="92"/>
    <n v="233"/>
    <s v="M (Jun 22)"/>
    <d v="2022-06-15T00:00:00"/>
    <n v="-1"/>
  </r>
  <r>
    <x v="160"/>
    <x v="11"/>
    <n v="0"/>
    <n v="0"/>
    <n v="0"/>
    <n v="0"/>
    <x v="1170"/>
    <n v="0"/>
    <n v="0"/>
    <n v="0"/>
    <n v="0"/>
    <x v="58"/>
    <n v="141"/>
    <s v="H (Mar 22)"/>
    <d v="2022-03-15T00:00:00"/>
    <n v="-1"/>
  </r>
  <r>
    <x v="160"/>
    <x v="2"/>
    <n v="0"/>
    <n v="0"/>
    <n v="0"/>
    <n v="0"/>
    <x v="1171"/>
    <n v="0"/>
    <n v="0"/>
    <n v="0"/>
    <n v="0"/>
    <x v="186"/>
    <n v="268"/>
    <s v="N (Jul 22)"/>
    <d v="2022-07-20T00:00:00"/>
    <n v="-1"/>
  </r>
  <r>
    <x v="160"/>
    <x v="12"/>
    <n v="0"/>
    <n v="0"/>
    <n v="0"/>
    <n v="0"/>
    <x v="1172"/>
    <n v="0"/>
    <n v="0"/>
    <n v="0"/>
    <n v="0"/>
    <x v="79"/>
    <n v="114"/>
    <s v="G (Feb 22)"/>
    <d v="2022-02-16T00:00:00"/>
    <n v="-1"/>
  </r>
  <r>
    <x v="160"/>
    <x v="10"/>
    <n v="0"/>
    <n v="0"/>
    <n v="0"/>
    <n v="0"/>
    <x v="1132"/>
    <n v="0"/>
    <n v="0"/>
    <n v="0"/>
    <n v="0"/>
    <x v="113"/>
    <n v="177"/>
    <s v="J (Apr 22)"/>
    <d v="2022-04-20T00:00:00"/>
    <n v="-1"/>
  </r>
  <r>
    <x v="160"/>
    <x v="13"/>
    <n v="0"/>
    <n v="0"/>
    <n v="0"/>
    <n v="0"/>
    <x v="1173"/>
    <n v="0"/>
    <n v="0"/>
    <n v="0"/>
    <n v="0"/>
    <x v="114"/>
    <n v="86"/>
    <s v="F (Jan 22)"/>
    <d v="2022-01-19T00:00:00"/>
    <n v="-1"/>
  </r>
  <r>
    <x v="161"/>
    <x v="12"/>
    <n v="0"/>
    <n v="0"/>
    <n v="0"/>
    <n v="0"/>
    <x v="1174"/>
    <n v="0"/>
    <n v="0"/>
    <n v="0"/>
    <n v="0"/>
    <x v="82"/>
    <n v="117"/>
    <s v="G (Feb 22)"/>
    <d v="2022-02-16T00:00:00"/>
    <n v="-1"/>
  </r>
  <r>
    <x v="161"/>
    <x v="10"/>
    <n v="0"/>
    <n v="0"/>
    <n v="0"/>
    <n v="0"/>
    <x v="1175"/>
    <n v="0"/>
    <n v="0"/>
    <n v="0"/>
    <n v="0"/>
    <x v="125"/>
    <n v="180"/>
    <s v="J (Apr 22)"/>
    <d v="2022-04-20T00:00:00"/>
    <n v="-1"/>
  </r>
  <r>
    <x v="161"/>
    <x v="13"/>
    <n v="0"/>
    <n v="0"/>
    <n v="0"/>
    <n v="0"/>
    <x v="1176"/>
    <n v="0"/>
    <n v="0"/>
    <n v="0"/>
    <n v="0"/>
    <x v="117"/>
    <n v="89"/>
    <s v="F (Jan 22)"/>
    <d v="2022-01-19T00:00:00"/>
    <n v="-1"/>
  </r>
  <r>
    <x v="161"/>
    <x v="15"/>
    <n v="0"/>
    <n v="0"/>
    <n v="0"/>
    <n v="0"/>
    <x v="1177"/>
    <n v="0"/>
    <n v="0"/>
    <n v="0"/>
    <n v="0"/>
    <x v="136"/>
    <n v="26"/>
    <s v="X (Nov 21)"/>
    <d v="2021-11-17T00:00:00"/>
    <n v="-1"/>
  </r>
  <r>
    <x v="161"/>
    <x v="9"/>
    <n v="0"/>
    <n v="0"/>
    <n v="0"/>
    <n v="0"/>
    <x v="666"/>
    <n v="0"/>
    <n v="0"/>
    <n v="0"/>
    <n v="0"/>
    <x v="84"/>
    <n v="208"/>
    <s v="K (May 22)"/>
    <d v="2022-05-18T00:00:00"/>
    <n v="-1"/>
  </r>
  <r>
    <x v="161"/>
    <x v="14"/>
    <n v="0"/>
    <n v="0"/>
    <n v="0"/>
    <n v="0"/>
    <x v="1178"/>
    <n v="0"/>
    <n v="0"/>
    <n v="0"/>
    <n v="0"/>
    <x v="138"/>
    <n v="61"/>
    <s v="Z (Dec 21)"/>
    <d v="2021-12-22T00:00:00"/>
    <n v="-1"/>
  </r>
  <r>
    <x v="161"/>
    <x v="8"/>
    <n v="0"/>
    <n v="0"/>
    <n v="0"/>
    <n v="0"/>
    <x v="1063"/>
    <n v="0"/>
    <n v="0"/>
    <n v="0"/>
    <n v="0"/>
    <x v="104"/>
    <n v="236"/>
    <s v="M (Jun 22)"/>
    <d v="2022-06-15T00:00:00"/>
    <n v="-1"/>
  </r>
  <r>
    <x v="161"/>
    <x v="11"/>
    <n v="0"/>
    <n v="0"/>
    <n v="0"/>
    <n v="0"/>
    <x v="1179"/>
    <n v="0"/>
    <n v="0"/>
    <n v="0"/>
    <n v="0"/>
    <x v="70"/>
    <n v="144"/>
    <s v="H (Mar 22)"/>
    <d v="2022-03-15T00:00:00"/>
    <n v="-1"/>
  </r>
  <r>
    <x v="162"/>
    <x v="15"/>
    <n v="0"/>
    <n v="0"/>
    <n v="0"/>
    <n v="0"/>
    <x v="1180"/>
    <n v="0"/>
    <n v="0"/>
    <n v="0"/>
    <n v="0"/>
    <x v="150"/>
    <n v="27"/>
    <s v="X (Nov 21)"/>
    <d v="2021-11-17T00:00:00"/>
    <n v="-1"/>
  </r>
  <r>
    <x v="162"/>
    <x v="9"/>
    <n v="0"/>
    <n v="0"/>
    <n v="0"/>
    <n v="0"/>
    <x v="1181"/>
    <n v="0"/>
    <n v="0"/>
    <n v="0"/>
    <n v="0"/>
    <x v="90"/>
    <n v="209"/>
    <s v="K (May 22)"/>
    <d v="2022-05-18T00:00:00"/>
    <n v="-1"/>
  </r>
  <r>
    <x v="162"/>
    <x v="14"/>
    <n v="0"/>
    <n v="0"/>
    <n v="0"/>
    <n v="0"/>
    <x v="1182"/>
    <n v="0"/>
    <n v="0"/>
    <n v="0"/>
    <n v="0"/>
    <x v="143"/>
    <n v="62"/>
    <s v="Z (Dec 21)"/>
    <d v="2021-12-22T00:00:00"/>
    <n v="-1"/>
  </r>
  <r>
    <x v="162"/>
    <x v="8"/>
    <n v="0"/>
    <n v="0"/>
    <n v="0"/>
    <n v="0"/>
    <x v="1078"/>
    <n v="0"/>
    <n v="0"/>
    <n v="0"/>
    <n v="0"/>
    <x v="110"/>
    <n v="237"/>
    <s v="M (Jun 22)"/>
    <d v="2022-06-15T00:00:00"/>
    <n v="-1"/>
  </r>
  <r>
    <x v="162"/>
    <x v="11"/>
    <n v="0"/>
    <n v="0"/>
    <n v="0"/>
    <n v="0"/>
    <x v="1183"/>
    <n v="0"/>
    <n v="0"/>
    <n v="0"/>
    <n v="0"/>
    <x v="76"/>
    <n v="145"/>
    <s v="H (Mar 22)"/>
    <d v="2022-03-15T00:00:00"/>
    <n v="-1"/>
  </r>
  <r>
    <x v="162"/>
    <x v="12"/>
    <n v="0"/>
    <n v="0"/>
    <n v="0"/>
    <n v="0"/>
    <x v="1148"/>
    <n v="0"/>
    <n v="0"/>
    <n v="0"/>
    <n v="0"/>
    <x v="97"/>
    <n v="118"/>
    <s v="G (Feb 22)"/>
    <d v="2022-02-16T00:00:00"/>
    <n v="-1"/>
  </r>
  <r>
    <x v="162"/>
    <x v="10"/>
    <n v="0"/>
    <n v="0"/>
    <n v="0"/>
    <n v="0"/>
    <x v="1184"/>
    <n v="0"/>
    <n v="0"/>
    <n v="0"/>
    <n v="0"/>
    <x v="130"/>
    <n v="181"/>
    <s v="J (Apr 22)"/>
    <d v="2022-04-20T00:00:00"/>
    <n v="-1"/>
  </r>
  <r>
    <x v="162"/>
    <x v="13"/>
    <n v="0"/>
    <n v="0"/>
    <n v="0"/>
    <n v="0"/>
    <x v="1185"/>
    <n v="0"/>
    <n v="0"/>
    <n v="0"/>
    <n v="0"/>
    <x v="131"/>
    <n v="90"/>
    <s v="F (Jan 22)"/>
    <d v="2022-01-19T00:00:00"/>
    <n v="-1"/>
  </r>
  <r>
    <x v="163"/>
    <x v="12"/>
    <n v="0"/>
    <n v="0"/>
    <n v="0"/>
    <n v="0"/>
    <x v="1186"/>
    <n v="0"/>
    <n v="0"/>
    <n v="0"/>
    <n v="0"/>
    <x v="100"/>
    <n v="119"/>
    <s v="G (Feb 22)"/>
    <d v="2022-02-16T00:00:00"/>
    <n v="-1"/>
  </r>
  <r>
    <x v="163"/>
    <x v="10"/>
    <n v="0"/>
    <n v="0"/>
    <n v="0"/>
    <n v="0"/>
    <x v="1187"/>
    <n v="0"/>
    <n v="0"/>
    <n v="0"/>
    <n v="0"/>
    <x v="141"/>
    <n v="182"/>
    <s v="J (Apr 22)"/>
    <d v="2022-04-20T00:00:00"/>
    <n v="-1"/>
  </r>
  <r>
    <x v="163"/>
    <x v="16"/>
    <n v="0"/>
    <n v="0"/>
    <n v="0"/>
    <n v="0"/>
    <x v="1188"/>
    <n v="0"/>
    <n v="0"/>
    <n v="0"/>
    <n v="0"/>
    <x v="145"/>
    <n v="0"/>
    <s v="V (Oct 21)"/>
    <d v="2021-10-20T00:00:00"/>
    <n v="-1"/>
  </r>
  <r>
    <x v="163"/>
    <x v="13"/>
    <n v="0"/>
    <n v="0"/>
    <n v="0"/>
    <n v="0"/>
    <x v="1189"/>
    <n v="0"/>
    <n v="0"/>
    <n v="0"/>
    <n v="0"/>
    <x v="134"/>
    <n v="91"/>
    <s v="F (Jan 22)"/>
    <d v="2022-01-19T00:00:00"/>
    <n v="-1"/>
  </r>
  <r>
    <x v="163"/>
    <x v="15"/>
    <n v="0"/>
    <n v="0"/>
    <n v="0"/>
    <n v="0"/>
    <x v="1190"/>
    <n v="0"/>
    <n v="0"/>
    <n v="0"/>
    <n v="0"/>
    <x v="153"/>
    <n v="28"/>
    <s v="X (Nov 21)"/>
    <d v="2021-11-17T00:00:00"/>
    <n v="-1"/>
  </r>
  <r>
    <x v="163"/>
    <x v="9"/>
    <n v="0"/>
    <n v="0"/>
    <n v="0"/>
    <n v="0"/>
    <x v="1171"/>
    <n v="0"/>
    <n v="0"/>
    <n v="0"/>
    <n v="0"/>
    <x v="102"/>
    <n v="210"/>
    <s v="K (May 22)"/>
    <d v="2022-05-18T00:00:00"/>
    <n v="-1"/>
  </r>
  <r>
    <x v="163"/>
    <x v="14"/>
    <n v="0"/>
    <n v="0"/>
    <n v="0"/>
    <n v="0"/>
    <x v="1191"/>
    <n v="0"/>
    <n v="0"/>
    <n v="0"/>
    <n v="0"/>
    <x v="154"/>
    <n v="63"/>
    <s v="Z (Dec 21)"/>
    <d v="2021-12-22T00:00:00"/>
    <n v="-1"/>
  </r>
  <r>
    <x v="163"/>
    <x v="8"/>
    <n v="0"/>
    <n v="0"/>
    <n v="0"/>
    <n v="0"/>
    <x v="1063"/>
    <n v="0"/>
    <n v="0"/>
    <n v="0"/>
    <n v="0"/>
    <x v="122"/>
    <n v="238"/>
    <s v="M (Jun 22)"/>
    <d v="2022-06-15T00:00:00"/>
    <n v="-1"/>
  </r>
  <r>
    <x v="163"/>
    <x v="11"/>
    <n v="0"/>
    <n v="0"/>
    <n v="0"/>
    <n v="0"/>
    <x v="1192"/>
    <n v="0"/>
    <n v="0"/>
    <n v="0"/>
    <n v="0"/>
    <x v="88"/>
    <n v="146"/>
    <s v="H (Mar 22)"/>
    <d v="2022-03-15T00:00:00"/>
    <n v="-1"/>
  </r>
  <r>
    <x v="164"/>
    <x v="15"/>
    <n v="0"/>
    <n v="0"/>
    <n v="0"/>
    <n v="0"/>
    <x v="1193"/>
    <n v="0"/>
    <n v="0"/>
    <n v="0"/>
    <n v="0"/>
    <x v="166"/>
    <n v="29"/>
    <s v="X (Nov 21)"/>
    <d v="2021-11-17T00:00:00"/>
    <n v="-1"/>
  </r>
  <r>
    <x v="164"/>
    <x v="9"/>
    <n v="0"/>
    <n v="0"/>
    <n v="0"/>
    <n v="0"/>
    <x v="820"/>
    <n v="0"/>
    <n v="0"/>
    <n v="0"/>
    <n v="0"/>
    <x v="108"/>
    <n v="211"/>
    <s v="K (May 22)"/>
    <d v="2022-05-18T00:00:00"/>
    <n v="-1"/>
  </r>
  <r>
    <x v="164"/>
    <x v="14"/>
    <n v="0"/>
    <n v="0"/>
    <n v="0"/>
    <n v="0"/>
    <x v="1194"/>
    <n v="0"/>
    <n v="0"/>
    <n v="0"/>
    <n v="0"/>
    <x v="159"/>
    <n v="64"/>
    <s v="Z (Dec 21)"/>
    <d v="2021-12-22T00:00:00"/>
    <n v="-1"/>
  </r>
  <r>
    <x v="164"/>
    <x v="8"/>
    <n v="0"/>
    <n v="0"/>
    <n v="0"/>
    <n v="0"/>
    <x v="1195"/>
    <n v="0"/>
    <n v="0"/>
    <n v="0"/>
    <n v="0"/>
    <x v="128"/>
    <n v="239"/>
    <s v="M (Jun 22)"/>
    <d v="2022-06-15T00:00:00"/>
    <n v="-1"/>
  </r>
  <r>
    <x v="164"/>
    <x v="11"/>
    <n v="0"/>
    <n v="0"/>
    <n v="0"/>
    <n v="0"/>
    <x v="1196"/>
    <n v="0"/>
    <n v="0"/>
    <n v="0"/>
    <n v="0"/>
    <x v="94"/>
    <n v="147"/>
    <s v="H (Mar 22)"/>
    <d v="2022-03-15T00:00:00"/>
    <n v="-1"/>
  </r>
  <r>
    <x v="164"/>
    <x v="12"/>
    <n v="0"/>
    <n v="0"/>
    <n v="0"/>
    <n v="0"/>
    <x v="1197"/>
    <n v="0"/>
    <n v="0"/>
    <n v="0"/>
    <n v="0"/>
    <x v="115"/>
    <n v="120"/>
    <s v="G (Feb 22)"/>
    <d v="2022-02-16T00:00:00"/>
    <n v="-1"/>
  </r>
  <r>
    <x v="164"/>
    <x v="10"/>
    <n v="0"/>
    <n v="0"/>
    <n v="0"/>
    <n v="0"/>
    <x v="1198"/>
    <n v="0"/>
    <n v="0"/>
    <n v="0"/>
    <n v="0"/>
    <x v="147"/>
    <n v="183"/>
    <s v="J (Apr 22)"/>
    <d v="2022-04-20T00:00:00"/>
    <n v="-1"/>
  </r>
  <r>
    <x v="164"/>
    <x v="16"/>
    <n v="0"/>
    <n v="0"/>
    <n v="0"/>
    <n v="0"/>
    <x v="1199"/>
    <n v="0"/>
    <n v="0"/>
    <n v="0"/>
    <n v="0"/>
    <x v="156"/>
    <n v="1"/>
    <s v="V (Oct 21)"/>
    <d v="2021-10-20T00:00:00"/>
    <n v="-1"/>
  </r>
  <r>
    <x v="164"/>
    <x v="13"/>
    <n v="0"/>
    <n v="0"/>
    <n v="0"/>
    <n v="0"/>
    <x v="1200"/>
    <n v="0"/>
    <n v="0"/>
    <n v="0"/>
    <n v="0"/>
    <x v="148"/>
    <n v="92"/>
    <s v="F (Jan 22)"/>
    <d v="2022-01-19T00:00:00"/>
    <n v="-1"/>
  </r>
  <r>
    <x v="165"/>
    <x v="12"/>
    <n v="0"/>
    <n v="0"/>
    <n v="0"/>
    <n v="0"/>
    <x v="1201"/>
    <n v="0"/>
    <n v="0"/>
    <n v="0"/>
    <n v="0"/>
    <x v="118"/>
    <n v="121"/>
    <s v="G (Feb 22)"/>
    <d v="2022-02-16T00:00:00"/>
    <n v="-1"/>
  </r>
  <r>
    <x v="165"/>
    <x v="10"/>
    <n v="0"/>
    <n v="0"/>
    <n v="0"/>
    <n v="0"/>
    <x v="1074"/>
    <n v="0"/>
    <n v="0"/>
    <n v="0"/>
    <n v="0"/>
    <x v="158"/>
    <n v="184"/>
    <s v="J (Apr 22)"/>
    <d v="2022-04-20T00:00:00"/>
    <n v="-1"/>
  </r>
  <r>
    <x v="165"/>
    <x v="16"/>
    <n v="0"/>
    <n v="0"/>
    <n v="0"/>
    <n v="0"/>
    <x v="1202"/>
    <n v="0"/>
    <n v="0"/>
    <n v="0"/>
    <n v="0"/>
    <x v="161"/>
    <n v="2"/>
    <s v="V (Oct 21)"/>
    <d v="2021-10-20T00:00:00"/>
    <n v="-1"/>
  </r>
  <r>
    <x v="165"/>
    <x v="13"/>
    <n v="0"/>
    <n v="0"/>
    <n v="0"/>
    <n v="0"/>
    <x v="1203"/>
    <n v="0"/>
    <n v="0"/>
    <n v="0"/>
    <n v="0"/>
    <x v="151"/>
    <n v="93"/>
    <s v="F (Jan 22)"/>
    <d v="2022-01-19T00:00:00"/>
    <n v="-1"/>
  </r>
  <r>
    <x v="165"/>
    <x v="15"/>
    <n v="0"/>
    <n v="0"/>
    <n v="0"/>
    <n v="0"/>
    <x v="1204"/>
    <n v="0"/>
    <n v="0"/>
    <n v="0"/>
    <n v="0"/>
    <x v="169"/>
    <n v="30"/>
    <s v="X (Nov 21)"/>
    <d v="2021-11-17T00:00:00"/>
    <n v="-1"/>
  </r>
  <r>
    <x v="165"/>
    <x v="9"/>
    <n v="0"/>
    <n v="0"/>
    <n v="0"/>
    <n v="0"/>
    <x v="1080"/>
    <n v="0"/>
    <n v="0"/>
    <n v="0"/>
    <n v="0"/>
    <x v="120"/>
    <n v="212"/>
    <s v="K (May 22)"/>
    <d v="2022-05-18T00:00:00"/>
    <n v="-1"/>
  </r>
  <r>
    <x v="165"/>
    <x v="14"/>
    <n v="0"/>
    <n v="0"/>
    <n v="0"/>
    <n v="0"/>
    <x v="1205"/>
    <n v="0"/>
    <n v="0"/>
    <n v="0"/>
    <n v="0"/>
    <x v="170"/>
    <n v="65"/>
    <s v="Z (Dec 21)"/>
    <d v="2021-12-22T00:00:00"/>
    <n v="-1"/>
  </r>
  <r>
    <x v="165"/>
    <x v="8"/>
    <n v="0"/>
    <n v="0"/>
    <n v="0"/>
    <n v="0"/>
    <x v="1022"/>
    <n v="0"/>
    <n v="0"/>
    <n v="0"/>
    <n v="0"/>
    <x v="139"/>
    <n v="240"/>
    <s v="M (Jun 22)"/>
    <d v="2022-06-15T00:00:00"/>
    <n v="-1"/>
  </r>
  <r>
    <x v="165"/>
    <x v="11"/>
    <n v="0"/>
    <n v="0"/>
    <n v="0"/>
    <n v="0"/>
    <x v="1206"/>
    <n v="0"/>
    <n v="0"/>
    <n v="0"/>
    <n v="0"/>
    <x v="106"/>
    <n v="148"/>
    <s v="H (Mar 22)"/>
    <d v="2022-03-15T00:00:00"/>
    <n v="-1"/>
  </r>
  <r>
    <x v="166"/>
    <x v="15"/>
    <n v="0"/>
    <n v="0"/>
    <n v="0"/>
    <n v="0"/>
    <x v="1207"/>
    <n v="0"/>
    <n v="0"/>
    <n v="0"/>
    <n v="0"/>
    <x v="176"/>
    <n v="33"/>
    <s v="X (Nov 21)"/>
    <d v="2021-11-17T00:00:00"/>
    <n v="-1"/>
  </r>
  <r>
    <x v="166"/>
    <x v="9"/>
    <n v="0"/>
    <n v="0"/>
    <n v="0"/>
    <n v="0"/>
    <x v="1104"/>
    <n v="0"/>
    <n v="0"/>
    <n v="0"/>
    <n v="0"/>
    <x v="126"/>
    <n v="215"/>
    <s v="K (May 22)"/>
    <d v="2022-05-18T00:00:00"/>
    <n v="-1"/>
  </r>
  <r>
    <x v="166"/>
    <x v="14"/>
    <n v="0"/>
    <n v="0"/>
    <n v="0"/>
    <n v="0"/>
    <x v="1208"/>
    <n v="0"/>
    <n v="0"/>
    <n v="0"/>
    <n v="0"/>
    <x v="6"/>
    <n v="68"/>
    <s v="Z (Dec 21)"/>
    <d v="2021-12-22T00:00:00"/>
    <n v="-1"/>
  </r>
  <r>
    <x v="166"/>
    <x v="8"/>
    <n v="0"/>
    <n v="0"/>
    <n v="0"/>
    <n v="0"/>
    <x v="1080"/>
    <n v="0"/>
    <n v="0"/>
    <n v="0"/>
    <n v="0"/>
    <x v="144"/>
    <n v="243"/>
    <s v="M (Jun 22)"/>
    <d v="2022-06-15T00:00:00"/>
    <n v="-1"/>
  </r>
  <r>
    <x v="166"/>
    <x v="11"/>
    <n v="0"/>
    <n v="0"/>
    <n v="0"/>
    <n v="0"/>
    <x v="1209"/>
    <n v="0"/>
    <n v="0"/>
    <n v="0"/>
    <n v="0"/>
    <x v="112"/>
    <n v="151"/>
    <s v="H (Mar 22)"/>
    <d v="2022-03-15T00:00:00"/>
    <n v="-1"/>
  </r>
  <r>
    <x v="166"/>
    <x v="12"/>
    <n v="0"/>
    <n v="0"/>
    <n v="0"/>
    <n v="0"/>
    <x v="1210"/>
    <n v="0"/>
    <n v="0"/>
    <n v="0"/>
    <n v="0"/>
    <x v="132"/>
    <n v="124"/>
    <s v="G (Feb 22)"/>
    <d v="2022-02-16T00:00:00"/>
    <n v="-1"/>
  </r>
  <r>
    <x v="166"/>
    <x v="10"/>
    <n v="0"/>
    <n v="0"/>
    <n v="0"/>
    <n v="0"/>
    <x v="1026"/>
    <n v="0"/>
    <n v="0"/>
    <n v="0"/>
    <n v="0"/>
    <x v="163"/>
    <n v="187"/>
    <s v="J (Apr 22)"/>
    <d v="2022-04-20T00:00:00"/>
    <n v="-1"/>
  </r>
  <r>
    <x v="166"/>
    <x v="16"/>
    <n v="0"/>
    <n v="0"/>
    <n v="0"/>
    <n v="0"/>
    <x v="1211"/>
    <n v="0"/>
    <n v="0"/>
    <n v="0"/>
    <n v="0"/>
    <x v="8"/>
    <n v="5"/>
    <s v="V (Oct 21)"/>
    <d v="2021-10-20T00:00:00"/>
    <n v="-1"/>
  </r>
  <r>
    <x v="166"/>
    <x v="13"/>
    <n v="0"/>
    <n v="0"/>
    <n v="0"/>
    <n v="0"/>
    <x v="1212"/>
    <n v="0"/>
    <n v="0"/>
    <n v="0"/>
    <n v="0"/>
    <x v="164"/>
    <n v="96"/>
    <s v="F (Jan 22)"/>
    <d v="2022-01-19T00:00:00"/>
    <n v="-1"/>
  </r>
  <r>
    <x v="167"/>
    <x v="12"/>
    <n v="0"/>
    <n v="0"/>
    <n v="0"/>
    <n v="0"/>
    <x v="1213"/>
    <n v="0"/>
    <n v="0"/>
    <n v="0"/>
    <n v="0"/>
    <x v="135"/>
    <n v="125"/>
    <s v="G (Feb 22)"/>
    <d v="2022-02-16T00:00:00"/>
    <n v="-1"/>
  </r>
  <r>
    <x v="167"/>
    <x v="10"/>
    <n v="0"/>
    <n v="0"/>
    <n v="0"/>
    <n v="0"/>
    <x v="1112"/>
    <n v="0"/>
    <n v="0"/>
    <n v="0"/>
    <n v="0"/>
    <x v="173"/>
    <n v="188"/>
    <s v="J (Apr 22)"/>
    <d v="2022-04-20T00:00:00"/>
    <n v="-1"/>
  </r>
  <r>
    <x v="167"/>
    <x v="16"/>
    <n v="0"/>
    <n v="0"/>
    <n v="0"/>
    <n v="0"/>
    <x v="1214"/>
    <n v="0"/>
    <n v="0"/>
    <n v="0"/>
    <n v="0"/>
    <x v="11"/>
    <n v="6"/>
    <s v="V (Oct 21)"/>
    <d v="2021-10-20T00:00:00"/>
    <n v="-1"/>
  </r>
  <r>
    <x v="167"/>
    <x v="13"/>
    <n v="0"/>
    <n v="0"/>
    <n v="0"/>
    <n v="0"/>
    <x v="1215"/>
    <n v="0"/>
    <n v="0"/>
    <n v="0"/>
    <n v="0"/>
    <x v="167"/>
    <n v="97"/>
    <s v="F (Jan 22)"/>
    <d v="2022-01-19T00:00:00"/>
    <n v="-1"/>
  </r>
  <r>
    <x v="167"/>
    <x v="15"/>
    <n v="0"/>
    <n v="0"/>
    <n v="0"/>
    <n v="0"/>
    <x v="1216"/>
    <n v="0"/>
    <n v="0"/>
    <n v="0"/>
    <n v="0"/>
    <x v="178"/>
    <n v="34"/>
    <s v="X (Nov 21)"/>
    <d v="2021-11-17T00:00:00"/>
    <n v="-1"/>
  </r>
  <r>
    <x v="167"/>
    <x v="9"/>
    <n v="0"/>
    <n v="0"/>
    <n v="0"/>
    <n v="0"/>
    <x v="1217"/>
    <n v="0"/>
    <n v="0"/>
    <n v="0"/>
    <n v="0"/>
    <x v="137"/>
    <n v="216"/>
    <s v="K (May 22)"/>
    <d v="2022-05-18T00:00:00"/>
    <n v="-1"/>
  </r>
  <r>
    <x v="167"/>
    <x v="14"/>
    <n v="0"/>
    <n v="0"/>
    <n v="0"/>
    <n v="0"/>
    <x v="1218"/>
    <n v="0"/>
    <n v="0"/>
    <n v="0"/>
    <n v="0"/>
    <x v="9"/>
    <n v="69"/>
    <s v="Z (Dec 21)"/>
    <d v="2021-12-22T00:00:00"/>
    <n v="-1"/>
  </r>
  <r>
    <x v="167"/>
    <x v="8"/>
    <n v="0"/>
    <n v="0"/>
    <n v="0"/>
    <n v="0"/>
    <x v="1037"/>
    <n v="0"/>
    <n v="0"/>
    <n v="0"/>
    <n v="0"/>
    <x v="155"/>
    <n v="244"/>
    <s v="M (Jun 22)"/>
    <d v="2022-06-15T00:00:00"/>
    <n v="-1"/>
  </r>
  <r>
    <x v="167"/>
    <x v="11"/>
    <n v="0"/>
    <n v="0"/>
    <n v="0"/>
    <n v="0"/>
    <x v="1219"/>
    <n v="0"/>
    <n v="0"/>
    <n v="0"/>
    <n v="0"/>
    <x v="124"/>
    <n v="152"/>
    <s v="H (Mar 22)"/>
    <d v="2022-03-15T00:00:00"/>
    <n v="-1"/>
  </r>
  <r>
    <x v="168"/>
    <x v="15"/>
    <n v="0"/>
    <n v="0"/>
    <n v="0"/>
    <n v="0"/>
    <x v="1220"/>
    <n v="0"/>
    <n v="0"/>
    <n v="0"/>
    <n v="0"/>
    <x v="182"/>
    <n v="35"/>
    <s v="X (Nov 21)"/>
    <d v="2021-11-17T00:00:00"/>
    <n v="-1"/>
  </r>
  <r>
    <x v="168"/>
    <x v="9"/>
    <n v="0"/>
    <n v="0"/>
    <n v="0"/>
    <n v="0"/>
    <x v="1074"/>
    <n v="0"/>
    <n v="0"/>
    <n v="0"/>
    <n v="0"/>
    <x v="142"/>
    <n v="217"/>
    <s v="K (May 22)"/>
    <d v="2022-05-18T00:00:00"/>
    <n v="-1"/>
  </r>
  <r>
    <x v="168"/>
    <x v="14"/>
    <n v="0"/>
    <n v="0"/>
    <n v="0"/>
    <n v="0"/>
    <x v="1221"/>
    <n v="0"/>
    <n v="0"/>
    <n v="0"/>
    <n v="0"/>
    <x v="24"/>
    <n v="70"/>
    <s v="Z (Dec 21)"/>
    <d v="2021-12-22T00:00:00"/>
    <n v="-1"/>
  </r>
  <r>
    <x v="168"/>
    <x v="8"/>
    <n v="0"/>
    <n v="0"/>
    <n v="0"/>
    <n v="0"/>
    <x v="1074"/>
    <n v="0"/>
    <n v="0"/>
    <n v="0"/>
    <n v="0"/>
    <x v="160"/>
    <n v="245"/>
    <s v="M (Jun 22)"/>
    <d v="2022-06-15T00:00:00"/>
    <n v="-1"/>
  </r>
  <r>
    <x v="168"/>
    <x v="11"/>
    <n v="0"/>
    <n v="0"/>
    <n v="0"/>
    <n v="0"/>
    <x v="1222"/>
    <n v="0"/>
    <n v="0"/>
    <n v="0"/>
    <n v="0"/>
    <x v="129"/>
    <n v="153"/>
    <s v="H (Mar 22)"/>
    <d v="2022-03-15T00:00:00"/>
    <n v="-1"/>
  </r>
  <r>
    <x v="168"/>
    <x v="12"/>
    <n v="0"/>
    <n v="0"/>
    <n v="0"/>
    <n v="0"/>
    <x v="1223"/>
    <n v="0"/>
    <n v="0"/>
    <n v="0"/>
    <n v="0"/>
    <x v="149"/>
    <n v="126"/>
    <s v="G (Feb 22)"/>
    <d v="2022-02-16T00:00:00"/>
    <n v="-1"/>
  </r>
  <r>
    <x v="168"/>
    <x v="10"/>
    <n v="0"/>
    <n v="0"/>
    <n v="0"/>
    <n v="0"/>
    <x v="1074"/>
    <n v="0"/>
    <n v="0"/>
    <n v="0"/>
    <n v="0"/>
    <x v="174"/>
    <n v="189"/>
    <s v="J (Apr 22)"/>
    <d v="2022-04-20T00:00:00"/>
    <n v="-1"/>
  </r>
  <r>
    <x v="168"/>
    <x v="16"/>
    <n v="0"/>
    <n v="0"/>
    <n v="0"/>
    <n v="0"/>
    <x v="1224"/>
    <n v="0"/>
    <n v="0"/>
    <n v="0"/>
    <n v="0"/>
    <x v="26"/>
    <n v="7"/>
    <s v="V (Oct 21)"/>
    <d v="2021-10-20T00:00:00"/>
    <n v="-1"/>
  </r>
  <r>
    <x v="168"/>
    <x v="13"/>
    <n v="0"/>
    <n v="0"/>
    <n v="0"/>
    <n v="0"/>
    <x v="1225"/>
    <n v="0"/>
    <n v="0"/>
    <n v="0"/>
    <n v="0"/>
    <x v="175"/>
    <n v="98"/>
    <s v="F (Jan 22)"/>
    <d v="2022-01-19T00:00:00"/>
    <n v="-1"/>
  </r>
  <r>
    <x v="169"/>
    <x v="12"/>
    <n v="0"/>
    <n v="0"/>
    <n v="0"/>
    <n v="0"/>
    <x v="1226"/>
    <n v="0"/>
    <n v="0"/>
    <n v="0"/>
    <n v="0"/>
    <x v="152"/>
    <n v="127"/>
    <s v="G (Feb 22)"/>
    <d v="2022-02-16T00:00:00"/>
    <n v="-1"/>
  </r>
  <r>
    <x v="169"/>
    <x v="10"/>
    <n v="0"/>
    <n v="0"/>
    <n v="0"/>
    <n v="0"/>
    <x v="1227"/>
    <n v="0"/>
    <n v="0"/>
    <n v="0"/>
    <n v="0"/>
    <x v="179"/>
    <n v="190"/>
    <s v="J (Apr 22)"/>
    <d v="2022-04-20T00:00:00"/>
    <n v="-1"/>
  </r>
  <r>
    <x v="169"/>
    <x v="16"/>
    <n v="0"/>
    <n v="0"/>
    <n v="0"/>
    <n v="0"/>
    <x v="1228"/>
    <n v="0"/>
    <n v="0"/>
    <n v="0"/>
    <n v="0"/>
    <x v="29"/>
    <n v="8"/>
    <s v="V (Oct 21)"/>
    <d v="2021-10-20T00:00:00"/>
    <n v="-1"/>
  </r>
  <r>
    <x v="169"/>
    <x v="13"/>
    <n v="0"/>
    <n v="0"/>
    <n v="0"/>
    <n v="0"/>
    <x v="1089"/>
    <n v="0"/>
    <n v="0"/>
    <n v="0"/>
    <n v="0"/>
    <x v="177"/>
    <n v="99"/>
    <s v="F (Jan 22)"/>
    <d v="2022-01-19T00:00:00"/>
    <n v="-1"/>
  </r>
  <r>
    <x v="169"/>
    <x v="15"/>
    <n v="0"/>
    <n v="0"/>
    <n v="0"/>
    <n v="0"/>
    <x v="1229"/>
    <n v="0"/>
    <n v="0"/>
    <n v="0"/>
    <n v="0"/>
    <x v="184"/>
    <n v="36"/>
    <s v="X (Nov 21)"/>
    <d v="2021-11-17T00:00:00"/>
    <n v="-1"/>
  </r>
  <r>
    <x v="169"/>
    <x v="9"/>
    <n v="0"/>
    <n v="0"/>
    <n v="0"/>
    <n v="0"/>
    <x v="1195"/>
    <n v="0"/>
    <n v="0"/>
    <n v="0"/>
    <n v="0"/>
    <x v="3"/>
    <n v="218"/>
    <s v="K (May 22)"/>
    <d v="2022-05-18T00:00:00"/>
    <n v="-1"/>
  </r>
  <r>
    <x v="169"/>
    <x v="14"/>
    <n v="0"/>
    <n v="0"/>
    <n v="0"/>
    <n v="0"/>
    <x v="1230"/>
    <n v="0"/>
    <n v="0"/>
    <n v="0"/>
    <n v="0"/>
    <x v="27"/>
    <n v="71"/>
    <s v="Z (Dec 21)"/>
    <d v="2021-12-22T00:00:00"/>
    <n v="-1"/>
  </r>
  <r>
    <x v="169"/>
    <x v="8"/>
    <n v="0"/>
    <n v="0"/>
    <n v="0"/>
    <n v="0"/>
    <x v="423"/>
    <n v="0"/>
    <n v="0"/>
    <n v="0"/>
    <n v="0"/>
    <x v="171"/>
    <n v="246"/>
    <s v="M (Jun 22)"/>
    <d v="2022-06-15T00:00:00"/>
    <n v="-1"/>
  </r>
  <r>
    <x v="169"/>
    <x v="11"/>
    <n v="0"/>
    <n v="0"/>
    <n v="0"/>
    <n v="0"/>
    <x v="1231"/>
    <n v="0"/>
    <n v="0"/>
    <n v="0"/>
    <n v="0"/>
    <x v="140"/>
    <n v="154"/>
    <s v="H (Mar 22)"/>
    <d v="2022-03-15T00:00:00"/>
    <n v="-1"/>
  </r>
  <r>
    <x v="170"/>
    <x v="15"/>
    <n v="0"/>
    <n v="0"/>
    <n v="0"/>
    <n v="0"/>
    <x v="1232"/>
    <n v="0"/>
    <n v="0"/>
    <n v="0"/>
    <n v="0"/>
    <x v="2"/>
    <n v="37"/>
    <s v="X (Nov 21)"/>
    <d v="2021-11-17T00:00:00"/>
    <n v="-1"/>
  </r>
  <r>
    <x v="170"/>
    <x v="9"/>
    <n v="0"/>
    <n v="0"/>
    <n v="0"/>
    <n v="0"/>
    <x v="411"/>
    <n v="0"/>
    <n v="0"/>
    <n v="0"/>
    <n v="0"/>
    <x v="15"/>
    <n v="219"/>
    <s v="K (May 22)"/>
    <d v="2022-05-18T00:00:00"/>
    <n v="-1"/>
  </r>
  <r>
    <x v="170"/>
    <x v="14"/>
    <n v="0"/>
    <n v="0"/>
    <n v="0"/>
    <n v="0"/>
    <x v="1160"/>
    <n v="0"/>
    <n v="0"/>
    <n v="0"/>
    <n v="0"/>
    <x v="42"/>
    <n v="72"/>
    <s v="Z (Dec 21)"/>
    <d v="2021-12-22T00:00:00"/>
    <n v="-1"/>
  </r>
  <r>
    <x v="170"/>
    <x v="8"/>
    <n v="0"/>
    <n v="0"/>
    <n v="0"/>
    <n v="0"/>
    <x v="406"/>
    <n v="0"/>
    <n v="0"/>
    <n v="0"/>
    <n v="0"/>
    <x v="4"/>
    <n v="247"/>
    <s v="M (Jun 22)"/>
    <d v="2022-06-15T00:00:00"/>
    <n v="-1"/>
  </r>
  <r>
    <x v="170"/>
    <x v="11"/>
    <n v="0"/>
    <n v="0"/>
    <n v="0"/>
    <n v="0"/>
    <x v="1080"/>
    <n v="0"/>
    <n v="0"/>
    <n v="0"/>
    <n v="0"/>
    <x v="146"/>
    <n v="155"/>
    <s v="H (Mar 22)"/>
    <d v="2022-03-15T00:00:00"/>
    <n v="-1"/>
  </r>
  <r>
    <x v="170"/>
    <x v="12"/>
    <n v="0"/>
    <n v="0"/>
    <n v="0"/>
    <n v="0"/>
    <x v="1233"/>
    <n v="0"/>
    <n v="0"/>
    <n v="0"/>
    <n v="0"/>
    <x v="165"/>
    <n v="128"/>
    <s v="G (Feb 22)"/>
    <d v="2022-02-16T00:00:00"/>
    <n v="-1"/>
  </r>
  <r>
    <x v="170"/>
    <x v="10"/>
    <n v="0"/>
    <n v="0"/>
    <n v="0"/>
    <n v="0"/>
    <x v="1055"/>
    <n v="0"/>
    <n v="0"/>
    <n v="0"/>
    <n v="0"/>
    <x v="180"/>
    <n v="191"/>
    <s v="J (Apr 22)"/>
    <d v="2022-04-20T00:00:00"/>
    <n v="-1"/>
  </r>
  <r>
    <x v="170"/>
    <x v="16"/>
    <n v="0"/>
    <n v="0"/>
    <n v="0"/>
    <n v="0"/>
    <x v="1234"/>
    <n v="0"/>
    <n v="0"/>
    <n v="0"/>
    <n v="0"/>
    <x v="44"/>
    <n v="9"/>
    <s v="V (Oct 21)"/>
    <d v="2021-10-20T00:00:00"/>
    <n v="-1"/>
  </r>
  <r>
    <x v="170"/>
    <x v="13"/>
    <n v="0"/>
    <n v="0"/>
    <n v="0"/>
    <n v="0"/>
    <x v="1235"/>
    <n v="0"/>
    <n v="0"/>
    <n v="0"/>
    <n v="0"/>
    <x v="181"/>
    <n v="100"/>
    <s v="F (Jan 22)"/>
    <d v="2022-01-19T00:00:00"/>
    <n v="-1"/>
  </r>
  <r>
    <x v="171"/>
    <x v="12"/>
    <n v="0"/>
    <n v="0"/>
    <n v="0"/>
    <n v="0"/>
    <x v="1236"/>
    <n v="0"/>
    <n v="0"/>
    <n v="0"/>
    <n v="0"/>
    <x v="168"/>
    <n v="131"/>
    <s v="G (Feb 22)"/>
    <d v="2022-02-16T00:00:00"/>
    <n v="-1"/>
  </r>
  <r>
    <x v="171"/>
    <x v="10"/>
    <n v="0"/>
    <n v="0"/>
    <n v="0"/>
    <n v="0"/>
    <x v="1237"/>
    <n v="0"/>
    <n v="0"/>
    <n v="0"/>
    <n v="0"/>
    <x v="185"/>
    <n v="194"/>
    <s v="J (Apr 22)"/>
    <d v="2022-04-20T00:00:00"/>
    <n v="-1"/>
  </r>
  <r>
    <x v="171"/>
    <x v="16"/>
    <n v="0"/>
    <n v="0"/>
    <n v="0"/>
    <n v="0"/>
    <x v="1228"/>
    <n v="0"/>
    <n v="0"/>
    <n v="0"/>
    <n v="0"/>
    <x v="47"/>
    <n v="12"/>
    <s v="V (Oct 21)"/>
    <d v="2021-10-20T00:00:00"/>
    <n v="-1"/>
  </r>
  <r>
    <x v="171"/>
    <x v="13"/>
    <n v="0"/>
    <n v="0"/>
    <n v="0"/>
    <n v="0"/>
    <x v="1238"/>
    <n v="0"/>
    <n v="0"/>
    <n v="0"/>
    <n v="0"/>
    <x v="183"/>
    <n v="103"/>
    <s v="F (Jan 22)"/>
    <d v="2022-01-19T00:00:00"/>
    <n v="-1"/>
  </r>
  <r>
    <x v="171"/>
    <x v="15"/>
    <n v="0"/>
    <n v="0"/>
    <n v="0"/>
    <n v="0"/>
    <x v="1239"/>
    <n v="0"/>
    <n v="0"/>
    <n v="0"/>
    <n v="0"/>
    <x v="14"/>
    <n v="40"/>
    <s v="X (Nov 21)"/>
    <d v="2021-11-17T00:00:00"/>
    <n v="-1"/>
  </r>
  <r>
    <x v="171"/>
    <x v="9"/>
    <n v="0"/>
    <n v="0"/>
    <n v="0"/>
    <n v="0"/>
    <x v="1096"/>
    <n v="0"/>
    <n v="0"/>
    <n v="0"/>
    <n v="0"/>
    <x v="21"/>
    <n v="222"/>
    <s v="K (May 22)"/>
    <d v="2022-05-18T00:00:00"/>
    <n v="-1"/>
  </r>
  <r>
    <x v="171"/>
    <x v="14"/>
    <n v="0"/>
    <n v="0"/>
    <n v="0"/>
    <n v="0"/>
    <x v="1240"/>
    <n v="0"/>
    <n v="0"/>
    <n v="0"/>
    <n v="0"/>
    <x v="45"/>
    <n v="75"/>
    <s v="Z (Dec 21)"/>
    <d v="2021-12-22T00:00:00"/>
    <n v="-1"/>
  </r>
  <r>
    <x v="171"/>
    <x v="8"/>
    <n v="0"/>
    <n v="0"/>
    <n v="0"/>
    <n v="0"/>
    <x v="423"/>
    <n v="0"/>
    <n v="0"/>
    <n v="0"/>
    <n v="0"/>
    <x v="16"/>
    <n v="250"/>
    <s v="M (Jun 22)"/>
    <d v="2022-06-15T00:00:00"/>
    <n v="-1"/>
  </r>
  <r>
    <x v="171"/>
    <x v="11"/>
    <n v="0"/>
    <n v="0"/>
    <n v="0"/>
    <n v="0"/>
    <x v="1241"/>
    <n v="0"/>
    <n v="0"/>
    <n v="0"/>
    <n v="0"/>
    <x v="157"/>
    <n v="158"/>
    <s v="H (Mar 22)"/>
    <d v="2022-03-15T00:00:00"/>
    <n v="-1"/>
  </r>
  <r>
    <x v="172"/>
    <x v="15"/>
    <n v="0"/>
    <n v="0"/>
    <n v="0"/>
    <n v="0"/>
    <x v="1242"/>
    <n v="0"/>
    <n v="0"/>
    <n v="0"/>
    <n v="0"/>
    <x v="20"/>
    <n v="41"/>
    <s v="X (Nov 21)"/>
    <d v="2021-11-17T00:00:00"/>
    <n v="-1"/>
  </r>
  <r>
    <x v="172"/>
    <x v="9"/>
    <n v="0"/>
    <n v="0"/>
    <n v="0"/>
    <n v="0"/>
    <x v="423"/>
    <n v="0"/>
    <n v="0"/>
    <n v="0"/>
    <n v="0"/>
    <x v="32"/>
    <n v="223"/>
    <s v="K (May 22)"/>
    <d v="2022-05-18T00:00:00"/>
    <n v="-1"/>
  </r>
  <r>
    <x v="172"/>
    <x v="14"/>
    <n v="0"/>
    <n v="0"/>
    <n v="0"/>
    <n v="0"/>
    <x v="1243"/>
    <n v="0"/>
    <n v="0"/>
    <n v="0"/>
    <n v="0"/>
    <x v="60"/>
    <n v="76"/>
    <s v="Z (Dec 21)"/>
    <d v="2021-12-22T00:00:00"/>
    <n v="-1"/>
  </r>
  <r>
    <x v="172"/>
    <x v="8"/>
    <n v="0"/>
    <n v="0"/>
    <n v="0"/>
    <n v="0"/>
    <x v="1237"/>
    <n v="0"/>
    <n v="0"/>
    <n v="0"/>
    <n v="0"/>
    <x v="22"/>
    <n v="251"/>
    <s v="M (Jun 22)"/>
    <d v="2022-06-15T00:00:00"/>
    <n v="-1"/>
  </r>
  <r>
    <x v="172"/>
    <x v="11"/>
    <n v="0"/>
    <n v="0"/>
    <n v="0"/>
    <n v="0"/>
    <x v="1244"/>
    <n v="0"/>
    <n v="0"/>
    <n v="0"/>
    <n v="0"/>
    <x v="162"/>
    <n v="159"/>
    <s v="H (Mar 22)"/>
    <d v="2022-03-15T00:00:00"/>
    <n v="-1"/>
  </r>
  <r>
    <x v="172"/>
    <x v="12"/>
    <n v="0"/>
    <n v="0"/>
    <n v="0"/>
    <n v="0"/>
    <x v="1245"/>
    <n v="0"/>
    <n v="0"/>
    <n v="0"/>
    <n v="0"/>
    <x v="5"/>
    <n v="132"/>
    <s v="G (Feb 22)"/>
    <d v="2022-02-16T00:00:00"/>
    <n v="-1"/>
  </r>
  <r>
    <x v="172"/>
    <x v="10"/>
    <n v="0"/>
    <n v="0"/>
    <n v="0"/>
    <n v="0"/>
    <x v="423"/>
    <n v="0"/>
    <n v="0"/>
    <n v="0"/>
    <n v="0"/>
    <x v="1"/>
    <n v="195"/>
    <s v="J (Apr 22)"/>
    <d v="2022-04-20T00:00:00"/>
    <n v="-1"/>
  </r>
  <r>
    <x v="172"/>
    <x v="16"/>
    <n v="0"/>
    <n v="0"/>
    <n v="0"/>
    <n v="0"/>
    <x v="1246"/>
    <n v="0"/>
    <n v="0"/>
    <n v="0"/>
    <n v="0"/>
    <x v="62"/>
    <n v="13"/>
    <s v="V (Oct 21)"/>
    <d v="2021-10-20T00:00:00"/>
    <n v="-1"/>
  </r>
  <r>
    <x v="172"/>
    <x v="13"/>
    <n v="0"/>
    <n v="0"/>
    <n v="0"/>
    <n v="0"/>
    <x v="1247"/>
    <n v="0"/>
    <n v="0"/>
    <n v="0"/>
    <n v="0"/>
    <x v="7"/>
    <n v="104"/>
    <s v="F (Jan 22)"/>
    <d v="2022-01-19T00:00:00"/>
    <n v="-1"/>
  </r>
  <r>
    <x v="173"/>
    <x v="12"/>
    <n v="0"/>
    <n v="0"/>
    <n v="0"/>
    <n v="0"/>
    <x v="1248"/>
    <n v="0"/>
    <n v="0"/>
    <n v="0"/>
    <n v="0"/>
    <x v="17"/>
    <n v="133"/>
    <s v="G (Feb 22)"/>
    <d v="2022-02-16T00:00:00"/>
    <n v="-1"/>
  </r>
  <r>
    <x v="173"/>
    <x v="10"/>
    <n v="0"/>
    <n v="0"/>
    <n v="0"/>
    <n v="0"/>
    <x v="426"/>
    <n v="0"/>
    <n v="0"/>
    <n v="0"/>
    <n v="0"/>
    <x v="13"/>
    <n v="196"/>
    <s v="J (Apr 22)"/>
    <d v="2022-04-20T00:00:00"/>
    <n v="-1"/>
  </r>
  <r>
    <x v="173"/>
    <x v="16"/>
    <n v="0"/>
    <n v="0"/>
    <n v="0"/>
    <n v="0"/>
    <x v="1249"/>
    <n v="0"/>
    <n v="0"/>
    <n v="0"/>
    <n v="0"/>
    <x v="65"/>
    <n v="14"/>
    <s v="V (Oct 21)"/>
    <d v="2021-10-20T00:00:00"/>
    <n v="-1"/>
  </r>
  <r>
    <x v="173"/>
    <x v="13"/>
    <n v="0"/>
    <n v="0"/>
    <n v="0"/>
    <n v="0"/>
    <x v="1250"/>
    <n v="0"/>
    <n v="0"/>
    <n v="0"/>
    <n v="0"/>
    <x v="10"/>
    <n v="105"/>
    <s v="F (Jan 22)"/>
    <d v="2022-01-19T00:00:00"/>
    <n v="-1"/>
  </r>
  <r>
    <x v="173"/>
    <x v="15"/>
    <n v="0"/>
    <n v="0"/>
    <n v="0"/>
    <n v="0"/>
    <x v="1251"/>
    <n v="0"/>
    <n v="0"/>
    <n v="0"/>
    <n v="0"/>
    <x v="31"/>
    <n v="42"/>
    <s v="X (Nov 21)"/>
    <d v="2021-11-17T00:00:00"/>
    <n v="-1"/>
  </r>
  <r>
    <x v="173"/>
    <x v="9"/>
    <n v="0"/>
    <n v="0"/>
    <n v="0"/>
    <n v="0"/>
    <x v="1252"/>
    <n v="0"/>
    <n v="0"/>
    <n v="0"/>
    <n v="0"/>
    <x v="38"/>
    <n v="224"/>
    <s v="K (May 22)"/>
    <d v="2022-05-18T00:00:00"/>
    <n v="-1"/>
  </r>
  <r>
    <x v="173"/>
    <x v="14"/>
    <n v="0"/>
    <n v="0"/>
    <n v="0"/>
    <n v="0"/>
    <x v="1253"/>
    <n v="0"/>
    <n v="0"/>
    <n v="0"/>
    <n v="0"/>
    <x v="63"/>
    <n v="77"/>
    <s v="Z (Dec 21)"/>
    <d v="2021-12-22T00:00:00"/>
    <n v="-1"/>
  </r>
  <r>
    <x v="173"/>
    <x v="8"/>
    <n v="0"/>
    <n v="0"/>
    <n v="0"/>
    <n v="0"/>
    <x v="370"/>
    <n v="0"/>
    <n v="0"/>
    <n v="0"/>
    <n v="0"/>
    <x v="33"/>
    <n v="252"/>
    <s v="M (Jun 22)"/>
    <d v="2022-06-15T00:00:00"/>
    <n v="-1"/>
  </r>
  <r>
    <x v="173"/>
    <x v="11"/>
    <n v="0"/>
    <n v="0"/>
    <n v="0"/>
    <n v="0"/>
    <x v="1254"/>
    <n v="0"/>
    <n v="0"/>
    <n v="0"/>
    <n v="0"/>
    <x v="172"/>
    <n v="160"/>
    <s v="H (Mar 22)"/>
    <d v="2022-03-15T00:00:00"/>
    <n v="-1"/>
  </r>
  <r>
    <x v="174"/>
    <x v="15"/>
    <n v="0"/>
    <n v="0"/>
    <n v="0"/>
    <n v="0"/>
    <x v="1255"/>
    <n v="0"/>
    <n v="0"/>
    <n v="0"/>
    <n v="0"/>
    <x v="37"/>
    <n v="43"/>
    <s v="X (Nov 21)"/>
    <d v="2021-11-17T00:00:00"/>
    <n v="-1"/>
  </r>
  <r>
    <x v="174"/>
    <x v="9"/>
    <n v="0"/>
    <n v="0"/>
    <n v="0"/>
    <n v="0"/>
    <x v="370"/>
    <n v="0"/>
    <n v="0"/>
    <n v="0"/>
    <n v="0"/>
    <x v="50"/>
    <n v="225"/>
    <s v="K (May 22)"/>
    <d v="2022-05-18T00:00:00"/>
    <n v="-1"/>
  </r>
  <r>
    <x v="174"/>
    <x v="14"/>
    <n v="0"/>
    <n v="0"/>
    <n v="0"/>
    <n v="0"/>
    <x v="1256"/>
    <n v="0"/>
    <n v="0"/>
    <n v="0"/>
    <n v="0"/>
    <x v="78"/>
    <n v="78"/>
    <s v="Z (Dec 21)"/>
    <d v="2021-12-22T00:00:00"/>
    <n v="-1"/>
  </r>
  <r>
    <x v="174"/>
    <x v="8"/>
    <n v="0"/>
    <n v="0"/>
    <n v="0"/>
    <n v="0"/>
    <x v="370"/>
    <n v="0"/>
    <n v="0"/>
    <n v="0"/>
    <n v="0"/>
    <x v="39"/>
    <n v="253"/>
    <s v="M (Jun 22)"/>
    <d v="2022-06-15T00:00:00"/>
    <n v="-1"/>
  </r>
  <r>
    <x v="174"/>
    <x v="11"/>
    <n v="0"/>
    <n v="0"/>
    <n v="0"/>
    <n v="0"/>
    <x v="1257"/>
    <n v="0"/>
    <n v="0"/>
    <n v="0"/>
    <n v="0"/>
    <x v="0"/>
    <n v="161"/>
    <s v="H (Mar 22)"/>
    <d v="2022-03-15T00:00:00"/>
    <n v="-1"/>
  </r>
  <r>
    <x v="174"/>
    <x v="12"/>
    <n v="0"/>
    <n v="0"/>
    <n v="0"/>
    <n v="0"/>
    <x v="1258"/>
    <n v="0"/>
    <n v="0"/>
    <n v="0"/>
    <n v="0"/>
    <x v="23"/>
    <n v="134"/>
    <s v="G (Feb 22)"/>
    <d v="2022-02-16T00:00:00"/>
    <n v="-1"/>
  </r>
  <r>
    <x v="174"/>
    <x v="10"/>
    <n v="0"/>
    <n v="0"/>
    <n v="0"/>
    <n v="0"/>
    <x v="1259"/>
    <n v="0"/>
    <n v="0"/>
    <n v="0"/>
    <n v="0"/>
    <x v="19"/>
    <n v="197"/>
    <s v="J (Apr 22)"/>
    <d v="2022-04-20T00:00:00"/>
    <n v="-1"/>
  </r>
  <r>
    <x v="174"/>
    <x v="16"/>
    <n v="0"/>
    <n v="0"/>
    <n v="0"/>
    <n v="0"/>
    <x v="1260"/>
    <n v="0"/>
    <n v="0"/>
    <n v="0"/>
    <n v="0"/>
    <x v="80"/>
    <n v="15"/>
    <s v="V (Oct 21)"/>
    <d v="2021-10-20T00:00:00"/>
    <n v="-1"/>
  </r>
  <r>
    <x v="174"/>
    <x v="13"/>
    <n v="0"/>
    <n v="0"/>
    <n v="0"/>
    <n v="0"/>
    <x v="1261"/>
    <n v="0"/>
    <n v="0"/>
    <n v="0"/>
    <n v="0"/>
    <x v="25"/>
    <n v="106"/>
    <s v="F (Jan 22)"/>
    <d v="2022-01-19T00:00:00"/>
    <n v="-1"/>
  </r>
  <r>
    <x v="175"/>
    <x v="12"/>
    <n v="0"/>
    <n v="0"/>
    <n v="0"/>
    <n v="0"/>
    <x v="1262"/>
    <n v="0"/>
    <n v="0"/>
    <n v="0"/>
    <n v="0"/>
    <x v="34"/>
    <n v="135"/>
    <s v="G (Feb 22)"/>
    <d v="2022-02-16T00:00:00"/>
    <n v="-1"/>
  </r>
  <r>
    <x v="175"/>
    <x v="10"/>
    <n v="0"/>
    <n v="0"/>
    <n v="0"/>
    <n v="0"/>
    <x v="1263"/>
    <n v="0"/>
    <n v="0"/>
    <n v="0"/>
    <n v="0"/>
    <x v="30"/>
    <n v="198"/>
    <s v="J (Apr 22)"/>
    <d v="2022-04-20T00:00:00"/>
    <n v="-1"/>
  </r>
  <r>
    <x v="175"/>
    <x v="16"/>
    <n v="0"/>
    <n v="0"/>
    <n v="0"/>
    <n v="0"/>
    <x v="1264"/>
    <n v="0"/>
    <n v="0"/>
    <n v="0"/>
    <n v="0"/>
    <x v="83"/>
    <n v="16"/>
    <s v="V (Oct 21)"/>
    <d v="2021-10-20T00:00:00"/>
    <n v="-1"/>
  </r>
  <r>
    <x v="175"/>
    <x v="13"/>
    <n v="0"/>
    <n v="0"/>
    <n v="0"/>
    <n v="0"/>
    <x v="1265"/>
    <n v="0"/>
    <n v="0"/>
    <n v="0"/>
    <n v="0"/>
    <x v="28"/>
    <n v="107"/>
    <s v="F (Jan 22)"/>
    <d v="2022-01-19T00:00:00"/>
    <n v="-1"/>
  </r>
  <r>
    <x v="175"/>
    <x v="15"/>
    <n v="0"/>
    <n v="0"/>
    <n v="0"/>
    <n v="0"/>
    <x v="1266"/>
    <n v="0"/>
    <n v="0"/>
    <n v="0"/>
    <n v="0"/>
    <x v="49"/>
    <n v="44"/>
    <s v="X (Nov 21)"/>
    <d v="2021-11-17T00:00:00"/>
    <n v="-1"/>
  </r>
  <r>
    <x v="175"/>
    <x v="9"/>
    <n v="0"/>
    <n v="0"/>
    <n v="0"/>
    <n v="0"/>
    <x v="414"/>
    <n v="0"/>
    <n v="0"/>
    <n v="0"/>
    <n v="0"/>
    <x v="56"/>
    <n v="226"/>
    <s v="K (May 22)"/>
    <d v="2022-05-18T00:00:00"/>
    <n v="-1"/>
  </r>
  <r>
    <x v="175"/>
    <x v="14"/>
    <n v="0"/>
    <n v="0"/>
    <n v="0"/>
    <n v="0"/>
    <x v="1267"/>
    <n v="0"/>
    <n v="0"/>
    <n v="0"/>
    <n v="0"/>
    <x v="81"/>
    <n v="79"/>
    <s v="Z (Dec 21)"/>
    <d v="2021-12-22T00:00:00"/>
    <n v="-1"/>
  </r>
  <r>
    <x v="175"/>
    <x v="8"/>
    <n v="0"/>
    <n v="0"/>
    <n v="0"/>
    <n v="0"/>
    <x v="358"/>
    <n v="0"/>
    <n v="0"/>
    <n v="0"/>
    <n v="0"/>
    <x v="51"/>
    <n v="254"/>
    <s v="M (Jun 22)"/>
    <d v="2022-06-15T00:00:00"/>
    <n v="-1"/>
  </r>
  <r>
    <x v="175"/>
    <x v="11"/>
    <n v="0"/>
    <n v="0"/>
    <n v="0"/>
    <n v="0"/>
    <x v="1268"/>
    <n v="0"/>
    <n v="0"/>
    <n v="0"/>
    <n v="0"/>
    <x v="12"/>
    <n v="162"/>
    <s v="H (Mar 22)"/>
    <d v="2022-03-15T00:00:00"/>
    <n v="-1"/>
  </r>
  <r>
    <x v="176"/>
    <x v="15"/>
    <n v="0"/>
    <n v="0"/>
    <n v="0"/>
    <n v="0"/>
    <x v="1269"/>
    <n v="0"/>
    <n v="0"/>
    <n v="0"/>
    <n v="0"/>
    <x v="55"/>
    <n v="47"/>
    <s v="X (Nov 21)"/>
    <d v="2021-11-17T00:00:00"/>
    <n v="-1"/>
  </r>
  <r>
    <x v="176"/>
    <x v="9"/>
    <n v="0"/>
    <n v="0"/>
    <n v="0"/>
    <n v="0"/>
    <x v="438"/>
    <n v="0"/>
    <n v="0"/>
    <n v="0"/>
    <n v="0"/>
    <x v="68"/>
    <n v="229"/>
    <s v="K (May 22)"/>
    <d v="2022-05-18T00:00:00"/>
    <n v="-1"/>
  </r>
  <r>
    <x v="176"/>
    <x v="14"/>
    <n v="0"/>
    <n v="0"/>
    <n v="0"/>
    <n v="0"/>
    <x v="1270"/>
    <n v="0"/>
    <n v="0"/>
    <n v="0"/>
    <n v="0"/>
    <x v="96"/>
    <n v="82"/>
    <s v="Z (Dec 21)"/>
    <d v="2021-12-22T00:00:00"/>
    <n v="-1"/>
  </r>
  <r>
    <x v="176"/>
    <x v="8"/>
    <n v="0"/>
    <n v="0"/>
    <n v="0"/>
    <n v="0"/>
    <x v="438"/>
    <n v="0"/>
    <n v="0"/>
    <n v="0"/>
    <n v="0"/>
    <x v="57"/>
    <n v="257"/>
    <s v="M (Jun 22)"/>
    <d v="2022-06-15T00:00:00"/>
    <n v="-1"/>
  </r>
  <r>
    <x v="176"/>
    <x v="11"/>
    <n v="0"/>
    <n v="0"/>
    <n v="0"/>
    <n v="0"/>
    <x v="1271"/>
    <n v="0"/>
    <n v="0"/>
    <n v="0"/>
    <n v="0"/>
    <x v="18"/>
    <n v="165"/>
    <s v="H (Mar 22)"/>
    <d v="2022-03-15T00:00:00"/>
    <n v="-1"/>
  </r>
  <r>
    <x v="176"/>
    <x v="12"/>
    <n v="0"/>
    <n v="0"/>
    <n v="0"/>
    <n v="0"/>
    <x v="1272"/>
    <n v="0"/>
    <n v="0"/>
    <n v="0"/>
    <n v="0"/>
    <x v="40"/>
    <n v="138"/>
    <s v="G (Feb 22)"/>
    <d v="2022-02-16T00:00:00"/>
    <n v="-1"/>
  </r>
  <r>
    <x v="176"/>
    <x v="10"/>
    <n v="0"/>
    <n v="0"/>
    <n v="0"/>
    <n v="0"/>
    <x v="1273"/>
    <n v="0"/>
    <n v="0"/>
    <n v="0"/>
    <n v="0"/>
    <x v="36"/>
    <n v="201"/>
    <s v="J (Apr 22)"/>
    <d v="2022-04-20T00:00:00"/>
    <n v="-1"/>
  </r>
  <r>
    <x v="176"/>
    <x v="16"/>
    <n v="0"/>
    <n v="0"/>
    <n v="0"/>
    <n v="0"/>
    <x v="1274"/>
    <n v="0"/>
    <n v="0"/>
    <n v="0"/>
    <n v="0"/>
    <x v="98"/>
    <n v="19"/>
    <s v="V (Oct 21)"/>
    <d v="2021-10-20T00:00:00"/>
    <n v="-1"/>
  </r>
  <r>
    <x v="176"/>
    <x v="13"/>
    <n v="0"/>
    <n v="0"/>
    <n v="0"/>
    <n v="0"/>
    <x v="1275"/>
    <n v="0"/>
    <n v="0"/>
    <n v="0"/>
    <n v="0"/>
    <x v="43"/>
    <n v="110"/>
    <s v="F (Jan 22)"/>
    <d v="2022-01-19T00:00:00"/>
    <n v="-1"/>
  </r>
  <r>
    <x v="177"/>
    <x v="12"/>
    <n v="0"/>
    <n v="0"/>
    <n v="0"/>
    <n v="0"/>
    <x v="1276"/>
    <n v="0"/>
    <n v="0"/>
    <n v="0"/>
    <n v="0"/>
    <x v="52"/>
    <n v="139"/>
    <s v="G (Feb 22)"/>
    <d v="2022-02-16T00:00:00"/>
    <n v="-1"/>
  </r>
  <r>
    <x v="177"/>
    <x v="10"/>
    <n v="0"/>
    <n v="0"/>
    <n v="0"/>
    <n v="0"/>
    <x v="1277"/>
    <n v="0"/>
    <n v="0"/>
    <n v="0"/>
    <n v="0"/>
    <x v="48"/>
    <n v="202"/>
    <s v="J (Apr 22)"/>
    <d v="2022-04-20T00:00:00"/>
    <n v="-1"/>
  </r>
  <r>
    <x v="177"/>
    <x v="16"/>
    <n v="0"/>
    <n v="0"/>
    <n v="0"/>
    <n v="0"/>
    <x v="1278"/>
    <n v="0"/>
    <n v="0"/>
    <n v="0"/>
    <n v="0"/>
    <x v="101"/>
    <n v="20"/>
    <s v="V (Oct 21)"/>
    <d v="2021-10-20T00:00:00"/>
    <n v="-1"/>
  </r>
  <r>
    <x v="177"/>
    <x v="13"/>
    <n v="0"/>
    <n v="0"/>
    <n v="0"/>
    <n v="0"/>
    <x v="1279"/>
    <n v="0"/>
    <n v="0"/>
    <n v="0"/>
    <n v="0"/>
    <x v="46"/>
    <n v="111"/>
    <s v="F (Jan 22)"/>
    <d v="2022-01-19T00:00:00"/>
    <n v="-1"/>
  </r>
  <r>
    <x v="177"/>
    <x v="15"/>
    <n v="0"/>
    <n v="0"/>
    <n v="0"/>
    <n v="0"/>
    <x v="1280"/>
    <n v="0"/>
    <n v="0"/>
    <n v="0"/>
    <n v="0"/>
    <x v="67"/>
    <n v="48"/>
    <s v="X (Nov 21)"/>
    <d v="2021-11-17T00:00:00"/>
    <n v="-1"/>
  </r>
  <r>
    <x v="177"/>
    <x v="9"/>
    <n v="0"/>
    <n v="0"/>
    <n v="0"/>
    <n v="0"/>
    <x v="804"/>
    <n v="0"/>
    <n v="0"/>
    <n v="0"/>
    <n v="0"/>
    <x v="74"/>
    <n v="230"/>
    <s v="K (May 22)"/>
    <d v="2022-05-18T00:00:00"/>
    <n v="-1"/>
  </r>
  <r>
    <x v="177"/>
    <x v="14"/>
    <n v="0"/>
    <n v="0"/>
    <n v="0"/>
    <n v="0"/>
    <x v="1281"/>
    <n v="0"/>
    <n v="0"/>
    <n v="0"/>
    <n v="0"/>
    <x v="99"/>
    <n v="83"/>
    <s v="Z (Dec 21)"/>
    <d v="2021-12-22T00:00:00"/>
    <n v="-1"/>
  </r>
  <r>
    <x v="177"/>
    <x v="8"/>
    <n v="0"/>
    <n v="0"/>
    <n v="0"/>
    <n v="0"/>
    <x v="378"/>
    <n v="0"/>
    <n v="0"/>
    <n v="0"/>
    <n v="0"/>
    <x v="69"/>
    <n v="258"/>
    <s v="M (Jun 22)"/>
    <d v="2022-06-15T00:00:00"/>
    <n v="-1"/>
  </r>
  <r>
    <x v="177"/>
    <x v="11"/>
    <n v="0"/>
    <n v="0"/>
    <n v="0"/>
    <n v="0"/>
    <x v="1282"/>
    <n v="0"/>
    <n v="0"/>
    <n v="0"/>
    <n v="0"/>
    <x v="35"/>
    <n v="166"/>
    <s v="H (Mar 22)"/>
    <d v="2022-03-15T00:00:00"/>
    <n v="-1"/>
  </r>
  <r>
    <x v="178"/>
    <x v="15"/>
    <n v="0"/>
    <n v="0"/>
    <n v="0"/>
    <n v="0"/>
    <x v="1283"/>
    <n v="0"/>
    <n v="0"/>
    <n v="0"/>
    <n v="0"/>
    <x v="73"/>
    <n v="49"/>
    <s v="X (Nov 21)"/>
    <d v="2021-11-17T00:00:00"/>
    <n v="-1"/>
  </r>
  <r>
    <x v="178"/>
    <x v="9"/>
    <n v="0"/>
    <n v="0"/>
    <n v="0"/>
    <n v="0"/>
    <x v="370"/>
    <n v="0"/>
    <n v="0"/>
    <n v="0"/>
    <n v="0"/>
    <x v="86"/>
    <n v="231"/>
    <s v="K (May 22)"/>
    <d v="2022-05-18T00:00:00"/>
    <n v="-1"/>
  </r>
  <r>
    <x v="178"/>
    <x v="14"/>
    <n v="0"/>
    <n v="0"/>
    <n v="0"/>
    <n v="0"/>
    <x v="1284"/>
    <n v="0"/>
    <n v="0"/>
    <n v="0"/>
    <n v="0"/>
    <x v="114"/>
    <n v="84"/>
    <s v="Z (Dec 21)"/>
    <d v="2021-12-22T00:00:00"/>
    <n v="-1"/>
  </r>
  <r>
    <x v="178"/>
    <x v="8"/>
    <n v="0"/>
    <n v="0"/>
    <n v="0"/>
    <n v="0"/>
    <x v="655"/>
    <n v="0"/>
    <n v="0"/>
    <n v="0"/>
    <n v="0"/>
    <x v="75"/>
    <n v="259"/>
    <s v="M (Jun 22)"/>
    <d v="2022-06-15T00:00:00"/>
    <n v="-1"/>
  </r>
  <r>
    <x v="178"/>
    <x v="11"/>
    <n v="0"/>
    <n v="0"/>
    <n v="0"/>
    <n v="0"/>
    <x v="1285"/>
    <n v="0"/>
    <n v="0"/>
    <n v="0"/>
    <n v="0"/>
    <x v="41"/>
    <n v="167"/>
    <s v="H (Mar 22)"/>
    <d v="2022-03-15T00:00:00"/>
    <n v="-1"/>
  </r>
  <r>
    <x v="178"/>
    <x v="12"/>
    <n v="0"/>
    <n v="0"/>
    <n v="0"/>
    <n v="0"/>
    <x v="1286"/>
    <n v="0"/>
    <n v="0"/>
    <n v="0"/>
    <n v="0"/>
    <x v="58"/>
    <n v="140"/>
    <s v="G (Feb 22)"/>
    <d v="2022-02-16T00:00:00"/>
    <n v="-1"/>
  </r>
  <r>
    <x v="178"/>
    <x v="10"/>
    <n v="0"/>
    <n v="0"/>
    <n v="0"/>
    <n v="0"/>
    <x v="378"/>
    <n v="0"/>
    <n v="0"/>
    <n v="0"/>
    <n v="0"/>
    <x v="54"/>
    <n v="203"/>
    <s v="J (Apr 22)"/>
    <d v="2022-04-20T00:00:00"/>
    <n v="-1"/>
  </r>
  <r>
    <x v="178"/>
    <x v="16"/>
    <n v="0"/>
    <n v="0"/>
    <n v="0"/>
    <n v="0"/>
    <x v="1287"/>
    <n v="0"/>
    <n v="0"/>
    <n v="0"/>
    <n v="0"/>
    <x v="116"/>
    <n v="21"/>
    <s v="V (Oct 21)"/>
    <d v="2021-10-20T00:00:00"/>
    <n v="-1"/>
  </r>
  <r>
    <x v="178"/>
    <x v="13"/>
    <n v="0"/>
    <n v="0"/>
    <n v="0"/>
    <n v="0"/>
    <x v="1288"/>
    <n v="0"/>
    <n v="0"/>
    <n v="0"/>
    <n v="0"/>
    <x v="61"/>
    <n v="112"/>
    <s v="F (Jan 22)"/>
    <d v="2022-01-19T00:00:00"/>
    <n v="-1"/>
  </r>
  <r>
    <x v="179"/>
    <x v="12"/>
    <n v="0"/>
    <n v="0"/>
    <n v="0"/>
    <n v="0"/>
    <x v="1289"/>
    <n v="0"/>
    <n v="0"/>
    <n v="0"/>
    <n v="0"/>
    <x v="70"/>
    <n v="141"/>
    <s v="G (Feb 22)"/>
    <d v="2022-02-16T00:00:00"/>
    <n v="-1"/>
  </r>
  <r>
    <x v="179"/>
    <x v="10"/>
    <n v="0"/>
    <n v="0"/>
    <n v="0"/>
    <n v="0"/>
    <x v="1290"/>
    <n v="0"/>
    <n v="0"/>
    <n v="0"/>
    <n v="0"/>
    <x v="66"/>
    <n v="204"/>
    <s v="J (Apr 22)"/>
    <d v="2022-04-20T00:00:00"/>
    <n v="-1"/>
  </r>
  <r>
    <x v="179"/>
    <x v="16"/>
    <n v="0"/>
    <n v="0"/>
    <n v="0"/>
    <n v="0"/>
    <x v="1291"/>
    <n v="0"/>
    <n v="0"/>
    <n v="0"/>
    <n v="0"/>
    <x v="119"/>
    <n v="22"/>
    <s v="V (Oct 21)"/>
    <d v="2021-10-20T00:00:00"/>
    <n v="-1"/>
  </r>
  <r>
    <x v="179"/>
    <x v="13"/>
    <n v="0"/>
    <n v="0"/>
    <n v="0"/>
    <n v="0"/>
    <x v="1292"/>
    <n v="0"/>
    <n v="0"/>
    <n v="0"/>
    <n v="0"/>
    <x v="64"/>
    <n v="113"/>
    <s v="F (Jan 22)"/>
    <d v="2022-01-19T00:00:00"/>
    <n v="-1"/>
  </r>
  <r>
    <x v="179"/>
    <x v="15"/>
    <n v="0"/>
    <n v="0"/>
    <n v="0"/>
    <n v="0"/>
    <x v="1293"/>
    <n v="0"/>
    <n v="0"/>
    <n v="0"/>
    <n v="0"/>
    <x v="85"/>
    <n v="50"/>
    <s v="X (Nov 21)"/>
    <d v="2021-11-17T00:00:00"/>
    <n v="-1"/>
  </r>
  <r>
    <x v="179"/>
    <x v="9"/>
    <n v="0"/>
    <n v="0"/>
    <n v="0"/>
    <n v="0"/>
    <x v="1252"/>
    <n v="0"/>
    <n v="0"/>
    <n v="0"/>
    <n v="0"/>
    <x v="92"/>
    <n v="232"/>
    <s v="K (May 22)"/>
    <d v="2022-05-18T00:00:00"/>
    <n v="-1"/>
  </r>
  <r>
    <x v="179"/>
    <x v="14"/>
    <n v="0"/>
    <n v="0"/>
    <n v="0"/>
    <n v="0"/>
    <x v="1294"/>
    <n v="0"/>
    <n v="0"/>
    <n v="0"/>
    <n v="0"/>
    <x v="117"/>
    <n v="85"/>
    <s v="Z (Dec 21)"/>
    <d v="2021-12-22T00:00:00"/>
    <n v="-1"/>
  </r>
  <r>
    <x v="179"/>
    <x v="8"/>
    <n v="0"/>
    <n v="0"/>
    <n v="0"/>
    <n v="0"/>
    <x v="655"/>
    <n v="0"/>
    <n v="0"/>
    <n v="0"/>
    <n v="0"/>
    <x v="87"/>
    <n v="260"/>
    <s v="M (Jun 22)"/>
    <d v="2022-06-15T00:00:00"/>
    <n v="-1"/>
  </r>
  <r>
    <x v="179"/>
    <x v="11"/>
    <n v="0"/>
    <n v="0"/>
    <n v="0"/>
    <n v="0"/>
    <x v="1295"/>
    <n v="0"/>
    <n v="0"/>
    <n v="0"/>
    <n v="0"/>
    <x v="53"/>
    <n v="168"/>
    <s v="H (Mar 22)"/>
    <d v="2022-03-15T00:00:00"/>
    <n v="-1"/>
  </r>
  <r>
    <x v="180"/>
    <x v="15"/>
    <n v="0"/>
    <n v="0"/>
    <n v="0"/>
    <n v="0"/>
    <x v="1296"/>
    <n v="0"/>
    <n v="0"/>
    <n v="0"/>
    <n v="0"/>
    <x v="91"/>
    <n v="51"/>
    <s v="X (Nov 21)"/>
    <d v="2021-11-17T00:00:00"/>
    <n v="-1"/>
  </r>
  <r>
    <x v="180"/>
    <x v="9"/>
    <n v="0"/>
    <n v="0"/>
    <n v="0"/>
    <n v="0"/>
    <x v="1175"/>
    <n v="0"/>
    <n v="0"/>
    <n v="0"/>
    <n v="0"/>
    <x v="104"/>
    <n v="233"/>
    <s v="K (May 22)"/>
    <d v="2022-05-18T00:00:00"/>
    <n v="-1"/>
  </r>
  <r>
    <x v="180"/>
    <x v="14"/>
    <n v="0"/>
    <n v="0"/>
    <n v="0"/>
    <n v="0"/>
    <x v="1297"/>
    <n v="0"/>
    <n v="0"/>
    <n v="0"/>
    <n v="0"/>
    <x v="131"/>
    <n v="86"/>
    <s v="Z (Dec 21)"/>
    <d v="2021-12-22T00:00:00"/>
    <n v="-1"/>
  </r>
  <r>
    <x v="180"/>
    <x v="8"/>
    <n v="0"/>
    <n v="0"/>
    <n v="0"/>
    <n v="0"/>
    <x v="1115"/>
    <n v="0"/>
    <n v="0"/>
    <n v="0"/>
    <n v="0"/>
    <x v="93"/>
    <n v="261"/>
    <s v="M (Jun 22)"/>
    <d v="2022-06-15T00:00:00"/>
    <n v="-1"/>
  </r>
  <r>
    <x v="180"/>
    <x v="11"/>
    <n v="0"/>
    <n v="0"/>
    <n v="0"/>
    <n v="0"/>
    <x v="1298"/>
    <n v="0"/>
    <n v="0"/>
    <n v="0"/>
    <n v="0"/>
    <x v="59"/>
    <n v="169"/>
    <s v="H (Mar 22)"/>
    <d v="2022-03-15T00:00:00"/>
    <n v="-1"/>
  </r>
  <r>
    <x v="180"/>
    <x v="12"/>
    <n v="0"/>
    <n v="0"/>
    <n v="0"/>
    <n v="0"/>
    <x v="1062"/>
    <n v="0"/>
    <n v="0"/>
    <n v="0"/>
    <n v="0"/>
    <x v="76"/>
    <n v="142"/>
    <s v="G (Feb 22)"/>
    <d v="2022-02-16T00:00:00"/>
    <n v="-1"/>
  </r>
  <r>
    <x v="180"/>
    <x v="10"/>
    <n v="0"/>
    <n v="0"/>
    <n v="0"/>
    <n v="0"/>
    <x v="1299"/>
    <n v="0"/>
    <n v="0"/>
    <n v="0"/>
    <n v="0"/>
    <x v="72"/>
    <n v="205"/>
    <s v="J (Apr 22)"/>
    <d v="2022-04-20T00:00:00"/>
    <n v="-1"/>
  </r>
  <r>
    <x v="180"/>
    <x v="16"/>
    <n v="0"/>
    <n v="0"/>
    <n v="0"/>
    <n v="0"/>
    <x v="1300"/>
    <n v="0"/>
    <n v="0"/>
    <n v="0"/>
    <n v="0"/>
    <x v="133"/>
    <n v="23"/>
    <s v="V (Oct 21)"/>
    <d v="2021-10-20T00:00:00"/>
    <n v="-1"/>
  </r>
  <r>
    <x v="180"/>
    <x v="13"/>
    <n v="0"/>
    <n v="0"/>
    <n v="0"/>
    <n v="0"/>
    <x v="1301"/>
    <n v="0"/>
    <n v="0"/>
    <n v="0"/>
    <n v="0"/>
    <x v="79"/>
    <n v="114"/>
    <s v="F (Jan 22)"/>
    <d v="2022-01-19T00:00:00"/>
    <n v="-1"/>
  </r>
  <r>
    <x v="181"/>
    <x v="12"/>
    <n v="0"/>
    <n v="0"/>
    <n v="0"/>
    <n v="0"/>
    <x v="1302"/>
    <n v="0"/>
    <n v="0"/>
    <n v="0"/>
    <n v="0"/>
    <x v="88"/>
    <n v="145"/>
    <s v="G (Feb 22)"/>
    <d v="2022-02-16T00:00:00"/>
    <n v="-1"/>
  </r>
  <r>
    <x v="181"/>
    <x v="10"/>
    <n v="0"/>
    <n v="0"/>
    <n v="0"/>
    <n v="0"/>
    <x v="1303"/>
    <n v="0"/>
    <n v="0"/>
    <n v="0"/>
    <n v="0"/>
    <x v="84"/>
    <n v="208"/>
    <s v="J (Apr 22)"/>
    <d v="2022-04-20T00:00:00"/>
    <n v="-1"/>
  </r>
  <r>
    <x v="181"/>
    <x v="16"/>
    <n v="0"/>
    <n v="0"/>
    <n v="0"/>
    <n v="0"/>
    <x v="1304"/>
    <n v="0"/>
    <n v="0"/>
    <n v="0"/>
    <n v="0"/>
    <x v="136"/>
    <n v="26"/>
    <s v="V (Oct 21)"/>
    <d v="2021-10-20T00:00:00"/>
    <n v="-1"/>
  </r>
  <r>
    <x v="181"/>
    <x v="13"/>
    <n v="0"/>
    <n v="0"/>
    <n v="0"/>
    <n v="0"/>
    <x v="1305"/>
    <n v="0"/>
    <n v="0"/>
    <n v="0"/>
    <n v="0"/>
    <x v="82"/>
    <n v="117"/>
    <s v="F (Jan 22)"/>
    <d v="2022-01-19T00:00:00"/>
    <n v="-1"/>
  </r>
  <r>
    <x v="181"/>
    <x v="15"/>
    <n v="0"/>
    <n v="0"/>
    <n v="0"/>
    <n v="0"/>
    <x v="1306"/>
    <n v="0"/>
    <n v="0"/>
    <n v="0"/>
    <n v="0"/>
    <x v="103"/>
    <n v="54"/>
    <s v="X (Nov 21)"/>
    <d v="2021-11-17T00:00:00"/>
    <n v="-1"/>
  </r>
  <r>
    <x v="181"/>
    <x v="9"/>
    <n v="0"/>
    <n v="0"/>
    <n v="0"/>
    <n v="0"/>
    <x v="1165"/>
    <n v="0"/>
    <n v="0"/>
    <n v="0"/>
    <n v="0"/>
    <x v="110"/>
    <n v="236"/>
    <s v="K (May 22)"/>
    <d v="2022-05-18T00:00:00"/>
    <n v="-1"/>
  </r>
  <r>
    <x v="181"/>
    <x v="14"/>
    <n v="0"/>
    <n v="0"/>
    <n v="0"/>
    <n v="0"/>
    <x v="1307"/>
    <n v="0"/>
    <n v="0"/>
    <n v="0"/>
    <n v="0"/>
    <x v="134"/>
    <n v="89"/>
    <s v="Z (Dec 21)"/>
    <d v="2021-12-22T00:00:00"/>
    <n v="-1"/>
  </r>
  <r>
    <x v="181"/>
    <x v="8"/>
    <n v="0"/>
    <n v="0"/>
    <n v="0"/>
    <n v="0"/>
    <x v="1165"/>
    <n v="0"/>
    <n v="0"/>
    <n v="0"/>
    <n v="0"/>
    <x v="105"/>
    <n v="264"/>
    <s v="M (Jun 22)"/>
    <d v="2022-06-15T00:00:00"/>
    <n v="-1"/>
  </r>
  <r>
    <x v="181"/>
    <x v="11"/>
    <n v="0"/>
    <n v="0"/>
    <n v="0"/>
    <n v="0"/>
    <x v="1308"/>
    <n v="0"/>
    <n v="0"/>
    <n v="0"/>
    <n v="0"/>
    <x v="71"/>
    <n v="172"/>
    <s v="H (Mar 22)"/>
    <d v="2022-03-15T00:00:00"/>
    <n v="-1"/>
  </r>
  <r>
    <x v="182"/>
    <x v="15"/>
    <n v="0"/>
    <n v="0"/>
    <n v="0"/>
    <n v="0"/>
    <x v="1309"/>
    <n v="0"/>
    <n v="0"/>
    <n v="0"/>
    <n v="0"/>
    <x v="109"/>
    <n v="55"/>
    <s v="X (Nov 21)"/>
    <d v="2021-11-17T00:00:00"/>
    <n v="-1"/>
  </r>
  <r>
    <x v="182"/>
    <x v="9"/>
    <n v="0"/>
    <n v="0"/>
    <n v="0"/>
    <n v="0"/>
    <x v="1175"/>
    <n v="0"/>
    <n v="0"/>
    <n v="0"/>
    <n v="0"/>
    <x v="122"/>
    <n v="237"/>
    <s v="K (May 22)"/>
    <d v="2022-05-18T00:00:00"/>
    <n v="-1"/>
  </r>
  <r>
    <x v="182"/>
    <x v="14"/>
    <n v="0"/>
    <n v="0"/>
    <n v="0"/>
    <n v="0"/>
    <x v="1310"/>
    <n v="0"/>
    <n v="0"/>
    <n v="0"/>
    <n v="0"/>
    <x v="148"/>
    <n v="90"/>
    <s v="Z (Dec 21)"/>
    <d v="2021-12-22T00:00:00"/>
    <n v="-1"/>
  </r>
  <r>
    <x v="182"/>
    <x v="8"/>
    <n v="0"/>
    <n v="0"/>
    <n v="0"/>
    <n v="0"/>
    <x v="1311"/>
    <n v="0"/>
    <n v="0"/>
    <n v="0"/>
    <n v="0"/>
    <x v="111"/>
    <n v="265"/>
    <s v="M (Jun 22)"/>
    <d v="2022-06-15T00:00:00"/>
    <n v="-1"/>
  </r>
  <r>
    <x v="182"/>
    <x v="11"/>
    <n v="0"/>
    <n v="0"/>
    <n v="0"/>
    <n v="0"/>
    <x v="1312"/>
    <n v="0"/>
    <n v="0"/>
    <n v="0"/>
    <n v="0"/>
    <x v="77"/>
    <n v="173"/>
    <s v="H (Mar 22)"/>
    <d v="2022-03-15T00:00:00"/>
    <n v="-1"/>
  </r>
  <r>
    <x v="182"/>
    <x v="12"/>
    <n v="0"/>
    <n v="0"/>
    <n v="0"/>
    <n v="0"/>
    <x v="1313"/>
    <n v="0"/>
    <n v="0"/>
    <n v="0"/>
    <n v="0"/>
    <x v="94"/>
    <n v="146"/>
    <s v="G (Feb 22)"/>
    <d v="2022-02-16T00:00:00"/>
    <n v="-1"/>
  </r>
  <r>
    <x v="182"/>
    <x v="10"/>
    <n v="0"/>
    <n v="0"/>
    <n v="0"/>
    <n v="0"/>
    <x v="1314"/>
    <n v="0"/>
    <n v="0"/>
    <n v="0"/>
    <n v="0"/>
    <x v="90"/>
    <n v="209"/>
    <s v="J (Apr 22)"/>
    <d v="2022-04-20T00:00:00"/>
    <n v="-1"/>
  </r>
  <r>
    <x v="182"/>
    <x v="16"/>
    <n v="0"/>
    <n v="0"/>
    <n v="0"/>
    <n v="0"/>
    <x v="1315"/>
    <n v="0"/>
    <n v="0"/>
    <n v="0"/>
    <n v="0"/>
    <x v="150"/>
    <n v="27"/>
    <s v="V (Oct 21)"/>
    <d v="2021-10-20T00:00:00"/>
    <n v="-1"/>
  </r>
  <r>
    <x v="182"/>
    <x v="13"/>
    <n v="0"/>
    <n v="0"/>
    <n v="0"/>
    <n v="0"/>
    <x v="1316"/>
    <n v="0"/>
    <n v="0"/>
    <n v="0"/>
    <n v="0"/>
    <x v="97"/>
    <n v="118"/>
    <s v="F (Jan 22)"/>
    <d v="2022-01-19T00:00:00"/>
    <n v="-1"/>
  </r>
  <r>
    <x v="183"/>
    <x v="12"/>
    <n v="0"/>
    <n v="0"/>
    <n v="0"/>
    <n v="0"/>
    <x v="1317"/>
    <n v="0"/>
    <n v="0"/>
    <n v="0"/>
    <n v="0"/>
    <x v="106"/>
    <n v="147"/>
    <s v="G (Feb 22)"/>
    <d v="2022-02-16T00:00:00"/>
    <n v="-1"/>
  </r>
  <r>
    <x v="183"/>
    <x v="10"/>
    <n v="0"/>
    <n v="0"/>
    <n v="0"/>
    <n v="0"/>
    <x v="1318"/>
    <n v="0"/>
    <n v="0"/>
    <n v="0"/>
    <n v="0"/>
    <x v="102"/>
    <n v="210"/>
    <s v="J (Apr 22)"/>
    <d v="2022-04-20T00:00:00"/>
    <n v="-1"/>
  </r>
  <r>
    <x v="183"/>
    <x v="16"/>
    <n v="0"/>
    <n v="0"/>
    <n v="0"/>
    <n v="0"/>
    <x v="1319"/>
    <n v="0"/>
    <n v="0"/>
    <n v="0"/>
    <n v="0"/>
    <x v="153"/>
    <n v="28"/>
    <s v="V (Oct 21)"/>
    <d v="2021-10-20T00:00:00"/>
    <n v="-1"/>
  </r>
  <r>
    <x v="183"/>
    <x v="13"/>
    <n v="0"/>
    <n v="0"/>
    <n v="0"/>
    <n v="0"/>
    <x v="1320"/>
    <n v="0"/>
    <n v="0"/>
    <n v="0"/>
    <n v="0"/>
    <x v="100"/>
    <n v="119"/>
    <s v="F (Jan 22)"/>
    <d v="2022-01-19T00:00:00"/>
    <n v="-1"/>
  </r>
  <r>
    <x v="183"/>
    <x v="15"/>
    <n v="0"/>
    <n v="0"/>
    <n v="0"/>
    <n v="0"/>
    <x v="1321"/>
    <n v="0"/>
    <n v="0"/>
    <n v="0"/>
    <n v="0"/>
    <x v="121"/>
    <n v="56"/>
    <s v="X (Nov 21)"/>
    <d v="2021-11-17T00:00:00"/>
    <n v="-1"/>
  </r>
  <r>
    <x v="183"/>
    <x v="9"/>
    <n v="0"/>
    <n v="0"/>
    <n v="0"/>
    <n v="0"/>
    <x v="1080"/>
    <n v="0"/>
    <n v="0"/>
    <n v="0"/>
    <n v="0"/>
    <x v="128"/>
    <n v="238"/>
    <s v="K (May 22)"/>
    <d v="2022-05-18T00:00:00"/>
    <n v="-1"/>
  </r>
  <r>
    <x v="183"/>
    <x v="14"/>
    <n v="0"/>
    <n v="0"/>
    <n v="0"/>
    <n v="0"/>
    <x v="1322"/>
    <n v="0"/>
    <n v="0"/>
    <n v="0"/>
    <n v="0"/>
    <x v="151"/>
    <n v="91"/>
    <s v="Z (Dec 21)"/>
    <d v="2021-12-22T00:00:00"/>
    <n v="-1"/>
  </r>
  <r>
    <x v="183"/>
    <x v="8"/>
    <n v="0"/>
    <n v="0"/>
    <n v="0"/>
    <n v="0"/>
    <x v="666"/>
    <n v="0"/>
    <n v="0"/>
    <n v="0"/>
    <n v="0"/>
    <x v="123"/>
    <n v="266"/>
    <s v="M (Jun 22)"/>
    <d v="2022-06-15T00:00:00"/>
    <n v="-1"/>
  </r>
  <r>
    <x v="183"/>
    <x v="11"/>
    <n v="0"/>
    <n v="0"/>
    <n v="0"/>
    <n v="0"/>
    <x v="1323"/>
    <n v="0"/>
    <n v="0"/>
    <n v="0"/>
    <n v="0"/>
    <x v="89"/>
    <n v="174"/>
    <s v="H (Mar 22)"/>
    <d v="2022-03-15T00:00:00"/>
    <n v="-1"/>
  </r>
  <r>
    <x v="184"/>
    <x v="15"/>
    <n v="0"/>
    <n v="0"/>
    <n v="0"/>
    <n v="0"/>
    <x v="1324"/>
    <n v="0"/>
    <n v="0"/>
    <n v="0"/>
    <n v="0"/>
    <x v="127"/>
    <n v="57"/>
    <s v="X (Nov 21)"/>
    <d v="2021-11-17T00:00:00"/>
    <n v="-1"/>
  </r>
  <r>
    <x v="184"/>
    <x v="9"/>
    <n v="0"/>
    <n v="0"/>
    <n v="0"/>
    <n v="0"/>
    <x v="406"/>
    <n v="0"/>
    <n v="0"/>
    <n v="0"/>
    <n v="0"/>
    <x v="139"/>
    <n v="239"/>
    <s v="K (May 22)"/>
    <d v="2022-05-18T00:00:00"/>
    <n v="-1"/>
  </r>
  <r>
    <x v="184"/>
    <x v="14"/>
    <n v="0"/>
    <n v="0"/>
    <n v="0"/>
    <n v="0"/>
    <x v="1325"/>
    <n v="0"/>
    <n v="0"/>
    <n v="0"/>
    <n v="0"/>
    <x v="164"/>
    <n v="92"/>
    <s v="Z (Dec 21)"/>
    <d v="2021-12-22T00:00:00"/>
    <n v="-1"/>
  </r>
  <r>
    <x v="184"/>
    <x v="8"/>
    <n v="0"/>
    <n v="0"/>
    <n v="0"/>
    <n v="0"/>
    <x v="426"/>
    <n v="0"/>
    <n v="0"/>
    <n v="0"/>
    <n v="0"/>
    <x v="186"/>
    <n v="267"/>
    <s v="M (Jun 22)"/>
    <d v="2022-06-15T00:00:00"/>
    <n v="-1"/>
  </r>
  <r>
    <x v="184"/>
    <x v="11"/>
    <n v="0"/>
    <n v="0"/>
    <n v="0"/>
    <n v="0"/>
    <x v="1326"/>
    <n v="0"/>
    <n v="0"/>
    <n v="0"/>
    <n v="0"/>
    <x v="95"/>
    <n v="175"/>
    <s v="H (Mar 22)"/>
    <d v="2022-03-15T00:00:00"/>
    <n v="-1"/>
  </r>
  <r>
    <x v="184"/>
    <x v="12"/>
    <n v="0"/>
    <n v="0"/>
    <n v="0"/>
    <n v="0"/>
    <x v="1022"/>
    <n v="0"/>
    <n v="0"/>
    <n v="0"/>
    <n v="0"/>
    <x v="112"/>
    <n v="148"/>
    <s v="G (Feb 22)"/>
    <d v="2022-02-16T00:00:00"/>
    <n v="-1"/>
  </r>
  <r>
    <x v="184"/>
    <x v="10"/>
    <n v="0"/>
    <n v="0"/>
    <n v="0"/>
    <n v="0"/>
    <x v="694"/>
    <n v="0"/>
    <n v="0"/>
    <n v="0"/>
    <n v="0"/>
    <x v="108"/>
    <n v="211"/>
    <s v="J (Apr 22)"/>
    <d v="2022-04-20T00:00:00"/>
    <n v="-1"/>
  </r>
  <r>
    <x v="184"/>
    <x v="16"/>
    <n v="0"/>
    <n v="0"/>
    <n v="0"/>
    <n v="0"/>
    <x v="1327"/>
    <n v="0"/>
    <n v="0"/>
    <n v="0"/>
    <n v="0"/>
    <x v="166"/>
    <n v="29"/>
    <s v="V (Oct 21)"/>
    <d v="2021-10-20T00:00:00"/>
    <n v="-1"/>
  </r>
  <r>
    <x v="184"/>
    <x v="13"/>
    <n v="0"/>
    <n v="0"/>
    <n v="0"/>
    <n v="0"/>
    <x v="1328"/>
    <n v="0"/>
    <n v="0"/>
    <n v="0"/>
    <n v="0"/>
    <x v="115"/>
    <n v="120"/>
    <s v="F (Jan 22)"/>
    <d v="2022-01-19T00:00:00"/>
    <n v="-1"/>
  </r>
  <r>
    <x v="185"/>
    <x v="12"/>
    <n v="0"/>
    <n v="0"/>
    <n v="0"/>
    <n v="0"/>
    <x v="1329"/>
    <n v="0"/>
    <n v="0"/>
    <n v="0"/>
    <n v="0"/>
    <x v="124"/>
    <n v="149"/>
    <s v="G (Feb 22)"/>
    <d v="2022-02-16T00:00:00"/>
    <n v="-1"/>
  </r>
  <r>
    <x v="185"/>
    <x v="10"/>
    <n v="0"/>
    <n v="0"/>
    <n v="0"/>
    <n v="0"/>
    <x v="814"/>
    <n v="0"/>
    <n v="0"/>
    <n v="0"/>
    <n v="0"/>
    <x v="120"/>
    <n v="212"/>
    <s v="J (Apr 22)"/>
    <d v="2022-04-20T00:00:00"/>
    <n v="-1"/>
  </r>
  <r>
    <x v="185"/>
    <x v="16"/>
    <n v="0"/>
    <n v="0"/>
    <n v="0"/>
    <n v="0"/>
    <x v="1330"/>
    <n v="0"/>
    <n v="0"/>
    <n v="0"/>
    <n v="0"/>
    <x v="169"/>
    <n v="30"/>
    <s v="V (Oct 21)"/>
    <d v="2021-10-20T00:00:00"/>
    <n v="-1"/>
  </r>
  <r>
    <x v="185"/>
    <x v="13"/>
    <n v="0"/>
    <n v="0"/>
    <n v="0"/>
    <n v="0"/>
    <x v="1331"/>
    <n v="0"/>
    <n v="0"/>
    <n v="0"/>
    <n v="0"/>
    <x v="118"/>
    <n v="121"/>
    <s v="F (Jan 22)"/>
    <d v="2022-01-19T00:00:00"/>
    <n v="-1"/>
  </r>
  <r>
    <x v="185"/>
    <x v="15"/>
    <n v="0"/>
    <n v="0"/>
    <n v="0"/>
    <n v="0"/>
    <x v="1332"/>
    <n v="0"/>
    <n v="0"/>
    <n v="0"/>
    <n v="0"/>
    <x v="138"/>
    <n v="58"/>
    <s v="X (Nov 21)"/>
    <d v="2021-11-17T00:00:00"/>
    <n v="-1"/>
  </r>
  <r>
    <x v="185"/>
    <x v="9"/>
    <n v="0"/>
    <n v="0"/>
    <n v="0"/>
    <n v="0"/>
    <x v="358"/>
    <n v="0"/>
    <n v="0"/>
    <n v="0"/>
    <n v="0"/>
    <x v="144"/>
    <n v="240"/>
    <s v="K (May 22)"/>
    <d v="2022-05-18T00:00:00"/>
    <n v="-1"/>
  </r>
  <r>
    <x v="185"/>
    <x v="14"/>
    <n v="0"/>
    <n v="0"/>
    <n v="0"/>
    <n v="0"/>
    <x v="1333"/>
    <n v="0"/>
    <n v="0"/>
    <n v="0"/>
    <n v="0"/>
    <x v="167"/>
    <n v="93"/>
    <s v="Z (Dec 21)"/>
    <d v="2021-12-22T00:00:00"/>
    <n v="-1"/>
  </r>
  <r>
    <x v="185"/>
    <x v="8"/>
    <n v="0"/>
    <n v="0"/>
    <n v="0"/>
    <n v="0"/>
    <x v="358"/>
    <n v="0"/>
    <n v="0"/>
    <n v="0"/>
    <n v="0"/>
    <x v="187"/>
    <n v="268"/>
    <s v="M (Jun 22)"/>
    <d v="2022-06-15T00:00:00"/>
    <n v="-1"/>
  </r>
  <r>
    <x v="185"/>
    <x v="11"/>
    <n v="0"/>
    <n v="0"/>
    <n v="0"/>
    <n v="0"/>
    <x v="1334"/>
    <n v="0"/>
    <n v="0"/>
    <n v="0"/>
    <n v="0"/>
    <x v="107"/>
    <n v="176"/>
    <s v="H (Mar 22)"/>
    <d v="2022-03-15T00:00:00"/>
    <n v="-1"/>
  </r>
  <r>
    <x v="186"/>
    <x v="15"/>
    <n v="0"/>
    <n v="0"/>
    <n v="0"/>
    <n v="0"/>
    <x v="1335"/>
    <n v="0"/>
    <n v="0"/>
    <n v="0"/>
    <n v="0"/>
    <x v="143"/>
    <n v="61"/>
    <s v="X (Nov 21)"/>
    <d v="2021-11-17T00:00:00"/>
    <n v="-1"/>
  </r>
  <r>
    <x v="186"/>
    <x v="9"/>
    <n v="0"/>
    <n v="0"/>
    <n v="0"/>
    <n v="0"/>
    <x v="1080"/>
    <n v="0"/>
    <n v="0"/>
    <n v="0"/>
    <n v="0"/>
    <x v="155"/>
    <n v="243"/>
    <s v="K (May 22)"/>
    <d v="2022-05-18T00:00:00"/>
    <n v="-1"/>
  </r>
  <r>
    <x v="186"/>
    <x v="14"/>
    <n v="0"/>
    <n v="0"/>
    <n v="0"/>
    <n v="0"/>
    <x v="1336"/>
    <n v="0"/>
    <n v="0"/>
    <n v="0"/>
    <n v="0"/>
    <x v="175"/>
    <n v="96"/>
    <s v="Z (Dec 21)"/>
    <d v="2021-12-22T00:00:00"/>
    <n v="-1"/>
  </r>
  <r>
    <x v="186"/>
    <x v="11"/>
    <n v="0"/>
    <n v="0"/>
    <n v="0"/>
    <n v="0"/>
    <x v="1337"/>
    <n v="0"/>
    <n v="0"/>
    <n v="0"/>
    <n v="0"/>
    <x v="113"/>
    <n v="179"/>
    <s v="H (Mar 22)"/>
    <d v="2022-03-15T00:00:00"/>
    <n v="-1"/>
  </r>
  <r>
    <x v="186"/>
    <x v="12"/>
    <n v="0"/>
    <n v="0"/>
    <n v="0"/>
    <n v="0"/>
    <x v="1075"/>
    <n v="0"/>
    <n v="0"/>
    <n v="0"/>
    <n v="0"/>
    <x v="129"/>
    <n v="152"/>
    <s v="G (Feb 22)"/>
    <d v="2022-02-16T00:00:00"/>
    <n v="-1"/>
  </r>
  <r>
    <x v="186"/>
    <x v="10"/>
    <n v="0"/>
    <n v="0"/>
    <n v="0"/>
    <n v="0"/>
    <x v="1085"/>
    <n v="0"/>
    <n v="0"/>
    <n v="0"/>
    <n v="0"/>
    <x v="126"/>
    <n v="215"/>
    <s v="J (Apr 22)"/>
    <d v="2022-04-20T00:00:00"/>
    <n v="-1"/>
  </r>
  <r>
    <x v="186"/>
    <x v="16"/>
    <n v="0"/>
    <n v="0"/>
    <n v="0"/>
    <n v="0"/>
    <x v="1338"/>
    <n v="0"/>
    <n v="0"/>
    <n v="0"/>
    <n v="0"/>
    <x v="176"/>
    <n v="33"/>
    <s v="V (Oct 21)"/>
    <d v="2021-10-20T00:00:00"/>
    <n v="-1"/>
  </r>
  <r>
    <x v="186"/>
    <x v="13"/>
    <n v="0"/>
    <n v="0"/>
    <n v="0"/>
    <n v="0"/>
    <x v="1339"/>
    <n v="0"/>
    <n v="0"/>
    <n v="0"/>
    <n v="0"/>
    <x v="132"/>
    <n v="124"/>
    <s v="F (Jan 22)"/>
    <d v="2022-01-19T00:00:00"/>
    <n v="-1"/>
  </r>
  <r>
    <x v="187"/>
    <x v="12"/>
    <n v="0"/>
    <n v="0"/>
    <n v="0"/>
    <n v="0"/>
    <x v="1340"/>
    <n v="0"/>
    <n v="0"/>
    <n v="0"/>
    <n v="0"/>
    <x v="140"/>
    <n v="153"/>
    <s v="G (Feb 22)"/>
    <d v="2022-02-16T00:00:00"/>
    <n v="-1"/>
  </r>
  <r>
    <x v="187"/>
    <x v="10"/>
    <n v="0"/>
    <n v="0"/>
    <n v="0"/>
    <n v="0"/>
    <x v="1341"/>
    <n v="0"/>
    <n v="0"/>
    <n v="0"/>
    <n v="0"/>
    <x v="137"/>
    <n v="216"/>
    <s v="J (Apr 22)"/>
    <d v="2022-04-20T00:00:00"/>
    <n v="-1"/>
  </r>
  <r>
    <x v="187"/>
    <x v="16"/>
    <n v="0"/>
    <n v="0"/>
    <n v="0"/>
    <n v="0"/>
    <x v="1342"/>
    <n v="0"/>
    <n v="0"/>
    <n v="0"/>
    <n v="0"/>
    <x v="178"/>
    <n v="34"/>
    <s v="V (Oct 21)"/>
    <d v="2021-10-20T00:00:00"/>
    <n v="-1"/>
  </r>
  <r>
    <x v="187"/>
    <x v="13"/>
    <n v="0"/>
    <n v="0"/>
    <n v="0"/>
    <n v="0"/>
    <x v="1343"/>
    <n v="0"/>
    <n v="0"/>
    <n v="0"/>
    <n v="0"/>
    <x v="135"/>
    <n v="125"/>
    <s v="F (Jan 22)"/>
    <d v="2022-01-19T00:00:00"/>
    <n v="-1"/>
  </r>
  <r>
    <x v="187"/>
    <x v="15"/>
    <n v="0"/>
    <n v="0"/>
    <n v="0"/>
    <n v="0"/>
    <x v="1344"/>
    <n v="0"/>
    <n v="0"/>
    <n v="0"/>
    <n v="0"/>
    <x v="154"/>
    <n v="62"/>
    <s v="X (Nov 21)"/>
    <d v="2021-11-17T00:00:00"/>
    <n v="-1"/>
  </r>
  <r>
    <x v="187"/>
    <x v="9"/>
    <n v="0"/>
    <n v="0"/>
    <n v="0"/>
    <n v="0"/>
    <x v="1070"/>
    <n v="0"/>
    <n v="0"/>
    <n v="0"/>
    <n v="0"/>
    <x v="160"/>
    <n v="244"/>
    <s v="K (May 22)"/>
    <d v="2022-05-18T00:00:00"/>
    <n v="-1"/>
  </r>
  <r>
    <x v="187"/>
    <x v="14"/>
    <n v="0"/>
    <n v="0"/>
    <n v="0"/>
    <n v="0"/>
    <x v="1345"/>
    <n v="0"/>
    <n v="0"/>
    <n v="0"/>
    <n v="0"/>
    <x v="177"/>
    <n v="97"/>
    <s v="Z (Dec 21)"/>
    <d v="2021-12-22T00:00:00"/>
    <n v="-1"/>
  </r>
  <r>
    <x v="187"/>
    <x v="11"/>
    <n v="0"/>
    <n v="0"/>
    <n v="0"/>
    <n v="0"/>
    <x v="1175"/>
    <n v="0"/>
    <n v="0"/>
    <n v="0"/>
    <n v="0"/>
    <x v="125"/>
    <n v="180"/>
    <s v="H (Mar 22)"/>
    <d v="2022-03-15T00:00:00"/>
    <n v="-1"/>
  </r>
  <r>
    <x v="188"/>
    <x v="15"/>
    <n v="0"/>
    <n v="0"/>
    <n v="0"/>
    <n v="0"/>
    <x v="1346"/>
    <n v="0"/>
    <n v="0"/>
    <n v="0"/>
    <n v="0"/>
    <x v="159"/>
    <n v="63"/>
    <s v="X (Nov 21)"/>
    <d v="2021-11-17T00:00:00"/>
    <n v="-1"/>
  </r>
  <r>
    <x v="188"/>
    <x v="9"/>
    <n v="0"/>
    <n v="0"/>
    <n v="0"/>
    <n v="0"/>
    <x v="1347"/>
    <n v="0"/>
    <n v="0"/>
    <n v="0"/>
    <n v="0"/>
    <x v="171"/>
    <n v="245"/>
    <s v="K (May 22)"/>
    <d v="2022-05-18T00:00:00"/>
    <n v="-1"/>
  </r>
  <r>
    <x v="188"/>
    <x v="14"/>
    <n v="0"/>
    <n v="0"/>
    <n v="0"/>
    <n v="0"/>
    <x v="1348"/>
    <n v="0"/>
    <n v="0"/>
    <n v="0"/>
    <n v="0"/>
    <x v="181"/>
    <n v="98"/>
    <s v="Z (Dec 21)"/>
    <d v="2021-12-22T00:00:00"/>
    <n v="-1"/>
  </r>
  <r>
    <x v="188"/>
    <x v="11"/>
    <n v="0"/>
    <n v="0"/>
    <n v="0"/>
    <n v="0"/>
    <x v="1104"/>
    <n v="0"/>
    <n v="0"/>
    <n v="0"/>
    <n v="0"/>
    <x v="130"/>
    <n v="181"/>
    <s v="H (Mar 22)"/>
    <d v="2022-03-15T00:00:00"/>
    <n v="-1"/>
  </r>
  <r>
    <x v="188"/>
    <x v="12"/>
    <n v="0"/>
    <n v="0"/>
    <n v="0"/>
    <n v="0"/>
    <x v="1349"/>
    <n v="0"/>
    <n v="0"/>
    <n v="0"/>
    <n v="0"/>
    <x v="146"/>
    <n v="154"/>
    <s v="G (Feb 22)"/>
    <d v="2022-02-16T00:00:00"/>
    <n v="-1"/>
  </r>
  <r>
    <x v="188"/>
    <x v="10"/>
    <n v="0"/>
    <n v="0"/>
    <n v="0"/>
    <n v="0"/>
    <x v="1350"/>
    <n v="0"/>
    <n v="0"/>
    <n v="0"/>
    <n v="0"/>
    <x v="142"/>
    <n v="217"/>
    <s v="J (Apr 22)"/>
    <d v="2022-04-20T00:00:00"/>
    <n v="-1"/>
  </r>
  <r>
    <x v="188"/>
    <x v="16"/>
    <n v="0"/>
    <n v="0"/>
    <n v="0"/>
    <n v="0"/>
    <x v="1351"/>
    <n v="0"/>
    <n v="0"/>
    <n v="0"/>
    <n v="0"/>
    <x v="182"/>
    <n v="35"/>
    <s v="V (Oct 21)"/>
    <d v="2021-10-20T00:00:00"/>
    <n v="-1"/>
  </r>
  <r>
    <x v="188"/>
    <x v="13"/>
    <n v="0"/>
    <n v="0"/>
    <n v="0"/>
    <n v="0"/>
    <x v="1352"/>
    <n v="0"/>
    <n v="0"/>
    <n v="0"/>
    <n v="0"/>
    <x v="149"/>
    <n v="126"/>
    <s v="F (Jan 22)"/>
    <d v="2022-01-19T00:00:00"/>
    <n v="-1"/>
  </r>
  <r>
    <x v="189"/>
    <x v="12"/>
    <n v="0"/>
    <n v="0"/>
    <n v="0"/>
    <n v="0"/>
    <x v="1353"/>
    <n v="0"/>
    <n v="0"/>
    <n v="0"/>
    <n v="0"/>
    <x v="157"/>
    <n v="155"/>
    <s v="G (Feb 22)"/>
    <d v="2022-02-16T00:00:00"/>
    <n v="-1"/>
  </r>
  <r>
    <x v="189"/>
    <x v="10"/>
    <n v="0"/>
    <n v="0"/>
    <n v="0"/>
    <n v="0"/>
    <x v="1090"/>
    <n v="0"/>
    <n v="0"/>
    <n v="0"/>
    <n v="0"/>
    <x v="3"/>
    <n v="218"/>
    <s v="J (Apr 22)"/>
    <d v="2022-04-20T00:00:00"/>
    <n v="-1"/>
  </r>
  <r>
    <x v="189"/>
    <x v="16"/>
    <n v="0"/>
    <n v="0"/>
    <n v="0"/>
    <n v="0"/>
    <x v="1354"/>
    <n v="0"/>
    <n v="0"/>
    <n v="0"/>
    <n v="0"/>
    <x v="184"/>
    <n v="36"/>
    <s v="V (Oct 21)"/>
    <d v="2021-10-20T00:00:00"/>
    <n v="-1"/>
  </r>
  <r>
    <x v="189"/>
    <x v="13"/>
    <n v="0"/>
    <n v="0"/>
    <n v="0"/>
    <n v="0"/>
    <x v="1355"/>
    <n v="0"/>
    <n v="0"/>
    <n v="0"/>
    <n v="0"/>
    <x v="152"/>
    <n v="127"/>
    <s v="F (Jan 22)"/>
    <d v="2022-01-19T00:00:00"/>
    <n v="-1"/>
  </r>
  <r>
    <x v="189"/>
    <x v="15"/>
    <n v="0"/>
    <n v="0"/>
    <n v="0"/>
    <n v="0"/>
    <x v="1356"/>
    <n v="0"/>
    <n v="0"/>
    <n v="0"/>
    <n v="0"/>
    <x v="170"/>
    <n v="64"/>
    <s v="X (Nov 21)"/>
    <d v="2021-11-17T00:00:00"/>
    <n v="-1"/>
  </r>
  <r>
    <x v="189"/>
    <x v="9"/>
    <n v="0"/>
    <n v="0"/>
    <n v="0"/>
    <n v="0"/>
    <x v="1022"/>
    <n v="0"/>
    <n v="0"/>
    <n v="0"/>
    <n v="0"/>
    <x v="4"/>
    <n v="246"/>
    <s v="K (May 22)"/>
    <d v="2022-05-18T00:00:00"/>
    <n v="-1"/>
  </r>
  <r>
    <x v="189"/>
    <x v="14"/>
    <n v="0"/>
    <n v="0"/>
    <n v="0"/>
    <n v="0"/>
    <x v="1357"/>
    <n v="0"/>
    <n v="0"/>
    <n v="0"/>
    <n v="0"/>
    <x v="183"/>
    <n v="99"/>
    <s v="Z (Dec 21)"/>
    <d v="2021-12-22T00:00:00"/>
    <n v="-1"/>
  </r>
  <r>
    <x v="189"/>
    <x v="11"/>
    <n v="0"/>
    <n v="0"/>
    <n v="0"/>
    <n v="0"/>
    <x v="1022"/>
    <n v="0"/>
    <n v="0"/>
    <n v="0"/>
    <n v="0"/>
    <x v="141"/>
    <n v="182"/>
    <s v="H (Mar 22)"/>
    <d v="2022-03-15T00:00:00"/>
    <n v="-1"/>
  </r>
  <r>
    <x v="190"/>
    <x v="15"/>
    <n v="0"/>
    <n v="0"/>
    <n v="0"/>
    <n v="0"/>
    <x v="1358"/>
    <n v="0"/>
    <n v="0"/>
    <n v="0"/>
    <n v="0"/>
    <x v="6"/>
    <n v="65"/>
    <s v="X (Nov 21)"/>
    <d v="2021-11-17T00:00:00"/>
    <n v="-1"/>
  </r>
  <r>
    <x v="190"/>
    <x v="9"/>
    <n v="0"/>
    <n v="0"/>
    <n v="0"/>
    <n v="0"/>
    <x v="666"/>
    <n v="0"/>
    <n v="0"/>
    <n v="0"/>
    <n v="0"/>
    <x v="16"/>
    <n v="247"/>
    <s v="K (May 22)"/>
    <d v="2022-05-18T00:00:00"/>
    <n v="-1"/>
  </r>
  <r>
    <x v="190"/>
    <x v="14"/>
    <n v="0"/>
    <n v="0"/>
    <n v="0"/>
    <n v="0"/>
    <x v="1359"/>
    <n v="0"/>
    <n v="0"/>
    <n v="0"/>
    <n v="0"/>
    <x v="7"/>
    <n v="100"/>
    <s v="Z (Dec 21)"/>
    <d v="2021-12-22T00:00:00"/>
    <n v="-1"/>
  </r>
  <r>
    <x v="190"/>
    <x v="11"/>
    <n v="0"/>
    <n v="0"/>
    <n v="0"/>
    <n v="0"/>
    <x v="666"/>
    <n v="0"/>
    <n v="0"/>
    <n v="0"/>
    <n v="0"/>
    <x v="147"/>
    <n v="183"/>
    <s v="H (Mar 22)"/>
    <d v="2022-03-15T00:00:00"/>
    <n v="-1"/>
  </r>
  <r>
    <x v="190"/>
    <x v="12"/>
    <n v="0"/>
    <n v="0"/>
    <n v="0"/>
    <n v="0"/>
    <x v="1360"/>
    <n v="0"/>
    <n v="0"/>
    <n v="0"/>
    <n v="0"/>
    <x v="162"/>
    <n v="156"/>
    <s v="G (Feb 22)"/>
    <d v="2022-02-16T00:00:00"/>
    <n v="-1"/>
  </r>
  <r>
    <x v="190"/>
    <x v="10"/>
    <n v="0"/>
    <n v="0"/>
    <n v="0"/>
    <n v="0"/>
    <x v="1361"/>
    <n v="0"/>
    <n v="0"/>
    <n v="0"/>
    <n v="0"/>
    <x v="15"/>
    <n v="219"/>
    <s v="J (Apr 22)"/>
    <d v="2022-04-20T00:00:00"/>
    <n v="-1"/>
  </r>
  <r>
    <x v="190"/>
    <x v="16"/>
    <n v="0"/>
    <n v="0"/>
    <n v="0"/>
    <n v="0"/>
    <x v="1362"/>
    <n v="0"/>
    <n v="0"/>
    <n v="0"/>
    <n v="0"/>
    <x v="2"/>
    <n v="37"/>
    <s v="V (Oct 21)"/>
    <d v="2021-10-20T00:00:00"/>
    <n v="-1"/>
  </r>
  <r>
    <x v="190"/>
    <x v="13"/>
    <n v="0"/>
    <n v="0"/>
    <n v="0"/>
    <n v="0"/>
    <x v="1363"/>
    <n v="0"/>
    <n v="0"/>
    <n v="0"/>
    <n v="0"/>
    <x v="165"/>
    <n v="128"/>
    <s v="F (Jan 22)"/>
    <d v="2022-01-19T00:00:00"/>
    <n v="-1"/>
  </r>
  <r>
    <x v="191"/>
    <x v="12"/>
    <n v="0"/>
    <n v="0"/>
    <n v="0"/>
    <n v="0"/>
    <x v="1364"/>
    <n v="0"/>
    <n v="0"/>
    <n v="0"/>
    <n v="0"/>
    <x v="172"/>
    <n v="159"/>
    <s v="G (Feb 22)"/>
    <d v="2022-02-16T00:00:00"/>
    <n v="-1"/>
  </r>
  <r>
    <x v="191"/>
    <x v="10"/>
    <n v="0"/>
    <n v="0"/>
    <n v="0"/>
    <n v="0"/>
    <x v="1365"/>
    <n v="0"/>
    <n v="0"/>
    <n v="0"/>
    <n v="0"/>
    <x v="21"/>
    <n v="222"/>
    <s v="J (Apr 22)"/>
    <d v="2022-04-20T00:00:00"/>
    <n v="-1"/>
  </r>
  <r>
    <x v="191"/>
    <x v="16"/>
    <n v="0"/>
    <n v="0"/>
    <n v="0"/>
    <n v="0"/>
    <x v="1366"/>
    <n v="0"/>
    <n v="0"/>
    <n v="0"/>
    <n v="0"/>
    <x v="14"/>
    <n v="40"/>
    <s v="V (Oct 21)"/>
    <d v="2021-10-20T00:00:00"/>
    <n v="-1"/>
  </r>
  <r>
    <x v="191"/>
    <x v="13"/>
    <n v="0"/>
    <n v="0"/>
    <n v="0"/>
    <n v="0"/>
    <x v="1367"/>
    <n v="0"/>
    <n v="0"/>
    <n v="0"/>
    <n v="0"/>
    <x v="168"/>
    <n v="131"/>
    <s v="F (Jan 22)"/>
    <d v="2022-01-19T00:00:00"/>
    <n v="-1"/>
  </r>
  <r>
    <x v="191"/>
    <x v="15"/>
    <n v="0"/>
    <n v="0"/>
    <n v="0"/>
    <n v="0"/>
    <x v="1368"/>
    <n v="0"/>
    <n v="0"/>
    <n v="0"/>
    <n v="0"/>
    <x v="9"/>
    <n v="68"/>
    <s v="X (Nov 21)"/>
    <d v="2021-11-17T00:00:00"/>
    <n v="-1"/>
  </r>
  <r>
    <x v="191"/>
    <x v="9"/>
    <n v="0"/>
    <n v="0"/>
    <n v="0"/>
    <n v="0"/>
    <x v="1063"/>
    <n v="0"/>
    <n v="0"/>
    <n v="0"/>
    <n v="0"/>
    <x v="22"/>
    <n v="250"/>
    <s v="K (May 22)"/>
    <d v="2022-05-18T00:00:00"/>
    <n v="-1"/>
  </r>
  <r>
    <x v="191"/>
    <x v="14"/>
    <n v="0"/>
    <n v="0"/>
    <n v="0"/>
    <n v="0"/>
    <x v="1369"/>
    <n v="0"/>
    <n v="0"/>
    <n v="0"/>
    <n v="0"/>
    <x v="10"/>
    <n v="103"/>
    <s v="Z (Dec 21)"/>
    <d v="2021-12-22T00:00:00"/>
    <n v="-1"/>
  </r>
  <r>
    <x v="191"/>
    <x v="11"/>
    <n v="0"/>
    <n v="0"/>
    <n v="0"/>
    <n v="0"/>
    <x v="1370"/>
    <n v="0"/>
    <n v="0"/>
    <n v="0"/>
    <n v="0"/>
    <x v="158"/>
    <n v="186"/>
    <s v="H (Mar 22)"/>
    <d v="2022-03-15T00:00:00"/>
    <n v="-1"/>
  </r>
  <r>
    <x v="192"/>
    <x v="15"/>
    <n v="0"/>
    <n v="0"/>
    <n v="0"/>
    <n v="0"/>
    <x v="1371"/>
    <n v="0"/>
    <n v="0"/>
    <n v="0"/>
    <n v="0"/>
    <x v="24"/>
    <n v="69"/>
    <s v="X (Nov 21)"/>
    <d v="2021-11-17T00:00:00"/>
    <n v="-1"/>
  </r>
  <r>
    <x v="192"/>
    <x v="9"/>
    <n v="0"/>
    <n v="0"/>
    <n v="0"/>
    <n v="0"/>
    <x v="1175"/>
    <n v="0"/>
    <n v="0"/>
    <n v="0"/>
    <n v="0"/>
    <x v="33"/>
    <n v="251"/>
    <s v="K (May 22)"/>
    <d v="2022-05-18T00:00:00"/>
    <n v="-1"/>
  </r>
  <r>
    <x v="192"/>
    <x v="14"/>
    <n v="0"/>
    <n v="0"/>
    <n v="0"/>
    <n v="0"/>
    <x v="1372"/>
    <n v="0"/>
    <n v="0"/>
    <n v="0"/>
    <n v="0"/>
    <x v="25"/>
    <n v="104"/>
    <s v="Z (Dec 21)"/>
    <d v="2021-12-22T00:00:00"/>
    <n v="-1"/>
  </r>
  <r>
    <x v="192"/>
    <x v="11"/>
    <n v="0"/>
    <n v="0"/>
    <n v="0"/>
    <n v="0"/>
    <x v="1078"/>
    <n v="0"/>
    <n v="0"/>
    <n v="0"/>
    <n v="0"/>
    <x v="163"/>
    <n v="187"/>
    <s v="H (Mar 22)"/>
    <d v="2022-03-15T00:00:00"/>
    <n v="-1"/>
  </r>
  <r>
    <x v="192"/>
    <x v="12"/>
    <n v="0"/>
    <n v="0"/>
    <n v="0"/>
    <n v="0"/>
    <x v="1373"/>
    <n v="0"/>
    <n v="0"/>
    <n v="0"/>
    <n v="0"/>
    <x v="0"/>
    <n v="160"/>
    <s v="G (Feb 22)"/>
    <d v="2022-02-16T00:00:00"/>
    <n v="-1"/>
  </r>
  <r>
    <x v="192"/>
    <x v="10"/>
    <n v="0"/>
    <n v="0"/>
    <n v="0"/>
    <n v="0"/>
    <x v="1067"/>
    <n v="0"/>
    <n v="0"/>
    <n v="0"/>
    <n v="0"/>
    <x v="32"/>
    <n v="223"/>
    <s v="J (Apr 22)"/>
    <d v="2022-04-20T00:00:00"/>
    <n v="-1"/>
  </r>
  <r>
    <x v="192"/>
    <x v="16"/>
    <n v="0"/>
    <n v="0"/>
    <n v="0"/>
    <n v="0"/>
    <x v="1374"/>
    <n v="0"/>
    <n v="0"/>
    <n v="0"/>
    <n v="0"/>
    <x v="20"/>
    <n v="41"/>
    <s v="V (Oct 21)"/>
    <d v="2021-10-20T00:00:00"/>
    <n v="-1"/>
  </r>
  <r>
    <x v="192"/>
    <x v="13"/>
    <n v="0"/>
    <n v="0"/>
    <n v="0"/>
    <n v="0"/>
    <x v="1375"/>
    <n v="0"/>
    <n v="0"/>
    <n v="0"/>
    <n v="0"/>
    <x v="5"/>
    <n v="132"/>
    <s v="F (Jan 22)"/>
    <d v="2022-01-19T00:00:00"/>
    <n v="-1"/>
  </r>
  <r>
    <x v="193"/>
    <x v="12"/>
    <n v="0"/>
    <n v="0"/>
    <n v="0"/>
    <n v="0"/>
    <x v="1376"/>
    <n v="0"/>
    <n v="0"/>
    <n v="0"/>
    <n v="0"/>
    <x v="12"/>
    <n v="161"/>
    <s v="G (Feb 22)"/>
    <d v="2022-02-16T00:00:00"/>
    <n v="-1"/>
  </r>
  <r>
    <x v="193"/>
    <x v="10"/>
    <n v="0"/>
    <n v="0"/>
    <n v="0"/>
    <n v="0"/>
    <x v="1126"/>
    <n v="0"/>
    <n v="0"/>
    <n v="0"/>
    <n v="0"/>
    <x v="38"/>
    <n v="224"/>
    <s v="J (Apr 22)"/>
    <d v="2022-04-20T00:00:00"/>
    <n v="-1"/>
  </r>
  <r>
    <x v="193"/>
    <x v="16"/>
    <n v="0"/>
    <n v="0"/>
    <n v="0"/>
    <n v="0"/>
    <x v="1377"/>
    <n v="0"/>
    <n v="0"/>
    <n v="0"/>
    <n v="0"/>
    <x v="31"/>
    <n v="42"/>
    <s v="V (Oct 21)"/>
    <d v="2021-10-20T00:00:00"/>
    <n v="-1"/>
  </r>
  <r>
    <x v="193"/>
    <x v="13"/>
    <n v="0"/>
    <n v="0"/>
    <n v="0"/>
    <n v="0"/>
    <x v="1378"/>
    <n v="0"/>
    <n v="0"/>
    <n v="0"/>
    <n v="0"/>
    <x v="17"/>
    <n v="133"/>
    <s v="F (Jan 22)"/>
    <d v="2022-01-19T00:00:00"/>
    <n v="-1"/>
  </r>
  <r>
    <x v="193"/>
    <x v="15"/>
    <n v="0"/>
    <n v="0"/>
    <n v="0"/>
    <n v="0"/>
    <x v="1379"/>
    <n v="0"/>
    <n v="0"/>
    <n v="0"/>
    <n v="0"/>
    <x v="27"/>
    <n v="70"/>
    <s v="X (Nov 21)"/>
    <d v="2021-11-17T00:00:00"/>
    <n v="-1"/>
  </r>
  <r>
    <x v="193"/>
    <x v="9"/>
    <n v="0"/>
    <n v="0"/>
    <n v="0"/>
    <n v="0"/>
    <x v="1311"/>
    <n v="0"/>
    <n v="0"/>
    <n v="0"/>
    <n v="0"/>
    <x v="39"/>
    <n v="252"/>
    <s v="K (May 22)"/>
    <d v="2022-05-18T00:00:00"/>
    <n v="-1"/>
  </r>
  <r>
    <x v="193"/>
    <x v="14"/>
    <n v="0"/>
    <n v="0"/>
    <n v="0"/>
    <n v="0"/>
    <x v="1380"/>
    <n v="0"/>
    <n v="0"/>
    <n v="0"/>
    <n v="0"/>
    <x v="28"/>
    <n v="105"/>
    <s v="Z (Dec 21)"/>
    <d v="2021-12-22T00:00:00"/>
    <n v="-1"/>
  </r>
  <r>
    <x v="193"/>
    <x v="11"/>
    <n v="0"/>
    <n v="0"/>
    <n v="0"/>
    <n v="0"/>
    <x v="1135"/>
    <n v="0"/>
    <n v="0"/>
    <n v="0"/>
    <n v="0"/>
    <x v="173"/>
    <n v="188"/>
    <s v="H (Mar 22)"/>
    <d v="2022-03-15T00:00:00"/>
    <n v="-1"/>
  </r>
  <r>
    <x v="194"/>
    <x v="15"/>
    <n v="0"/>
    <n v="0"/>
    <n v="0"/>
    <n v="0"/>
    <x v="1381"/>
    <n v="0"/>
    <n v="0"/>
    <n v="0"/>
    <n v="0"/>
    <x v="42"/>
    <n v="71"/>
    <s v="X (Nov 21)"/>
    <d v="2021-11-17T00:00:00"/>
    <n v="-1"/>
  </r>
  <r>
    <x v="194"/>
    <x v="9"/>
    <n v="0"/>
    <n v="0"/>
    <n v="0"/>
    <n v="0"/>
    <x v="1217"/>
    <n v="0"/>
    <n v="0"/>
    <n v="0"/>
    <n v="0"/>
    <x v="51"/>
    <n v="253"/>
    <s v="K (May 22)"/>
    <d v="2022-05-18T00:00:00"/>
    <n v="-1"/>
  </r>
  <r>
    <x v="194"/>
    <x v="14"/>
    <n v="0"/>
    <n v="0"/>
    <n v="0"/>
    <n v="0"/>
    <x v="1382"/>
    <n v="0"/>
    <n v="0"/>
    <n v="0"/>
    <n v="0"/>
    <x v="43"/>
    <n v="106"/>
    <s v="Z (Dec 21)"/>
    <d v="2021-12-22T00:00:00"/>
    <n v="-1"/>
  </r>
  <r>
    <x v="194"/>
    <x v="11"/>
    <n v="0"/>
    <n v="0"/>
    <n v="0"/>
    <n v="0"/>
    <x v="1383"/>
    <n v="0"/>
    <n v="0"/>
    <n v="0"/>
    <n v="0"/>
    <x v="174"/>
    <n v="189"/>
    <s v="H (Mar 22)"/>
    <d v="2022-03-15T00:00:00"/>
    <n v="-1"/>
  </r>
  <r>
    <x v="194"/>
    <x v="12"/>
    <n v="0"/>
    <n v="0"/>
    <n v="0"/>
    <n v="0"/>
    <x v="1384"/>
    <n v="0"/>
    <n v="0"/>
    <n v="0"/>
    <n v="0"/>
    <x v="18"/>
    <n v="162"/>
    <s v="G (Feb 22)"/>
    <d v="2022-02-16T00:00:00"/>
    <n v="-1"/>
  </r>
  <r>
    <x v="194"/>
    <x v="10"/>
    <n v="0"/>
    <n v="0"/>
    <n v="0"/>
    <n v="0"/>
    <x v="1135"/>
    <n v="0"/>
    <n v="0"/>
    <n v="0"/>
    <n v="0"/>
    <x v="50"/>
    <n v="225"/>
    <s v="J (Apr 22)"/>
    <d v="2022-04-20T00:00:00"/>
    <n v="-1"/>
  </r>
  <r>
    <x v="194"/>
    <x v="16"/>
    <n v="0"/>
    <n v="0"/>
    <n v="0"/>
    <n v="0"/>
    <x v="1385"/>
    <n v="0"/>
    <n v="0"/>
    <n v="0"/>
    <n v="0"/>
    <x v="37"/>
    <n v="43"/>
    <s v="V (Oct 21)"/>
    <d v="2021-10-20T00:00:00"/>
    <n v="-1"/>
  </r>
  <r>
    <x v="194"/>
    <x v="13"/>
    <n v="0"/>
    <n v="0"/>
    <n v="0"/>
    <n v="0"/>
    <x v="1386"/>
    <n v="0"/>
    <n v="0"/>
    <n v="0"/>
    <n v="0"/>
    <x v="23"/>
    <n v="134"/>
    <s v="F (Jan 22)"/>
    <d v="2022-01-19T00:00:00"/>
    <n v="-1"/>
  </r>
  <r>
    <x v="195"/>
    <x v="12"/>
    <n v="0"/>
    <n v="0"/>
    <n v="0"/>
    <n v="0"/>
    <x v="1387"/>
    <n v="0"/>
    <n v="0"/>
    <n v="0"/>
    <n v="0"/>
    <x v="35"/>
    <n v="166"/>
    <s v="G (Feb 22)"/>
    <d v="2022-02-16T00:00:00"/>
    <n v="-1"/>
  </r>
  <r>
    <x v="195"/>
    <x v="10"/>
    <n v="0"/>
    <n v="0"/>
    <n v="0"/>
    <n v="0"/>
    <x v="1388"/>
    <n v="0"/>
    <n v="0"/>
    <n v="0"/>
    <n v="0"/>
    <x v="56"/>
    <n v="229"/>
    <s v="J (Apr 22)"/>
    <d v="2022-04-20T00:00:00"/>
    <n v="-1"/>
  </r>
  <r>
    <x v="195"/>
    <x v="16"/>
    <n v="0"/>
    <n v="0"/>
    <n v="0"/>
    <n v="0"/>
    <x v="1389"/>
    <n v="0"/>
    <n v="0"/>
    <n v="0"/>
    <n v="0"/>
    <x v="49"/>
    <n v="47"/>
    <s v="V (Oct 21)"/>
    <d v="2021-10-20T00:00:00"/>
    <n v="-1"/>
  </r>
  <r>
    <x v="195"/>
    <x v="13"/>
    <n v="0"/>
    <n v="0"/>
    <n v="0"/>
    <n v="0"/>
    <x v="1390"/>
    <n v="0"/>
    <n v="0"/>
    <n v="0"/>
    <n v="0"/>
    <x v="34"/>
    <n v="138"/>
    <s v="F (Jan 22)"/>
    <d v="2022-01-19T00:00:00"/>
    <n v="-1"/>
  </r>
  <r>
    <x v="195"/>
    <x v="15"/>
    <n v="0"/>
    <n v="0"/>
    <n v="0"/>
    <n v="0"/>
    <x v="1391"/>
    <n v="0"/>
    <n v="0"/>
    <n v="0"/>
    <n v="0"/>
    <x v="45"/>
    <n v="75"/>
    <s v="X (Nov 21)"/>
    <d v="2021-11-17T00:00:00"/>
    <n v="-1"/>
  </r>
  <r>
    <x v="195"/>
    <x v="9"/>
    <n v="0"/>
    <n v="0"/>
    <n v="0"/>
    <n v="0"/>
    <x v="1123"/>
    <n v="0"/>
    <n v="0"/>
    <n v="0"/>
    <n v="0"/>
    <x v="57"/>
    <n v="257"/>
    <s v="K (May 22)"/>
    <d v="2022-05-18T00:00:00"/>
    <n v="-1"/>
  </r>
  <r>
    <x v="195"/>
    <x v="14"/>
    <n v="0"/>
    <n v="0"/>
    <n v="0"/>
    <n v="0"/>
    <x v="1392"/>
    <n v="0"/>
    <n v="0"/>
    <n v="0"/>
    <n v="0"/>
    <x v="46"/>
    <n v="110"/>
    <s v="Z (Dec 21)"/>
    <d v="2021-12-22T00:00:00"/>
    <n v="-1"/>
  </r>
  <r>
    <x v="195"/>
    <x v="11"/>
    <n v="0"/>
    <n v="0"/>
    <n v="0"/>
    <n v="0"/>
    <x v="1393"/>
    <n v="0"/>
    <n v="0"/>
    <n v="0"/>
    <n v="0"/>
    <x v="179"/>
    <n v="193"/>
    <s v="H (Mar 22)"/>
    <d v="2022-03-15T00:00:00"/>
    <n v="-1"/>
  </r>
  <r>
    <x v="196"/>
    <x v="15"/>
    <n v="0"/>
    <n v="0"/>
    <n v="0"/>
    <n v="0"/>
    <x v="1394"/>
    <n v="0"/>
    <n v="0"/>
    <n v="0"/>
    <n v="0"/>
    <x v="60"/>
    <n v="76"/>
    <s v="X (Nov 21)"/>
    <d v="2021-11-17T00:00:00"/>
    <n v="-1"/>
  </r>
  <r>
    <x v="196"/>
    <x v="9"/>
    <n v="0"/>
    <n v="0"/>
    <n v="0"/>
    <n v="0"/>
    <x v="1395"/>
    <n v="0"/>
    <n v="0"/>
    <n v="0"/>
    <n v="0"/>
    <x v="69"/>
    <n v="258"/>
    <s v="K (May 22)"/>
    <d v="2022-05-18T00:00:00"/>
    <n v="-1"/>
  </r>
  <r>
    <x v="196"/>
    <x v="14"/>
    <n v="0"/>
    <n v="0"/>
    <n v="0"/>
    <n v="0"/>
    <x v="1396"/>
    <n v="0"/>
    <n v="0"/>
    <n v="0"/>
    <n v="0"/>
    <x v="61"/>
    <n v="111"/>
    <s v="Z (Dec 21)"/>
    <d v="2021-12-22T00:00:00"/>
    <n v="-1"/>
  </r>
  <r>
    <x v="196"/>
    <x v="11"/>
    <n v="0"/>
    <n v="0"/>
    <n v="0"/>
    <n v="0"/>
    <x v="1397"/>
    <n v="0"/>
    <n v="0"/>
    <n v="0"/>
    <n v="0"/>
    <x v="180"/>
    <n v="194"/>
    <s v="H (Mar 22)"/>
    <d v="2022-03-15T00:00:00"/>
    <n v="-1"/>
  </r>
  <r>
    <x v="196"/>
    <x v="12"/>
    <n v="0"/>
    <n v="0"/>
    <n v="0"/>
    <n v="0"/>
    <x v="1398"/>
    <n v="0"/>
    <n v="0"/>
    <n v="0"/>
    <n v="0"/>
    <x v="41"/>
    <n v="167"/>
    <s v="G (Feb 22)"/>
    <d v="2022-02-16T00:00:00"/>
    <n v="-1"/>
  </r>
  <r>
    <x v="196"/>
    <x v="10"/>
    <n v="0"/>
    <n v="0"/>
    <n v="0"/>
    <n v="0"/>
    <x v="1399"/>
    <n v="0"/>
    <n v="0"/>
    <n v="0"/>
    <n v="0"/>
    <x v="68"/>
    <n v="230"/>
    <s v="J (Apr 22)"/>
    <d v="2022-04-20T00:00:00"/>
    <n v="-1"/>
  </r>
  <r>
    <x v="196"/>
    <x v="16"/>
    <n v="0"/>
    <n v="0"/>
    <n v="0"/>
    <n v="0"/>
    <x v="1400"/>
    <n v="0"/>
    <n v="0"/>
    <n v="0"/>
    <n v="0"/>
    <x v="55"/>
    <n v="48"/>
    <s v="V (Oct 21)"/>
    <d v="2021-10-20T00:00:00"/>
    <n v="-1"/>
  </r>
  <r>
    <x v="196"/>
    <x v="13"/>
    <n v="0"/>
    <n v="0"/>
    <n v="0"/>
    <n v="0"/>
    <x v="1148"/>
    <n v="0"/>
    <n v="0"/>
    <n v="0"/>
    <n v="0"/>
    <x v="40"/>
    <n v="139"/>
    <s v="F (Jan 22)"/>
    <d v="2022-01-19T00:00:00"/>
    <n v="-1"/>
  </r>
  <r>
    <x v="197"/>
    <x v="12"/>
    <n v="0"/>
    <n v="0"/>
    <n v="0"/>
    <n v="0"/>
    <x v="1401"/>
    <n v="0"/>
    <n v="0"/>
    <n v="0"/>
    <n v="0"/>
    <x v="53"/>
    <n v="168"/>
    <s v="G (Feb 22)"/>
    <d v="2022-02-16T00:00:00"/>
    <n v="-1"/>
  </r>
  <r>
    <x v="197"/>
    <x v="10"/>
    <n v="0"/>
    <n v="0"/>
    <n v="0"/>
    <n v="0"/>
    <x v="1376"/>
    <n v="0"/>
    <n v="0"/>
    <n v="0"/>
    <n v="0"/>
    <x v="74"/>
    <n v="231"/>
    <s v="J (Apr 22)"/>
    <d v="2022-04-20T00:00:00"/>
    <n v="-1"/>
  </r>
  <r>
    <x v="197"/>
    <x v="16"/>
    <n v="0"/>
    <n v="0"/>
    <n v="0"/>
    <n v="0"/>
    <x v="1402"/>
    <n v="0"/>
    <n v="0"/>
    <n v="0"/>
    <n v="0"/>
    <x v="67"/>
    <n v="49"/>
    <s v="V (Oct 21)"/>
    <d v="2021-10-20T00:00:00"/>
    <n v="-1"/>
  </r>
  <r>
    <x v="197"/>
    <x v="13"/>
    <n v="0"/>
    <n v="0"/>
    <n v="0"/>
    <n v="0"/>
    <x v="1148"/>
    <n v="0"/>
    <n v="0"/>
    <n v="0"/>
    <n v="0"/>
    <x v="52"/>
    <n v="140"/>
    <s v="F (Jan 22)"/>
    <d v="2022-01-19T00:00:00"/>
    <n v="-1"/>
  </r>
  <r>
    <x v="197"/>
    <x v="15"/>
    <n v="0"/>
    <n v="0"/>
    <n v="0"/>
    <n v="0"/>
    <x v="1403"/>
    <n v="0"/>
    <n v="0"/>
    <n v="0"/>
    <n v="0"/>
    <x v="63"/>
    <n v="77"/>
    <s v="X (Nov 21)"/>
    <d v="2021-11-17T00:00:00"/>
    <n v="-1"/>
  </r>
  <r>
    <x v="197"/>
    <x v="9"/>
    <n v="0"/>
    <n v="0"/>
    <n v="0"/>
    <n v="0"/>
    <x v="1404"/>
    <n v="0"/>
    <n v="0"/>
    <n v="0"/>
    <n v="0"/>
    <x v="75"/>
    <n v="259"/>
    <s v="K (May 22)"/>
    <d v="2022-05-18T00:00:00"/>
    <n v="-1"/>
  </r>
  <r>
    <x v="197"/>
    <x v="14"/>
    <n v="0"/>
    <n v="0"/>
    <n v="0"/>
    <n v="0"/>
    <x v="1405"/>
    <n v="0"/>
    <n v="0"/>
    <n v="0"/>
    <n v="0"/>
    <x v="64"/>
    <n v="112"/>
    <s v="Z (Dec 21)"/>
    <d v="2021-12-22T00:00:00"/>
    <n v="-1"/>
  </r>
  <r>
    <x v="197"/>
    <x v="11"/>
    <n v="0"/>
    <n v="0"/>
    <n v="0"/>
    <n v="0"/>
    <x v="1404"/>
    <n v="0"/>
    <n v="0"/>
    <n v="0"/>
    <n v="0"/>
    <x v="185"/>
    <n v="195"/>
    <s v="H (Mar 22)"/>
    <d v="2022-03-15T00:00:00"/>
    <n v="-1"/>
  </r>
  <r>
    <x v="198"/>
    <x v="15"/>
    <n v="0"/>
    <n v="0"/>
    <n v="0"/>
    <n v="0"/>
    <x v="1406"/>
    <n v="0"/>
    <n v="0"/>
    <n v="0"/>
    <n v="0"/>
    <x v="78"/>
    <n v="78"/>
    <s v="X (Nov 21)"/>
    <d v="2021-11-17T00:00:00"/>
    <n v="-1"/>
  </r>
  <r>
    <x v="198"/>
    <x v="9"/>
    <n v="0"/>
    <n v="0"/>
    <n v="0"/>
    <n v="0"/>
    <x v="1395"/>
    <n v="0"/>
    <n v="0"/>
    <n v="0"/>
    <n v="0"/>
    <x v="87"/>
    <n v="260"/>
    <s v="K (May 22)"/>
    <d v="2022-05-18T00:00:00"/>
    <n v="-1"/>
  </r>
  <r>
    <x v="198"/>
    <x v="14"/>
    <n v="0"/>
    <n v="0"/>
    <n v="0"/>
    <n v="0"/>
    <x v="1407"/>
    <n v="0"/>
    <n v="0"/>
    <n v="0"/>
    <n v="0"/>
    <x v="79"/>
    <n v="113"/>
    <s v="Z (Dec 21)"/>
    <d v="2021-12-22T00:00:00"/>
    <n v="-1"/>
  </r>
  <r>
    <x v="198"/>
    <x v="11"/>
    <n v="0"/>
    <n v="0"/>
    <n v="0"/>
    <n v="0"/>
    <x v="1408"/>
    <n v="0"/>
    <n v="0"/>
    <n v="0"/>
    <n v="0"/>
    <x v="1"/>
    <n v="196"/>
    <s v="H (Mar 22)"/>
    <d v="2022-03-15T00:00:00"/>
    <n v="-1"/>
  </r>
  <r>
    <x v="198"/>
    <x v="12"/>
    <n v="0"/>
    <n v="0"/>
    <n v="0"/>
    <n v="0"/>
    <x v="1343"/>
    <n v="0"/>
    <n v="0"/>
    <n v="0"/>
    <n v="0"/>
    <x v="59"/>
    <n v="169"/>
    <s v="G (Feb 22)"/>
    <d v="2022-02-16T00:00:00"/>
    <n v="-1"/>
  </r>
  <r>
    <x v="198"/>
    <x v="10"/>
    <n v="0"/>
    <n v="0"/>
    <n v="0"/>
    <n v="0"/>
    <x v="1123"/>
    <n v="0"/>
    <n v="0"/>
    <n v="0"/>
    <n v="0"/>
    <x v="86"/>
    <n v="232"/>
    <s v="J (Apr 22)"/>
    <d v="2022-04-20T00:00:00"/>
    <n v="-1"/>
  </r>
  <r>
    <x v="198"/>
    <x v="16"/>
    <n v="0"/>
    <n v="0"/>
    <n v="0"/>
    <n v="0"/>
    <x v="1409"/>
    <n v="0"/>
    <n v="0"/>
    <n v="0"/>
    <n v="0"/>
    <x v="73"/>
    <n v="50"/>
    <s v="V (Oct 21)"/>
    <d v="2021-10-20T00:00:00"/>
    <n v="-1"/>
  </r>
  <r>
    <x v="198"/>
    <x v="13"/>
    <n v="0"/>
    <n v="0"/>
    <n v="0"/>
    <n v="0"/>
    <x v="1410"/>
    <n v="0"/>
    <n v="0"/>
    <n v="0"/>
    <n v="0"/>
    <x v="58"/>
    <n v="141"/>
    <s v="F (Jan 22)"/>
    <d v="2022-01-19T00:00:00"/>
    <n v="-1"/>
  </r>
  <r>
    <x v="199"/>
    <x v="12"/>
    <n v="0"/>
    <n v="0"/>
    <n v="0"/>
    <n v="0"/>
    <x v="1411"/>
    <n v="0"/>
    <n v="0"/>
    <n v="0"/>
    <n v="0"/>
    <x v="71"/>
    <n v="170"/>
    <s v="G (Feb 22)"/>
    <d v="2022-02-16T00:00:00"/>
    <n v="-1"/>
  </r>
  <r>
    <x v="199"/>
    <x v="10"/>
    <n v="0"/>
    <n v="0"/>
    <n v="0"/>
    <n v="0"/>
    <x v="807"/>
    <n v="0"/>
    <n v="0"/>
    <n v="0"/>
    <n v="0"/>
    <x v="92"/>
    <n v="233"/>
    <s v="J (Apr 22)"/>
    <d v="2022-04-20T00:00:00"/>
    <n v="-1"/>
  </r>
  <r>
    <x v="199"/>
    <x v="16"/>
    <n v="0"/>
    <n v="0"/>
    <n v="0"/>
    <n v="0"/>
    <x v="1412"/>
    <n v="0"/>
    <n v="0"/>
    <n v="0"/>
    <n v="0"/>
    <x v="85"/>
    <n v="51"/>
    <s v="V (Oct 21)"/>
    <d v="2021-10-20T00:00:00"/>
    <n v="-1"/>
  </r>
  <r>
    <x v="199"/>
    <x v="13"/>
    <n v="0"/>
    <n v="0"/>
    <n v="0"/>
    <n v="0"/>
    <x v="1413"/>
    <n v="0"/>
    <n v="0"/>
    <n v="0"/>
    <n v="0"/>
    <x v="70"/>
    <n v="142"/>
    <s v="F (Jan 22)"/>
    <d v="2022-01-19T00:00:00"/>
    <n v="-1"/>
  </r>
  <r>
    <x v="199"/>
    <x v="15"/>
    <n v="0"/>
    <n v="0"/>
    <n v="0"/>
    <n v="0"/>
    <x v="1414"/>
    <n v="0"/>
    <n v="0"/>
    <n v="0"/>
    <n v="0"/>
    <x v="81"/>
    <n v="79"/>
    <s v="X (Nov 21)"/>
    <d v="2021-11-17T00:00:00"/>
    <n v="-1"/>
  </r>
  <r>
    <x v="199"/>
    <x v="9"/>
    <n v="0"/>
    <n v="0"/>
    <n v="0"/>
    <n v="0"/>
    <x v="1404"/>
    <n v="0"/>
    <n v="0"/>
    <n v="0"/>
    <n v="0"/>
    <x v="93"/>
    <n v="261"/>
    <s v="K (May 22)"/>
    <d v="2022-05-18T00:00:00"/>
    <n v="-1"/>
  </r>
  <r>
    <x v="199"/>
    <x v="14"/>
    <n v="0"/>
    <n v="0"/>
    <n v="0"/>
    <n v="0"/>
    <x v="1415"/>
    <n v="0"/>
    <n v="0"/>
    <n v="0"/>
    <n v="0"/>
    <x v="82"/>
    <n v="114"/>
    <s v="Z (Dec 21)"/>
    <d v="2021-12-22T00:00:00"/>
    <n v="-1"/>
  </r>
  <r>
    <x v="199"/>
    <x v="11"/>
    <n v="0"/>
    <n v="0"/>
    <n v="0"/>
    <n v="0"/>
    <x v="1416"/>
    <n v="0"/>
    <n v="0"/>
    <n v="0"/>
    <n v="0"/>
    <x v="13"/>
    <n v="197"/>
    <s v="H (Mar 22)"/>
    <d v="2022-03-15T00:00:00"/>
    <n v="-1"/>
  </r>
  <r>
    <x v="200"/>
    <x v="15"/>
    <n v="0"/>
    <n v="0"/>
    <n v="0"/>
    <n v="0"/>
    <x v="1417"/>
    <n v="0"/>
    <n v="0"/>
    <n v="0"/>
    <n v="0"/>
    <x v="96"/>
    <n v="82"/>
    <s v="X (Nov 21)"/>
    <d v="2021-11-17T00:00:00"/>
    <n v="-1"/>
  </r>
  <r>
    <x v="200"/>
    <x v="9"/>
    <n v="0"/>
    <n v="0"/>
    <n v="0"/>
    <n v="0"/>
    <x v="1404"/>
    <n v="0"/>
    <n v="0"/>
    <n v="0"/>
    <n v="0"/>
    <x v="105"/>
    <n v="264"/>
    <s v="K (May 22)"/>
    <d v="2022-05-18T00:00:00"/>
    <n v="-1"/>
  </r>
  <r>
    <x v="200"/>
    <x v="14"/>
    <n v="0"/>
    <n v="0"/>
    <n v="0"/>
    <n v="0"/>
    <x v="1418"/>
    <n v="0"/>
    <n v="0"/>
    <n v="0"/>
    <n v="0"/>
    <x v="97"/>
    <n v="117"/>
    <s v="Z (Dec 21)"/>
    <d v="2021-12-22T00:00:00"/>
    <n v="-1"/>
  </r>
  <r>
    <x v="200"/>
    <x v="11"/>
    <n v="0"/>
    <n v="0"/>
    <n v="0"/>
    <n v="0"/>
    <x v="1419"/>
    <n v="0"/>
    <n v="0"/>
    <n v="0"/>
    <n v="0"/>
    <x v="19"/>
    <n v="200"/>
    <s v="H (Mar 22)"/>
    <d v="2022-03-15T00:00:00"/>
    <n v="-1"/>
  </r>
  <r>
    <x v="200"/>
    <x v="12"/>
    <n v="0"/>
    <n v="0"/>
    <n v="0"/>
    <n v="0"/>
    <x v="1420"/>
    <n v="0"/>
    <n v="0"/>
    <n v="0"/>
    <n v="0"/>
    <x v="77"/>
    <n v="173"/>
    <s v="G (Feb 22)"/>
    <d v="2022-02-16T00:00:00"/>
    <n v="-1"/>
  </r>
  <r>
    <x v="200"/>
    <x v="10"/>
    <n v="0"/>
    <n v="0"/>
    <n v="0"/>
    <n v="0"/>
    <x v="1421"/>
    <n v="0"/>
    <n v="0"/>
    <n v="0"/>
    <n v="0"/>
    <x v="104"/>
    <n v="236"/>
    <s v="J (Apr 22)"/>
    <d v="2022-04-20T00:00:00"/>
    <n v="-1"/>
  </r>
  <r>
    <x v="200"/>
    <x v="16"/>
    <n v="0"/>
    <n v="0"/>
    <n v="0"/>
    <n v="0"/>
    <x v="1422"/>
    <n v="0"/>
    <n v="0"/>
    <n v="0"/>
    <n v="0"/>
    <x v="91"/>
    <n v="54"/>
    <s v="V (Oct 21)"/>
    <d v="2021-10-20T00:00:00"/>
    <n v="-1"/>
  </r>
  <r>
    <x v="200"/>
    <x v="13"/>
    <n v="0"/>
    <n v="0"/>
    <n v="0"/>
    <n v="0"/>
    <x v="1423"/>
    <n v="0"/>
    <n v="0"/>
    <n v="0"/>
    <n v="0"/>
    <x v="76"/>
    <n v="145"/>
    <s v="F (Jan 22)"/>
    <d v="2022-01-19T00:00:00"/>
    <n v="-1"/>
  </r>
  <r>
    <x v="201"/>
    <x v="12"/>
    <n v="0"/>
    <n v="0"/>
    <n v="0"/>
    <n v="0"/>
    <x v="1424"/>
    <n v="0"/>
    <n v="0"/>
    <n v="0"/>
    <n v="0"/>
    <x v="89"/>
    <n v="174"/>
    <s v="G (Feb 22)"/>
    <d v="2022-02-16T00:00:00"/>
    <n v="-1"/>
  </r>
  <r>
    <x v="201"/>
    <x v="10"/>
    <n v="0"/>
    <n v="0"/>
    <n v="0"/>
    <n v="0"/>
    <x v="1425"/>
    <n v="0"/>
    <n v="0"/>
    <n v="0"/>
    <n v="0"/>
    <x v="110"/>
    <n v="237"/>
    <s v="J (Apr 22)"/>
    <d v="2022-04-20T00:00:00"/>
    <n v="-1"/>
  </r>
  <r>
    <x v="201"/>
    <x v="16"/>
    <n v="0"/>
    <n v="0"/>
    <n v="0"/>
    <n v="0"/>
    <x v="1426"/>
    <n v="0"/>
    <n v="0"/>
    <n v="0"/>
    <n v="0"/>
    <x v="103"/>
    <n v="55"/>
    <s v="V (Oct 21)"/>
    <d v="2021-10-20T00:00:00"/>
    <n v="-1"/>
  </r>
  <r>
    <x v="201"/>
    <x v="13"/>
    <n v="0"/>
    <n v="0"/>
    <n v="0"/>
    <n v="0"/>
    <x v="1235"/>
    <n v="0"/>
    <n v="0"/>
    <n v="0"/>
    <n v="0"/>
    <x v="88"/>
    <n v="146"/>
    <s v="F (Jan 22)"/>
    <d v="2022-01-19T00:00:00"/>
    <n v="-1"/>
  </r>
  <r>
    <x v="201"/>
    <x v="15"/>
    <n v="0"/>
    <n v="0"/>
    <n v="0"/>
    <n v="0"/>
    <x v="1427"/>
    <n v="0"/>
    <n v="0"/>
    <n v="0"/>
    <n v="0"/>
    <x v="99"/>
    <n v="83"/>
    <s v="X (Nov 21)"/>
    <d v="2021-11-17T00:00:00"/>
    <n v="-1"/>
  </r>
  <r>
    <x v="201"/>
    <x v="9"/>
    <n v="0"/>
    <n v="0"/>
    <n v="0"/>
    <n v="0"/>
    <x v="1311"/>
    <n v="0"/>
    <n v="0"/>
    <n v="0"/>
    <n v="0"/>
    <x v="111"/>
    <n v="265"/>
    <s v="K (May 22)"/>
    <d v="2022-05-18T00:00:00"/>
    <n v="-1"/>
  </r>
  <r>
    <x v="201"/>
    <x v="14"/>
    <n v="0"/>
    <n v="0"/>
    <n v="0"/>
    <n v="0"/>
    <x v="1428"/>
    <n v="0"/>
    <n v="0"/>
    <n v="0"/>
    <n v="0"/>
    <x v="100"/>
    <n v="118"/>
    <s v="Z (Dec 21)"/>
    <d v="2021-12-22T00:00:00"/>
    <n v="-1"/>
  </r>
  <r>
    <x v="201"/>
    <x v="11"/>
    <n v="0"/>
    <n v="0"/>
    <n v="0"/>
    <n v="0"/>
    <x v="1175"/>
    <n v="0"/>
    <n v="0"/>
    <n v="0"/>
    <n v="0"/>
    <x v="30"/>
    <n v="201"/>
    <s v="H (Mar 22)"/>
    <d v="2022-03-15T00:00:00"/>
    <n v="-1"/>
  </r>
  <r>
    <x v="201"/>
    <x v="17"/>
    <n v="0"/>
    <n v="0"/>
    <n v="0"/>
    <n v="0"/>
    <x v="1429"/>
    <n v="0"/>
    <n v="0"/>
    <n v="0"/>
    <n v="0"/>
    <x v="98"/>
    <n v="20"/>
    <s v="U (Sep 21)"/>
    <d v="2021-09-15T00:00:00"/>
    <n v="-1"/>
  </r>
  <r>
    <x v="202"/>
    <x v="15"/>
    <n v="0"/>
    <n v="0"/>
    <n v="0"/>
    <n v="0"/>
    <x v="1430"/>
    <n v="0"/>
    <n v="0"/>
    <n v="0"/>
    <n v="0"/>
    <x v="114"/>
    <n v="84"/>
    <s v="X (Nov 21)"/>
    <d v="2021-11-17T00:00:00"/>
    <n v="-1"/>
  </r>
  <r>
    <x v="202"/>
    <x v="9"/>
    <n v="0"/>
    <n v="0"/>
    <n v="0"/>
    <n v="0"/>
    <x v="1431"/>
    <n v="0"/>
    <n v="0"/>
    <n v="0"/>
    <n v="0"/>
    <x v="123"/>
    <n v="266"/>
    <s v="K (May 22)"/>
    <d v="2022-05-18T00:00:00"/>
    <n v="-1"/>
  </r>
  <r>
    <x v="202"/>
    <x v="14"/>
    <n v="0"/>
    <n v="0"/>
    <n v="0"/>
    <n v="0"/>
    <x v="1432"/>
    <n v="0"/>
    <n v="0"/>
    <n v="0"/>
    <n v="0"/>
    <x v="115"/>
    <n v="119"/>
    <s v="Z (Dec 21)"/>
    <d v="2021-12-22T00:00:00"/>
    <n v="-1"/>
  </r>
  <r>
    <x v="202"/>
    <x v="11"/>
    <n v="0"/>
    <n v="0"/>
    <n v="0"/>
    <n v="0"/>
    <x v="1112"/>
    <n v="0"/>
    <n v="0"/>
    <n v="0"/>
    <n v="0"/>
    <x v="36"/>
    <n v="202"/>
    <s v="H (Mar 22)"/>
    <d v="2022-03-15T00:00:00"/>
    <n v="-1"/>
  </r>
  <r>
    <x v="202"/>
    <x v="17"/>
    <n v="0"/>
    <n v="0"/>
    <n v="0"/>
    <n v="0"/>
    <x v="1433"/>
    <n v="0"/>
    <n v="0"/>
    <n v="0"/>
    <n v="0"/>
    <x v="101"/>
    <n v="21"/>
    <s v="U (Sep 21)"/>
    <d v="2021-09-15T00:00:00"/>
    <n v="-1"/>
  </r>
  <r>
    <x v="202"/>
    <x v="12"/>
    <n v="0"/>
    <n v="0"/>
    <n v="0"/>
    <n v="0"/>
    <x v="1434"/>
    <n v="0"/>
    <n v="0"/>
    <n v="0"/>
    <n v="0"/>
    <x v="95"/>
    <n v="175"/>
    <s v="G (Feb 22)"/>
    <d v="2022-02-16T00:00:00"/>
    <n v="-1"/>
  </r>
  <r>
    <x v="202"/>
    <x v="10"/>
    <n v="0"/>
    <n v="0"/>
    <n v="0"/>
    <n v="0"/>
    <x v="1112"/>
    <n v="0"/>
    <n v="0"/>
    <n v="0"/>
    <n v="0"/>
    <x v="122"/>
    <n v="238"/>
    <s v="J (Apr 22)"/>
    <d v="2022-04-20T00:00:00"/>
    <n v="-1"/>
  </r>
  <r>
    <x v="202"/>
    <x v="16"/>
    <n v="0"/>
    <n v="0"/>
    <n v="0"/>
    <n v="0"/>
    <x v="1435"/>
    <n v="0"/>
    <n v="0"/>
    <n v="0"/>
    <n v="0"/>
    <x v="109"/>
    <n v="56"/>
    <s v="V (Oct 21)"/>
    <d v="2021-10-20T00:00:00"/>
    <n v="-1"/>
  </r>
  <r>
    <x v="202"/>
    <x v="13"/>
    <n v="0"/>
    <n v="0"/>
    <n v="0"/>
    <n v="0"/>
    <x v="1089"/>
    <n v="0"/>
    <n v="0"/>
    <n v="0"/>
    <n v="0"/>
    <x v="94"/>
    <n v="147"/>
    <s v="F (Jan 22)"/>
    <d v="2022-01-19T00:00:00"/>
    <n v="-1"/>
  </r>
  <r>
    <x v="203"/>
    <x v="12"/>
    <n v="0"/>
    <n v="0"/>
    <n v="0"/>
    <n v="0"/>
    <x v="1388"/>
    <n v="0"/>
    <n v="0"/>
    <n v="0"/>
    <n v="0"/>
    <x v="107"/>
    <n v="176"/>
    <s v="G (Feb 22)"/>
    <d v="2022-02-16T00:00:00"/>
    <n v="-1"/>
  </r>
  <r>
    <x v="203"/>
    <x v="10"/>
    <n v="0"/>
    <n v="0"/>
    <n v="0"/>
    <n v="0"/>
    <x v="1347"/>
    <n v="0"/>
    <n v="0"/>
    <n v="0"/>
    <n v="0"/>
    <x v="128"/>
    <n v="239"/>
    <s v="J (Apr 22)"/>
    <d v="2022-04-20T00:00:00"/>
    <n v="-1"/>
  </r>
  <r>
    <x v="203"/>
    <x v="16"/>
    <n v="0"/>
    <n v="0"/>
    <n v="0"/>
    <n v="0"/>
    <x v="1436"/>
    <n v="0"/>
    <n v="0"/>
    <n v="0"/>
    <n v="0"/>
    <x v="121"/>
    <n v="57"/>
    <s v="V (Oct 21)"/>
    <d v="2021-10-20T00:00:00"/>
    <n v="-1"/>
  </r>
  <r>
    <x v="203"/>
    <x v="13"/>
    <n v="0"/>
    <n v="0"/>
    <n v="0"/>
    <n v="0"/>
    <x v="1437"/>
    <n v="0"/>
    <n v="0"/>
    <n v="0"/>
    <n v="0"/>
    <x v="106"/>
    <n v="148"/>
    <s v="F (Jan 22)"/>
    <d v="2022-01-19T00:00:00"/>
    <n v="-1"/>
  </r>
  <r>
    <x v="203"/>
    <x v="15"/>
    <n v="0"/>
    <n v="0"/>
    <n v="0"/>
    <n v="0"/>
    <x v="1438"/>
    <n v="0"/>
    <n v="0"/>
    <n v="0"/>
    <n v="0"/>
    <x v="117"/>
    <n v="85"/>
    <s v="X (Nov 21)"/>
    <d v="2021-11-17T00:00:00"/>
    <n v="-1"/>
  </r>
  <r>
    <x v="203"/>
    <x v="14"/>
    <n v="0"/>
    <n v="0"/>
    <n v="0"/>
    <n v="0"/>
    <x v="1439"/>
    <n v="0"/>
    <n v="0"/>
    <n v="0"/>
    <n v="0"/>
    <x v="118"/>
    <n v="120"/>
    <s v="Z (Dec 21)"/>
    <d v="2021-12-22T00:00:00"/>
    <n v="-1"/>
  </r>
  <r>
    <x v="203"/>
    <x v="11"/>
    <n v="0"/>
    <n v="0"/>
    <n v="0"/>
    <n v="0"/>
    <x v="1440"/>
    <n v="0"/>
    <n v="0"/>
    <n v="0"/>
    <n v="0"/>
    <x v="48"/>
    <n v="203"/>
    <s v="H (Mar 22)"/>
    <d v="2022-03-15T00:00:00"/>
    <n v="-1"/>
  </r>
  <r>
    <x v="203"/>
    <x v="17"/>
    <n v="0"/>
    <n v="0"/>
    <n v="0"/>
    <n v="0"/>
    <x v="1441"/>
    <n v="0"/>
    <n v="0"/>
    <n v="0"/>
    <n v="0"/>
    <x v="116"/>
    <n v="22"/>
    <s v="U (Sep 21)"/>
    <d v="2021-09-15T00:00:00"/>
    <n v="-1"/>
  </r>
  <r>
    <x v="204"/>
    <x v="15"/>
    <n v="0"/>
    <n v="0"/>
    <n v="0"/>
    <n v="0"/>
    <x v="1438"/>
    <n v="0"/>
    <n v="0"/>
    <n v="0"/>
    <n v="0"/>
    <x v="134"/>
    <n v="89"/>
    <s v="X (Nov 21)"/>
    <d v="2021-11-17T00:00:00"/>
    <n v="-1"/>
  </r>
  <r>
    <x v="204"/>
    <x v="14"/>
    <n v="0"/>
    <n v="0"/>
    <n v="0"/>
    <n v="0"/>
    <x v="1439"/>
    <n v="0"/>
    <n v="0"/>
    <n v="0"/>
    <n v="0"/>
    <x v="135"/>
    <n v="124"/>
    <s v="Z (Dec 21)"/>
    <d v="2021-12-22T00:00:00"/>
    <n v="-1"/>
  </r>
  <r>
    <x v="204"/>
    <x v="11"/>
    <n v="0"/>
    <n v="0"/>
    <n v="0"/>
    <n v="0"/>
    <x v="1440"/>
    <n v="0"/>
    <n v="0"/>
    <n v="0"/>
    <n v="0"/>
    <x v="66"/>
    <n v="207"/>
    <s v="H (Mar 22)"/>
    <d v="2022-03-15T00:00:00"/>
    <n v="-1"/>
  </r>
  <r>
    <x v="204"/>
    <x v="17"/>
    <n v="0"/>
    <n v="0"/>
    <n v="0"/>
    <n v="0"/>
    <x v="1441"/>
    <n v="0"/>
    <n v="0"/>
    <n v="0"/>
    <n v="0"/>
    <x v="133"/>
    <n v="26"/>
    <s v="U (Sep 21)"/>
    <d v="2021-09-15T00:00:00"/>
    <n v="-1"/>
  </r>
  <r>
    <x v="204"/>
    <x v="12"/>
    <n v="0"/>
    <n v="0"/>
    <n v="0"/>
    <n v="0"/>
    <x v="1388"/>
    <n v="0"/>
    <n v="0"/>
    <n v="0"/>
    <n v="0"/>
    <x v="125"/>
    <n v="180"/>
    <s v="G (Feb 22)"/>
    <d v="2022-02-16T00:00:00"/>
    <n v="-1"/>
  </r>
  <r>
    <x v="204"/>
    <x v="10"/>
    <n v="0"/>
    <n v="0"/>
    <n v="0"/>
    <n v="0"/>
    <x v="1347"/>
    <n v="0"/>
    <n v="0"/>
    <n v="0"/>
    <n v="0"/>
    <x v="144"/>
    <n v="243"/>
    <s v="J (Apr 22)"/>
    <d v="2022-04-20T00:00:00"/>
    <n v="-1"/>
  </r>
  <r>
    <x v="204"/>
    <x v="16"/>
    <n v="0"/>
    <n v="0"/>
    <n v="0"/>
    <n v="0"/>
    <x v="1436"/>
    <n v="0"/>
    <n v="0"/>
    <n v="0"/>
    <n v="0"/>
    <x v="138"/>
    <n v="61"/>
    <s v="V (Oct 21)"/>
    <d v="2021-10-20T00:00:00"/>
    <n v="-1"/>
  </r>
  <r>
    <x v="204"/>
    <x v="13"/>
    <n v="0"/>
    <n v="0"/>
    <n v="0"/>
    <n v="0"/>
    <x v="1437"/>
    <n v="0"/>
    <n v="0"/>
    <n v="0"/>
    <n v="0"/>
    <x v="124"/>
    <n v="152"/>
    <s v="F (Jan 22)"/>
    <d v="2022-01-19T00:00:00"/>
    <n v="-1"/>
  </r>
  <r>
    <x v="205"/>
    <x v="12"/>
    <n v="0"/>
    <n v="0"/>
    <n v="0"/>
    <n v="0"/>
    <x v="1442"/>
    <n v="0"/>
    <n v="0"/>
    <n v="0"/>
    <n v="0"/>
    <x v="130"/>
    <n v="181"/>
    <s v="G (Feb 22)"/>
    <d v="2022-02-16T00:00:00"/>
    <n v="-1"/>
  </r>
  <r>
    <x v="205"/>
    <x v="10"/>
    <n v="0"/>
    <n v="0"/>
    <n v="0"/>
    <n v="0"/>
    <x v="423"/>
    <n v="0"/>
    <n v="0"/>
    <n v="0"/>
    <n v="0"/>
    <x v="155"/>
    <n v="244"/>
    <s v="J (Apr 22)"/>
    <d v="2022-04-20T00:00:00"/>
    <n v="-1"/>
  </r>
  <r>
    <x v="205"/>
    <x v="16"/>
    <n v="0"/>
    <n v="0"/>
    <n v="0"/>
    <n v="0"/>
    <x v="1443"/>
    <n v="0"/>
    <n v="0"/>
    <n v="0"/>
    <n v="0"/>
    <x v="143"/>
    <n v="62"/>
    <s v="V (Oct 21)"/>
    <d v="2021-10-20T00:00:00"/>
    <n v="-1"/>
  </r>
  <r>
    <x v="205"/>
    <x v="13"/>
    <n v="0"/>
    <n v="0"/>
    <n v="0"/>
    <n v="0"/>
    <x v="1444"/>
    <n v="0"/>
    <n v="0"/>
    <n v="0"/>
    <n v="0"/>
    <x v="129"/>
    <n v="153"/>
    <s v="F (Jan 22)"/>
    <d v="2022-01-19T00:00:00"/>
    <n v="-1"/>
  </r>
  <r>
    <x v="205"/>
    <x v="15"/>
    <n v="0"/>
    <n v="0"/>
    <n v="0"/>
    <n v="0"/>
    <x v="1445"/>
    <n v="0"/>
    <n v="0"/>
    <n v="0"/>
    <n v="0"/>
    <x v="148"/>
    <n v="90"/>
    <s v="X (Nov 21)"/>
    <d v="2021-11-17T00:00:00"/>
    <n v="-1"/>
  </r>
  <r>
    <x v="205"/>
    <x v="14"/>
    <n v="0"/>
    <n v="0"/>
    <n v="0"/>
    <n v="0"/>
    <x v="1446"/>
    <n v="0"/>
    <n v="0"/>
    <n v="0"/>
    <n v="0"/>
    <x v="149"/>
    <n v="125"/>
    <s v="Z (Dec 21)"/>
    <d v="2021-12-22T00:00:00"/>
    <n v="-1"/>
  </r>
  <r>
    <x v="205"/>
    <x v="11"/>
    <n v="0"/>
    <n v="0"/>
    <n v="0"/>
    <n v="0"/>
    <x v="1447"/>
    <n v="0"/>
    <n v="0"/>
    <n v="0"/>
    <n v="0"/>
    <x v="72"/>
    <n v="208"/>
    <s v="H (Mar 22)"/>
    <d v="2022-03-15T00:00:00"/>
    <n v="-1"/>
  </r>
  <r>
    <x v="205"/>
    <x v="17"/>
    <n v="0"/>
    <n v="0"/>
    <n v="0"/>
    <n v="0"/>
    <x v="1448"/>
    <n v="0"/>
    <n v="0"/>
    <n v="0"/>
    <n v="0"/>
    <x v="136"/>
    <n v="27"/>
    <s v="U (Sep 21)"/>
    <d v="2021-09-15T00:00:00"/>
    <n v="-1"/>
  </r>
  <r>
    <x v="206"/>
    <x v="15"/>
    <n v="0"/>
    <n v="0"/>
    <n v="0"/>
    <n v="0"/>
    <x v="1449"/>
    <n v="0"/>
    <n v="0"/>
    <n v="0"/>
    <n v="0"/>
    <x v="151"/>
    <n v="91"/>
    <s v="X (Nov 21)"/>
    <d v="2021-11-17T00:00:00"/>
    <n v="-1"/>
  </r>
  <r>
    <x v="206"/>
    <x v="18"/>
    <n v="0"/>
    <n v="0"/>
    <n v="0"/>
    <n v="0"/>
    <x v="1450"/>
    <n v="0"/>
    <n v="0"/>
    <n v="0"/>
    <n v="0"/>
    <x v="145"/>
    <n v="0"/>
    <s v="Q (Aug 21)"/>
    <d v="2021-08-18T00:00:00"/>
    <n v="-1"/>
  </r>
  <r>
    <x v="206"/>
    <x v="14"/>
    <n v="0"/>
    <n v="0"/>
    <n v="0"/>
    <n v="0"/>
    <x v="1451"/>
    <n v="0"/>
    <n v="0"/>
    <n v="0"/>
    <n v="0"/>
    <x v="152"/>
    <n v="126"/>
    <s v="Z (Dec 21)"/>
    <d v="2021-12-22T00:00:00"/>
    <n v="-1"/>
  </r>
  <r>
    <x v="206"/>
    <x v="11"/>
    <n v="0"/>
    <n v="0"/>
    <n v="0"/>
    <n v="0"/>
    <x v="1452"/>
    <n v="0"/>
    <n v="0"/>
    <n v="0"/>
    <n v="0"/>
    <x v="84"/>
    <n v="209"/>
    <s v="H (Mar 22)"/>
    <d v="2022-03-15T00:00:00"/>
    <n v="-1"/>
  </r>
  <r>
    <x v="206"/>
    <x v="17"/>
    <n v="0"/>
    <n v="0"/>
    <n v="0"/>
    <n v="0"/>
    <x v="1453"/>
    <n v="0"/>
    <n v="0"/>
    <n v="0"/>
    <n v="0"/>
    <x v="150"/>
    <n v="28"/>
    <s v="U (Sep 21)"/>
    <d v="2021-09-15T00:00:00"/>
    <n v="-1"/>
  </r>
  <r>
    <x v="206"/>
    <x v="12"/>
    <n v="0"/>
    <n v="0"/>
    <n v="0"/>
    <n v="0"/>
    <x v="1454"/>
    <n v="0"/>
    <n v="0"/>
    <n v="0"/>
    <n v="0"/>
    <x v="141"/>
    <n v="182"/>
    <s v="G (Feb 22)"/>
    <d v="2022-02-16T00:00:00"/>
    <n v="-1"/>
  </r>
  <r>
    <x v="206"/>
    <x v="10"/>
    <n v="0"/>
    <n v="0"/>
    <n v="0"/>
    <n v="0"/>
    <x v="1022"/>
    <n v="0"/>
    <n v="0"/>
    <n v="0"/>
    <n v="0"/>
    <x v="160"/>
    <n v="245"/>
    <s v="J (Apr 22)"/>
    <d v="2022-04-20T00:00:00"/>
    <n v="-1"/>
  </r>
  <r>
    <x v="206"/>
    <x v="16"/>
    <n v="0"/>
    <n v="0"/>
    <n v="0"/>
    <n v="0"/>
    <x v="1455"/>
    <n v="0"/>
    <n v="0"/>
    <n v="0"/>
    <n v="0"/>
    <x v="154"/>
    <n v="63"/>
    <s v="V (Oct 21)"/>
    <d v="2021-10-20T00:00:00"/>
    <n v="-1"/>
  </r>
  <r>
    <x v="206"/>
    <x v="13"/>
    <n v="0"/>
    <n v="0"/>
    <n v="0"/>
    <n v="0"/>
    <x v="1456"/>
    <n v="0"/>
    <n v="0"/>
    <n v="0"/>
    <n v="0"/>
    <x v="140"/>
    <n v="154"/>
    <s v="F (Jan 22)"/>
    <d v="2022-01-19T00:00:00"/>
    <n v="-1"/>
  </r>
  <r>
    <x v="207"/>
    <x v="12"/>
    <n v="0"/>
    <n v="0"/>
    <n v="0"/>
    <n v="0"/>
    <x v="1457"/>
    <n v="0"/>
    <n v="0"/>
    <n v="0"/>
    <n v="0"/>
    <x v="147"/>
    <n v="183"/>
    <s v="G (Feb 22)"/>
    <d v="2022-02-16T00:00:00"/>
    <n v="-1"/>
  </r>
  <r>
    <x v="207"/>
    <x v="10"/>
    <n v="0"/>
    <n v="0"/>
    <n v="0"/>
    <n v="0"/>
    <x v="1132"/>
    <n v="0"/>
    <n v="0"/>
    <n v="0"/>
    <n v="0"/>
    <x v="171"/>
    <n v="246"/>
    <s v="J (Apr 22)"/>
    <d v="2022-04-20T00:00:00"/>
    <n v="-1"/>
  </r>
  <r>
    <x v="207"/>
    <x v="16"/>
    <n v="0"/>
    <n v="0"/>
    <n v="0"/>
    <n v="0"/>
    <x v="1458"/>
    <n v="0"/>
    <n v="0"/>
    <n v="0"/>
    <n v="0"/>
    <x v="159"/>
    <n v="64"/>
    <s v="V (Oct 21)"/>
    <d v="2021-10-20T00:00:00"/>
    <n v="-1"/>
  </r>
  <r>
    <x v="207"/>
    <x v="13"/>
    <n v="0"/>
    <n v="0"/>
    <n v="0"/>
    <n v="0"/>
    <x v="1459"/>
    <n v="0"/>
    <n v="0"/>
    <n v="0"/>
    <n v="0"/>
    <x v="146"/>
    <n v="155"/>
    <s v="F (Jan 22)"/>
    <d v="2022-01-19T00:00:00"/>
    <n v="-1"/>
  </r>
  <r>
    <x v="207"/>
    <x v="15"/>
    <n v="0"/>
    <n v="0"/>
    <n v="0"/>
    <n v="0"/>
    <x v="1460"/>
    <n v="0"/>
    <n v="0"/>
    <n v="0"/>
    <n v="0"/>
    <x v="164"/>
    <n v="92"/>
    <s v="X (Nov 21)"/>
    <d v="2021-11-17T00:00:00"/>
    <n v="-1"/>
  </r>
  <r>
    <x v="207"/>
    <x v="18"/>
    <n v="0"/>
    <n v="0"/>
    <n v="0"/>
    <n v="0"/>
    <x v="1461"/>
    <n v="0"/>
    <n v="0"/>
    <n v="0"/>
    <n v="0"/>
    <x v="156"/>
    <n v="1"/>
    <s v="Q (Aug 21)"/>
    <d v="2021-08-18T00:00:00"/>
    <n v="-1"/>
  </r>
  <r>
    <x v="207"/>
    <x v="14"/>
    <n v="0"/>
    <n v="0"/>
    <n v="0"/>
    <n v="0"/>
    <x v="1462"/>
    <n v="0"/>
    <n v="0"/>
    <n v="0"/>
    <n v="0"/>
    <x v="165"/>
    <n v="127"/>
    <s v="Z (Dec 21)"/>
    <d v="2021-12-22T00:00:00"/>
    <n v="-1"/>
  </r>
  <r>
    <x v="207"/>
    <x v="11"/>
    <n v="0"/>
    <n v="0"/>
    <n v="0"/>
    <n v="0"/>
    <x v="1132"/>
    <n v="0"/>
    <n v="0"/>
    <n v="0"/>
    <n v="0"/>
    <x v="90"/>
    <n v="210"/>
    <s v="H (Mar 22)"/>
    <d v="2022-03-15T00:00:00"/>
    <n v="-1"/>
  </r>
  <r>
    <x v="207"/>
    <x v="17"/>
    <n v="0"/>
    <n v="0"/>
    <n v="0"/>
    <n v="0"/>
    <x v="1463"/>
    <n v="0"/>
    <n v="0"/>
    <n v="0"/>
    <n v="0"/>
    <x v="153"/>
    <n v="29"/>
    <s v="U (Sep 21)"/>
    <d v="2021-09-15T00:00:00"/>
    <n v="-1"/>
  </r>
  <r>
    <x v="208"/>
    <x v="15"/>
    <n v="0"/>
    <n v="0"/>
    <n v="0"/>
    <n v="0"/>
    <x v="1464"/>
    <n v="0"/>
    <n v="0"/>
    <n v="0"/>
    <n v="0"/>
    <x v="167"/>
    <n v="93"/>
    <s v="X (Nov 21)"/>
    <d v="2021-11-17T00:00:00"/>
    <n v="-1"/>
  </r>
  <r>
    <x v="208"/>
    <x v="18"/>
    <n v="0"/>
    <n v="0"/>
    <n v="0"/>
    <n v="0"/>
    <x v="1465"/>
    <n v="0"/>
    <n v="0"/>
    <n v="0"/>
    <n v="0"/>
    <x v="161"/>
    <n v="2"/>
    <s v="Q (Aug 21)"/>
    <d v="2021-08-18T00:00:00"/>
    <n v="-1"/>
  </r>
  <r>
    <x v="208"/>
    <x v="14"/>
    <n v="0"/>
    <n v="0"/>
    <n v="0"/>
    <n v="0"/>
    <x v="1466"/>
    <n v="0"/>
    <n v="0"/>
    <n v="0"/>
    <n v="0"/>
    <x v="168"/>
    <n v="128"/>
    <s v="Z (Dec 21)"/>
    <d v="2021-12-22T00:00:00"/>
    <n v="-1"/>
  </r>
  <r>
    <x v="208"/>
    <x v="11"/>
    <n v="0"/>
    <n v="0"/>
    <n v="0"/>
    <n v="0"/>
    <x v="1397"/>
    <n v="0"/>
    <n v="0"/>
    <n v="0"/>
    <n v="0"/>
    <x v="102"/>
    <n v="211"/>
    <s v="H (Mar 22)"/>
    <d v="2022-03-15T00:00:00"/>
    <n v="-1"/>
  </r>
  <r>
    <x v="208"/>
    <x v="17"/>
    <n v="0"/>
    <n v="0"/>
    <n v="0"/>
    <n v="0"/>
    <x v="1467"/>
    <n v="0"/>
    <n v="0"/>
    <n v="0"/>
    <n v="0"/>
    <x v="166"/>
    <n v="30"/>
    <s v="U (Sep 21)"/>
    <d v="2021-09-15T00:00:00"/>
    <n v="-1"/>
  </r>
  <r>
    <x v="208"/>
    <x v="12"/>
    <n v="0"/>
    <n v="0"/>
    <n v="0"/>
    <n v="0"/>
    <x v="1468"/>
    <n v="0"/>
    <n v="0"/>
    <n v="0"/>
    <n v="0"/>
    <x v="158"/>
    <n v="184"/>
    <s v="G (Feb 22)"/>
    <d v="2022-02-16T00:00:00"/>
    <n v="-1"/>
  </r>
  <r>
    <x v="208"/>
    <x v="10"/>
    <n v="0"/>
    <n v="0"/>
    <n v="0"/>
    <n v="0"/>
    <x v="1469"/>
    <n v="0"/>
    <n v="0"/>
    <n v="0"/>
    <n v="0"/>
    <x v="4"/>
    <n v="247"/>
    <s v="J (Apr 22)"/>
    <d v="2022-04-20T00:00:00"/>
    <n v="-1"/>
  </r>
  <r>
    <x v="208"/>
    <x v="16"/>
    <n v="0"/>
    <n v="0"/>
    <n v="0"/>
    <n v="0"/>
    <x v="1470"/>
    <n v="0"/>
    <n v="0"/>
    <n v="0"/>
    <n v="0"/>
    <x v="170"/>
    <n v="65"/>
    <s v="V (Oct 21)"/>
    <d v="2021-10-20T00:00:00"/>
    <n v="-1"/>
  </r>
  <r>
    <x v="208"/>
    <x v="13"/>
    <n v="0"/>
    <n v="0"/>
    <n v="0"/>
    <n v="0"/>
    <x v="1053"/>
    <n v="0"/>
    <n v="0"/>
    <n v="0"/>
    <n v="0"/>
    <x v="157"/>
    <n v="156"/>
    <s v="F (Jan 22)"/>
    <d v="2022-01-19T00:00:00"/>
    <n v="-1"/>
  </r>
  <r>
    <x v="209"/>
    <x v="12"/>
    <n v="0"/>
    <n v="0"/>
    <n v="0"/>
    <n v="0"/>
    <x v="1471"/>
    <n v="0"/>
    <n v="0"/>
    <n v="0"/>
    <n v="0"/>
    <x v="163"/>
    <n v="187"/>
    <s v="G (Feb 22)"/>
    <d v="2022-02-16T00:00:00"/>
    <n v="-1"/>
  </r>
  <r>
    <x v="209"/>
    <x v="10"/>
    <n v="0"/>
    <n v="0"/>
    <n v="0"/>
    <n v="0"/>
    <x v="1397"/>
    <n v="0"/>
    <n v="0"/>
    <n v="0"/>
    <n v="0"/>
    <x v="16"/>
    <n v="250"/>
    <s v="J (Apr 22)"/>
    <d v="2022-04-20T00:00:00"/>
    <n v="-1"/>
  </r>
  <r>
    <x v="209"/>
    <x v="16"/>
    <n v="0"/>
    <n v="0"/>
    <n v="0"/>
    <n v="0"/>
    <x v="1472"/>
    <n v="0"/>
    <n v="0"/>
    <n v="0"/>
    <n v="0"/>
    <x v="6"/>
    <n v="68"/>
    <s v="V (Oct 21)"/>
    <d v="2021-10-20T00:00:00"/>
    <n v="-1"/>
  </r>
  <r>
    <x v="209"/>
    <x v="13"/>
    <n v="0"/>
    <n v="0"/>
    <n v="0"/>
    <n v="0"/>
    <x v="1473"/>
    <n v="0"/>
    <n v="0"/>
    <n v="0"/>
    <n v="0"/>
    <x v="162"/>
    <n v="159"/>
    <s v="F (Jan 22)"/>
    <d v="2022-01-19T00:00:00"/>
    <n v="-1"/>
  </r>
  <r>
    <x v="209"/>
    <x v="15"/>
    <n v="0"/>
    <n v="0"/>
    <n v="0"/>
    <n v="0"/>
    <x v="1474"/>
    <n v="0"/>
    <n v="0"/>
    <n v="0"/>
    <n v="0"/>
    <x v="175"/>
    <n v="96"/>
    <s v="X (Nov 21)"/>
    <d v="2021-11-17T00:00:00"/>
    <n v="-1"/>
  </r>
  <r>
    <x v="209"/>
    <x v="18"/>
    <n v="0"/>
    <n v="0"/>
    <n v="0"/>
    <n v="0"/>
    <x v="1475"/>
    <n v="0"/>
    <n v="0"/>
    <n v="0"/>
    <n v="0"/>
    <x v="8"/>
    <n v="5"/>
    <s v="Q (Aug 21)"/>
    <d v="2021-08-18T00:00:00"/>
    <n v="-1"/>
  </r>
  <r>
    <x v="209"/>
    <x v="14"/>
    <n v="0"/>
    <n v="0"/>
    <n v="0"/>
    <n v="0"/>
    <x v="1476"/>
    <n v="0"/>
    <n v="0"/>
    <n v="0"/>
    <n v="0"/>
    <x v="5"/>
    <n v="131"/>
    <s v="Z (Dec 21)"/>
    <d v="2021-12-22T00:00:00"/>
    <n v="-1"/>
  </r>
  <r>
    <x v="209"/>
    <x v="11"/>
    <n v="0"/>
    <n v="0"/>
    <n v="0"/>
    <n v="0"/>
    <x v="1477"/>
    <n v="0"/>
    <n v="0"/>
    <n v="0"/>
    <n v="0"/>
    <x v="108"/>
    <n v="214"/>
    <s v="H (Mar 22)"/>
    <d v="2022-03-15T00:00:00"/>
    <n v="-1"/>
  </r>
  <r>
    <x v="209"/>
    <x v="17"/>
    <n v="0"/>
    <n v="0"/>
    <n v="0"/>
    <n v="0"/>
    <x v="1478"/>
    <n v="0"/>
    <n v="0"/>
    <n v="0"/>
    <n v="0"/>
    <x v="169"/>
    <n v="33"/>
    <s v="U (Sep 21)"/>
    <d v="2021-09-15T00:00:00"/>
    <n v="-1"/>
  </r>
  <r>
    <x v="210"/>
    <x v="15"/>
    <n v="0"/>
    <n v="0"/>
    <n v="0"/>
    <n v="0"/>
    <x v="1479"/>
    <n v="0"/>
    <n v="0"/>
    <n v="0"/>
    <n v="0"/>
    <x v="177"/>
    <n v="97"/>
    <s v="X (Nov 21)"/>
    <d v="2021-11-17T00:00:00"/>
    <n v="-1"/>
  </r>
  <r>
    <x v="210"/>
    <x v="18"/>
    <n v="0"/>
    <n v="0"/>
    <n v="0"/>
    <n v="0"/>
    <x v="1480"/>
    <n v="0"/>
    <n v="0"/>
    <n v="0"/>
    <n v="0"/>
    <x v="11"/>
    <n v="6"/>
    <s v="Q (Aug 21)"/>
    <d v="2021-08-18T00:00:00"/>
    <n v="-1"/>
  </r>
  <r>
    <x v="210"/>
    <x v="14"/>
    <n v="0"/>
    <n v="0"/>
    <n v="0"/>
    <n v="0"/>
    <x v="1481"/>
    <n v="0"/>
    <n v="0"/>
    <n v="0"/>
    <n v="0"/>
    <x v="17"/>
    <n v="132"/>
    <s v="Z (Dec 21)"/>
    <d v="2021-12-22T00:00:00"/>
    <n v="-1"/>
  </r>
  <r>
    <x v="210"/>
    <x v="11"/>
    <n v="0"/>
    <n v="0"/>
    <n v="0"/>
    <n v="0"/>
    <x v="1457"/>
    <n v="0"/>
    <n v="0"/>
    <n v="0"/>
    <n v="0"/>
    <x v="120"/>
    <n v="215"/>
    <s v="H (Mar 22)"/>
    <d v="2022-03-15T00:00:00"/>
    <n v="-1"/>
  </r>
  <r>
    <x v="210"/>
    <x v="17"/>
    <n v="0"/>
    <n v="0"/>
    <n v="0"/>
    <n v="0"/>
    <x v="1482"/>
    <n v="0"/>
    <n v="0"/>
    <n v="0"/>
    <n v="0"/>
    <x v="176"/>
    <n v="34"/>
    <s v="U (Sep 21)"/>
    <d v="2021-09-15T00:00:00"/>
    <n v="-1"/>
  </r>
  <r>
    <x v="210"/>
    <x v="12"/>
    <n v="0"/>
    <n v="0"/>
    <n v="0"/>
    <n v="0"/>
    <x v="1483"/>
    <n v="0"/>
    <n v="0"/>
    <n v="0"/>
    <n v="0"/>
    <x v="173"/>
    <n v="188"/>
    <s v="G (Feb 22)"/>
    <d v="2022-02-16T00:00:00"/>
    <n v="-1"/>
  </r>
  <r>
    <x v="210"/>
    <x v="10"/>
    <n v="0"/>
    <n v="0"/>
    <n v="0"/>
    <n v="0"/>
    <x v="1484"/>
    <n v="0"/>
    <n v="0"/>
    <n v="0"/>
    <n v="0"/>
    <x v="22"/>
    <n v="251"/>
    <s v="J (Apr 22)"/>
    <d v="2022-04-20T00:00:00"/>
    <n v="-1"/>
  </r>
  <r>
    <x v="210"/>
    <x v="16"/>
    <n v="0"/>
    <n v="0"/>
    <n v="0"/>
    <n v="0"/>
    <x v="1485"/>
    <n v="0"/>
    <n v="0"/>
    <n v="0"/>
    <n v="0"/>
    <x v="9"/>
    <n v="69"/>
    <s v="V (Oct 21)"/>
    <d v="2021-10-20T00:00:00"/>
    <n v="-1"/>
  </r>
  <r>
    <x v="210"/>
    <x v="13"/>
    <n v="0"/>
    <n v="0"/>
    <n v="0"/>
    <n v="0"/>
    <x v="1172"/>
    <n v="0"/>
    <n v="0"/>
    <n v="0"/>
    <n v="0"/>
    <x v="172"/>
    <n v="160"/>
    <s v="F (Jan 22)"/>
    <d v="2022-01-19T00:00:00"/>
    <n v="-1"/>
  </r>
  <r>
    <x v="211"/>
    <x v="12"/>
    <n v="0"/>
    <n v="0"/>
    <n v="0"/>
    <n v="0"/>
    <x v="1468"/>
    <n v="0"/>
    <n v="0"/>
    <n v="0"/>
    <n v="0"/>
    <x v="174"/>
    <n v="189"/>
    <s v="G (Feb 22)"/>
    <d v="2022-02-16T00:00:00"/>
    <n v="-1"/>
  </r>
  <r>
    <x v="211"/>
    <x v="10"/>
    <n v="0"/>
    <n v="0"/>
    <n v="0"/>
    <n v="0"/>
    <x v="1376"/>
    <n v="0"/>
    <n v="0"/>
    <n v="0"/>
    <n v="0"/>
    <x v="33"/>
    <n v="252"/>
    <s v="J (Apr 22)"/>
    <d v="2022-04-20T00:00:00"/>
    <n v="-1"/>
  </r>
  <r>
    <x v="211"/>
    <x v="16"/>
    <n v="0"/>
    <n v="0"/>
    <n v="0"/>
    <n v="0"/>
    <x v="1486"/>
    <n v="0"/>
    <n v="0"/>
    <n v="0"/>
    <n v="0"/>
    <x v="24"/>
    <n v="70"/>
    <s v="V (Oct 21)"/>
    <d v="2021-10-20T00:00:00"/>
    <n v="-1"/>
  </r>
  <r>
    <x v="211"/>
    <x v="13"/>
    <n v="0"/>
    <n v="0"/>
    <n v="0"/>
    <n v="0"/>
    <x v="1487"/>
    <n v="0"/>
    <n v="0"/>
    <n v="0"/>
    <n v="0"/>
    <x v="0"/>
    <n v="161"/>
    <s v="F (Jan 22)"/>
    <d v="2022-01-19T00:00:00"/>
    <n v="-1"/>
  </r>
  <r>
    <x v="211"/>
    <x v="15"/>
    <n v="0"/>
    <n v="0"/>
    <n v="0"/>
    <n v="0"/>
    <x v="1488"/>
    <n v="0"/>
    <n v="0"/>
    <n v="0"/>
    <n v="0"/>
    <x v="181"/>
    <n v="98"/>
    <s v="X (Nov 21)"/>
    <d v="2021-11-17T00:00:00"/>
    <n v="-1"/>
  </r>
  <r>
    <x v="211"/>
    <x v="18"/>
    <n v="0"/>
    <n v="0"/>
    <n v="0"/>
    <n v="0"/>
    <x v="1489"/>
    <n v="0"/>
    <n v="0"/>
    <n v="0"/>
    <n v="0"/>
    <x v="26"/>
    <n v="7"/>
    <s v="Q (Aug 21)"/>
    <d v="2021-08-18T00:00:00"/>
    <n v="-1"/>
  </r>
  <r>
    <x v="211"/>
    <x v="14"/>
    <n v="0"/>
    <n v="0"/>
    <n v="0"/>
    <n v="0"/>
    <x v="1490"/>
    <n v="0"/>
    <n v="0"/>
    <n v="0"/>
    <n v="0"/>
    <x v="23"/>
    <n v="133"/>
    <s v="Z (Dec 21)"/>
    <d v="2021-12-22T00:00:00"/>
    <n v="-1"/>
  </r>
  <r>
    <x v="211"/>
    <x v="11"/>
    <n v="0"/>
    <n v="0"/>
    <n v="0"/>
    <n v="0"/>
    <x v="1484"/>
    <n v="0"/>
    <n v="0"/>
    <n v="0"/>
    <n v="0"/>
    <x v="126"/>
    <n v="216"/>
    <s v="H (Mar 22)"/>
    <d v="2022-03-15T00:00:00"/>
    <n v="-1"/>
  </r>
  <r>
    <x v="211"/>
    <x v="17"/>
    <n v="0"/>
    <n v="0"/>
    <n v="0"/>
    <n v="0"/>
    <x v="1491"/>
    <n v="0"/>
    <n v="0"/>
    <n v="0"/>
    <n v="0"/>
    <x v="178"/>
    <n v="35"/>
    <s v="U (Sep 21)"/>
    <d v="2021-09-15T00:00:00"/>
    <n v="-1"/>
  </r>
  <r>
    <x v="212"/>
    <x v="15"/>
    <n v="0"/>
    <n v="0"/>
    <n v="0"/>
    <n v="0"/>
    <x v="1492"/>
    <n v="0"/>
    <n v="0"/>
    <n v="0"/>
    <n v="0"/>
    <x v="183"/>
    <n v="99"/>
    <s v="X (Nov 21)"/>
    <d v="2021-11-17T00:00:00"/>
    <n v="-1"/>
  </r>
  <r>
    <x v="212"/>
    <x v="18"/>
    <n v="0"/>
    <n v="0"/>
    <n v="0"/>
    <n v="0"/>
    <x v="1493"/>
    <n v="0"/>
    <n v="0"/>
    <n v="0"/>
    <n v="0"/>
    <x v="29"/>
    <n v="8"/>
    <s v="Q (Aug 21)"/>
    <d v="2021-08-18T00:00:00"/>
    <n v="-1"/>
  </r>
  <r>
    <x v="212"/>
    <x v="14"/>
    <n v="0"/>
    <n v="0"/>
    <n v="0"/>
    <n v="0"/>
    <x v="1160"/>
    <n v="0"/>
    <n v="0"/>
    <n v="0"/>
    <n v="0"/>
    <x v="34"/>
    <n v="134"/>
    <s v="Z (Dec 21)"/>
    <d v="2021-12-22T00:00:00"/>
    <n v="-1"/>
  </r>
  <r>
    <x v="212"/>
    <x v="11"/>
    <n v="0"/>
    <n v="0"/>
    <n v="0"/>
    <n v="0"/>
    <x v="1421"/>
    <n v="0"/>
    <n v="0"/>
    <n v="0"/>
    <n v="0"/>
    <x v="137"/>
    <n v="217"/>
    <s v="H (Mar 22)"/>
    <d v="2022-03-15T00:00:00"/>
    <n v="-1"/>
  </r>
  <r>
    <x v="212"/>
    <x v="17"/>
    <n v="0"/>
    <n v="0"/>
    <n v="0"/>
    <n v="0"/>
    <x v="1494"/>
    <n v="0"/>
    <n v="0"/>
    <n v="0"/>
    <n v="0"/>
    <x v="182"/>
    <n v="36"/>
    <s v="U (Sep 21)"/>
    <d v="2021-09-15T00:00:00"/>
    <n v="-1"/>
  </r>
  <r>
    <x v="212"/>
    <x v="12"/>
    <n v="0"/>
    <n v="0"/>
    <n v="0"/>
    <n v="0"/>
    <x v="1495"/>
    <n v="0"/>
    <n v="0"/>
    <n v="0"/>
    <n v="0"/>
    <x v="179"/>
    <n v="190"/>
    <s v="G (Feb 22)"/>
    <d v="2022-02-16T00:00:00"/>
    <n v="-1"/>
  </r>
  <r>
    <x v="212"/>
    <x v="10"/>
    <n v="0"/>
    <n v="0"/>
    <n v="0"/>
    <n v="0"/>
    <x v="1074"/>
    <n v="0"/>
    <n v="0"/>
    <n v="0"/>
    <n v="0"/>
    <x v="39"/>
    <n v="253"/>
    <s v="J (Apr 22)"/>
    <d v="2022-04-20T00:00:00"/>
    <n v="-1"/>
  </r>
  <r>
    <x v="212"/>
    <x v="16"/>
    <n v="0"/>
    <n v="0"/>
    <n v="0"/>
    <n v="0"/>
    <x v="1496"/>
    <n v="0"/>
    <n v="0"/>
    <n v="0"/>
    <n v="0"/>
    <x v="27"/>
    <n v="71"/>
    <s v="V (Oct 21)"/>
    <d v="2021-10-20T00:00:00"/>
    <n v="-1"/>
  </r>
  <r>
    <x v="212"/>
    <x v="13"/>
    <n v="0"/>
    <n v="0"/>
    <n v="0"/>
    <n v="0"/>
    <x v="1386"/>
    <n v="0"/>
    <n v="0"/>
    <n v="0"/>
    <n v="0"/>
    <x v="12"/>
    <n v="162"/>
    <s v="F (Jan 22)"/>
    <d v="2022-01-19T00:00:00"/>
    <n v="-1"/>
  </r>
  <r>
    <x v="213"/>
    <x v="12"/>
    <n v="0"/>
    <n v="0"/>
    <n v="0"/>
    <n v="0"/>
    <x v="1497"/>
    <n v="0"/>
    <n v="0"/>
    <n v="0"/>
    <n v="0"/>
    <x v="180"/>
    <n v="191"/>
    <s v="G (Feb 22)"/>
    <d v="2022-02-16T00:00:00"/>
    <n v="-1"/>
  </r>
  <r>
    <x v="213"/>
    <x v="10"/>
    <n v="0"/>
    <n v="0"/>
    <n v="0"/>
    <n v="0"/>
    <x v="1498"/>
    <n v="0"/>
    <n v="0"/>
    <n v="0"/>
    <n v="0"/>
    <x v="51"/>
    <n v="254"/>
    <s v="J (Apr 22)"/>
    <d v="2022-04-20T00:00:00"/>
    <n v="-1"/>
  </r>
  <r>
    <x v="213"/>
    <x v="16"/>
    <n v="0"/>
    <n v="0"/>
    <n v="0"/>
    <n v="0"/>
    <x v="1499"/>
    <n v="0"/>
    <n v="0"/>
    <n v="0"/>
    <n v="0"/>
    <x v="42"/>
    <n v="72"/>
    <s v="V (Oct 21)"/>
    <d v="2021-10-20T00:00:00"/>
    <n v="-1"/>
  </r>
  <r>
    <x v="213"/>
    <x v="13"/>
    <n v="0"/>
    <n v="0"/>
    <n v="0"/>
    <n v="0"/>
    <x v="1500"/>
    <n v="0"/>
    <n v="0"/>
    <n v="0"/>
    <n v="0"/>
    <x v="18"/>
    <n v="163"/>
    <s v="F (Jan 22)"/>
    <d v="2022-01-19T00:00:00"/>
    <n v="-1"/>
  </r>
  <r>
    <x v="213"/>
    <x v="15"/>
    <n v="0"/>
    <n v="0"/>
    <n v="0"/>
    <n v="0"/>
    <x v="1501"/>
    <n v="0"/>
    <n v="0"/>
    <n v="0"/>
    <n v="0"/>
    <x v="7"/>
    <n v="100"/>
    <s v="X (Nov 21)"/>
    <d v="2021-11-17T00:00:00"/>
    <n v="-1"/>
  </r>
  <r>
    <x v="213"/>
    <x v="18"/>
    <n v="0"/>
    <n v="0"/>
    <n v="0"/>
    <n v="0"/>
    <x v="1502"/>
    <n v="0"/>
    <n v="0"/>
    <n v="0"/>
    <n v="0"/>
    <x v="44"/>
    <n v="9"/>
    <s v="Q (Aug 21)"/>
    <d v="2021-08-18T00:00:00"/>
    <n v="-1"/>
  </r>
  <r>
    <x v="213"/>
    <x v="14"/>
    <n v="0"/>
    <n v="0"/>
    <n v="0"/>
    <n v="0"/>
    <x v="1503"/>
    <n v="0"/>
    <n v="0"/>
    <n v="0"/>
    <n v="0"/>
    <x v="40"/>
    <n v="135"/>
    <s v="Z (Dec 21)"/>
    <d v="2021-12-22T00:00:00"/>
    <n v="-1"/>
  </r>
  <r>
    <x v="213"/>
    <x v="11"/>
    <n v="0"/>
    <n v="0"/>
    <n v="0"/>
    <n v="0"/>
    <x v="1504"/>
    <n v="0"/>
    <n v="0"/>
    <n v="0"/>
    <n v="0"/>
    <x v="142"/>
    <n v="218"/>
    <s v="H (Mar 22)"/>
    <d v="2022-03-15T00:00:00"/>
    <n v="-1"/>
  </r>
  <r>
    <x v="213"/>
    <x v="17"/>
    <n v="0"/>
    <n v="0"/>
    <n v="0"/>
    <n v="0"/>
    <x v="1505"/>
    <n v="0"/>
    <n v="0"/>
    <n v="0"/>
    <n v="0"/>
    <x v="184"/>
    <n v="37"/>
    <s v="U (Sep 21)"/>
    <d v="2021-09-15T00:00:00"/>
    <n v="-1"/>
  </r>
  <r>
    <x v="214"/>
    <x v="15"/>
    <n v="0"/>
    <n v="0"/>
    <n v="0"/>
    <n v="0"/>
    <x v="1506"/>
    <n v="0"/>
    <n v="0"/>
    <n v="0"/>
    <n v="0"/>
    <x v="10"/>
    <n v="103"/>
    <s v="X (Nov 21)"/>
    <d v="2021-11-17T00:00:00"/>
    <n v="-1"/>
  </r>
  <r>
    <x v="214"/>
    <x v="18"/>
    <n v="0"/>
    <n v="0"/>
    <n v="0"/>
    <n v="0"/>
    <x v="1507"/>
    <n v="0"/>
    <n v="0"/>
    <n v="0"/>
    <n v="0"/>
    <x v="47"/>
    <n v="12"/>
    <s v="Q (Aug 21)"/>
    <d v="2021-08-18T00:00:00"/>
    <n v="-1"/>
  </r>
  <r>
    <x v="214"/>
    <x v="14"/>
    <n v="0"/>
    <n v="0"/>
    <n v="0"/>
    <n v="0"/>
    <x v="1508"/>
    <n v="0"/>
    <n v="0"/>
    <n v="0"/>
    <n v="0"/>
    <x v="52"/>
    <n v="138"/>
    <s v="Z (Dec 21)"/>
    <d v="2021-12-22T00:00:00"/>
    <n v="-1"/>
  </r>
  <r>
    <x v="214"/>
    <x v="11"/>
    <n v="0"/>
    <n v="0"/>
    <n v="0"/>
    <n v="0"/>
    <x v="1395"/>
    <n v="0"/>
    <n v="0"/>
    <n v="0"/>
    <n v="0"/>
    <x v="3"/>
    <n v="221"/>
    <s v="H (Mar 22)"/>
    <d v="2022-03-15T00:00:00"/>
    <n v="-1"/>
  </r>
  <r>
    <x v="214"/>
    <x v="17"/>
    <n v="0"/>
    <n v="0"/>
    <n v="0"/>
    <n v="0"/>
    <x v="1509"/>
    <n v="0"/>
    <n v="0"/>
    <n v="0"/>
    <n v="0"/>
    <x v="2"/>
    <n v="40"/>
    <s v="U (Sep 21)"/>
    <d v="2021-09-15T00:00:00"/>
    <n v="-1"/>
  </r>
  <r>
    <x v="214"/>
    <x v="12"/>
    <n v="0"/>
    <n v="0"/>
    <n v="0"/>
    <n v="0"/>
    <x v="1477"/>
    <n v="0"/>
    <n v="0"/>
    <n v="0"/>
    <n v="0"/>
    <x v="185"/>
    <n v="194"/>
    <s v="G (Feb 22)"/>
    <d v="2022-02-16T00:00:00"/>
    <n v="-1"/>
  </r>
  <r>
    <x v="214"/>
    <x v="10"/>
    <n v="0"/>
    <n v="0"/>
    <n v="0"/>
    <n v="0"/>
    <x v="1469"/>
    <n v="0"/>
    <n v="0"/>
    <n v="0"/>
    <n v="0"/>
    <x v="57"/>
    <n v="257"/>
    <s v="J (Apr 22)"/>
    <d v="2022-04-20T00:00:00"/>
    <n v="-1"/>
  </r>
  <r>
    <x v="214"/>
    <x v="16"/>
    <n v="0"/>
    <n v="0"/>
    <n v="0"/>
    <n v="0"/>
    <x v="1510"/>
    <n v="0"/>
    <n v="0"/>
    <n v="0"/>
    <n v="0"/>
    <x v="45"/>
    <n v="75"/>
    <s v="V (Oct 21)"/>
    <d v="2021-10-20T00:00:00"/>
    <n v="-1"/>
  </r>
  <r>
    <x v="214"/>
    <x v="13"/>
    <n v="0"/>
    <n v="0"/>
    <n v="0"/>
    <n v="0"/>
    <x v="1386"/>
    <n v="0"/>
    <n v="0"/>
    <n v="0"/>
    <n v="0"/>
    <x v="35"/>
    <n v="166"/>
    <s v="F (Jan 22)"/>
    <d v="2022-01-19T00:00:00"/>
    <n v="-1"/>
  </r>
  <r>
    <x v="215"/>
    <x v="12"/>
    <n v="0"/>
    <n v="0"/>
    <n v="0"/>
    <n v="0"/>
    <x v="1511"/>
    <n v="0"/>
    <n v="0"/>
    <n v="0"/>
    <n v="0"/>
    <x v="1"/>
    <n v="195"/>
    <s v="G (Feb 22)"/>
    <d v="2022-02-16T00:00:00"/>
    <n v="-1"/>
  </r>
  <r>
    <x v="215"/>
    <x v="10"/>
    <n v="0"/>
    <n v="0"/>
    <n v="0"/>
    <n v="0"/>
    <x v="1431"/>
    <n v="0"/>
    <n v="0"/>
    <n v="0"/>
    <n v="0"/>
    <x v="69"/>
    <n v="258"/>
    <s v="J (Apr 22)"/>
    <d v="2022-04-20T00:00:00"/>
    <n v="-1"/>
  </r>
  <r>
    <x v="215"/>
    <x v="16"/>
    <n v="0"/>
    <n v="0"/>
    <n v="0"/>
    <n v="0"/>
    <x v="1512"/>
    <n v="0"/>
    <n v="0"/>
    <n v="0"/>
    <n v="0"/>
    <x v="60"/>
    <n v="76"/>
    <s v="V (Oct 21)"/>
    <d v="2021-10-20T00:00:00"/>
    <n v="-1"/>
  </r>
  <r>
    <x v="215"/>
    <x v="13"/>
    <n v="0"/>
    <n v="0"/>
    <n v="0"/>
    <n v="0"/>
    <x v="1343"/>
    <n v="0"/>
    <n v="0"/>
    <n v="0"/>
    <n v="0"/>
    <x v="41"/>
    <n v="167"/>
    <s v="F (Jan 22)"/>
    <d v="2022-01-19T00:00:00"/>
    <n v="-1"/>
  </r>
  <r>
    <x v="215"/>
    <x v="15"/>
    <n v="0"/>
    <n v="0"/>
    <n v="0"/>
    <n v="0"/>
    <x v="1116"/>
    <n v="0"/>
    <n v="0"/>
    <n v="0"/>
    <n v="0"/>
    <x v="25"/>
    <n v="104"/>
    <s v="X (Nov 21)"/>
    <d v="2021-11-17T00:00:00"/>
    <n v="-1"/>
  </r>
  <r>
    <x v="215"/>
    <x v="18"/>
    <n v="0"/>
    <n v="0"/>
    <n v="0"/>
    <n v="0"/>
    <x v="1513"/>
    <n v="0"/>
    <n v="0"/>
    <n v="0"/>
    <n v="0"/>
    <x v="62"/>
    <n v="13"/>
    <s v="Q (Aug 21)"/>
    <d v="2021-08-18T00:00:00"/>
    <n v="-1"/>
  </r>
  <r>
    <x v="215"/>
    <x v="14"/>
    <n v="0"/>
    <n v="0"/>
    <n v="0"/>
    <n v="0"/>
    <x v="1514"/>
    <n v="0"/>
    <n v="0"/>
    <n v="0"/>
    <n v="0"/>
    <x v="58"/>
    <n v="139"/>
    <s v="Z (Dec 21)"/>
    <d v="2021-12-22T00:00:00"/>
    <n v="-1"/>
  </r>
  <r>
    <x v="215"/>
    <x v="11"/>
    <n v="0"/>
    <n v="0"/>
    <n v="0"/>
    <n v="0"/>
    <x v="1431"/>
    <n v="0"/>
    <n v="0"/>
    <n v="0"/>
    <n v="0"/>
    <x v="15"/>
    <n v="222"/>
    <s v="H (Mar 22)"/>
    <d v="2022-03-15T00:00:00"/>
    <n v="-1"/>
  </r>
  <r>
    <x v="215"/>
    <x v="17"/>
    <n v="0"/>
    <n v="0"/>
    <n v="0"/>
    <n v="0"/>
    <x v="1515"/>
    <n v="0"/>
    <n v="0"/>
    <n v="0"/>
    <n v="0"/>
    <x v="14"/>
    <n v="41"/>
    <s v="U (Sep 21)"/>
    <d v="2021-09-15T00:00:00"/>
    <n v="-1"/>
  </r>
  <r>
    <x v="216"/>
    <x v="15"/>
    <n v="0"/>
    <n v="0"/>
    <n v="0"/>
    <n v="0"/>
    <x v="1516"/>
    <n v="0"/>
    <n v="0"/>
    <n v="0"/>
    <n v="0"/>
    <x v="28"/>
    <n v="105"/>
    <s v="X (Nov 21)"/>
    <d v="2021-11-17T00:00:00"/>
    <n v="-1"/>
  </r>
  <r>
    <x v="216"/>
    <x v="18"/>
    <n v="0"/>
    <n v="0"/>
    <n v="0"/>
    <n v="0"/>
    <x v="1517"/>
    <n v="0"/>
    <n v="0"/>
    <n v="0"/>
    <n v="0"/>
    <x v="65"/>
    <n v="14"/>
    <s v="Q (Aug 21)"/>
    <d v="2021-08-18T00:00:00"/>
    <n v="-1"/>
  </r>
  <r>
    <x v="216"/>
    <x v="14"/>
    <n v="0"/>
    <n v="0"/>
    <n v="0"/>
    <n v="0"/>
    <x v="1518"/>
    <n v="0"/>
    <n v="0"/>
    <n v="0"/>
    <n v="0"/>
    <x v="70"/>
    <n v="140"/>
    <s v="Z (Dec 21)"/>
    <d v="2021-12-22T00:00:00"/>
    <n v="-1"/>
  </r>
  <r>
    <x v="216"/>
    <x v="11"/>
    <n v="0"/>
    <n v="0"/>
    <n v="0"/>
    <n v="0"/>
    <x v="1311"/>
    <n v="0"/>
    <n v="0"/>
    <n v="0"/>
    <n v="0"/>
    <x v="21"/>
    <n v="223"/>
    <s v="H (Mar 22)"/>
    <d v="2022-03-15T00:00:00"/>
    <n v="-1"/>
  </r>
  <r>
    <x v="216"/>
    <x v="17"/>
    <n v="0"/>
    <n v="0"/>
    <n v="0"/>
    <n v="0"/>
    <x v="1519"/>
    <n v="0"/>
    <n v="0"/>
    <n v="0"/>
    <n v="0"/>
    <x v="20"/>
    <n v="42"/>
    <s v="U (Sep 21)"/>
    <d v="2021-09-15T00:00:00"/>
    <n v="-1"/>
  </r>
  <r>
    <x v="216"/>
    <x v="12"/>
    <n v="0"/>
    <n v="0"/>
    <n v="0"/>
    <n v="0"/>
    <x v="1520"/>
    <n v="0"/>
    <n v="0"/>
    <n v="0"/>
    <n v="0"/>
    <x v="13"/>
    <n v="196"/>
    <s v="G (Feb 22)"/>
    <d v="2022-02-16T00:00:00"/>
    <n v="-1"/>
  </r>
  <r>
    <x v="216"/>
    <x v="10"/>
    <n v="0"/>
    <n v="0"/>
    <n v="0"/>
    <n v="0"/>
    <x v="820"/>
    <n v="0"/>
    <n v="0"/>
    <n v="0"/>
    <n v="0"/>
    <x v="75"/>
    <n v="259"/>
    <s v="J (Apr 22)"/>
    <d v="2022-04-20T00:00:00"/>
    <n v="-1"/>
  </r>
  <r>
    <x v="216"/>
    <x v="16"/>
    <n v="0"/>
    <n v="0"/>
    <n v="0"/>
    <n v="0"/>
    <x v="1521"/>
    <n v="0"/>
    <n v="0"/>
    <n v="0"/>
    <n v="0"/>
    <x v="63"/>
    <n v="77"/>
    <s v="V (Oct 21)"/>
    <d v="2021-10-20T00:00:00"/>
    <n v="-1"/>
  </r>
  <r>
    <x v="216"/>
    <x v="13"/>
    <n v="0"/>
    <n v="0"/>
    <n v="0"/>
    <n v="0"/>
    <x v="1522"/>
    <n v="0"/>
    <n v="0"/>
    <n v="0"/>
    <n v="0"/>
    <x v="53"/>
    <n v="168"/>
    <s v="F (Jan 22)"/>
    <d v="2022-01-19T00:00:00"/>
    <n v="-1"/>
  </r>
  <r>
    <x v="217"/>
    <x v="12"/>
    <n v="0"/>
    <n v="0"/>
    <n v="0"/>
    <n v="0"/>
    <x v="1049"/>
    <n v="0"/>
    <n v="0"/>
    <n v="0"/>
    <n v="0"/>
    <x v="19"/>
    <n v="197"/>
    <s v="G (Feb 22)"/>
    <d v="2022-02-16T00:00:00"/>
    <n v="-1"/>
  </r>
  <r>
    <x v="217"/>
    <x v="10"/>
    <n v="0"/>
    <n v="0"/>
    <n v="0"/>
    <n v="0"/>
    <x v="1063"/>
    <n v="0"/>
    <n v="0"/>
    <n v="0"/>
    <n v="0"/>
    <x v="87"/>
    <n v="260"/>
    <s v="J (Apr 22)"/>
    <d v="2022-04-20T00:00:00"/>
    <n v="-1"/>
  </r>
  <r>
    <x v="217"/>
    <x v="16"/>
    <n v="0"/>
    <n v="0"/>
    <n v="0"/>
    <n v="0"/>
    <x v="1523"/>
    <n v="0"/>
    <n v="0"/>
    <n v="0"/>
    <n v="0"/>
    <x v="78"/>
    <n v="78"/>
    <s v="V (Oct 21)"/>
    <d v="2021-10-20T00:00:00"/>
    <n v="-1"/>
  </r>
  <r>
    <x v="217"/>
    <x v="13"/>
    <n v="0"/>
    <n v="0"/>
    <n v="0"/>
    <n v="0"/>
    <x v="1376"/>
    <n v="0"/>
    <n v="0"/>
    <n v="0"/>
    <n v="0"/>
    <x v="59"/>
    <n v="169"/>
    <s v="F (Jan 22)"/>
    <d v="2022-01-19T00:00:00"/>
    <n v="-1"/>
  </r>
  <r>
    <x v="217"/>
    <x v="15"/>
    <n v="0"/>
    <n v="0"/>
    <n v="0"/>
    <n v="0"/>
    <x v="1524"/>
    <n v="0"/>
    <n v="0"/>
    <n v="0"/>
    <n v="0"/>
    <x v="43"/>
    <n v="106"/>
    <s v="X (Nov 21)"/>
    <d v="2021-11-17T00:00:00"/>
    <n v="-1"/>
  </r>
  <r>
    <x v="217"/>
    <x v="18"/>
    <n v="0"/>
    <n v="0"/>
    <n v="0"/>
    <n v="0"/>
    <x v="1525"/>
    <n v="0"/>
    <n v="0"/>
    <n v="0"/>
    <n v="0"/>
    <x v="80"/>
    <n v="15"/>
    <s v="Q (Aug 21)"/>
    <d v="2021-08-18T00:00:00"/>
    <n v="-1"/>
  </r>
  <r>
    <x v="217"/>
    <x v="14"/>
    <n v="0"/>
    <n v="0"/>
    <n v="0"/>
    <n v="0"/>
    <x v="1526"/>
    <n v="0"/>
    <n v="0"/>
    <n v="0"/>
    <n v="0"/>
    <x v="76"/>
    <n v="141"/>
    <s v="Z (Dec 21)"/>
    <d v="2021-12-22T00:00:00"/>
    <n v="-1"/>
  </r>
  <r>
    <x v="217"/>
    <x v="11"/>
    <n v="0"/>
    <n v="0"/>
    <n v="0"/>
    <n v="0"/>
    <x v="1075"/>
    <n v="0"/>
    <n v="0"/>
    <n v="0"/>
    <n v="0"/>
    <x v="32"/>
    <n v="224"/>
    <s v="H (Mar 22)"/>
    <d v="2022-03-15T00:00:00"/>
    <n v="-1"/>
  </r>
  <r>
    <x v="217"/>
    <x v="17"/>
    <n v="0"/>
    <n v="0"/>
    <n v="0"/>
    <n v="0"/>
    <x v="1527"/>
    <n v="0"/>
    <n v="0"/>
    <n v="0"/>
    <n v="0"/>
    <x v="31"/>
    <n v="43"/>
    <s v="U (Sep 21)"/>
    <d v="2021-09-15T00:00:00"/>
    <n v="-1"/>
  </r>
  <r>
    <x v="218"/>
    <x v="15"/>
    <n v="0"/>
    <n v="0"/>
    <n v="0"/>
    <n v="0"/>
    <x v="1468"/>
    <n v="0"/>
    <n v="0"/>
    <n v="0"/>
    <n v="0"/>
    <x v="46"/>
    <n v="107"/>
    <s v="X (Nov 21)"/>
    <d v="2021-11-17T00:00:00"/>
    <n v="-1"/>
  </r>
  <r>
    <x v="218"/>
    <x v="18"/>
    <n v="0"/>
    <n v="0"/>
    <n v="0"/>
    <n v="0"/>
    <x v="1528"/>
    <n v="0"/>
    <n v="0"/>
    <n v="0"/>
    <n v="0"/>
    <x v="83"/>
    <n v="16"/>
    <s v="Q (Aug 21)"/>
    <d v="2021-08-18T00:00:00"/>
    <n v="-1"/>
  </r>
  <r>
    <x v="218"/>
    <x v="14"/>
    <n v="0"/>
    <n v="0"/>
    <n v="0"/>
    <n v="0"/>
    <x v="1529"/>
    <n v="0"/>
    <n v="0"/>
    <n v="0"/>
    <n v="0"/>
    <x v="88"/>
    <n v="142"/>
    <s v="Z (Dec 21)"/>
    <d v="2021-12-22T00:00:00"/>
    <n v="-1"/>
  </r>
  <r>
    <x v="218"/>
    <x v="11"/>
    <n v="0"/>
    <n v="0"/>
    <n v="0"/>
    <n v="0"/>
    <x v="820"/>
    <n v="0"/>
    <n v="0"/>
    <n v="0"/>
    <n v="0"/>
    <x v="38"/>
    <n v="225"/>
    <s v="H (Mar 22)"/>
    <d v="2022-03-15T00:00:00"/>
    <n v="-1"/>
  </r>
  <r>
    <x v="218"/>
    <x v="17"/>
    <n v="0"/>
    <n v="0"/>
    <n v="0"/>
    <n v="0"/>
    <x v="1530"/>
    <n v="0"/>
    <n v="0"/>
    <n v="0"/>
    <n v="0"/>
    <x v="37"/>
    <n v="44"/>
    <s v="U (Sep 21)"/>
    <d v="2021-09-15T00:00:00"/>
    <n v="-1"/>
  </r>
  <r>
    <x v="218"/>
    <x v="12"/>
    <n v="0"/>
    <n v="0"/>
    <n v="0"/>
    <n v="0"/>
    <x v="1104"/>
    <n v="0"/>
    <n v="0"/>
    <n v="0"/>
    <n v="0"/>
    <x v="30"/>
    <n v="198"/>
    <s v="G (Feb 22)"/>
    <d v="2022-02-16T00:00:00"/>
    <n v="-1"/>
  </r>
  <r>
    <x v="218"/>
    <x v="10"/>
    <n v="0"/>
    <n v="0"/>
    <n v="0"/>
    <n v="0"/>
    <x v="1070"/>
    <n v="0"/>
    <n v="0"/>
    <n v="0"/>
    <n v="0"/>
    <x v="93"/>
    <n v="261"/>
    <s v="J (Apr 22)"/>
    <d v="2022-04-20T00:00:00"/>
    <n v="-1"/>
  </r>
  <r>
    <x v="218"/>
    <x v="16"/>
    <n v="0"/>
    <n v="0"/>
    <n v="0"/>
    <n v="0"/>
    <x v="1531"/>
    <n v="0"/>
    <n v="0"/>
    <n v="0"/>
    <n v="0"/>
    <x v="81"/>
    <n v="79"/>
    <s v="V (Oct 21)"/>
    <d v="2021-10-20T00:00:00"/>
    <n v="-1"/>
  </r>
  <r>
    <x v="218"/>
    <x v="13"/>
    <n v="0"/>
    <n v="0"/>
    <n v="0"/>
    <n v="0"/>
    <x v="1037"/>
    <n v="0"/>
    <n v="0"/>
    <n v="0"/>
    <n v="0"/>
    <x v="71"/>
    <n v="170"/>
    <s v="F (Jan 22)"/>
    <d v="2022-01-19T00:00:00"/>
    <n v="-1"/>
  </r>
  <r>
    <x v="219"/>
    <x v="12"/>
    <n v="0"/>
    <n v="0"/>
    <n v="0"/>
    <n v="0"/>
    <x v="1049"/>
    <n v="0"/>
    <n v="0"/>
    <n v="0"/>
    <n v="0"/>
    <x v="36"/>
    <n v="201"/>
    <s v="G (Feb 22)"/>
    <d v="2022-02-16T00:00:00"/>
    <n v="-1"/>
  </r>
  <r>
    <x v="219"/>
    <x v="10"/>
    <n v="0"/>
    <n v="0"/>
    <n v="0"/>
    <n v="0"/>
    <x v="1126"/>
    <n v="0"/>
    <n v="0"/>
    <n v="0"/>
    <n v="0"/>
    <x v="105"/>
    <n v="264"/>
    <s v="J (Apr 22)"/>
    <d v="2022-04-20T00:00:00"/>
    <n v="-1"/>
  </r>
  <r>
    <x v="219"/>
    <x v="16"/>
    <n v="0"/>
    <n v="0"/>
    <n v="0"/>
    <n v="0"/>
    <x v="1532"/>
    <n v="0"/>
    <n v="0"/>
    <n v="0"/>
    <n v="0"/>
    <x v="96"/>
    <n v="82"/>
    <s v="V (Oct 21)"/>
    <d v="2021-10-20T00:00:00"/>
    <n v="-1"/>
  </r>
  <r>
    <x v="219"/>
    <x v="13"/>
    <n v="0"/>
    <n v="0"/>
    <n v="0"/>
    <n v="0"/>
    <x v="1533"/>
    <n v="0"/>
    <n v="0"/>
    <n v="0"/>
    <n v="0"/>
    <x v="77"/>
    <n v="173"/>
    <s v="F (Jan 22)"/>
    <d v="2022-01-19T00:00:00"/>
    <n v="-1"/>
  </r>
  <r>
    <x v="219"/>
    <x v="15"/>
    <n v="0"/>
    <n v="0"/>
    <n v="0"/>
    <n v="0"/>
    <x v="1534"/>
    <n v="0"/>
    <n v="0"/>
    <n v="0"/>
    <n v="0"/>
    <x v="61"/>
    <n v="110"/>
    <s v="X (Nov 21)"/>
    <d v="2021-11-17T00:00:00"/>
    <n v="-1"/>
  </r>
  <r>
    <x v="219"/>
    <x v="18"/>
    <n v="0"/>
    <n v="0"/>
    <n v="0"/>
    <n v="0"/>
    <x v="1535"/>
    <n v="0"/>
    <n v="0"/>
    <n v="0"/>
    <n v="0"/>
    <x v="98"/>
    <n v="19"/>
    <s v="Q (Aug 21)"/>
    <d v="2021-08-18T00:00:00"/>
    <n v="-1"/>
  </r>
  <r>
    <x v="219"/>
    <x v="14"/>
    <n v="0"/>
    <n v="0"/>
    <n v="0"/>
    <n v="0"/>
    <x v="1536"/>
    <n v="0"/>
    <n v="0"/>
    <n v="0"/>
    <n v="0"/>
    <x v="94"/>
    <n v="145"/>
    <s v="Z (Dec 21)"/>
    <d v="2021-12-22T00:00:00"/>
    <n v="-1"/>
  </r>
  <r>
    <x v="219"/>
    <x v="11"/>
    <n v="0"/>
    <n v="0"/>
    <n v="0"/>
    <n v="0"/>
    <x v="1126"/>
    <n v="0"/>
    <n v="0"/>
    <n v="0"/>
    <n v="0"/>
    <x v="50"/>
    <n v="228"/>
    <s v="H (Mar 22)"/>
    <d v="2022-03-15T00:00:00"/>
    <n v="-1"/>
  </r>
  <r>
    <x v="219"/>
    <x v="17"/>
    <n v="0"/>
    <n v="0"/>
    <n v="0"/>
    <n v="0"/>
    <x v="1537"/>
    <n v="0"/>
    <n v="0"/>
    <n v="0"/>
    <n v="0"/>
    <x v="49"/>
    <n v="47"/>
    <s v="U (Sep 21)"/>
    <d v="2021-09-15T00:00:00"/>
    <n v="-1"/>
  </r>
  <r>
    <x v="220"/>
    <x v="15"/>
    <n v="0"/>
    <n v="0"/>
    <n v="0"/>
    <n v="0"/>
    <x v="1160"/>
    <n v="0"/>
    <n v="0"/>
    <n v="0"/>
    <n v="0"/>
    <x v="64"/>
    <n v="111"/>
    <s v="X (Nov 21)"/>
    <d v="2021-11-17T00:00:00"/>
    <n v="-1"/>
  </r>
  <r>
    <x v="220"/>
    <x v="18"/>
    <n v="0"/>
    <n v="0"/>
    <n v="0"/>
    <n v="0"/>
    <x v="1538"/>
    <n v="0"/>
    <n v="0"/>
    <n v="0"/>
    <n v="0"/>
    <x v="101"/>
    <n v="20"/>
    <s v="Q (Aug 21)"/>
    <d v="2021-08-18T00:00:00"/>
    <n v="-1"/>
  </r>
  <r>
    <x v="220"/>
    <x v="14"/>
    <n v="0"/>
    <n v="0"/>
    <n v="0"/>
    <n v="0"/>
    <x v="1539"/>
    <n v="0"/>
    <n v="0"/>
    <n v="0"/>
    <n v="0"/>
    <x v="106"/>
    <n v="146"/>
    <s v="Z (Dec 21)"/>
    <d v="2021-12-22T00:00:00"/>
    <n v="-1"/>
  </r>
  <r>
    <x v="220"/>
    <x v="11"/>
    <n v="0"/>
    <n v="0"/>
    <n v="0"/>
    <n v="0"/>
    <x v="1540"/>
    <n v="0"/>
    <n v="0"/>
    <n v="0"/>
    <n v="0"/>
    <x v="56"/>
    <n v="229"/>
    <s v="H (Mar 22)"/>
    <d v="2022-03-15T00:00:00"/>
    <n v="-1"/>
  </r>
  <r>
    <x v="220"/>
    <x v="17"/>
    <n v="0"/>
    <n v="0"/>
    <n v="0"/>
    <n v="0"/>
    <x v="1541"/>
    <n v="0"/>
    <n v="0"/>
    <n v="0"/>
    <n v="0"/>
    <x v="55"/>
    <n v="48"/>
    <s v="U (Sep 21)"/>
    <d v="2021-09-15T00:00:00"/>
    <n v="-1"/>
  </r>
  <r>
    <x v="220"/>
    <x v="12"/>
    <n v="0"/>
    <n v="0"/>
    <n v="0"/>
    <n v="0"/>
    <x v="1542"/>
    <n v="0"/>
    <n v="0"/>
    <n v="0"/>
    <n v="0"/>
    <x v="48"/>
    <n v="202"/>
    <s v="G (Feb 22)"/>
    <d v="2022-02-16T00:00:00"/>
    <n v="-1"/>
  </r>
  <r>
    <x v="220"/>
    <x v="10"/>
    <n v="0"/>
    <n v="0"/>
    <n v="0"/>
    <n v="0"/>
    <x v="1209"/>
    <n v="0"/>
    <n v="0"/>
    <n v="0"/>
    <n v="0"/>
    <x v="111"/>
    <n v="265"/>
    <s v="J (Apr 22)"/>
    <d v="2022-04-20T00:00:00"/>
    <n v="-1"/>
  </r>
  <r>
    <x v="220"/>
    <x v="16"/>
    <n v="0"/>
    <n v="0"/>
    <n v="0"/>
    <n v="0"/>
    <x v="1543"/>
    <n v="0"/>
    <n v="0"/>
    <n v="0"/>
    <n v="0"/>
    <x v="99"/>
    <n v="83"/>
    <s v="V (Oct 21)"/>
    <d v="2021-10-20T00:00:00"/>
    <n v="-1"/>
  </r>
  <r>
    <x v="220"/>
    <x v="13"/>
    <n v="0"/>
    <n v="0"/>
    <n v="0"/>
    <n v="0"/>
    <x v="1544"/>
    <n v="0"/>
    <n v="0"/>
    <n v="0"/>
    <n v="0"/>
    <x v="89"/>
    <n v="174"/>
    <s v="F (Jan 22)"/>
    <d v="2022-01-19T00:00:00"/>
    <n v="-1"/>
  </r>
  <r>
    <x v="221"/>
    <x v="12"/>
    <n v="0"/>
    <n v="0"/>
    <n v="0"/>
    <n v="0"/>
    <x v="1545"/>
    <n v="0"/>
    <n v="0"/>
    <n v="0"/>
    <n v="0"/>
    <x v="54"/>
    <n v="203"/>
    <s v="G (Feb 22)"/>
    <d v="2022-02-16T00:00:00"/>
    <n v="-1"/>
  </r>
  <r>
    <x v="221"/>
    <x v="10"/>
    <n v="0"/>
    <n v="0"/>
    <n v="0"/>
    <n v="0"/>
    <x v="1126"/>
    <n v="0"/>
    <n v="0"/>
    <n v="0"/>
    <n v="0"/>
    <x v="123"/>
    <n v="266"/>
    <s v="J (Apr 22)"/>
    <d v="2022-04-20T00:00:00"/>
    <n v="-1"/>
  </r>
  <r>
    <x v="221"/>
    <x v="16"/>
    <n v="0"/>
    <n v="0"/>
    <n v="0"/>
    <n v="0"/>
    <x v="1546"/>
    <n v="0"/>
    <n v="0"/>
    <n v="0"/>
    <n v="0"/>
    <x v="114"/>
    <n v="84"/>
    <s v="V (Oct 21)"/>
    <d v="2021-10-20T00:00:00"/>
    <n v="-1"/>
  </r>
  <r>
    <x v="221"/>
    <x v="13"/>
    <n v="0"/>
    <n v="0"/>
    <n v="0"/>
    <n v="0"/>
    <x v="1547"/>
    <n v="0"/>
    <n v="0"/>
    <n v="0"/>
    <n v="0"/>
    <x v="95"/>
    <n v="175"/>
    <s v="F (Jan 22)"/>
    <d v="2022-01-19T00:00:00"/>
    <n v="-1"/>
  </r>
  <r>
    <x v="221"/>
    <x v="15"/>
    <n v="0"/>
    <n v="0"/>
    <n v="0"/>
    <n v="0"/>
    <x v="1548"/>
    <n v="0"/>
    <n v="0"/>
    <n v="0"/>
    <n v="0"/>
    <x v="79"/>
    <n v="112"/>
    <s v="X (Nov 21)"/>
    <d v="2021-11-17T00:00:00"/>
    <n v="-1"/>
  </r>
  <r>
    <x v="221"/>
    <x v="18"/>
    <n v="0"/>
    <n v="0"/>
    <n v="0"/>
    <n v="0"/>
    <x v="1549"/>
    <n v="0"/>
    <n v="0"/>
    <n v="0"/>
    <n v="0"/>
    <x v="116"/>
    <n v="21"/>
    <s v="Q (Aug 21)"/>
    <d v="2021-08-18T00:00:00"/>
    <n v="-1"/>
  </r>
  <r>
    <x v="221"/>
    <x v="14"/>
    <n v="0"/>
    <n v="0"/>
    <n v="0"/>
    <n v="0"/>
    <x v="1550"/>
    <n v="0"/>
    <n v="0"/>
    <n v="0"/>
    <n v="0"/>
    <x v="112"/>
    <n v="147"/>
    <s v="Z (Dec 21)"/>
    <d v="2021-12-22T00:00:00"/>
    <n v="-1"/>
  </r>
  <r>
    <x v="221"/>
    <x v="11"/>
    <n v="0"/>
    <n v="0"/>
    <n v="0"/>
    <n v="0"/>
    <x v="1112"/>
    <n v="0"/>
    <n v="0"/>
    <n v="0"/>
    <n v="0"/>
    <x v="68"/>
    <n v="230"/>
    <s v="H (Mar 22)"/>
    <d v="2022-03-15T00:00:00"/>
    <n v="-1"/>
  </r>
  <r>
    <x v="221"/>
    <x v="17"/>
    <n v="0"/>
    <n v="0"/>
    <n v="0"/>
    <n v="0"/>
    <x v="1551"/>
    <n v="0"/>
    <n v="0"/>
    <n v="0"/>
    <n v="0"/>
    <x v="67"/>
    <n v="49"/>
    <s v="U (Sep 21)"/>
    <d v="2021-09-15T00:00:00"/>
    <n v="-1"/>
  </r>
  <r>
    <x v="222"/>
    <x v="15"/>
    <n v="0"/>
    <n v="0"/>
    <n v="0"/>
    <n v="0"/>
    <x v="1552"/>
    <n v="0"/>
    <n v="0"/>
    <n v="0"/>
    <n v="0"/>
    <x v="82"/>
    <n v="113"/>
    <s v="X (Nov 21)"/>
    <d v="2021-11-17T00:00:00"/>
    <n v="-1"/>
  </r>
  <r>
    <x v="222"/>
    <x v="18"/>
    <n v="0"/>
    <n v="0"/>
    <n v="0"/>
    <n v="0"/>
    <x v="1553"/>
    <n v="0"/>
    <n v="0"/>
    <n v="0"/>
    <n v="0"/>
    <x v="119"/>
    <n v="22"/>
    <s v="Q (Aug 21)"/>
    <d v="2021-08-18T00:00:00"/>
    <n v="-1"/>
  </r>
  <r>
    <x v="222"/>
    <x v="14"/>
    <n v="0"/>
    <n v="0"/>
    <n v="0"/>
    <n v="0"/>
    <x v="1554"/>
    <n v="0"/>
    <n v="0"/>
    <n v="0"/>
    <n v="0"/>
    <x v="124"/>
    <n v="148"/>
    <s v="Z (Dec 21)"/>
    <d v="2021-12-22T00:00:00"/>
    <n v="-1"/>
  </r>
  <r>
    <x v="222"/>
    <x v="11"/>
    <n v="0"/>
    <n v="0"/>
    <n v="0"/>
    <n v="0"/>
    <x v="1425"/>
    <n v="0"/>
    <n v="0"/>
    <n v="0"/>
    <n v="0"/>
    <x v="74"/>
    <n v="231"/>
    <s v="H (Mar 22)"/>
    <d v="2022-03-15T00:00:00"/>
    <n v="-1"/>
  </r>
  <r>
    <x v="222"/>
    <x v="17"/>
    <n v="0"/>
    <n v="0"/>
    <n v="0"/>
    <n v="0"/>
    <x v="1466"/>
    <n v="0"/>
    <n v="0"/>
    <n v="0"/>
    <n v="0"/>
    <x v="73"/>
    <n v="50"/>
    <s v="U (Sep 21)"/>
    <d v="2021-09-15T00:00:00"/>
    <n v="-1"/>
  </r>
  <r>
    <x v="222"/>
    <x v="12"/>
    <n v="0"/>
    <n v="0"/>
    <n v="0"/>
    <n v="0"/>
    <x v="1555"/>
    <n v="0"/>
    <n v="0"/>
    <n v="0"/>
    <n v="0"/>
    <x v="66"/>
    <n v="204"/>
    <s v="G (Feb 22)"/>
    <d v="2022-02-16T00:00:00"/>
    <n v="-1"/>
  </r>
  <r>
    <x v="222"/>
    <x v="10"/>
    <n v="0"/>
    <n v="0"/>
    <n v="0"/>
    <n v="0"/>
    <x v="666"/>
    <n v="0"/>
    <n v="0"/>
    <n v="0"/>
    <n v="0"/>
    <x v="186"/>
    <n v="267"/>
    <s v="J (Apr 22)"/>
    <d v="2022-04-20T00:00:00"/>
    <n v="-1"/>
  </r>
  <r>
    <x v="222"/>
    <x v="16"/>
    <n v="0"/>
    <n v="0"/>
    <n v="0"/>
    <n v="0"/>
    <x v="1556"/>
    <n v="0"/>
    <n v="0"/>
    <n v="0"/>
    <n v="0"/>
    <x v="117"/>
    <n v="85"/>
    <s v="V (Oct 21)"/>
    <d v="2021-10-20T00:00:00"/>
    <n v="-1"/>
  </r>
  <r>
    <x v="222"/>
    <x v="13"/>
    <n v="0"/>
    <n v="0"/>
    <n v="0"/>
    <n v="0"/>
    <x v="1557"/>
    <n v="0"/>
    <n v="0"/>
    <n v="0"/>
    <n v="0"/>
    <x v="107"/>
    <n v="176"/>
    <s v="F (Jan 22)"/>
    <d v="2022-01-19T00:00:00"/>
    <n v="-1"/>
  </r>
  <r>
    <x v="223"/>
    <x v="12"/>
    <n v="0"/>
    <n v="0"/>
    <n v="0"/>
    <n v="0"/>
    <x v="1558"/>
    <n v="0"/>
    <n v="0"/>
    <n v="0"/>
    <n v="0"/>
    <x v="72"/>
    <n v="205"/>
    <s v="G (Feb 22)"/>
    <d v="2022-02-16T00:00:00"/>
    <n v="-1"/>
  </r>
  <r>
    <x v="223"/>
    <x v="10"/>
    <n v="0"/>
    <n v="0"/>
    <n v="0"/>
    <n v="0"/>
    <x v="1112"/>
    <n v="0"/>
    <n v="0"/>
    <n v="0"/>
    <n v="0"/>
    <x v="187"/>
    <n v="268"/>
    <s v="J (Apr 22)"/>
    <d v="2022-04-20T00:00:00"/>
    <n v="-1"/>
  </r>
  <r>
    <x v="223"/>
    <x v="16"/>
    <n v="0"/>
    <n v="0"/>
    <n v="0"/>
    <n v="0"/>
    <x v="1559"/>
    <n v="0"/>
    <n v="0"/>
    <n v="0"/>
    <n v="0"/>
    <x v="131"/>
    <n v="86"/>
    <s v="V (Oct 21)"/>
    <d v="2021-10-20T00:00:00"/>
    <n v="-1"/>
  </r>
  <r>
    <x v="223"/>
    <x v="13"/>
    <n v="0"/>
    <n v="0"/>
    <n v="0"/>
    <n v="0"/>
    <x v="1560"/>
    <n v="0"/>
    <n v="0"/>
    <n v="0"/>
    <n v="0"/>
    <x v="113"/>
    <n v="177"/>
    <s v="F (Jan 22)"/>
    <d v="2022-01-19T00:00:00"/>
    <n v="-1"/>
  </r>
  <r>
    <x v="223"/>
    <x v="15"/>
    <n v="0"/>
    <n v="0"/>
    <n v="0"/>
    <n v="0"/>
    <x v="1561"/>
    <n v="0"/>
    <n v="0"/>
    <n v="0"/>
    <n v="0"/>
    <x v="97"/>
    <n v="114"/>
    <s v="X (Nov 21)"/>
    <d v="2021-11-17T00:00:00"/>
    <n v="-1"/>
  </r>
  <r>
    <x v="223"/>
    <x v="18"/>
    <n v="0"/>
    <n v="0"/>
    <n v="0"/>
    <n v="0"/>
    <x v="1562"/>
    <n v="0"/>
    <n v="0"/>
    <n v="0"/>
    <n v="0"/>
    <x v="133"/>
    <n v="23"/>
    <s v="Q (Aug 21)"/>
    <d v="2021-08-18T00:00:00"/>
    <n v="-1"/>
  </r>
  <r>
    <x v="223"/>
    <x v="14"/>
    <n v="0"/>
    <n v="0"/>
    <n v="0"/>
    <n v="0"/>
    <x v="1563"/>
    <n v="0"/>
    <n v="0"/>
    <n v="0"/>
    <n v="0"/>
    <x v="129"/>
    <n v="149"/>
    <s v="Z (Dec 21)"/>
    <d v="2021-12-22T00:00:00"/>
    <n v="-1"/>
  </r>
  <r>
    <x v="223"/>
    <x v="11"/>
    <n v="0"/>
    <n v="0"/>
    <n v="0"/>
    <n v="0"/>
    <x v="1112"/>
    <n v="0"/>
    <n v="0"/>
    <n v="0"/>
    <n v="0"/>
    <x v="86"/>
    <n v="232"/>
    <s v="H (Mar 22)"/>
    <d v="2022-03-15T00:00:00"/>
    <n v="-1"/>
  </r>
  <r>
    <x v="223"/>
    <x v="17"/>
    <n v="0"/>
    <n v="0"/>
    <n v="0"/>
    <n v="0"/>
    <x v="1564"/>
    <n v="0"/>
    <n v="0"/>
    <n v="0"/>
    <n v="0"/>
    <x v="85"/>
    <n v="51"/>
    <s v="U (Sep 21)"/>
    <d v="2021-09-15T00:00:00"/>
    <n v="-1"/>
  </r>
  <r>
    <x v="224"/>
    <x v="15"/>
    <n v="0"/>
    <n v="0"/>
    <n v="0"/>
    <n v="0"/>
    <x v="1565"/>
    <n v="0"/>
    <n v="0"/>
    <n v="0"/>
    <n v="0"/>
    <x v="100"/>
    <n v="117"/>
    <s v="X (Nov 21)"/>
    <d v="2021-11-17T00:00:00"/>
    <n v="-1"/>
  </r>
  <r>
    <x v="224"/>
    <x v="18"/>
    <n v="0"/>
    <n v="0"/>
    <n v="0"/>
    <n v="0"/>
    <x v="1566"/>
    <n v="0"/>
    <n v="0"/>
    <n v="0"/>
    <n v="0"/>
    <x v="136"/>
    <n v="26"/>
    <s v="Q (Aug 21)"/>
    <d v="2021-08-18T00:00:00"/>
    <n v="-1"/>
  </r>
  <r>
    <x v="224"/>
    <x v="14"/>
    <n v="0"/>
    <n v="0"/>
    <n v="0"/>
    <n v="0"/>
    <x v="1567"/>
    <n v="0"/>
    <n v="0"/>
    <n v="0"/>
    <n v="0"/>
    <x v="140"/>
    <n v="152"/>
    <s v="Z (Dec 21)"/>
    <d v="2021-12-22T00:00:00"/>
    <n v="-1"/>
  </r>
  <r>
    <x v="224"/>
    <x v="11"/>
    <n v="0"/>
    <n v="0"/>
    <n v="0"/>
    <n v="0"/>
    <x v="1049"/>
    <n v="0"/>
    <n v="0"/>
    <n v="0"/>
    <n v="0"/>
    <x v="92"/>
    <n v="235"/>
    <s v="H (Mar 22)"/>
    <d v="2022-03-15T00:00:00"/>
    <n v="-1"/>
  </r>
  <r>
    <x v="224"/>
    <x v="17"/>
    <n v="0"/>
    <n v="0"/>
    <n v="0"/>
    <n v="0"/>
    <x v="1568"/>
    <n v="0"/>
    <n v="0"/>
    <n v="0"/>
    <n v="0"/>
    <x v="91"/>
    <n v="54"/>
    <s v="U (Sep 21)"/>
    <d v="2021-09-15T00:00:00"/>
    <n v="-1"/>
  </r>
  <r>
    <x v="224"/>
    <x v="12"/>
    <n v="0"/>
    <n v="0"/>
    <n v="0"/>
    <n v="0"/>
    <x v="1399"/>
    <n v="0"/>
    <n v="0"/>
    <n v="0"/>
    <n v="0"/>
    <x v="84"/>
    <n v="208"/>
    <s v="G (Feb 22)"/>
    <d v="2022-02-16T00:00:00"/>
    <n v="-1"/>
  </r>
  <r>
    <x v="224"/>
    <x v="16"/>
    <n v="0"/>
    <n v="0"/>
    <n v="0"/>
    <n v="0"/>
    <x v="1569"/>
    <n v="0"/>
    <n v="0"/>
    <n v="0"/>
    <n v="0"/>
    <x v="134"/>
    <n v="89"/>
    <s v="V (Oct 21)"/>
    <d v="2021-10-20T00:00:00"/>
    <n v="-1"/>
  </r>
  <r>
    <x v="224"/>
    <x v="13"/>
    <n v="0"/>
    <n v="0"/>
    <n v="0"/>
    <n v="0"/>
    <x v="1038"/>
    <n v="0"/>
    <n v="0"/>
    <n v="0"/>
    <n v="0"/>
    <x v="125"/>
    <n v="180"/>
    <s v="F (Jan 22)"/>
    <d v="2022-01-19T00:00:00"/>
    <n v="-1"/>
  </r>
  <r>
    <x v="225"/>
    <x v="12"/>
    <n v="0"/>
    <n v="0"/>
    <n v="0"/>
    <n v="0"/>
    <x v="1570"/>
    <n v="0"/>
    <n v="0"/>
    <n v="0"/>
    <n v="0"/>
    <x v="90"/>
    <n v="209"/>
    <s v="G (Feb 22)"/>
    <d v="2022-02-16T00:00:00"/>
    <n v="-1"/>
  </r>
  <r>
    <x v="225"/>
    <x v="16"/>
    <n v="0"/>
    <n v="0"/>
    <n v="0"/>
    <n v="0"/>
    <x v="1571"/>
    <n v="0"/>
    <n v="0"/>
    <n v="0"/>
    <n v="0"/>
    <x v="148"/>
    <n v="90"/>
    <s v="V (Oct 21)"/>
    <d v="2021-10-20T00:00:00"/>
    <n v="-1"/>
  </r>
  <r>
    <x v="225"/>
    <x v="13"/>
    <n v="0"/>
    <n v="0"/>
    <n v="0"/>
    <n v="0"/>
    <x v="1235"/>
    <n v="0"/>
    <n v="0"/>
    <n v="0"/>
    <n v="0"/>
    <x v="130"/>
    <n v="181"/>
    <s v="F (Jan 22)"/>
    <d v="2022-01-19T00:00:00"/>
    <n v="-1"/>
  </r>
  <r>
    <x v="225"/>
    <x v="15"/>
    <n v="0"/>
    <n v="0"/>
    <n v="0"/>
    <n v="0"/>
    <x v="1572"/>
    <n v="0"/>
    <n v="0"/>
    <n v="0"/>
    <n v="0"/>
    <x v="115"/>
    <n v="118"/>
    <s v="X (Nov 21)"/>
    <d v="2021-11-17T00:00:00"/>
    <n v="-1"/>
  </r>
  <r>
    <x v="225"/>
    <x v="18"/>
    <n v="0"/>
    <n v="0"/>
    <n v="0"/>
    <n v="0"/>
    <x v="1573"/>
    <n v="0"/>
    <n v="0"/>
    <n v="0"/>
    <n v="0"/>
    <x v="150"/>
    <n v="27"/>
    <s v="Q (Aug 21)"/>
    <d v="2021-08-18T00:00:00"/>
    <n v="-1"/>
  </r>
  <r>
    <x v="225"/>
    <x v="14"/>
    <n v="0"/>
    <n v="0"/>
    <n v="0"/>
    <n v="0"/>
    <x v="1574"/>
    <n v="0"/>
    <n v="0"/>
    <n v="0"/>
    <n v="0"/>
    <x v="146"/>
    <n v="153"/>
    <s v="Z (Dec 21)"/>
    <d v="2021-12-22T00:00:00"/>
    <n v="-1"/>
  </r>
  <r>
    <x v="225"/>
    <x v="11"/>
    <n v="0"/>
    <n v="0"/>
    <n v="0"/>
    <n v="0"/>
    <x v="1540"/>
    <n v="0"/>
    <n v="0"/>
    <n v="0"/>
    <n v="0"/>
    <x v="104"/>
    <n v="236"/>
    <s v="H (Mar 22)"/>
    <d v="2022-03-15T00:00:00"/>
    <n v="-1"/>
  </r>
  <r>
    <x v="225"/>
    <x v="17"/>
    <n v="0"/>
    <n v="0"/>
    <n v="0"/>
    <n v="0"/>
    <x v="1118"/>
    <n v="0"/>
    <n v="0"/>
    <n v="0"/>
    <n v="0"/>
    <x v="103"/>
    <n v="55"/>
    <s v="U (Sep 21)"/>
    <d v="2021-09-15T00:00:00"/>
    <n v="-1"/>
  </r>
  <r>
    <x v="226"/>
    <x v="15"/>
    <n v="0"/>
    <n v="0"/>
    <n v="0"/>
    <n v="0"/>
    <x v="1575"/>
    <n v="0"/>
    <n v="0"/>
    <n v="0"/>
    <n v="0"/>
    <x v="118"/>
    <n v="119"/>
    <s v="X (Nov 21)"/>
    <d v="2021-11-17T00:00:00"/>
    <n v="-1"/>
  </r>
  <r>
    <x v="226"/>
    <x v="19"/>
    <n v="0"/>
    <n v="0"/>
    <n v="0"/>
    <n v="0"/>
    <x v="1576"/>
    <n v="0"/>
    <n v="0"/>
    <n v="0"/>
    <n v="0"/>
    <x v="145"/>
    <n v="0"/>
    <s v="N (Jul 21)"/>
    <d v="2021-07-21T00:00:00"/>
    <n v="-1"/>
  </r>
  <r>
    <x v="226"/>
    <x v="18"/>
    <n v="0"/>
    <n v="0"/>
    <n v="0"/>
    <n v="0"/>
    <x v="1577"/>
    <n v="0"/>
    <n v="0"/>
    <n v="0"/>
    <n v="0"/>
    <x v="153"/>
    <n v="28"/>
    <s v="Q (Aug 21)"/>
    <d v="2021-08-18T00:00:00"/>
    <n v="-1"/>
  </r>
  <r>
    <x v="226"/>
    <x v="14"/>
    <n v="0"/>
    <n v="0"/>
    <n v="0"/>
    <n v="0"/>
    <x v="1578"/>
    <n v="0"/>
    <n v="0"/>
    <n v="0"/>
    <n v="0"/>
    <x v="157"/>
    <n v="154"/>
    <s v="Z (Dec 21)"/>
    <d v="2021-12-22T00:00:00"/>
    <n v="-1"/>
  </r>
  <r>
    <x v="226"/>
    <x v="11"/>
    <n v="0"/>
    <n v="0"/>
    <n v="0"/>
    <n v="0"/>
    <x v="1049"/>
    <n v="0"/>
    <n v="0"/>
    <n v="0"/>
    <n v="0"/>
    <x v="110"/>
    <n v="237"/>
    <s v="H (Mar 22)"/>
    <d v="2022-03-15T00:00:00"/>
    <n v="-1"/>
  </r>
  <r>
    <x v="226"/>
    <x v="17"/>
    <n v="0"/>
    <n v="0"/>
    <n v="0"/>
    <n v="0"/>
    <x v="1579"/>
    <n v="0"/>
    <n v="0"/>
    <n v="0"/>
    <n v="0"/>
    <x v="109"/>
    <n v="56"/>
    <s v="U (Sep 21)"/>
    <d v="2021-09-15T00:00:00"/>
    <n v="-1"/>
  </r>
  <r>
    <x v="226"/>
    <x v="12"/>
    <n v="0"/>
    <n v="0"/>
    <n v="0"/>
    <n v="0"/>
    <x v="1504"/>
    <n v="0"/>
    <n v="0"/>
    <n v="0"/>
    <n v="0"/>
    <x v="102"/>
    <n v="210"/>
    <s v="G (Feb 22)"/>
    <d v="2022-02-16T00:00:00"/>
    <n v="-1"/>
  </r>
  <r>
    <x v="226"/>
    <x v="16"/>
    <n v="0"/>
    <n v="0"/>
    <n v="0"/>
    <n v="0"/>
    <x v="1580"/>
    <n v="0"/>
    <n v="0"/>
    <n v="0"/>
    <n v="0"/>
    <x v="151"/>
    <n v="91"/>
    <s v="V (Oct 21)"/>
    <d v="2021-10-20T00:00:00"/>
    <n v="-1"/>
  </r>
  <r>
    <x v="226"/>
    <x v="13"/>
    <n v="0"/>
    <n v="0"/>
    <n v="0"/>
    <n v="0"/>
    <x v="1457"/>
    <n v="0"/>
    <n v="0"/>
    <n v="0"/>
    <n v="0"/>
    <x v="141"/>
    <n v="182"/>
    <s v="F (Jan 22)"/>
    <d v="2022-01-19T00:00:00"/>
    <n v="-1"/>
  </r>
  <r>
    <x v="227"/>
    <x v="12"/>
    <n v="0"/>
    <n v="0"/>
    <n v="0"/>
    <n v="0"/>
    <x v="1175"/>
    <n v="0"/>
    <n v="0"/>
    <n v="0"/>
    <n v="0"/>
    <x v="108"/>
    <n v="211"/>
    <s v="G (Feb 22)"/>
    <d v="2022-02-16T00:00:00"/>
    <n v="-1"/>
  </r>
  <r>
    <x v="227"/>
    <x v="16"/>
    <n v="0"/>
    <n v="0"/>
    <n v="0"/>
    <n v="0"/>
    <x v="1581"/>
    <n v="0"/>
    <n v="0"/>
    <n v="0"/>
    <n v="0"/>
    <x v="164"/>
    <n v="92"/>
    <s v="V (Oct 21)"/>
    <d v="2021-10-20T00:00:00"/>
    <n v="-1"/>
  </r>
  <r>
    <x v="227"/>
    <x v="13"/>
    <n v="0"/>
    <n v="0"/>
    <n v="0"/>
    <n v="0"/>
    <x v="1582"/>
    <n v="0"/>
    <n v="0"/>
    <n v="0"/>
    <n v="0"/>
    <x v="147"/>
    <n v="183"/>
    <s v="F (Jan 22)"/>
    <d v="2022-01-19T00:00:00"/>
    <n v="-1"/>
  </r>
  <r>
    <x v="227"/>
    <x v="15"/>
    <n v="0"/>
    <n v="0"/>
    <n v="0"/>
    <n v="0"/>
    <x v="1583"/>
    <n v="0"/>
    <n v="0"/>
    <n v="0"/>
    <n v="0"/>
    <x v="132"/>
    <n v="120"/>
    <s v="X (Nov 21)"/>
    <d v="2021-11-17T00:00:00"/>
    <n v="-1"/>
  </r>
  <r>
    <x v="227"/>
    <x v="19"/>
    <n v="0"/>
    <n v="0"/>
    <n v="0"/>
    <n v="0"/>
    <x v="1584"/>
    <n v="0"/>
    <n v="0"/>
    <n v="0"/>
    <n v="0"/>
    <x v="156"/>
    <n v="1"/>
    <s v="N (Jul 21)"/>
    <d v="2021-07-21T00:00:00"/>
    <n v="-1"/>
  </r>
  <r>
    <x v="227"/>
    <x v="18"/>
    <n v="0"/>
    <n v="0"/>
    <n v="0"/>
    <n v="0"/>
    <x v="1585"/>
    <n v="0"/>
    <n v="0"/>
    <n v="0"/>
    <n v="0"/>
    <x v="166"/>
    <n v="29"/>
    <s v="Q (Aug 21)"/>
    <d v="2021-08-18T00:00:00"/>
    <n v="-1"/>
  </r>
  <r>
    <x v="227"/>
    <x v="14"/>
    <n v="0"/>
    <n v="0"/>
    <n v="0"/>
    <n v="0"/>
    <x v="1586"/>
    <n v="0"/>
    <n v="0"/>
    <n v="0"/>
    <n v="0"/>
    <x v="162"/>
    <n v="155"/>
    <s v="Z (Dec 21)"/>
    <d v="2021-12-22T00:00:00"/>
    <n v="-1"/>
  </r>
  <r>
    <x v="227"/>
    <x v="11"/>
    <n v="0"/>
    <n v="0"/>
    <n v="0"/>
    <n v="0"/>
    <x v="1074"/>
    <n v="0"/>
    <n v="0"/>
    <n v="0"/>
    <n v="0"/>
    <x v="122"/>
    <n v="238"/>
    <s v="H (Mar 22)"/>
    <d v="2022-03-15T00:00:00"/>
    <n v="-1"/>
  </r>
  <r>
    <x v="227"/>
    <x v="17"/>
    <n v="0"/>
    <n v="0"/>
    <n v="0"/>
    <n v="0"/>
    <x v="1587"/>
    <n v="0"/>
    <n v="0"/>
    <n v="0"/>
    <n v="0"/>
    <x v="121"/>
    <n v="57"/>
    <s v="U (Sep 21)"/>
    <d v="2021-09-15T00:00:00"/>
    <n v="-1"/>
  </r>
  <r>
    <x v="228"/>
    <x v="15"/>
    <n v="0"/>
    <n v="0"/>
    <n v="0"/>
    <n v="0"/>
    <x v="1588"/>
    <n v="0"/>
    <n v="0"/>
    <n v="0"/>
    <n v="0"/>
    <x v="135"/>
    <n v="121"/>
    <s v="X (Nov 21)"/>
    <d v="2021-11-17T00:00:00"/>
    <n v="-1"/>
  </r>
  <r>
    <x v="228"/>
    <x v="19"/>
    <n v="0"/>
    <n v="0"/>
    <n v="0"/>
    <n v="0"/>
    <x v="1589"/>
    <n v="0"/>
    <n v="0"/>
    <n v="0"/>
    <n v="0"/>
    <x v="161"/>
    <n v="2"/>
    <s v="N (Jul 21)"/>
    <d v="2021-07-21T00:00:00"/>
    <n v="-1"/>
  </r>
  <r>
    <x v="228"/>
    <x v="18"/>
    <n v="0"/>
    <n v="0"/>
    <n v="0"/>
    <n v="0"/>
    <x v="1590"/>
    <n v="0"/>
    <n v="0"/>
    <n v="0"/>
    <n v="0"/>
    <x v="169"/>
    <n v="30"/>
    <s v="Q (Aug 21)"/>
    <d v="2021-08-18T00:00:00"/>
    <n v="-1"/>
  </r>
  <r>
    <x v="228"/>
    <x v="14"/>
    <n v="0"/>
    <n v="0"/>
    <n v="0"/>
    <n v="0"/>
    <x v="1591"/>
    <n v="0"/>
    <n v="0"/>
    <n v="0"/>
    <n v="0"/>
    <x v="172"/>
    <n v="156"/>
    <s v="Z (Dec 21)"/>
    <d v="2021-12-22T00:00:00"/>
    <n v="-1"/>
  </r>
  <r>
    <x v="228"/>
    <x v="11"/>
    <n v="0"/>
    <n v="0"/>
    <n v="0"/>
    <n v="0"/>
    <x v="1104"/>
    <n v="0"/>
    <n v="0"/>
    <n v="0"/>
    <n v="0"/>
    <x v="128"/>
    <n v="239"/>
    <s v="H (Mar 22)"/>
    <d v="2022-03-15T00:00:00"/>
    <n v="-1"/>
  </r>
  <r>
    <x v="228"/>
    <x v="17"/>
    <n v="0"/>
    <n v="0"/>
    <n v="0"/>
    <n v="0"/>
    <x v="1592"/>
    <n v="0"/>
    <n v="0"/>
    <n v="0"/>
    <n v="0"/>
    <x v="127"/>
    <n v="58"/>
    <s v="U (Sep 21)"/>
    <d v="2021-09-15T00:00:00"/>
    <n v="-1"/>
  </r>
  <r>
    <x v="228"/>
    <x v="12"/>
    <n v="0"/>
    <n v="0"/>
    <n v="0"/>
    <n v="0"/>
    <x v="1104"/>
    <n v="0"/>
    <n v="0"/>
    <n v="0"/>
    <n v="0"/>
    <x v="120"/>
    <n v="212"/>
    <s v="G (Feb 22)"/>
    <d v="2022-02-16T00:00:00"/>
    <n v="-1"/>
  </r>
  <r>
    <x v="228"/>
    <x v="16"/>
    <n v="0"/>
    <n v="0"/>
    <n v="0"/>
    <n v="0"/>
    <x v="1593"/>
    <n v="0"/>
    <n v="0"/>
    <n v="0"/>
    <n v="0"/>
    <x v="167"/>
    <n v="93"/>
    <s v="V (Oct 21)"/>
    <d v="2021-10-20T00:00:00"/>
    <n v="-1"/>
  </r>
  <r>
    <x v="228"/>
    <x v="13"/>
    <n v="0"/>
    <n v="0"/>
    <n v="0"/>
    <n v="0"/>
    <x v="1594"/>
    <n v="0"/>
    <n v="0"/>
    <n v="0"/>
    <n v="0"/>
    <x v="158"/>
    <n v="184"/>
    <s v="F (Jan 22)"/>
    <d v="2022-01-19T00:00:00"/>
    <n v="-1"/>
  </r>
  <r>
    <x v="229"/>
    <x v="12"/>
    <n v="0"/>
    <n v="0"/>
    <n v="0"/>
    <n v="0"/>
    <x v="1399"/>
    <n v="0"/>
    <n v="0"/>
    <n v="0"/>
    <n v="0"/>
    <x v="126"/>
    <n v="215"/>
    <s v="G (Feb 22)"/>
    <d v="2022-02-16T00:00:00"/>
    <n v="-1"/>
  </r>
  <r>
    <x v="229"/>
    <x v="16"/>
    <n v="0"/>
    <n v="0"/>
    <n v="0"/>
    <n v="0"/>
    <x v="1595"/>
    <n v="0"/>
    <n v="0"/>
    <n v="0"/>
    <n v="0"/>
    <x v="175"/>
    <n v="96"/>
    <s v="V (Oct 21)"/>
    <d v="2021-10-20T00:00:00"/>
    <n v="-1"/>
  </r>
  <r>
    <x v="229"/>
    <x v="13"/>
    <n v="0"/>
    <n v="0"/>
    <n v="0"/>
    <n v="0"/>
    <x v="1596"/>
    <n v="0"/>
    <n v="0"/>
    <n v="0"/>
    <n v="0"/>
    <x v="163"/>
    <n v="187"/>
    <s v="F (Jan 22)"/>
    <d v="2022-01-19T00:00:00"/>
    <n v="-1"/>
  </r>
  <r>
    <x v="229"/>
    <x v="15"/>
    <n v="0"/>
    <n v="0"/>
    <n v="0"/>
    <n v="0"/>
    <x v="1597"/>
    <n v="0"/>
    <n v="0"/>
    <n v="0"/>
    <n v="0"/>
    <x v="149"/>
    <n v="124"/>
    <s v="X (Nov 21)"/>
    <d v="2021-11-17T00:00:00"/>
    <n v="-1"/>
  </r>
  <r>
    <x v="229"/>
    <x v="19"/>
    <n v="0"/>
    <n v="0"/>
    <n v="0"/>
    <n v="0"/>
    <x v="1598"/>
    <n v="0"/>
    <n v="0"/>
    <n v="0"/>
    <n v="0"/>
    <x v="8"/>
    <n v="5"/>
    <s v="N (Jul 21)"/>
    <d v="2021-07-21T00:00:00"/>
    <n v="-1"/>
  </r>
  <r>
    <x v="229"/>
    <x v="18"/>
    <n v="0"/>
    <n v="0"/>
    <n v="0"/>
    <n v="0"/>
    <x v="1599"/>
    <n v="0"/>
    <n v="0"/>
    <n v="0"/>
    <n v="0"/>
    <x v="176"/>
    <n v="33"/>
    <s v="Q (Aug 21)"/>
    <d v="2021-08-18T00:00:00"/>
    <n v="-1"/>
  </r>
  <r>
    <x v="229"/>
    <x v="14"/>
    <n v="0"/>
    <n v="0"/>
    <n v="0"/>
    <n v="0"/>
    <x v="1600"/>
    <n v="0"/>
    <n v="0"/>
    <n v="0"/>
    <n v="0"/>
    <x v="0"/>
    <n v="159"/>
    <s v="Z (Dec 21)"/>
    <d v="2021-12-22T00:00:00"/>
    <n v="-1"/>
  </r>
  <r>
    <x v="229"/>
    <x v="11"/>
    <n v="0"/>
    <n v="0"/>
    <n v="0"/>
    <n v="0"/>
    <x v="1209"/>
    <n v="0"/>
    <n v="0"/>
    <n v="0"/>
    <n v="0"/>
    <x v="139"/>
    <n v="242"/>
    <s v="H (Mar 22)"/>
    <d v="2022-03-15T00:00:00"/>
    <n v="-1"/>
  </r>
  <r>
    <x v="229"/>
    <x v="17"/>
    <n v="0"/>
    <n v="0"/>
    <n v="0"/>
    <n v="0"/>
    <x v="1601"/>
    <n v="0"/>
    <n v="0"/>
    <n v="0"/>
    <n v="0"/>
    <x v="138"/>
    <n v="61"/>
    <s v="U (Sep 21)"/>
    <d v="2021-09-15T00:00:00"/>
    <n v="-1"/>
  </r>
  <r>
    <x v="230"/>
    <x v="15"/>
    <n v="0"/>
    <n v="0"/>
    <n v="0"/>
    <n v="0"/>
    <x v="1602"/>
    <n v="0"/>
    <n v="0"/>
    <n v="0"/>
    <n v="0"/>
    <x v="152"/>
    <n v="125"/>
    <s v="X (Nov 21)"/>
    <d v="2021-11-17T00:00:00"/>
    <n v="-1"/>
  </r>
  <r>
    <x v="230"/>
    <x v="19"/>
    <n v="0"/>
    <n v="0"/>
    <n v="0"/>
    <n v="0"/>
    <x v="1603"/>
    <n v="0"/>
    <n v="0"/>
    <n v="0"/>
    <n v="0"/>
    <x v="11"/>
    <n v="6"/>
    <s v="N (Jul 21)"/>
    <d v="2021-07-21T00:00:00"/>
    <n v="-1"/>
  </r>
  <r>
    <x v="230"/>
    <x v="18"/>
    <n v="0"/>
    <n v="0"/>
    <n v="0"/>
    <n v="0"/>
    <x v="1604"/>
    <n v="0"/>
    <n v="0"/>
    <n v="0"/>
    <n v="0"/>
    <x v="178"/>
    <n v="34"/>
    <s v="Q (Aug 21)"/>
    <d v="2021-08-18T00:00:00"/>
    <n v="-1"/>
  </r>
  <r>
    <x v="230"/>
    <x v="14"/>
    <n v="0"/>
    <n v="0"/>
    <n v="0"/>
    <n v="0"/>
    <x v="1605"/>
    <n v="0"/>
    <n v="0"/>
    <n v="0"/>
    <n v="0"/>
    <x v="12"/>
    <n v="160"/>
    <s v="Z (Dec 21)"/>
    <d v="2021-12-22T00:00:00"/>
    <n v="-1"/>
  </r>
  <r>
    <x v="230"/>
    <x v="11"/>
    <n v="0"/>
    <n v="0"/>
    <n v="0"/>
    <n v="0"/>
    <x v="1421"/>
    <n v="0"/>
    <n v="0"/>
    <n v="0"/>
    <n v="0"/>
    <x v="144"/>
    <n v="243"/>
    <s v="H (Mar 22)"/>
    <d v="2022-03-15T00:00:00"/>
    <n v="-1"/>
  </r>
  <r>
    <x v="230"/>
    <x v="17"/>
    <n v="0"/>
    <n v="0"/>
    <n v="0"/>
    <n v="0"/>
    <x v="1606"/>
    <n v="0"/>
    <n v="0"/>
    <n v="0"/>
    <n v="0"/>
    <x v="143"/>
    <n v="62"/>
    <s v="U (Sep 21)"/>
    <d v="2021-09-15T00:00:00"/>
    <n v="-1"/>
  </r>
  <r>
    <x v="230"/>
    <x v="12"/>
    <n v="0"/>
    <n v="0"/>
    <n v="0"/>
    <n v="0"/>
    <x v="1376"/>
    <n v="0"/>
    <n v="0"/>
    <n v="0"/>
    <n v="0"/>
    <x v="137"/>
    <n v="216"/>
    <s v="G (Feb 22)"/>
    <d v="2022-02-16T00:00:00"/>
    <n v="-1"/>
  </r>
  <r>
    <x v="230"/>
    <x v="16"/>
    <n v="0"/>
    <n v="0"/>
    <n v="0"/>
    <n v="0"/>
    <x v="1607"/>
    <n v="0"/>
    <n v="0"/>
    <n v="0"/>
    <n v="0"/>
    <x v="177"/>
    <n v="97"/>
    <s v="V (Oct 21)"/>
    <d v="2021-10-20T00:00:00"/>
    <n v="-1"/>
  </r>
  <r>
    <x v="230"/>
    <x v="13"/>
    <n v="0"/>
    <n v="0"/>
    <n v="0"/>
    <n v="0"/>
    <x v="1608"/>
    <n v="0"/>
    <n v="0"/>
    <n v="0"/>
    <n v="0"/>
    <x v="173"/>
    <n v="188"/>
    <s v="F (Jan 22)"/>
    <d v="2022-01-19T00:00:00"/>
    <n v="-1"/>
  </r>
  <r>
    <x v="231"/>
    <x v="12"/>
    <n v="0"/>
    <n v="0"/>
    <n v="0"/>
    <n v="0"/>
    <x v="1404"/>
    <n v="0"/>
    <n v="0"/>
    <n v="0"/>
    <n v="0"/>
    <x v="142"/>
    <n v="217"/>
    <s v="G (Feb 22)"/>
    <d v="2022-02-16T00:00:00"/>
    <n v="-1"/>
  </r>
  <r>
    <x v="231"/>
    <x v="16"/>
    <n v="0"/>
    <n v="0"/>
    <n v="0"/>
    <n v="0"/>
    <x v="1609"/>
    <n v="0"/>
    <n v="0"/>
    <n v="0"/>
    <n v="0"/>
    <x v="181"/>
    <n v="98"/>
    <s v="V (Oct 21)"/>
    <d v="2021-10-20T00:00:00"/>
    <n v="-1"/>
  </r>
  <r>
    <x v="231"/>
    <x v="13"/>
    <n v="0"/>
    <n v="0"/>
    <n v="0"/>
    <n v="0"/>
    <x v="1610"/>
    <n v="0"/>
    <n v="0"/>
    <n v="0"/>
    <n v="0"/>
    <x v="174"/>
    <n v="189"/>
    <s v="F (Jan 22)"/>
    <d v="2022-01-19T00:00:00"/>
    <n v="-1"/>
  </r>
  <r>
    <x v="231"/>
    <x v="15"/>
    <n v="0"/>
    <n v="0"/>
    <n v="0"/>
    <n v="0"/>
    <x v="1611"/>
    <n v="0"/>
    <n v="0"/>
    <n v="0"/>
    <n v="0"/>
    <x v="165"/>
    <n v="126"/>
    <s v="X (Nov 21)"/>
    <d v="2021-11-17T00:00:00"/>
    <n v="-1"/>
  </r>
  <r>
    <x v="231"/>
    <x v="19"/>
    <n v="0"/>
    <n v="0"/>
    <n v="0"/>
    <n v="0"/>
    <x v="1612"/>
    <n v="0"/>
    <n v="0"/>
    <n v="0"/>
    <n v="0"/>
    <x v="26"/>
    <n v="7"/>
    <s v="N (Jul 21)"/>
    <d v="2021-07-21T00:00:00"/>
    <n v="-1"/>
  </r>
  <r>
    <x v="231"/>
    <x v="18"/>
    <n v="0"/>
    <n v="0"/>
    <n v="0"/>
    <n v="0"/>
    <x v="1613"/>
    <n v="0"/>
    <n v="0"/>
    <n v="0"/>
    <n v="0"/>
    <x v="182"/>
    <n v="35"/>
    <s v="Q (Aug 21)"/>
    <d v="2021-08-18T00:00:00"/>
    <n v="-1"/>
  </r>
  <r>
    <x v="231"/>
    <x v="14"/>
    <n v="0"/>
    <n v="0"/>
    <n v="0"/>
    <n v="0"/>
    <x v="1614"/>
    <n v="0"/>
    <n v="0"/>
    <n v="0"/>
    <n v="0"/>
    <x v="18"/>
    <n v="161"/>
    <s v="Z (Dec 21)"/>
    <d v="2021-12-22T00:00:00"/>
    <n v="-1"/>
  </r>
  <r>
    <x v="231"/>
    <x v="11"/>
    <n v="0"/>
    <n v="0"/>
    <n v="0"/>
    <n v="0"/>
    <x v="1123"/>
    <n v="0"/>
    <n v="0"/>
    <n v="0"/>
    <n v="0"/>
    <x v="155"/>
    <n v="244"/>
    <s v="H (Mar 22)"/>
    <d v="2022-03-15T00:00:00"/>
    <n v="-1"/>
  </r>
  <r>
    <x v="231"/>
    <x v="17"/>
    <n v="0"/>
    <n v="0"/>
    <n v="0"/>
    <n v="0"/>
    <x v="1615"/>
    <n v="0"/>
    <n v="0"/>
    <n v="0"/>
    <n v="0"/>
    <x v="154"/>
    <n v="63"/>
    <s v="U (Sep 21)"/>
    <d v="2021-09-15T00:00:00"/>
    <n v="-1"/>
  </r>
  <r>
    <x v="232"/>
    <x v="15"/>
    <n v="0"/>
    <n v="0"/>
    <n v="0"/>
    <n v="0"/>
    <x v="1616"/>
    <n v="0"/>
    <n v="0"/>
    <n v="0"/>
    <n v="0"/>
    <x v="168"/>
    <n v="127"/>
    <s v="X (Nov 21)"/>
    <d v="2021-11-17T00:00:00"/>
    <n v="-1"/>
  </r>
  <r>
    <x v="232"/>
    <x v="19"/>
    <n v="0"/>
    <n v="0"/>
    <n v="0"/>
    <n v="0"/>
    <x v="1617"/>
    <n v="0"/>
    <n v="0"/>
    <n v="0"/>
    <n v="0"/>
    <x v="29"/>
    <n v="8"/>
    <s v="N (Jul 21)"/>
    <d v="2021-07-21T00:00:00"/>
    <n v="-1"/>
  </r>
  <r>
    <x v="232"/>
    <x v="18"/>
    <n v="0"/>
    <n v="0"/>
    <n v="0"/>
    <n v="0"/>
    <x v="1618"/>
    <n v="0"/>
    <n v="0"/>
    <n v="0"/>
    <n v="0"/>
    <x v="184"/>
    <n v="36"/>
    <s v="Q (Aug 21)"/>
    <d v="2021-08-18T00:00:00"/>
    <n v="-1"/>
  </r>
  <r>
    <x v="232"/>
    <x v="14"/>
    <n v="0"/>
    <n v="0"/>
    <n v="0"/>
    <n v="0"/>
    <x v="1619"/>
    <n v="0"/>
    <n v="0"/>
    <n v="0"/>
    <n v="0"/>
    <x v="35"/>
    <n v="162"/>
    <s v="Z (Dec 21)"/>
    <d v="2021-12-22T00:00:00"/>
    <n v="-1"/>
  </r>
  <r>
    <x v="232"/>
    <x v="11"/>
    <n v="0"/>
    <n v="0"/>
    <n v="0"/>
    <n v="0"/>
    <x v="1431"/>
    <n v="0"/>
    <n v="0"/>
    <n v="0"/>
    <n v="0"/>
    <x v="160"/>
    <n v="245"/>
    <s v="H (Mar 22)"/>
    <d v="2022-03-15T00:00:00"/>
    <n v="-1"/>
  </r>
  <r>
    <x v="232"/>
    <x v="17"/>
    <n v="0"/>
    <n v="0"/>
    <n v="0"/>
    <n v="0"/>
    <x v="1620"/>
    <n v="0"/>
    <n v="0"/>
    <n v="0"/>
    <n v="0"/>
    <x v="159"/>
    <n v="64"/>
    <s v="U (Sep 21)"/>
    <d v="2021-09-15T00:00:00"/>
    <n v="-1"/>
  </r>
  <r>
    <x v="232"/>
    <x v="12"/>
    <n v="0"/>
    <n v="0"/>
    <n v="0"/>
    <n v="0"/>
    <x v="823"/>
    <n v="0"/>
    <n v="0"/>
    <n v="0"/>
    <n v="0"/>
    <x v="3"/>
    <n v="218"/>
    <s v="G (Feb 22)"/>
    <d v="2022-02-16T00:00:00"/>
    <n v="-1"/>
  </r>
  <r>
    <x v="232"/>
    <x v="16"/>
    <n v="0"/>
    <n v="0"/>
    <n v="0"/>
    <n v="0"/>
    <x v="1621"/>
    <n v="0"/>
    <n v="0"/>
    <n v="0"/>
    <n v="0"/>
    <x v="183"/>
    <n v="99"/>
    <s v="V (Oct 21)"/>
    <d v="2021-10-20T00:00:00"/>
    <n v="-1"/>
  </r>
  <r>
    <x v="232"/>
    <x v="13"/>
    <n v="0"/>
    <n v="0"/>
    <n v="0"/>
    <n v="0"/>
    <x v="1622"/>
    <n v="0"/>
    <n v="0"/>
    <n v="0"/>
    <n v="0"/>
    <x v="179"/>
    <n v="190"/>
    <s v="F (Jan 22)"/>
    <d v="2022-01-19T00:00:00"/>
    <n v="-1"/>
  </r>
  <r>
    <x v="233"/>
    <x v="12"/>
    <n v="0"/>
    <n v="0"/>
    <n v="0"/>
    <n v="0"/>
    <x v="1343"/>
    <n v="0"/>
    <n v="0"/>
    <n v="0"/>
    <n v="0"/>
    <x v="15"/>
    <n v="219"/>
    <s v="G (Feb 22)"/>
    <d v="2022-02-16T00:00:00"/>
    <n v="-1"/>
  </r>
  <r>
    <x v="233"/>
    <x v="16"/>
    <n v="0"/>
    <n v="0"/>
    <n v="0"/>
    <n v="0"/>
    <x v="1173"/>
    <n v="0"/>
    <n v="0"/>
    <n v="0"/>
    <n v="0"/>
    <x v="7"/>
    <n v="100"/>
    <s v="V (Oct 21)"/>
    <d v="2021-10-20T00:00:00"/>
    <n v="-1"/>
  </r>
  <r>
    <x v="233"/>
    <x v="13"/>
    <n v="0"/>
    <n v="0"/>
    <n v="0"/>
    <n v="0"/>
    <x v="1386"/>
    <n v="0"/>
    <n v="0"/>
    <n v="0"/>
    <n v="0"/>
    <x v="180"/>
    <n v="191"/>
    <s v="F (Jan 22)"/>
    <d v="2022-01-19T00:00:00"/>
    <n v="-1"/>
  </r>
  <r>
    <x v="233"/>
    <x v="15"/>
    <n v="0"/>
    <n v="0"/>
    <n v="0"/>
    <n v="0"/>
    <x v="1623"/>
    <n v="0"/>
    <n v="0"/>
    <n v="0"/>
    <n v="0"/>
    <x v="5"/>
    <n v="128"/>
    <s v="X (Nov 21)"/>
    <d v="2021-11-17T00:00:00"/>
    <n v="-1"/>
  </r>
  <r>
    <x v="233"/>
    <x v="19"/>
    <n v="0"/>
    <n v="0"/>
    <n v="0"/>
    <n v="0"/>
    <x v="1624"/>
    <n v="0"/>
    <n v="0"/>
    <n v="0"/>
    <n v="0"/>
    <x v="44"/>
    <n v="9"/>
    <s v="N (Jul 21)"/>
    <d v="2021-07-21T00:00:00"/>
    <n v="-1"/>
  </r>
  <r>
    <x v="233"/>
    <x v="18"/>
    <n v="0"/>
    <n v="0"/>
    <n v="0"/>
    <n v="0"/>
    <x v="1625"/>
    <n v="0"/>
    <n v="0"/>
    <n v="0"/>
    <n v="0"/>
    <x v="2"/>
    <n v="37"/>
    <s v="Q (Aug 21)"/>
    <d v="2021-08-18T00:00:00"/>
    <n v="-1"/>
  </r>
  <r>
    <x v="233"/>
    <x v="14"/>
    <n v="0"/>
    <n v="0"/>
    <n v="0"/>
    <n v="0"/>
    <x v="1626"/>
    <n v="0"/>
    <n v="0"/>
    <n v="0"/>
    <n v="0"/>
    <x v="41"/>
    <n v="163"/>
    <s v="Z (Dec 21)"/>
    <d v="2021-12-22T00:00:00"/>
    <n v="-1"/>
  </r>
  <r>
    <x v="233"/>
    <x v="11"/>
    <n v="0"/>
    <n v="0"/>
    <n v="0"/>
    <n v="0"/>
    <x v="1484"/>
    <n v="0"/>
    <n v="0"/>
    <n v="0"/>
    <n v="0"/>
    <x v="171"/>
    <n v="246"/>
    <s v="H (Mar 22)"/>
    <d v="2022-03-15T00:00:00"/>
    <n v="-1"/>
  </r>
  <r>
    <x v="233"/>
    <x v="17"/>
    <n v="0"/>
    <n v="0"/>
    <n v="0"/>
    <n v="0"/>
    <x v="1627"/>
    <n v="0"/>
    <n v="0"/>
    <n v="0"/>
    <n v="0"/>
    <x v="170"/>
    <n v="65"/>
    <s v="U (Sep 21)"/>
    <d v="2021-09-15T00:00:00"/>
    <n v="-1"/>
  </r>
  <r>
    <x v="234"/>
    <x v="15"/>
    <n v="0"/>
    <n v="0"/>
    <n v="0"/>
    <n v="0"/>
    <x v="1628"/>
    <n v="0"/>
    <n v="0"/>
    <n v="0"/>
    <n v="0"/>
    <x v="17"/>
    <n v="131"/>
    <s v="X (Nov 21)"/>
    <d v="2021-11-17T00:00:00"/>
    <n v="-1"/>
  </r>
  <r>
    <x v="234"/>
    <x v="19"/>
    <n v="0"/>
    <n v="0"/>
    <n v="0"/>
    <n v="0"/>
    <x v="1629"/>
    <n v="0"/>
    <n v="0"/>
    <n v="0"/>
    <n v="0"/>
    <x v="47"/>
    <n v="12"/>
    <s v="N (Jul 21)"/>
    <d v="2021-07-21T00:00:00"/>
    <n v="-1"/>
  </r>
  <r>
    <x v="234"/>
    <x v="18"/>
    <n v="0"/>
    <n v="0"/>
    <n v="0"/>
    <n v="0"/>
    <x v="1630"/>
    <n v="0"/>
    <n v="0"/>
    <n v="0"/>
    <n v="0"/>
    <x v="14"/>
    <n v="40"/>
    <s v="Q (Aug 21)"/>
    <d v="2021-08-18T00:00:00"/>
    <n v="-1"/>
  </r>
  <r>
    <x v="234"/>
    <x v="14"/>
    <n v="0"/>
    <n v="0"/>
    <n v="0"/>
    <n v="0"/>
    <x v="1631"/>
    <n v="0"/>
    <n v="0"/>
    <n v="0"/>
    <n v="0"/>
    <x v="53"/>
    <n v="166"/>
    <s v="Z (Dec 21)"/>
    <d v="2021-12-22T00:00:00"/>
    <n v="-1"/>
  </r>
  <r>
    <x v="234"/>
    <x v="11"/>
    <n v="0"/>
    <n v="0"/>
    <n v="0"/>
    <n v="0"/>
    <x v="1632"/>
    <n v="0"/>
    <n v="0"/>
    <n v="0"/>
    <n v="0"/>
    <x v="4"/>
    <n v="249"/>
    <s v="H (Mar 22)"/>
    <d v="2022-03-15T00:00:00"/>
    <n v="-1"/>
  </r>
  <r>
    <x v="234"/>
    <x v="17"/>
    <n v="0"/>
    <n v="0"/>
    <n v="0"/>
    <n v="0"/>
    <x v="1633"/>
    <n v="0"/>
    <n v="0"/>
    <n v="0"/>
    <n v="0"/>
    <x v="6"/>
    <n v="68"/>
    <s v="U (Sep 21)"/>
    <d v="2021-09-15T00:00:00"/>
    <n v="-1"/>
  </r>
  <r>
    <x v="234"/>
    <x v="12"/>
    <n v="0"/>
    <n v="0"/>
    <n v="0"/>
    <n v="0"/>
    <x v="1634"/>
    <n v="0"/>
    <n v="0"/>
    <n v="0"/>
    <n v="0"/>
    <x v="21"/>
    <n v="222"/>
    <s v="G (Feb 22)"/>
    <d v="2022-02-16T00:00:00"/>
    <n v="-1"/>
  </r>
  <r>
    <x v="234"/>
    <x v="16"/>
    <n v="0"/>
    <n v="0"/>
    <n v="0"/>
    <n v="0"/>
    <x v="1635"/>
    <n v="0"/>
    <n v="0"/>
    <n v="0"/>
    <n v="0"/>
    <x v="10"/>
    <n v="103"/>
    <s v="V (Oct 21)"/>
    <d v="2021-10-20T00:00:00"/>
    <n v="-1"/>
  </r>
  <r>
    <x v="234"/>
    <x v="13"/>
    <n v="0"/>
    <n v="0"/>
    <n v="0"/>
    <n v="0"/>
    <x v="1636"/>
    <n v="0"/>
    <n v="0"/>
    <n v="0"/>
    <n v="0"/>
    <x v="185"/>
    <n v="194"/>
    <s v="F (Jan 22)"/>
    <d v="2022-01-19T00:00:00"/>
    <n v="-1"/>
  </r>
  <r>
    <x v="235"/>
    <x v="12"/>
    <n v="0"/>
    <n v="0"/>
    <n v="0"/>
    <n v="0"/>
    <x v="1397"/>
    <n v="0"/>
    <n v="0"/>
    <n v="0"/>
    <n v="0"/>
    <x v="32"/>
    <n v="223"/>
    <s v="G (Feb 22)"/>
    <d v="2022-02-16T00:00:00"/>
    <n v="-1"/>
  </r>
  <r>
    <x v="235"/>
    <x v="16"/>
    <n v="0"/>
    <n v="0"/>
    <n v="0"/>
    <n v="0"/>
    <x v="1637"/>
    <n v="0"/>
    <n v="0"/>
    <n v="0"/>
    <n v="0"/>
    <x v="25"/>
    <n v="104"/>
    <s v="V (Oct 21)"/>
    <d v="2021-10-20T00:00:00"/>
    <n v="-1"/>
  </r>
  <r>
    <x v="235"/>
    <x v="13"/>
    <n v="0"/>
    <n v="0"/>
    <n v="0"/>
    <n v="0"/>
    <x v="1638"/>
    <n v="0"/>
    <n v="0"/>
    <n v="0"/>
    <n v="0"/>
    <x v="1"/>
    <n v="195"/>
    <s v="F (Jan 22)"/>
    <d v="2022-01-19T00:00:00"/>
    <n v="-1"/>
  </r>
  <r>
    <x v="235"/>
    <x v="15"/>
    <n v="0"/>
    <n v="0"/>
    <n v="0"/>
    <n v="0"/>
    <x v="1639"/>
    <n v="0"/>
    <n v="0"/>
    <n v="0"/>
    <n v="0"/>
    <x v="23"/>
    <n v="132"/>
    <s v="X (Nov 21)"/>
    <d v="2021-11-17T00:00:00"/>
    <n v="-1"/>
  </r>
  <r>
    <x v="235"/>
    <x v="19"/>
    <n v="0"/>
    <n v="0"/>
    <n v="0"/>
    <n v="0"/>
    <x v="1640"/>
    <n v="0"/>
    <n v="0"/>
    <n v="0"/>
    <n v="0"/>
    <x v="62"/>
    <n v="13"/>
    <s v="N (Jul 21)"/>
    <d v="2021-07-21T00:00:00"/>
    <n v="-1"/>
  </r>
  <r>
    <x v="235"/>
    <x v="18"/>
    <n v="0"/>
    <n v="0"/>
    <n v="0"/>
    <n v="0"/>
    <x v="1641"/>
    <n v="0"/>
    <n v="0"/>
    <n v="0"/>
    <n v="0"/>
    <x v="20"/>
    <n v="41"/>
    <s v="Q (Aug 21)"/>
    <d v="2021-08-18T00:00:00"/>
    <n v="-1"/>
  </r>
  <r>
    <x v="235"/>
    <x v="14"/>
    <n v="0"/>
    <n v="0"/>
    <n v="0"/>
    <n v="0"/>
    <x v="1642"/>
    <n v="0"/>
    <n v="0"/>
    <n v="0"/>
    <n v="0"/>
    <x v="59"/>
    <n v="167"/>
    <s v="Z (Dec 21)"/>
    <d v="2021-12-22T00:00:00"/>
    <n v="-1"/>
  </r>
  <r>
    <x v="235"/>
    <x v="11"/>
    <n v="0"/>
    <n v="0"/>
    <n v="0"/>
    <n v="0"/>
    <x v="1123"/>
    <n v="0"/>
    <n v="0"/>
    <n v="0"/>
    <n v="0"/>
    <x v="16"/>
    <n v="250"/>
    <s v="H (Mar 22)"/>
    <d v="2022-03-15T00:00:00"/>
    <n v="-1"/>
  </r>
  <r>
    <x v="235"/>
    <x v="17"/>
    <n v="0"/>
    <n v="0"/>
    <n v="0"/>
    <n v="0"/>
    <x v="1643"/>
    <n v="0"/>
    <n v="0"/>
    <n v="0"/>
    <n v="0"/>
    <x v="9"/>
    <n v="69"/>
    <s v="U (Sep 21)"/>
    <d v="2021-09-15T00:00:00"/>
    <n v="-1"/>
  </r>
  <r>
    <x v="236"/>
    <x v="15"/>
    <n v="0"/>
    <n v="0"/>
    <n v="0"/>
    <n v="0"/>
    <x v="1644"/>
    <n v="0"/>
    <n v="0"/>
    <n v="0"/>
    <n v="0"/>
    <x v="34"/>
    <n v="133"/>
    <s v="X (Nov 21)"/>
    <d v="2021-11-17T00:00:00"/>
    <n v="-1"/>
  </r>
  <r>
    <x v="236"/>
    <x v="19"/>
    <n v="0"/>
    <n v="0"/>
    <n v="0"/>
    <n v="0"/>
    <x v="1645"/>
    <n v="0"/>
    <n v="0"/>
    <n v="0"/>
    <n v="0"/>
    <x v="65"/>
    <n v="14"/>
    <s v="N (Jul 21)"/>
    <d v="2021-07-21T00:00:00"/>
    <n v="-1"/>
  </r>
  <r>
    <x v="236"/>
    <x v="18"/>
    <n v="0"/>
    <n v="0"/>
    <n v="0"/>
    <n v="0"/>
    <x v="1646"/>
    <n v="0"/>
    <n v="0"/>
    <n v="0"/>
    <n v="0"/>
    <x v="31"/>
    <n v="42"/>
    <s v="Q (Aug 21)"/>
    <d v="2021-08-18T00:00:00"/>
    <n v="-1"/>
  </r>
  <r>
    <x v="236"/>
    <x v="14"/>
    <n v="0"/>
    <n v="0"/>
    <n v="0"/>
    <n v="0"/>
    <x v="1647"/>
    <n v="0"/>
    <n v="0"/>
    <n v="0"/>
    <n v="0"/>
    <x v="71"/>
    <n v="168"/>
    <s v="Z (Dec 21)"/>
    <d v="2021-12-22T00:00:00"/>
    <n v="-1"/>
  </r>
  <r>
    <x v="236"/>
    <x v="11"/>
    <n v="0"/>
    <n v="0"/>
    <n v="0"/>
    <n v="0"/>
    <x v="1632"/>
    <n v="0"/>
    <n v="0"/>
    <n v="0"/>
    <n v="0"/>
    <x v="22"/>
    <n v="251"/>
    <s v="H (Mar 22)"/>
    <d v="2022-03-15T00:00:00"/>
    <n v="-1"/>
  </r>
  <r>
    <x v="236"/>
    <x v="17"/>
    <n v="0"/>
    <n v="0"/>
    <n v="0"/>
    <n v="0"/>
    <x v="1648"/>
    <n v="0"/>
    <n v="0"/>
    <n v="0"/>
    <n v="0"/>
    <x v="24"/>
    <n v="70"/>
    <s v="U (Sep 21)"/>
    <d v="2021-09-15T00:00:00"/>
    <n v="-1"/>
  </r>
  <r>
    <x v="236"/>
    <x v="12"/>
    <n v="0"/>
    <n v="0"/>
    <n v="0"/>
    <n v="0"/>
    <x v="1634"/>
    <n v="0"/>
    <n v="0"/>
    <n v="0"/>
    <n v="0"/>
    <x v="38"/>
    <n v="224"/>
    <s v="G (Feb 22)"/>
    <d v="2022-02-16T00:00:00"/>
    <n v="-1"/>
  </r>
  <r>
    <x v="236"/>
    <x v="16"/>
    <n v="0"/>
    <n v="0"/>
    <n v="0"/>
    <n v="0"/>
    <x v="1649"/>
    <n v="0"/>
    <n v="0"/>
    <n v="0"/>
    <n v="0"/>
    <x v="28"/>
    <n v="105"/>
    <s v="V (Oct 21)"/>
    <d v="2021-10-20T00:00:00"/>
    <n v="-1"/>
  </r>
  <r>
    <x v="236"/>
    <x v="13"/>
    <n v="0"/>
    <n v="0"/>
    <n v="0"/>
    <n v="0"/>
    <x v="1650"/>
    <n v="0"/>
    <n v="0"/>
    <n v="0"/>
    <n v="0"/>
    <x v="13"/>
    <n v="196"/>
    <s v="F (Jan 22)"/>
    <d v="2022-01-19T00:00:00"/>
    <n v="-1"/>
  </r>
  <r>
    <x v="237"/>
    <x v="12"/>
    <n v="0"/>
    <n v="0"/>
    <n v="0"/>
    <n v="0"/>
    <x v="1386"/>
    <n v="0"/>
    <n v="0"/>
    <n v="0"/>
    <n v="0"/>
    <x v="50"/>
    <n v="225"/>
    <s v="G (Feb 22)"/>
    <d v="2022-02-16T00:00:00"/>
    <n v="-1"/>
  </r>
  <r>
    <x v="237"/>
    <x v="16"/>
    <n v="0"/>
    <n v="0"/>
    <n v="0"/>
    <n v="0"/>
    <x v="1651"/>
    <n v="0"/>
    <n v="0"/>
    <n v="0"/>
    <n v="0"/>
    <x v="43"/>
    <n v="106"/>
    <s v="V (Oct 21)"/>
    <d v="2021-10-20T00:00:00"/>
    <n v="-1"/>
  </r>
  <r>
    <x v="237"/>
    <x v="13"/>
    <n v="0"/>
    <n v="0"/>
    <n v="0"/>
    <n v="0"/>
    <x v="1652"/>
    <n v="0"/>
    <n v="0"/>
    <n v="0"/>
    <n v="0"/>
    <x v="19"/>
    <n v="197"/>
    <s v="F (Jan 22)"/>
    <d v="2022-01-19T00:00:00"/>
    <n v="-1"/>
  </r>
  <r>
    <x v="237"/>
    <x v="19"/>
    <n v="0"/>
    <n v="0"/>
    <n v="0"/>
    <n v="0"/>
    <x v="1653"/>
    <n v="0"/>
    <n v="0"/>
    <n v="0"/>
    <n v="0"/>
    <x v="80"/>
    <n v="15"/>
    <s v="N (Jul 21)"/>
    <d v="2021-07-21T00:00:00"/>
    <n v="-1"/>
  </r>
  <r>
    <x v="237"/>
    <x v="18"/>
    <n v="0"/>
    <n v="0"/>
    <n v="0"/>
    <n v="0"/>
    <x v="1654"/>
    <n v="0"/>
    <n v="0"/>
    <n v="0"/>
    <n v="0"/>
    <x v="37"/>
    <n v="43"/>
    <s v="Q (Aug 21)"/>
    <d v="2021-08-18T00:00:00"/>
    <n v="-1"/>
  </r>
  <r>
    <x v="237"/>
    <x v="14"/>
    <n v="0"/>
    <n v="0"/>
    <n v="0"/>
    <n v="0"/>
    <x v="1655"/>
    <n v="0"/>
    <n v="0"/>
    <n v="0"/>
    <n v="0"/>
    <x v="77"/>
    <n v="169"/>
    <s v="Z (Dec 21)"/>
    <d v="2021-12-22T00:00:00"/>
    <n v="-1"/>
  </r>
  <r>
    <x v="237"/>
    <x v="11"/>
    <n v="0"/>
    <n v="0"/>
    <n v="0"/>
    <n v="0"/>
    <x v="1656"/>
    <n v="0"/>
    <n v="0"/>
    <n v="0"/>
    <n v="0"/>
    <x v="33"/>
    <n v="252"/>
    <s v="H (Mar 22)"/>
    <d v="2022-03-15T00:00:00"/>
    <n v="-1"/>
  </r>
  <r>
    <x v="237"/>
    <x v="17"/>
    <n v="0"/>
    <n v="0"/>
    <n v="0"/>
    <n v="0"/>
    <x v="1143"/>
    <n v="0"/>
    <n v="0"/>
    <n v="0"/>
    <n v="0"/>
    <x v="27"/>
    <n v="71"/>
    <s v="U (Sep 21)"/>
    <d v="2021-09-15T00:00:00"/>
    <n v="-1"/>
  </r>
  <r>
    <x v="237"/>
    <x v="15"/>
    <n v="0"/>
    <n v="0"/>
    <n v="0"/>
    <n v="0"/>
    <x v="1657"/>
    <n v="0"/>
    <n v="0"/>
    <n v="0"/>
    <n v="0"/>
    <x v="40"/>
    <n v="134"/>
    <s v="X (Nov 21)"/>
    <d v="2021-11-17T00:00:00"/>
    <n v="-1"/>
  </r>
  <r>
    <x v="238"/>
    <x v="19"/>
    <n v="0"/>
    <n v="0"/>
    <n v="0"/>
    <n v="0"/>
    <x v="1658"/>
    <n v="0"/>
    <n v="0"/>
    <n v="0"/>
    <n v="0"/>
    <x v="83"/>
    <n v="19"/>
    <s v="N (Jul 21)"/>
    <d v="2021-07-21T00:00:00"/>
    <n v="-1"/>
  </r>
  <r>
    <x v="238"/>
    <x v="18"/>
    <n v="0"/>
    <n v="0"/>
    <n v="0"/>
    <n v="0"/>
    <x v="1659"/>
    <n v="0"/>
    <n v="0"/>
    <n v="0"/>
    <n v="0"/>
    <x v="49"/>
    <n v="47"/>
    <s v="Q (Aug 21)"/>
    <d v="2021-08-18T00:00:00"/>
    <n v="-1"/>
  </r>
  <r>
    <x v="238"/>
    <x v="14"/>
    <n v="0"/>
    <n v="0"/>
    <n v="0"/>
    <n v="0"/>
    <x v="1660"/>
    <n v="0"/>
    <n v="0"/>
    <n v="0"/>
    <n v="0"/>
    <x v="89"/>
    <n v="173"/>
    <s v="Z (Dec 21)"/>
    <d v="2021-12-22T00:00:00"/>
    <n v="-1"/>
  </r>
  <r>
    <x v="238"/>
    <x v="11"/>
    <n v="0"/>
    <n v="0"/>
    <n v="0"/>
    <n v="0"/>
    <x v="1483"/>
    <n v="0"/>
    <n v="0"/>
    <n v="0"/>
    <n v="0"/>
    <x v="39"/>
    <n v="256"/>
    <s v="H (Mar 22)"/>
    <d v="2022-03-15T00:00:00"/>
    <n v="-1"/>
  </r>
  <r>
    <x v="238"/>
    <x v="17"/>
    <n v="0"/>
    <n v="0"/>
    <n v="0"/>
    <n v="0"/>
    <x v="1661"/>
    <n v="0"/>
    <n v="0"/>
    <n v="0"/>
    <n v="0"/>
    <x v="42"/>
    <n v="75"/>
    <s v="U (Sep 21)"/>
    <d v="2021-09-15T00:00:00"/>
    <n v="-1"/>
  </r>
  <r>
    <x v="238"/>
    <x v="15"/>
    <n v="0"/>
    <n v="0"/>
    <n v="0"/>
    <n v="0"/>
    <x v="1662"/>
    <n v="0"/>
    <n v="0"/>
    <n v="0"/>
    <n v="0"/>
    <x v="52"/>
    <n v="138"/>
    <s v="X (Nov 21)"/>
    <d v="2021-11-17T00:00:00"/>
    <n v="-1"/>
  </r>
  <r>
    <x v="238"/>
    <x v="12"/>
    <n v="0"/>
    <n v="0"/>
    <n v="0"/>
    <n v="0"/>
    <x v="1663"/>
    <n v="0"/>
    <n v="0"/>
    <n v="0"/>
    <n v="0"/>
    <x v="56"/>
    <n v="229"/>
    <s v="G (Feb 22)"/>
    <d v="2022-02-16T00:00:00"/>
    <n v="-1"/>
  </r>
  <r>
    <x v="238"/>
    <x v="16"/>
    <n v="0"/>
    <n v="0"/>
    <n v="0"/>
    <n v="0"/>
    <x v="1664"/>
    <n v="0"/>
    <n v="0"/>
    <n v="0"/>
    <n v="0"/>
    <x v="46"/>
    <n v="110"/>
    <s v="V (Oct 21)"/>
    <d v="2021-10-20T00:00:00"/>
    <n v="-1"/>
  </r>
  <r>
    <x v="238"/>
    <x v="13"/>
    <n v="0"/>
    <n v="0"/>
    <n v="0"/>
    <n v="0"/>
    <x v="1665"/>
    <n v="0"/>
    <n v="0"/>
    <n v="0"/>
    <n v="0"/>
    <x v="30"/>
    <n v="201"/>
    <s v="F (Jan 22)"/>
    <d v="2022-01-19T00:00:00"/>
    <n v="-1"/>
  </r>
  <r>
    <x v="239"/>
    <x v="12"/>
    <n v="0"/>
    <n v="0"/>
    <n v="0"/>
    <n v="0"/>
    <x v="1483"/>
    <n v="0"/>
    <n v="0"/>
    <n v="0"/>
    <n v="0"/>
    <x v="68"/>
    <n v="230"/>
    <s v="G (Feb 22)"/>
    <d v="2022-02-16T00:00:00"/>
    <n v="-1"/>
  </r>
  <r>
    <x v="239"/>
    <x v="16"/>
    <n v="0"/>
    <n v="0"/>
    <n v="0"/>
    <n v="0"/>
    <x v="1666"/>
    <n v="0"/>
    <n v="0"/>
    <n v="0"/>
    <n v="0"/>
    <x v="61"/>
    <n v="111"/>
    <s v="V (Oct 21)"/>
    <d v="2021-10-20T00:00:00"/>
    <n v="-1"/>
  </r>
  <r>
    <x v="239"/>
    <x v="13"/>
    <n v="0"/>
    <n v="0"/>
    <n v="0"/>
    <n v="0"/>
    <x v="1667"/>
    <n v="0"/>
    <n v="0"/>
    <n v="0"/>
    <n v="0"/>
    <x v="36"/>
    <n v="202"/>
    <s v="F (Jan 22)"/>
    <d v="2022-01-19T00:00:00"/>
    <n v="-1"/>
  </r>
  <r>
    <x v="239"/>
    <x v="19"/>
    <n v="0"/>
    <n v="0"/>
    <n v="0"/>
    <n v="0"/>
    <x v="1668"/>
    <n v="0"/>
    <n v="0"/>
    <n v="0"/>
    <n v="0"/>
    <x v="98"/>
    <n v="20"/>
    <s v="N (Jul 21)"/>
    <d v="2021-07-21T00:00:00"/>
    <n v="-1"/>
  </r>
  <r>
    <x v="239"/>
    <x v="18"/>
    <n v="0"/>
    <n v="0"/>
    <n v="0"/>
    <n v="0"/>
    <x v="1669"/>
    <n v="0"/>
    <n v="0"/>
    <n v="0"/>
    <n v="0"/>
    <x v="55"/>
    <n v="48"/>
    <s v="Q (Aug 21)"/>
    <d v="2021-08-18T00:00:00"/>
    <n v="-1"/>
  </r>
  <r>
    <x v="239"/>
    <x v="14"/>
    <n v="0"/>
    <n v="0"/>
    <n v="0"/>
    <n v="0"/>
    <x v="1670"/>
    <n v="0"/>
    <n v="0"/>
    <n v="0"/>
    <n v="0"/>
    <x v="95"/>
    <n v="174"/>
    <s v="Z (Dec 21)"/>
    <d v="2021-12-22T00:00:00"/>
    <n v="-1"/>
  </r>
  <r>
    <x v="239"/>
    <x v="11"/>
    <n v="0"/>
    <n v="0"/>
    <n v="0"/>
    <n v="0"/>
    <x v="1386"/>
    <n v="0"/>
    <n v="0"/>
    <n v="0"/>
    <n v="0"/>
    <x v="51"/>
    <n v="257"/>
    <s v="H (Mar 22)"/>
    <d v="2022-03-15T00:00:00"/>
    <n v="-1"/>
  </r>
  <r>
    <x v="239"/>
    <x v="17"/>
    <n v="0"/>
    <n v="0"/>
    <n v="0"/>
    <n v="0"/>
    <x v="884"/>
    <n v="0"/>
    <n v="0"/>
    <n v="0"/>
    <n v="0"/>
    <x v="45"/>
    <n v="76"/>
    <s v="U (Sep 21)"/>
    <d v="2021-09-15T00:00:00"/>
    <n v="-1"/>
  </r>
  <r>
    <x v="239"/>
    <x v="15"/>
    <n v="0"/>
    <n v="0"/>
    <n v="0"/>
    <n v="0"/>
    <x v="1671"/>
    <n v="0"/>
    <n v="0"/>
    <n v="0"/>
    <n v="0"/>
    <x v="58"/>
    <n v="139"/>
    <s v="X (Nov 21)"/>
    <d v="2021-11-17T00:00:00"/>
    <n v="-1"/>
  </r>
  <r>
    <x v="240"/>
    <x v="19"/>
    <n v="0"/>
    <n v="0"/>
    <n v="0"/>
    <n v="0"/>
    <x v="1672"/>
    <n v="0"/>
    <n v="0"/>
    <n v="0"/>
    <n v="0"/>
    <x v="101"/>
    <n v="21"/>
    <s v="N (Jul 21)"/>
    <d v="2021-07-21T00:00:00"/>
    <n v="-1"/>
  </r>
  <r>
    <x v="240"/>
    <x v="18"/>
    <n v="0"/>
    <n v="0"/>
    <n v="0"/>
    <n v="0"/>
    <x v="1673"/>
    <n v="0"/>
    <n v="0"/>
    <n v="0"/>
    <n v="0"/>
    <x v="67"/>
    <n v="49"/>
    <s v="Q (Aug 21)"/>
    <d v="2021-08-18T00:00:00"/>
    <n v="-1"/>
  </r>
  <r>
    <x v="240"/>
    <x v="14"/>
    <n v="0"/>
    <n v="0"/>
    <n v="0"/>
    <n v="0"/>
    <x v="1674"/>
    <n v="0"/>
    <n v="0"/>
    <n v="0"/>
    <n v="0"/>
    <x v="107"/>
    <n v="175"/>
    <s v="Z (Dec 21)"/>
    <d v="2021-12-22T00:00:00"/>
    <n v="-1"/>
  </r>
  <r>
    <x v="240"/>
    <x v="11"/>
    <n v="0"/>
    <n v="0"/>
    <n v="0"/>
    <n v="0"/>
    <x v="1038"/>
    <n v="0"/>
    <n v="0"/>
    <n v="0"/>
    <n v="0"/>
    <x v="57"/>
    <n v="258"/>
    <s v="H (Mar 22)"/>
    <d v="2022-03-15T00:00:00"/>
    <n v="-1"/>
  </r>
  <r>
    <x v="240"/>
    <x v="17"/>
    <n v="0"/>
    <n v="0"/>
    <n v="0"/>
    <n v="0"/>
    <x v="1675"/>
    <n v="0"/>
    <n v="0"/>
    <n v="0"/>
    <n v="0"/>
    <x v="60"/>
    <n v="77"/>
    <s v="U (Sep 21)"/>
    <d v="2021-09-15T00:00:00"/>
    <n v="-1"/>
  </r>
  <r>
    <x v="240"/>
    <x v="15"/>
    <n v="0"/>
    <n v="0"/>
    <n v="0"/>
    <n v="0"/>
    <x v="1676"/>
    <n v="0"/>
    <n v="0"/>
    <n v="0"/>
    <n v="0"/>
    <x v="70"/>
    <n v="140"/>
    <s v="X (Nov 21)"/>
    <d v="2021-11-17T00:00:00"/>
    <n v="-1"/>
  </r>
  <r>
    <x v="240"/>
    <x v="12"/>
    <n v="0"/>
    <n v="0"/>
    <n v="0"/>
    <n v="0"/>
    <x v="1089"/>
    <n v="0"/>
    <n v="0"/>
    <n v="0"/>
    <n v="0"/>
    <x v="74"/>
    <n v="231"/>
    <s v="G (Feb 22)"/>
    <d v="2022-02-16T00:00:00"/>
    <n v="-1"/>
  </r>
  <r>
    <x v="240"/>
    <x v="16"/>
    <n v="0"/>
    <n v="0"/>
    <n v="0"/>
    <n v="0"/>
    <x v="1677"/>
    <n v="0"/>
    <n v="0"/>
    <n v="0"/>
    <n v="0"/>
    <x v="64"/>
    <n v="112"/>
    <s v="V (Oct 21)"/>
    <d v="2021-10-20T00:00:00"/>
    <n v="-1"/>
  </r>
  <r>
    <x v="240"/>
    <x v="13"/>
    <n v="0"/>
    <n v="0"/>
    <n v="0"/>
    <n v="0"/>
    <x v="1678"/>
    <n v="0"/>
    <n v="0"/>
    <n v="0"/>
    <n v="0"/>
    <x v="48"/>
    <n v="203"/>
    <s v="F (Jan 22)"/>
    <d v="2022-01-19T00:00:00"/>
    <n v="-1"/>
  </r>
  <r>
    <x v="241"/>
    <x v="12"/>
    <n v="0"/>
    <n v="0"/>
    <n v="0"/>
    <n v="0"/>
    <x v="1089"/>
    <n v="0"/>
    <n v="0"/>
    <n v="0"/>
    <n v="0"/>
    <x v="86"/>
    <n v="232"/>
    <s v="G (Feb 22)"/>
    <d v="2022-02-16T00:00:00"/>
    <n v="-1"/>
  </r>
  <r>
    <x v="241"/>
    <x v="16"/>
    <n v="0"/>
    <n v="0"/>
    <n v="0"/>
    <n v="0"/>
    <x v="1679"/>
    <n v="0"/>
    <n v="0"/>
    <n v="0"/>
    <n v="0"/>
    <x v="79"/>
    <n v="113"/>
    <s v="V (Oct 21)"/>
    <d v="2021-10-20T00:00:00"/>
    <n v="-1"/>
  </r>
  <r>
    <x v="241"/>
    <x v="13"/>
    <n v="0"/>
    <n v="0"/>
    <n v="0"/>
    <n v="0"/>
    <x v="1680"/>
    <n v="0"/>
    <n v="0"/>
    <n v="0"/>
    <n v="0"/>
    <x v="54"/>
    <n v="204"/>
    <s v="F (Jan 22)"/>
    <d v="2022-01-19T00:00:00"/>
    <n v="-1"/>
  </r>
  <r>
    <x v="241"/>
    <x v="19"/>
    <n v="0"/>
    <n v="0"/>
    <n v="0"/>
    <n v="0"/>
    <x v="1681"/>
    <n v="0"/>
    <n v="0"/>
    <n v="0"/>
    <n v="0"/>
    <x v="116"/>
    <n v="22"/>
    <s v="N (Jul 21)"/>
    <d v="2021-07-21T00:00:00"/>
    <n v="-1"/>
  </r>
  <r>
    <x v="241"/>
    <x v="18"/>
    <n v="0"/>
    <n v="0"/>
    <n v="0"/>
    <n v="0"/>
    <x v="1682"/>
    <n v="0"/>
    <n v="0"/>
    <n v="0"/>
    <n v="0"/>
    <x v="73"/>
    <n v="50"/>
    <s v="Q (Aug 21)"/>
    <d v="2021-08-18T00:00:00"/>
    <n v="-1"/>
  </r>
  <r>
    <x v="241"/>
    <x v="14"/>
    <n v="0"/>
    <n v="0"/>
    <n v="0"/>
    <n v="0"/>
    <x v="1683"/>
    <n v="0"/>
    <n v="0"/>
    <n v="0"/>
    <n v="0"/>
    <x v="113"/>
    <n v="176"/>
    <s v="Z (Dec 21)"/>
    <d v="2021-12-22T00:00:00"/>
    <n v="-1"/>
  </r>
  <r>
    <x v="241"/>
    <x v="11"/>
    <n v="0"/>
    <n v="0"/>
    <n v="0"/>
    <n v="0"/>
    <x v="1468"/>
    <n v="0"/>
    <n v="0"/>
    <n v="0"/>
    <n v="0"/>
    <x v="69"/>
    <n v="259"/>
    <s v="H (Mar 22)"/>
    <d v="2022-03-15T00:00:00"/>
    <n v="-1"/>
  </r>
  <r>
    <x v="241"/>
    <x v="17"/>
    <n v="0"/>
    <n v="0"/>
    <n v="0"/>
    <n v="0"/>
    <x v="1684"/>
    <n v="0"/>
    <n v="0"/>
    <n v="0"/>
    <n v="0"/>
    <x v="63"/>
    <n v="78"/>
    <s v="U (Sep 21)"/>
    <d v="2021-09-15T00:00:00"/>
    <n v="-1"/>
  </r>
  <r>
    <x v="241"/>
    <x v="15"/>
    <n v="0"/>
    <n v="0"/>
    <n v="0"/>
    <n v="0"/>
    <x v="1173"/>
    <n v="0"/>
    <n v="0"/>
    <n v="0"/>
    <n v="0"/>
    <x v="76"/>
    <n v="141"/>
    <s v="X (Nov 21)"/>
    <d v="2021-11-17T00:00:00"/>
    <n v="-1"/>
  </r>
  <r>
    <x v="242"/>
    <x v="19"/>
    <n v="0"/>
    <n v="0"/>
    <n v="0"/>
    <n v="0"/>
    <x v="1685"/>
    <n v="0"/>
    <n v="0"/>
    <n v="0"/>
    <n v="0"/>
    <x v="119"/>
    <n v="23"/>
    <s v="N (Jul 21)"/>
    <d v="2021-07-21T00:00:00"/>
    <n v="-1"/>
  </r>
  <r>
    <x v="242"/>
    <x v="18"/>
    <n v="0"/>
    <n v="0"/>
    <n v="0"/>
    <n v="0"/>
    <x v="1686"/>
    <n v="0"/>
    <n v="0"/>
    <n v="0"/>
    <n v="0"/>
    <x v="85"/>
    <n v="51"/>
    <s v="Q (Aug 21)"/>
    <d v="2021-08-18T00:00:00"/>
    <n v="-1"/>
  </r>
  <r>
    <x v="242"/>
    <x v="14"/>
    <n v="0"/>
    <n v="0"/>
    <n v="0"/>
    <n v="0"/>
    <x v="1687"/>
    <n v="0"/>
    <n v="0"/>
    <n v="0"/>
    <n v="0"/>
    <x v="125"/>
    <n v="177"/>
    <s v="Z (Dec 21)"/>
    <d v="2021-12-22T00:00:00"/>
    <n v="-1"/>
  </r>
  <r>
    <x v="242"/>
    <x v="11"/>
    <n v="0"/>
    <n v="0"/>
    <n v="0"/>
    <n v="0"/>
    <x v="1688"/>
    <n v="0"/>
    <n v="0"/>
    <n v="0"/>
    <n v="0"/>
    <x v="75"/>
    <n v="260"/>
    <s v="H (Mar 22)"/>
    <d v="2022-03-15T00:00:00"/>
    <n v="-1"/>
  </r>
  <r>
    <x v="242"/>
    <x v="17"/>
    <n v="0"/>
    <n v="0"/>
    <n v="0"/>
    <n v="0"/>
    <x v="1689"/>
    <n v="0"/>
    <n v="0"/>
    <n v="0"/>
    <n v="0"/>
    <x v="78"/>
    <n v="79"/>
    <s v="U (Sep 21)"/>
    <d v="2021-09-15T00:00:00"/>
    <n v="-1"/>
  </r>
  <r>
    <x v="242"/>
    <x v="15"/>
    <n v="0"/>
    <n v="0"/>
    <n v="0"/>
    <n v="0"/>
    <x v="1690"/>
    <n v="0"/>
    <n v="0"/>
    <n v="0"/>
    <n v="0"/>
    <x v="88"/>
    <n v="142"/>
    <s v="X (Nov 21)"/>
    <d v="2021-11-17T00:00:00"/>
    <n v="-1"/>
  </r>
  <r>
    <x v="242"/>
    <x v="12"/>
    <n v="0"/>
    <n v="0"/>
    <n v="0"/>
    <n v="0"/>
    <x v="1691"/>
    <n v="0"/>
    <n v="0"/>
    <n v="0"/>
    <n v="0"/>
    <x v="92"/>
    <n v="233"/>
    <s v="G (Feb 22)"/>
    <d v="2022-02-16T00:00:00"/>
    <n v="-1"/>
  </r>
  <r>
    <x v="242"/>
    <x v="16"/>
    <n v="0"/>
    <n v="0"/>
    <n v="0"/>
    <n v="0"/>
    <x v="1692"/>
    <n v="0"/>
    <n v="0"/>
    <n v="0"/>
    <n v="0"/>
    <x v="82"/>
    <n v="114"/>
    <s v="V (Oct 21)"/>
    <d v="2021-10-20T00:00:00"/>
    <n v="-1"/>
  </r>
  <r>
    <x v="242"/>
    <x v="13"/>
    <n v="0"/>
    <n v="0"/>
    <n v="0"/>
    <n v="0"/>
    <x v="1693"/>
    <n v="0"/>
    <n v="0"/>
    <n v="0"/>
    <n v="0"/>
    <x v="66"/>
    <n v="205"/>
    <s v="F (Jan 22)"/>
    <d v="2022-01-19T00:00:00"/>
    <n v="-1"/>
  </r>
  <r>
    <x v="243"/>
    <x v="12"/>
    <n v="0"/>
    <n v="0"/>
    <n v="0"/>
    <n v="0"/>
    <x v="1305"/>
    <n v="0"/>
    <n v="0"/>
    <n v="0"/>
    <n v="0"/>
    <x v="104"/>
    <n v="236"/>
    <s v="G (Feb 22)"/>
    <d v="2022-02-16T00:00:00"/>
    <n v="-1"/>
  </r>
  <r>
    <x v="243"/>
    <x v="16"/>
    <n v="0"/>
    <n v="0"/>
    <n v="0"/>
    <n v="0"/>
    <x v="1694"/>
    <n v="0"/>
    <n v="0"/>
    <n v="0"/>
    <n v="0"/>
    <x v="97"/>
    <n v="117"/>
    <s v="V (Oct 21)"/>
    <d v="2021-10-20T00:00:00"/>
    <n v="-1"/>
  </r>
  <r>
    <x v="243"/>
    <x v="13"/>
    <n v="0"/>
    <n v="0"/>
    <n v="0"/>
    <n v="0"/>
    <x v="1695"/>
    <n v="0"/>
    <n v="0"/>
    <n v="0"/>
    <n v="0"/>
    <x v="72"/>
    <n v="208"/>
    <s v="F (Jan 22)"/>
    <d v="2022-01-19T00:00:00"/>
    <n v="-1"/>
  </r>
  <r>
    <x v="243"/>
    <x v="19"/>
    <n v="0"/>
    <n v="0"/>
    <n v="0"/>
    <n v="0"/>
    <x v="1696"/>
    <n v="0"/>
    <n v="0"/>
    <n v="0"/>
    <n v="0"/>
    <x v="133"/>
    <n v="26"/>
    <s v="N (Jul 21)"/>
    <d v="2021-07-21T00:00:00"/>
    <n v="-1"/>
  </r>
  <r>
    <x v="243"/>
    <x v="18"/>
    <n v="0"/>
    <n v="0"/>
    <n v="0"/>
    <n v="0"/>
    <x v="1697"/>
    <n v="0"/>
    <n v="0"/>
    <n v="0"/>
    <n v="0"/>
    <x v="91"/>
    <n v="54"/>
    <s v="Q (Aug 21)"/>
    <d v="2021-08-18T00:00:00"/>
    <n v="-1"/>
  </r>
  <r>
    <x v="243"/>
    <x v="14"/>
    <n v="0"/>
    <n v="0"/>
    <n v="0"/>
    <n v="0"/>
    <x v="1698"/>
    <n v="0"/>
    <n v="0"/>
    <n v="0"/>
    <n v="0"/>
    <x v="130"/>
    <n v="180"/>
    <s v="Z (Dec 21)"/>
    <d v="2021-12-22T00:00:00"/>
    <n v="-1"/>
  </r>
  <r>
    <x v="243"/>
    <x v="11"/>
    <n v="0"/>
    <n v="0"/>
    <n v="0"/>
    <n v="0"/>
    <x v="1663"/>
    <n v="0"/>
    <n v="0"/>
    <n v="0"/>
    <n v="0"/>
    <x v="87"/>
    <n v="263"/>
    <s v="H (Mar 22)"/>
    <d v="2022-03-15T00:00:00"/>
    <n v="-1"/>
  </r>
  <r>
    <x v="243"/>
    <x v="17"/>
    <n v="0"/>
    <n v="0"/>
    <n v="0"/>
    <n v="0"/>
    <x v="1699"/>
    <n v="0"/>
    <n v="0"/>
    <n v="0"/>
    <n v="0"/>
    <x v="81"/>
    <n v="82"/>
    <s v="U (Sep 21)"/>
    <d v="2021-09-15T00:00:00"/>
    <n v="-1"/>
  </r>
  <r>
    <x v="243"/>
    <x v="15"/>
    <n v="0"/>
    <n v="0"/>
    <n v="0"/>
    <n v="0"/>
    <x v="1396"/>
    <n v="0"/>
    <n v="0"/>
    <n v="0"/>
    <n v="0"/>
    <x v="94"/>
    <n v="145"/>
    <s v="X (Nov 21)"/>
    <d v="2021-11-17T00:00:00"/>
    <n v="-1"/>
  </r>
  <r>
    <x v="244"/>
    <x v="19"/>
    <n v="0"/>
    <n v="0"/>
    <n v="0"/>
    <n v="0"/>
    <x v="1700"/>
    <n v="0"/>
    <n v="0"/>
    <n v="0"/>
    <n v="0"/>
    <x v="136"/>
    <n v="27"/>
    <s v="N (Jul 21)"/>
    <d v="2021-07-21T00:00:00"/>
    <n v="-1"/>
  </r>
  <r>
    <x v="244"/>
    <x v="18"/>
    <n v="0"/>
    <n v="0"/>
    <n v="0"/>
    <n v="0"/>
    <x v="1701"/>
    <n v="0"/>
    <n v="0"/>
    <n v="0"/>
    <n v="0"/>
    <x v="103"/>
    <n v="55"/>
    <s v="Q (Aug 21)"/>
    <d v="2021-08-18T00:00:00"/>
    <n v="-1"/>
  </r>
  <r>
    <x v="244"/>
    <x v="14"/>
    <n v="0"/>
    <n v="0"/>
    <n v="0"/>
    <n v="0"/>
    <x v="1702"/>
    <n v="0"/>
    <n v="0"/>
    <n v="0"/>
    <n v="0"/>
    <x v="141"/>
    <n v="181"/>
    <s v="Z (Dec 21)"/>
    <d v="2021-12-22T00:00:00"/>
    <n v="-1"/>
  </r>
  <r>
    <x v="244"/>
    <x v="11"/>
    <n v="0"/>
    <n v="0"/>
    <n v="0"/>
    <n v="0"/>
    <x v="1703"/>
    <n v="0"/>
    <n v="0"/>
    <n v="0"/>
    <n v="0"/>
    <x v="93"/>
    <n v="264"/>
    <s v="H (Mar 22)"/>
    <d v="2022-03-15T00:00:00"/>
    <n v="-1"/>
  </r>
  <r>
    <x v="244"/>
    <x v="17"/>
    <n v="0"/>
    <n v="0"/>
    <n v="0"/>
    <n v="0"/>
    <x v="1704"/>
    <n v="0"/>
    <n v="0"/>
    <n v="0"/>
    <n v="0"/>
    <x v="96"/>
    <n v="83"/>
    <s v="U (Sep 21)"/>
    <d v="2021-09-15T00:00:00"/>
    <n v="-1"/>
  </r>
  <r>
    <x v="244"/>
    <x v="15"/>
    <n v="0"/>
    <n v="0"/>
    <n v="0"/>
    <n v="0"/>
    <x v="1705"/>
    <n v="0"/>
    <n v="0"/>
    <n v="0"/>
    <n v="0"/>
    <x v="106"/>
    <n v="146"/>
    <s v="X (Nov 21)"/>
    <d v="2021-11-17T00:00:00"/>
    <n v="-1"/>
  </r>
  <r>
    <x v="244"/>
    <x v="12"/>
    <n v="0"/>
    <n v="0"/>
    <n v="0"/>
    <n v="0"/>
    <x v="1706"/>
    <n v="0"/>
    <n v="0"/>
    <n v="0"/>
    <n v="0"/>
    <x v="110"/>
    <n v="237"/>
    <s v="G (Feb 22)"/>
    <d v="2022-02-16T00:00:00"/>
    <n v="-1"/>
  </r>
  <r>
    <x v="244"/>
    <x v="16"/>
    <n v="0"/>
    <n v="0"/>
    <n v="0"/>
    <n v="0"/>
    <x v="1666"/>
    <n v="0"/>
    <n v="0"/>
    <n v="0"/>
    <n v="0"/>
    <x v="100"/>
    <n v="118"/>
    <s v="V (Oct 21)"/>
    <d v="2021-10-20T00:00:00"/>
    <n v="-1"/>
  </r>
  <r>
    <x v="244"/>
    <x v="13"/>
    <n v="0"/>
    <n v="0"/>
    <n v="0"/>
    <n v="0"/>
    <x v="1707"/>
    <n v="0"/>
    <n v="0"/>
    <n v="0"/>
    <n v="0"/>
    <x v="84"/>
    <n v="209"/>
    <s v="F (Jan 22)"/>
    <d v="2022-01-19T00:00:00"/>
    <n v="-1"/>
  </r>
  <r>
    <x v="245"/>
    <x v="12"/>
    <n v="0"/>
    <n v="0"/>
    <n v="0"/>
    <n v="0"/>
    <x v="1708"/>
    <n v="0"/>
    <n v="0"/>
    <n v="0"/>
    <n v="0"/>
    <x v="122"/>
    <n v="238"/>
    <s v="G (Feb 22)"/>
    <d v="2022-02-16T00:00:00"/>
    <n v="-1"/>
  </r>
  <r>
    <x v="245"/>
    <x v="16"/>
    <n v="0"/>
    <n v="0"/>
    <n v="0"/>
    <n v="0"/>
    <x v="1705"/>
    <n v="0"/>
    <n v="0"/>
    <n v="0"/>
    <n v="0"/>
    <x v="115"/>
    <n v="119"/>
    <s v="V (Oct 21)"/>
    <d v="2021-10-20T00:00:00"/>
    <n v="-1"/>
  </r>
  <r>
    <x v="245"/>
    <x v="13"/>
    <n v="0"/>
    <n v="0"/>
    <n v="0"/>
    <n v="0"/>
    <x v="1691"/>
    <n v="0"/>
    <n v="0"/>
    <n v="0"/>
    <n v="0"/>
    <x v="90"/>
    <n v="210"/>
    <s v="F (Jan 22)"/>
    <d v="2022-01-19T00:00:00"/>
    <n v="-1"/>
  </r>
  <r>
    <x v="245"/>
    <x v="19"/>
    <n v="0"/>
    <n v="0"/>
    <n v="0"/>
    <n v="0"/>
    <x v="1709"/>
    <n v="0"/>
    <n v="0"/>
    <n v="0"/>
    <n v="0"/>
    <x v="150"/>
    <n v="28"/>
    <s v="N (Jul 21)"/>
    <d v="2021-07-21T00:00:00"/>
    <n v="-1"/>
  </r>
  <r>
    <x v="245"/>
    <x v="18"/>
    <n v="0"/>
    <n v="0"/>
    <n v="0"/>
    <n v="0"/>
    <x v="1710"/>
    <n v="0"/>
    <n v="0"/>
    <n v="0"/>
    <n v="0"/>
    <x v="109"/>
    <n v="56"/>
    <s v="Q (Aug 21)"/>
    <d v="2021-08-18T00:00:00"/>
    <n v="-1"/>
  </r>
  <r>
    <x v="245"/>
    <x v="14"/>
    <n v="0"/>
    <n v="0"/>
    <n v="0"/>
    <n v="0"/>
    <x v="1609"/>
    <n v="0"/>
    <n v="0"/>
    <n v="0"/>
    <n v="0"/>
    <x v="147"/>
    <n v="182"/>
    <s v="Z (Dec 21)"/>
    <d v="2021-12-22T00:00:00"/>
    <n v="-1"/>
  </r>
  <r>
    <x v="245"/>
    <x v="11"/>
    <n v="0"/>
    <n v="0"/>
    <n v="0"/>
    <n v="0"/>
    <x v="1468"/>
    <n v="0"/>
    <n v="0"/>
    <n v="0"/>
    <n v="0"/>
    <x v="105"/>
    <n v="265"/>
    <s v="H (Mar 22)"/>
    <d v="2022-03-15T00:00:00"/>
    <n v="-1"/>
  </r>
  <r>
    <x v="245"/>
    <x v="17"/>
    <n v="0"/>
    <n v="0"/>
    <n v="0"/>
    <n v="0"/>
    <x v="1711"/>
    <n v="0"/>
    <n v="0"/>
    <n v="0"/>
    <n v="0"/>
    <x v="99"/>
    <n v="84"/>
    <s v="U (Sep 21)"/>
    <d v="2021-09-15T00:00:00"/>
    <n v="-1"/>
  </r>
  <r>
    <x v="245"/>
    <x v="15"/>
    <n v="0"/>
    <n v="0"/>
    <n v="0"/>
    <n v="0"/>
    <x v="1173"/>
    <n v="0"/>
    <n v="0"/>
    <n v="0"/>
    <n v="0"/>
    <x v="112"/>
    <n v="147"/>
    <s v="X (Nov 21)"/>
    <d v="2021-11-17T00:00:00"/>
    <n v="-1"/>
  </r>
  <r>
    <x v="246"/>
    <x v="19"/>
    <n v="0"/>
    <n v="0"/>
    <n v="0"/>
    <n v="0"/>
    <x v="1712"/>
    <n v="0"/>
    <n v="0"/>
    <n v="0"/>
    <n v="0"/>
    <x v="153"/>
    <n v="29"/>
    <s v="N (Jul 21)"/>
    <d v="2021-07-21T00:00:00"/>
    <n v="-1"/>
  </r>
  <r>
    <x v="246"/>
    <x v="18"/>
    <n v="0"/>
    <n v="0"/>
    <n v="0"/>
    <n v="0"/>
    <x v="1713"/>
    <n v="0"/>
    <n v="0"/>
    <n v="0"/>
    <n v="0"/>
    <x v="121"/>
    <n v="57"/>
    <s v="Q (Aug 21)"/>
    <d v="2021-08-18T00:00:00"/>
    <n v="-1"/>
  </r>
  <r>
    <x v="246"/>
    <x v="14"/>
    <n v="0"/>
    <n v="0"/>
    <n v="0"/>
    <n v="0"/>
    <x v="1714"/>
    <n v="0"/>
    <n v="0"/>
    <n v="0"/>
    <n v="0"/>
    <x v="158"/>
    <n v="183"/>
    <s v="Z (Dec 21)"/>
    <d v="2021-12-22T00:00:00"/>
    <n v="-1"/>
  </r>
  <r>
    <x v="246"/>
    <x v="11"/>
    <n v="0"/>
    <n v="0"/>
    <n v="0"/>
    <n v="0"/>
    <x v="1235"/>
    <n v="0"/>
    <n v="0"/>
    <n v="0"/>
    <n v="0"/>
    <x v="111"/>
    <n v="266"/>
    <s v="H (Mar 22)"/>
    <d v="2022-03-15T00:00:00"/>
    <n v="-1"/>
  </r>
  <r>
    <x v="246"/>
    <x v="17"/>
    <n v="0"/>
    <n v="0"/>
    <n v="0"/>
    <n v="0"/>
    <x v="1715"/>
    <n v="0"/>
    <n v="0"/>
    <n v="0"/>
    <n v="0"/>
    <x v="114"/>
    <n v="85"/>
    <s v="U (Sep 21)"/>
    <d v="2021-09-15T00:00:00"/>
    <n v="-1"/>
  </r>
  <r>
    <x v="246"/>
    <x v="15"/>
    <n v="0"/>
    <n v="0"/>
    <n v="0"/>
    <n v="0"/>
    <x v="1716"/>
    <n v="0"/>
    <n v="0"/>
    <n v="0"/>
    <n v="0"/>
    <x v="124"/>
    <n v="148"/>
    <s v="X (Nov 21)"/>
    <d v="2021-11-17T00:00:00"/>
    <n v="-1"/>
  </r>
  <r>
    <x v="246"/>
    <x v="12"/>
    <n v="0"/>
    <n v="0"/>
    <n v="0"/>
    <n v="0"/>
    <x v="1468"/>
    <n v="0"/>
    <n v="0"/>
    <n v="0"/>
    <n v="0"/>
    <x v="128"/>
    <n v="239"/>
    <s v="G (Feb 22)"/>
    <d v="2022-02-16T00:00:00"/>
    <n v="-1"/>
  </r>
  <r>
    <x v="246"/>
    <x v="16"/>
    <n v="0"/>
    <n v="0"/>
    <n v="0"/>
    <n v="0"/>
    <x v="1717"/>
    <n v="0"/>
    <n v="0"/>
    <n v="0"/>
    <n v="0"/>
    <x v="118"/>
    <n v="120"/>
    <s v="V (Oct 21)"/>
    <d v="2021-10-20T00:00:00"/>
    <n v="-1"/>
  </r>
  <r>
    <x v="246"/>
    <x v="13"/>
    <n v="0"/>
    <n v="0"/>
    <n v="0"/>
    <n v="0"/>
    <x v="1708"/>
    <n v="0"/>
    <n v="0"/>
    <n v="0"/>
    <n v="0"/>
    <x v="102"/>
    <n v="211"/>
    <s v="F (Jan 22)"/>
    <d v="2022-01-19T00:00:00"/>
    <n v="-1"/>
  </r>
  <r>
    <x v="247"/>
    <x v="12"/>
    <n v="0"/>
    <n v="0"/>
    <n v="0"/>
    <n v="0"/>
    <x v="1235"/>
    <n v="0"/>
    <n v="0"/>
    <n v="0"/>
    <n v="0"/>
    <x v="139"/>
    <n v="240"/>
    <s v="G (Feb 22)"/>
    <d v="2022-02-16T00:00:00"/>
    <n v="-1"/>
  </r>
  <r>
    <x v="247"/>
    <x v="16"/>
    <n v="0"/>
    <n v="0"/>
    <n v="0"/>
    <n v="0"/>
    <x v="1718"/>
    <n v="0"/>
    <n v="0"/>
    <n v="0"/>
    <n v="0"/>
    <x v="132"/>
    <n v="121"/>
    <s v="V (Oct 21)"/>
    <d v="2021-10-20T00:00:00"/>
    <n v="-1"/>
  </r>
  <r>
    <x v="247"/>
    <x v="13"/>
    <n v="0"/>
    <n v="0"/>
    <n v="0"/>
    <n v="0"/>
    <x v="1719"/>
    <n v="0"/>
    <n v="0"/>
    <n v="0"/>
    <n v="0"/>
    <x v="108"/>
    <n v="212"/>
    <s v="F (Jan 22)"/>
    <d v="2022-01-19T00:00:00"/>
    <n v="-1"/>
  </r>
  <r>
    <x v="247"/>
    <x v="19"/>
    <n v="0"/>
    <n v="0"/>
    <n v="0"/>
    <n v="0"/>
    <x v="1720"/>
    <n v="0"/>
    <n v="0"/>
    <n v="0"/>
    <n v="0"/>
    <x v="166"/>
    <n v="30"/>
    <s v="N (Jul 21)"/>
    <d v="2021-07-21T00:00:00"/>
    <n v="-1"/>
  </r>
  <r>
    <x v="247"/>
    <x v="18"/>
    <n v="0"/>
    <n v="0"/>
    <n v="0"/>
    <n v="0"/>
    <x v="1721"/>
    <n v="0"/>
    <n v="0"/>
    <n v="0"/>
    <n v="0"/>
    <x v="127"/>
    <n v="58"/>
    <s v="Q (Aug 21)"/>
    <d v="2021-08-18T00:00:00"/>
    <n v="-1"/>
  </r>
  <r>
    <x v="247"/>
    <x v="14"/>
    <n v="0"/>
    <n v="0"/>
    <n v="0"/>
    <n v="0"/>
    <x v="1722"/>
    <n v="0"/>
    <n v="0"/>
    <n v="0"/>
    <n v="0"/>
    <x v="163"/>
    <n v="184"/>
    <s v="Z (Dec 21)"/>
    <d v="2021-12-22T00:00:00"/>
    <n v="-1"/>
  </r>
  <r>
    <x v="247"/>
    <x v="11"/>
    <n v="0"/>
    <n v="0"/>
    <n v="0"/>
    <n v="0"/>
    <x v="1399"/>
    <n v="0"/>
    <n v="0"/>
    <n v="0"/>
    <n v="0"/>
    <x v="123"/>
    <n v="267"/>
    <s v="H (Mar 22)"/>
    <d v="2022-03-15T00:00:00"/>
    <n v="-1"/>
  </r>
  <r>
    <x v="247"/>
    <x v="17"/>
    <n v="0"/>
    <n v="0"/>
    <n v="0"/>
    <n v="0"/>
    <x v="1723"/>
    <n v="0"/>
    <n v="0"/>
    <n v="0"/>
    <n v="0"/>
    <x v="117"/>
    <n v="86"/>
    <s v="U (Sep 21)"/>
    <d v="2021-09-15T00:00:00"/>
    <n v="-1"/>
  </r>
  <r>
    <x v="247"/>
    <x v="15"/>
    <n v="0"/>
    <n v="0"/>
    <n v="0"/>
    <n v="0"/>
    <x v="1724"/>
    <n v="0"/>
    <n v="0"/>
    <n v="0"/>
    <n v="0"/>
    <x v="129"/>
    <n v="149"/>
    <s v="X (Nov 21)"/>
    <d v="2021-11-17T00:00:00"/>
    <n v="-1"/>
  </r>
  <r>
    <x v="248"/>
    <x v="19"/>
    <n v="0"/>
    <n v="0"/>
    <n v="0"/>
    <n v="0"/>
    <x v="1725"/>
    <n v="0"/>
    <n v="0"/>
    <n v="0"/>
    <n v="0"/>
    <x v="169"/>
    <n v="33"/>
    <s v="N (Jul 21)"/>
    <d v="2021-07-21T00:00:00"/>
    <n v="-1"/>
  </r>
  <r>
    <x v="248"/>
    <x v="18"/>
    <n v="0"/>
    <n v="0"/>
    <n v="0"/>
    <n v="0"/>
    <x v="1726"/>
    <n v="0"/>
    <n v="0"/>
    <n v="0"/>
    <n v="0"/>
    <x v="138"/>
    <n v="61"/>
    <s v="Q (Aug 21)"/>
    <d v="2021-08-18T00:00:00"/>
    <n v="-1"/>
  </r>
  <r>
    <x v="248"/>
    <x v="14"/>
    <n v="0"/>
    <n v="0"/>
    <n v="0"/>
    <n v="0"/>
    <x v="1727"/>
    <n v="0"/>
    <n v="0"/>
    <n v="0"/>
    <n v="0"/>
    <x v="173"/>
    <n v="187"/>
    <s v="Z (Dec 21)"/>
    <d v="2021-12-22T00:00:00"/>
    <n v="-1"/>
  </r>
  <r>
    <x v="248"/>
    <x v="17"/>
    <n v="0"/>
    <n v="0"/>
    <n v="0"/>
    <n v="0"/>
    <x v="1728"/>
    <n v="0"/>
    <n v="0"/>
    <n v="0"/>
    <n v="0"/>
    <x v="131"/>
    <n v="89"/>
    <s v="U (Sep 21)"/>
    <d v="2021-09-15T00:00:00"/>
    <n v="-1"/>
  </r>
  <r>
    <x v="248"/>
    <x v="15"/>
    <n v="0"/>
    <n v="0"/>
    <n v="0"/>
    <n v="0"/>
    <x v="1729"/>
    <n v="0"/>
    <n v="0"/>
    <n v="0"/>
    <n v="0"/>
    <x v="140"/>
    <n v="152"/>
    <s v="X (Nov 21)"/>
    <d v="2021-11-17T00:00:00"/>
    <n v="-1"/>
  </r>
  <r>
    <x v="248"/>
    <x v="12"/>
    <n v="0"/>
    <n v="0"/>
    <n v="0"/>
    <n v="0"/>
    <x v="1421"/>
    <n v="0"/>
    <n v="0"/>
    <n v="0"/>
    <n v="0"/>
    <x v="144"/>
    <n v="243"/>
    <s v="G (Feb 22)"/>
    <d v="2022-02-16T00:00:00"/>
    <n v="-1"/>
  </r>
  <r>
    <x v="248"/>
    <x v="16"/>
    <n v="0"/>
    <n v="0"/>
    <n v="0"/>
    <n v="0"/>
    <x v="1730"/>
    <n v="0"/>
    <n v="0"/>
    <n v="0"/>
    <n v="0"/>
    <x v="135"/>
    <n v="124"/>
    <s v="V (Oct 21)"/>
    <d v="2021-10-20T00:00:00"/>
    <n v="-1"/>
  </r>
  <r>
    <x v="248"/>
    <x v="13"/>
    <n v="0"/>
    <n v="0"/>
    <n v="0"/>
    <n v="0"/>
    <x v="1731"/>
    <n v="0"/>
    <n v="0"/>
    <n v="0"/>
    <n v="0"/>
    <x v="120"/>
    <n v="215"/>
    <s v="F (Jan 22)"/>
    <d v="2022-01-19T00:00:00"/>
    <n v="-1"/>
  </r>
  <r>
    <x v="249"/>
    <x v="12"/>
    <n v="0"/>
    <n v="0"/>
    <n v="0"/>
    <n v="0"/>
    <x v="1732"/>
    <n v="0"/>
    <n v="0"/>
    <n v="0"/>
    <n v="0"/>
    <x v="155"/>
    <n v="244"/>
    <s v="G (Feb 22)"/>
    <d v="2022-02-16T00:00:00"/>
    <n v="-1"/>
  </r>
  <r>
    <x v="249"/>
    <x v="16"/>
    <n v="0"/>
    <n v="0"/>
    <n v="0"/>
    <n v="0"/>
    <x v="1733"/>
    <n v="0"/>
    <n v="0"/>
    <n v="0"/>
    <n v="0"/>
    <x v="149"/>
    <n v="125"/>
    <s v="V (Oct 21)"/>
    <d v="2021-10-20T00:00:00"/>
    <n v="-1"/>
  </r>
  <r>
    <x v="249"/>
    <x v="13"/>
    <n v="0"/>
    <n v="0"/>
    <n v="0"/>
    <n v="0"/>
    <x v="1708"/>
    <n v="0"/>
    <n v="0"/>
    <n v="0"/>
    <n v="0"/>
    <x v="126"/>
    <n v="216"/>
    <s v="F (Jan 22)"/>
    <d v="2022-01-19T00:00:00"/>
    <n v="-1"/>
  </r>
  <r>
    <x v="249"/>
    <x v="19"/>
    <n v="0"/>
    <n v="0"/>
    <n v="0"/>
    <n v="0"/>
    <x v="1734"/>
    <n v="0"/>
    <n v="0"/>
    <n v="0"/>
    <n v="0"/>
    <x v="176"/>
    <n v="34"/>
    <s v="N (Jul 21)"/>
    <d v="2021-07-21T00:00:00"/>
    <n v="-1"/>
  </r>
  <r>
    <x v="249"/>
    <x v="18"/>
    <n v="0"/>
    <n v="0"/>
    <n v="0"/>
    <n v="0"/>
    <x v="1735"/>
    <n v="0"/>
    <n v="0"/>
    <n v="0"/>
    <n v="0"/>
    <x v="143"/>
    <n v="62"/>
    <s v="Q (Aug 21)"/>
    <d v="2021-08-18T00:00:00"/>
    <n v="-1"/>
  </r>
  <r>
    <x v="249"/>
    <x v="14"/>
    <n v="0"/>
    <n v="0"/>
    <n v="0"/>
    <n v="0"/>
    <x v="1736"/>
    <n v="0"/>
    <n v="0"/>
    <n v="0"/>
    <n v="0"/>
    <x v="174"/>
    <n v="188"/>
    <s v="Z (Dec 21)"/>
    <d v="2021-12-22T00:00:00"/>
    <n v="-1"/>
  </r>
  <r>
    <x v="249"/>
    <x v="17"/>
    <n v="0"/>
    <n v="0"/>
    <n v="0"/>
    <n v="0"/>
    <x v="1737"/>
    <n v="0"/>
    <n v="0"/>
    <n v="0"/>
    <n v="0"/>
    <x v="134"/>
    <n v="90"/>
    <s v="U (Sep 21)"/>
    <d v="2021-09-15T00:00:00"/>
    <n v="-1"/>
  </r>
  <r>
    <x v="249"/>
    <x v="15"/>
    <n v="0"/>
    <n v="0"/>
    <n v="0"/>
    <n v="0"/>
    <x v="1738"/>
    <n v="0"/>
    <n v="0"/>
    <n v="0"/>
    <n v="0"/>
    <x v="146"/>
    <n v="153"/>
    <s v="X (Nov 21)"/>
    <d v="2021-11-17T00:00:00"/>
    <n v="-1"/>
  </r>
  <r>
    <x v="250"/>
    <x v="19"/>
    <n v="0"/>
    <n v="0"/>
    <n v="0"/>
    <n v="0"/>
    <x v="1739"/>
    <n v="0"/>
    <n v="0"/>
    <n v="0"/>
    <n v="0"/>
    <x v="178"/>
    <n v="35"/>
    <s v="N (Jul 21)"/>
    <d v="2021-07-21T00:00:00"/>
    <n v="-1"/>
  </r>
  <r>
    <x v="250"/>
    <x v="18"/>
    <n v="0"/>
    <n v="0"/>
    <n v="0"/>
    <n v="0"/>
    <x v="1740"/>
    <n v="0"/>
    <n v="0"/>
    <n v="0"/>
    <n v="0"/>
    <x v="154"/>
    <n v="63"/>
    <s v="Q (Aug 21)"/>
    <d v="2021-08-18T00:00:00"/>
    <n v="-1"/>
  </r>
  <r>
    <x v="250"/>
    <x v="14"/>
    <n v="0"/>
    <n v="0"/>
    <n v="0"/>
    <n v="0"/>
    <x v="798"/>
    <n v="0"/>
    <n v="0"/>
    <n v="0"/>
    <n v="0"/>
    <x v="179"/>
    <n v="189"/>
    <s v="Z (Dec 21)"/>
    <d v="2021-12-22T00:00:00"/>
    <n v="-1"/>
  </r>
  <r>
    <x v="250"/>
    <x v="17"/>
    <n v="0"/>
    <n v="0"/>
    <n v="0"/>
    <n v="0"/>
    <x v="1741"/>
    <n v="0"/>
    <n v="0"/>
    <n v="0"/>
    <n v="0"/>
    <x v="148"/>
    <n v="91"/>
    <s v="U (Sep 21)"/>
    <d v="2021-09-15T00:00:00"/>
    <n v="-1"/>
  </r>
  <r>
    <x v="250"/>
    <x v="20"/>
    <n v="0"/>
    <n v="0"/>
    <n v="0"/>
    <n v="0"/>
    <x v="1742"/>
    <n v="0"/>
    <n v="0"/>
    <n v="0"/>
    <n v="0"/>
    <x v="145"/>
    <n v="0"/>
    <s v="M (Jun 21)"/>
    <d v="2021-06-16T00:00:00"/>
    <n v="-1"/>
  </r>
  <r>
    <x v="250"/>
    <x v="15"/>
    <n v="0"/>
    <n v="0"/>
    <n v="0"/>
    <n v="0"/>
    <x v="1743"/>
    <n v="0"/>
    <n v="0"/>
    <n v="0"/>
    <n v="0"/>
    <x v="157"/>
    <n v="154"/>
    <s v="X (Nov 21)"/>
    <d v="2021-11-17T00:00:00"/>
    <n v="-1"/>
  </r>
  <r>
    <x v="250"/>
    <x v="12"/>
    <n v="0"/>
    <n v="0"/>
    <n v="0"/>
    <n v="0"/>
    <x v="1235"/>
    <n v="0"/>
    <n v="0"/>
    <n v="0"/>
    <n v="0"/>
    <x v="160"/>
    <n v="245"/>
    <s v="G (Feb 22)"/>
    <d v="2022-02-16T00:00:00"/>
    <n v="-1"/>
  </r>
  <r>
    <x v="250"/>
    <x v="16"/>
    <n v="0"/>
    <n v="0"/>
    <n v="0"/>
    <n v="0"/>
    <x v="1744"/>
    <n v="0"/>
    <n v="0"/>
    <n v="0"/>
    <n v="0"/>
    <x v="152"/>
    <n v="126"/>
    <s v="V (Oct 21)"/>
    <d v="2021-10-20T00:00:00"/>
    <n v="-1"/>
  </r>
  <r>
    <x v="250"/>
    <x v="13"/>
    <n v="0"/>
    <n v="0"/>
    <n v="0"/>
    <n v="0"/>
    <x v="1745"/>
    <n v="0"/>
    <n v="0"/>
    <n v="0"/>
    <n v="0"/>
    <x v="137"/>
    <n v="217"/>
    <s v="F (Jan 22)"/>
    <d v="2022-01-19T00:00:00"/>
    <n v="-1"/>
  </r>
  <r>
    <x v="251"/>
    <x v="12"/>
    <n v="0"/>
    <n v="0"/>
    <n v="0"/>
    <n v="0"/>
    <x v="1468"/>
    <n v="0"/>
    <n v="0"/>
    <n v="0"/>
    <n v="0"/>
    <x v="171"/>
    <n v="246"/>
    <s v="G (Feb 22)"/>
    <d v="2022-02-16T00:00:00"/>
    <n v="-1"/>
  </r>
  <r>
    <x v="251"/>
    <x v="16"/>
    <n v="0"/>
    <n v="0"/>
    <n v="0"/>
    <n v="0"/>
    <x v="1746"/>
    <n v="0"/>
    <n v="0"/>
    <n v="0"/>
    <n v="0"/>
    <x v="165"/>
    <n v="127"/>
    <s v="V (Oct 21)"/>
    <d v="2021-10-20T00:00:00"/>
    <n v="-1"/>
  </r>
  <r>
    <x v="251"/>
    <x v="13"/>
    <n v="0"/>
    <n v="0"/>
    <n v="0"/>
    <n v="0"/>
    <x v="1747"/>
    <n v="0"/>
    <n v="0"/>
    <n v="0"/>
    <n v="0"/>
    <x v="142"/>
    <n v="218"/>
    <s v="F (Jan 22)"/>
    <d v="2022-01-19T00:00:00"/>
    <n v="-1"/>
  </r>
  <r>
    <x v="251"/>
    <x v="19"/>
    <n v="0"/>
    <n v="0"/>
    <n v="0"/>
    <n v="0"/>
    <x v="1748"/>
    <n v="0"/>
    <n v="0"/>
    <n v="0"/>
    <n v="0"/>
    <x v="182"/>
    <n v="36"/>
    <s v="N (Jul 21)"/>
    <d v="2021-07-21T00:00:00"/>
    <n v="-1"/>
  </r>
  <r>
    <x v="251"/>
    <x v="18"/>
    <n v="0"/>
    <n v="0"/>
    <n v="0"/>
    <n v="0"/>
    <x v="1749"/>
    <n v="0"/>
    <n v="0"/>
    <n v="0"/>
    <n v="0"/>
    <x v="159"/>
    <n v="64"/>
    <s v="Q (Aug 21)"/>
    <d v="2021-08-18T00:00:00"/>
    <n v="-1"/>
  </r>
  <r>
    <x v="251"/>
    <x v="14"/>
    <n v="0"/>
    <n v="0"/>
    <n v="0"/>
    <n v="0"/>
    <x v="1750"/>
    <n v="0"/>
    <n v="0"/>
    <n v="0"/>
    <n v="0"/>
    <x v="180"/>
    <n v="190"/>
    <s v="Z (Dec 21)"/>
    <d v="2021-12-22T00:00:00"/>
    <n v="-1"/>
  </r>
  <r>
    <x v="251"/>
    <x v="17"/>
    <n v="0"/>
    <n v="0"/>
    <n v="0"/>
    <n v="0"/>
    <x v="1751"/>
    <n v="0"/>
    <n v="0"/>
    <n v="0"/>
    <n v="0"/>
    <x v="151"/>
    <n v="92"/>
    <s v="U (Sep 21)"/>
    <d v="2021-09-15T00:00:00"/>
    <n v="-1"/>
  </r>
  <r>
    <x v="251"/>
    <x v="20"/>
    <n v="0"/>
    <n v="0"/>
    <n v="0"/>
    <n v="0"/>
    <x v="1752"/>
    <n v="0"/>
    <n v="0"/>
    <n v="0"/>
    <n v="0"/>
    <x v="156"/>
    <n v="1"/>
    <s v="M (Jun 21)"/>
    <d v="2021-06-16T00:00:00"/>
    <n v="-1"/>
  </r>
  <r>
    <x v="251"/>
    <x v="15"/>
    <n v="0"/>
    <n v="0"/>
    <n v="0"/>
    <n v="0"/>
    <x v="1307"/>
    <n v="0"/>
    <n v="0"/>
    <n v="0"/>
    <n v="0"/>
    <x v="162"/>
    <n v="155"/>
    <s v="X (Nov 21)"/>
    <d v="2021-11-17T00:00:00"/>
    <n v="-1"/>
  </r>
  <r>
    <x v="252"/>
    <x v="19"/>
    <n v="0"/>
    <n v="0"/>
    <n v="0"/>
    <n v="0"/>
    <x v="1753"/>
    <n v="0"/>
    <n v="0"/>
    <n v="0"/>
    <n v="0"/>
    <x v="184"/>
    <n v="37"/>
    <s v="N (Jul 21)"/>
    <d v="2021-07-21T00:00:00"/>
    <n v="-1"/>
  </r>
  <r>
    <x v="252"/>
    <x v="18"/>
    <n v="0"/>
    <n v="0"/>
    <n v="0"/>
    <n v="0"/>
    <x v="1754"/>
    <n v="0"/>
    <n v="0"/>
    <n v="0"/>
    <n v="0"/>
    <x v="170"/>
    <n v="65"/>
    <s v="Q (Aug 21)"/>
    <d v="2021-08-18T00:00:00"/>
    <n v="-1"/>
  </r>
  <r>
    <x v="252"/>
    <x v="14"/>
    <n v="0"/>
    <n v="0"/>
    <n v="0"/>
    <n v="0"/>
    <x v="1755"/>
    <n v="0"/>
    <n v="0"/>
    <n v="0"/>
    <n v="0"/>
    <x v="185"/>
    <n v="191"/>
    <s v="Z (Dec 21)"/>
    <d v="2021-12-22T00:00:00"/>
    <n v="-1"/>
  </r>
  <r>
    <x v="252"/>
    <x v="17"/>
    <n v="0"/>
    <n v="0"/>
    <n v="0"/>
    <n v="0"/>
    <x v="1756"/>
    <n v="0"/>
    <n v="0"/>
    <n v="0"/>
    <n v="0"/>
    <x v="164"/>
    <n v="93"/>
    <s v="U (Sep 21)"/>
    <d v="2021-09-15T00:00:00"/>
    <n v="-1"/>
  </r>
  <r>
    <x v="252"/>
    <x v="20"/>
    <n v="0"/>
    <n v="0"/>
    <n v="0"/>
    <n v="0"/>
    <x v="1757"/>
    <n v="0"/>
    <n v="0"/>
    <n v="0"/>
    <n v="0"/>
    <x v="161"/>
    <n v="2"/>
    <s v="M (Jun 21)"/>
    <d v="2021-06-16T00:00:00"/>
    <n v="-1"/>
  </r>
  <r>
    <x v="252"/>
    <x v="15"/>
    <n v="0"/>
    <n v="0"/>
    <n v="0"/>
    <n v="0"/>
    <x v="1758"/>
    <n v="0"/>
    <n v="0"/>
    <n v="0"/>
    <n v="0"/>
    <x v="172"/>
    <n v="156"/>
    <s v="X (Nov 21)"/>
    <d v="2021-11-17T00:00:00"/>
    <n v="-1"/>
  </r>
  <r>
    <x v="252"/>
    <x v="12"/>
    <n v="0"/>
    <n v="0"/>
    <n v="0"/>
    <n v="0"/>
    <x v="1483"/>
    <n v="0"/>
    <n v="0"/>
    <n v="0"/>
    <n v="0"/>
    <x v="4"/>
    <n v="247"/>
    <s v="G (Feb 22)"/>
    <d v="2022-02-16T00:00:00"/>
    <n v="-1"/>
  </r>
  <r>
    <x v="252"/>
    <x v="16"/>
    <n v="0"/>
    <n v="0"/>
    <n v="0"/>
    <n v="0"/>
    <x v="1759"/>
    <n v="0"/>
    <n v="0"/>
    <n v="0"/>
    <n v="0"/>
    <x v="168"/>
    <n v="128"/>
    <s v="V (Oct 21)"/>
    <d v="2021-10-20T00:00:00"/>
    <n v="-1"/>
  </r>
  <r>
    <x v="252"/>
    <x v="13"/>
    <n v="0"/>
    <n v="0"/>
    <n v="0"/>
    <n v="0"/>
    <x v="1688"/>
    <n v="0"/>
    <n v="0"/>
    <n v="0"/>
    <n v="0"/>
    <x v="3"/>
    <n v="219"/>
    <s v="F (Jan 22)"/>
    <d v="2022-01-19T00:00:00"/>
    <n v="-1"/>
  </r>
  <r>
    <x v="253"/>
    <x v="12"/>
    <n v="0"/>
    <n v="0"/>
    <n v="0"/>
    <n v="0"/>
    <x v="1760"/>
    <n v="0"/>
    <n v="0"/>
    <n v="0"/>
    <n v="0"/>
    <x v="16"/>
    <n v="250"/>
    <s v="G (Feb 22)"/>
    <d v="2022-02-16T00:00:00"/>
    <n v="-1"/>
  </r>
  <r>
    <x v="253"/>
    <x v="16"/>
    <n v="0"/>
    <n v="0"/>
    <n v="0"/>
    <n v="0"/>
    <x v="1761"/>
    <n v="0"/>
    <n v="0"/>
    <n v="0"/>
    <n v="0"/>
    <x v="5"/>
    <n v="131"/>
    <s v="V (Oct 21)"/>
    <d v="2021-10-20T00:00:00"/>
    <n v="-1"/>
  </r>
  <r>
    <x v="253"/>
    <x v="13"/>
    <n v="0"/>
    <n v="0"/>
    <n v="0"/>
    <n v="0"/>
    <x v="1762"/>
    <n v="0"/>
    <n v="0"/>
    <n v="0"/>
    <n v="0"/>
    <x v="15"/>
    <n v="222"/>
    <s v="F (Jan 22)"/>
    <d v="2022-01-19T00:00:00"/>
    <n v="-1"/>
  </r>
  <r>
    <x v="253"/>
    <x v="19"/>
    <n v="0"/>
    <n v="0"/>
    <n v="0"/>
    <n v="0"/>
    <x v="1763"/>
    <n v="0"/>
    <n v="0"/>
    <n v="0"/>
    <n v="0"/>
    <x v="2"/>
    <n v="40"/>
    <s v="N (Jul 21)"/>
    <d v="2021-07-21T00:00:00"/>
    <n v="-1"/>
  </r>
  <r>
    <x v="253"/>
    <x v="18"/>
    <n v="0"/>
    <n v="0"/>
    <n v="0"/>
    <n v="0"/>
    <x v="1764"/>
    <n v="0"/>
    <n v="0"/>
    <n v="0"/>
    <n v="0"/>
    <x v="6"/>
    <n v="68"/>
    <s v="Q (Aug 21)"/>
    <d v="2021-08-18T00:00:00"/>
    <n v="-1"/>
  </r>
  <r>
    <x v="253"/>
    <x v="14"/>
    <n v="0"/>
    <n v="0"/>
    <n v="0"/>
    <n v="0"/>
    <x v="1765"/>
    <n v="0"/>
    <n v="0"/>
    <n v="0"/>
    <n v="0"/>
    <x v="1"/>
    <n v="194"/>
    <s v="Z (Dec 21)"/>
    <d v="2021-12-22T00:00:00"/>
    <n v="-1"/>
  </r>
  <r>
    <x v="253"/>
    <x v="17"/>
    <n v="0"/>
    <n v="0"/>
    <n v="0"/>
    <n v="0"/>
    <x v="1766"/>
    <n v="0"/>
    <n v="0"/>
    <n v="0"/>
    <n v="0"/>
    <x v="167"/>
    <n v="96"/>
    <s v="U (Sep 21)"/>
    <d v="2021-09-15T00:00:00"/>
    <n v="-1"/>
  </r>
  <r>
    <x v="253"/>
    <x v="20"/>
    <n v="0"/>
    <n v="0"/>
    <n v="0"/>
    <n v="0"/>
    <x v="1767"/>
    <n v="0"/>
    <n v="0"/>
    <n v="0"/>
    <n v="0"/>
    <x v="8"/>
    <n v="5"/>
    <s v="M (Jun 21)"/>
    <d v="2021-06-16T00:00:00"/>
    <n v="-1"/>
  </r>
  <r>
    <x v="253"/>
    <x v="15"/>
    <n v="0"/>
    <n v="0"/>
    <n v="0"/>
    <n v="0"/>
    <x v="1768"/>
    <n v="0"/>
    <n v="0"/>
    <n v="0"/>
    <n v="0"/>
    <x v="0"/>
    <n v="159"/>
    <s v="X (Nov 21)"/>
    <d v="2021-11-17T00:00:00"/>
    <n v="-1"/>
  </r>
  <r>
    <x v="254"/>
    <x v="19"/>
    <n v="0"/>
    <n v="0"/>
    <n v="0"/>
    <n v="0"/>
    <x v="1769"/>
    <n v="0"/>
    <n v="0"/>
    <n v="0"/>
    <n v="0"/>
    <x v="14"/>
    <n v="41"/>
    <s v="N (Jul 21)"/>
    <d v="2021-07-21T00:00:00"/>
    <n v="-1"/>
  </r>
  <r>
    <x v="254"/>
    <x v="18"/>
    <n v="0"/>
    <n v="0"/>
    <n v="0"/>
    <n v="0"/>
    <x v="1770"/>
    <n v="0"/>
    <n v="0"/>
    <n v="0"/>
    <n v="0"/>
    <x v="9"/>
    <n v="69"/>
    <s v="Q (Aug 21)"/>
    <d v="2021-08-18T00:00:00"/>
    <n v="-1"/>
  </r>
  <r>
    <x v="254"/>
    <x v="14"/>
    <n v="0"/>
    <n v="0"/>
    <n v="0"/>
    <n v="0"/>
    <x v="1714"/>
    <n v="0"/>
    <n v="0"/>
    <n v="0"/>
    <n v="0"/>
    <x v="13"/>
    <n v="195"/>
    <s v="Z (Dec 21)"/>
    <d v="2021-12-22T00:00:00"/>
    <n v="-1"/>
  </r>
  <r>
    <x v="254"/>
    <x v="17"/>
    <n v="0"/>
    <n v="0"/>
    <n v="0"/>
    <n v="0"/>
    <x v="1771"/>
    <n v="0"/>
    <n v="0"/>
    <n v="0"/>
    <n v="0"/>
    <x v="175"/>
    <n v="97"/>
    <s v="U (Sep 21)"/>
    <d v="2021-09-15T00:00:00"/>
    <n v="-1"/>
  </r>
  <r>
    <x v="254"/>
    <x v="20"/>
    <n v="0"/>
    <n v="0"/>
    <n v="0"/>
    <n v="0"/>
    <x v="1772"/>
    <n v="0"/>
    <n v="0"/>
    <n v="0"/>
    <n v="0"/>
    <x v="11"/>
    <n v="6"/>
    <s v="M (Jun 21)"/>
    <d v="2021-06-16T00:00:00"/>
    <n v="-1"/>
  </r>
  <r>
    <x v="254"/>
    <x v="15"/>
    <n v="0"/>
    <n v="0"/>
    <n v="0"/>
    <n v="0"/>
    <x v="1773"/>
    <n v="0"/>
    <n v="0"/>
    <n v="0"/>
    <n v="0"/>
    <x v="12"/>
    <n v="160"/>
    <s v="X (Nov 21)"/>
    <d v="2021-11-17T00:00:00"/>
    <n v="-1"/>
  </r>
  <r>
    <x v="254"/>
    <x v="12"/>
    <n v="0"/>
    <n v="0"/>
    <n v="0"/>
    <n v="0"/>
    <x v="1089"/>
    <n v="0"/>
    <n v="0"/>
    <n v="0"/>
    <n v="0"/>
    <x v="22"/>
    <n v="251"/>
    <s v="G (Feb 22)"/>
    <d v="2022-02-16T00:00:00"/>
    <n v="-1"/>
  </r>
  <r>
    <x v="254"/>
    <x v="16"/>
    <n v="0"/>
    <n v="0"/>
    <n v="0"/>
    <n v="0"/>
    <x v="1774"/>
    <n v="0"/>
    <n v="0"/>
    <n v="0"/>
    <n v="0"/>
    <x v="17"/>
    <n v="132"/>
    <s v="V (Oct 21)"/>
    <d v="2021-10-20T00:00:00"/>
    <n v="-1"/>
  </r>
  <r>
    <x v="254"/>
    <x v="13"/>
    <n v="0"/>
    <n v="0"/>
    <n v="0"/>
    <n v="0"/>
    <x v="1101"/>
    <n v="0"/>
    <n v="0"/>
    <n v="0"/>
    <n v="0"/>
    <x v="21"/>
    <n v="223"/>
    <s v="F (Jan 22)"/>
    <d v="2022-01-19T00:00:00"/>
    <n v="-1"/>
  </r>
  <r>
    <x v="255"/>
    <x v="12"/>
    <n v="0"/>
    <n v="0"/>
    <n v="0"/>
    <n v="0"/>
    <x v="1123"/>
    <n v="0"/>
    <n v="0"/>
    <n v="0"/>
    <n v="0"/>
    <x v="33"/>
    <n v="252"/>
    <s v="G (Feb 22)"/>
    <d v="2022-02-16T00:00:00"/>
    <n v="-1"/>
  </r>
  <r>
    <x v="255"/>
    <x v="16"/>
    <n v="0"/>
    <n v="0"/>
    <n v="0"/>
    <n v="0"/>
    <x v="1775"/>
    <n v="0"/>
    <n v="0"/>
    <n v="0"/>
    <n v="0"/>
    <x v="23"/>
    <n v="133"/>
    <s v="V (Oct 21)"/>
    <d v="2021-10-20T00:00:00"/>
    <n v="-1"/>
  </r>
  <r>
    <x v="255"/>
    <x v="13"/>
    <n v="0"/>
    <n v="0"/>
    <n v="0"/>
    <n v="0"/>
    <x v="1596"/>
    <n v="0"/>
    <n v="0"/>
    <n v="0"/>
    <n v="0"/>
    <x v="32"/>
    <n v="224"/>
    <s v="F (Jan 22)"/>
    <d v="2022-01-19T00:00:00"/>
    <n v="-1"/>
  </r>
  <r>
    <x v="255"/>
    <x v="19"/>
    <n v="0"/>
    <n v="0"/>
    <n v="0"/>
    <n v="0"/>
    <x v="1776"/>
    <n v="0"/>
    <n v="0"/>
    <n v="0"/>
    <n v="0"/>
    <x v="20"/>
    <n v="42"/>
    <s v="N (Jul 21)"/>
    <d v="2021-07-21T00:00:00"/>
    <n v="-1"/>
  </r>
  <r>
    <x v="255"/>
    <x v="18"/>
    <n v="0"/>
    <n v="0"/>
    <n v="0"/>
    <n v="0"/>
    <x v="1777"/>
    <n v="0"/>
    <n v="0"/>
    <n v="0"/>
    <n v="0"/>
    <x v="24"/>
    <n v="70"/>
    <s v="Q (Aug 21)"/>
    <d v="2021-08-18T00:00:00"/>
    <n v="-1"/>
  </r>
  <r>
    <x v="255"/>
    <x v="14"/>
    <n v="0"/>
    <n v="0"/>
    <n v="0"/>
    <n v="0"/>
    <x v="1778"/>
    <n v="0"/>
    <n v="0"/>
    <n v="0"/>
    <n v="0"/>
    <x v="19"/>
    <n v="196"/>
    <s v="Z (Dec 21)"/>
    <d v="2021-12-22T00:00:00"/>
    <n v="-1"/>
  </r>
  <r>
    <x v="255"/>
    <x v="17"/>
    <n v="0"/>
    <n v="0"/>
    <n v="0"/>
    <n v="0"/>
    <x v="1779"/>
    <n v="0"/>
    <n v="0"/>
    <n v="0"/>
    <n v="0"/>
    <x v="177"/>
    <n v="98"/>
    <s v="U (Sep 21)"/>
    <d v="2021-09-15T00:00:00"/>
    <n v="-1"/>
  </r>
  <r>
    <x v="255"/>
    <x v="20"/>
    <n v="0"/>
    <n v="0"/>
    <n v="0"/>
    <n v="0"/>
    <x v="1780"/>
    <n v="0"/>
    <n v="0"/>
    <n v="0"/>
    <n v="0"/>
    <x v="26"/>
    <n v="7"/>
    <s v="M (Jun 21)"/>
    <d v="2021-06-16T00:00:00"/>
    <n v="-1"/>
  </r>
  <r>
    <x v="255"/>
    <x v="15"/>
    <n v="0"/>
    <n v="0"/>
    <n v="0"/>
    <n v="0"/>
    <x v="1781"/>
    <n v="0"/>
    <n v="0"/>
    <n v="0"/>
    <n v="0"/>
    <x v="18"/>
    <n v="161"/>
    <s v="X (Nov 21)"/>
    <d v="2021-11-17T00:00:00"/>
    <n v="-1"/>
  </r>
  <r>
    <x v="256"/>
    <x v="19"/>
    <n v="0"/>
    <n v="0"/>
    <n v="0"/>
    <n v="0"/>
    <x v="1782"/>
    <n v="0"/>
    <n v="0"/>
    <n v="0"/>
    <n v="0"/>
    <x v="31"/>
    <n v="43"/>
    <s v="N (Jul 21)"/>
    <d v="2021-07-21T00:00:00"/>
    <n v="-1"/>
  </r>
  <r>
    <x v="256"/>
    <x v="18"/>
    <n v="0"/>
    <n v="0"/>
    <n v="0"/>
    <n v="0"/>
    <x v="1783"/>
    <n v="0"/>
    <n v="0"/>
    <n v="0"/>
    <n v="0"/>
    <x v="27"/>
    <n v="71"/>
    <s v="Q (Aug 21)"/>
    <d v="2021-08-18T00:00:00"/>
    <n v="-1"/>
  </r>
  <r>
    <x v="256"/>
    <x v="14"/>
    <n v="0"/>
    <n v="0"/>
    <n v="0"/>
    <n v="0"/>
    <x v="1784"/>
    <n v="0"/>
    <n v="0"/>
    <n v="0"/>
    <n v="0"/>
    <x v="30"/>
    <n v="197"/>
    <s v="Z (Dec 21)"/>
    <d v="2021-12-22T00:00:00"/>
    <n v="-1"/>
  </r>
  <r>
    <x v="256"/>
    <x v="17"/>
    <n v="0"/>
    <n v="0"/>
    <n v="0"/>
    <n v="0"/>
    <x v="1609"/>
    <n v="0"/>
    <n v="0"/>
    <n v="0"/>
    <n v="0"/>
    <x v="181"/>
    <n v="99"/>
    <s v="U (Sep 21)"/>
    <d v="2021-09-15T00:00:00"/>
    <n v="-1"/>
  </r>
  <r>
    <x v="256"/>
    <x v="20"/>
    <n v="0"/>
    <n v="0"/>
    <n v="0"/>
    <n v="0"/>
    <x v="1785"/>
    <n v="0"/>
    <n v="0"/>
    <n v="0"/>
    <n v="0"/>
    <x v="29"/>
    <n v="8"/>
    <s v="M (Jun 21)"/>
    <d v="2021-06-16T00:00:00"/>
    <n v="-1"/>
  </r>
  <r>
    <x v="256"/>
    <x v="15"/>
    <n v="0"/>
    <n v="0"/>
    <n v="0"/>
    <n v="0"/>
    <x v="1786"/>
    <n v="0"/>
    <n v="0"/>
    <n v="0"/>
    <n v="0"/>
    <x v="35"/>
    <n v="162"/>
    <s v="X (Nov 21)"/>
    <d v="2021-11-17T00:00:00"/>
    <n v="-1"/>
  </r>
  <r>
    <x v="256"/>
    <x v="12"/>
    <n v="0"/>
    <n v="0"/>
    <n v="0"/>
    <n v="0"/>
    <x v="823"/>
    <n v="0"/>
    <n v="0"/>
    <n v="0"/>
    <n v="0"/>
    <x v="39"/>
    <n v="253"/>
    <s v="G (Feb 22)"/>
    <d v="2022-02-16T00:00:00"/>
    <n v="-1"/>
  </r>
  <r>
    <x v="256"/>
    <x v="16"/>
    <n v="0"/>
    <n v="0"/>
    <n v="0"/>
    <n v="0"/>
    <x v="819"/>
    <n v="0"/>
    <n v="0"/>
    <n v="0"/>
    <n v="0"/>
    <x v="34"/>
    <n v="134"/>
    <s v="V (Oct 21)"/>
    <d v="2021-10-20T00:00:00"/>
    <n v="-1"/>
  </r>
  <r>
    <x v="256"/>
    <x v="13"/>
    <n v="0"/>
    <n v="0"/>
    <n v="0"/>
    <n v="0"/>
    <x v="1038"/>
    <n v="0"/>
    <n v="0"/>
    <n v="0"/>
    <n v="0"/>
    <x v="38"/>
    <n v="225"/>
    <s v="F (Jan 22)"/>
    <d v="2022-01-19T00:00:00"/>
    <n v="-1"/>
  </r>
  <r>
    <x v="257"/>
    <x v="12"/>
    <n v="0"/>
    <n v="0"/>
    <n v="0"/>
    <n v="0"/>
    <x v="1404"/>
    <n v="0"/>
    <n v="0"/>
    <n v="0"/>
    <n v="0"/>
    <x v="51"/>
    <n v="254"/>
    <s v="G (Feb 22)"/>
    <d v="2022-02-16T00:00:00"/>
    <n v="-1"/>
  </r>
  <r>
    <x v="257"/>
    <x v="16"/>
    <n v="0"/>
    <n v="0"/>
    <n v="0"/>
    <n v="0"/>
    <x v="1787"/>
    <n v="0"/>
    <n v="0"/>
    <n v="0"/>
    <n v="0"/>
    <x v="40"/>
    <n v="135"/>
    <s v="V (Oct 21)"/>
    <d v="2021-10-20T00:00:00"/>
    <n v="-1"/>
  </r>
  <r>
    <x v="257"/>
    <x v="13"/>
    <n v="0"/>
    <n v="0"/>
    <n v="0"/>
    <n v="0"/>
    <x v="1656"/>
    <n v="0"/>
    <n v="0"/>
    <n v="0"/>
    <n v="0"/>
    <x v="50"/>
    <n v="226"/>
    <s v="F (Jan 22)"/>
    <d v="2022-01-19T00:00:00"/>
    <n v="-1"/>
  </r>
  <r>
    <x v="257"/>
    <x v="19"/>
    <n v="0"/>
    <n v="0"/>
    <n v="0"/>
    <n v="0"/>
    <x v="1788"/>
    <n v="0"/>
    <n v="0"/>
    <n v="0"/>
    <n v="0"/>
    <x v="37"/>
    <n v="44"/>
    <s v="N (Jul 21)"/>
    <d v="2021-07-21T00:00:00"/>
    <n v="-1"/>
  </r>
  <r>
    <x v="257"/>
    <x v="18"/>
    <n v="0"/>
    <n v="0"/>
    <n v="0"/>
    <n v="0"/>
    <x v="1789"/>
    <n v="0"/>
    <n v="0"/>
    <n v="0"/>
    <n v="0"/>
    <x v="42"/>
    <n v="72"/>
    <s v="Q (Aug 21)"/>
    <d v="2021-08-18T00:00:00"/>
    <n v="-1"/>
  </r>
  <r>
    <x v="257"/>
    <x v="14"/>
    <n v="0"/>
    <n v="0"/>
    <n v="0"/>
    <n v="0"/>
    <x v="1790"/>
    <n v="0"/>
    <n v="0"/>
    <n v="0"/>
    <n v="0"/>
    <x v="36"/>
    <n v="198"/>
    <s v="Z (Dec 21)"/>
    <d v="2021-12-22T00:00:00"/>
    <n v="-1"/>
  </r>
  <r>
    <x v="257"/>
    <x v="17"/>
    <n v="0"/>
    <n v="0"/>
    <n v="0"/>
    <n v="0"/>
    <x v="1791"/>
    <n v="0"/>
    <n v="0"/>
    <n v="0"/>
    <n v="0"/>
    <x v="183"/>
    <n v="100"/>
    <s v="U (Sep 21)"/>
    <d v="2021-09-15T00:00:00"/>
    <n v="-1"/>
  </r>
  <r>
    <x v="257"/>
    <x v="20"/>
    <n v="0"/>
    <n v="0"/>
    <n v="0"/>
    <n v="0"/>
    <x v="1792"/>
    <n v="0"/>
    <n v="0"/>
    <n v="0"/>
    <n v="0"/>
    <x v="44"/>
    <n v="9"/>
    <s v="M (Jun 21)"/>
    <d v="2021-06-16T00:00:00"/>
    <n v="-1"/>
  </r>
  <r>
    <x v="257"/>
    <x v="15"/>
    <n v="0"/>
    <n v="0"/>
    <n v="0"/>
    <n v="0"/>
    <x v="1793"/>
    <n v="0"/>
    <n v="0"/>
    <n v="0"/>
    <n v="0"/>
    <x v="41"/>
    <n v="163"/>
    <s v="X (Nov 21)"/>
    <d v="2021-11-17T00:00:00"/>
    <n v="-1"/>
  </r>
  <r>
    <x v="258"/>
    <x v="19"/>
    <n v="0"/>
    <n v="0"/>
    <n v="0"/>
    <n v="0"/>
    <x v="1794"/>
    <n v="0"/>
    <n v="0"/>
    <n v="0"/>
    <n v="0"/>
    <x v="49"/>
    <n v="47"/>
    <s v="N (Jul 21)"/>
    <d v="2021-07-21T00:00:00"/>
    <n v="-1"/>
  </r>
  <r>
    <x v="258"/>
    <x v="18"/>
    <n v="0"/>
    <n v="0"/>
    <n v="0"/>
    <n v="0"/>
    <x v="1795"/>
    <n v="0"/>
    <n v="0"/>
    <n v="0"/>
    <n v="0"/>
    <x v="45"/>
    <n v="75"/>
    <s v="Q (Aug 21)"/>
    <d v="2021-08-18T00:00:00"/>
    <n v="-1"/>
  </r>
  <r>
    <x v="258"/>
    <x v="14"/>
    <n v="0"/>
    <n v="0"/>
    <n v="0"/>
    <n v="0"/>
    <x v="1796"/>
    <n v="0"/>
    <n v="0"/>
    <n v="0"/>
    <n v="0"/>
    <x v="48"/>
    <n v="201"/>
    <s v="Z (Dec 21)"/>
    <d v="2021-12-22T00:00:00"/>
    <n v="-1"/>
  </r>
  <r>
    <x v="258"/>
    <x v="17"/>
    <n v="0"/>
    <n v="0"/>
    <n v="0"/>
    <n v="0"/>
    <x v="1736"/>
    <n v="0"/>
    <n v="0"/>
    <n v="0"/>
    <n v="0"/>
    <x v="7"/>
    <n v="103"/>
    <s v="U (Sep 21)"/>
    <d v="2021-09-15T00:00:00"/>
    <n v="-1"/>
  </r>
  <r>
    <x v="258"/>
    <x v="20"/>
    <n v="0"/>
    <n v="0"/>
    <n v="0"/>
    <n v="0"/>
    <x v="1797"/>
    <n v="0"/>
    <n v="0"/>
    <n v="0"/>
    <n v="0"/>
    <x v="47"/>
    <n v="12"/>
    <s v="M (Jun 21)"/>
    <d v="2021-06-16T00:00:00"/>
    <n v="-1"/>
  </r>
  <r>
    <x v="258"/>
    <x v="15"/>
    <n v="0"/>
    <n v="0"/>
    <n v="0"/>
    <n v="0"/>
    <x v="1798"/>
    <n v="0"/>
    <n v="0"/>
    <n v="0"/>
    <n v="0"/>
    <x v="53"/>
    <n v="166"/>
    <s v="X (Nov 21)"/>
    <d v="2021-11-17T00:00:00"/>
    <n v="-1"/>
  </r>
  <r>
    <x v="258"/>
    <x v="16"/>
    <n v="0"/>
    <n v="0"/>
    <n v="0"/>
    <n v="0"/>
    <x v="1799"/>
    <n v="0"/>
    <n v="0"/>
    <n v="0"/>
    <n v="0"/>
    <x v="52"/>
    <n v="138"/>
    <s v="V (Oct 21)"/>
    <d v="2021-10-20T00:00:00"/>
    <n v="-1"/>
  </r>
  <r>
    <x v="258"/>
    <x v="13"/>
    <n v="0"/>
    <n v="0"/>
    <n v="0"/>
    <n v="0"/>
    <x v="1477"/>
    <n v="0"/>
    <n v="0"/>
    <n v="0"/>
    <n v="0"/>
    <x v="56"/>
    <n v="229"/>
    <s v="F (Jan 22)"/>
    <d v="2022-01-19T00:00:00"/>
    <n v="-1"/>
  </r>
  <r>
    <x v="258"/>
    <x v="12"/>
    <n v="0"/>
    <n v="0"/>
    <n v="0"/>
    <n v="0"/>
    <x v="1469"/>
    <n v="0"/>
    <n v="0"/>
    <n v="0"/>
    <n v="0"/>
    <x v="57"/>
    <n v="257"/>
    <s v="G (Feb 22)"/>
    <d v="2022-02-16T00:00:00"/>
    <n v="-1"/>
  </r>
  <r>
    <x v="259"/>
    <x v="16"/>
    <n v="0"/>
    <n v="0"/>
    <n v="0"/>
    <n v="0"/>
    <x v="1800"/>
    <n v="0"/>
    <n v="0"/>
    <n v="0"/>
    <n v="0"/>
    <x v="58"/>
    <n v="139"/>
    <s v="V (Oct 21)"/>
    <d v="2021-10-20T00:00:00"/>
    <n v="-1"/>
  </r>
  <r>
    <x v="259"/>
    <x v="13"/>
    <n v="0"/>
    <n v="0"/>
    <n v="0"/>
    <n v="0"/>
    <x v="1209"/>
    <n v="0"/>
    <n v="0"/>
    <n v="0"/>
    <n v="0"/>
    <x v="68"/>
    <n v="230"/>
    <s v="F (Jan 22)"/>
    <d v="2022-01-19T00:00:00"/>
    <n v="-1"/>
  </r>
  <r>
    <x v="259"/>
    <x v="12"/>
    <n v="0"/>
    <n v="0"/>
    <n v="0"/>
    <n v="0"/>
    <x v="1112"/>
    <n v="0"/>
    <n v="0"/>
    <n v="0"/>
    <n v="0"/>
    <x v="69"/>
    <n v="258"/>
    <s v="G (Feb 22)"/>
    <d v="2022-02-16T00:00:00"/>
    <n v="-1"/>
  </r>
  <r>
    <x v="259"/>
    <x v="19"/>
    <n v="0"/>
    <n v="0"/>
    <n v="0"/>
    <n v="0"/>
    <x v="1801"/>
    <n v="0"/>
    <n v="0"/>
    <n v="0"/>
    <n v="0"/>
    <x v="55"/>
    <n v="48"/>
    <s v="N (Jul 21)"/>
    <d v="2021-07-21T00:00:00"/>
    <n v="-1"/>
  </r>
  <r>
    <x v="259"/>
    <x v="18"/>
    <n v="0"/>
    <n v="0"/>
    <n v="0"/>
    <n v="0"/>
    <x v="1802"/>
    <n v="0"/>
    <n v="0"/>
    <n v="0"/>
    <n v="0"/>
    <x v="60"/>
    <n v="76"/>
    <s v="Q (Aug 21)"/>
    <d v="2021-08-18T00:00:00"/>
    <n v="-1"/>
  </r>
  <r>
    <x v="259"/>
    <x v="14"/>
    <n v="0"/>
    <n v="0"/>
    <n v="0"/>
    <n v="0"/>
    <x v="1038"/>
    <n v="0"/>
    <n v="0"/>
    <n v="0"/>
    <n v="0"/>
    <x v="54"/>
    <n v="202"/>
    <s v="Z (Dec 21)"/>
    <d v="2021-12-22T00:00:00"/>
    <n v="-1"/>
  </r>
  <r>
    <x v="259"/>
    <x v="17"/>
    <n v="0"/>
    <n v="0"/>
    <n v="0"/>
    <n v="0"/>
    <x v="1803"/>
    <n v="0"/>
    <n v="0"/>
    <n v="0"/>
    <n v="0"/>
    <x v="10"/>
    <n v="104"/>
    <s v="U (Sep 21)"/>
    <d v="2021-09-15T00:00:00"/>
    <n v="-1"/>
  </r>
  <r>
    <x v="259"/>
    <x v="20"/>
    <n v="0"/>
    <n v="0"/>
    <n v="0"/>
    <n v="0"/>
    <x v="1804"/>
    <n v="0"/>
    <n v="0"/>
    <n v="0"/>
    <n v="0"/>
    <x v="62"/>
    <n v="13"/>
    <s v="M (Jun 21)"/>
    <d v="2021-06-16T00:00:00"/>
    <n v="-1"/>
  </r>
  <r>
    <x v="259"/>
    <x v="15"/>
    <n v="0"/>
    <n v="0"/>
    <n v="0"/>
    <n v="0"/>
    <x v="1805"/>
    <n v="0"/>
    <n v="0"/>
    <n v="0"/>
    <n v="0"/>
    <x v="59"/>
    <n v="167"/>
    <s v="X (Nov 21)"/>
    <d v="2021-11-17T00:00:00"/>
    <n v="-1"/>
  </r>
  <r>
    <x v="260"/>
    <x v="19"/>
    <n v="0"/>
    <n v="0"/>
    <n v="0"/>
    <n v="0"/>
    <x v="1806"/>
    <n v="0"/>
    <n v="0"/>
    <n v="0"/>
    <n v="0"/>
    <x v="67"/>
    <n v="49"/>
    <s v="N (Jul 21)"/>
    <d v="2021-07-21T00:00:00"/>
    <n v="-1"/>
  </r>
  <r>
    <x v="260"/>
    <x v="18"/>
    <n v="0"/>
    <n v="0"/>
    <n v="0"/>
    <n v="0"/>
    <x v="1807"/>
    <n v="0"/>
    <n v="0"/>
    <n v="0"/>
    <n v="0"/>
    <x v="63"/>
    <n v="77"/>
    <s v="Q (Aug 21)"/>
    <d v="2021-08-18T00:00:00"/>
    <n v="-1"/>
  </r>
  <r>
    <x v="260"/>
    <x v="14"/>
    <n v="0"/>
    <n v="0"/>
    <n v="0"/>
    <n v="0"/>
    <x v="1808"/>
    <n v="0"/>
    <n v="0"/>
    <n v="0"/>
    <n v="0"/>
    <x v="66"/>
    <n v="203"/>
    <s v="Z (Dec 21)"/>
    <d v="2021-12-22T00:00:00"/>
    <n v="-1"/>
  </r>
  <r>
    <x v="260"/>
    <x v="17"/>
    <n v="0"/>
    <n v="0"/>
    <n v="0"/>
    <n v="0"/>
    <x v="1809"/>
    <n v="0"/>
    <n v="0"/>
    <n v="0"/>
    <n v="0"/>
    <x v="25"/>
    <n v="105"/>
    <s v="U (Sep 21)"/>
    <d v="2021-09-15T00:00:00"/>
    <n v="-1"/>
  </r>
  <r>
    <x v="260"/>
    <x v="20"/>
    <n v="0"/>
    <n v="0"/>
    <n v="0"/>
    <n v="0"/>
    <x v="1810"/>
    <n v="0"/>
    <n v="0"/>
    <n v="0"/>
    <n v="0"/>
    <x v="65"/>
    <n v="14"/>
    <s v="M (Jun 21)"/>
    <d v="2021-06-16T00:00:00"/>
    <n v="-1"/>
  </r>
  <r>
    <x v="260"/>
    <x v="15"/>
    <n v="0"/>
    <n v="0"/>
    <n v="0"/>
    <n v="0"/>
    <x v="1811"/>
    <n v="0"/>
    <n v="0"/>
    <n v="0"/>
    <n v="0"/>
    <x v="71"/>
    <n v="168"/>
    <s v="X (Nov 21)"/>
    <d v="2021-11-17T00:00:00"/>
    <n v="-1"/>
  </r>
  <r>
    <x v="260"/>
    <x v="16"/>
    <n v="0"/>
    <n v="0"/>
    <n v="0"/>
    <n v="0"/>
    <x v="1305"/>
    <n v="0"/>
    <n v="0"/>
    <n v="0"/>
    <n v="0"/>
    <x v="70"/>
    <n v="140"/>
    <s v="V (Oct 21)"/>
    <d v="2021-10-20T00:00:00"/>
    <n v="-1"/>
  </r>
  <r>
    <x v="260"/>
    <x v="13"/>
    <n v="0"/>
    <n v="0"/>
    <n v="0"/>
    <n v="0"/>
    <x v="807"/>
    <n v="0"/>
    <n v="0"/>
    <n v="0"/>
    <n v="0"/>
    <x v="74"/>
    <n v="231"/>
    <s v="F (Jan 22)"/>
    <d v="2022-01-19T00:00:00"/>
    <n v="-1"/>
  </r>
  <r>
    <x v="260"/>
    <x v="12"/>
    <n v="0"/>
    <n v="0"/>
    <n v="0"/>
    <n v="0"/>
    <x v="1209"/>
    <n v="0"/>
    <n v="0"/>
    <n v="0"/>
    <n v="0"/>
    <x v="75"/>
    <n v="259"/>
    <s v="G (Feb 22)"/>
    <d v="2022-02-16T00:00:00"/>
    <n v="-1"/>
  </r>
  <r>
    <x v="261"/>
    <x v="16"/>
    <n v="0"/>
    <n v="0"/>
    <n v="0"/>
    <n v="0"/>
    <x v="1812"/>
    <n v="0"/>
    <n v="0"/>
    <n v="0"/>
    <n v="0"/>
    <x v="76"/>
    <n v="141"/>
    <s v="V (Oct 21)"/>
    <d v="2021-10-20T00:00:00"/>
    <n v="-1"/>
  </r>
  <r>
    <x v="261"/>
    <x v="13"/>
    <n v="0"/>
    <n v="0"/>
    <n v="0"/>
    <n v="0"/>
    <x v="1399"/>
    <n v="0"/>
    <n v="0"/>
    <n v="0"/>
    <n v="0"/>
    <x v="86"/>
    <n v="232"/>
    <s v="F (Jan 22)"/>
    <d v="2022-01-19T00:00:00"/>
    <n v="-1"/>
  </r>
  <r>
    <x v="261"/>
    <x v="12"/>
    <n v="0"/>
    <n v="0"/>
    <n v="0"/>
    <n v="0"/>
    <x v="1404"/>
    <n v="0"/>
    <n v="0"/>
    <n v="0"/>
    <n v="0"/>
    <x v="87"/>
    <n v="260"/>
    <s v="G (Feb 22)"/>
    <d v="2022-02-16T00:00:00"/>
    <n v="-1"/>
  </r>
  <r>
    <x v="261"/>
    <x v="19"/>
    <n v="0"/>
    <n v="0"/>
    <n v="0"/>
    <n v="0"/>
    <x v="1813"/>
    <n v="0"/>
    <n v="0"/>
    <n v="0"/>
    <n v="0"/>
    <x v="73"/>
    <n v="50"/>
    <s v="N (Jul 21)"/>
    <d v="2021-07-21T00:00:00"/>
    <n v="-1"/>
  </r>
  <r>
    <x v="261"/>
    <x v="18"/>
    <n v="0"/>
    <n v="0"/>
    <n v="0"/>
    <n v="0"/>
    <x v="1814"/>
    <n v="0"/>
    <n v="0"/>
    <n v="0"/>
    <n v="0"/>
    <x v="78"/>
    <n v="78"/>
    <s v="Q (Aug 21)"/>
    <d v="2021-08-18T00:00:00"/>
    <n v="-1"/>
  </r>
  <r>
    <x v="261"/>
    <x v="14"/>
    <n v="0"/>
    <n v="0"/>
    <n v="0"/>
    <n v="0"/>
    <x v="1815"/>
    <n v="0"/>
    <n v="0"/>
    <n v="0"/>
    <n v="0"/>
    <x v="72"/>
    <n v="204"/>
    <s v="Z (Dec 21)"/>
    <d v="2021-12-22T00:00:00"/>
    <n v="-1"/>
  </r>
  <r>
    <x v="261"/>
    <x v="17"/>
    <n v="0"/>
    <n v="0"/>
    <n v="0"/>
    <n v="0"/>
    <x v="1816"/>
    <n v="0"/>
    <n v="0"/>
    <n v="0"/>
    <n v="0"/>
    <x v="28"/>
    <n v="106"/>
    <s v="U (Sep 21)"/>
    <d v="2021-09-15T00:00:00"/>
    <n v="-1"/>
  </r>
  <r>
    <x v="261"/>
    <x v="20"/>
    <n v="0"/>
    <n v="0"/>
    <n v="0"/>
    <n v="0"/>
    <x v="1817"/>
    <n v="0"/>
    <n v="0"/>
    <n v="0"/>
    <n v="0"/>
    <x v="80"/>
    <n v="15"/>
    <s v="M (Jun 21)"/>
    <d v="2021-06-16T00:00:00"/>
    <n v="-1"/>
  </r>
  <r>
    <x v="261"/>
    <x v="15"/>
    <n v="0"/>
    <n v="0"/>
    <n v="0"/>
    <n v="0"/>
    <x v="1305"/>
    <n v="0"/>
    <n v="0"/>
    <n v="0"/>
    <n v="0"/>
    <x v="77"/>
    <n v="169"/>
    <s v="X (Nov 21)"/>
    <d v="2021-11-17T00:00:00"/>
    <n v="-1"/>
  </r>
  <r>
    <x v="262"/>
    <x v="19"/>
    <n v="0"/>
    <n v="0"/>
    <n v="0"/>
    <n v="0"/>
    <x v="1818"/>
    <n v="0"/>
    <n v="0"/>
    <n v="0"/>
    <n v="0"/>
    <x v="85"/>
    <n v="54"/>
    <s v="N (Jul 21)"/>
    <d v="2021-07-21T00:00:00"/>
    <n v="-1"/>
  </r>
  <r>
    <x v="262"/>
    <x v="18"/>
    <n v="0"/>
    <n v="0"/>
    <n v="0"/>
    <n v="0"/>
    <x v="1819"/>
    <n v="0"/>
    <n v="0"/>
    <n v="0"/>
    <n v="0"/>
    <x v="81"/>
    <n v="82"/>
    <s v="Q (Aug 21)"/>
    <d v="2021-08-18T00:00:00"/>
    <n v="-1"/>
  </r>
  <r>
    <x v="262"/>
    <x v="14"/>
    <n v="0"/>
    <n v="0"/>
    <n v="0"/>
    <n v="0"/>
    <x v="1820"/>
    <n v="0"/>
    <n v="0"/>
    <n v="0"/>
    <n v="0"/>
    <x v="84"/>
    <n v="208"/>
    <s v="Z (Dec 21)"/>
    <d v="2021-12-22T00:00:00"/>
    <n v="-1"/>
  </r>
  <r>
    <x v="262"/>
    <x v="17"/>
    <n v="0"/>
    <n v="0"/>
    <n v="0"/>
    <n v="0"/>
    <x v="1821"/>
    <n v="0"/>
    <n v="0"/>
    <n v="0"/>
    <n v="0"/>
    <x v="43"/>
    <n v="110"/>
    <s v="U (Sep 21)"/>
    <d v="2021-09-15T00:00:00"/>
    <n v="-1"/>
  </r>
  <r>
    <x v="262"/>
    <x v="20"/>
    <n v="0"/>
    <n v="0"/>
    <n v="0"/>
    <n v="0"/>
    <x v="1822"/>
    <n v="0"/>
    <n v="0"/>
    <n v="0"/>
    <n v="0"/>
    <x v="83"/>
    <n v="19"/>
    <s v="M (Jun 21)"/>
    <d v="2021-06-16T00:00:00"/>
    <n v="-1"/>
  </r>
  <r>
    <x v="262"/>
    <x v="15"/>
    <n v="0"/>
    <n v="0"/>
    <n v="0"/>
    <n v="0"/>
    <x v="1688"/>
    <n v="0"/>
    <n v="0"/>
    <n v="0"/>
    <n v="0"/>
    <x v="89"/>
    <n v="173"/>
    <s v="X (Nov 21)"/>
    <d v="2021-11-17T00:00:00"/>
    <n v="-1"/>
  </r>
  <r>
    <x v="262"/>
    <x v="16"/>
    <n v="0"/>
    <n v="0"/>
    <n v="0"/>
    <n v="0"/>
    <x v="1823"/>
    <n v="0"/>
    <n v="0"/>
    <n v="0"/>
    <n v="0"/>
    <x v="88"/>
    <n v="145"/>
    <s v="V (Oct 21)"/>
    <d v="2021-10-20T00:00:00"/>
    <n v="-1"/>
  </r>
  <r>
    <x v="262"/>
    <x v="13"/>
    <n v="0"/>
    <n v="0"/>
    <n v="0"/>
    <n v="0"/>
    <x v="1547"/>
    <n v="0"/>
    <n v="0"/>
    <n v="0"/>
    <n v="0"/>
    <x v="92"/>
    <n v="236"/>
    <s v="F (Jan 22)"/>
    <d v="2022-01-19T00:00:00"/>
    <n v="-1"/>
  </r>
  <r>
    <x v="262"/>
    <x v="12"/>
    <n v="0"/>
    <n v="0"/>
    <n v="0"/>
    <n v="0"/>
    <x v="1656"/>
    <n v="0"/>
    <n v="0"/>
    <n v="0"/>
    <n v="0"/>
    <x v="93"/>
    <n v="264"/>
    <s v="G (Feb 22)"/>
    <d v="2022-02-16T00:00:00"/>
    <n v="-1"/>
  </r>
  <r>
    <x v="263"/>
    <x v="16"/>
    <n v="0"/>
    <n v="0"/>
    <n v="0"/>
    <n v="0"/>
    <x v="1824"/>
    <n v="0"/>
    <n v="0"/>
    <n v="0"/>
    <n v="0"/>
    <x v="94"/>
    <n v="146"/>
    <s v="V (Oct 21)"/>
    <d v="2021-10-20T00:00:00"/>
    <n v="-1"/>
  </r>
  <r>
    <x v="263"/>
    <x v="13"/>
    <n v="0"/>
    <n v="0"/>
    <n v="0"/>
    <n v="0"/>
    <x v="1235"/>
    <n v="0"/>
    <n v="0"/>
    <n v="0"/>
    <n v="0"/>
    <x v="104"/>
    <n v="237"/>
    <s v="F (Jan 22)"/>
    <d v="2022-01-19T00:00:00"/>
    <n v="-1"/>
  </r>
  <r>
    <x v="263"/>
    <x v="12"/>
    <n v="0"/>
    <n v="0"/>
    <n v="0"/>
    <n v="0"/>
    <x v="1235"/>
    <n v="0"/>
    <n v="0"/>
    <n v="0"/>
    <n v="0"/>
    <x v="105"/>
    <n v="265"/>
    <s v="G (Feb 22)"/>
    <d v="2022-02-16T00:00:00"/>
    <n v="-1"/>
  </r>
  <r>
    <x v="263"/>
    <x v="19"/>
    <n v="0"/>
    <n v="0"/>
    <n v="0"/>
    <n v="0"/>
    <x v="1825"/>
    <n v="0"/>
    <n v="0"/>
    <n v="0"/>
    <n v="0"/>
    <x v="91"/>
    <n v="55"/>
    <s v="N (Jul 21)"/>
    <d v="2021-07-21T00:00:00"/>
    <n v="-1"/>
  </r>
  <r>
    <x v="263"/>
    <x v="18"/>
    <n v="0"/>
    <n v="0"/>
    <n v="0"/>
    <n v="0"/>
    <x v="1826"/>
    <n v="0"/>
    <n v="0"/>
    <n v="0"/>
    <n v="0"/>
    <x v="96"/>
    <n v="83"/>
    <s v="Q (Aug 21)"/>
    <d v="2021-08-18T00:00:00"/>
    <n v="-1"/>
  </r>
  <r>
    <x v="263"/>
    <x v="14"/>
    <n v="0"/>
    <n v="0"/>
    <n v="0"/>
    <n v="0"/>
    <x v="1827"/>
    <n v="0"/>
    <n v="0"/>
    <n v="0"/>
    <n v="0"/>
    <x v="90"/>
    <n v="209"/>
    <s v="Z (Dec 21)"/>
    <d v="2021-12-22T00:00:00"/>
    <n v="-1"/>
  </r>
  <r>
    <x v="263"/>
    <x v="17"/>
    <n v="0"/>
    <n v="0"/>
    <n v="0"/>
    <n v="0"/>
    <x v="1828"/>
    <n v="0"/>
    <n v="0"/>
    <n v="0"/>
    <n v="0"/>
    <x v="46"/>
    <n v="111"/>
    <s v="U (Sep 21)"/>
    <d v="2021-09-15T00:00:00"/>
    <n v="-1"/>
  </r>
  <r>
    <x v="263"/>
    <x v="20"/>
    <n v="0"/>
    <n v="0"/>
    <n v="0"/>
    <n v="0"/>
    <x v="1829"/>
    <n v="0"/>
    <n v="0"/>
    <n v="0"/>
    <n v="0"/>
    <x v="98"/>
    <n v="20"/>
    <s v="M (Jun 21)"/>
    <d v="2021-06-16T00:00:00"/>
    <n v="-1"/>
  </r>
  <r>
    <x v="263"/>
    <x v="15"/>
    <n v="0"/>
    <n v="0"/>
    <n v="0"/>
    <n v="0"/>
    <x v="1798"/>
    <n v="0"/>
    <n v="0"/>
    <n v="0"/>
    <n v="0"/>
    <x v="95"/>
    <n v="174"/>
    <s v="X (Nov 21)"/>
    <d v="2021-11-17T00:00:00"/>
    <n v="-1"/>
  </r>
  <r>
    <x v="264"/>
    <x v="19"/>
    <n v="0"/>
    <n v="0"/>
    <n v="0"/>
    <n v="0"/>
    <x v="1830"/>
    <n v="0"/>
    <n v="0"/>
    <n v="0"/>
    <n v="0"/>
    <x v="103"/>
    <n v="56"/>
    <s v="N (Jul 21)"/>
    <d v="2021-07-21T00:00:00"/>
    <n v="-1"/>
  </r>
  <r>
    <x v="264"/>
    <x v="18"/>
    <n v="0"/>
    <n v="0"/>
    <n v="0"/>
    <n v="0"/>
    <x v="1831"/>
    <n v="0"/>
    <n v="0"/>
    <n v="0"/>
    <n v="0"/>
    <x v="99"/>
    <n v="84"/>
    <s v="Q (Aug 21)"/>
    <d v="2021-08-18T00:00:00"/>
    <n v="-1"/>
  </r>
  <r>
    <x v="264"/>
    <x v="14"/>
    <n v="0"/>
    <n v="0"/>
    <n v="0"/>
    <n v="0"/>
    <x v="1832"/>
    <n v="0"/>
    <n v="0"/>
    <n v="0"/>
    <n v="0"/>
    <x v="102"/>
    <n v="210"/>
    <s v="Z (Dec 21)"/>
    <d v="2021-12-22T00:00:00"/>
    <n v="-1"/>
  </r>
  <r>
    <x v="264"/>
    <x v="17"/>
    <n v="0"/>
    <n v="0"/>
    <n v="0"/>
    <n v="0"/>
    <x v="1833"/>
    <n v="0"/>
    <n v="0"/>
    <n v="0"/>
    <n v="0"/>
    <x v="61"/>
    <n v="112"/>
    <s v="U (Sep 21)"/>
    <d v="2021-09-15T00:00:00"/>
    <n v="-1"/>
  </r>
  <r>
    <x v="264"/>
    <x v="20"/>
    <n v="0"/>
    <n v="0"/>
    <n v="0"/>
    <n v="0"/>
    <x v="1834"/>
    <n v="0"/>
    <n v="0"/>
    <n v="0"/>
    <n v="0"/>
    <x v="101"/>
    <n v="21"/>
    <s v="M (Jun 21)"/>
    <d v="2021-06-16T00:00:00"/>
    <n v="-1"/>
  </r>
  <r>
    <x v="264"/>
    <x v="15"/>
    <n v="0"/>
    <n v="0"/>
    <n v="0"/>
    <n v="0"/>
    <x v="1468"/>
    <n v="0"/>
    <n v="0"/>
    <n v="0"/>
    <n v="0"/>
    <x v="107"/>
    <n v="175"/>
    <s v="X (Nov 21)"/>
    <d v="2021-11-17T00:00:00"/>
    <n v="-1"/>
  </r>
  <r>
    <x v="264"/>
    <x v="16"/>
    <n v="0"/>
    <n v="0"/>
    <n v="0"/>
    <n v="0"/>
    <x v="1386"/>
    <n v="0"/>
    <n v="0"/>
    <n v="0"/>
    <n v="0"/>
    <x v="106"/>
    <n v="147"/>
    <s v="V (Oct 21)"/>
    <d v="2021-10-20T00:00:00"/>
    <n v="-1"/>
  </r>
  <r>
    <x v="264"/>
    <x v="13"/>
    <n v="0"/>
    <n v="0"/>
    <n v="0"/>
    <n v="0"/>
    <x v="807"/>
    <n v="0"/>
    <n v="0"/>
    <n v="0"/>
    <n v="0"/>
    <x v="110"/>
    <n v="238"/>
    <s v="F (Jan 22)"/>
    <d v="2022-01-19T00:00:00"/>
    <n v="-1"/>
  </r>
  <r>
    <x v="264"/>
    <x v="12"/>
    <n v="0"/>
    <n v="0"/>
    <n v="0"/>
    <n v="0"/>
    <x v="807"/>
    <n v="0"/>
    <n v="0"/>
    <n v="0"/>
    <n v="0"/>
    <x v="111"/>
    <n v="266"/>
    <s v="G (Feb 22)"/>
    <d v="2022-02-16T00:00:00"/>
    <n v="-1"/>
  </r>
  <r>
    <x v="265"/>
    <x v="16"/>
    <n v="0"/>
    <n v="0"/>
    <n v="0"/>
    <n v="0"/>
    <x v="1399"/>
    <n v="0"/>
    <n v="0"/>
    <n v="0"/>
    <n v="0"/>
    <x v="112"/>
    <n v="148"/>
    <s v="V (Oct 21)"/>
    <d v="2021-10-20T00:00:00"/>
    <n v="-1"/>
  </r>
  <r>
    <x v="265"/>
    <x v="13"/>
    <n v="0"/>
    <n v="0"/>
    <n v="0"/>
    <n v="0"/>
    <x v="1311"/>
    <n v="0"/>
    <n v="0"/>
    <n v="0"/>
    <n v="0"/>
    <x v="122"/>
    <n v="239"/>
    <s v="F (Jan 22)"/>
    <d v="2022-01-19T00:00:00"/>
    <n v="-1"/>
  </r>
  <r>
    <x v="265"/>
    <x v="12"/>
    <n v="0"/>
    <n v="0"/>
    <n v="0"/>
    <n v="0"/>
    <x v="1209"/>
    <n v="0"/>
    <n v="0"/>
    <n v="0"/>
    <n v="0"/>
    <x v="123"/>
    <n v="267"/>
    <s v="G (Feb 22)"/>
    <d v="2022-02-16T00:00:00"/>
    <n v="-1"/>
  </r>
  <r>
    <x v="265"/>
    <x v="19"/>
    <n v="0"/>
    <n v="0"/>
    <n v="0"/>
    <n v="0"/>
    <x v="1835"/>
    <n v="0"/>
    <n v="0"/>
    <n v="0"/>
    <n v="0"/>
    <x v="109"/>
    <n v="57"/>
    <s v="N (Jul 21)"/>
    <d v="2021-07-21T00:00:00"/>
    <n v="-1"/>
  </r>
  <r>
    <x v="265"/>
    <x v="18"/>
    <n v="0"/>
    <n v="0"/>
    <n v="0"/>
    <n v="0"/>
    <x v="1667"/>
    <n v="0"/>
    <n v="0"/>
    <n v="0"/>
    <n v="0"/>
    <x v="114"/>
    <n v="85"/>
    <s v="Q (Aug 21)"/>
    <d v="2021-08-18T00:00:00"/>
    <n v="-1"/>
  </r>
  <r>
    <x v="265"/>
    <x v="14"/>
    <n v="0"/>
    <n v="0"/>
    <n v="0"/>
    <n v="0"/>
    <x v="823"/>
    <n v="0"/>
    <n v="0"/>
    <n v="0"/>
    <n v="0"/>
    <x v="108"/>
    <n v="211"/>
    <s v="Z (Dec 21)"/>
    <d v="2021-12-22T00:00:00"/>
    <n v="-1"/>
  </r>
  <r>
    <x v="265"/>
    <x v="17"/>
    <n v="0"/>
    <n v="0"/>
    <n v="0"/>
    <n v="0"/>
    <x v="1836"/>
    <n v="0"/>
    <n v="0"/>
    <n v="0"/>
    <n v="0"/>
    <x v="64"/>
    <n v="113"/>
    <s v="U (Sep 21)"/>
    <d v="2021-09-15T00:00:00"/>
    <n v="-1"/>
  </r>
  <r>
    <x v="265"/>
    <x v="20"/>
    <n v="0"/>
    <n v="0"/>
    <n v="0"/>
    <n v="0"/>
    <x v="1837"/>
    <n v="0"/>
    <n v="0"/>
    <n v="0"/>
    <n v="0"/>
    <x v="116"/>
    <n v="22"/>
    <s v="M (Jun 21)"/>
    <d v="2021-06-16T00:00:00"/>
    <n v="-1"/>
  </r>
  <r>
    <x v="265"/>
    <x v="15"/>
    <n v="0"/>
    <n v="0"/>
    <n v="0"/>
    <n v="0"/>
    <x v="1399"/>
    <n v="0"/>
    <n v="0"/>
    <n v="0"/>
    <n v="0"/>
    <x v="113"/>
    <n v="176"/>
    <s v="X (Nov 21)"/>
    <d v="2021-11-17T00:00:00"/>
    <n v="-1"/>
  </r>
  <r>
    <x v="266"/>
    <x v="19"/>
    <n v="0"/>
    <n v="0"/>
    <n v="0"/>
    <n v="0"/>
    <x v="1838"/>
    <n v="0"/>
    <n v="0"/>
    <n v="0"/>
    <n v="0"/>
    <x v="121"/>
    <n v="58"/>
    <s v="N (Jul 21)"/>
    <d v="2021-07-21T00:00:00"/>
    <n v="-1"/>
  </r>
  <r>
    <x v="266"/>
    <x v="18"/>
    <n v="0"/>
    <n v="0"/>
    <n v="0"/>
    <n v="0"/>
    <x v="1839"/>
    <n v="0"/>
    <n v="0"/>
    <n v="0"/>
    <n v="0"/>
    <x v="117"/>
    <n v="86"/>
    <s v="Q (Aug 21)"/>
    <d v="2021-08-18T00:00:00"/>
    <n v="-1"/>
  </r>
  <r>
    <x v="266"/>
    <x v="14"/>
    <n v="0"/>
    <n v="0"/>
    <n v="0"/>
    <n v="0"/>
    <x v="1634"/>
    <n v="0"/>
    <n v="0"/>
    <n v="0"/>
    <n v="0"/>
    <x v="120"/>
    <n v="212"/>
    <s v="Z (Dec 21)"/>
    <d v="2021-12-22T00:00:00"/>
    <n v="-1"/>
  </r>
  <r>
    <x v="266"/>
    <x v="17"/>
    <n v="0"/>
    <n v="0"/>
    <n v="0"/>
    <n v="0"/>
    <x v="1468"/>
    <n v="0"/>
    <n v="0"/>
    <n v="0"/>
    <n v="0"/>
    <x v="79"/>
    <n v="114"/>
    <s v="U (Sep 21)"/>
    <d v="2021-09-15T00:00:00"/>
    <n v="-1"/>
  </r>
  <r>
    <x v="266"/>
    <x v="20"/>
    <n v="0"/>
    <n v="0"/>
    <n v="0"/>
    <n v="0"/>
    <x v="1840"/>
    <n v="0"/>
    <n v="0"/>
    <n v="0"/>
    <n v="0"/>
    <x v="119"/>
    <n v="23"/>
    <s v="M (Jun 21)"/>
    <d v="2021-06-16T00:00:00"/>
    <n v="-1"/>
  </r>
  <r>
    <x v="266"/>
    <x v="15"/>
    <n v="0"/>
    <n v="0"/>
    <n v="0"/>
    <n v="0"/>
    <x v="1841"/>
    <n v="0"/>
    <n v="0"/>
    <n v="0"/>
    <n v="0"/>
    <x v="125"/>
    <n v="177"/>
    <s v="X (Nov 21)"/>
    <d v="2021-11-17T00:00:00"/>
    <n v="-1"/>
  </r>
  <r>
    <x v="266"/>
    <x v="16"/>
    <n v="0"/>
    <n v="0"/>
    <n v="0"/>
    <n v="0"/>
    <x v="1547"/>
    <n v="0"/>
    <n v="0"/>
    <n v="0"/>
    <n v="0"/>
    <x v="124"/>
    <n v="149"/>
    <s v="V (Oct 21)"/>
    <d v="2021-10-20T00:00:00"/>
    <n v="-1"/>
  </r>
  <r>
    <x v="266"/>
    <x v="13"/>
    <n v="0"/>
    <n v="0"/>
    <n v="0"/>
    <n v="0"/>
    <x v="1112"/>
    <n v="0"/>
    <n v="0"/>
    <n v="0"/>
    <n v="0"/>
    <x v="128"/>
    <n v="240"/>
    <s v="F (Jan 22)"/>
    <d v="2022-01-19T00:00:00"/>
    <n v="-1"/>
  </r>
  <r>
    <x v="266"/>
    <x v="12"/>
    <n v="0"/>
    <n v="0"/>
    <n v="0"/>
    <n v="0"/>
    <x v="1842"/>
    <n v="0"/>
    <n v="0"/>
    <n v="0"/>
    <n v="0"/>
    <x v="186"/>
    <n v="268"/>
    <s v="G (Feb 22)"/>
    <d v="2022-02-16T00:00:00"/>
    <n v="-1"/>
  </r>
  <r>
    <x v="267"/>
    <x v="16"/>
    <n v="0"/>
    <n v="0"/>
    <n v="0"/>
    <n v="0"/>
    <x v="1135"/>
    <n v="0"/>
    <n v="0"/>
    <n v="0"/>
    <n v="0"/>
    <x v="129"/>
    <n v="152"/>
    <s v="V (Oct 21)"/>
    <d v="2021-10-20T00:00:00"/>
    <n v="-1"/>
  </r>
  <r>
    <x v="267"/>
    <x v="13"/>
    <n v="0"/>
    <n v="0"/>
    <n v="0"/>
    <n v="0"/>
    <x v="1078"/>
    <n v="0"/>
    <n v="0"/>
    <n v="0"/>
    <n v="0"/>
    <x v="139"/>
    <n v="243"/>
    <s v="F (Jan 22)"/>
    <d v="2022-01-19T00:00:00"/>
    <n v="-1"/>
  </r>
  <r>
    <x v="267"/>
    <x v="19"/>
    <n v="0"/>
    <n v="0"/>
    <n v="0"/>
    <n v="0"/>
    <x v="1843"/>
    <n v="0"/>
    <n v="0"/>
    <n v="0"/>
    <n v="0"/>
    <x v="127"/>
    <n v="61"/>
    <s v="N (Jul 21)"/>
    <d v="2021-07-21T00:00:00"/>
    <n v="-1"/>
  </r>
  <r>
    <x v="267"/>
    <x v="18"/>
    <n v="0"/>
    <n v="0"/>
    <n v="0"/>
    <n v="0"/>
    <x v="1844"/>
    <n v="0"/>
    <n v="0"/>
    <n v="0"/>
    <n v="0"/>
    <x v="131"/>
    <n v="89"/>
    <s v="Q (Aug 21)"/>
    <d v="2021-08-18T00:00:00"/>
    <n v="-1"/>
  </r>
  <r>
    <x v="267"/>
    <x v="14"/>
    <n v="0"/>
    <n v="0"/>
    <n v="0"/>
    <n v="0"/>
    <x v="1388"/>
    <n v="0"/>
    <n v="0"/>
    <n v="0"/>
    <n v="0"/>
    <x v="126"/>
    <n v="215"/>
    <s v="Z (Dec 21)"/>
    <d v="2021-12-22T00:00:00"/>
    <n v="-1"/>
  </r>
  <r>
    <x v="267"/>
    <x v="17"/>
    <n v="0"/>
    <n v="0"/>
    <n v="0"/>
    <n v="0"/>
    <x v="1845"/>
    <n v="0"/>
    <n v="0"/>
    <n v="0"/>
    <n v="0"/>
    <x v="82"/>
    <n v="117"/>
    <s v="U (Sep 21)"/>
    <d v="2021-09-15T00:00:00"/>
    <n v="-1"/>
  </r>
  <r>
    <x v="267"/>
    <x v="20"/>
    <n v="0"/>
    <n v="0"/>
    <n v="0"/>
    <n v="0"/>
    <x v="1846"/>
    <n v="0"/>
    <n v="0"/>
    <n v="0"/>
    <n v="0"/>
    <x v="133"/>
    <n v="26"/>
    <s v="M (Jun 21)"/>
    <d v="2021-06-16T00:00:00"/>
    <n v="-1"/>
  </r>
  <r>
    <x v="267"/>
    <x v="15"/>
    <n v="0"/>
    <n v="0"/>
    <n v="0"/>
    <n v="0"/>
    <x v="1037"/>
    <n v="0"/>
    <n v="0"/>
    <n v="0"/>
    <n v="0"/>
    <x v="130"/>
    <n v="180"/>
    <s v="X (Nov 21)"/>
    <d v="2021-11-17T00:00:00"/>
    <n v="-1"/>
  </r>
  <r>
    <x v="268"/>
    <x v="19"/>
    <n v="0"/>
    <n v="0"/>
    <n v="0"/>
    <n v="0"/>
    <x v="1847"/>
    <n v="0"/>
    <n v="0"/>
    <n v="0"/>
    <n v="0"/>
    <x v="138"/>
    <n v="62"/>
    <s v="N (Jul 21)"/>
    <d v="2021-07-21T00:00:00"/>
    <n v="-1"/>
  </r>
  <r>
    <x v="268"/>
    <x v="18"/>
    <n v="0"/>
    <n v="0"/>
    <n v="0"/>
    <n v="0"/>
    <x v="1848"/>
    <n v="0"/>
    <n v="0"/>
    <n v="0"/>
    <n v="0"/>
    <x v="134"/>
    <n v="90"/>
    <s v="Q (Aug 21)"/>
    <d v="2021-08-18T00:00:00"/>
    <n v="-1"/>
  </r>
  <r>
    <x v="268"/>
    <x v="14"/>
    <n v="0"/>
    <n v="0"/>
    <n v="0"/>
    <n v="0"/>
    <x v="1209"/>
    <n v="0"/>
    <n v="0"/>
    <n v="0"/>
    <n v="0"/>
    <x v="137"/>
    <n v="216"/>
    <s v="Z (Dec 21)"/>
    <d v="2021-12-22T00:00:00"/>
    <n v="-1"/>
  </r>
  <r>
    <x v="268"/>
    <x v="17"/>
    <n v="0"/>
    <n v="0"/>
    <n v="0"/>
    <n v="0"/>
    <x v="1849"/>
    <n v="0"/>
    <n v="0"/>
    <n v="0"/>
    <n v="0"/>
    <x v="97"/>
    <n v="118"/>
    <s v="U (Sep 21)"/>
    <d v="2021-09-15T00:00:00"/>
    <n v="-1"/>
  </r>
  <r>
    <x v="268"/>
    <x v="20"/>
    <n v="0"/>
    <n v="0"/>
    <n v="0"/>
    <n v="0"/>
    <x v="1850"/>
    <n v="0"/>
    <n v="0"/>
    <n v="0"/>
    <n v="0"/>
    <x v="136"/>
    <n v="27"/>
    <s v="M (Jun 21)"/>
    <d v="2021-06-16T00:00:00"/>
    <n v="-1"/>
  </r>
  <r>
    <x v="268"/>
    <x v="15"/>
    <n v="0"/>
    <n v="0"/>
    <n v="0"/>
    <n v="0"/>
    <x v="1851"/>
    <n v="0"/>
    <n v="0"/>
    <n v="0"/>
    <n v="0"/>
    <x v="141"/>
    <n v="181"/>
    <s v="X (Nov 21)"/>
    <d v="2021-11-17T00:00:00"/>
    <n v="-1"/>
  </r>
  <r>
    <x v="268"/>
    <x v="16"/>
    <n v="0"/>
    <n v="0"/>
    <n v="0"/>
    <n v="0"/>
    <x v="1852"/>
    <n v="0"/>
    <n v="0"/>
    <n v="0"/>
    <n v="0"/>
    <x v="140"/>
    <n v="153"/>
    <s v="V (Oct 21)"/>
    <d v="2021-10-20T00:00:00"/>
    <n v="-1"/>
  </r>
  <r>
    <x v="268"/>
    <x v="13"/>
    <n v="0"/>
    <n v="0"/>
    <n v="0"/>
    <n v="0"/>
    <x v="1171"/>
    <n v="0"/>
    <n v="0"/>
    <n v="0"/>
    <n v="0"/>
    <x v="144"/>
    <n v="244"/>
    <s v="F (Jan 22)"/>
    <d v="2022-01-19T00:00:00"/>
    <n v="-1"/>
  </r>
  <r>
    <x v="269"/>
    <x v="16"/>
    <n v="0"/>
    <n v="0"/>
    <n v="0"/>
    <n v="0"/>
    <x v="1853"/>
    <n v="0"/>
    <n v="0"/>
    <n v="0"/>
    <n v="0"/>
    <x v="146"/>
    <n v="154"/>
    <s v="V (Oct 21)"/>
    <d v="2021-10-20T00:00:00"/>
    <n v="-1"/>
  </r>
  <r>
    <x v="269"/>
    <x v="13"/>
    <n v="0"/>
    <n v="0"/>
    <n v="0"/>
    <n v="0"/>
    <x v="694"/>
    <n v="0"/>
    <n v="0"/>
    <n v="0"/>
    <n v="0"/>
    <x v="155"/>
    <n v="245"/>
    <s v="F (Jan 22)"/>
    <d v="2022-01-19T00:00:00"/>
    <n v="-1"/>
  </r>
  <r>
    <x v="269"/>
    <x v="19"/>
    <n v="0"/>
    <n v="0"/>
    <n v="0"/>
    <n v="0"/>
    <x v="1854"/>
    <n v="0"/>
    <n v="0"/>
    <n v="0"/>
    <n v="0"/>
    <x v="143"/>
    <n v="63"/>
    <s v="N (Jul 21)"/>
    <d v="2021-07-21T00:00:00"/>
    <n v="-1"/>
  </r>
  <r>
    <x v="269"/>
    <x v="18"/>
    <n v="0"/>
    <n v="0"/>
    <n v="0"/>
    <n v="0"/>
    <x v="1855"/>
    <n v="0"/>
    <n v="0"/>
    <n v="0"/>
    <n v="0"/>
    <x v="148"/>
    <n v="91"/>
    <s v="Q (Aug 21)"/>
    <d v="2021-08-18T00:00:00"/>
    <n v="-1"/>
  </r>
  <r>
    <x v="269"/>
    <x v="14"/>
    <n v="0"/>
    <n v="0"/>
    <n v="0"/>
    <n v="0"/>
    <x v="1175"/>
    <n v="0"/>
    <n v="0"/>
    <n v="0"/>
    <n v="0"/>
    <x v="142"/>
    <n v="217"/>
    <s v="Z (Dec 21)"/>
    <d v="2021-12-22T00:00:00"/>
    <n v="-1"/>
  </r>
  <r>
    <x v="269"/>
    <x v="17"/>
    <n v="0"/>
    <n v="0"/>
    <n v="0"/>
    <n v="0"/>
    <x v="423"/>
    <n v="0"/>
    <n v="0"/>
    <n v="0"/>
    <n v="0"/>
    <x v="100"/>
    <n v="119"/>
    <s v="U (Sep 21)"/>
    <d v="2021-09-15T00:00:00"/>
    <n v="-1"/>
  </r>
  <r>
    <x v="269"/>
    <x v="21"/>
    <n v="0"/>
    <n v="0"/>
    <n v="0"/>
    <n v="0"/>
    <x v="1856"/>
    <n v="0"/>
    <n v="0"/>
    <n v="0"/>
    <n v="0"/>
    <x v="145"/>
    <n v="0"/>
    <s v="K (May 21)"/>
    <d v="2021-05-19T00:00:00"/>
    <n v="-1"/>
  </r>
  <r>
    <x v="269"/>
    <x v="20"/>
    <n v="0"/>
    <n v="0"/>
    <n v="0"/>
    <n v="0"/>
    <x v="1857"/>
    <n v="0"/>
    <n v="0"/>
    <n v="0"/>
    <n v="0"/>
    <x v="150"/>
    <n v="28"/>
    <s v="M (Jun 21)"/>
    <d v="2021-06-16T00:00:00"/>
    <n v="-1"/>
  </r>
  <r>
    <x v="269"/>
    <x v="15"/>
    <n v="0"/>
    <n v="0"/>
    <n v="0"/>
    <n v="0"/>
    <x v="1858"/>
    <n v="0"/>
    <n v="0"/>
    <n v="0"/>
    <n v="0"/>
    <x v="147"/>
    <n v="182"/>
    <s v="X (Nov 21)"/>
    <d v="2021-11-17T00:00:00"/>
    <n v="-1"/>
  </r>
  <r>
    <x v="270"/>
    <x v="19"/>
    <n v="0"/>
    <n v="0"/>
    <n v="0"/>
    <n v="0"/>
    <x v="1859"/>
    <n v="0"/>
    <n v="0"/>
    <n v="0"/>
    <n v="0"/>
    <x v="154"/>
    <n v="64"/>
    <s v="N (Jul 21)"/>
    <d v="2021-07-21T00:00:00"/>
    <n v="-1"/>
  </r>
  <r>
    <x v="270"/>
    <x v="18"/>
    <n v="0"/>
    <n v="0"/>
    <n v="0"/>
    <n v="0"/>
    <x v="1860"/>
    <n v="0"/>
    <n v="0"/>
    <n v="0"/>
    <n v="0"/>
    <x v="151"/>
    <n v="92"/>
    <s v="Q (Aug 21)"/>
    <d v="2021-08-18T00:00:00"/>
    <n v="-1"/>
  </r>
  <r>
    <x v="270"/>
    <x v="14"/>
    <n v="0"/>
    <n v="0"/>
    <n v="0"/>
    <n v="0"/>
    <x v="1075"/>
    <n v="0"/>
    <n v="0"/>
    <n v="0"/>
    <n v="0"/>
    <x v="3"/>
    <n v="218"/>
    <s v="Z (Dec 21)"/>
    <d v="2021-12-22T00:00:00"/>
    <n v="-1"/>
  </r>
  <r>
    <x v="270"/>
    <x v="17"/>
    <n v="0"/>
    <n v="0"/>
    <n v="0"/>
    <n v="0"/>
    <x v="1861"/>
    <n v="0"/>
    <n v="0"/>
    <n v="0"/>
    <n v="0"/>
    <x v="115"/>
    <n v="120"/>
    <s v="U (Sep 21)"/>
    <d v="2021-09-15T00:00:00"/>
    <n v="-1"/>
  </r>
  <r>
    <x v="270"/>
    <x v="21"/>
    <n v="0"/>
    <n v="0"/>
    <n v="0"/>
    <n v="0"/>
    <x v="1862"/>
    <n v="0"/>
    <n v="0"/>
    <n v="0"/>
    <n v="0"/>
    <x v="156"/>
    <n v="1"/>
    <s v="K (May 21)"/>
    <d v="2021-05-19T00:00:00"/>
    <n v="-1"/>
  </r>
  <r>
    <x v="270"/>
    <x v="20"/>
    <n v="0"/>
    <n v="0"/>
    <n v="0"/>
    <n v="0"/>
    <x v="1863"/>
    <n v="0"/>
    <n v="0"/>
    <n v="0"/>
    <n v="0"/>
    <x v="153"/>
    <n v="29"/>
    <s v="M (Jun 21)"/>
    <d v="2021-06-16T00:00:00"/>
    <n v="-1"/>
  </r>
  <r>
    <x v="270"/>
    <x v="15"/>
    <n v="0"/>
    <n v="0"/>
    <n v="0"/>
    <n v="0"/>
    <x v="1864"/>
    <n v="0"/>
    <n v="0"/>
    <n v="0"/>
    <n v="0"/>
    <x v="158"/>
    <n v="183"/>
    <s v="X (Nov 21)"/>
    <d v="2021-11-17T00:00:00"/>
    <n v="-1"/>
  </r>
  <r>
    <x v="270"/>
    <x v="16"/>
    <n v="0"/>
    <n v="0"/>
    <n v="0"/>
    <n v="0"/>
    <x v="1865"/>
    <n v="0"/>
    <n v="0"/>
    <n v="0"/>
    <n v="0"/>
    <x v="157"/>
    <n v="155"/>
    <s v="V (Oct 21)"/>
    <d v="2021-10-20T00:00:00"/>
    <n v="-1"/>
  </r>
  <r>
    <x v="270"/>
    <x v="13"/>
    <n v="0"/>
    <n v="0"/>
    <n v="0"/>
    <n v="0"/>
    <x v="423"/>
    <n v="0"/>
    <n v="0"/>
    <n v="0"/>
    <n v="0"/>
    <x v="160"/>
    <n v="246"/>
    <s v="F (Jan 22)"/>
    <d v="2022-01-19T00:00:00"/>
    <n v="-1"/>
  </r>
  <r>
    <x v="271"/>
    <x v="16"/>
    <n v="0"/>
    <n v="0"/>
    <n v="0"/>
    <n v="0"/>
    <x v="1866"/>
    <n v="0"/>
    <n v="0"/>
    <n v="0"/>
    <n v="0"/>
    <x v="162"/>
    <n v="156"/>
    <s v="V (Oct 21)"/>
    <d v="2021-10-20T00:00:00"/>
    <n v="-1"/>
  </r>
  <r>
    <x v="271"/>
    <x v="13"/>
    <n v="0"/>
    <n v="0"/>
    <n v="0"/>
    <n v="0"/>
    <x v="1074"/>
    <n v="0"/>
    <n v="0"/>
    <n v="0"/>
    <n v="0"/>
    <x v="171"/>
    <n v="247"/>
    <s v="F (Jan 22)"/>
    <d v="2022-01-19T00:00:00"/>
    <n v="-1"/>
  </r>
  <r>
    <x v="271"/>
    <x v="19"/>
    <n v="0"/>
    <n v="0"/>
    <n v="0"/>
    <n v="0"/>
    <x v="1867"/>
    <n v="0"/>
    <n v="0"/>
    <n v="0"/>
    <n v="0"/>
    <x v="159"/>
    <n v="65"/>
    <s v="N (Jul 21)"/>
    <d v="2021-07-21T00:00:00"/>
    <n v="-1"/>
  </r>
  <r>
    <x v="271"/>
    <x v="18"/>
    <n v="0"/>
    <n v="0"/>
    <n v="0"/>
    <n v="0"/>
    <x v="1868"/>
    <n v="0"/>
    <n v="0"/>
    <n v="0"/>
    <n v="0"/>
    <x v="164"/>
    <n v="93"/>
    <s v="Q (Aug 21)"/>
    <d v="2021-08-18T00:00:00"/>
    <n v="-1"/>
  </r>
  <r>
    <x v="271"/>
    <x v="14"/>
    <n v="0"/>
    <n v="0"/>
    <n v="0"/>
    <n v="0"/>
    <x v="807"/>
    <n v="0"/>
    <n v="0"/>
    <n v="0"/>
    <n v="0"/>
    <x v="15"/>
    <n v="219"/>
    <s v="Z (Dec 21)"/>
    <d v="2021-12-22T00:00:00"/>
    <n v="-1"/>
  </r>
  <r>
    <x v="271"/>
    <x v="17"/>
    <n v="0"/>
    <n v="0"/>
    <n v="0"/>
    <n v="0"/>
    <x v="1869"/>
    <n v="0"/>
    <n v="0"/>
    <n v="0"/>
    <n v="0"/>
    <x v="118"/>
    <n v="121"/>
    <s v="U (Sep 21)"/>
    <d v="2021-09-15T00:00:00"/>
    <n v="-1"/>
  </r>
  <r>
    <x v="271"/>
    <x v="21"/>
    <n v="0"/>
    <n v="0"/>
    <n v="0"/>
    <n v="0"/>
    <x v="1870"/>
    <n v="0"/>
    <n v="0"/>
    <n v="0"/>
    <n v="0"/>
    <x v="161"/>
    <n v="2"/>
    <s v="K (May 21)"/>
    <d v="2021-05-19T00:00:00"/>
    <n v="-1"/>
  </r>
  <r>
    <x v="271"/>
    <x v="20"/>
    <n v="0"/>
    <n v="0"/>
    <n v="0"/>
    <n v="0"/>
    <x v="1871"/>
    <n v="0"/>
    <n v="0"/>
    <n v="0"/>
    <n v="0"/>
    <x v="166"/>
    <n v="30"/>
    <s v="M (Jun 21)"/>
    <d v="2021-06-16T00:00:00"/>
    <n v="-1"/>
  </r>
  <r>
    <x v="271"/>
    <x v="15"/>
    <n v="0"/>
    <n v="0"/>
    <n v="0"/>
    <n v="0"/>
    <x v="1872"/>
    <n v="0"/>
    <n v="0"/>
    <n v="0"/>
    <n v="0"/>
    <x v="163"/>
    <n v="184"/>
    <s v="X (Nov 21)"/>
    <d v="2021-11-17T00:00:00"/>
    <n v="-1"/>
  </r>
  <r>
    <x v="272"/>
    <x v="19"/>
    <n v="0"/>
    <n v="0"/>
    <n v="0"/>
    <n v="0"/>
    <x v="1873"/>
    <n v="0"/>
    <n v="0"/>
    <n v="0"/>
    <n v="0"/>
    <x v="170"/>
    <n v="68"/>
    <s v="N (Jul 21)"/>
    <d v="2021-07-21T00:00:00"/>
    <n v="-1"/>
  </r>
  <r>
    <x v="272"/>
    <x v="18"/>
    <n v="0"/>
    <n v="0"/>
    <n v="0"/>
    <n v="0"/>
    <x v="1874"/>
    <n v="0"/>
    <n v="0"/>
    <n v="0"/>
    <n v="0"/>
    <x v="167"/>
    <n v="96"/>
    <s v="Q (Aug 21)"/>
    <d v="2021-08-18T00:00:00"/>
    <n v="-1"/>
  </r>
  <r>
    <x v="272"/>
    <x v="14"/>
    <n v="0"/>
    <n v="0"/>
    <n v="0"/>
    <n v="0"/>
    <x v="1663"/>
    <n v="0"/>
    <n v="0"/>
    <n v="0"/>
    <n v="0"/>
    <x v="21"/>
    <n v="222"/>
    <s v="Z (Dec 21)"/>
    <d v="2021-12-22T00:00:00"/>
    <n v="-1"/>
  </r>
  <r>
    <x v="272"/>
    <x v="17"/>
    <n v="0"/>
    <n v="0"/>
    <n v="0"/>
    <n v="0"/>
    <x v="1875"/>
    <n v="0"/>
    <n v="0"/>
    <n v="0"/>
    <n v="0"/>
    <x v="132"/>
    <n v="124"/>
    <s v="U (Sep 21)"/>
    <d v="2021-09-15T00:00:00"/>
    <n v="-1"/>
  </r>
  <r>
    <x v="272"/>
    <x v="21"/>
    <n v="0"/>
    <n v="0"/>
    <n v="0"/>
    <n v="0"/>
    <x v="1876"/>
    <n v="0"/>
    <n v="0"/>
    <n v="0"/>
    <n v="0"/>
    <x v="8"/>
    <n v="5"/>
    <s v="K (May 21)"/>
    <d v="2021-05-19T00:00:00"/>
    <n v="-1"/>
  </r>
  <r>
    <x v="272"/>
    <x v="20"/>
    <n v="0"/>
    <n v="0"/>
    <n v="0"/>
    <n v="0"/>
    <x v="1877"/>
    <n v="0"/>
    <n v="0"/>
    <n v="0"/>
    <n v="0"/>
    <x v="169"/>
    <n v="33"/>
    <s v="M (Jun 21)"/>
    <d v="2021-06-16T00:00:00"/>
    <n v="-1"/>
  </r>
  <r>
    <x v="272"/>
    <x v="15"/>
    <n v="0"/>
    <n v="0"/>
    <n v="0"/>
    <n v="0"/>
    <x v="1878"/>
    <n v="0"/>
    <n v="0"/>
    <n v="0"/>
    <n v="0"/>
    <x v="173"/>
    <n v="187"/>
    <s v="X (Nov 21)"/>
    <d v="2021-11-17T00:00:00"/>
    <n v="-1"/>
  </r>
  <r>
    <x v="272"/>
    <x v="16"/>
    <n v="0"/>
    <n v="0"/>
    <n v="0"/>
    <n v="0"/>
    <x v="1879"/>
    <n v="0"/>
    <n v="0"/>
    <n v="0"/>
    <n v="0"/>
    <x v="172"/>
    <n v="159"/>
    <s v="V (Oct 21)"/>
    <d v="2021-10-20T00:00:00"/>
    <n v="-1"/>
  </r>
  <r>
    <x v="272"/>
    <x v="13"/>
    <n v="0"/>
    <n v="0"/>
    <n v="0"/>
    <n v="0"/>
    <x v="1498"/>
    <n v="0"/>
    <n v="0"/>
    <n v="0"/>
    <n v="0"/>
    <x v="4"/>
    <n v="250"/>
    <s v="F (Jan 22)"/>
    <d v="2022-01-19T00:00:00"/>
    <n v="-1"/>
  </r>
  <r>
    <x v="273"/>
    <x v="16"/>
    <n v="0"/>
    <n v="0"/>
    <n v="0"/>
    <n v="0"/>
    <x v="1880"/>
    <n v="0"/>
    <n v="0"/>
    <n v="0"/>
    <n v="0"/>
    <x v="0"/>
    <n v="160"/>
    <s v="V (Oct 21)"/>
    <d v="2021-10-20T00:00:00"/>
    <n v="-1"/>
  </r>
  <r>
    <x v="273"/>
    <x v="13"/>
    <n v="0"/>
    <n v="0"/>
    <n v="0"/>
    <n v="0"/>
    <x v="1881"/>
    <n v="0"/>
    <n v="0"/>
    <n v="0"/>
    <n v="0"/>
    <x v="16"/>
    <n v="251"/>
    <s v="F (Jan 22)"/>
    <d v="2022-01-19T00:00:00"/>
    <n v="-1"/>
  </r>
  <r>
    <x v="273"/>
    <x v="19"/>
    <n v="0"/>
    <n v="0"/>
    <n v="0"/>
    <n v="0"/>
    <x v="1165"/>
    <n v="0"/>
    <n v="0"/>
    <n v="0"/>
    <n v="0"/>
    <x v="6"/>
    <n v="69"/>
    <s v="N (Jul 21)"/>
    <d v="2021-07-21T00:00:00"/>
    <n v="-1"/>
  </r>
  <r>
    <x v="273"/>
    <x v="18"/>
    <n v="0"/>
    <n v="0"/>
    <n v="0"/>
    <n v="0"/>
    <x v="1882"/>
    <n v="0"/>
    <n v="0"/>
    <n v="0"/>
    <n v="0"/>
    <x v="175"/>
    <n v="97"/>
    <s v="Q (Aug 21)"/>
    <d v="2021-08-18T00:00:00"/>
    <n v="-1"/>
  </r>
  <r>
    <x v="273"/>
    <x v="14"/>
    <n v="0"/>
    <n v="0"/>
    <n v="0"/>
    <n v="0"/>
    <x v="1049"/>
    <n v="0"/>
    <n v="0"/>
    <n v="0"/>
    <n v="0"/>
    <x v="32"/>
    <n v="223"/>
    <s v="Z (Dec 21)"/>
    <d v="2021-12-22T00:00:00"/>
    <n v="-1"/>
  </r>
  <r>
    <x v="273"/>
    <x v="17"/>
    <n v="0"/>
    <n v="0"/>
    <n v="0"/>
    <n v="0"/>
    <x v="1883"/>
    <n v="0"/>
    <n v="0"/>
    <n v="0"/>
    <n v="0"/>
    <x v="135"/>
    <n v="125"/>
    <s v="U (Sep 21)"/>
    <d v="2021-09-15T00:00:00"/>
    <n v="-1"/>
  </r>
  <r>
    <x v="273"/>
    <x v="21"/>
    <n v="0"/>
    <n v="0"/>
    <n v="0"/>
    <n v="0"/>
    <x v="1884"/>
    <n v="0"/>
    <n v="0"/>
    <n v="0"/>
    <n v="0"/>
    <x v="11"/>
    <n v="6"/>
    <s v="K (May 21)"/>
    <d v="2021-05-19T00:00:00"/>
    <n v="-1"/>
  </r>
  <r>
    <x v="273"/>
    <x v="20"/>
    <n v="0"/>
    <n v="0"/>
    <n v="0"/>
    <n v="0"/>
    <x v="1885"/>
    <n v="0"/>
    <n v="0"/>
    <n v="0"/>
    <n v="0"/>
    <x v="176"/>
    <n v="34"/>
    <s v="M (Jun 21)"/>
    <d v="2021-06-16T00:00:00"/>
    <n v="-1"/>
  </r>
  <r>
    <x v="273"/>
    <x v="15"/>
    <n v="0"/>
    <n v="0"/>
    <n v="0"/>
    <n v="0"/>
    <x v="1886"/>
    <n v="0"/>
    <n v="0"/>
    <n v="0"/>
    <n v="0"/>
    <x v="174"/>
    <n v="188"/>
    <s v="X (Nov 21)"/>
    <d v="2021-11-17T00:00:00"/>
    <n v="-1"/>
  </r>
  <r>
    <x v="274"/>
    <x v="19"/>
    <n v="0"/>
    <n v="0"/>
    <n v="0"/>
    <n v="0"/>
    <x v="1887"/>
    <n v="0"/>
    <n v="0"/>
    <n v="0"/>
    <n v="0"/>
    <x v="9"/>
    <n v="70"/>
    <s v="N (Jul 21)"/>
    <d v="2021-07-21T00:00:00"/>
    <n v="-1"/>
  </r>
  <r>
    <x v="274"/>
    <x v="18"/>
    <n v="0"/>
    <n v="0"/>
    <n v="0"/>
    <n v="0"/>
    <x v="1888"/>
    <n v="0"/>
    <n v="0"/>
    <n v="0"/>
    <n v="0"/>
    <x v="177"/>
    <n v="98"/>
    <s v="Q (Aug 21)"/>
    <d v="2021-08-18T00:00:00"/>
    <n v="-1"/>
  </r>
  <r>
    <x v="274"/>
    <x v="14"/>
    <n v="0"/>
    <n v="0"/>
    <n v="0"/>
    <n v="0"/>
    <x v="694"/>
    <n v="0"/>
    <n v="0"/>
    <n v="0"/>
    <n v="0"/>
    <x v="38"/>
    <n v="224"/>
    <s v="Z (Dec 21)"/>
    <d v="2021-12-22T00:00:00"/>
    <n v="-1"/>
  </r>
  <r>
    <x v="274"/>
    <x v="17"/>
    <n v="0"/>
    <n v="0"/>
    <n v="0"/>
    <n v="0"/>
    <x v="1889"/>
    <n v="0"/>
    <n v="0"/>
    <n v="0"/>
    <n v="0"/>
    <x v="149"/>
    <n v="126"/>
    <s v="U (Sep 21)"/>
    <d v="2021-09-15T00:00:00"/>
    <n v="-1"/>
  </r>
  <r>
    <x v="274"/>
    <x v="21"/>
    <n v="0"/>
    <n v="0"/>
    <n v="0"/>
    <n v="0"/>
    <x v="1890"/>
    <n v="0"/>
    <n v="0"/>
    <n v="0"/>
    <n v="0"/>
    <x v="26"/>
    <n v="7"/>
    <s v="K (May 21)"/>
    <d v="2021-05-19T00:00:00"/>
    <n v="-1"/>
  </r>
  <r>
    <x v="274"/>
    <x v="20"/>
    <n v="0"/>
    <n v="0"/>
    <n v="0"/>
    <n v="0"/>
    <x v="1891"/>
    <n v="0"/>
    <n v="0"/>
    <n v="0"/>
    <n v="0"/>
    <x v="178"/>
    <n v="35"/>
    <s v="M (Jun 21)"/>
    <d v="2021-06-16T00:00:00"/>
    <n v="-1"/>
  </r>
  <r>
    <x v="274"/>
    <x v="15"/>
    <n v="0"/>
    <n v="0"/>
    <n v="0"/>
    <n v="0"/>
    <x v="1892"/>
    <n v="0"/>
    <n v="0"/>
    <n v="0"/>
    <n v="0"/>
    <x v="179"/>
    <n v="189"/>
    <s v="X (Nov 21)"/>
    <d v="2021-11-17T00:00:00"/>
    <n v="-1"/>
  </r>
  <r>
    <x v="274"/>
    <x v="16"/>
    <n v="0"/>
    <n v="0"/>
    <n v="0"/>
    <n v="0"/>
    <x v="1893"/>
    <n v="0"/>
    <n v="0"/>
    <n v="0"/>
    <n v="0"/>
    <x v="12"/>
    <n v="161"/>
    <s v="V (Oct 21)"/>
    <d v="2021-10-20T00:00:00"/>
    <n v="-1"/>
  </r>
  <r>
    <x v="274"/>
    <x v="13"/>
    <n v="0"/>
    <n v="0"/>
    <n v="0"/>
    <n v="0"/>
    <x v="332"/>
    <n v="0"/>
    <n v="0"/>
    <n v="0"/>
    <n v="0"/>
    <x v="22"/>
    <n v="252"/>
    <s v="F (Jan 22)"/>
    <d v="2022-01-19T00:00:00"/>
    <n v="-1"/>
  </r>
  <r>
    <x v="275"/>
    <x v="16"/>
    <n v="0"/>
    <n v="0"/>
    <n v="0"/>
    <n v="0"/>
    <x v="1894"/>
    <n v="0"/>
    <n v="0"/>
    <n v="0"/>
    <n v="0"/>
    <x v="18"/>
    <n v="162"/>
    <s v="V (Oct 21)"/>
    <d v="2021-10-20T00:00:00"/>
    <n v="-1"/>
  </r>
  <r>
    <x v="275"/>
    <x v="13"/>
    <n v="0"/>
    <n v="0"/>
    <n v="0"/>
    <n v="0"/>
    <x v="1347"/>
    <n v="0"/>
    <n v="0"/>
    <n v="0"/>
    <n v="0"/>
    <x v="33"/>
    <n v="253"/>
    <s v="F (Jan 22)"/>
    <d v="2022-01-19T00:00:00"/>
    <n v="-1"/>
  </r>
  <r>
    <x v="275"/>
    <x v="19"/>
    <n v="0"/>
    <n v="0"/>
    <n v="0"/>
    <n v="0"/>
    <x v="1895"/>
    <n v="0"/>
    <n v="0"/>
    <n v="0"/>
    <n v="0"/>
    <x v="24"/>
    <n v="71"/>
    <s v="N (Jul 21)"/>
    <d v="2021-07-21T00:00:00"/>
    <n v="-1"/>
  </r>
  <r>
    <x v="275"/>
    <x v="18"/>
    <n v="0"/>
    <n v="0"/>
    <n v="0"/>
    <n v="0"/>
    <x v="1388"/>
    <n v="0"/>
    <n v="0"/>
    <n v="0"/>
    <n v="0"/>
    <x v="181"/>
    <n v="99"/>
    <s v="Q (Aug 21)"/>
    <d v="2021-08-18T00:00:00"/>
    <n v="-1"/>
  </r>
  <r>
    <x v="275"/>
    <x v="14"/>
    <n v="0"/>
    <n v="0"/>
    <n v="0"/>
    <n v="0"/>
    <x v="1421"/>
    <n v="0"/>
    <n v="0"/>
    <n v="0"/>
    <n v="0"/>
    <x v="50"/>
    <n v="225"/>
    <s v="Z (Dec 21)"/>
    <d v="2021-12-22T00:00:00"/>
    <n v="-1"/>
  </r>
  <r>
    <x v="275"/>
    <x v="17"/>
    <n v="0"/>
    <n v="0"/>
    <n v="0"/>
    <n v="0"/>
    <x v="1104"/>
    <n v="0"/>
    <n v="0"/>
    <n v="0"/>
    <n v="0"/>
    <x v="152"/>
    <n v="127"/>
    <s v="U (Sep 21)"/>
    <d v="2021-09-15T00:00:00"/>
    <n v="-1"/>
  </r>
  <r>
    <x v="275"/>
    <x v="21"/>
    <n v="0"/>
    <n v="0"/>
    <n v="0"/>
    <n v="0"/>
    <x v="1896"/>
    <n v="0"/>
    <n v="0"/>
    <n v="0"/>
    <n v="0"/>
    <x v="29"/>
    <n v="8"/>
    <s v="K (May 21)"/>
    <d v="2021-05-19T00:00:00"/>
    <n v="-1"/>
  </r>
  <r>
    <x v="275"/>
    <x v="20"/>
    <n v="0"/>
    <n v="0"/>
    <n v="0"/>
    <n v="0"/>
    <x v="1897"/>
    <n v="0"/>
    <n v="0"/>
    <n v="0"/>
    <n v="0"/>
    <x v="182"/>
    <n v="36"/>
    <s v="M (Jun 21)"/>
    <d v="2021-06-16T00:00:00"/>
    <n v="-1"/>
  </r>
  <r>
    <x v="275"/>
    <x v="15"/>
    <n v="0"/>
    <n v="0"/>
    <n v="0"/>
    <n v="0"/>
    <x v="1175"/>
    <n v="0"/>
    <n v="0"/>
    <n v="0"/>
    <n v="0"/>
    <x v="180"/>
    <n v="190"/>
    <s v="X (Nov 21)"/>
    <d v="2021-11-17T00:00:00"/>
    <n v="-1"/>
  </r>
  <r>
    <x v="276"/>
    <x v="19"/>
    <n v="0"/>
    <n v="0"/>
    <n v="0"/>
    <n v="0"/>
    <x v="1898"/>
    <n v="0"/>
    <n v="0"/>
    <n v="0"/>
    <n v="0"/>
    <x v="27"/>
    <n v="72"/>
    <s v="N (Jul 21)"/>
    <d v="2021-07-21T00:00:00"/>
    <n v="-1"/>
  </r>
  <r>
    <x v="276"/>
    <x v="18"/>
    <n v="0"/>
    <n v="0"/>
    <n v="0"/>
    <n v="0"/>
    <x v="770"/>
    <n v="0"/>
    <n v="0"/>
    <n v="0"/>
    <n v="0"/>
    <x v="183"/>
    <n v="100"/>
    <s v="Q (Aug 21)"/>
    <d v="2021-08-18T00:00:00"/>
    <n v="-1"/>
  </r>
  <r>
    <x v="276"/>
    <x v="14"/>
    <n v="0"/>
    <n v="0"/>
    <n v="0"/>
    <n v="0"/>
    <x v="1386"/>
    <n v="0"/>
    <n v="0"/>
    <n v="0"/>
    <n v="0"/>
    <x v="56"/>
    <n v="226"/>
    <s v="Z (Dec 21)"/>
    <d v="2021-12-22T00:00:00"/>
    <n v="-1"/>
  </r>
  <r>
    <x v="276"/>
    <x v="17"/>
    <n v="0"/>
    <n v="0"/>
    <n v="0"/>
    <n v="0"/>
    <x v="1899"/>
    <n v="0"/>
    <n v="0"/>
    <n v="0"/>
    <n v="0"/>
    <x v="165"/>
    <n v="128"/>
    <s v="U (Sep 21)"/>
    <d v="2021-09-15T00:00:00"/>
    <n v="-1"/>
  </r>
  <r>
    <x v="276"/>
    <x v="21"/>
    <n v="0"/>
    <n v="0"/>
    <n v="0"/>
    <n v="0"/>
    <x v="1900"/>
    <n v="0"/>
    <n v="0"/>
    <n v="0"/>
    <n v="0"/>
    <x v="44"/>
    <n v="9"/>
    <s v="K (May 21)"/>
    <d v="2021-05-19T00:00:00"/>
    <n v="-1"/>
  </r>
  <r>
    <x v="276"/>
    <x v="20"/>
    <n v="0"/>
    <n v="0"/>
    <n v="0"/>
    <n v="0"/>
    <x v="1901"/>
    <n v="0"/>
    <n v="0"/>
    <n v="0"/>
    <n v="0"/>
    <x v="184"/>
    <n v="37"/>
    <s v="M (Jun 21)"/>
    <d v="2021-06-16T00:00:00"/>
    <n v="-1"/>
  </r>
  <r>
    <x v="276"/>
    <x v="15"/>
    <n v="0"/>
    <n v="0"/>
    <n v="0"/>
    <n v="0"/>
    <x v="1404"/>
    <n v="0"/>
    <n v="0"/>
    <n v="0"/>
    <n v="0"/>
    <x v="185"/>
    <n v="191"/>
    <s v="X (Nov 21)"/>
    <d v="2021-11-17T00:00:00"/>
    <n v="-1"/>
  </r>
  <r>
    <x v="276"/>
    <x v="16"/>
    <n v="0"/>
    <n v="0"/>
    <n v="0"/>
    <n v="0"/>
    <x v="1902"/>
    <n v="0"/>
    <n v="0"/>
    <n v="0"/>
    <n v="0"/>
    <x v="35"/>
    <n v="163"/>
    <s v="V (Oct 21)"/>
    <d v="2021-10-20T00:00:00"/>
    <n v="-1"/>
  </r>
  <r>
    <x v="276"/>
    <x v="13"/>
    <n v="0"/>
    <n v="0"/>
    <n v="0"/>
    <n v="0"/>
    <x v="1431"/>
    <n v="0"/>
    <n v="0"/>
    <n v="0"/>
    <n v="0"/>
    <x v="39"/>
    <n v="254"/>
    <s v="F (Jan 22)"/>
    <d v="2022-01-19T00:00:00"/>
    <n v="-1"/>
  </r>
  <r>
    <x v="277"/>
    <x v="16"/>
    <n v="0"/>
    <n v="0"/>
    <n v="0"/>
    <n v="0"/>
    <x v="1903"/>
    <n v="0"/>
    <n v="0"/>
    <n v="0"/>
    <n v="0"/>
    <x v="41"/>
    <n v="166"/>
    <s v="V (Oct 21)"/>
    <d v="2021-10-20T00:00:00"/>
    <n v="-1"/>
  </r>
  <r>
    <x v="277"/>
    <x v="13"/>
    <n v="0"/>
    <n v="0"/>
    <n v="0"/>
    <n v="0"/>
    <x v="1395"/>
    <n v="0"/>
    <n v="0"/>
    <n v="0"/>
    <n v="0"/>
    <x v="51"/>
    <n v="257"/>
    <s v="F (Jan 22)"/>
    <d v="2022-01-19T00:00:00"/>
    <n v="-1"/>
  </r>
  <r>
    <x v="277"/>
    <x v="19"/>
    <n v="0"/>
    <n v="0"/>
    <n v="0"/>
    <n v="0"/>
    <x v="1904"/>
    <n v="0"/>
    <n v="0"/>
    <n v="0"/>
    <n v="0"/>
    <x v="42"/>
    <n v="75"/>
    <s v="N (Jul 21)"/>
    <d v="2021-07-21T00:00:00"/>
    <n v="-1"/>
  </r>
  <r>
    <x v="277"/>
    <x v="18"/>
    <n v="0"/>
    <n v="0"/>
    <n v="0"/>
    <n v="0"/>
    <x v="1905"/>
    <n v="0"/>
    <n v="0"/>
    <n v="0"/>
    <n v="0"/>
    <x v="7"/>
    <n v="103"/>
    <s v="Q (Aug 21)"/>
    <d v="2021-08-18T00:00:00"/>
    <n v="-1"/>
  </r>
  <r>
    <x v="277"/>
    <x v="14"/>
    <n v="0"/>
    <n v="0"/>
    <n v="0"/>
    <n v="0"/>
    <x v="1691"/>
    <n v="0"/>
    <n v="0"/>
    <n v="0"/>
    <n v="0"/>
    <x v="68"/>
    <n v="229"/>
    <s v="Z (Dec 21)"/>
    <d v="2021-12-22T00:00:00"/>
    <n v="-1"/>
  </r>
  <r>
    <x v="277"/>
    <x v="17"/>
    <n v="0"/>
    <n v="0"/>
    <n v="0"/>
    <n v="0"/>
    <x v="1089"/>
    <n v="0"/>
    <n v="0"/>
    <n v="0"/>
    <n v="0"/>
    <x v="168"/>
    <n v="131"/>
    <s v="U (Sep 21)"/>
    <d v="2021-09-15T00:00:00"/>
    <n v="-1"/>
  </r>
  <r>
    <x v="277"/>
    <x v="21"/>
    <n v="0"/>
    <n v="0"/>
    <n v="0"/>
    <n v="0"/>
    <x v="1906"/>
    <n v="0"/>
    <n v="0"/>
    <n v="0"/>
    <n v="0"/>
    <x v="47"/>
    <n v="12"/>
    <s v="K (May 21)"/>
    <d v="2021-05-19T00:00:00"/>
    <n v="-1"/>
  </r>
  <r>
    <x v="277"/>
    <x v="20"/>
    <n v="0"/>
    <n v="0"/>
    <n v="0"/>
    <n v="0"/>
    <x v="1907"/>
    <n v="0"/>
    <n v="0"/>
    <n v="0"/>
    <n v="0"/>
    <x v="2"/>
    <n v="40"/>
    <s v="M (Jun 21)"/>
    <d v="2021-06-16T00:00:00"/>
    <n v="-1"/>
  </r>
  <r>
    <x v="277"/>
    <x v="15"/>
    <n v="0"/>
    <n v="0"/>
    <n v="0"/>
    <n v="0"/>
    <x v="1908"/>
    <n v="0"/>
    <n v="0"/>
    <n v="0"/>
    <n v="0"/>
    <x v="1"/>
    <n v="194"/>
    <s v="X (Nov 21)"/>
    <d v="2021-11-17T00:00:00"/>
    <n v="-1"/>
  </r>
  <r>
    <x v="278"/>
    <x v="19"/>
    <n v="0"/>
    <n v="0"/>
    <n v="0"/>
    <n v="0"/>
    <x v="1909"/>
    <n v="0"/>
    <n v="0"/>
    <n v="0"/>
    <n v="0"/>
    <x v="45"/>
    <n v="76"/>
    <s v="N (Jul 21)"/>
    <d v="2021-07-21T00:00:00"/>
    <n v="-1"/>
  </r>
  <r>
    <x v="278"/>
    <x v="18"/>
    <n v="0"/>
    <n v="0"/>
    <n v="0"/>
    <n v="0"/>
    <x v="1663"/>
    <n v="0"/>
    <n v="0"/>
    <n v="0"/>
    <n v="0"/>
    <x v="10"/>
    <n v="104"/>
    <s v="Q (Aug 21)"/>
    <d v="2021-08-18T00:00:00"/>
    <n v="-1"/>
  </r>
  <r>
    <x v="278"/>
    <x v="14"/>
    <n v="0"/>
    <n v="0"/>
    <n v="0"/>
    <n v="0"/>
    <x v="1908"/>
    <n v="0"/>
    <n v="0"/>
    <n v="0"/>
    <n v="0"/>
    <x v="74"/>
    <n v="230"/>
    <s v="Z (Dec 21)"/>
    <d v="2021-12-22T00:00:00"/>
    <n v="-1"/>
  </r>
  <r>
    <x v="278"/>
    <x v="17"/>
    <n v="0"/>
    <n v="0"/>
    <n v="0"/>
    <n v="0"/>
    <x v="1910"/>
    <n v="0"/>
    <n v="0"/>
    <n v="0"/>
    <n v="0"/>
    <x v="5"/>
    <n v="132"/>
    <s v="U (Sep 21)"/>
    <d v="2021-09-15T00:00:00"/>
    <n v="-1"/>
  </r>
  <r>
    <x v="278"/>
    <x v="21"/>
    <n v="0"/>
    <n v="0"/>
    <n v="0"/>
    <n v="0"/>
    <x v="1911"/>
    <n v="0"/>
    <n v="0"/>
    <n v="0"/>
    <n v="0"/>
    <x v="62"/>
    <n v="13"/>
    <s v="K (May 21)"/>
    <d v="2021-05-19T00:00:00"/>
    <n v="-1"/>
  </r>
  <r>
    <x v="278"/>
    <x v="20"/>
    <n v="0"/>
    <n v="0"/>
    <n v="0"/>
    <n v="0"/>
    <x v="1912"/>
    <n v="0"/>
    <n v="0"/>
    <n v="0"/>
    <n v="0"/>
    <x v="14"/>
    <n v="41"/>
    <s v="M (Jun 21)"/>
    <d v="2021-06-16T00:00:00"/>
    <n v="-1"/>
  </r>
  <r>
    <x v="278"/>
    <x v="15"/>
    <n v="0"/>
    <n v="0"/>
    <n v="0"/>
    <n v="0"/>
    <x v="1397"/>
    <n v="0"/>
    <n v="0"/>
    <n v="0"/>
    <n v="0"/>
    <x v="13"/>
    <n v="195"/>
    <s v="X (Nov 21)"/>
    <d v="2021-11-17T00:00:00"/>
    <n v="-1"/>
  </r>
  <r>
    <x v="278"/>
    <x v="16"/>
    <n v="0"/>
    <n v="0"/>
    <n v="0"/>
    <n v="0"/>
    <x v="807"/>
    <n v="0"/>
    <n v="0"/>
    <n v="0"/>
    <n v="0"/>
    <x v="53"/>
    <n v="167"/>
    <s v="V (Oct 21)"/>
    <d v="2021-10-20T00:00:00"/>
    <n v="-1"/>
  </r>
  <r>
    <x v="278"/>
    <x v="13"/>
    <n v="0"/>
    <n v="0"/>
    <n v="0"/>
    <n v="0"/>
    <x v="1540"/>
    <n v="0"/>
    <n v="0"/>
    <n v="0"/>
    <n v="0"/>
    <x v="57"/>
    <n v="258"/>
    <s v="F (Jan 22)"/>
    <d v="2022-01-19T00:00:00"/>
    <n v="-1"/>
  </r>
  <r>
    <x v="279"/>
    <x v="16"/>
    <n v="0"/>
    <n v="0"/>
    <n v="0"/>
    <n v="0"/>
    <x v="1123"/>
    <n v="0"/>
    <n v="0"/>
    <n v="0"/>
    <n v="0"/>
    <x v="59"/>
    <n v="168"/>
    <s v="V (Oct 21)"/>
    <d v="2021-10-20T00:00:00"/>
    <n v="-1"/>
  </r>
  <r>
    <x v="279"/>
    <x v="13"/>
    <n v="0"/>
    <n v="0"/>
    <n v="0"/>
    <n v="0"/>
    <x v="1135"/>
    <n v="0"/>
    <n v="0"/>
    <n v="0"/>
    <n v="0"/>
    <x v="69"/>
    <n v="259"/>
    <s v="F (Jan 22)"/>
    <d v="2022-01-19T00:00:00"/>
    <n v="-1"/>
  </r>
  <r>
    <x v="279"/>
    <x v="19"/>
    <n v="0"/>
    <n v="0"/>
    <n v="0"/>
    <n v="0"/>
    <x v="1913"/>
    <n v="0"/>
    <n v="0"/>
    <n v="0"/>
    <n v="0"/>
    <x v="60"/>
    <n v="77"/>
    <s v="N (Jul 21)"/>
    <d v="2021-07-21T00:00:00"/>
    <n v="-1"/>
  </r>
  <r>
    <x v="279"/>
    <x v="18"/>
    <n v="0"/>
    <n v="0"/>
    <n v="0"/>
    <n v="0"/>
    <x v="1663"/>
    <n v="0"/>
    <n v="0"/>
    <n v="0"/>
    <n v="0"/>
    <x v="25"/>
    <n v="105"/>
    <s v="Q (Aug 21)"/>
    <d v="2021-08-18T00:00:00"/>
    <n v="-1"/>
  </r>
  <r>
    <x v="279"/>
    <x v="14"/>
    <n v="0"/>
    <n v="0"/>
    <n v="0"/>
    <n v="0"/>
    <x v="1634"/>
    <n v="0"/>
    <n v="0"/>
    <n v="0"/>
    <n v="0"/>
    <x v="86"/>
    <n v="231"/>
    <s v="Z (Dec 21)"/>
    <d v="2021-12-22T00:00:00"/>
    <n v="-1"/>
  </r>
  <r>
    <x v="279"/>
    <x v="17"/>
    <n v="0"/>
    <n v="0"/>
    <n v="0"/>
    <n v="0"/>
    <x v="1914"/>
    <n v="0"/>
    <n v="0"/>
    <n v="0"/>
    <n v="0"/>
    <x v="17"/>
    <n v="133"/>
    <s v="U (Sep 21)"/>
    <d v="2021-09-15T00:00:00"/>
    <n v="-1"/>
  </r>
  <r>
    <x v="279"/>
    <x v="21"/>
    <n v="0"/>
    <n v="0"/>
    <n v="0"/>
    <n v="0"/>
    <x v="1915"/>
    <n v="0"/>
    <n v="0"/>
    <n v="0"/>
    <n v="0"/>
    <x v="65"/>
    <n v="14"/>
    <s v="K (May 21)"/>
    <d v="2021-05-19T00:00:00"/>
    <n v="-1"/>
  </r>
  <r>
    <x v="279"/>
    <x v="20"/>
    <n v="0"/>
    <n v="0"/>
    <n v="0"/>
    <n v="0"/>
    <x v="1916"/>
    <n v="0"/>
    <n v="0"/>
    <n v="0"/>
    <n v="0"/>
    <x v="20"/>
    <n v="42"/>
    <s v="M (Jun 21)"/>
    <d v="2021-06-16T00:00:00"/>
    <n v="-1"/>
  </r>
  <r>
    <x v="279"/>
    <x v="15"/>
    <n v="0"/>
    <n v="0"/>
    <n v="0"/>
    <n v="0"/>
    <x v="1376"/>
    <n v="0"/>
    <n v="0"/>
    <n v="0"/>
    <n v="0"/>
    <x v="19"/>
    <n v="196"/>
    <s v="X (Nov 21)"/>
    <d v="2021-11-17T00:00:00"/>
    <n v="-1"/>
  </r>
  <r>
    <x v="280"/>
    <x v="19"/>
    <n v="0"/>
    <n v="0"/>
    <n v="0"/>
    <n v="0"/>
    <x v="1917"/>
    <n v="0"/>
    <n v="0"/>
    <n v="0"/>
    <n v="0"/>
    <x v="63"/>
    <n v="78"/>
    <s v="N (Jul 21)"/>
    <d v="2021-07-21T00:00:00"/>
    <n v="-1"/>
  </r>
  <r>
    <x v="280"/>
    <x v="18"/>
    <n v="0"/>
    <n v="0"/>
    <n v="0"/>
    <n v="0"/>
    <x v="1235"/>
    <n v="0"/>
    <n v="0"/>
    <n v="0"/>
    <n v="0"/>
    <x v="28"/>
    <n v="106"/>
    <s v="Q (Aug 21)"/>
    <d v="2021-08-18T00:00:00"/>
    <n v="-1"/>
  </r>
  <r>
    <x v="280"/>
    <x v="14"/>
    <n v="0"/>
    <n v="0"/>
    <n v="0"/>
    <n v="0"/>
    <x v="1547"/>
    <n v="0"/>
    <n v="0"/>
    <n v="0"/>
    <n v="0"/>
    <x v="92"/>
    <n v="232"/>
    <s v="Z (Dec 21)"/>
    <d v="2021-12-22T00:00:00"/>
    <n v="-1"/>
  </r>
  <r>
    <x v="280"/>
    <x v="17"/>
    <n v="0"/>
    <n v="0"/>
    <n v="0"/>
    <n v="0"/>
    <x v="1209"/>
    <n v="0"/>
    <n v="0"/>
    <n v="0"/>
    <n v="0"/>
    <x v="23"/>
    <n v="134"/>
    <s v="U (Sep 21)"/>
    <d v="2021-09-15T00:00:00"/>
    <n v="-1"/>
  </r>
  <r>
    <x v="280"/>
    <x v="21"/>
    <n v="0"/>
    <n v="0"/>
    <n v="0"/>
    <n v="0"/>
    <x v="1918"/>
    <n v="0"/>
    <n v="0"/>
    <n v="0"/>
    <n v="0"/>
    <x v="80"/>
    <n v="15"/>
    <s v="K (May 21)"/>
    <d v="2021-05-19T00:00:00"/>
    <n v="-1"/>
  </r>
  <r>
    <x v="280"/>
    <x v="20"/>
    <n v="0"/>
    <n v="0"/>
    <n v="0"/>
    <n v="0"/>
    <x v="1919"/>
    <n v="0"/>
    <n v="0"/>
    <n v="0"/>
    <n v="0"/>
    <x v="31"/>
    <n v="43"/>
    <s v="M (Jun 21)"/>
    <d v="2021-06-16T00:00:00"/>
    <n v="-1"/>
  </r>
  <r>
    <x v="280"/>
    <x v="15"/>
    <n v="0"/>
    <n v="0"/>
    <n v="0"/>
    <n v="0"/>
    <x v="1209"/>
    <n v="0"/>
    <n v="0"/>
    <n v="0"/>
    <n v="0"/>
    <x v="30"/>
    <n v="197"/>
    <s v="X (Nov 21)"/>
    <d v="2021-11-17T00:00:00"/>
    <n v="-1"/>
  </r>
  <r>
    <x v="280"/>
    <x v="16"/>
    <n v="0"/>
    <n v="0"/>
    <n v="0"/>
    <n v="0"/>
    <x v="1920"/>
    <n v="0"/>
    <n v="0"/>
    <n v="0"/>
    <n v="0"/>
    <x v="71"/>
    <n v="169"/>
    <s v="V (Oct 21)"/>
    <d v="2021-10-20T00:00:00"/>
    <n v="-1"/>
  </r>
  <r>
    <x v="280"/>
    <x v="13"/>
    <n v="0"/>
    <n v="0"/>
    <n v="0"/>
    <n v="0"/>
    <x v="1165"/>
    <n v="0"/>
    <n v="0"/>
    <n v="0"/>
    <n v="0"/>
    <x v="75"/>
    <n v="260"/>
    <s v="F (Jan 22)"/>
    <d v="2022-01-19T00:00:00"/>
    <n v="-1"/>
  </r>
  <r>
    <x v="281"/>
    <x v="16"/>
    <n v="0"/>
    <n v="0"/>
    <n v="0"/>
    <n v="0"/>
    <x v="1921"/>
    <n v="0"/>
    <n v="0"/>
    <n v="0"/>
    <n v="0"/>
    <x v="77"/>
    <n v="170"/>
    <s v="V (Oct 21)"/>
    <d v="2021-10-20T00:00:00"/>
    <n v="-1"/>
  </r>
  <r>
    <x v="281"/>
    <x v="13"/>
    <n v="0"/>
    <n v="0"/>
    <n v="0"/>
    <n v="0"/>
    <x v="1112"/>
    <n v="0"/>
    <n v="0"/>
    <n v="0"/>
    <n v="0"/>
    <x v="87"/>
    <n v="261"/>
    <s v="F (Jan 22)"/>
    <d v="2022-01-19T00:00:00"/>
    <n v="-1"/>
  </r>
  <r>
    <x v="281"/>
    <x v="19"/>
    <n v="0"/>
    <n v="0"/>
    <n v="0"/>
    <n v="0"/>
    <x v="1922"/>
    <n v="0"/>
    <n v="0"/>
    <n v="0"/>
    <n v="0"/>
    <x v="78"/>
    <n v="79"/>
    <s v="N (Jul 21)"/>
    <d v="2021-07-21T00:00:00"/>
    <n v="-1"/>
  </r>
  <r>
    <x v="281"/>
    <x v="18"/>
    <n v="0"/>
    <n v="0"/>
    <n v="0"/>
    <n v="0"/>
    <x v="1923"/>
    <n v="0"/>
    <n v="0"/>
    <n v="0"/>
    <n v="0"/>
    <x v="43"/>
    <n v="107"/>
    <s v="Q (Aug 21)"/>
    <d v="2021-08-18T00:00:00"/>
    <n v="-1"/>
  </r>
  <r>
    <x v="281"/>
    <x v="14"/>
    <n v="0"/>
    <n v="0"/>
    <n v="0"/>
    <n v="0"/>
    <x v="1924"/>
    <n v="0"/>
    <n v="0"/>
    <n v="0"/>
    <n v="0"/>
    <x v="104"/>
    <n v="233"/>
    <s v="Z (Dec 21)"/>
    <d v="2021-12-22T00:00:00"/>
    <n v="-1"/>
  </r>
  <r>
    <x v="281"/>
    <x v="17"/>
    <n v="0"/>
    <n v="0"/>
    <n v="0"/>
    <n v="0"/>
    <x v="1925"/>
    <n v="0"/>
    <n v="0"/>
    <n v="0"/>
    <n v="0"/>
    <x v="34"/>
    <n v="135"/>
    <s v="U (Sep 21)"/>
    <d v="2021-09-15T00:00:00"/>
    <n v="-1"/>
  </r>
  <r>
    <x v="281"/>
    <x v="21"/>
    <n v="0"/>
    <n v="0"/>
    <n v="0"/>
    <n v="0"/>
    <x v="1926"/>
    <n v="0"/>
    <n v="0"/>
    <n v="0"/>
    <n v="0"/>
    <x v="83"/>
    <n v="16"/>
    <s v="K (May 21)"/>
    <d v="2021-05-19T00:00:00"/>
    <n v="-1"/>
  </r>
  <r>
    <x v="281"/>
    <x v="20"/>
    <n v="0"/>
    <n v="0"/>
    <n v="0"/>
    <n v="0"/>
    <x v="1927"/>
    <n v="0"/>
    <n v="0"/>
    <n v="0"/>
    <n v="0"/>
    <x v="37"/>
    <n v="44"/>
    <s v="M (Jun 21)"/>
    <d v="2021-06-16T00:00:00"/>
    <n v="-1"/>
  </r>
  <r>
    <x v="281"/>
    <x v="15"/>
    <n v="0"/>
    <n v="0"/>
    <n v="0"/>
    <n v="0"/>
    <x v="1928"/>
    <n v="0"/>
    <n v="0"/>
    <n v="0"/>
    <n v="0"/>
    <x v="36"/>
    <n v="198"/>
    <s v="X (Nov 21)"/>
    <d v="2021-11-17T00:00:00"/>
    <n v="-1"/>
  </r>
  <r>
    <x v="282"/>
    <x v="19"/>
    <n v="0"/>
    <n v="0"/>
    <n v="0"/>
    <n v="0"/>
    <x v="1663"/>
    <n v="0"/>
    <n v="0"/>
    <n v="0"/>
    <n v="0"/>
    <x v="81"/>
    <n v="82"/>
    <s v="N (Jul 21)"/>
    <d v="2021-07-21T00:00:00"/>
    <n v="-1"/>
  </r>
  <r>
    <x v="282"/>
    <x v="18"/>
    <n v="0"/>
    <n v="0"/>
    <n v="0"/>
    <n v="0"/>
    <x v="1929"/>
    <n v="0"/>
    <n v="0"/>
    <n v="0"/>
    <n v="0"/>
    <x v="46"/>
    <n v="110"/>
    <s v="Q (Aug 21)"/>
    <d v="2021-08-18T00:00:00"/>
    <n v="-1"/>
  </r>
  <r>
    <x v="282"/>
    <x v="14"/>
    <n v="0"/>
    <n v="0"/>
    <n v="0"/>
    <n v="0"/>
    <x v="1477"/>
    <n v="0"/>
    <n v="0"/>
    <n v="0"/>
    <n v="0"/>
    <x v="110"/>
    <n v="236"/>
    <s v="Z (Dec 21)"/>
    <d v="2021-12-22T00:00:00"/>
    <n v="-1"/>
  </r>
  <r>
    <x v="282"/>
    <x v="17"/>
    <n v="0"/>
    <n v="0"/>
    <n v="0"/>
    <n v="0"/>
    <x v="1112"/>
    <n v="0"/>
    <n v="0"/>
    <n v="0"/>
    <n v="0"/>
    <x v="40"/>
    <n v="138"/>
    <s v="U (Sep 21)"/>
    <d v="2021-09-15T00:00:00"/>
    <n v="-1"/>
  </r>
  <r>
    <x v="282"/>
    <x v="21"/>
    <n v="0"/>
    <n v="0"/>
    <n v="0"/>
    <n v="0"/>
    <x v="1930"/>
    <n v="0"/>
    <n v="0"/>
    <n v="0"/>
    <n v="0"/>
    <x v="98"/>
    <n v="19"/>
    <s v="K (May 21)"/>
    <d v="2021-05-19T00:00:00"/>
    <n v="-1"/>
  </r>
  <r>
    <x v="282"/>
    <x v="20"/>
    <n v="0"/>
    <n v="0"/>
    <n v="0"/>
    <n v="0"/>
    <x v="1931"/>
    <n v="0"/>
    <n v="0"/>
    <n v="0"/>
    <n v="0"/>
    <x v="49"/>
    <n v="47"/>
    <s v="M (Jun 21)"/>
    <d v="2021-06-16T00:00:00"/>
    <n v="-1"/>
  </r>
  <r>
    <x v="282"/>
    <x v="15"/>
    <n v="0"/>
    <n v="0"/>
    <n v="0"/>
    <n v="0"/>
    <x v="1932"/>
    <n v="0"/>
    <n v="0"/>
    <n v="0"/>
    <n v="0"/>
    <x v="48"/>
    <n v="201"/>
    <s v="X (Nov 21)"/>
    <d v="2021-11-17T00:00:00"/>
    <n v="-1"/>
  </r>
  <r>
    <x v="282"/>
    <x v="16"/>
    <n v="0"/>
    <n v="0"/>
    <n v="0"/>
    <n v="0"/>
    <x v="1075"/>
    <n v="0"/>
    <n v="0"/>
    <n v="0"/>
    <n v="0"/>
    <x v="89"/>
    <n v="173"/>
    <s v="V (Oct 21)"/>
    <d v="2021-10-20T00:00:00"/>
    <n v="-1"/>
  </r>
  <r>
    <x v="282"/>
    <x v="13"/>
    <n v="0"/>
    <n v="0"/>
    <n v="0"/>
    <n v="0"/>
    <x v="1037"/>
    <n v="0"/>
    <n v="0"/>
    <n v="0"/>
    <n v="0"/>
    <x v="93"/>
    <n v="264"/>
    <s v="F (Jan 22)"/>
    <d v="2022-01-19T00:00:00"/>
    <n v="-1"/>
  </r>
  <r>
    <x v="283"/>
    <x v="16"/>
    <n v="0"/>
    <n v="0"/>
    <n v="0"/>
    <n v="0"/>
    <x v="1933"/>
    <n v="0"/>
    <n v="0"/>
    <n v="0"/>
    <n v="0"/>
    <x v="95"/>
    <n v="174"/>
    <s v="V (Oct 21)"/>
    <d v="2021-10-20T00:00:00"/>
    <n v="-1"/>
  </r>
  <r>
    <x v="283"/>
    <x v="13"/>
    <n v="0"/>
    <n v="0"/>
    <n v="0"/>
    <n v="0"/>
    <x v="1498"/>
    <n v="0"/>
    <n v="0"/>
    <n v="0"/>
    <n v="0"/>
    <x v="105"/>
    <n v="265"/>
    <s v="F (Jan 22)"/>
    <d v="2022-01-19T00:00:00"/>
    <n v="-1"/>
  </r>
  <r>
    <x v="283"/>
    <x v="19"/>
    <n v="0"/>
    <n v="0"/>
    <n v="0"/>
    <n v="0"/>
    <x v="1934"/>
    <n v="0"/>
    <n v="0"/>
    <n v="0"/>
    <n v="0"/>
    <x v="96"/>
    <n v="83"/>
    <s v="N (Jul 21)"/>
    <d v="2021-07-21T00:00:00"/>
    <n v="-1"/>
  </r>
  <r>
    <x v="283"/>
    <x v="18"/>
    <n v="0"/>
    <n v="0"/>
    <n v="0"/>
    <n v="0"/>
    <x v="1708"/>
    <n v="0"/>
    <n v="0"/>
    <n v="0"/>
    <n v="0"/>
    <x v="61"/>
    <n v="111"/>
    <s v="Q (Aug 21)"/>
    <d v="2021-08-18T00:00:00"/>
    <n v="-1"/>
  </r>
  <r>
    <x v="283"/>
    <x v="14"/>
    <n v="0"/>
    <n v="0"/>
    <n v="0"/>
    <n v="0"/>
    <x v="1908"/>
    <n v="0"/>
    <n v="0"/>
    <n v="0"/>
    <n v="0"/>
    <x v="122"/>
    <n v="237"/>
    <s v="Z (Dec 21)"/>
    <d v="2021-12-22T00:00:00"/>
    <n v="-1"/>
  </r>
  <r>
    <x v="283"/>
    <x v="17"/>
    <n v="0"/>
    <n v="0"/>
    <n v="0"/>
    <n v="0"/>
    <x v="1469"/>
    <n v="0"/>
    <n v="0"/>
    <n v="0"/>
    <n v="0"/>
    <x v="52"/>
    <n v="139"/>
    <s v="U (Sep 21)"/>
    <d v="2021-09-15T00:00:00"/>
    <n v="-1"/>
  </r>
  <r>
    <x v="283"/>
    <x v="21"/>
    <n v="0"/>
    <n v="0"/>
    <n v="0"/>
    <n v="0"/>
    <x v="1935"/>
    <n v="0"/>
    <n v="0"/>
    <n v="0"/>
    <n v="0"/>
    <x v="101"/>
    <n v="20"/>
    <s v="K (May 21)"/>
    <d v="2021-05-19T00:00:00"/>
    <n v="-1"/>
  </r>
  <r>
    <x v="283"/>
    <x v="20"/>
    <n v="0"/>
    <n v="0"/>
    <n v="0"/>
    <n v="0"/>
    <x v="1936"/>
    <n v="0"/>
    <n v="0"/>
    <n v="0"/>
    <n v="0"/>
    <x v="55"/>
    <n v="48"/>
    <s v="M (Jun 21)"/>
    <d v="2021-06-16T00:00:00"/>
    <n v="-1"/>
  </r>
  <r>
    <x v="283"/>
    <x v="15"/>
    <n v="0"/>
    <n v="0"/>
    <n v="0"/>
    <n v="0"/>
    <x v="1937"/>
    <n v="0"/>
    <n v="0"/>
    <n v="0"/>
    <n v="0"/>
    <x v="54"/>
    <n v="202"/>
    <s v="X (Nov 21)"/>
    <d v="2021-11-17T00:00:00"/>
    <n v="-1"/>
  </r>
  <r>
    <x v="284"/>
    <x v="19"/>
    <n v="0"/>
    <n v="0"/>
    <n v="0"/>
    <n v="0"/>
    <x v="1938"/>
    <n v="0"/>
    <n v="0"/>
    <n v="0"/>
    <n v="0"/>
    <x v="99"/>
    <n v="84"/>
    <s v="N (Jul 21)"/>
    <d v="2021-07-21T00:00:00"/>
    <n v="-1"/>
  </r>
  <r>
    <x v="284"/>
    <x v="18"/>
    <n v="0"/>
    <n v="0"/>
    <n v="0"/>
    <n v="0"/>
    <x v="1939"/>
    <n v="0"/>
    <n v="0"/>
    <n v="0"/>
    <n v="0"/>
    <x v="64"/>
    <n v="112"/>
    <s v="Q (Aug 21)"/>
    <d v="2021-08-18T00:00:00"/>
    <n v="-1"/>
  </r>
  <r>
    <x v="284"/>
    <x v="14"/>
    <n v="0"/>
    <n v="0"/>
    <n v="0"/>
    <n v="0"/>
    <x v="1924"/>
    <n v="0"/>
    <n v="0"/>
    <n v="0"/>
    <n v="0"/>
    <x v="128"/>
    <n v="238"/>
    <s v="Z (Dec 21)"/>
    <d v="2021-12-22T00:00:00"/>
    <n v="-1"/>
  </r>
  <r>
    <x v="284"/>
    <x v="17"/>
    <n v="0"/>
    <n v="0"/>
    <n v="0"/>
    <n v="0"/>
    <x v="1940"/>
    <n v="0"/>
    <n v="0"/>
    <n v="0"/>
    <n v="0"/>
    <x v="58"/>
    <n v="140"/>
    <s v="U (Sep 21)"/>
    <d v="2021-09-15T00:00:00"/>
    <n v="-1"/>
  </r>
  <r>
    <x v="284"/>
    <x v="21"/>
    <n v="0"/>
    <n v="0"/>
    <n v="0"/>
    <n v="0"/>
    <x v="1941"/>
    <n v="0"/>
    <n v="0"/>
    <n v="0"/>
    <n v="0"/>
    <x v="116"/>
    <n v="21"/>
    <s v="K (May 21)"/>
    <d v="2021-05-19T00:00:00"/>
    <n v="-1"/>
  </r>
  <r>
    <x v="284"/>
    <x v="20"/>
    <n v="0"/>
    <n v="0"/>
    <n v="0"/>
    <n v="0"/>
    <x v="1942"/>
    <n v="0"/>
    <n v="0"/>
    <n v="0"/>
    <n v="0"/>
    <x v="67"/>
    <n v="49"/>
    <s v="M (Jun 21)"/>
    <d v="2021-06-16T00:00:00"/>
    <n v="-1"/>
  </r>
  <r>
    <x v="284"/>
    <x v="15"/>
    <n v="0"/>
    <n v="0"/>
    <n v="0"/>
    <n v="0"/>
    <x v="807"/>
    <n v="0"/>
    <n v="0"/>
    <n v="0"/>
    <n v="0"/>
    <x v="66"/>
    <n v="203"/>
    <s v="X (Nov 21)"/>
    <d v="2021-11-17T00:00:00"/>
    <n v="-1"/>
  </r>
  <r>
    <x v="284"/>
    <x v="16"/>
    <n v="0"/>
    <n v="0"/>
    <n v="0"/>
    <n v="0"/>
    <x v="1498"/>
    <n v="0"/>
    <n v="0"/>
    <n v="0"/>
    <n v="0"/>
    <x v="107"/>
    <n v="175"/>
    <s v="V (Oct 21)"/>
    <d v="2021-10-20T00:00:00"/>
    <n v="-1"/>
  </r>
  <r>
    <x v="284"/>
    <x v="13"/>
    <n v="0"/>
    <n v="0"/>
    <n v="0"/>
    <n v="0"/>
    <x v="1209"/>
    <n v="0"/>
    <n v="0"/>
    <n v="0"/>
    <n v="0"/>
    <x v="111"/>
    <n v="266"/>
    <s v="F (Jan 22)"/>
    <d v="2022-01-19T00:00:00"/>
    <n v="-1"/>
  </r>
  <r>
    <x v="285"/>
    <x v="16"/>
    <n v="0"/>
    <n v="0"/>
    <n v="0"/>
    <n v="0"/>
    <x v="1132"/>
    <n v="0"/>
    <n v="0"/>
    <n v="0"/>
    <n v="0"/>
    <x v="113"/>
    <n v="176"/>
    <s v="V (Oct 21)"/>
    <d v="2021-10-20T00:00:00"/>
    <n v="-1"/>
  </r>
  <r>
    <x v="285"/>
    <x v="13"/>
    <n v="0"/>
    <n v="0"/>
    <n v="0"/>
    <n v="0"/>
    <x v="1311"/>
    <n v="0"/>
    <n v="0"/>
    <n v="0"/>
    <n v="0"/>
    <x v="123"/>
    <n v="267"/>
    <s v="F (Jan 22)"/>
    <d v="2022-01-19T00:00:00"/>
    <n v="-1"/>
  </r>
  <r>
    <x v="285"/>
    <x v="19"/>
    <n v="0"/>
    <n v="0"/>
    <n v="0"/>
    <n v="0"/>
    <x v="1943"/>
    <n v="0"/>
    <n v="0"/>
    <n v="0"/>
    <n v="0"/>
    <x v="114"/>
    <n v="85"/>
    <s v="N (Jul 21)"/>
    <d v="2021-07-21T00:00:00"/>
    <n v="-1"/>
  </r>
  <r>
    <x v="285"/>
    <x v="18"/>
    <n v="0"/>
    <n v="0"/>
    <n v="0"/>
    <n v="0"/>
    <x v="1944"/>
    <n v="0"/>
    <n v="0"/>
    <n v="0"/>
    <n v="0"/>
    <x v="79"/>
    <n v="113"/>
    <s v="Q (Aug 21)"/>
    <d v="2021-08-18T00:00:00"/>
    <n v="-1"/>
  </r>
  <r>
    <x v="285"/>
    <x v="14"/>
    <n v="0"/>
    <n v="0"/>
    <n v="0"/>
    <n v="0"/>
    <x v="1634"/>
    <n v="0"/>
    <n v="0"/>
    <n v="0"/>
    <n v="0"/>
    <x v="139"/>
    <n v="239"/>
    <s v="Z (Dec 21)"/>
    <d v="2021-12-22T00:00:00"/>
    <n v="-1"/>
  </r>
  <r>
    <x v="285"/>
    <x v="17"/>
    <n v="0"/>
    <n v="0"/>
    <n v="0"/>
    <n v="0"/>
    <x v="1945"/>
    <n v="0"/>
    <n v="0"/>
    <n v="0"/>
    <n v="0"/>
    <x v="70"/>
    <n v="141"/>
    <s v="U (Sep 21)"/>
    <d v="2021-09-15T00:00:00"/>
    <n v="-1"/>
  </r>
  <r>
    <x v="285"/>
    <x v="21"/>
    <n v="0"/>
    <n v="0"/>
    <n v="0"/>
    <n v="0"/>
    <x v="1946"/>
    <n v="0"/>
    <n v="0"/>
    <n v="0"/>
    <n v="0"/>
    <x v="119"/>
    <n v="22"/>
    <s v="K (May 21)"/>
    <d v="2021-05-19T00:00:00"/>
    <n v="-1"/>
  </r>
  <r>
    <x v="285"/>
    <x v="20"/>
    <n v="0"/>
    <n v="0"/>
    <n v="0"/>
    <n v="0"/>
    <x v="1947"/>
    <n v="0"/>
    <n v="0"/>
    <n v="0"/>
    <n v="0"/>
    <x v="73"/>
    <n v="50"/>
    <s v="M (Jun 21)"/>
    <d v="2021-06-16T00:00:00"/>
    <n v="-1"/>
  </r>
  <r>
    <x v="285"/>
    <x v="15"/>
    <n v="0"/>
    <n v="0"/>
    <n v="0"/>
    <n v="0"/>
    <x v="1948"/>
    <n v="0"/>
    <n v="0"/>
    <n v="0"/>
    <n v="0"/>
    <x v="72"/>
    <n v="204"/>
    <s v="X (Nov 21)"/>
    <d v="2021-11-17T00:00:00"/>
    <n v="-1"/>
  </r>
  <r>
    <x v="286"/>
    <x v="19"/>
    <n v="0"/>
    <n v="0"/>
    <n v="0"/>
    <n v="0"/>
    <x v="1949"/>
    <n v="0"/>
    <n v="0"/>
    <n v="0"/>
    <n v="0"/>
    <x v="117"/>
    <n v="86"/>
    <s v="N (Jul 21)"/>
    <d v="2021-07-21T00:00:00"/>
    <n v="-1"/>
  </r>
  <r>
    <x v="286"/>
    <x v="18"/>
    <n v="0"/>
    <n v="0"/>
    <n v="0"/>
    <n v="0"/>
    <x v="1950"/>
    <n v="0"/>
    <n v="0"/>
    <n v="0"/>
    <n v="0"/>
    <x v="82"/>
    <n v="114"/>
    <s v="Q (Aug 21)"/>
    <d v="2021-08-18T00:00:00"/>
    <n v="-1"/>
  </r>
  <r>
    <x v="286"/>
    <x v="14"/>
    <n v="0"/>
    <n v="0"/>
    <n v="0"/>
    <n v="0"/>
    <x v="1397"/>
    <n v="0"/>
    <n v="0"/>
    <n v="0"/>
    <n v="0"/>
    <x v="144"/>
    <n v="240"/>
    <s v="Z (Dec 21)"/>
    <d v="2021-12-22T00:00:00"/>
    <n v="-1"/>
  </r>
  <r>
    <x v="286"/>
    <x v="17"/>
    <n v="0"/>
    <n v="0"/>
    <n v="0"/>
    <n v="0"/>
    <x v="1112"/>
    <n v="0"/>
    <n v="0"/>
    <n v="0"/>
    <n v="0"/>
    <x v="76"/>
    <n v="142"/>
    <s v="U (Sep 21)"/>
    <d v="2021-09-15T00:00:00"/>
    <n v="-1"/>
  </r>
  <r>
    <x v="286"/>
    <x v="21"/>
    <n v="0"/>
    <n v="0"/>
    <n v="0"/>
    <n v="0"/>
    <x v="1951"/>
    <n v="0"/>
    <n v="0"/>
    <n v="0"/>
    <n v="0"/>
    <x v="133"/>
    <n v="23"/>
    <s v="K (May 21)"/>
    <d v="2021-05-19T00:00:00"/>
    <n v="-1"/>
  </r>
  <r>
    <x v="286"/>
    <x v="20"/>
    <n v="0"/>
    <n v="0"/>
    <n v="0"/>
    <n v="0"/>
    <x v="1952"/>
    <n v="0"/>
    <n v="0"/>
    <n v="0"/>
    <n v="0"/>
    <x v="85"/>
    <n v="51"/>
    <s v="M (Jun 21)"/>
    <d v="2021-06-16T00:00:00"/>
    <n v="-1"/>
  </r>
  <r>
    <x v="286"/>
    <x v="15"/>
    <n v="0"/>
    <n v="0"/>
    <n v="0"/>
    <n v="0"/>
    <x v="1037"/>
    <n v="0"/>
    <n v="0"/>
    <n v="0"/>
    <n v="0"/>
    <x v="84"/>
    <n v="205"/>
    <s v="X (Nov 21)"/>
    <d v="2021-11-17T00:00:00"/>
    <n v="-1"/>
  </r>
  <r>
    <x v="286"/>
    <x v="16"/>
    <n v="0"/>
    <n v="0"/>
    <n v="0"/>
    <n v="0"/>
    <x v="1175"/>
    <n v="0"/>
    <n v="0"/>
    <n v="0"/>
    <n v="0"/>
    <x v="125"/>
    <n v="177"/>
    <s v="V (Oct 21)"/>
    <d v="2021-10-20T00:00:00"/>
    <n v="-1"/>
  </r>
  <r>
    <x v="286"/>
    <x v="13"/>
    <n v="0"/>
    <n v="0"/>
    <n v="0"/>
    <n v="0"/>
    <x v="807"/>
    <n v="0"/>
    <n v="0"/>
    <n v="0"/>
    <n v="0"/>
    <x v="186"/>
    <n v="268"/>
    <s v="F (Jan 22)"/>
    <d v="2022-01-19T00:00:00"/>
    <n v="-1"/>
  </r>
  <r>
    <x v="287"/>
    <x v="16"/>
    <n v="0"/>
    <n v="0"/>
    <n v="0"/>
    <n v="0"/>
    <x v="1953"/>
    <n v="0"/>
    <n v="0"/>
    <n v="0"/>
    <n v="0"/>
    <x v="130"/>
    <n v="180"/>
    <s v="V (Oct 21)"/>
    <d v="2021-10-20T00:00:00"/>
    <n v="-1"/>
  </r>
  <r>
    <x v="287"/>
    <x v="19"/>
    <n v="0"/>
    <n v="0"/>
    <n v="0"/>
    <n v="0"/>
    <x v="1954"/>
    <n v="0"/>
    <n v="0"/>
    <n v="0"/>
    <n v="0"/>
    <x v="131"/>
    <n v="89"/>
    <s v="N (Jul 21)"/>
    <d v="2021-07-21T00:00:00"/>
    <n v="-1"/>
  </r>
  <r>
    <x v="287"/>
    <x v="18"/>
    <n v="0"/>
    <n v="0"/>
    <n v="0"/>
    <n v="0"/>
    <x v="823"/>
    <n v="0"/>
    <n v="0"/>
    <n v="0"/>
    <n v="0"/>
    <x v="97"/>
    <n v="117"/>
    <s v="Q (Aug 21)"/>
    <d v="2021-08-18T00:00:00"/>
    <n v="-1"/>
  </r>
  <r>
    <x v="287"/>
    <x v="14"/>
    <n v="0"/>
    <n v="0"/>
    <n v="0"/>
    <n v="0"/>
    <x v="1421"/>
    <n v="0"/>
    <n v="0"/>
    <n v="0"/>
    <n v="0"/>
    <x v="155"/>
    <n v="243"/>
    <s v="Z (Dec 21)"/>
    <d v="2021-12-22T00:00:00"/>
    <n v="-1"/>
  </r>
  <r>
    <x v="287"/>
    <x v="17"/>
    <n v="0"/>
    <n v="0"/>
    <n v="0"/>
    <n v="0"/>
    <x v="1135"/>
    <n v="0"/>
    <n v="0"/>
    <n v="0"/>
    <n v="0"/>
    <x v="88"/>
    <n v="145"/>
    <s v="U (Sep 21)"/>
    <d v="2021-09-15T00:00:00"/>
    <n v="-1"/>
  </r>
  <r>
    <x v="287"/>
    <x v="21"/>
    <n v="0"/>
    <n v="0"/>
    <n v="0"/>
    <n v="0"/>
    <x v="1955"/>
    <n v="0"/>
    <n v="0"/>
    <n v="0"/>
    <n v="0"/>
    <x v="136"/>
    <n v="26"/>
    <s v="K (May 21)"/>
    <d v="2021-05-19T00:00:00"/>
    <n v="-1"/>
  </r>
  <r>
    <x v="287"/>
    <x v="20"/>
    <n v="0"/>
    <n v="0"/>
    <n v="0"/>
    <n v="0"/>
    <x v="1956"/>
    <n v="0"/>
    <n v="0"/>
    <n v="0"/>
    <n v="0"/>
    <x v="91"/>
    <n v="54"/>
    <s v="M (Jun 21)"/>
    <d v="2021-06-16T00:00:00"/>
    <n v="-1"/>
  </r>
  <r>
    <x v="287"/>
    <x v="15"/>
    <n v="0"/>
    <n v="0"/>
    <n v="0"/>
    <n v="0"/>
    <x v="1075"/>
    <n v="0"/>
    <n v="0"/>
    <n v="0"/>
    <n v="0"/>
    <x v="90"/>
    <n v="208"/>
    <s v="X (Nov 21)"/>
    <d v="2021-11-17T00:00:00"/>
    <n v="-1"/>
  </r>
  <r>
    <x v="288"/>
    <x v="19"/>
    <n v="0"/>
    <n v="0"/>
    <n v="0"/>
    <n v="0"/>
    <x v="1957"/>
    <n v="0"/>
    <n v="0"/>
    <n v="0"/>
    <n v="0"/>
    <x v="134"/>
    <n v="90"/>
    <s v="N (Jul 21)"/>
    <d v="2021-07-21T00:00:00"/>
    <n v="-1"/>
  </r>
  <r>
    <x v="288"/>
    <x v="18"/>
    <n v="0"/>
    <n v="0"/>
    <n v="0"/>
    <n v="0"/>
    <x v="1958"/>
    <n v="0"/>
    <n v="0"/>
    <n v="0"/>
    <n v="0"/>
    <x v="100"/>
    <n v="118"/>
    <s v="Q (Aug 21)"/>
    <d v="2021-08-18T00:00:00"/>
    <n v="-1"/>
  </r>
  <r>
    <x v="288"/>
    <x v="14"/>
    <n v="0"/>
    <n v="0"/>
    <n v="0"/>
    <n v="0"/>
    <x v="1431"/>
    <n v="0"/>
    <n v="0"/>
    <n v="0"/>
    <n v="0"/>
    <x v="160"/>
    <n v="244"/>
    <s v="Z (Dec 21)"/>
    <d v="2021-12-22T00:00:00"/>
    <n v="-1"/>
  </r>
  <r>
    <x v="288"/>
    <x v="17"/>
    <n v="0"/>
    <n v="0"/>
    <n v="0"/>
    <n v="0"/>
    <x v="1078"/>
    <n v="0"/>
    <n v="0"/>
    <n v="0"/>
    <n v="0"/>
    <x v="94"/>
    <n v="146"/>
    <s v="U (Sep 21)"/>
    <d v="2021-09-15T00:00:00"/>
    <n v="-1"/>
  </r>
  <r>
    <x v="288"/>
    <x v="21"/>
    <n v="0"/>
    <n v="0"/>
    <n v="0"/>
    <n v="0"/>
    <x v="1959"/>
    <n v="0"/>
    <n v="0"/>
    <n v="0"/>
    <n v="0"/>
    <x v="150"/>
    <n v="27"/>
    <s v="K (May 21)"/>
    <d v="2021-05-19T00:00:00"/>
    <n v="-1"/>
  </r>
  <r>
    <x v="288"/>
    <x v="20"/>
    <n v="0"/>
    <n v="0"/>
    <n v="0"/>
    <n v="0"/>
    <x v="1960"/>
    <n v="0"/>
    <n v="0"/>
    <n v="0"/>
    <n v="0"/>
    <x v="103"/>
    <n v="55"/>
    <s v="M (Jun 21)"/>
    <d v="2021-06-16T00:00:00"/>
    <n v="-1"/>
  </r>
  <r>
    <x v="288"/>
    <x v="15"/>
    <n v="0"/>
    <n v="0"/>
    <n v="0"/>
    <n v="0"/>
    <x v="1104"/>
    <n v="0"/>
    <n v="0"/>
    <n v="0"/>
    <n v="0"/>
    <x v="102"/>
    <n v="209"/>
    <s v="X (Nov 21)"/>
    <d v="2021-11-17T00:00:00"/>
    <n v="-1"/>
  </r>
  <r>
    <x v="288"/>
    <x v="16"/>
    <n v="0"/>
    <n v="0"/>
    <n v="0"/>
    <n v="0"/>
    <x v="1961"/>
    <n v="0"/>
    <n v="0"/>
    <n v="0"/>
    <n v="0"/>
    <x v="141"/>
    <n v="181"/>
    <s v="V (Oct 21)"/>
    <d v="2021-10-20T00:00:00"/>
    <n v="-1"/>
  </r>
  <r>
    <x v="289"/>
    <x v="16"/>
    <n v="0"/>
    <n v="0"/>
    <n v="0"/>
    <n v="0"/>
    <x v="1049"/>
    <n v="0"/>
    <n v="0"/>
    <n v="0"/>
    <n v="0"/>
    <x v="147"/>
    <n v="182"/>
    <s v="V (Oct 21)"/>
    <d v="2021-10-20T00:00:00"/>
    <n v="-1"/>
  </r>
  <r>
    <x v="289"/>
    <x v="18"/>
    <n v="0"/>
    <n v="0"/>
    <n v="0"/>
    <n v="0"/>
    <x v="1962"/>
    <n v="0"/>
    <n v="0"/>
    <n v="0"/>
    <n v="0"/>
    <x v="115"/>
    <n v="119"/>
    <s v="Q (Aug 21)"/>
    <d v="2021-08-18T00:00:00"/>
    <n v="-1"/>
  </r>
  <r>
    <x v="289"/>
    <x v="14"/>
    <n v="0"/>
    <n v="0"/>
    <n v="0"/>
    <n v="0"/>
    <x v="1656"/>
    <n v="0"/>
    <n v="0"/>
    <n v="0"/>
    <n v="0"/>
    <x v="171"/>
    <n v="245"/>
    <s v="Z (Dec 21)"/>
    <d v="2021-12-22T00:00:00"/>
    <n v="-1"/>
  </r>
  <r>
    <x v="289"/>
    <x v="17"/>
    <n v="0"/>
    <n v="0"/>
    <n v="0"/>
    <n v="0"/>
    <x v="1963"/>
    <n v="0"/>
    <n v="0"/>
    <n v="0"/>
    <n v="0"/>
    <x v="106"/>
    <n v="147"/>
    <s v="U (Sep 21)"/>
    <d v="2021-09-15T00:00:00"/>
    <n v="-1"/>
  </r>
  <r>
    <x v="289"/>
    <x v="22"/>
    <n v="0"/>
    <n v="0"/>
    <n v="0"/>
    <n v="0"/>
    <x v="1964"/>
    <n v="0"/>
    <n v="0"/>
    <n v="0"/>
    <n v="0"/>
    <x v="145"/>
    <n v="0"/>
    <s v="J (Apr 21)"/>
    <d v="2021-04-21T00:00:00"/>
    <n v="-1"/>
  </r>
  <r>
    <x v="289"/>
    <x v="21"/>
    <n v="0"/>
    <n v="0"/>
    <n v="0"/>
    <n v="0"/>
    <x v="1965"/>
    <n v="0"/>
    <n v="0"/>
    <n v="0"/>
    <n v="0"/>
    <x v="153"/>
    <n v="28"/>
    <s v="K (May 21)"/>
    <d v="2021-05-19T00:00:00"/>
    <n v="-1"/>
  </r>
  <r>
    <x v="289"/>
    <x v="20"/>
    <n v="0"/>
    <n v="0"/>
    <n v="0"/>
    <n v="0"/>
    <x v="1966"/>
    <n v="0"/>
    <n v="0"/>
    <n v="0"/>
    <n v="0"/>
    <x v="109"/>
    <n v="56"/>
    <s v="M (Jun 21)"/>
    <d v="2021-06-16T00:00:00"/>
    <n v="-1"/>
  </r>
  <r>
    <x v="289"/>
    <x v="15"/>
    <n v="0"/>
    <n v="0"/>
    <n v="0"/>
    <n v="0"/>
    <x v="1123"/>
    <n v="0"/>
    <n v="0"/>
    <n v="0"/>
    <n v="0"/>
    <x v="108"/>
    <n v="210"/>
    <s v="X (Nov 21)"/>
    <d v="2021-11-17T00:00:00"/>
    <n v="-1"/>
  </r>
  <r>
    <x v="289"/>
    <x v="19"/>
    <n v="0"/>
    <n v="0"/>
    <n v="0"/>
    <n v="0"/>
    <x v="1967"/>
    <n v="0"/>
    <n v="0"/>
    <n v="0"/>
    <n v="0"/>
    <x v="148"/>
    <n v="91"/>
    <s v="N (Jul 21)"/>
    <d v="2021-07-21T00:00:00"/>
    <n v="-1"/>
  </r>
  <r>
    <x v="290"/>
    <x v="18"/>
    <n v="0"/>
    <n v="0"/>
    <n v="0"/>
    <n v="0"/>
    <x v="1968"/>
    <n v="0"/>
    <n v="0"/>
    <n v="0"/>
    <n v="0"/>
    <x v="118"/>
    <n v="120"/>
    <s v="Q (Aug 21)"/>
    <d v="2021-08-18T00:00:00"/>
    <n v="-1"/>
  </r>
  <r>
    <x v="290"/>
    <x v="14"/>
    <n v="0"/>
    <n v="0"/>
    <n v="0"/>
    <n v="0"/>
    <x v="1399"/>
    <n v="0"/>
    <n v="0"/>
    <n v="0"/>
    <n v="0"/>
    <x v="4"/>
    <n v="246"/>
    <s v="Z (Dec 21)"/>
    <d v="2021-12-22T00:00:00"/>
    <n v="-1"/>
  </r>
  <r>
    <x v="290"/>
    <x v="17"/>
    <n v="0"/>
    <n v="0"/>
    <n v="0"/>
    <n v="0"/>
    <x v="1175"/>
    <n v="0"/>
    <n v="0"/>
    <n v="0"/>
    <n v="0"/>
    <x v="112"/>
    <n v="148"/>
    <s v="U (Sep 21)"/>
    <d v="2021-09-15T00:00:00"/>
    <n v="-1"/>
  </r>
  <r>
    <x v="290"/>
    <x v="22"/>
    <n v="0"/>
    <n v="0"/>
    <n v="0"/>
    <n v="0"/>
    <x v="1969"/>
    <n v="0"/>
    <n v="0"/>
    <n v="0"/>
    <n v="0"/>
    <x v="156"/>
    <n v="1"/>
    <s v="J (Apr 21)"/>
    <d v="2021-04-21T00:00:00"/>
    <n v="-1"/>
  </r>
  <r>
    <x v="290"/>
    <x v="21"/>
    <n v="0"/>
    <n v="0"/>
    <n v="0"/>
    <n v="0"/>
    <x v="1970"/>
    <n v="0"/>
    <n v="0"/>
    <n v="0"/>
    <n v="0"/>
    <x v="166"/>
    <n v="29"/>
    <s v="K (May 21)"/>
    <d v="2021-05-19T00:00:00"/>
    <n v="-1"/>
  </r>
  <r>
    <x v="290"/>
    <x v="20"/>
    <n v="0"/>
    <n v="0"/>
    <n v="0"/>
    <n v="0"/>
    <x v="1971"/>
    <n v="0"/>
    <n v="0"/>
    <n v="0"/>
    <n v="0"/>
    <x v="121"/>
    <n v="57"/>
    <s v="M (Jun 21)"/>
    <d v="2021-06-16T00:00:00"/>
    <n v="-1"/>
  </r>
  <r>
    <x v="290"/>
    <x v="15"/>
    <n v="0"/>
    <n v="0"/>
    <n v="0"/>
    <n v="0"/>
    <x v="1075"/>
    <n v="0"/>
    <n v="0"/>
    <n v="0"/>
    <n v="0"/>
    <x v="120"/>
    <n v="211"/>
    <s v="X (Nov 21)"/>
    <d v="2021-11-17T00:00:00"/>
    <n v="-1"/>
  </r>
  <r>
    <x v="290"/>
    <x v="19"/>
    <n v="0"/>
    <n v="0"/>
    <n v="0"/>
    <n v="0"/>
    <x v="1972"/>
    <n v="0"/>
    <n v="0"/>
    <n v="0"/>
    <n v="0"/>
    <x v="151"/>
    <n v="92"/>
    <s v="N (Jul 21)"/>
    <d v="2021-07-21T00:00:00"/>
    <n v="-1"/>
  </r>
  <r>
    <x v="290"/>
    <x v="16"/>
    <n v="0"/>
    <n v="0"/>
    <n v="0"/>
    <n v="0"/>
    <x v="1104"/>
    <n v="0"/>
    <n v="0"/>
    <n v="0"/>
    <n v="0"/>
    <x v="158"/>
    <n v="183"/>
    <s v="V (Oct 21)"/>
    <d v="2021-10-20T00:00:00"/>
    <n v="-1"/>
  </r>
  <r>
    <x v="291"/>
    <x v="16"/>
    <n v="0"/>
    <n v="0"/>
    <n v="0"/>
    <n v="0"/>
    <x v="1973"/>
    <n v="0"/>
    <n v="0"/>
    <n v="0"/>
    <n v="0"/>
    <x v="163"/>
    <n v="184"/>
    <s v="V (Oct 21)"/>
    <d v="2021-10-20T00:00:00"/>
    <n v="-1"/>
  </r>
  <r>
    <x v="291"/>
    <x v="18"/>
    <n v="0"/>
    <n v="0"/>
    <n v="0"/>
    <n v="0"/>
    <x v="1974"/>
    <n v="0"/>
    <n v="0"/>
    <n v="0"/>
    <n v="0"/>
    <x v="132"/>
    <n v="121"/>
    <s v="Q (Aug 21)"/>
    <d v="2021-08-18T00:00:00"/>
    <n v="-1"/>
  </r>
  <r>
    <x v="291"/>
    <x v="14"/>
    <n v="0"/>
    <n v="0"/>
    <n v="0"/>
    <n v="0"/>
    <x v="1343"/>
    <n v="0"/>
    <n v="0"/>
    <n v="0"/>
    <n v="0"/>
    <x v="16"/>
    <n v="247"/>
    <s v="Z (Dec 21)"/>
    <d v="2021-12-22T00:00:00"/>
    <n v="-1"/>
  </r>
  <r>
    <x v="291"/>
    <x v="17"/>
    <n v="0"/>
    <n v="0"/>
    <n v="0"/>
    <n v="0"/>
    <x v="1975"/>
    <n v="0"/>
    <n v="0"/>
    <n v="0"/>
    <n v="0"/>
    <x v="124"/>
    <n v="149"/>
    <s v="U (Sep 21)"/>
    <d v="2021-09-15T00:00:00"/>
    <n v="-1"/>
  </r>
  <r>
    <x v="291"/>
    <x v="22"/>
    <n v="0"/>
    <n v="0"/>
    <n v="0"/>
    <n v="0"/>
    <x v="1976"/>
    <n v="0"/>
    <n v="0"/>
    <n v="0"/>
    <n v="0"/>
    <x v="161"/>
    <n v="2"/>
    <s v="J (Apr 21)"/>
    <d v="2021-04-21T00:00:00"/>
    <n v="-1"/>
  </r>
  <r>
    <x v="291"/>
    <x v="21"/>
    <n v="0"/>
    <n v="0"/>
    <n v="0"/>
    <n v="0"/>
    <x v="1977"/>
    <n v="0"/>
    <n v="0"/>
    <n v="0"/>
    <n v="0"/>
    <x v="169"/>
    <n v="30"/>
    <s v="K (May 21)"/>
    <d v="2021-05-19T00:00:00"/>
    <n v="-1"/>
  </r>
  <r>
    <x v="291"/>
    <x v="20"/>
    <n v="0"/>
    <n v="0"/>
    <n v="0"/>
    <n v="0"/>
    <x v="1978"/>
    <n v="0"/>
    <n v="0"/>
    <n v="0"/>
    <n v="0"/>
    <x v="127"/>
    <n v="58"/>
    <s v="M (Jun 21)"/>
    <d v="2021-06-16T00:00:00"/>
    <n v="-1"/>
  </r>
  <r>
    <x v="291"/>
    <x v="15"/>
    <n v="0"/>
    <n v="0"/>
    <n v="0"/>
    <n v="0"/>
    <x v="1123"/>
    <n v="0"/>
    <n v="0"/>
    <n v="0"/>
    <n v="0"/>
    <x v="126"/>
    <n v="212"/>
    <s v="X (Nov 21)"/>
    <d v="2021-11-17T00:00:00"/>
    <n v="-1"/>
  </r>
  <r>
    <x v="291"/>
    <x v="19"/>
    <n v="0"/>
    <n v="0"/>
    <n v="0"/>
    <n v="0"/>
    <x v="1979"/>
    <n v="0"/>
    <n v="0"/>
    <n v="0"/>
    <n v="0"/>
    <x v="164"/>
    <n v="93"/>
    <s v="N (Jul 21)"/>
    <d v="2021-07-21T00:00:00"/>
    <n v="-1"/>
  </r>
  <r>
    <x v="292"/>
    <x v="18"/>
    <n v="0"/>
    <n v="0"/>
    <n v="0"/>
    <n v="0"/>
    <x v="1980"/>
    <n v="0"/>
    <n v="0"/>
    <n v="0"/>
    <n v="0"/>
    <x v="135"/>
    <n v="124"/>
    <s v="Q (Aug 21)"/>
    <d v="2021-08-18T00:00:00"/>
    <n v="-1"/>
  </r>
  <r>
    <x v="292"/>
    <x v="14"/>
    <n v="0"/>
    <n v="0"/>
    <n v="0"/>
    <n v="0"/>
    <x v="1708"/>
    <n v="0"/>
    <n v="0"/>
    <n v="0"/>
    <n v="0"/>
    <x v="22"/>
    <n v="250"/>
    <s v="Z (Dec 21)"/>
    <d v="2021-12-22T00:00:00"/>
    <n v="-1"/>
  </r>
  <r>
    <x v="292"/>
    <x v="17"/>
    <n v="0"/>
    <n v="0"/>
    <n v="0"/>
    <n v="0"/>
    <x v="1457"/>
    <n v="0"/>
    <n v="0"/>
    <n v="0"/>
    <n v="0"/>
    <x v="129"/>
    <n v="152"/>
    <s v="U (Sep 21)"/>
    <d v="2021-09-15T00:00:00"/>
    <n v="-1"/>
  </r>
  <r>
    <x v="292"/>
    <x v="22"/>
    <n v="0"/>
    <n v="0"/>
    <n v="0"/>
    <n v="0"/>
    <x v="1981"/>
    <n v="0"/>
    <n v="0"/>
    <n v="0"/>
    <n v="0"/>
    <x v="8"/>
    <n v="5"/>
    <s v="J (Apr 21)"/>
    <d v="2021-04-21T00:00:00"/>
    <n v="-1"/>
  </r>
  <r>
    <x v="292"/>
    <x v="21"/>
    <n v="0"/>
    <n v="0"/>
    <n v="0"/>
    <n v="0"/>
    <x v="1982"/>
    <n v="0"/>
    <n v="0"/>
    <n v="0"/>
    <n v="0"/>
    <x v="176"/>
    <n v="33"/>
    <s v="K (May 21)"/>
    <d v="2021-05-19T00:00:00"/>
    <n v="-1"/>
  </r>
  <r>
    <x v="292"/>
    <x v="20"/>
    <n v="0"/>
    <n v="0"/>
    <n v="0"/>
    <n v="0"/>
    <x v="1983"/>
    <n v="0"/>
    <n v="0"/>
    <n v="0"/>
    <n v="0"/>
    <x v="138"/>
    <n v="61"/>
    <s v="M (Jun 21)"/>
    <d v="2021-06-16T00:00:00"/>
    <n v="-1"/>
  </r>
  <r>
    <x v="292"/>
    <x v="15"/>
    <n v="0"/>
    <n v="0"/>
    <n v="0"/>
    <n v="0"/>
    <x v="823"/>
    <n v="0"/>
    <n v="0"/>
    <n v="0"/>
    <n v="0"/>
    <x v="137"/>
    <n v="215"/>
    <s v="X (Nov 21)"/>
    <d v="2021-11-17T00:00:00"/>
    <n v="-1"/>
  </r>
  <r>
    <x v="292"/>
    <x v="19"/>
    <n v="0"/>
    <n v="0"/>
    <n v="0"/>
    <n v="0"/>
    <x v="1787"/>
    <n v="0"/>
    <n v="0"/>
    <n v="0"/>
    <n v="0"/>
    <x v="167"/>
    <n v="96"/>
    <s v="N (Jul 21)"/>
    <d v="2021-07-21T00:00:00"/>
    <n v="-1"/>
  </r>
  <r>
    <x v="292"/>
    <x v="16"/>
    <n v="0"/>
    <n v="0"/>
    <n v="0"/>
    <n v="0"/>
    <x v="807"/>
    <n v="0"/>
    <n v="0"/>
    <n v="0"/>
    <n v="0"/>
    <x v="173"/>
    <n v="187"/>
    <s v="V (Oct 21)"/>
    <d v="2021-10-20T00:00:00"/>
    <n v="-1"/>
  </r>
  <r>
    <x v="293"/>
    <x v="16"/>
    <n v="0"/>
    <n v="0"/>
    <n v="0"/>
    <n v="0"/>
    <x v="1984"/>
    <n v="0"/>
    <n v="0"/>
    <n v="0"/>
    <n v="0"/>
    <x v="174"/>
    <n v="188"/>
    <s v="V (Oct 21)"/>
    <d v="2021-10-20T00:00:00"/>
    <n v="-1"/>
  </r>
  <r>
    <x v="293"/>
    <x v="18"/>
    <n v="0"/>
    <n v="0"/>
    <n v="0"/>
    <n v="0"/>
    <x v="1708"/>
    <n v="0"/>
    <n v="0"/>
    <n v="0"/>
    <n v="0"/>
    <x v="149"/>
    <n v="125"/>
    <s v="Q (Aug 21)"/>
    <d v="2021-08-18T00:00:00"/>
    <n v="-1"/>
  </r>
  <r>
    <x v="293"/>
    <x v="14"/>
    <n v="0"/>
    <n v="0"/>
    <n v="0"/>
    <n v="0"/>
    <x v="1663"/>
    <n v="0"/>
    <n v="0"/>
    <n v="0"/>
    <n v="0"/>
    <x v="33"/>
    <n v="251"/>
    <s v="Z (Dec 21)"/>
    <d v="2021-12-22T00:00:00"/>
    <n v="-1"/>
  </r>
  <r>
    <x v="293"/>
    <x v="17"/>
    <n v="0"/>
    <n v="0"/>
    <n v="0"/>
    <n v="0"/>
    <x v="823"/>
    <n v="0"/>
    <n v="0"/>
    <n v="0"/>
    <n v="0"/>
    <x v="140"/>
    <n v="153"/>
    <s v="U (Sep 21)"/>
    <d v="2021-09-15T00:00:00"/>
    <n v="-1"/>
  </r>
  <r>
    <x v="293"/>
    <x v="22"/>
    <n v="0"/>
    <n v="0"/>
    <n v="0"/>
    <n v="0"/>
    <x v="1985"/>
    <n v="0"/>
    <n v="0"/>
    <n v="0"/>
    <n v="0"/>
    <x v="11"/>
    <n v="6"/>
    <s v="J (Apr 21)"/>
    <d v="2021-04-21T00:00:00"/>
    <n v="-1"/>
  </r>
  <r>
    <x v="293"/>
    <x v="21"/>
    <n v="0"/>
    <n v="0"/>
    <n v="0"/>
    <n v="0"/>
    <x v="1986"/>
    <n v="0"/>
    <n v="0"/>
    <n v="0"/>
    <n v="0"/>
    <x v="178"/>
    <n v="34"/>
    <s v="K (May 21)"/>
    <d v="2021-05-19T00:00:00"/>
    <n v="-1"/>
  </r>
  <r>
    <x v="293"/>
    <x v="20"/>
    <n v="0"/>
    <n v="0"/>
    <n v="0"/>
    <n v="0"/>
    <x v="1987"/>
    <n v="0"/>
    <n v="0"/>
    <n v="0"/>
    <n v="0"/>
    <x v="143"/>
    <n v="62"/>
    <s v="M (Jun 21)"/>
    <d v="2021-06-16T00:00:00"/>
    <n v="-1"/>
  </r>
  <r>
    <x v="293"/>
    <x v="15"/>
    <n v="0"/>
    <n v="0"/>
    <n v="0"/>
    <n v="0"/>
    <x v="1547"/>
    <n v="0"/>
    <n v="0"/>
    <n v="0"/>
    <n v="0"/>
    <x v="142"/>
    <n v="216"/>
    <s v="X (Nov 21)"/>
    <d v="2021-11-17T00:00:00"/>
    <n v="-1"/>
  </r>
  <r>
    <x v="293"/>
    <x v="19"/>
    <n v="0"/>
    <n v="0"/>
    <n v="0"/>
    <n v="0"/>
    <x v="1988"/>
    <n v="0"/>
    <n v="0"/>
    <n v="0"/>
    <n v="0"/>
    <x v="175"/>
    <n v="97"/>
    <s v="N (Jul 21)"/>
    <d v="2021-07-21T00:00:00"/>
    <n v="-1"/>
  </r>
  <r>
    <x v="294"/>
    <x v="18"/>
    <n v="0"/>
    <n v="0"/>
    <n v="0"/>
    <n v="0"/>
    <x v="1924"/>
    <n v="0"/>
    <n v="0"/>
    <n v="0"/>
    <n v="0"/>
    <x v="152"/>
    <n v="126"/>
    <s v="Q (Aug 21)"/>
    <d v="2021-08-18T00:00:00"/>
    <n v="-1"/>
  </r>
  <r>
    <x v="294"/>
    <x v="14"/>
    <n v="0"/>
    <n v="0"/>
    <n v="0"/>
    <n v="0"/>
    <x v="1386"/>
    <n v="0"/>
    <n v="0"/>
    <n v="0"/>
    <n v="0"/>
    <x v="39"/>
    <n v="252"/>
    <s v="Z (Dec 21)"/>
    <d v="2021-12-22T00:00:00"/>
    <n v="-1"/>
  </r>
  <r>
    <x v="294"/>
    <x v="17"/>
    <n v="0"/>
    <n v="0"/>
    <n v="0"/>
    <n v="0"/>
    <x v="807"/>
    <n v="0"/>
    <n v="0"/>
    <n v="0"/>
    <n v="0"/>
    <x v="146"/>
    <n v="154"/>
    <s v="U (Sep 21)"/>
    <d v="2021-09-15T00:00:00"/>
    <n v="-1"/>
  </r>
  <r>
    <x v="294"/>
    <x v="22"/>
    <n v="0"/>
    <n v="0"/>
    <n v="0"/>
    <n v="0"/>
    <x v="1989"/>
    <n v="0"/>
    <n v="0"/>
    <n v="0"/>
    <n v="0"/>
    <x v="26"/>
    <n v="7"/>
    <s v="J (Apr 21)"/>
    <d v="2021-04-21T00:00:00"/>
    <n v="-1"/>
  </r>
  <r>
    <x v="294"/>
    <x v="21"/>
    <n v="0"/>
    <n v="0"/>
    <n v="0"/>
    <n v="0"/>
    <x v="1990"/>
    <n v="0"/>
    <n v="0"/>
    <n v="0"/>
    <n v="0"/>
    <x v="182"/>
    <n v="35"/>
    <s v="K (May 21)"/>
    <d v="2021-05-19T00:00:00"/>
    <n v="-1"/>
  </r>
  <r>
    <x v="294"/>
    <x v="20"/>
    <n v="0"/>
    <n v="0"/>
    <n v="0"/>
    <n v="0"/>
    <x v="1991"/>
    <n v="0"/>
    <n v="0"/>
    <n v="0"/>
    <n v="0"/>
    <x v="154"/>
    <n v="63"/>
    <s v="M (Jun 21)"/>
    <d v="2021-06-16T00:00:00"/>
    <n v="-1"/>
  </r>
  <r>
    <x v="294"/>
    <x v="15"/>
    <n v="0"/>
    <n v="0"/>
    <n v="0"/>
    <n v="0"/>
    <x v="1399"/>
    <n v="0"/>
    <n v="0"/>
    <n v="0"/>
    <n v="0"/>
    <x v="3"/>
    <n v="217"/>
    <s v="X (Nov 21)"/>
    <d v="2021-11-17T00:00:00"/>
    <n v="-1"/>
  </r>
  <r>
    <x v="294"/>
    <x v="19"/>
    <n v="0"/>
    <n v="0"/>
    <n v="0"/>
    <n v="0"/>
    <x v="1992"/>
    <n v="0"/>
    <n v="0"/>
    <n v="0"/>
    <n v="0"/>
    <x v="177"/>
    <n v="98"/>
    <s v="N (Jul 21)"/>
    <d v="2021-07-21T00:00:00"/>
    <n v="-1"/>
  </r>
  <r>
    <x v="294"/>
    <x v="16"/>
    <n v="0"/>
    <n v="0"/>
    <n v="0"/>
    <n v="0"/>
    <x v="1132"/>
    <n v="0"/>
    <n v="0"/>
    <n v="0"/>
    <n v="0"/>
    <x v="179"/>
    <n v="189"/>
    <s v="V (Oct 21)"/>
    <d v="2021-10-20T00:00:00"/>
    <n v="-1"/>
  </r>
  <r>
    <x v="295"/>
    <x v="16"/>
    <n v="0"/>
    <n v="0"/>
    <n v="0"/>
    <n v="0"/>
    <x v="1993"/>
    <n v="0"/>
    <n v="0"/>
    <n v="0"/>
    <n v="0"/>
    <x v="180"/>
    <n v="190"/>
    <s v="V (Oct 21)"/>
    <d v="2021-10-20T00:00:00"/>
    <n v="-1"/>
  </r>
  <r>
    <x v="295"/>
    <x v="18"/>
    <n v="0"/>
    <n v="0"/>
    <n v="0"/>
    <n v="0"/>
    <x v="1994"/>
    <n v="0"/>
    <n v="0"/>
    <n v="0"/>
    <n v="0"/>
    <x v="165"/>
    <n v="127"/>
    <s v="Q (Aug 21)"/>
    <d v="2021-08-18T00:00:00"/>
    <n v="-1"/>
  </r>
  <r>
    <x v="295"/>
    <x v="14"/>
    <n v="0"/>
    <n v="0"/>
    <n v="0"/>
    <n v="0"/>
    <x v="1483"/>
    <n v="0"/>
    <n v="0"/>
    <n v="0"/>
    <n v="0"/>
    <x v="51"/>
    <n v="253"/>
    <s v="Z (Dec 21)"/>
    <d v="2021-12-22T00:00:00"/>
    <n v="-1"/>
  </r>
  <r>
    <x v="295"/>
    <x v="17"/>
    <n v="0"/>
    <n v="0"/>
    <n v="0"/>
    <n v="0"/>
    <x v="1995"/>
    <n v="0"/>
    <n v="0"/>
    <n v="0"/>
    <n v="0"/>
    <x v="157"/>
    <n v="155"/>
    <s v="U (Sep 21)"/>
    <d v="2021-09-15T00:00:00"/>
    <n v="-1"/>
  </r>
  <r>
    <x v="295"/>
    <x v="22"/>
    <n v="0"/>
    <n v="0"/>
    <n v="0"/>
    <n v="0"/>
    <x v="1996"/>
    <n v="0"/>
    <n v="0"/>
    <n v="0"/>
    <n v="0"/>
    <x v="29"/>
    <n v="8"/>
    <s v="J (Apr 21)"/>
    <d v="2021-04-21T00:00:00"/>
    <n v="-1"/>
  </r>
  <r>
    <x v="295"/>
    <x v="21"/>
    <n v="0"/>
    <n v="0"/>
    <n v="0"/>
    <n v="0"/>
    <x v="1997"/>
    <n v="0"/>
    <n v="0"/>
    <n v="0"/>
    <n v="0"/>
    <x v="184"/>
    <n v="36"/>
    <s v="K (May 21)"/>
    <d v="2021-05-19T00:00:00"/>
    <n v="-1"/>
  </r>
  <r>
    <x v="295"/>
    <x v="20"/>
    <n v="0"/>
    <n v="0"/>
    <n v="0"/>
    <n v="0"/>
    <x v="1998"/>
    <n v="0"/>
    <n v="0"/>
    <n v="0"/>
    <n v="0"/>
    <x v="159"/>
    <n v="64"/>
    <s v="M (Jun 21)"/>
    <d v="2021-06-16T00:00:00"/>
    <n v="-1"/>
  </r>
  <r>
    <x v="295"/>
    <x v="15"/>
    <n v="0"/>
    <n v="0"/>
    <n v="0"/>
    <n v="0"/>
    <x v="1547"/>
    <n v="0"/>
    <n v="0"/>
    <n v="0"/>
    <n v="0"/>
    <x v="15"/>
    <n v="218"/>
    <s v="X (Nov 21)"/>
    <d v="2021-11-17T00:00:00"/>
    <n v="-1"/>
  </r>
  <r>
    <x v="295"/>
    <x v="19"/>
    <n v="0"/>
    <n v="0"/>
    <n v="0"/>
    <n v="0"/>
    <x v="1999"/>
    <n v="0"/>
    <n v="0"/>
    <n v="0"/>
    <n v="0"/>
    <x v="181"/>
    <n v="99"/>
    <s v="N (Jul 21)"/>
    <d v="2021-07-21T00:00:00"/>
    <n v="-1"/>
  </r>
  <r>
    <x v="296"/>
    <x v="18"/>
    <n v="0"/>
    <n v="0"/>
    <n v="0"/>
    <n v="0"/>
    <x v="2000"/>
    <n v="0"/>
    <n v="0"/>
    <n v="0"/>
    <n v="0"/>
    <x v="168"/>
    <n v="128"/>
    <s v="Q (Aug 21)"/>
    <d v="2021-08-18T00:00:00"/>
    <n v="-1"/>
  </r>
  <r>
    <x v="296"/>
    <x v="14"/>
    <n v="0"/>
    <n v="0"/>
    <n v="0"/>
    <n v="0"/>
    <x v="1305"/>
    <n v="0"/>
    <n v="0"/>
    <n v="0"/>
    <n v="0"/>
    <x v="57"/>
    <n v="254"/>
    <s v="Z (Dec 21)"/>
    <d v="2021-12-22T00:00:00"/>
    <n v="-1"/>
  </r>
  <r>
    <x v="296"/>
    <x v="17"/>
    <n v="0"/>
    <n v="0"/>
    <n v="0"/>
    <n v="0"/>
    <x v="2001"/>
    <n v="0"/>
    <n v="0"/>
    <n v="0"/>
    <n v="0"/>
    <x v="162"/>
    <n v="156"/>
    <s v="U (Sep 21)"/>
    <d v="2021-09-15T00:00:00"/>
    <n v="-1"/>
  </r>
  <r>
    <x v="296"/>
    <x v="22"/>
    <n v="0"/>
    <n v="0"/>
    <n v="0"/>
    <n v="0"/>
    <x v="2002"/>
    <n v="0"/>
    <n v="0"/>
    <n v="0"/>
    <n v="0"/>
    <x v="44"/>
    <n v="9"/>
    <s v="J (Apr 21)"/>
    <d v="2021-04-21T00:00:00"/>
    <n v="-1"/>
  </r>
  <r>
    <x v="296"/>
    <x v="21"/>
    <n v="0"/>
    <n v="0"/>
    <n v="0"/>
    <n v="0"/>
    <x v="2003"/>
    <n v="0"/>
    <n v="0"/>
    <n v="0"/>
    <n v="0"/>
    <x v="2"/>
    <n v="37"/>
    <s v="K (May 21)"/>
    <d v="2021-05-19T00:00:00"/>
    <n v="-1"/>
  </r>
  <r>
    <x v="296"/>
    <x v="20"/>
    <n v="0"/>
    <n v="0"/>
    <n v="0"/>
    <n v="0"/>
    <x v="2004"/>
    <n v="0"/>
    <n v="0"/>
    <n v="0"/>
    <n v="0"/>
    <x v="170"/>
    <n v="65"/>
    <s v="M (Jun 21)"/>
    <d v="2021-06-16T00:00:00"/>
    <n v="-1"/>
  </r>
  <r>
    <x v="296"/>
    <x v="15"/>
    <n v="0"/>
    <n v="0"/>
    <n v="0"/>
    <n v="0"/>
    <x v="1634"/>
    <n v="0"/>
    <n v="0"/>
    <n v="0"/>
    <n v="0"/>
    <x v="21"/>
    <n v="219"/>
    <s v="X (Nov 21)"/>
    <d v="2021-11-17T00:00:00"/>
    <n v="-1"/>
  </r>
  <r>
    <x v="296"/>
    <x v="19"/>
    <n v="0"/>
    <n v="0"/>
    <n v="0"/>
    <n v="0"/>
    <x v="2005"/>
    <n v="0"/>
    <n v="0"/>
    <n v="0"/>
    <n v="0"/>
    <x v="183"/>
    <n v="100"/>
    <s v="N (Jul 21)"/>
    <d v="2021-07-21T00:00:00"/>
    <n v="-1"/>
  </r>
  <r>
    <x v="296"/>
    <x v="16"/>
    <n v="0"/>
    <n v="0"/>
    <n v="0"/>
    <n v="0"/>
    <x v="1457"/>
    <n v="0"/>
    <n v="0"/>
    <n v="0"/>
    <n v="0"/>
    <x v="185"/>
    <n v="191"/>
    <s v="V (Oct 21)"/>
    <d v="2021-10-20T00:00:00"/>
    <n v="-1"/>
  </r>
  <r>
    <x v="297"/>
    <x v="16"/>
    <n v="0"/>
    <n v="0"/>
    <n v="0"/>
    <n v="0"/>
    <x v="823"/>
    <n v="0"/>
    <n v="0"/>
    <n v="0"/>
    <n v="0"/>
    <x v="1"/>
    <n v="194"/>
    <s v="V (Oct 21)"/>
    <d v="2021-10-20T00:00:00"/>
    <n v="-1"/>
  </r>
  <r>
    <x v="297"/>
    <x v="18"/>
    <n v="0"/>
    <n v="0"/>
    <n v="0"/>
    <n v="0"/>
    <x v="2006"/>
    <n v="0"/>
    <n v="0"/>
    <n v="0"/>
    <n v="0"/>
    <x v="5"/>
    <n v="131"/>
    <s v="Q (Aug 21)"/>
    <d v="2021-08-18T00:00:00"/>
    <n v="-1"/>
  </r>
  <r>
    <x v="297"/>
    <x v="14"/>
    <n v="0"/>
    <n v="0"/>
    <n v="0"/>
    <n v="0"/>
    <x v="1663"/>
    <n v="0"/>
    <n v="0"/>
    <n v="0"/>
    <n v="0"/>
    <x v="69"/>
    <n v="257"/>
    <s v="Z (Dec 21)"/>
    <d v="2021-12-22T00:00:00"/>
    <n v="-1"/>
  </r>
  <r>
    <x v="297"/>
    <x v="17"/>
    <n v="0"/>
    <n v="0"/>
    <n v="0"/>
    <n v="0"/>
    <x v="1235"/>
    <n v="0"/>
    <n v="0"/>
    <n v="0"/>
    <n v="0"/>
    <x v="172"/>
    <n v="159"/>
    <s v="U (Sep 21)"/>
    <d v="2021-09-15T00:00:00"/>
    <n v="-1"/>
  </r>
  <r>
    <x v="297"/>
    <x v="22"/>
    <n v="0"/>
    <n v="0"/>
    <n v="0"/>
    <n v="0"/>
    <x v="2007"/>
    <n v="0"/>
    <n v="0"/>
    <n v="0"/>
    <n v="0"/>
    <x v="47"/>
    <n v="12"/>
    <s v="J (Apr 21)"/>
    <d v="2021-04-21T00:00:00"/>
    <n v="-1"/>
  </r>
  <r>
    <x v="297"/>
    <x v="21"/>
    <n v="0"/>
    <n v="0"/>
    <n v="0"/>
    <n v="0"/>
    <x v="2008"/>
    <n v="0"/>
    <n v="0"/>
    <n v="0"/>
    <n v="0"/>
    <x v="14"/>
    <n v="40"/>
    <s v="K (May 21)"/>
    <d v="2021-05-19T00:00:00"/>
    <n v="-1"/>
  </r>
  <r>
    <x v="297"/>
    <x v="20"/>
    <n v="0"/>
    <n v="0"/>
    <n v="0"/>
    <n v="0"/>
    <x v="2009"/>
    <n v="0"/>
    <n v="0"/>
    <n v="0"/>
    <n v="0"/>
    <x v="6"/>
    <n v="68"/>
    <s v="M (Jun 21)"/>
    <d v="2021-06-16T00:00:00"/>
    <n v="-1"/>
  </r>
  <r>
    <x v="297"/>
    <x v="15"/>
    <n v="0"/>
    <n v="0"/>
    <n v="0"/>
    <n v="0"/>
    <x v="1343"/>
    <n v="0"/>
    <n v="0"/>
    <n v="0"/>
    <n v="0"/>
    <x v="32"/>
    <n v="222"/>
    <s v="X (Nov 21)"/>
    <d v="2021-11-17T00:00:00"/>
    <n v="-1"/>
  </r>
  <r>
    <x v="297"/>
    <x v="19"/>
    <n v="0"/>
    <n v="0"/>
    <n v="0"/>
    <n v="0"/>
    <x v="2010"/>
    <n v="0"/>
    <n v="0"/>
    <n v="0"/>
    <n v="0"/>
    <x v="7"/>
    <n v="103"/>
    <s v="N (Jul 21)"/>
    <d v="2021-07-21T00:00:00"/>
    <n v="-1"/>
  </r>
  <r>
    <x v="298"/>
    <x v="18"/>
    <n v="0"/>
    <n v="0"/>
    <n v="0"/>
    <n v="0"/>
    <x v="1691"/>
    <n v="0"/>
    <n v="0"/>
    <n v="0"/>
    <n v="0"/>
    <x v="17"/>
    <n v="132"/>
    <s v="Q (Aug 21)"/>
    <d v="2021-08-18T00:00:00"/>
    <n v="-1"/>
  </r>
  <r>
    <x v="298"/>
    <x v="14"/>
    <n v="0"/>
    <n v="0"/>
    <n v="0"/>
    <n v="0"/>
    <x v="1688"/>
    <n v="0"/>
    <n v="0"/>
    <n v="0"/>
    <n v="0"/>
    <x v="75"/>
    <n v="258"/>
    <s v="Z (Dec 21)"/>
    <d v="2021-12-22T00:00:00"/>
    <n v="-1"/>
  </r>
  <r>
    <x v="298"/>
    <x v="17"/>
    <n v="0"/>
    <n v="0"/>
    <n v="0"/>
    <n v="0"/>
    <x v="1038"/>
    <n v="0"/>
    <n v="0"/>
    <n v="0"/>
    <n v="0"/>
    <x v="0"/>
    <n v="160"/>
    <s v="U (Sep 21)"/>
    <d v="2021-09-15T00:00:00"/>
    <n v="-1"/>
  </r>
  <r>
    <x v="298"/>
    <x v="22"/>
    <n v="0"/>
    <n v="0"/>
    <n v="0"/>
    <n v="0"/>
    <x v="2011"/>
    <n v="0"/>
    <n v="0"/>
    <n v="0"/>
    <n v="0"/>
    <x v="62"/>
    <n v="13"/>
    <s v="J (Apr 21)"/>
    <d v="2021-04-21T00:00:00"/>
    <n v="-1"/>
  </r>
  <r>
    <x v="298"/>
    <x v="21"/>
    <n v="0"/>
    <n v="0"/>
    <n v="0"/>
    <n v="0"/>
    <x v="2012"/>
    <n v="0"/>
    <n v="0"/>
    <n v="0"/>
    <n v="0"/>
    <x v="20"/>
    <n v="41"/>
    <s v="K (May 21)"/>
    <d v="2021-05-19T00:00:00"/>
    <n v="-1"/>
  </r>
  <r>
    <x v="298"/>
    <x v="20"/>
    <n v="0"/>
    <n v="0"/>
    <n v="0"/>
    <n v="0"/>
    <x v="2013"/>
    <n v="0"/>
    <n v="0"/>
    <n v="0"/>
    <n v="0"/>
    <x v="9"/>
    <n v="69"/>
    <s v="M (Jun 21)"/>
    <d v="2021-06-16T00:00:00"/>
    <n v="-1"/>
  </r>
  <r>
    <x v="298"/>
    <x v="15"/>
    <n v="0"/>
    <n v="0"/>
    <n v="0"/>
    <n v="0"/>
    <x v="1924"/>
    <n v="0"/>
    <n v="0"/>
    <n v="0"/>
    <n v="0"/>
    <x v="38"/>
    <n v="223"/>
    <s v="X (Nov 21)"/>
    <d v="2021-11-17T00:00:00"/>
    <n v="-1"/>
  </r>
  <r>
    <x v="298"/>
    <x v="19"/>
    <n v="0"/>
    <n v="0"/>
    <n v="0"/>
    <n v="0"/>
    <x v="1172"/>
    <n v="0"/>
    <n v="0"/>
    <n v="0"/>
    <n v="0"/>
    <x v="10"/>
    <n v="104"/>
    <s v="N (Jul 21)"/>
    <d v="2021-07-21T00:00:00"/>
    <n v="-1"/>
  </r>
  <r>
    <x v="298"/>
    <x v="16"/>
    <n v="0"/>
    <n v="0"/>
    <n v="0"/>
    <n v="0"/>
    <x v="1457"/>
    <n v="0"/>
    <n v="0"/>
    <n v="0"/>
    <n v="0"/>
    <x v="13"/>
    <n v="195"/>
    <s v="V (Oct 21)"/>
    <d v="2021-10-20T00:00:00"/>
    <n v="-1"/>
  </r>
  <r>
    <x v="299"/>
    <x v="16"/>
    <n v="0"/>
    <n v="0"/>
    <n v="0"/>
    <n v="0"/>
    <x v="2014"/>
    <n v="0"/>
    <n v="0"/>
    <n v="0"/>
    <n v="0"/>
    <x v="19"/>
    <n v="196"/>
    <s v="V (Oct 21)"/>
    <d v="2021-10-20T00:00:00"/>
    <n v="-1"/>
  </r>
  <r>
    <x v="299"/>
    <x v="18"/>
    <n v="0"/>
    <n v="0"/>
    <n v="0"/>
    <n v="0"/>
    <x v="1667"/>
    <n v="0"/>
    <n v="0"/>
    <n v="0"/>
    <n v="0"/>
    <x v="23"/>
    <n v="133"/>
    <s v="Q (Aug 21)"/>
    <d v="2021-08-18T00:00:00"/>
    <n v="-1"/>
  </r>
  <r>
    <x v="299"/>
    <x v="14"/>
    <n v="0"/>
    <n v="0"/>
    <n v="0"/>
    <n v="0"/>
    <x v="1305"/>
    <n v="0"/>
    <n v="0"/>
    <n v="0"/>
    <n v="0"/>
    <x v="87"/>
    <n v="259"/>
    <s v="Z (Dec 21)"/>
    <d v="2021-12-22T00:00:00"/>
    <n v="-1"/>
  </r>
  <r>
    <x v="299"/>
    <x v="17"/>
    <n v="0"/>
    <n v="0"/>
    <n v="0"/>
    <n v="0"/>
    <x v="1038"/>
    <n v="0"/>
    <n v="0"/>
    <n v="0"/>
    <n v="0"/>
    <x v="12"/>
    <n v="161"/>
    <s v="U (Sep 21)"/>
    <d v="2021-09-15T00:00:00"/>
    <n v="-1"/>
  </r>
  <r>
    <x v="299"/>
    <x v="22"/>
    <n v="0"/>
    <n v="0"/>
    <n v="0"/>
    <n v="0"/>
    <x v="2015"/>
    <n v="0"/>
    <n v="0"/>
    <n v="0"/>
    <n v="0"/>
    <x v="65"/>
    <n v="14"/>
    <s v="J (Apr 21)"/>
    <d v="2021-04-21T00:00:00"/>
    <n v="-1"/>
  </r>
  <r>
    <x v="299"/>
    <x v="21"/>
    <n v="0"/>
    <n v="0"/>
    <n v="0"/>
    <n v="0"/>
    <x v="2016"/>
    <n v="0"/>
    <n v="0"/>
    <n v="0"/>
    <n v="0"/>
    <x v="31"/>
    <n v="42"/>
    <s v="K (May 21)"/>
    <d v="2021-05-19T00:00:00"/>
    <n v="-1"/>
  </r>
  <r>
    <x v="299"/>
    <x v="20"/>
    <n v="0"/>
    <n v="0"/>
    <n v="0"/>
    <n v="0"/>
    <x v="2017"/>
    <n v="0"/>
    <n v="0"/>
    <n v="0"/>
    <n v="0"/>
    <x v="24"/>
    <n v="70"/>
    <s v="M (Jun 21)"/>
    <d v="2021-06-16T00:00:00"/>
    <n v="-1"/>
  </r>
  <r>
    <x v="299"/>
    <x v="15"/>
    <n v="0"/>
    <n v="0"/>
    <n v="0"/>
    <n v="0"/>
    <x v="1924"/>
    <n v="0"/>
    <n v="0"/>
    <n v="0"/>
    <n v="0"/>
    <x v="50"/>
    <n v="224"/>
    <s v="X (Nov 21)"/>
    <d v="2021-11-17T00:00:00"/>
    <n v="-1"/>
  </r>
  <r>
    <x v="299"/>
    <x v="19"/>
    <n v="0"/>
    <n v="0"/>
    <n v="0"/>
    <n v="0"/>
    <x v="1762"/>
    <n v="0"/>
    <n v="0"/>
    <n v="0"/>
    <n v="0"/>
    <x v="25"/>
    <n v="105"/>
    <s v="N (Jul 21)"/>
    <d v="2021-07-21T00:00:00"/>
    <n v="-1"/>
  </r>
  <r>
    <x v="300"/>
    <x v="18"/>
    <n v="0"/>
    <n v="0"/>
    <n v="0"/>
    <n v="0"/>
    <x v="2018"/>
    <n v="0"/>
    <n v="0"/>
    <n v="0"/>
    <n v="0"/>
    <x v="34"/>
    <n v="134"/>
    <s v="Q (Aug 21)"/>
    <d v="2021-08-18T00:00:00"/>
    <n v="-1"/>
  </r>
  <r>
    <x v="300"/>
    <x v="14"/>
    <n v="0"/>
    <n v="0"/>
    <n v="0"/>
    <n v="0"/>
    <x v="1634"/>
    <n v="0"/>
    <n v="0"/>
    <n v="0"/>
    <n v="0"/>
    <x v="93"/>
    <n v="260"/>
    <s v="Z (Dec 21)"/>
    <d v="2021-12-22T00:00:00"/>
    <n v="-1"/>
  </r>
  <r>
    <x v="300"/>
    <x v="17"/>
    <n v="0"/>
    <n v="0"/>
    <n v="0"/>
    <n v="0"/>
    <x v="1457"/>
    <n v="0"/>
    <n v="0"/>
    <n v="0"/>
    <n v="0"/>
    <x v="18"/>
    <n v="162"/>
    <s v="U (Sep 21)"/>
    <d v="2021-09-15T00:00:00"/>
    <n v="-1"/>
  </r>
  <r>
    <x v="300"/>
    <x v="22"/>
    <n v="0"/>
    <n v="0"/>
    <n v="0"/>
    <n v="0"/>
    <x v="2019"/>
    <n v="0"/>
    <n v="0"/>
    <n v="0"/>
    <n v="0"/>
    <x v="80"/>
    <n v="15"/>
    <s v="J (Apr 21)"/>
    <d v="2021-04-21T00:00:00"/>
    <n v="-1"/>
  </r>
  <r>
    <x v="300"/>
    <x v="21"/>
    <n v="0"/>
    <n v="0"/>
    <n v="0"/>
    <n v="0"/>
    <x v="2020"/>
    <n v="0"/>
    <n v="0"/>
    <n v="0"/>
    <n v="0"/>
    <x v="37"/>
    <n v="43"/>
    <s v="K (May 21)"/>
    <d v="2021-05-19T00:00:00"/>
    <n v="-1"/>
  </r>
  <r>
    <x v="300"/>
    <x v="20"/>
    <n v="0"/>
    <n v="0"/>
    <n v="0"/>
    <n v="0"/>
    <x v="2021"/>
    <n v="0"/>
    <n v="0"/>
    <n v="0"/>
    <n v="0"/>
    <x v="27"/>
    <n v="71"/>
    <s v="M (Jun 21)"/>
    <d v="2021-06-16T00:00:00"/>
    <n v="-1"/>
  </r>
  <r>
    <x v="300"/>
    <x v="15"/>
    <n v="0"/>
    <n v="0"/>
    <n v="0"/>
    <n v="0"/>
    <x v="1547"/>
    <n v="0"/>
    <n v="0"/>
    <n v="0"/>
    <n v="0"/>
    <x v="56"/>
    <n v="225"/>
    <s v="X (Nov 21)"/>
    <d v="2021-11-17T00:00:00"/>
    <n v="-1"/>
  </r>
  <r>
    <x v="300"/>
    <x v="19"/>
    <n v="0"/>
    <n v="0"/>
    <n v="0"/>
    <n v="0"/>
    <x v="2022"/>
    <n v="0"/>
    <n v="0"/>
    <n v="0"/>
    <n v="0"/>
    <x v="28"/>
    <n v="106"/>
    <s v="N (Jul 21)"/>
    <d v="2021-07-21T00:00:00"/>
    <n v="-1"/>
  </r>
  <r>
    <x v="300"/>
    <x v="16"/>
    <n v="0"/>
    <n v="0"/>
    <n v="0"/>
    <n v="0"/>
    <x v="1404"/>
    <n v="0"/>
    <n v="0"/>
    <n v="0"/>
    <n v="0"/>
    <x v="30"/>
    <n v="197"/>
    <s v="V (Oct 21)"/>
    <d v="2021-10-20T00:00:00"/>
    <n v="-1"/>
  </r>
  <r>
    <x v="301"/>
    <x v="16"/>
    <n v="0"/>
    <n v="0"/>
    <n v="0"/>
    <n v="0"/>
    <x v="1399"/>
    <n v="0"/>
    <n v="0"/>
    <n v="0"/>
    <n v="0"/>
    <x v="36"/>
    <n v="198"/>
    <s v="V (Oct 21)"/>
    <d v="2021-10-20T00:00:00"/>
    <n v="-1"/>
  </r>
  <r>
    <x v="301"/>
    <x v="18"/>
    <n v="0"/>
    <n v="0"/>
    <n v="0"/>
    <n v="0"/>
    <x v="2023"/>
    <n v="0"/>
    <n v="0"/>
    <n v="0"/>
    <n v="0"/>
    <x v="40"/>
    <n v="135"/>
    <s v="Q (Aug 21)"/>
    <d v="2021-08-18T00:00:00"/>
    <n v="-1"/>
  </r>
  <r>
    <x v="301"/>
    <x v="14"/>
    <n v="0"/>
    <n v="0"/>
    <n v="0"/>
    <n v="0"/>
    <x v="1634"/>
    <n v="0"/>
    <n v="0"/>
    <n v="0"/>
    <n v="0"/>
    <x v="105"/>
    <n v="261"/>
    <s v="Z (Dec 21)"/>
    <d v="2021-12-22T00:00:00"/>
    <n v="-1"/>
  </r>
  <r>
    <x v="301"/>
    <x v="17"/>
    <n v="0"/>
    <n v="0"/>
    <n v="0"/>
    <n v="0"/>
    <x v="823"/>
    <n v="0"/>
    <n v="0"/>
    <n v="0"/>
    <n v="0"/>
    <x v="35"/>
    <n v="163"/>
    <s v="U (Sep 21)"/>
    <d v="2021-09-15T00:00:00"/>
    <n v="-1"/>
  </r>
  <r>
    <x v="301"/>
    <x v="22"/>
    <n v="0"/>
    <n v="0"/>
    <n v="0"/>
    <n v="0"/>
    <x v="2024"/>
    <n v="0"/>
    <n v="0"/>
    <n v="0"/>
    <n v="0"/>
    <x v="83"/>
    <n v="16"/>
    <s v="J (Apr 21)"/>
    <d v="2021-04-21T00:00:00"/>
    <n v="-1"/>
  </r>
  <r>
    <x v="301"/>
    <x v="21"/>
    <n v="0"/>
    <n v="0"/>
    <n v="0"/>
    <n v="0"/>
    <x v="2025"/>
    <n v="0"/>
    <n v="0"/>
    <n v="0"/>
    <n v="0"/>
    <x v="49"/>
    <n v="44"/>
    <s v="K (May 21)"/>
    <d v="2021-05-19T00:00:00"/>
    <n v="-1"/>
  </r>
  <r>
    <x v="301"/>
    <x v="20"/>
    <n v="0"/>
    <n v="0"/>
    <n v="0"/>
    <n v="0"/>
    <x v="2026"/>
    <n v="0"/>
    <n v="0"/>
    <n v="0"/>
    <n v="0"/>
    <x v="42"/>
    <n v="72"/>
    <s v="M (Jun 21)"/>
    <d v="2021-06-16T00:00:00"/>
    <n v="-1"/>
  </r>
  <r>
    <x v="301"/>
    <x v="15"/>
    <n v="0"/>
    <n v="0"/>
    <n v="0"/>
    <n v="0"/>
    <x v="1596"/>
    <n v="0"/>
    <n v="0"/>
    <n v="0"/>
    <n v="0"/>
    <x v="68"/>
    <n v="226"/>
    <s v="X (Nov 21)"/>
    <d v="2021-11-17T00:00:00"/>
    <n v="-1"/>
  </r>
  <r>
    <x v="301"/>
    <x v="19"/>
    <n v="0"/>
    <n v="0"/>
    <n v="0"/>
    <n v="0"/>
    <x v="1691"/>
    <n v="0"/>
    <n v="0"/>
    <n v="0"/>
    <n v="0"/>
    <x v="43"/>
    <n v="107"/>
    <s v="N (Jul 21)"/>
    <d v="2021-07-21T00:00:00"/>
    <n v="-1"/>
  </r>
  <r>
    <x v="302"/>
    <x v="18"/>
    <n v="0"/>
    <n v="0"/>
    <n v="0"/>
    <n v="0"/>
    <x v="2027"/>
    <n v="0"/>
    <n v="0"/>
    <n v="0"/>
    <n v="0"/>
    <x v="58"/>
    <n v="139"/>
    <s v="Q (Aug 21)"/>
    <d v="2021-08-18T00:00:00"/>
    <n v="-1"/>
  </r>
  <r>
    <x v="302"/>
    <x v="14"/>
    <n v="0"/>
    <n v="0"/>
    <n v="0"/>
    <n v="0"/>
    <x v="1399"/>
    <n v="0"/>
    <n v="0"/>
    <n v="0"/>
    <n v="0"/>
    <x v="123"/>
    <n v="265"/>
    <s v="Z (Dec 21)"/>
    <d v="2021-12-22T00:00:00"/>
    <n v="-1"/>
  </r>
  <r>
    <x v="302"/>
    <x v="17"/>
    <n v="0"/>
    <n v="0"/>
    <n v="0"/>
    <n v="0"/>
    <x v="2028"/>
    <n v="0"/>
    <n v="0"/>
    <n v="0"/>
    <n v="0"/>
    <x v="53"/>
    <n v="167"/>
    <s v="U (Sep 21)"/>
    <d v="2021-09-15T00:00:00"/>
    <n v="-1"/>
  </r>
  <r>
    <x v="302"/>
    <x v="22"/>
    <n v="0"/>
    <n v="0"/>
    <n v="0"/>
    <n v="0"/>
    <x v="2029"/>
    <n v="0"/>
    <n v="0"/>
    <n v="0"/>
    <n v="0"/>
    <x v="101"/>
    <n v="20"/>
    <s v="J (Apr 21)"/>
    <d v="2021-04-21T00:00:00"/>
    <n v="-1"/>
  </r>
  <r>
    <x v="302"/>
    <x v="21"/>
    <n v="0"/>
    <n v="0"/>
    <n v="0"/>
    <n v="0"/>
    <x v="2030"/>
    <n v="0"/>
    <n v="0"/>
    <n v="0"/>
    <n v="0"/>
    <x v="67"/>
    <n v="48"/>
    <s v="K (May 21)"/>
    <d v="2021-05-19T00:00:00"/>
    <n v="-1"/>
  </r>
  <r>
    <x v="302"/>
    <x v="20"/>
    <n v="0"/>
    <n v="0"/>
    <n v="0"/>
    <n v="0"/>
    <x v="2031"/>
    <n v="0"/>
    <n v="0"/>
    <n v="0"/>
    <n v="0"/>
    <x v="60"/>
    <n v="76"/>
    <s v="M (Jun 21)"/>
    <d v="2021-06-16T00:00:00"/>
    <n v="-1"/>
  </r>
  <r>
    <x v="302"/>
    <x v="15"/>
    <n v="0"/>
    <n v="0"/>
    <n v="0"/>
    <n v="0"/>
    <x v="1132"/>
    <n v="0"/>
    <n v="0"/>
    <n v="0"/>
    <n v="0"/>
    <x v="86"/>
    <n v="230"/>
    <s v="X (Nov 21)"/>
    <d v="2021-11-17T00:00:00"/>
    <n v="-1"/>
  </r>
  <r>
    <x v="302"/>
    <x v="19"/>
    <n v="0"/>
    <n v="0"/>
    <n v="0"/>
    <n v="0"/>
    <x v="2032"/>
    <n v="0"/>
    <n v="0"/>
    <n v="0"/>
    <n v="0"/>
    <x v="61"/>
    <n v="111"/>
    <s v="N (Jul 21)"/>
    <d v="2021-07-21T00:00:00"/>
    <n v="-1"/>
  </r>
  <r>
    <x v="302"/>
    <x v="16"/>
    <n v="0"/>
    <n v="0"/>
    <n v="0"/>
    <n v="0"/>
    <x v="2033"/>
    <n v="0"/>
    <n v="0"/>
    <n v="0"/>
    <n v="0"/>
    <x v="54"/>
    <n v="202"/>
    <s v="V (Oct 21)"/>
    <d v="2021-10-20T00:00:00"/>
    <n v="-1"/>
  </r>
  <r>
    <x v="303"/>
    <x v="16"/>
    <n v="0"/>
    <n v="0"/>
    <n v="0"/>
    <n v="0"/>
    <x v="2034"/>
    <n v="0"/>
    <n v="0"/>
    <n v="0"/>
    <n v="0"/>
    <x v="66"/>
    <n v="203"/>
    <s v="V (Oct 21)"/>
    <d v="2021-10-20T00:00:00"/>
    <n v="-1"/>
  </r>
  <r>
    <x v="303"/>
    <x v="18"/>
    <n v="0"/>
    <n v="0"/>
    <n v="0"/>
    <n v="0"/>
    <x v="2035"/>
    <n v="0"/>
    <n v="0"/>
    <n v="0"/>
    <n v="0"/>
    <x v="70"/>
    <n v="140"/>
    <s v="Q (Aug 21)"/>
    <d v="2021-08-18T00:00:00"/>
    <n v="-1"/>
  </r>
  <r>
    <x v="303"/>
    <x v="14"/>
    <n v="0"/>
    <n v="0"/>
    <n v="0"/>
    <n v="0"/>
    <x v="1123"/>
    <n v="0"/>
    <n v="0"/>
    <n v="0"/>
    <n v="0"/>
    <x v="186"/>
    <n v="266"/>
    <s v="Z (Dec 21)"/>
    <d v="2021-12-22T00:00:00"/>
    <n v="-1"/>
  </r>
  <r>
    <x v="303"/>
    <x v="17"/>
    <n v="0"/>
    <n v="0"/>
    <n v="0"/>
    <n v="0"/>
    <x v="2036"/>
    <n v="0"/>
    <n v="0"/>
    <n v="0"/>
    <n v="0"/>
    <x v="59"/>
    <n v="168"/>
    <s v="U (Sep 21)"/>
    <d v="2021-09-15T00:00:00"/>
    <n v="-1"/>
  </r>
  <r>
    <x v="303"/>
    <x v="22"/>
    <n v="0"/>
    <n v="0"/>
    <n v="0"/>
    <n v="0"/>
    <x v="2037"/>
    <n v="0"/>
    <n v="0"/>
    <n v="0"/>
    <n v="0"/>
    <x v="116"/>
    <n v="21"/>
    <s v="J (Apr 21)"/>
    <d v="2021-04-21T00:00:00"/>
    <n v="-1"/>
  </r>
  <r>
    <x v="303"/>
    <x v="21"/>
    <n v="0"/>
    <n v="0"/>
    <n v="0"/>
    <n v="0"/>
    <x v="2038"/>
    <n v="0"/>
    <n v="0"/>
    <n v="0"/>
    <n v="0"/>
    <x v="73"/>
    <n v="49"/>
    <s v="K (May 21)"/>
    <d v="2021-05-19T00:00:00"/>
    <n v="-1"/>
  </r>
  <r>
    <x v="303"/>
    <x v="20"/>
    <n v="0"/>
    <n v="0"/>
    <n v="0"/>
    <n v="0"/>
    <x v="2039"/>
    <n v="0"/>
    <n v="0"/>
    <n v="0"/>
    <n v="0"/>
    <x v="63"/>
    <n v="77"/>
    <s v="M (Jun 21)"/>
    <d v="2021-06-16T00:00:00"/>
    <n v="-1"/>
  </r>
  <r>
    <x v="303"/>
    <x v="15"/>
    <n v="0"/>
    <n v="0"/>
    <n v="0"/>
    <n v="0"/>
    <x v="1175"/>
    <n v="0"/>
    <n v="0"/>
    <n v="0"/>
    <n v="0"/>
    <x v="92"/>
    <n v="231"/>
    <s v="X (Nov 21)"/>
    <d v="2021-11-17T00:00:00"/>
    <n v="-1"/>
  </r>
  <r>
    <x v="303"/>
    <x v="19"/>
    <n v="0"/>
    <n v="0"/>
    <n v="0"/>
    <n v="0"/>
    <x v="1123"/>
    <n v="0"/>
    <n v="0"/>
    <n v="0"/>
    <n v="0"/>
    <x v="64"/>
    <n v="112"/>
    <s v="N (Jul 21)"/>
    <d v="2021-07-21T00:00:00"/>
    <n v="-1"/>
  </r>
  <r>
    <x v="304"/>
    <x v="18"/>
    <n v="0"/>
    <n v="0"/>
    <n v="0"/>
    <n v="0"/>
    <x v="1112"/>
    <n v="0"/>
    <n v="0"/>
    <n v="0"/>
    <n v="0"/>
    <x v="76"/>
    <n v="141"/>
    <s v="Q (Aug 21)"/>
    <d v="2021-08-18T00:00:00"/>
    <n v="-1"/>
  </r>
  <r>
    <x v="304"/>
    <x v="14"/>
    <n v="0"/>
    <n v="0"/>
    <n v="0"/>
    <n v="0"/>
    <x v="1049"/>
    <n v="0"/>
    <n v="0"/>
    <n v="0"/>
    <n v="0"/>
    <x v="187"/>
    <n v="267"/>
    <s v="Z (Dec 21)"/>
    <d v="2021-12-22T00:00:00"/>
    <n v="-1"/>
  </r>
  <r>
    <x v="304"/>
    <x v="17"/>
    <n v="0"/>
    <n v="0"/>
    <n v="0"/>
    <n v="0"/>
    <x v="1078"/>
    <n v="0"/>
    <n v="0"/>
    <n v="0"/>
    <n v="0"/>
    <x v="71"/>
    <n v="169"/>
    <s v="U (Sep 21)"/>
    <d v="2021-09-15T00:00:00"/>
    <n v="-1"/>
  </r>
  <r>
    <x v="304"/>
    <x v="22"/>
    <n v="0"/>
    <n v="0"/>
    <n v="0"/>
    <n v="0"/>
    <x v="2040"/>
    <n v="0"/>
    <n v="0"/>
    <n v="0"/>
    <n v="0"/>
    <x v="119"/>
    <n v="22"/>
    <s v="J (Apr 21)"/>
    <d v="2021-04-21T00:00:00"/>
    <n v="-1"/>
  </r>
  <r>
    <x v="304"/>
    <x v="21"/>
    <n v="0"/>
    <n v="0"/>
    <n v="0"/>
    <n v="0"/>
    <x v="2041"/>
    <n v="0"/>
    <n v="0"/>
    <n v="0"/>
    <n v="0"/>
    <x v="85"/>
    <n v="50"/>
    <s v="K (May 21)"/>
    <d v="2021-05-19T00:00:00"/>
    <n v="-1"/>
  </r>
  <r>
    <x v="304"/>
    <x v="20"/>
    <n v="0"/>
    <n v="0"/>
    <n v="0"/>
    <n v="0"/>
    <x v="2042"/>
    <n v="0"/>
    <n v="0"/>
    <n v="0"/>
    <n v="0"/>
    <x v="78"/>
    <n v="78"/>
    <s v="M (Jun 21)"/>
    <d v="2021-06-16T00:00:00"/>
    <n v="-1"/>
  </r>
  <r>
    <x v="304"/>
    <x v="15"/>
    <n v="0"/>
    <n v="0"/>
    <n v="0"/>
    <n v="0"/>
    <x v="1026"/>
    <n v="0"/>
    <n v="0"/>
    <n v="0"/>
    <n v="0"/>
    <x v="104"/>
    <n v="232"/>
    <s v="X (Nov 21)"/>
    <d v="2021-11-17T00:00:00"/>
    <n v="-1"/>
  </r>
  <r>
    <x v="304"/>
    <x v="19"/>
    <n v="0"/>
    <n v="0"/>
    <n v="0"/>
    <n v="0"/>
    <x v="2043"/>
    <n v="0"/>
    <n v="0"/>
    <n v="0"/>
    <n v="0"/>
    <x v="79"/>
    <n v="113"/>
    <s v="N (Jul 21)"/>
    <d v="2021-07-21T00:00:00"/>
    <n v="-1"/>
  </r>
  <r>
    <x v="304"/>
    <x v="16"/>
    <n v="0"/>
    <n v="0"/>
    <n v="0"/>
    <n v="0"/>
    <x v="2044"/>
    <n v="0"/>
    <n v="0"/>
    <n v="0"/>
    <n v="0"/>
    <x v="72"/>
    <n v="204"/>
    <s v="V (Oct 21)"/>
    <d v="2021-10-20T00:00:00"/>
    <n v="-1"/>
  </r>
  <r>
    <x v="305"/>
    <x v="16"/>
    <n v="0"/>
    <n v="0"/>
    <n v="0"/>
    <n v="0"/>
    <x v="378"/>
    <n v="0"/>
    <n v="0"/>
    <n v="0"/>
    <n v="0"/>
    <x v="84"/>
    <n v="205"/>
    <s v="V (Oct 21)"/>
    <d v="2021-10-20T00:00:00"/>
    <n v="-1"/>
  </r>
  <r>
    <x v="305"/>
    <x v="18"/>
    <n v="0"/>
    <n v="0"/>
    <n v="0"/>
    <n v="0"/>
    <x v="2045"/>
    <n v="0"/>
    <n v="0"/>
    <n v="0"/>
    <n v="0"/>
    <x v="88"/>
    <n v="142"/>
    <s v="Q (Aug 21)"/>
    <d v="2021-08-18T00:00:00"/>
    <n v="-1"/>
  </r>
  <r>
    <x v="305"/>
    <x v="14"/>
    <n v="0"/>
    <n v="0"/>
    <n v="0"/>
    <n v="0"/>
    <x v="1074"/>
    <n v="0"/>
    <n v="0"/>
    <n v="0"/>
    <n v="0"/>
    <x v="188"/>
    <n v="268"/>
    <s v="Z (Dec 21)"/>
    <d v="2021-12-22T00:00:00"/>
    <n v="-1"/>
  </r>
  <r>
    <x v="305"/>
    <x v="17"/>
    <n v="0"/>
    <n v="0"/>
    <n v="0"/>
    <n v="0"/>
    <x v="406"/>
    <n v="0"/>
    <n v="0"/>
    <n v="0"/>
    <n v="0"/>
    <x v="77"/>
    <n v="170"/>
    <s v="U (Sep 21)"/>
    <d v="2021-09-15T00:00:00"/>
    <n v="-1"/>
  </r>
  <r>
    <x v="305"/>
    <x v="22"/>
    <n v="0"/>
    <n v="0"/>
    <n v="0"/>
    <n v="0"/>
    <x v="2046"/>
    <n v="0"/>
    <n v="0"/>
    <n v="0"/>
    <n v="0"/>
    <x v="133"/>
    <n v="23"/>
    <s v="J (Apr 21)"/>
    <d v="2021-04-21T00:00:00"/>
    <n v="-1"/>
  </r>
  <r>
    <x v="305"/>
    <x v="21"/>
    <n v="0"/>
    <n v="0"/>
    <n v="0"/>
    <n v="0"/>
    <x v="2047"/>
    <n v="0"/>
    <n v="0"/>
    <n v="0"/>
    <n v="0"/>
    <x v="91"/>
    <n v="51"/>
    <s v="K (May 21)"/>
    <d v="2021-05-19T00:00:00"/>
    <n v="-1"/>
  </r>
  <r>
    <x v="305"/>
    <x v="20"/>
    <n v="0"/>
    <n v="0"/>
    <n v="0"/>
    <n v="0"/>
    <x v="2048"/>
    <n v="0"/>
    <n v="0"/>
    <n v="0"/>
    <n v="0"/>
    <x v="81"/>
    <n v="79"/>
    <s v="M (Jun 21)"/>
    <d v="2021-06-16T00:00:00"/>
    <n v="-1"/>
  </r>
  <r>
    <x v="305"/>
    <x v="15"/>
    <n v="0"/>
    <n v="0"/>
    <n v="0"/>
    <n v="0"/>
    <x v="394"/>
    <n v="0"/>
    <n v="0"/>
    <n v="0"/>
    <n v="0"/>
    <x v="110"/>
    <n v="233"/>
    <s v="X (Nov 21)"/>
    <d v="2021-11-17T00:00:00"/>
    <n v="-1"/>
  </r>
  <r>
    <x v="305"/>
    <x v="19"/>
    <n v="0"/>
    <n v="0"/>
    <n v="0"/>
    <n v="0"/>
    <x v="820"/>
    <n v="0"/>
    <n v="0"/>
    <n v="0"/>
    <n v="0"/>
    <x v="82"/>
    <n v="114"/>
    <s v="N (Jul 21)"/>
    <d v="2021-07-21T00:00:00"/>
    <n v="-1"/>
  </r>
  <r>
    <x v="306"/>
    <x v="18"/>
    <n v="0"/>
    <n v="0"/>
    <n v="0"/>
    <n v="0"/>
    <x v="2049"/>
    <n v="0"/>
    <n v="0"/>
    <n v="0"/>
    <n v="0"/>
    <x v="94"/>
    <n v="145"/>
    <s v="Q (Aug 21)"/>
    <d v="2021-08-18T00:00:00"/>
    <n v="-1"/>
  </r>
  <r>
    <x v="306"/>
    <x v="14"/>
    <n v="0"/>
    <n v="0"/>
    <n v="0"/>
    <n v="0"/>
    <x v="1078"/>
    <n v="0"/>
    <n v="0"/>
    <n v="0"/>
    <n v="0"/>
    <x v="189"/>
    <n v="271"/>
    <s v="Z (Dec 21)"/>
    <d v="2021-12-22T00:00:00"/>
    <n v="-1"/>
  </r>
  <r>
    <x v="306"/>
    <x v="17"/>
    <n v="0"/>
    <n v="0"/>
    <n v="0"/>
    <n v="0"/>
    <x v="2050"/>
    <n v="0"/>
    <n v="0"/>
    <n v="0"/>
    <n v="0"/>
    <x v="89"/>
    <n v="173"/>
    <s v="U (Sep 21)"/>
    <d v="2021-09-15T00:00:00"/>
    <n v="-1"/>
  </r>
  <r>
    <x v="306"/>
    <x v="22"/>
    <n v="0"/>
    <n v="0"/>
    <n v="0"/>
    <n v="0"/>
    <x v="2051"/>
    <n v="0"/>
    <n v="0"/>
    <n v="0"/>
    <n v="0"/>
    <x v="136"/>
    <n v="26"/>
    <s v="J (Apr 21)"/>
    <d v="2021-04-21T00:00:00"/>
    <n v="-1"/>
  </r>
  <r>
    <x v="306"/>
    <x v="21"/>
    <n v="0"/>
    <n v="0"/>
    <n v="0"/>
    <n v="0"/>
    <x v="2052"/>
    <n v="0"/>
    <n v="0"/>
    <n v="0"/>
    <n v="0"/>
    <x v="103"/>
    <n v="54"/>
    <s v="K (May 21)"/>
    <d v="2021-05-19T00:00:00"/>
    <n v="-1"/>
  </r>
  <r>
    <x v="306"/>
    <x v="20"/>
    <n v="0"/>
    <n v="0"/>
    <n v="0"/>
    <n v="0"/>
    <x v="2053"/>
    <n v="0"/>
    <n v="0"/>
    <n v="0"/>
    <n v="0"/>
    <x v="96"/>
    <n v="82"/>
    <s v="M (Jun 21)"/>
    <d v="2021-06-16T00:00:00"/>
    <n v="-1"/>
  </r>
  <r>
    <x v="306"/>
    <x v="15"/>
    <n v="0"/>
    <n v="0"/>
    <n v="0"/>
    <n v="0"/>
    <x v="1055"/>
    <n v="0"/>
    <n v="0"/>
    <n v="0"/>
    <n v="0"/>
    <x v="122"/>
    <n v="236"/>
    <s v="X (Nov 21)"/>
    <d v="2021-11-17T00:00:00"/>
    <n v="-1"/>
  </r>
  <r>
    <x v="306"/>
    <x v="19"/>
    <n v="0"/>
    <n v="0"/>
    <n v="0"/>
    <n v="0"/>
    <x v="2054"/>
    <n v="0"/>
    <n v="0"/>
    <n v="0"/>
    <n v="0"/>
    <x v="97"/>
    <n v="117"/>
    <s v="N (Jul 21)"/>
    <d v="2021-07-21T00:00:00"/>
    <n v="-1"/>
  </r>
  <r>
    <x v="306"/>
    <x v="16"/>
    <n v="0"/>
    <n v="0"/>
    <n v="0"/>
    <n v="0"/>
    <x v="454"/>
    <n v="0"/>
    <n v="0"/>
    <n v="0"/>
    <n v="0"/>
    <x v="90"/>
    <n v="208"/>
    <s v="V (Oct 21)"/>
    <d v="2021-10-20T00:00:00"/>
    <n v="-1"/>
  </r>
  <r>
    <x v="307"/>
    <x v="16"/>
    <n v="0"/>
    <n v="0"/>
    <n v="0"/>
    <n v="0"/>
    <x v="2055"/>
    <n v="0"/>
    <n v="0"/>
    <n v="0"/>
    <n v="0"/>
    <x v="102"/>
    <n v="209"/>
    <s v="V (Oct 21)"/>
    <d v="2021-10-20T00:00:00"/>
    <n v="-1"/>
  </r>
  <r>
    <x v="307"/>
    <x v="18"/>
    <n v="0"/>
    <n v="0"/>
    <n v="0"/>
    <n v="0"/>
    <x v="2056"/>
    <n v="0"/>
    <n v="0"/>
    <n v="0"/>
    <n v="0"/>
    <x v="106"/>
    <n v="146"/>
    <s v="Q (Aug 21)"/>
    <d v="2021-08-18T00:00:00"/>
    <n v="-1"/>
  </r>
  <r>
    <x v="307"/>
    <x v="14"/>
    <n v="0"/>
    <n v="0"/>
    <n v="0"/>
    <n v="0"/>
    <x v="1096"/>
    <n v="0"/>
    <n v="0"/>
    <n v="0"/>
    <n v="0"/>
    <x v="190"/>
    <n v="272"/>
    <s v="Z (Dec 21)"/>
    <d v="2021-12-22T00:00:00"/>
    <n v="-1"/>
  </r>
  <r>
    <x v="307"/>
    <x v="17"/>
    <n v="0"/>
    <n v="0"/>
    <n v="0"/>
    <n v="0"/>
    <x v="348"/>
    <n v="0"/>
    <n v="0"/>
    <n v="0"/>
    <n v="0"/>
    <x v="95"/>
    <n v="174"/>
    <s v="U (Sep 21)"/>
    <d v="2021-09-15T00:00:00"/>
    <n v="-1"/>
  </r>
  <r>
    <x v="307"/>
    <x v="22"/>
    <n v="0"/>
    <n v="0"/>
    <n v="0"/>
    <n v="0"/>
    <x v="2057"/>
    <n v="0"/>
    <n v="0"/>
    <n v="0"/>
    <n v="0"/>
    <x v="150"/>
    <n v="27"/>
    <s v="J (Apr 21)"/>
    <d v="2021-04-21T00:00:00"/>
    <n v="-1"/>
  </r>
  <r>
    <x v="307"/>
    <x v="21"/>
    <n v="0"/>
    <n v="0"/>
    <n v="0"/>
    <n v="0"/>
    <x v="2058"/>
    <n v="0"/>
    <n v="0"/>
    <n v="0"/>
    <n v="0"/>
    <x v="109"/>
    <n v="55"/>
    <s v="K (May 21)"/>
    <d v="2021-05-19T00:00:00"/>
    <n v="-1"/>
  </r>
  <r>
    <x v="307"/>
    <x v="20"/>
    <n v="0"/>
    <n v="0"/>
    <n v="0"/>
    <n v="0"/>
    <x v="666"/>
    <n v="0"/>
    <n v="0"/>
    <n v="0"/>
    <n v="0"/>
    <x v="99"/>
    <n v="83"/>
    <s v="M (Jun 21)"/>
    <d v="2021-06-16T00:00:00"/>
    <n v="-1"/>
  </r>
  <r>
    <x v="307"/>
    <x v="15"/>
    <n v="0"/>
    <n v="0"/>
    <n v="0"/>
    <n v="0"/>
    <x v="622"/>
    <n v="0"/>
    <n v="0"/>
    <n v="0"/>
    <n v="0"/>
    <x v="128"/>
    <n v="237"/>
    <s v="X (Nov 21)"/>
    <d v="2021-11-17T00:00:00"/>
    <n v="-1"/>
  </r>
  <r>
    <x v="307"/>
    <x v="19"/>
    <n v="0"/>
    <n v="0"/>
    <n v="0"/>
    <n v="0"/>
    <x v="2059"/>
    <n v="0"/>
    <n v="0"/>
    <n v="0"/>
    <n v="0"/>
    <x v="100"/>
    <n v="118"/>
    <s v="N (Jul 21)"/>
    <d v="2021-07-21T00:00:00"/>
    <n v="-1"/>
  </r>
  <r>
    <x v="308"/>
    <x v="18"/>
    <n v="0"/>
    <n v="0"/>
    <n v="0"/>
    <n v="0"/>
    <x v="2060"/>
    <n v="0"/>
    <n v="0"/>
    <n v="0"/>
    <n v="0"/>
    <x v="112"/>
    <n v="147"/>
    <s v="Q (Aug 21)"/>
    <d v="2021-08-18T00:00:00"/>
    <n v="-1"/>
  </r>
  <r>
    <x v="308"/>
    <x v="14"/>
    <n v="0"/>
    <n v="0"/>
    <n v="0"/>
    <n v="0"/>
    <x v="694"/>
    <n v="0"/>
    <n v="0"/>
    <n v="0"/>
    <n v="0"/>
    <x v="191"/>
    <n v="273"/>
    <s v="Z (Dec 21)"/>
    <d v="2021-12-22T00:00:00"/>
    <n v="-1"/>
  </r>
  <r>
    <x v="308"/>
    <x v="17"/>
    <n v="0"/>
    <n v="0"/>
    <n v="0"/>
    <n v="0"/>
    <x v="2061"/>
    <n v="0"/>
    <n v="0"/>
    <n v="0"/>
    <n v="0"/>
    <x v="107"/>
    <n v="175"/>
    <s v="U (Sep 21)"/>
    <d v="2021-09-15T00:00:00"/>
    <n v="-1"/>
  </r>
  <r>
    <x v="308"/>
    <x v="22"/>
    <n v="0"/>
    <n v="0"/>
    <n v="0"/>
    <n v="0"/>
    <x v="2062"/>
    <n v="0"/>
    <n v="0"/>
    <n v="0"/>
    <n v="0"/>
    <x v="153"/>
    <n v="28"/>
    <s v="J (Apr 21)"/>
    <d v="2021-04-21T00:00:00"/>
    <n v="-1"/>
  </r>
  <r>
    <x v="308"/>
    <x v="21"/>
    <n v="0"/>
    <n v="0"/>
    <n v="0"/>
    <n v="0"/>
    <x v="2063"/>
    <n v="0"/>
    <n v="0"/>
    <n v="0"/>
    <n v="0"/>
    <x v="121"/>
    <n v="56"/>
    <s v="K (May 21)"/>
    <d v="2021-05-19T00:00:00"/>
    <n v="-1"/>
  </r>
  <r>
    <x v="308"/>
    <x v="20"/>
    <n v="0"/>
    <n v="0"/>
    <n v="0"/>
    <n v="0"/>
    <x v="2064"/>
    <n v="0"/>
    <n v="0"/>
    <n v="0"/>
    <n v="0"/>
    <x v="114"/>
    <n v="84"/>
    <s v="M (Jun 21)"/>
    <d v="2021-06-16T00:00:00"/>
    <n v="-1"/>
  </r>
  <r>
    <x v="308"/>
    <x v="15"/>
    <n v="0"/>
    <n v="0"/>
    <n v="0"/>
    <n v="0"/>
    <x v="410"/>
    <n v="0"/>
    <n v="0"/>
    <n v="0"/>
    <n v="0"/>
    <x v="139"/>
    <n v="238"/>
    <s v="X (Nov 21)"/>
    <d v="2021-11-17T00:00:00"/>
    <n v="-1"/>
  </r>
  <r>
    <x v="308"/>
    <x v="19"/>
    <n v="0"/>
    <n v="0"/>
    <n v="0"/>
    <n v="0"/>
    <x v="2065"/>
    <n v="0"/>
    <n v="0"/>
    <n v="0"/>
    <n v="0"/>
    <x v="115"/>
    <n v="119"/>
    <s v="N (Jul 21)"/>
    <d v="2021-07-21T00:00:00"/>
    <n v="-1"/>
  </r>
  <r>
    <x v="308"/>
    <x v="16"/>
    <n v="0"/>
    <n v="0"/>
    <n v="0"/>
    <n v="0"/>
    <x v="2066"/>
    <n v="0"/>
    <n v="0"/>
    <n v="0"/>
    <n v="0"/>
    <x v="108"/>
    <n v="210"/>
    <s v="V (Oct 21)"/>
    <d v="2021-10-20T00:00:00"/>
    <n v="-1"/>
  </r>
  <r>
    <x v="309"/>
    <x v="16"/>
    <n v="0"/>
    <n v="0"/>
    <n v="0"/>
    <n v="0"/>
    <x v="295"/>
    <n v="0"/>
    <n v="0"/>
    <n v="0"/>
    <n v="0"/>
    <x v="120"/>
    <n v="211"/>
    <s v="V (Oct 21)"/>
    <d v="2021-10-20T00:00:00"/>
    <n v="-1"/>
  </r>
  <r>
    <x v="309"/>
    <x v="18"/>
    <n v="0"/>
    <n v="0"/>
    <n v="0"/>
    <n v="0"/>
    <x v="670"/>
    <n v="0"/>
    <n v="0"/>
    <n v="0"/>
    <n v="0"/>
    <x v="124"/>
    <n v="148"/>
    <s v="Q (Aug 21)"/>
    <d v="2021-08-18T00:00:00"/>
    <n v="-1"/>
  </r>
  <r>
    <x v="309"/>
    <x v="14"/>
    <n v="0"/>
    <n v="0"/>
    <n v="0"/>
    <n v="0"/>
    <x v="370"/>
    <n v="0"/>
    <n v="0"/>
    <n v="0"/>
    <n v="0"/>
    <x v="192"/>
    <n v="274"/>
    <s v="Z (Dec 21)"/>
    <d v="2021-12-22T00:00:00"/>
    <n v="-1"/>
  </r>
  <r>
    <x v="309"/>
    <x v="17"/>
    <n v="0"/>
    <n v="0"/>
    <n v="0"/>
    <n v="0"/>
    <x v="2067"/>
    <n v="0"/>
    <n v="0"/>
    <n v="0"/>
    <n v="0"/>
    <x v="113"/>
    <n v="176"/>
    <s v="U (Sep 21)"/>
    <d v="2021-09-15T00:00:00"/>
    <n v="-1"/>
  </r>
  <r>
    <x v="309"/>
    <x v="22"/>
    <n v="0"/>
    <n v="0"/>
    <n v="0"/>
    <n v="0"/>
    <x v="2068"/>
    <n v="0"/>
    <n v="0"/>
    <n v="0"/>
    <n v="0"/>
    <x v="166"/>
    <n v="29"/>
    <s v="J (Apr 21)"/>
    <d v="2021-04-21T00:00:00"/>
    <n v="-1"/>
  </r>
  <r>
    <x v="309"/>
    <x v="21"/>
    <n v="0"/>
    <n v="0"/>
    <n v="0"/>
    <n v="0"/>
    <x v="2069"/>
    <n v="0"/>
    <n v="0"/>
    <n v="0"/>
    <n v="0"/>
    <x v="127"/>
    <n v="57"/>
    <s v="K (May 21)"/>
    <d v="2021-05-19T00:00:00"/>
    <n v="-1"/>
  </r>
  <r>
    <x v="309"/>
    <x v="20"/>
    <n v="0"/>
    <n v="0"/>
    <n v="0"/>
    <n v="0"/>
    <x v="2070"/>
    <n v="0"/>
    <n v="0"/>
    <n v="0"/>
    <n v="0"/>
    <x v="117"/>
    <n v="85"/>
    <s v="M (Jun 21)"/>
    <d v="2021-06-16T00:00:00"/>
    <n v="-1"/>
  </r>
  <r>
    <x v="309"/>
    <x v="15"/>
    <n v="0"/>
    <n v="0"/>
    <n v="0"/>
    <n v="0"/>
    <x v="348"/>
    <n v="0"/>
    <n v="0"/>
    <n v="0"/>
    <n v="0"/>
    <x v="144"/>
    <n v="239"/>
    <s v="X (Nov 21)"/>
    <d v="2021-11-17T00:00:00"/>
    <n v="-1"/>
  </r>
  <r>
    <x v="309"/>
    <x v="19"/>
    <n v="0"/>
    <n v="0"/>
    <n v="0"/>
    <n v="0"/>
    <x v="348"/>
    <n v="0"/>
    <n v="0"/>
    <n v="0"/>
    <n v="0"/>
    <x v="118"/>
    <n v="120"/>
    <s v="N (Jul 21)"/>
    <d v="2021-07-21T00:00:00"/>
    <n v="-1"/>
  </r>
  <r>
    <x v="310"/>
    <x v="18"/>
    <n v="0"/>
    <n v="0"/>
    <n v="0"/>
    <n v="0"/>
    <x v="2071"/>
    <n v="0"/>
    <n v="0"/>
    <n v="0"/>
    <n v="0"/>
    <x v="129"/>
    <n v="149"/>
    <s v="Q (Aug 21)"/>
    <d v="2021-08-18T00:00:00"/>
    <n v="-1"/>
  </r>
  <r>
    <x v="310"/>
    <x v="14"/>
    <n v="0"/>
    <n v="0"/>
    <n v="0"/>
    <n v="0"/>
    <x v="406"/>
    <n v="0"/>
    <n v="0"/>
    <n v="0"/>
    <n v="0"/>
    <x v="193"/>
    <n v="275"/>
    <s v="Z (Dec 21)"/>
    <d v="2021-12-22T00:00:00"/>
    <n v="-1"/>
  </r>
  <r>
    <x v="310"/>
    <x v="17"/>
    <n v="0"/>
    <n v="0"/>
    <n v="0"/>
    <n v="0"/>
    <x v="2072"/>
    <n v="0"/>
    <n v="0"/>
    <n v="0"/>
    <n v="0"/>
    <x v="125"/>
    <n v="177"/>
    <s v="U (Sep 21)"/>
    <d v="2021-09-15T00:00:00"/>
    <n v="-1"/>
  </r>
  <r>
    <x v="310"/>
    <x v="22"/>
    <n v="0"/>
    <n v="0"/>
    <n v="0"/>
    <n v="0"/>
    <x v="2073"/>
    <n v="0"/>
    <n v="0"/>
    <n v="0"/>
    <n v="0"/>
    <x v="169"/>
    <n v="30"/>
    <s v="J (Apr 21)"/>
    <d v="2021-04-21T00:00:00"/>
    <n v="-1"/>
  </r>
  <r>
    <x v="310"/>
    <x v="21"/>
    <n v="0"/>
    <n v="0"/>
    <n v="0"/>
    <n v="0"/>
    <x v="2074"/>
    <n v="0"/>
    <n v="0"/>
    <n v="0"/>
    <n v="0"/>
    <x v="138"/>
    <n v="58"/>
    <s v="K (May 21)"/>
    <d v="2021-05-19T00:00:00"/>
    <n v="-1"/>
  </r>
  <r>
    <x v="310"/>
    <x v="20"/>
    <n v="0"/>
    <n v="0"/>
    <n v="0"/>
    <n v="0"/>
    <x v="2075"/>
    <n v="0"/>
    <n v="0"/>
    <n v="0"/>
    <n v="0"/>
    <x v="131"/>
    <n v="86"/>
    <s v="M (Jun 21)"/>
    <d v="2021-06-16T00:00:00"/>
    <n v="-1"/>
  </r>
  <r>
    <x v="310"/>
    <x v="15"/>
    <n v="0"/>
    <n v="0"/>
    <n v="0"/>
    <n v="0"/>
    <x v="2076"/>
    <n v="0"/>
    <n v="0"/>
    <n v="0"/>
    <n v="0"/>
    <x v="155"/>
    <n v="240"/>
    <s v="X (Nov 21)"/>
    <d v="2021-11-17T00:00:00"/>
    <n v="-1"/>
  </r>
  <r>
    <x v="310"/>
    <x v="19"/>
    <n v="0"/>
    <n v="0"/>
    <n v="0"/>
    <n v="0"/>
    <x v="300"/>
    <n v="0"/>
    <n v="0"/>
    <n v="0"/>
    <n v="0"/>
    <x v="132"/>
    <n v="121"/>
    <s v="N (Jul 21)"/>
    <d v="2021-07-21T00:00:00"/>
    <n v="-1"/>
  </r>
  <r>
    <x v="310"/>
    <x v="16"/>
    <n v="0"/>
    <n v="0"/>
    <n v="0"/>
    <n v="0"/>
    <x v="400"/>
    <n v="0"/>
    <n v="0"/>
    <n v="0"/>
    <n v="0"/>
    <x v="126"/>
    <n v="212"/>
    <s v="V (Oct 21)"/>
    <d v="2021-10-20T00:00:00"/>
    <n v="-1"/>
  </r>
  <r>
    <x v="311"/>
    <x v="16"/>
    <n v="0"/>
    <n v="0"/>
    <n v="0"/>
    <n v="0"/>
    <x v="262"/>
    <n v="0"/>
    <n v="0"/>
    <n v="0"/>
    <n v="0"/>
    <x v="137"/>
    <n v="215"/>
    <s v="V (Oct 21)"/>
    <d v="2021-10-20T00:00:00"/>
    <n v="-1"/>
  </r>
  <r>
    <x v="311"/>
    <x v="18"/>
    <n v="0"/>
    <n v="0"/>
    <n v="0"/>
    <n v="0"/>
    <x v="365"/>
    <n v="0"/>
    <n v="0"/>
    <n v="0"/>
    <n v="0"/>
    <x v="140"/>
    <n v="152"/>
    <s v="Q (Aug 21)"/>
    <d v="2021-08-18T00:00:00"/>
    <n v="-1"/>
  </r>
  <r>
    <x v="311"/>
    <x v="17"/>
    <n v="0"/>
    <n v="0"/>
    <n v="0"/>
    <n v="0"/>
    <x v="2077"/>
    <n v="0"/>
    <n v="0"/>
    <n v="0"/>
    <n v="0"/>
    <x v="130"/>
    <n v="180"/>
    <s v="U (Sep 21)"/>
    <d v="2021-09-15T00:00:00"/>
    <n v="-1"/>
  </r>
  <r>
    <x v="311"/>
    <x v="22"/>
    <n v="0"/>
    <n v="0"/>
    <n v="0"/>
    <n v="0"/>
    <x v="2078"/>
    <n v="0"/>
    <n v="0"/>
    <n v="0"/>
    <n v="0"/>
    <x v="176"/>
    <n v="33"/>
    <s v="J (Apr 21)"/>
    <d v="2021-04-21T00:00:00"/>
    <n v="-1"/>
  </r>
  <r>
    <x v="311"/>
    <x v="21"/>
    <n v="0"/>
    <n v="0"/>
    <n v="0"/>
    <n v="0"/>
    <x v="2079"/>
    <n v="0"/>
    <n v="0"/>
    <n v="0"/>
    <n v="0"/>
    <x v="143"/>
    <n v="61"/>
    <s v="K (May 21)"/>
    <d v="2021-05-19T00:00:00"/>
    <n v="-1"/>
  </r>
  <r>
    <x v="311"/>
    <x v="20"/>
    <n v="0"/>
    <n v="0"/>
    <n v="0"/>
    <n v="0"/>
    <x v="2080"/>
    <n v="0"/>
    <n v="0"/>
    <n v="0"/>
    <n v="0"/>
    <x v="134"/>
    <n v="89"/>
    <s v="M (Jun 21)"/>
    <d v="2021-06-16T00:00:00"/>
    <n v="-1"/>
  </r>
  <r>
    <x v="311"/>
    <x v="15"/>
    <n v="0"/>
    <n v="0"/>
    <n v="0"/>
    <n v="0"/>
    <x v="2081"/>
    <n v="0"/>
    <n v="0"/>
    <n v="0"/>
    <n v="0"/>
    <x v="160"/>
    <n v="243"/>
    <s v="X (Nov 21)"/>
    <d v="2021-11-17T00:00:00"/>
    <n v="-1"/>
  </r>
  <r>
    <x v="311"/>
    <x v="19"/>
    <n v="0"/>
    <n v="0"/>
    <n v="0"/>
    <n v="0"/>
    <x v="250"/>
    <n v="0"/>
    <n v="0"/>
    <n v="0"/>
    <n v="0"/>
    <x v="135"/>
    <n v="124"/>
    <s v="N (Jul 21)"/>
    <d v="2021-07-21T00:00:00"/>
    <n v="-1"/>
  </r>
  <r>
    <x v="312"/>
    <x v="18"/>
    <n v="0"/>
    <n v="0"/>
    <n v="0"/>
    <n v="0"/>
    <x v="2082"/>
    <n v="0"/>
    <n v="0"/>
    <n v="0"/>
    <n v="0"/>
    <x v="146"/>
    <n v="153"/>
    <s v="Q (Aug 21)"/>
    <d v="2021-08-18T00:00:00"/>
    <n v="-1"/>
  </r>
  <r>
    <x v="312"/>
    <x v="17"/>
    <n v="0"/>
    <n v="0"/>
    <n v="0"/>
    <n v="0"/>
    <x v="2083"/>
    <n v="0"/>
    <n v="0"/>
    <n v="0"/>
    <n v="0"/>
    <x v="141"/>
    <n v="181"/>
    <s v="U (Sep 21)"/>
    <d v="2021-09-15T00:00:00"/>
    <n v="-1"/>
  </r>
  <r>
    <x v="312"/>
    <x v="22"/>
    <n v="0"/>
    <n v="0"/>
    <n v="0"/>
    <n v="0"/>
    <x v="2084"/>
    <n v="0"/>
    <n v="0"/>
    <n v="0"/>
    <n v="0"/>
    <x v="178"/>
    <n v="34"/>
    <s v="J (Apr 21)"/>
    <d v="2021-04-21T00:00:00"/>
    <n v="-1"/>
  </r>
  <r>
    <x v="312"/>
    <x v="21"/>
    <n v="0"/>
    <n v="0"/>
    <n v="0"/>
    <n v="0"/>
    <x v="2085"/>
    <n v="0"/>
    <n v="0"/>
    <n v="0"/>
    <n v="0"/>
    <x v="154"/>
    <n v="62"/>
    <s v="K (May 21)"/>
    <d v="2021-05-19T00:00:00"/>
    <n v="-1"/>
  </r>
  <r>
    <x v="312"/>
    <x v="20"/>
    <n v="0"/>
    <n v="0"/>
    <n v="0"/>
    <n v="0"/>
    <x v="2086"/>
    <n v="0"/>
    <n v="0"/>
    <n v="0"/>
    <n v="0"/>
    <x v="148"/>
    <n v="90"/>
    <s v="M (Jun 21)"/>
    <d v="2021-06-16T00:00:00"/>
    <n v="-1"/>
  </r>
  <r>
    <x v="312"/>
    <x v="15"/>
    <n v="0"/>
    <n v="0"/>
    <n v="0"/>
    <n v="0"/>
    <x v="220"/>
    <n v="0"/>
    <n v="0"/>
    <n v="0"/>
    <n v="0"/>
    <x v="171"/>
    <n v="244"/>
    <s v="X (Nov 21)"/>
    <d v="2021-11-17T00:00:00"/>
    <n v="-1"/>
  </r>
  <r>
    <x v="312"/>
    <x v="19"/>
    <n v="0"/>
    <n v="0"/>
    <n v="0"/>
    <n v="0"/>
    <x v="280"/>
    <n v="0"/>
    <n v="0"/>
    <n v="0"/>
    <n v="0"/>
    <x v="149"/>
    <n v="125"/>
    <s v="N (Jul 21)"/>
    <d v="2021-07-21T00:00:00"/>
    <n v="-1"/>
  </r>
  <r>
    <x v="312"/>
    <x v="16"/>
    <n v="0"/>
    <n v="0"/>
    <n v="0"/>
    <n v="0"/>
    <x v="365"/>
    <n v="0"/>
    <n v="0"/>
    <n v="0"/>
    <n v="0"/>
    <x v="142"/>
    <n v="216"/>
    <s v="V (Oct 21)"/>
    <d v="2021-10-20T00:00:00"/>
    <n v="-1"/>
  </r>
  <r>
    <x v="313"/>
    <x v="23"/>
    <n v="0"/>
    <n v="0"/>
    <n v="0"/>
    <n v="0"/>
    <x v="2087"/>
    <n v="0"/>
    <n v="0"/>
    <n v="0"/>
    <n v="0"/>
    <x v="145"/>
    <n v="0"/>
    <s v="H (Mar 21)"/>
    <d v="2021-03-17T00:00:00"/>
    <n v="-1"/>
  </r>
  <r>
    <x v="313"/>
    <x v="16"/>
    <n v="0"/>
    <n v="0"/>
    <n v="0"/>
    <n v="0"/>
    <x v="727"/>
    <n v="0"/>
    <n v="0"/>
    <n v="0"/>
    <n v="0"/>
    <x v="3"/>
    <n v="217"/>
    <s v="V (Oct 21)"/>
    <d v="2021-10-20T00:00:00"/>
    <n v="-1"/>
  </r>
  <r>
    <x v="313"/>
    <x v="22"/>
    <n v="0"/>
    <n v="0"/>
    <n v="0"/>
    <n v="0"/>
    <x v="2088"/>
    <n v="0"/>
    <n v="0"/>
    <n v="0"/>
    <n v="0"/>
    <x v="182"/>
    <n v="35"/>
    <s v="J (Apr 21)"/>
    <d v="2021-04-21T00:00:00"/>
    <n v="-1"/>
  </r>
  <r>
    <x v="313"/>
    <x v="18"/>
    <n v="0"/>
    <n v="0"/>
    <n v="0"/>
    <n v="0"/>
    <x v="2089"/>
    <n v="0"/>
    <n v="0"/>
    <n v="0"/>
    <n v="0"/>
    <x v="157"/>
    <n v="154"/>
    <s v="Q (Aug 21)"/>
    <d v="2021-08-18T00:00:00"/>
    <n v="-1"/>
  </r>
  <r>
    <x v="313"/>
    <x v="20"/>
    <n v="0"/>
    <n v="0"/>
    <n v="0"/>
    <n v="0"/>
    <x v="2090"/>
    <n v="0"/>
    <n v="0"/>
    <n v="0"/>
    <n v="0"/>
    <x v="151"/>
    <n v="91"/>
    <s v="M (Jun 21)"/>
    <d v="2021-06-16T00:00:00"/>
    <n v="-1"/>
  </r>
  <r>
    <x v="313"/>
    <x v="17"/>
    <n v="0"/>
    <n v="0"/>
    <n v="0"/>
    <n v="0"/>
    <x v="365"/>
    <n v="0"/>
    <n v="0"/>
    <n v="0"/>
    <n v="0"/>
    <x v="147"/>
    <n v="182"/>
    <s v="U (Sep 21)"/>
    <d v="2021-09-15T00:00:00"/>
    <n v="-1"/>
  </r>
  <r>
    <x v="313"/>
    <x v="15"/>
    <n v="0"/>
    <n v="0"/>
    <n v="0"/>
    <n v="0"/>
    <x v="372"/>
    <n v="0"/>
    <n v="0"/>
    <n v="0"/>
    <n v="0"/>
    <x v="4"/>
    <n v="245"/>
    <s v="X (Nov 21)"/>
    <d v="2021-11-17T00:00:00"/>
    <n v="-1"/>
  </r>
  <r>
    <x v="313"/>
    <x v="19"/>
    <n v="0"/>
    <n v="0"/>
    <n v="0"/>
    <n v="0"/>
    <x v="2091"/>
    <n v="0"/>
    <n v="0"/>
    <n v="0"/>
    <n v="0"/>
    <x v="152"/>
    <n v="126"/>
    <s v="N (Jul 21)"/>
    <d v="2021-07-21T00:00:00"/>
    <n v="-1"/>
  </r>
  <r>
    <x v="313"/>
    <x v="21"/>
    <n v="0"/>
    <n v="0"/>
    <n v="0"/>
    <n v="0"/>
    <x v="2092"/>
    <n v="0"/>
    <n v="0"/>
    <n v="0"/>
    <n v="0"/>
    <x v="159"/>
    <n v="63"/>
    <s v="K (May 21)"/>
    <d v="2021-05-19T00:00:00"/>
    <n v="-1"/>
  </r>
  <r>
    <x v="314"/>
    <x v="20"/>
    <n v="0"/>
    <n v="0"/>
    <n v="0"/>
    <n v="0"/>
    <x v="2093"/>
    <n v="0"/>
    <n v="0"/>
    <n v="0"/>
    <n v="0"/>
    <x v="164"/>
    <n v="92"/>
    <s v="M (Jun 21)"/>
    <d v="2021-06-16T00:00:00"/>
    <n v="-1"/>
  </r>
  <r>
    <x v="314"/>
    <x v="19"/>
    <n v="0"/>
    <n v="0"/>
    <n v="0"/>
    <n v="0"/>
    <x v="316"/>
    <n v="0"/>
    <n v="0"/>
    <n v="0"/>
    <n v="0"/>
    <x v="165"/>
    <n v="127"/>
    <s v="N (Jul 21)"/>
    <d v="2021-07-21T00:00:00"/>
    <n v="-1"/>
  </r>
  <r>
    <x v="314"/>
    <x v="17"/>
    <n v="0"/>
    <n v="0"/>
    <n v="0"/>
    <n v="0"/>
    <x v="151"/>
    <n v="0"/>
    <n v="0"/>
    <n v="0"/>
    <n v="0"/>
    <x v="158"/>
    <n v="183"/>
    <s v="U (Sep 21)"/>
    <d v="2021-09-15T00:00:00"/>
    <n v="-1"/>
  </r>
  <r>
    <x v="314"/>
    <x v="21"/>
    <n v="0"/>
    <n v="0"/>
    <n v="0"/>
    <n v="0"/>
    <x v="2094"/>
    <n v="0"/>
    <n v="0"/>
    <n v="0"/>
    <n v="0"/>
    <x v="170"/>
    <n v="64"/>
    <s v="K (May 21)"/>
    <d v="2021-05-19T00:00:00"/>
    <n v="-1"/>
  </r>
  <r>
    <x v="314"/>
    <x v="23"/>
    <n v="0"/>
    <n v="0"/>
    <n v="0"/>
    <n v="0"/>
    <x v="2095"/>
    <n v="0"/>
    <n v="0"/>
    <n v="0"/>
    <n v="0"/>
    <x v="156"/>
    <n v="1"/>
    <s v="H (Mar 21)"/>
    <d v="2021-03-17T00:00:00"/>
    <n v="-1"/>
  </r>
  <r>
    <x v="314"/>
    <x v="18"/>
    <n v="0"/>
    <n v="0"/>
    <n v="0"/>
    <n v="0"/>
    <x v="341"/>
    <n v="0"/>
    <n v="0"/>
    <n v="0"/>
    <n v="0"/>
    <x v="162"/>
    <n v="155"/>
    <s v="Q (Aug 21)"/>
    <d v="2021-08-18T00:00:00"/>
    <n v="-1"/>
  </r>
  <r>
    <x v="314"/>
    <x v="16"/>
    <n v="0"/>
    <n v="0"/>
    <n v="0"/>
    <n v="0"/>
    <x v="264"/>
    <n v="0"/>
    <n v="0"/>
    <n v="0"/>
    <n v="0"/>
    <x v="15"/>
    <n v="218"/>
    <s v="V (Oct 21)"/>
    <d v="2021-10-20T00:00:00"/>
    <n v="-1"/>
  </r>
  <r>
    <x v="314"/>
    <x v="15"/>
    <n v="0"/>
    <n v="0"/>
    <n v="0"/>
    <n v="0"/>
    <x v="351"/>
    <n v="0"/>
    <n v="0"/>
    <n v="0"/>
    <n v="0"/>
    <x v="16"/>
    <n v="246"/>
    <s v="X (Nov 21)"/>
    <d v="2021-11-17T00:00:00"/>
    <n v="-1"/>
  </r>
  <r>
    <x v="314"/>
    <x v="22"/>
    <n v="0"/>
    <n v="0"/>
    <n v="0"/>
    <n v="0"/>
    <x v="2096"/>
    <n v="0"/>
    <n v="0"/>
    <n v="0"/>
    <n v="0"/>
    <x v="184"/>
    <n v="36"/>
    <s v="J (Apr 21)"/>
    <d v="2021-04-21T00:00:00"/>
    <n v="-1"/>
  </r>
  <r>
    <x v="315"/>
    <x v="23"/>
    <n v="0"/>
    <n v="0"/>
    <n v="0"/>
    <n v="0"/>
    <x v="2097"/>
    <n v="0"/>
    <n v="0"/>
    <n v="0"/>
    <n v="0"/>
    <x v="161"/>
    <n v="2"/>
    <s v="H (Mar 21)"/>
    <d v="2021-03-17T00:00:00"/>
    <n v="-1"/>
  </r>
  <r>
    <x v="315"/>
    <x v="18"/>
    <n v="0"/>
    <n v="0"/>
    <n v="0"/>
    <n v="0"/>
    <x v="2098"/>
    <n v="0"/>
    <n v="0"/>
    <n v="0"/>
    <n v="0"/>
    <x v="172"/>
    <n v="156"/>
    <s v="Q (Aug 21)"/>
    <d v="2021-08-18T00:00:00"/>
    <n v="-1"/>
  </r>
  <r>
    <x v="315"/>
    <x v="16"/>
    <n v="0"/>
    <n v="0"/>
    <n v="0"/>
    <n v="0"/>
    <x v="151"/>
    <n v="0"/>
    <n v="0"/>
    <n v="0"/>
    <n v="0"/>
    <x v="21"/>
    <n v="219"/>
    <s v="V (Oct 21)"/>
    <d v="2021-10-20T00:00:00"/>
    <n v="-1"/>
  </r>
  <r>
    <x v="315"/>
    <x v="15"/>
    <n v="0"/>
    <n v="0"/>
    <n v="0"/>
    <n v="0"/>
    <x v="2099"/>
    <n v="0"/>
    <n v="0"/>
    <n v="0"/>
    <n v="0"/>
    <x v="22"/>
    <n v="247"/>
    <s v="X (Nov 21)"/>
    <d v="2021-11-17T00:00:00"/>
    <n v="-1"/>
  </r>
  <r>
    <x v="315"/>
    <x v="22"/>
    <n v="0"/>
    <n v="0"/>
    <n v="0"/>
    <n v="0"/>
    <x v="2100"/>
    <n v="0"/>
    <n v="0"/>
    <n v="0"/>
    <n v="0"/>
    <x v="2"/>
    <n v="37"/>
    <s v="J (Apr 21)"/>
    <d v="2021-04-21T00:00:00"/>
    <n v="-1"/>
  </r>
  <r>
    <x v="315"/>
    <x v="20"/>
    <n v="0"/>
    <n v="0"/>
    <n v="0"/>
    <n v="0"/>
    <x v="2101"/>
    <n v="0"/>
    <n v="0"/>
    <n v="0"/>
    <n v="0"/>
    <x v="167"/>
    <n v="93"/>
    <s v="M (Jun 21)"/>
    <d v="2021-06-16T00:00:00"/>
    <n v="-1"/>
  </r>
  <r>
    <x v="315"/>
    <x v="19"/>
    <n v="0"/>
    <n v="0"/>
    <n v="0"/>
    <n v="0"/>
    <x v="2102"/>
    <n v="0"/>
    <n v="0"/>
    <n v="0"/>
    <n v="0"/>
    <x v="168"/>
    <n v="128"/>
    <s v="N (Jul 21)"/>
    <d v="2021-07-21T00:00:00"/>
    <n v="-1"/>
  </r>
  <r>
    <x v="315"/>
    <x v="17"/>
    <n v="0"/>
    <n v="0"/>
    <n v="0"/>
    <n v="0"/>
    <x v="2103"/>
    <n v="0"/>
    <n v="0"/>
    <n v="0"/>
    <n v="0"/>
    <x v="163"/>
    <n v="184"/>
    <s v="U (Sep 21)"/>
    <d v="2021-09-15T00:00:00"/>
    <n v="-1"/>
  </r>
  <r>
    <x v="315"/>
    <x v="21"/>
    <n v="0"/>
    <n v="0"/>
    <n v="0"/>
    <n v="0"/>
    <x v="2104"/>
    <n v="0"/>
    <n v="0"/>
    <n v="0"/>
    <n v="0"/>
    <x v="6"/>
    <n v="65"/>
    <s v="K (May 21)"/>
    <d v="2021-05-19T00:00:00"/>
    <n v="-1"/>
  </r>
  <r>
    <x v="316"/>
    <x v="20"/>
    <n v="0"/>
    <n v="0"/>
    <n v="0"/>
    <n v="0"/>
    <x v="2105"/>
    <n v="0"/>
    <n v="0"/>
    <n v="0"/>
    <n v="0"/>
    <x v="175"/>
    <n v="96"/>
    <s v="M (Jun 21)"/>
    <d v="2021-06-16T00:00:00"/>
    <n v="-1"/>
  </r>
  <r>
    <x v="316"/>
    <x v="19"/>
    <n v="0"/>
    <n v="0"/>
    <n v="0"/>
    <n v="0"/>
    <x v="82"/>
    <n v="0"/>
    <n v="0"/>
    <n v="0"/>
    <n v="0"/>
    <x v="5"/>
    <n v="131"/>
    <s v="N (Jul 21)"/>
    <d v="2021-07-21T00:00:00"/>
    <n v="-1"/>
  </r>
  <r>
    <x v="316"/>
    <x v="17"/>
    <n v="0"/>
    <n v="0"/>
    <n v="0"/>
    <n v="0"/>
    <x v="82"/>
    <n v="0"/>
    <n v="0"/>
    <n v="0"/>
    <n v="0"/>
    <x v="173"/>
    <n v="187"/>
    <s v="U (Sep 21)"/>
    <d v="2021-09-15T00:00:00"/>
    <n v="-1"/>
  </r>
  <r>
    <x v="316"/>
    <x v="21"/>
    <n v="0"/>
    <n v="0"/>
    <n v="0"/>
    <n v="0"/>
    <x v="2106"/>
    <n v="0"/>
    <n v="0"/>
    <n v="0"/>
    <n v="0"/>
    <x v="9"/>
    <n v="68"/>
    <s v="K (May 21)"/>
    <d v="2021-05-19T00:00:00"/>
    <n v="-1"/>
  </r>
  <r>
    <x v="316"/>
    <x v="23"/>
    <n v="0"/>
    <n v="0"/>
    <n v="0"/>
    <n v="0"/>
    <x v="2107"/>
    <n v="0"/>
    <n v="0"/>
    <n v="0"/>
    <n v="0"/>
    <x v="8"/>
    <n v="5"/>
    <s v="H (Mar 21)"/>
    <d v="2021-03-17T00:00:00"/>
    <n v="-1"/>
  </r>
  <r>
    <x v="316"/>
    <x v="18"/>
    <n v="0"/>
    <n v="0"/>
    <n v="0"/>
    <n v="0"/>
    <x v="2108"/>
    <n v="0"/>
    <n v="0"/>
    <n v="0"/>
    <n v="0"/>
    <x v="0"/>
    <n v="159"/>
    <s v="Q (Aug 21)"/>
    <d v="2021-08-18T00:00:00"/>
    <n v="-1"/>
  </r>
  <r>
    <x v="316"/>
    <x v="16"/>
    <n v="0"/>
    <n v="0"/>
    <n v="0"/>
    <n v="0"/>
    <x v="147"/>
    <n v="0"/>
    <n v="0"/>
    <n v="0"/>
    <n v="0"/>
    <x v="32"/>
    <n v="222"/>
    <s v="V (Oct 21)"/>
    <d v="2021-10-20T00:00:00"/>
    <n v="-1"/>
  </r>
  <r>
    <x v="316"/>
    <x v="15"/>
    <n v="0"/>
    <n v="0"/>
    <n v="0"/>
    <n v="0"/>
    <x v="2109"/>
    <n v="0"/>
    <n v="0"/>
    <n v="0"/>
    <n v="0"/>
    <x v="33"/>
    <n v="250"/>
    <s v="X (Nov 21)"/>
    <d v="2021-11-17T00:00:00"/>
    <n v="-1"/>
  </r>
  <r>
    <x v="316"/>
    <x v="22"/>
    <n v="0"/>
    <n v="0"/>
    <n v="0"/>
    <n v="0"/>
    <x v="2110"/>
    <n v="0"/>
    <n v="0"/>
    <n v="0"/>
    <n v="0"/>
    <x v="14"/>
    <n v="40"/>
    <s v="J (Apr 21)"/>
    <d v="2021-04-21T00:00:00"/>
    <n v="-1"/>
  </r>
  <r>
    <x v="317"/>
    <x v="23"/>
    <n v="0"/>
    <n v="0"/>
    <n v="0"/>
    <n v="0"/>
    <x v="2111"/>
    <n v="0"/>
    <n v="0"/>
    <n v="0"/>
    <n v="0"/>
    <x v="11"/>
    <n v="6"/>
    <s v="H (Mar 21)"/>
    <d v="2021-03-17T00:00:00"/>
    <n v="-1"/>
  </r>
  <r>
    <x v="317"/>
    <x v="18"/>
    <n v="0"/>
    <n v="0"/>
    <n v="0"/>
    <n v="0"/>
    <x v="2112"/>
    <n v="0"/>
    <n v="0"/>
    <n v="0"/>
    <n v="0"/>
    <x v="12"/>
    <n v="160"/>
    <s v="Q (Aug 21)"/>
    <d v="2021-08-18T00:00:00"/>
    <n v="-1"/>
  </r>
  <r>
    <x v="317"/>
    <x v="16"/>
    <n v="0"/>
    <n v="0"/>
    <n v="0"/>
    <n v="0"/>
    <x v="18"/>
    <n v="0"/>
    <n v="0"/>
    <n v="0"/>
    <n v="0"/>
    <x v="38"/>
    <n v="223"/>
    <s v="V (Oct 21)"/>
    <d v="2021-10-20T00:00:00"/>
    <n v="-1"/>
  </r>
  <r>
    <x v="317"/>
    <x v="15"/>
    <n v="0"/>
    <n v="0"/>
    <n v="0"/>
    <n v="0"/>
    <x v="2099"/>
    <n v="0"/>
    <n v="0"/>
    <n v="0"/>
    <n v="0"/>
    <x v="39"/>
    <n v="251"/>
    <s v="X (Nov 21)"/>
    <d v="2021-11-17T00:00:00"/>
    <n v="-1"/>
  </r>
  <r>
    <x v="317"/>
    <x v="22"/>
    <n v="0"/>
    <n v="0"/>
    <n v="0"/>
    <n v="0"/>
    <x v="2113"/>
    <n v="0"/>
    <n v="0"/>
    <n v="0"/>
    <n v="0"/>
    <x v="20"/>
    <n v="41"/>
    <s v="J (Apr 21)"/>
    <d v="2021-04-21T00:00:00"/>
    <n v="-1"/>
  </r>
  <r>
    <x v="317"/>
    <x v="20"/>
    <n v="0"/>
    <n v="0"/>
    <n v="0"/>
    <n v="0"/>
    <x v="2114"/>
    <n v="0"/>
    <n v="0"/>
    <n v="0"/>
    <n v="0"/>
    <x v="177"/>
    <n v="97"/>
    <s v="M (Jun 21)"/>
    <d v="2021-06-16T00:00:00"/>
    <n v="-1"/>
  </r>
  <r>
    <x v="317"/>
    <x v="19"/>
    <n v="0"/>
    <n v="0"/>
    <n v="0"/>
    <n v="0"/>
    <x v="2115"/>
    <n v="0"/>
    <n v="0"/>
    <n v="0"/>
    <n v="0"/>
    <x v="17"/>
    <n v="132"/>
    <s v="N (Jul 21)"/>
    <d v="2021-07-21T00:00:00"/>
    <n v="-1"/>
  </r>
  <r>
    <x v="317"/>
    <x v="17"/>
    <n v="0"/>
    <n v="0"/>
    <n v="0"/>
    <n v="0"/>
    <x v="49"/>
    <n v="0"/>
    <n v="0"/>
    <n v="0"/>
    <n v="0"/>
    <x v="174"/>
    <n v="188"/>
    <s v="U (Sep 21)"/>
    <d v="2021-09-15T00:00:00"/>
    <n v="-1"/>
  </r>
  <r>
    <x v="317"/>
    <x v="21"/>
    <n v="0"/>
    <n v="0"/>
    <n v="0"/>
    <n v="0"/>
    <x v="2116"/>
    <n v="0"/>
    <n v="0"/>
    <n v="0"/>
    <n v="0"/>
    <x v="24"/>
    <n v="69"/>
    <s v="K (May 21)"/>
    <d v="2021-05-19T00:00:00"/>
    <n v="-1"/>
  </r>
  <r>
    <x v="318"/>
    <x v="20"/>
    <n v="0"/>
    <n v="0"/>
    <n v="0"/>
    <n v="0"/>
    <x v="2117"/>
    <n v="0"/>
    <n v="0"/>
    <n v="0"/>
    <n v="0"/>
    <x v="181"/>
    <n v="98"/>
    <s v="M (Jun 21)"/>
    <d v="2021-06-16T00:00:00"/>
    <n v="-1"/>
  </r>
  <r>
    <x v="318"/>
    <x v="19"/>
    <n v="0"/>
    <n v="0"/>
    <n v="0"/>
    <n v="0"/>
    <x v="2118"/>
    <n v="0"/>
    <n v="0"/>
    <n v="0"/>
    <n v="0"/>
    <x v="23"/>
    <n v="133"/>
    <s v="N (Jul 21)"/>
    <d v="2021-07-21T00:00:00"/>
    <n v="-1"/>
  </r>
  <r>
    <x v="318"/>
    <x v="17"/>
    <n v="0"/>
    <n v="0"/>
    <n v="0"/>
    <n v="0"/>
    <x v="2119"/>
    <n v="0"/>
    <n v="0"/>
    <n v="0"/>
    <n v="0"/>
    <x v="179"/>
    <n v="189"/>
    <s v="U (Sep 21)"/>
    <d v="2021-09-15T00:00:00"/>
    <n v="-1"/>
  </r>
  <r>
    <x v="318"/>
    <x v="21"/>
    <n v="0"/>
    <n v="0"/>
    <n v="0"/>
    <n v="0"/>
    <x v="2120"/>
    <n v="0"/>
    <n v="0"/>
    <n v="0"/>
    <n v="0"/>
    <x v="27"/>
    <n v="70"/>
    <s v="K (May 21)"/>
    <d v="2021-05-19T00:00:00"/>
    <n v="-1"/>
  </r>
  <r>
    <x v="318"/>
    <x v="23"/>
    <n v="0"/>
    <n v="0"/>
    <n v="0"/>
    <n v="0"/>
    <x v="2121"/>
    <n v="0"/>
    <n v="0"/>
    <n v="0"/>
    <n v="0"/>
    <x v="26"/>
    <n v="7"/>
    <s v="H (Mar 21)"/>
    <d v="2021-03-17T00:00:00"/>
    <n v="-1"/>
  </r>
  <r>
    <x v="318"/>
    <x v="18"/>
    <n v="0"/>
    <n v="0"/>
    <n v="0"/>
    <n v="0"/>
    <x v="2122"/>
    <n v="0"/>
    <n v="0"/>
    <n v="0"/>
    <n v="0"/>
    <x v="18"/>
    <n v="161"/>
    <s v="Q (Aug 21)"/>
    <d v="2021-08-18T00:00:00"/>
    <n v="-1"/>
  </r>
  <r>
    <x v="318"/>
    <x v="16"/>
    <n v="0"/>
    <n v="0"/>
    <n v="0"/>
    <n v="0"/>
    <x v="65"/>
    <n v="0"/>
    <n v="0"/>
    <n v="0"/>
    <n v="0"/>
    <x v="50"/>
    <n v="224"/>
    <s v="V (Oct 21)"/>
    <d v="2021-10-20T00:00:00"/>
    <n v="-1"/>
  </r>
  <r>
    <x v="318"/>
    <x v="15"/>
    <n v="0"/>
    <n v="0"/>
    <n v="0"/>
    <n v="0"/>
    <x v="270"/>
    <n v="0"/>
    <n v="0"/>
    <n v="0"/>
    <n v="0"/>
    <x v="51"/>
    <n v="252"/>
    <s v="X (Nov 21)"/>
    <d v="2021-11-17T00:00:00"/>
    <n v="-1"/>
  </r>
  <r>
    <x v="318"/>
    <x v="22"/>
    <n v="0"/>
    <n v="0"/>
    <n v="0"/>
    <n v="0"/>
    <x v="2123"/>
    <n v="0"/>
    <n v="0"/>
    <n v="0"/>
    <n v="0"/>
    <x v="31"/>
    <n v="42"/>
    <s v="J (Apr 21)"/>
    <d v="2021-04-21T00:00:00"/>
    <n v="-1"/>
  </r>
  <r>
    <x v="319"/>
    <x v="23"/>
    <n v="0"/>
    <n v="0"/>
    <n v="0"/>
    <n v="0"/>
    <x v="2124"/>
    <n v="0"/>
    <n v="0"/>
    <n v="0"/>
    <n v="0"/>
    <x v="29"/>
    <n v="8"/>
    <s v="H (Mar 21)"/>
    <d v="2021-03-17T00:00:00"/>
    <n v="-1"/>
  </r>
  <r>
    <x v="319"/>
    <x v="18"/>
    <n v="0"/>
    <n v="0"/>
    <n v="0"/>
    <n v="0"/>
    <x v="2125"/>
    <n v="0"/>
    <n v="0"/>
    <n v="0"/>
    <n v="0"/>
    <x v="35"/>
    <n v="162"/>
    <s v="Q (Aug 21)"/>
    <d v="2021-08-18T00:00:00"/>
    <n v="-1"/>
  </r>
  <r>
    <x v="319"/>
    <x v="16"/>
    <n v="0"/>
    <n v="0"/>
    <n v="0"/>
    <n v="0"/>
    <x v="520"/>
    <n v="0"/>
    <n v="0"/>
    <n v="0"/>
    <n v="0"/>
    <x v="56"/>
    <n v="225"/>
    <s v="V (Oct 21)"/>
    <d v="2021-10-20T00:00:00"/>
    <n v="-1"/>
  </r>
  <r>
    <x v="319"/>
    <x v="15"/>
    <n v="0"/>
    <n v="0"/>
    <n v="0"/>
    <n v="0"/>
    <x v="18"/>
    <n v="0"/>
    <n v="0"/>
    <n v="0"/>
    <n v="0"/>
    <x v="57"/>
    <n v="253"/>
    <s v="X (Nov 21)"/>
    <d v="2021-11-17T00:00:00"/>
    <n v="-1"/>
  </r>
  <r>
    <x v="319"/>
    <x v="22"/>
    <n v="0"/>
    <n v="0"/>
    <n v="0"/>
    <n v="0"/>
    <x v="2126"/>
    <n v="0"/>
    <n v="0"/>
    <n v="0"/>
    <n v="0"/>
    <x v="37"/>
    <n v="43"/>
    <s v="J (Apr 21)"/>
    <d v="2021-04-21T00:00:00"/>
    <n v="-1"/>
  </r>
  <r>
    <x v="319"/>
    <x v="20"/>
    <n v="0"/>
    <n v="0"/>
    <n v="0"/>
    <n v="0"/>
    <x v="2127"/>
    <n v="0"/>
    <n v="0"/>
    <n v="0"/>
    <n v="0"/>
    <x v="183"/>
    <n v="99"/>
    <s v="M (Jun 21)"/>
    <d v="2021-06-16T00:00:00"/>
    <n v="-1"/>
  </r>
  <r>
    <x v="319"/>
    <x v="19"/>
    <n v="0"/>
    <n v="0"/>
    <n v="0"/>
    <n v="0"/>
    <x v="2128"/>
    <n v="0"/>
    <n v="0"/>
    <n v="0"/>
    <n v="0"/>
    <x v="34"/>
    <n v="134"/>
    <s v="N (Jul 21)"/>
    <d v="2021-07-21T00:00:00"/>
    <n v="-1"/>
  </r>
  <r>
    <x v="319"/>
    <x v="17"/>
    <n v="0"/>
    <n v="0"/>
    <n v="0"/>
    <n v="0"/>
    <x v="2129"/>
    <n v="0"/>
    <n v="0"/>
    <n v="0"/>
    <n v="0"/>
    <x v="180"/>
    <n v="190"/>
    <s v="U (Sep 21)"/>
    <d v="2021-09-15T00:00:00"/>
    <n v="-1"/>
  </r>
  <r>
    <x v="319"/>
    <x v="21"/>
    <n v="0"/>
    <n v="0"/>
    <n v="0"/>
    <n v="0"/>
    <x v="2130"/>
    <n v="0"/>
    <n v="0"/>
    <n v="0"/>
    <n v="0"/>
    <x v="42"/>
    <n v="71"/>
    <s v="K (May 21)"/>
    <d v="2021-05-19T00:00:00"/>
    <n v="-1"/>
  </r>
  <r>
    <x v="320"/>
    <x v="20"/>
    <n v="0"/>
    <n v="0"/>
    <n v="0"/>
    <n v="0"/>
    <x v="2131"/>
    <n v="0"/>
    <n v="0"/>
    <n v="0"/>
    <n v="0"/>
    <x v="7"/>
    <n v="100"/>
    <s v="M (Jun 21)"/>
    <d v="2021-06-16T00:00:00"/>
    <n v="-1"/>
  </r>
  <r>
    <x v="320"/>
    <x v="19"/>
    <n v="0"/>
    <n v="0"/>
    <n v="0"/>
    <n v="0"/>
    <x v="205"/>
    <n v="0"/>
    <n v="0"/>
    <n v="0"/>
    <n v="0"/>
    <x v="40"/>
    <n v="135"/>
    <s v="N (Jul 21)"/>
    <d v="2021-07-21T00:00:00"/>
    <n v="-1"/>
  </r>
  <r>
    <x v="320"/>
    <x v="17"/>
    <n v="0"/>
    <n v="0"/>
    <n v="0"/>
    <n v="0"/>
    <x v="16"/>
    <n v="0"/>
    <n v="0"/>
    <n v="0"/>
    <n v="0"/>
    <x v="185"/>
    <n v="191"/>
    <s v="U (Sep 21)"/>
    <d v="2021-09-15T00:00:00"/>
    <n v="-1"/>
  </r>
  <r>
    <x v="320"/>
    <x v="21"/>
    <n v="0"/>
    <n v="0"/>
    <n v="0"/>
    <n v="0"/>
    <x v="70"/>
    <n v="0"/>
    <n v="0"/>
    <n v="0"/>
    <n v="0"/>
    <x v="45"/>
    <n v="72"/>
    <s v="K (May 21)"/>
    <d v="2021-05-19T00:00:00"/>
    <n v="-1"/>
  </r>
  <r>
    <x v="320"/>
    <x v="23"/>
    <n v="0"/>
    <n v="0"/>
    <n v="0"/>
    <n v="0"/>
    <x v="2132"/>
    <n v="0"/>
    <n v="0"/>
    <n v="0"/>
    <n v="0"/>
    <x v="44"/>
    <n v="9"/>
    <s v="H (Mar 21)"/>
    <d v="2021-03-17T00:00:00"/>
    <n v="-1"/>
  </r>
  <r>
    <x v="320"/>
    <x v="18"/>
    <n v="0"/>
    <n v="0"/>
    <n v="0"/>
    <n v="0"/>
    <x v="2133"/>
    <n v="0"/>
    <n v="0"/>
    <n v="0"/>
    <n v="0"/>
    <x v="41"/>
    <n v="163"/>
    <s v="Q (Aug 21)"/>
    <d v="2021-08-18T00:00:00"/>
    <n v="-1"/>
  </r>
  <r>
    <x v="320"/>
    <x v="16"/>
    <n v="0"/>
    <n v="0"/>
    <n v="0"/>
    <n v="0"/>
    <x v="50"/>
    <n v="0"/>
    <n v="0"/>
    <n v="0"/>
    <n v="0"/>
    <x v="68"/>
    <n v="226"/>
    <s v="V (Oct 21)"/>
    <d v="2021-10-20T00:00:00"/>
    <n v="-1"/>
  </r>
  <r>
    <x v="320"/>
    <x v="15"/>
    <n v="0"/>
    <n v="0"/>
    <n v="0"/>
    <n v="0"/>
    <x v="2134"/>
    <n v="0"/>
    <n v="0"/>
    <n v="0"/>
    <n v="0"/>
    <x v="69"/>
    <n v="254"/>
    <s v="X (Nov 21)"/>
    <d v="2021-11-17T00:00:00"/>
    <n v="-1"/>
  </r>
  <r>
    <x v="320"/>
    <x v="22"/>
    <n v="0"/>
    <n v="0"/>
    <n v="0"/>
    <n v="0"/>
    <x v="2135"/>
    <n v="0"/>
    <n v="0"/>
    <n v="0"/>
    <n v="0"/>
    <x v="49"/>
    <n v="44"/>
    <s v="J (Apr 21)"/>
    <d v="2021-04-21T00:00:00"/>
    <n v="-1"/>
  </r>
  <r>
    <x v="321"/>
    <x v="23"/>
    <n v="0"/>
    <n v="0"/>
    <n v="0"/>
    <n v="0"/>
    <x v="2136"/>
    <n v="0"/>
    <n v="0"/>
    <n v="0"/>
    <n v="0"/>
    <x v="47"/>
    <n v="12"/>
    <s v="H (Mar 21)"/>
    <d v="2021-03-17T00:00:00"/>
    <n v="-1"/>
  </r>
  <r>
    <x v="321"/>
    <x v="18"/>
    <n v="0"/>
    <n v="0"/>
    <n v="0"/>
    <n v="0"/>
    <x v="2137"/>
    <n v="0"/>
    <n v="0"/>
    <n v="0"/>
    <n v="0"/>
    <x v="53"/>
    <n v="166"/>
    <s v="Q (Aug 21)"/>
    <d v="2021-08-18T00:00:00"/>
    <n v="-1"/>
  </r>
  <r>
    <x v="321"/>
    <x v="16"/>
    <n v="0"/>
    <n v="0"/>
    <n v="0"/>
    <n v="0"/>
    <x v="33"/>
    <n v="0"/>
    <n v="0"/>
    <n v="0"/>
    <n v="0"/>
    <x v="74"/>
    <n v="229"/>
    <s v="V (Oct 21)"/>
    <d v="2021-10-20T00:00:00"/>
    <n v="-1"/>
  </r>
  <r>
    <x v="321"/>
    <x v="15"/>
    <n v="0"/>
    <n v="0"/>
    <n v="0"/>
    <n v="0"/>
    <x v="264"/>
    <n v="0"/>
    <n v="0"/>
    <n v="0"/>
    <n v="0"/>
    <x v="75"/>
    <n v="257"/>
    <s v="X (Nov 21)"/>
    <d v="2021-11-17T00:00:00"/>
    <n v="-1"/>
  </r>
  <r>
    <x v="321"/>
    <x v="22"/>
    <n v="0"/>
    <n v="0"/>
    <n v="0"/>
    <n v="0"/>
    <x v="2138"/>
    <n v="0"/>
    <n v="0"/>
    <n v="0"/>
    <n v="0"/>
    <x v="55"/>
    <n v="47"/>
    <s v="J (Apr 21)"/>
    <d v="2021-04-21T00:00:00"/>
    <n v="-1"/>
  </r>
  <r>
    <x v="321"/>
    <x v="20"/>
    <n v="0"/>
    <n v="0"/>
    <n v="0"/>
    <n v="0"/>
    <x v="2139"/>
    <n v="0"/>
    <n v="0"/>
    <n v="0"/>
    <n v="0"/>
    <x v="10"/>
    <n v="103"/>
    <s v="M (Jun 21)"/>
    <d v="2021-06-16T00:00:00"/>
    <n v="-1"/>
  </r>
  <r>
    <x v="321"/>
    <x v="19"/>
    <n v="0"/>
    <n v="0"/>
    <n v="0"/>
    <n v="0"/>
    <x v="2140"/>
    <n v="0"/>
    <n v="0"/>
    <n v="0"/>
    <n v="0"/>
    <x v="52"/>
    <n v="138"/>
    <s v="N (Jul 21)"/>
    <d v="2021-07-21T00:00:00"/>
    <n v="-1"/>
  </r>
  <r>
    <x v="321"/>
    <x v="17"/>
    <n v="0"/>
    <n v="0"/>
    <n v="0"/>
    <n v="0"/>
    <x v="2141"/>
    <n v="0"/>
    <n v="0"/>
    <n v="0"/>
    <n v="0"/>
    <x v="1"/>
    <n v="194"/>
    <s v="U (Sep 21)"/>
    <d v="2021-09-15T00:00:00"/>
    <n v="-1"/>
  </r>
  <r>
    <x v="321"/>
    <x v="21"/>
    <n v="0"/>
    <n v="0"/>
    <n v="0"/>
    <n v="0"/>
    <x v="2142"/>
    <n v="0"/>
    <n v="0"/>
    <n v="0"/>
    <n v="0"/>
    <x v="60"/>
    <n v="75"/>
    <s v="K (May 21)"/>
    <d v="2021-05-19T00:00:00"/>
    <n v="-1"/>
  </r>
  <r>
    <x v="322"/>
    <x v="20"/>
    <n v="0"/>
    <n v="0"/>
    <n v="0"/>
    <n v="0"/>
    <x v="2143"/>
    <n v="0"/>
    <n v="0"/>
    <n v="0"/>
    <n v="0"/>
    <x v="25"/>
    <n v="104"/>
    <s v="M (Jun 21)"/>
    <d v="2021-06-16T00:00:00"/>
    <n v="-1"/>
  </r>
  <r>
    <x v="322"/>
    <x v="19"/>
    <n v="0"/>
    <n v="0"/>
    <n v="0"/>
    <n v="0"/>
    <x v="2144"/>
    <n v="0"/>
    <n v="0"/>
    <n v="0"/>
    <n v="0"/>
    <x v="58"/>
    <n v="139"/>
    <s v="N (Jul 21)"/>
    <d v="2021-07-21T00:00:00"/>
    <n v="-1"/>
  </r>
  <r>
    <x v="322"/>
    <x v="17"/>
    <n v="0"/>
    <n v="0"/>
    <n v="0"/>
    <n v="0"/>
    <x v="171"/>
    <n v="0"/>
    <n v="0"/>
    <n v="0"/>
    <n v="0"/>
    <x v="13"/>
    <n v="195"/>
    <s v="U (Sep 21)"/>
    <d v="2021-09-15T00:00:00"/>
    <n v="-1"/>
  </r>
  <r>
    <x v="322"/>
    <x v="21"/>
    <n v="0"/>
    <n v="0"/>
    <n v="0"/>
    <n v="0"/>
    <x v="171"/>
    <n v="0"/>
    <n v="0"/>
    <n v="0"/>
    <n v="0"/>
    <x v="63"/>
    <n v="76"/>
    <s v="K (May 21)"/>
    <d v="2021-05-19T00:00:00"/>
    <n v="-1"/>
  </r>
  <r>
    <x v="322"/>
    <x v="23"/>
    <n v="0"/>
    <n v="0"/>
    <n v="0"/>
    <n v="0"/>
    <x v="2145"/>
    <n v="0"/>
    <n v="0"/>
    <n v="0"/>
    <n v="0"/>
    <x v="62"/>
    <n v="13"/>
    <s v="H (Mar 21)"/>
    <d v="2021-03-17T00:00:00"/>
    <n v="-1"/>
  </r>
  <r>
    <x v="322"/>
    <x v="18"/>
    <n v="0"/>
    <n v="0"/>
    <n v="0"/>
    <n v="0"/>
    <x v="2146"/>
    <n v="0"/>
    <n v="0"/>
    <n v="0"/>
    <n v="0"/>
    <x v="59"/>
    <n v="167"/>
    <s v="Q (Aug 21)"/>
    <d v="2021-08-18T00:00:00"/>
    <n v="-1"/>
  </r>
  <r>
    <x v="322"/>
    <x v="16"/>
    <n v="0"/>
    <n v="0"/>
    <n v="0"/>
    <n v="0"/>
    <x v="104"/>
    <n v="0"/>
    <n v="0"/>
    <n v="0"/>
    <n v="0"/>
    <x v="86"/>
    <n v="230"/>
    <s v="V (Oct 21)"/>
    <d v="2021-10-20T00:00:00"/>
    <n v="-1"/>
  </r>
  <r>
    <x v="322"/>
    <x v="15"/>
    <n v="0"/>
    <n v="0"/>
    <n v="0"/>
    <n v="0"/>
    <x v="178"/>
    <n v="0"/>
    <n v="0"/>
    <n v="0"/>
    <n v="0"/>
    <x v="87"/>
    <n v="258"/>
    <s v="X (Nov 21)"/>
    <d v="2021-11-17T00:00:00"/>
    <n v="-1"/>
  </r>
  <r>
    <x v="322"/>
    <x v="22"/>
    <n v="0"/>
    <n v="0"/>
    <n v="0"/>
    <n v="0"/>
    <x v="2147"/>
    <n v="0"/>
    <n v="0"/>
    <n v="0"/>
    <n v="0"/>
    <x v="67"/>
    <n v="48"/>
    <s v="J (Apr 21)"/>
    <d v="2021-04-21T00:00:00"/>
    <n v="-1"/>
  </r>
  <r>
    <x v="323"/>
    <x v="23"/>
    <n v="0"/>
    <n v="0"/>
    <n v="0"/>
    <n v="0"/>
    <x v="2148"/>
    <n v="0"/>
    <n v="0"/>
    <n v="0"/>
    <n v="0"/>
    <x v="65"/>
    <n v="14"/>
    <s v="H (Mar 21)"/>
    <d v="2021-03-17T00:00:00"/>
    <n v="-1"/>
  </r>
  <r>
    <x v="323"/>
    <x v="18"/>
    <n v="0"/>
    <n v="0"/>
    <n v="0"/>
    <n v="0"/>
    <x v="2149"/>
    <n v="0"/>
    <n v="0"/>
    <n v="0"/>
    <n v="0"/>
    <x v="71"/>
    <n v="168"/>
    <s v="Q (Aug 21)"/>
    <d v="2021-08-18T00:00:00"/>
    <n v="-1"/>
  </r>
  <r>
    <x v="323"/>
    <x v="16"/>
    <n v="0"/>
    <n v="0"/>
    <n v="0"/>
    <n v="0"/>
    <x v="2150"/>
    <n v="0"/>
    <n v="0"/>
    <n v="0"/>
    <n v="0"/>
    <x v="92"/>
    <n v="231"/>
    <s v="V (Oct 21)"/>
    <d v="2021-10-20T00:00:00"/>
    <n v="-1"/>
  </r>
  <r>
    <x v="323"/>
    <x v="15"/>
    <n v="0"/>
    <n v="0"/>
    <n v="0"/>
    <n v="0"/>
    <x v="56"/>
    <n v="0"/>
    <n v="0"/>
    <n v="0"/>
    <n v="0"/>
    <x v="93"/>
    <n v="259"/>
    <s v="X (Nov 21)"/>
    <d v="2021-11-17T00:00:00"/>
    <n v="-1"/>
  </r>
  <r>
    <x v="323"/>
    <x v="22"/>
    <n v="0"/>
    <n v="0"/>
    <n v="0"/>
    <n v="0"/>
    <x v="2151"/>
    <n v="0"/>
    <n v="0"/>
    <n v="0"/>
    <n v="0"/>
    <x v="73"/>
    <n v="49"/>
    <s v="J (Apr 21)"/>
    <d v="2021-04-21T00:00:00"/>
    <n v="-1"/>
  </r>
  <r>
    <x v="323"/>
    <x v="20"/>
    <n v="0"/>
    <n v="0"/>
    <n v="0"/>
    <n v="0"/>
    <x v="2152"/>
    <n v="0"/>
    <n v="0"/>
    <n v="0"/>
    <n v="0"/>
    <x v="28"/>
    <n v="105"/>
    <s v="M (Jun 21)"/>
    <d v="2021-06-16T00:00:00"/>
    <n v="-1"/>
  </r>
  <r>
    <x v="323"/>
    <x v="19"/>
    <n v="0"/>
    <n v="0"/>
    <n v="0"/>
    <n v="0"/>
    <x v="2153"/>
    <n v="0"/>
    <n v="0"/>
    <n v="0"/>
    <n v="0"/>
    <x v="70"/>
    <n v="140"/>
    <s v="N (Jul 21)"/>
    <d v="2021-07-21T00:00:00"/>
    <n v="-1"/>
  </r>
  <r>
    <x v="323"/>
    <x v="17"/>
    <n v="0"/>
    <n v="0"/>
    <n v="0"/>
    <n v="0"/>
    <x v="15"/>
    <n v="0"/>
    <n v="0"/>
    <n v="0"/>
    <n v="0"/>
    <x v="19"/>
    <n v="196"/>
    <s v="U (Sep 21)"/>
    <d v="2021-09-15T00:00:00"/>
    <n v="-1"/>
  </r>
  <r>
    <x v="323"/>
    <x v="21"/>
    <n v="0"/>
    <n v="0"/>
    <n v="0"/>
    <n v="0"/>
    <x v="87"/>
    <n v="0"/>
    <n v="0"/>
    <n v="0"/>
    <n v="0"/>
    <x v="78"/>
    <n v="77"/>
    <s v="K (May 21)"/>
    <d v="2021-05-19T00:00:00"/>
    <n v="-1"/>
  </r>
  <r>
    <x v="324"/>
    <x v="20"/>
    <n v="0"/>
    <n v="0"/>
    <n v="0"/>
    <n v="0"/>
    <x v="2154"/>
    <n v="0"/>
    <n v="0"/>
    <n v="0"/>
    <n v="0"/>
    <x v="43"/>
    <n v="106"/>
    <s v="M (Jun 21)"/>
    <d v="2021-06-16T00:00:00"/>
    <n v="-1"/>
  </r>
  <r>
    <x v="324"/>
    <x v="19"/>
    <n v="0"/>
    <n v="0"/>
    <n v="0"/>
    <n v="0"/>
    <x v="2155"/>
    <n v="0"/>
    <n v="0"/>
    <n v="0"/>
    <n v="0"/>
    <x v="76"/>
    <n v="141"/>
    <s v="N (Jul 21)"/>
    <d v="2021-07-21T00:00:00"/>
    <n v="-1"/>
  </r>
  <r>
    <x v="324"/>
    <x v="17"/>
    <n v="0"/>
    <n v="0"/>
    <n v="0"/>
    <n v="0"/>
    <x v="2156"/>
    <n v="0"/>
    <n v="0"/>
    <n v="0"/>
    <n v="0"/>
    <x v="30"/>
    <n v="197"/>
    <s v="U (Sep 21)"/>
    <d v="2021-09-15T00:00:00"/>
    <n v="-1"/>
  </r>
  <r>
    <x v="324"/>
    <x v="21"/>
    <n v="0"/>
    <n v="0"/>
    <n v="0"/>
    <n v="0"/>
    <x v="2157"/>
    <n v="0"/>
    <n v="0"/>
    <n v="0"/>
    <n v="0"/>
    <x v="81"/>
    <n v="78"/>
    <s v="K (May 21)"/>
    <d v="2021-05-19T00:00:00"/>
    <n v="-1"/>
  </r>
  <r>
    <x v="324"/>
    <x v="23"/>
    <n v="0"/>
    <n v="0"/>
    <n v="0"/>
    <n v="0"/>
    <x v="2158"/>
    <n v="0"/>
    <n v="0"/>
    <n v="0"/>
    <n v="0"/>
    <x v="80"/>
    <n v="15"/>
    <s v="H (Mar 21)"/>
    <d v="2021-03-17T00:00:00"/>
    <n v="-1"/>
  </r>
  <r>
    <x v="324"/>
    <x v="18"/>
    <n v="0"/>
    <n v="0"/>
    <n v="0"/>
    <n v="0"/>
    <x v="2159"/>
    <n v="0"/>
    <n v="0"/>
    <n v="0"/>
    <n v="0"/>
    <x v="77"/>
    <n v="169"/>
    <s v="Q (Aug 21)"/>
    <d v="2021-08-18T00:00:00"/>
    <n v="-1"/>
  </r>
  <r>
    <x v="324"/>
    <x v="16"/>
    <n v="0"/>
    <n v="0"/>
    <n v="0"/>
    <n v="0"/>
    <x v="520"/>
    <n v="0"/>
    <n v="0"/>
    <n v="0"/>
    <n v="0"/>
    <x v="104"/>
    <n v="232"/>
    <s v="V (Oct 21)"/>
    <d v="2021-10-20T00:00:00"/>
    <n v="-1"/>
  </r>
  <r>
    <x v="324"/>
    <x v="15"/>
    <n v="0"/>
    <n v="0"/>
    <n v="0"/>
    <n v="0"/>
    <x v="87"/>
    <n v="0"/>
    <n v="0"/>
    <n v="0"/>
    <n v="0"/>
    <x v="105"/>
    <n v="260"/>
    <s v="X (Nov 21)"/>
    <d v="2021-11-17T00:00:00"/>
    <n v="-1"/>
  </r>
  <r>
    <x v="324"/>
    <x v="22"/>
    <n v="0"/>
    <n v="0"/>
    <n v="0"/>
    <n v="0"/>
    <x v="2160"/>
    <n v="0"/>
    <n v="0"/>
    <n v="0"/>
    <n v="0"/>
    <x v="85"/>
    <n v="50"/>
    <s v="J (Apr 21)"/>
    <d v="2021-04-21T00:00:00"/>
    <n v="-1"/>
  </r>
  <r>
    <x v="325"/>
    <x v="23"/>
    <n v="0"/>
    <n v="0"/>
    <n v="0"/>
    <n v="0"/>
    <x v="2161"/>
    <n v="0"/>
    <n v="0"/>
    <n v="0"/>
    <n v="0"/>
    <x v="83"/>
    <n v="16"/>
    <s v="H (Mar 21)"/>
    <d v="2021-03-17T00:00:00"/>
    <n v="-1"/>
  </r>
  <r>
    <x v="325"/>
    <x v="18"/>
    <n v="0"/>
    <n v="0"/>
    <n v="0"/>
    <n v="0"/>
    <x v="2162"/>
    <n v="0"/>
    <n v="0"/>
    <n v="0"/>
    <n v="0"/>
    <x v="89"/>
    <n v="170"/>
    <s v="Q (Aug 21)"/>
    <d v="2021-08-18T00:00:00"/>
    <n v="-1"/>
  </r>
  <r>
    <x v="325"/>
    <x v="16"/>
    <n v="0"/>
    <n v="0"/>
    <n v="0"/>
    <n v="0"/>
    <x v="2163"/>
    <n v="0"/>
    <n v="0"/>
    <n v="0"/>
    <n v="0"/>
    <x v="110"/>
    <n v="233"/>
    <s v="V (Oct 21)"/>
    <d v="2021-10-20T00:00:00"/>
    <n v="-1"/>
  </r>
  <r>
    <x v="325"/>
    <x v="15"/>
    <n v="0"/>
    <n v="0"/>
    <n v="0"/>
    <n v="0"/>
    <x v="316"/>
    <n v="0"/>
    <n v="0"/>
    <n v="0"/>
    <n v="0"/>
    <x v="111"/>
    <n v="261"/>
    <s v="X (Nov 21)"/>
    <d v="2021-11-17T00:00:00"/>
    <n v="-1"/>
  </r>
  <r>
    <x v="325"/>
    <x v="22"/>
    <n v="0"/>
    <n v="0"/>
    <n v="0"/>
    <n v="0"/>
    <x v="2164"/>
    <n v="0"/>
    <n v="0"/>
    <n v="0"/>
    <n v="0"/>
    <x v="91"/>
    <n v="51"/>
    <s v="J (Apr 21)"/>
    <d v="2021-04-21T00:00:00"/>
    <n v="-1"/>
  </r>
  <r>
    <x v="325"/>
    <x v="20"/>
    <n v="0"/>
    <n v="0"/>
    <n v="0"/>
    <n v="0"/>
    <x v="2165"/>
    <n v="0"/>
    <n v="0"/>
    <n v="0"/>
    <n v="0"/>
    <x v="46"/>
    <n v="107"/>
    <s v="M (Jun 21)"/>
    <d v="2021-06-16T00:00:00"/>
    <n v="-1"/>
  </r>
  <r>
    <x v="325"/>
    <x v="19"/>
    <n v="0"/>
    <n v="0"/>
    <n v="0"/>
    <n v="0"/>
    <x v="2141"/>
    <n v="0"/>
    <n v="0"/>
    <n v="0"/>
    <n v="0"/>
    <x v="88"/>
    <n v="142"/>
    <s v="N (Jul 21)"/>
    <d v="2021-07-21T00:00:00"/>
    <n v="-1"/>
  </r>
  <r>
    <x v="325"/>
    <x v="17"/>
    <n v="0"/>
    <n v="0"/>
    <n v="0"/>
    <n v="0"/>
    <x v="2166"/>
    <n v="0"/>
    <n v="0"/>
    <n v="0"/>
    <n v="0"/>
    <x v="36"/>
    <n v="198"/>
    <s v="U (Sep 21)"/>
    <d v="2021-09-15T00:00:00"/>
    <n v="-1"/>
  </r>
  <r>
    <x v="325"/>
    <x v="21"/>
    <n v="0"/>
    <n v="0"/>
    <n v="0"/>
    <n v="0"/>
    <x v="2167"/>
    <n v="0"/>
    <n v="0"/>
    <n v="0"/>
    <n v="0"/>
    <x v="96"/>
    <n v="79"/>
    <s v="K (May 21)"/>
    <d v="2021-05-19T00:00:00"/>
    <n v="-1"/>
  </r>
  <r>
    <x v="326"/>
    <x v="20"/>
    <n v="0"/>
    <n v="0"/>
    <n v="0"/>
    <n v="0"/>
    <x v="2168"/>
    <n v="0"/>
    <n v="0"/>
    <n v="0"/>
    <n v="0"/>
    <x v="61"/>
    <n v="110"/>
    <s v="M (Jun 21)"/>
    <d v="2021-06-16T00:00:00"/>
    <n v="-1"/>
  </r>
  <r>
    <x v="326"/>
    <x v="19"/>
    <n v="0"/>
    <n v="0"/>
    <n v="0"/>
    <n v="0"/>
    <x v="180"/>
    <n v="0"/>
    <n v="0"/>
    <n v="0"/>
    <n v="0"/>
    <x v="94"/>
    <n v="145"/>
    <s v="N (Jul 21)"/>
    <d v="2021-07-21T00:00:00"/>
    <n v="-1"/>
  </r>
  <r>
    <x v="326"/>
    <x v="17"/>
    <n v="0"/>
    <n v="0"/>
    <n v="0"/>
    <n v="0"/>
    <x v="2169"/>
    <n v="0"/>
    <n v="0"/>
    <n v="0"/>
    <n v="0"/>
    <x v="48"/>
    <n v="201"/>
    <s v="U (Sep 21)"/>
    <d v="2021-09-15T00:00:00"/>
    <n v="-1"/>
  </r>
  <r>
    <x v="326"/>
    <x v="21"/>
    <n v="0"/>
    <n v="0"/>
    <n v="0"/>
    <n v="0"/>
    <x v="2170"/>
    <n v="0"/>
    <n v="0"/>
    <n v="0"/>
    <n v="0"/>
    <x v="99"/>
    <n v="82"/>
    <s v="K (May 21)"/>
    <d v="2021-05-19T00:00:00"/>
    <n v="-1"/>
  </r>
  <r>
    <x v="326"/>
    <x v="23"/>
    <n v="0"/>
    <n v="0"/>
    <n v="0"/>
    <n v="0"/>
    <x v="2171"/>
    <n v="0"/>
    <n v="0"/>
    <n v="0"/>
    <n v="0"/>
    <x v="98"/>
    <n v="19"/>
    <s v="H (Mar 21)"/>
    <d v="2021-03-17T00:00:00"/>
    <n v="-1"/>
  </r>
  <r>
    <x v="326"/>
    <x v="18"/>
    <n v="0"/>
    <n v="0"/>
    <n v="0"/>
    <n v="0"/>
    <x v="2172"/>
    <n v="0"/>
    <n v="0"/>
    <n v="0"/>
    <n v="0"/>
    <x v="95"/>
    <n v="173"/>
    <s v="Q (Aug 21)"/>
    <d v="2021-08-18T00:00:00"/>
    <n v="-1"/>
  </r>
  <r>
    <x v="326"/>
    <x v="16"/>
    <n v="0"/>
    <n v="0"/>
    <n v="0"/>
    <n v="0"/>
    <x v="178"/>
    <n v="0"/>
    <n v="0"/>
    <n v="0"/>
    <n v="0"/>
    <x v="122"/>
    <n v="236"/>
    <s v="V (Oct 21)"/>
    <d v="2021-10-20T00:00:00"/>
    <n v="-1"/>
  </r>
  <r>
    <x v="326"/>
    <x v="15"/>
    <n v="0"/>
    <n v="0"/>
    <n v="0"/>
    <n v="0"/>
    <x v="2141"/>
    <n v="0"/>
    <n v="0"/>
    <n v="0"/>
    <n v="0"/>
    <x v="123"/>
    <n v="264"/>
    <s v="X (Nov 21)"/>
    <d v="2021-11-17T00:00:00"/>
    <n v="-1"/>
  </r>
  <r>
    <x v="326"/>
    <x v="22"/>
    <n v="0"/>
    <n v="0"/>
    <n v="0"/>
    <n v="0"/>
    <x v="2173"/>
    <n v="0"/>
    <n v="0"/>
    <n v="0"/>
    <n v="0"/>
    <x v="103"/>
    <n v="54"/>
    <s v="J (Apr 21)"/>
    <d v="2021-04-21T00:00:00"/>
    <n v="-1"/>
  </r>
  <r>
    <x v="327"/>
    <x v="23"/>
    <n v="0"/>
    <n v="0"/>
    <n v="0"/>
    <n v="0"/>
    <x v="2174"/>
    <n v="0"/>
    <n v="0"/>
    <n v="0"/>
    <n v="0"/>
    <x v="101"/>
    <n v="20"/>
    <s v="H (Mar 21)"/>
    <d v="2021-03-17T00:00:00"/>
    <n v="-1"/>
  </r>
  <r>
    <x v="327"/>
    <x v="18"/>
    <n v="0"/>
    <n v="0"/>
    <n v="0"/>
    <n v="0"/>
    <x v="2175"/>
    <n v="0"/>
    <n v="0"/>
    <n v="0"/>
    <n v="0"/>
    <x v="107"/>
    <n v="174"/>
    <s v="Q (Aug 21)"/>
    <d v="2021-08-18T00:00:00"/>
    <n v="-1"/>
  </r>
  <r>
    <x v="327"/>
    <x v="16"/>
    <n v="0"/>
    <n v="0"/>
    <n v="0"/>
    <n v="0"/>
    <x v="2153"/>
    <n v="0"/>
    <n v="0"/>
    <n v="0"/>
    <n v="0"/>
    <x v="128"/>
    <n v="237"/>
    <s v="V (Oct 21)"/>
    <d v="2021-10-20T00:00:00"/>
    <n v="-1"/>
  </r>
  <r>
    <x v="327"/>
    <x v="15"/>
    <n v="0"/>
    <n v="0"/>
    <n v="0"/>
    <n v="0"/>
    <x v="2176"/>
    <n v="0"/>
    <n v="0"/>
    <n v="0"/>
    <n v="0"/>
    <x v="186"/>
    <n v="265"/>
    <s v="X (Nov 21)"/>
    <d v="2021-11-17T00:00:00"/>
    <n v="-1"/>
  </r>
  <r>
    <x v="327"/>
    <x v="22"/>
    <n v="0"/>
    <n v="0"/>
    <n v="0"/>
    <n v="0"/>
    <x v="2177"/>
    <n v="0"/>
    <n v="0"/>
    <n v="0"/>
    <n v="0"/>
    <x v="109"/>
    <n v="55"/>
    <s v="J (Apr 21)"/>
    <d v="2021-04-21T00:00:00"/>
    <n v="-1"/>
  </r>
  <r>
    <x v="327"/>
    <x v="20"/>
    <n v="0"/>
    <n v="0"/>
    <n v="0"/>
    <n v="0"/>
    <x v="2178"/>
    <n v="0"/>
    <n v="0"/>
    <n v="0"/>
    <n v="0"/>
    <x v="64"/>
    <n v="111"/>
    <s v="M (Jun 21)"/>
    <d v="2021-06-16T00:00:00"/>
    <n v="-1"/>
  </r>
  <r>
    <x v="327"/>
    <x v="19"/>
    <n v="0"/>
    <n v="0"/>
    <n v="0"/>
    <n v="0"/>
    <x v="2179"/>
    <n v="0"/>
    <n v="0"/>
    <n v="0"/>
    <n v="0"/>
    <x v="106"/>
    <n v="146"/>
    <s v="N (Jul 21)"/>
    <d v="2021-07-21T00:00:00"/>
    <n v="-1"/>
  </r>
  <r>
    <x v="327"/>
    <x v="17"/>
    <n v="0"/>
    <n v="0"/>
    <n v="0"/>
    <n v="0"/>
    <x v="2180"/>
    <n v="0"/>
    <n v="0"/>
    <n v="0"/>
    <n v="0"/>
    <x v="54"/>
    <n v="202"/>
    <s v="U (Sep 21)"/>
    <d v="2021-09-15T00:00:00"/>
    <n v="-1"/>
  </r>
  <r>
    <x v="327"/>
    <x v="21"/>
    <n v="0"/>
    <n v="0"/>
    <n v="0"/>
    <n v="0"/>
    <x v="2181"/>
    <n v="0"/>
    <n v="0"/>
    <n v="0"/>
    <n v="0"/>
    <x v="114"/>
    <n v="83"/>
    <s v="K (May 21)"/>
    <d v="2021-05-19T00:00:00"/>
    <n v="-1"/>
  </r>
  <r>
    <x v="328"/>
    <x v="20"/>
    <n v="0"/>
    <n v="0"/>
    <n v="0"/>
    <n v="0"/>
    <x v="2182"/>
    <n v="0"/>
    <n v="0"/>
    <n v="0"/>
    <n v="0"/>
    <x v="79"/>
    <n v="112"/>
    <s v="M (Jun 21)"/>
    <d v="2021-06-16T00:00:00"/>
    <n v="-1"/>
  </r>
  <r>
    <x v="328"/>
    <x v="19"/>
    <n v="0"/>
    <n v="0"/>
    <n v="0"/>
    <n v="0"/>
    <x v="2183"/>
    <n v="0"/>
    <n v="0"/>
    <n v="0"/>
    <n v="0"/>
    <x v="112"/>
    <n v="147"/>
    <s v="N (Jul 21)"/>
    <d v="2021-07-21T00:00:00"/>
    <n v="-1"/>
  </r>
  <r>
    <x v="328"/>
    <x v="17"/>
    <n v="0"/>
    <n v="0"/>
    <n v="0"/>
    <n v="0"/>
    <x v="2184"/>
    <n v="0"/>
    <n v="0"/>
    <n v="0"/>
    <n v="0"/>
    <x v="66"/>
    <n v="203"/>
    <s v="U (Sep 21)"/>
    <d v="2021-09-15T00:00:00"/>
    <n v="-1"/>
  </r>
  <r>
    <x v="328"/>
    <x v="21"/>
    <n v="0"/>
    <n v="0"/>
    <n v="0"/>
    <n v="0"/>
    <x v="2185"/>
    <n v="0"/>
    <n v="0"/>
    <n v="0"/>
    <n v="0"/>
    <x v="117"/>
    <n v="84"/>
    <s v="K (May 21)"/>
    <d v="2021-05-19T00:00:00"/>
    <n v="-1"/>
  </r>
  <r>
    <x v="328"/>
    <x v="23"/>
    <n v="0"/>
    <n v="0"/>
    <n v="0"/>
    <n v="0"/>
    <x v="2186"/>
    <n v="0"/>
    <n v="0"/>
    <n v="0"/>
    <n v="0"/>
    <x v="116"/>
    <n v="21"/>
    <s v="H (Mar 21)"/>
    <d v="2021-03-17T00:00:00"/>
    <n v="-1"/>
  </r>
  <r>
    <x v="328"/>
    <x v="18"/>
    <n v="0"/>
    <n v="0"/>
    <n v="0"/>
    <n v="0"/>
    <x v="2187"/>
    <n v="0"/>
    <n v="0"/>
    <n v="0"/>
    <n v="0"/>
    <x v="113"/>
    <n v="175"/>
    <s v="Q (Aug 21)"/>
    <d v="2021-08-18T00:00:00"/>
    <n v="-1"/>
  </r>
  <r>
    <x v="328"/>
    <x v="16"/>
    <n v="0"/>
    <n v="0"/>
    <n v="0"/>
    <n v="0"/>
    <x v="2188"/>
    <n v="0"/>
    <n v="0"/>
    <n v="0"/>
    <n v="0"/>
    <x v="139"/>
    <n v="238"/>
    <s v="V (Oct 21)"/>
    <d v="2021-10-20T00:00:00"/>
    <n v="-1"/>
  </r>
  <r>
    <x v="328"/>
    <x v="15"/>
    <n v="0"/>
    <n v="0"/>
    <n v="0"/>
    <n v="0"/>
    <x v="92"/>
    <n v="0"/>
    <n v="0"/>
    <n v="0"/>
    <n v="0"/>
    <x v="187"/>
    <n v="266"/>
    <s v="X (Nov 21)"/>
    <d v="2021-11-17T00:00:00"/>
    <n v="-1"/>
  </r>
  <r>
    <x v="328"/>
    <x v="22"/>
    <n v="0"/>
    <n v="0"/>
    <n v="0"/>
    <n v="0"/>
    <x v="2189"/>
    <n v="0"/>
    <n v="0"/>
    <n v="0"/>
    <n v="0"/>
    <x v="121"/>
    <n v="56"/>
    <s v="J (Apr 21)"/>
    <d v="2021-04-21T00:00:00"/>
    <n v="-1"/>
  </r>
  <r>
    <x v="329"/>
    <x v="23"/>
    <n v="0"/>
    <n v="0"/>
    <n v="0"/>
    <n v="0"/>
    <x v="2186"/>
    <n v="0"/>
    <n v="0"/>
    <n v="0"/>
    <n v="0"/>
    <x v="133"/>
    <n v="23"/>
    <s v="H (Mar 21)"/>
    <d v="2021-03-17T00:00:00"/>
    <n v="-1"/>
  </r>
  <r>
    <x v="329"/>
    <x v="18"/>
    <n v="0"/>
    <n v="0"/>
    <n v="0"/>
    <n v="0"/>
    <x v="2187"/>
    <n v="0"/>
    <n v="0"/>
    <n v="0"/>
    <n v="0"/>
    <x v="130"/>
    <n v="177"/>
    <s v="Q (Aug 21)"/>
    <d v="2021-08-18T00:00:00"/>
    <n v="-1"/>
  </r>
  <r>
    <x v="329"/>
    <x v="16"/>
    <n v="0"/>
    <n v="0"/>
    <n v="0"/>
    <n v="0"/>
    <x v="2188"/>
    <n v="0"/>
    <n v="0"/>
    <n v="0"/>
    <n v="0"/>
    <x v="155"/>
    <n v="240"/>
    <s v="V (Oct 21)"/>
    <d v="2021-10-20T00:00:00"/>
    <n v="-1"/>
  </r>
  <r>
    <x v="329"/>
    <x v="15"/>
    <n v="0"/>
    <n v="0"/>
    <n v="0"/>
    <n v="0"/>
    <x v="92"/>
    <n v="0"/>
    <n v="0"/>
    <n v="0"/>
    <n v="0"/>
    <x v="189"/>
    <n v="268"/>
    <s v="X (Nov 21)"/>
    <d v="2021-11-17T00:00:00"/>
    <n v="-1"/>
  </r>
  <r>
    <x v="329"/>
    <x v="22"/>
    <n v="0"/>
    <n v="0"/>
    <n v="0"/>
    <n v="0"/>
    <x v="2189"/>
    <n v="0"/>
    <n v="0"/>
    <n v="0"/>
    <n v="0"/>
    <x v="138"/>
    <n v="58"/>
    <s v="J (Apr 21)"/>
    <d v="2021-04-21T00:00:00"/>
    <n v="-1"/>
  </r>
  <r>
    <x v="329"/>
    <x v="20"/>
    <n v="0"/>
    <n v="0"/>
    <n v="0"/>
    <n v="0"/>
    <x v="2182"/>
    <n v="0"/>
    <n v="0"/>
    <n v="0"/>
    <n v="0"/>
    <x v="97"/>
    <n v="114"/>
    <s v="M (Jun 21)"/>
    <d v="2021-06-16T00:00:00"/>
    <n v="-1"/>
  </r>
  <r>
    <x v="329"/>
    <x v="19"/>
    <n v="0"/>
    <n v="0"/>
    <n v="0"/>
    <n v="0"/>
    <x v="2183"/>
    <n v="0"/>
    <n v="0"/>
    <n v="0"/>
    <n v="0"/>
    <x v="129"/>
    <n v="149"/>
    <s v="N (Jul 21)"/>
    <d v="2021-07-21T00:00:00"/>
    <n v="-1"/>
  </r>
  <r>
    <x v="329"/>
    <x v="17"/>
    <n v="0"/>
    <n v="0"/>
    <n v="0"/>
    <n v="0"/>
    <x v="2184"/>
    <n v="0"/>
    <n v="0"/>
    <n v="0"/>
    <n v="0"/>
    <x v="84"/>
    <n v="205"/>
    <s v="U (Sep 21)"/>
    <d v="2021-09-15T00:00:00"/>
    <n v="-1"/>
  </r>
  <r>
    <x v="329"/>
    <x v="21"/>
    <n v="0"/>
    <n v="0"/>
    <n v="0"/>
    <n v="0"/>
    <x v="2185"/>
    <n v="0"/>
    <n v="0"/>
    <n v="0"/>
    <n v="0"/>
    <x v="134"/>
    <n v="86"/>
    <s v="K (May 21)"/>
    <d v="2021-05-19T00:00:00"/>
    <n v="-1"/>
  </r>
  <r>
    <x v="330"/>
    <x v="20"/>
    <n v="0"/>
    <n v="0"/>
    <n v="0"/>
    <n v="0"/>
    <x v="180"/>
    <n v="0"/>
    <n v="0"/>
    <n v="0"/>
    <n v="0"/>
    <x v="100"/>
    <n v="117"/>
    <s v="M (Jun 21)"/>
    <d v="2021-06-16T00:00:00"/>
    <n v="-1"/>
  </r>
  <r>
    <x v="330"/>
    <x v="19"/>
    <n v="0"/>
    <n v="0"/>
    <n v="0"/>
    <n v="0"/>
    <x v="2190"/>
    <n v="0"/>
    <n v="0"/>
    <n v="0"/>
    <n v="0"/>
    <x v="140"/>
    <n v="152"/>
    <s v="N (Jul 21)"/>
    <d v="2021-07-21T00:00:00"/>
    <n v="-1"/>
  </r>
  <r>
    <x v="330"/>
    <x v="17"/>
    <n v="0"/>
    <n v="0"/>
    <n v="0"/>
    <n v="0"/>
    <x v="92"/>
    <n v="0"/>
    <n v="0"/>
    <n v="0"/>
    <n v="0"/>
    <x v="90"/>
    <n v="208"/>
    <s v="U (Sep 21)"/>
    <d v="2021-09-15T00:00:00"/>
    <n v="-1"/>
  </r>
  <r>
    <x v="330"/>
    <x v="21"/>
    <n v="0"/>
    <n v="0"/>
    <n v="0"/>
    <n v="0"/>
    <x v="2191"/>
    <n v="0"/>
    <n v="0"/>
    <n v="0"/>
    <n v="0"/>
    <x v="148"/>
    <n v="89"/>
    <s v="K (May 21)"/>
    <d v="2021-05-19T00:00:00"/>
    <n v="-1"/>
  </r>
  <r>
    <x v="330"/>
    <x v="23"/>
    <n v="0"/>
    <n v="0"/>
    <n v="0"/>
    <n v="0"/>
    <x v="2192"/>
    <n v="0"/>
    <n v="0"/>
    <n v="0"/>
    <n v="0"/>
    <x v="136"/>
    <n v="26"/>
    <s v="H (Mar 21)"/>
    <d v="2021-03-17T00:00:00"/>
    <n v="-1"/>
  </r>
  <r>
    <x v="330"/>
    <x v="18"/>
    <n v="0"/>
    <n v="0"/>
    <n v="0"/>
    <n v="0"/>
    <x v="2193"/>
    <n v="0"/>
    <n v="0"/>
    <n v="0"/>
    <n v="0"/>
    <x v="141"/>
    <n v="180"/>
    <s v="Q (Aug 21)"/>
    <d v="2021-08-18T00:00:00"/>
    <n v="-1"/>
  </r>
  <r>
    <x v="330"/>
    <x v="16"/>
    <n v="0"/>
    <n v="0"/>
    <n v="0"/>
    <n v="0"/>
    <x v="2153"/>
    <n v="0"/>
    <n v="0"/>
    <n v="0"/>
    <n v="0"/>
    <x v="160"/>
    <n v="243"/>
    <s v="V (Oct 21)"/>
    <d v="2021-10-20T00:00:00"/>
    <n v="-1"/>
  </r>
  <r>
    <x v="330"/>
    <x v="22"/>
    <n v="0"/>
    <n v="0"/>
    <n v="0"/>
    <n v="0"/>
    <x v="2194"/>
    <n v="0"/>
    <n v="0"/>
    <n v="0"/>
    <n v="0"/>
    <x v="143"/>
    <n v="61"/>
    <s v="J (Apr 21)"/>
    <d v="2021-04-21T00:00:00"/>
    <n v="-1"/>
  </r>
  <r>
    <x v="331"/>
    <x v="23"/>
    <n v="0"/>
    <n v="0"/>
    <n v="0"/>
    <n v="0"/>
    <x v="2195"/>
    <n v="0"/>
    <n v="0"/>
    <n v="0"/>
    <n v="0"/>
    <x v="150"/>
    <n v="27"/>
    <s v="H (Mar 21)"/>
    <d v="2021-03-17T00:00:00"/>
    <n v="-1"/>
  </r>
  <r>
    <x v="331"/>
    <x v="18"/>
    <n v="0"/>
    <n v="0"/>
    <n v="0"/>
    <n v="0"/>
    <x v="197"/>
    <n v="0"/>
    <n v="0"/>
    <n v="0"/>
    <n v="0"/>
    <x v="147"/>
    <n v="181"/>
    <s v="Q (Aug 21)"/>
    <d v="2021-08-18T00:00:00"/>
    <n v="-1"/>
  </r>
  <r>
    <x v="331"/>
    <x v="17"/>
    <n v="0"/>
    <n v="0"/>
    <n v="0"/>
    <n v="0"/>
    <x v="2196"/>
    <n v="0"/>
    <n v="0"/>
    <n v="0"/>
    <n v="0"/>
    <x v="102"/>
    <n v="209"/>
    <s v="U (Sep 21)"/>
    <d v="2021-09-15T00:00:00"/>
    <n v="-1"/>
  </r>
  <r>
    <x v="331"/>
    <x v="16"/>
    <n v="0"/>
    <n v="0"/>
    <n v="0"/>
    <n v="0"/>
    <x v="115"/>
    <n v="0"/>
    <n v="0"/>
    <n v="0"/>
    <n v="0"/>
    <x v="171"/>
    <n v="244"/>
    <s v="V (Oct 21)"/>
    <d v="2021-10-20T00:00:00"/>
    <n v="-1"/>
  </r>
  <r>
    <x v="331"/>
    <x v="22"/>
    <n v="0"/>
    <n v="0"/>
    <n v="0"/>
    <n v="0"/>
    <x v="87"/>
    <n v="0"/>
    <n v="0"/>
    <n v="0"/>
    <n v="0"/>
    <x v="154"/>
    <n v="62"/>
    <s v="J (Apr 21)"/>
    <d v="2021-04-21T00:00:00"/>
    <n v="-1"/>
  </r>
  <r>
    <x v="331"/>
    <x v="20"/>
    <n v="0"/>
    <n v="0"/>
    <n v="0"/>
    <n v="0"/>
    <x v="2197"/>
    <n v="0"/>
    <n v="0"/>
    <n v="0"/>
    <n v="0"/>
    <x v="115"/>
    <n v="118"/>
    <s v="M (Jun 21)"/>
    <d v="2021-06-16T00:00:00"/>
    <n v="-1"/>
  </r>
  <r>
    <x v="331"/>
    <x v="19"/>
    <n v="0"/>
    <n v="0"/>
    <n v="0"/>
    <n v="0"/>
    <x v="2198"/>
    <n v="0"/>
    <n v="0"/>
    <n v="0"/>
    <n v="0"/>
    <x v="146"/>
    <n v="153"/>
    <s v="N (Jul 21)"/>
    <d v="2021-07-21T00:00:00"/>
    <n v="-1"/>
  </r>
  <r>
    <x v="331"/>
    <x v="21"/>
    <n v="0"/>
    <n v="0"/>
    <n v="0"/>
    <n v="0"/>
    <x v="180"/>
    <n v="0"/>
    <n v="0"/>
    <n v="0"/>
    <n v="0"/>
    <x v="151"/>
    <n v="90"/>
    <s v="K (May 21)"/>
    <d v="2021-05-19T00:00:00"/>
    <n v="-1"/>
  </r>
  <r>
    <x v="332"/>
    <x v="20"/>
    <n v="0"/>
    <n v="0"/>
    <n v="0"/>
    <n v="0"/>
    <x v="2199"/>
    <n v="0"/>
    <n v="0"/>
    <n v="0"/>
    <n v="0"/>
    <x v="118"/>
    <n v="119"/>
    <s v="M (Jun 21)"/>
    <d v="2021-06-16T00:00:00"/>
    <n v="-1"/>
  </r>
  <r>
    <x v="332"/>
    <x v="19"/>
    <n v="0"/>
    <n v="0"/>
    <n v="0"/>
    <n v="0"/>
    <x v="2200"/>
    <n v="0"/>
    <n v="0"/>
    <n v="0"/>
    <n v="0"/>
    <x v="157"/>
    <n v="154"/>
    <s v="N (Jul 21)"/>
    <d v="2021-07-21T00:00:00"/>
    <n v="-1"/>
  </r>
  <r>
    <x v="332"/>
    <x v="21"/>
    <n v="0"/>
    <n v="0"/>
    <n v="0"/>
    <n v="0"/>
    <x v="2201"/>
    <n v="0"/>
    <n v="0"/>
    <n v="0"/>
    <n v="0"/>
    <x v="164"/>
    <n v="91"/>
    <s v="K (May 21)"/>
    <d v="2021-05-19T00:00:00"/>
    <n v="-1"/>
  </r>
  <r>
    <x v="332"/>
    <x v="24"/>
    <n v="0"/>
    <n v="0"/>
    <n v="0"/>
    <n v="0"/>
    <x v="2202"/>
    <n v="0"/>
    <n v="0"/>
    <n v="0"/>
    <n v="0"/>
    <x v="145"/>
    <n v="0"/>
    <s v="G (Feb 21)"/>
    <d v="2021-02-17T00:00:00"/>
    <n v="-1"/>
  </r>
  <r>
    <x v="332"/>
    <x v="23"/>
    <n v="0"/>
    <n v="0"/>
    <n v="0"/>
    <n v="0"/>
    <x v="694"/>
    <n v="0"/>
    <n v="0"/>
    <n v="0"/>
    <n v="0"/>
    <x v="153"/>
    <n v="28"/>
    <s v="H (Mar 21)"/>
    <d v="2021-03-17T00:00:00"/>
    <n v="-1"/>
  </r>
  <r>
    <x v="332"/>
    <x v="18"/>
    <n v="0"/>
    <n v="0"/>
    <n v="0"/>
    <n v="0"/>
    <x v="2203"/>
    <n v="0"/>
    <n v="0"/>
    <n v="0"/>
    <n v="0"/>
    <x v="158"/>
    <n v="182"/>
    <s v="Q (Aug 21)"/>
    <d v="2021-08-18T00:00:00"/>
    <n v="-1"/>
  </r>
  <r>
    <x v="332"/>
    <x v="17"/>
    <n v="0"/>
    <n v="0"/>
    <n v="0"/>
    <n v="0"/>
    <x v="2204"/>
    <n v="0"/>
    <n v="0"/>
    <n v="0"/>
    <n v="0"/>
    <x v="108"/>
    <n v="210"/>
    <s v="U (Sep 21)"/>
    <d v="2021-09-15T00:00:00"/>
    <n v="-1"/>
  </r>
  <r>
    <x v="332"/>
    <x v="16"/>
    <n v="0"/>
    <n v="0"/>
    <n v="0"/>
    <n v="0"/>
    <x v="180"/>
    <n v="0"/>
    <n v="0"/>
    <n v="0"/>
    <n v="0"/>
    <x v="4"/>
    <n v="245"/>
    <s v="V (Oct 21)"/>
    <d v="2021-10-20T00:00:00"/>
    <n v="-1"/>
  </r>
  <r>
    <x v="332"/>
    <x v="22"/>
    <n v="0"/>
    <n v="0"/>
    <n v="0"/>
    <n v="0"/>
    <x v="2205"/>
    <n v="0"/>
    <n v="0"/>
    <n v="0"/>
    <n v="0"/>
    <x v="159"/>
    <n v="63"/>
    <s v="J (Apr 21)"/>
    <d v="2021-04-21T00:00:00"/>
    <n v="-1"/>
  </r>
  <r>
    <x v="333"/>
    <x v="24"/>
    <n v="0"/>
    <n v="0"/>
    <n v="0"/>
    <n v="0"/>
    <x v="2206"/>
    <n v="0"/>
    <n v="0"/>
    <n v="0"/>
    <n v="0"/>
    <x v="156"/>
    <n v="1"/>
    <s v="G (Feb 21)"/>
    <d v="2021-02-17T00:00:00"/>
    <n v="-1"/>
  </r>
  <r>
    <x v="333"/>
    <x v="23"/>
    <n v="0"/>
    <n v="0"/>
    <n v="0"/>
    <n v="0"/>
    <x v="2207"/>
    <n v="0"/>
    <n v="0"/>
    <n v="0"/>
    <n v="0"/>
    <x v="166"/>
    <n v="29"/>
    <s v="H (Mar 21)"/>
    <d v="2021-03-17T00:00:00"/>
    <n v="-1"/>
  </r>
  <r>
    <x v="333"/>
    <x v="18"/>
    <n v="0"/>
    <n v="0"/>
    <n v="0"/>
    <n v="0"/>
    <x v="2208"/>
    <n v="0"/>
    <n v="0"/>
    <n v="0"/>
    <n v="0"/>
    <x v="163"/>
    <n v="183"/>
    <s v="Q (Aug 21)"/>
    <d v="2021-08-18T00:00:00"/>
    <n v="-1"/>
  </r>
  <r>
    <x v="333"/>
    <x v="17"/>
    <n v="0"/>
    <n v="0"/>
    <n v="0"/>
    <n v="0"/>
    <x v="120"/>
    <n v="0"/>
    <n v="0"/>
    <n v="0"/>
    <n v="0"/>
    <x v="120"/>
    <n v="211"/>
    <s v="U (Sep 21)"/>
    <d v="2021-09-15T00:00:00"/>
    <n v="-1"/>
  </r>
  <r>
    <x v="333"/>
    <x v="16"/>
    <n v="0"/>
    <n v="0"/>
    <n v="0"/>
    <n v="0"/>
    <x v="88"/>
    <n v="0"/>
    <n v="0"/>
    <n v="0"/>
    <n v="0"/>
    <x v="16"/>
    <n v="246"/>
    <s v="V (Oct 21)"/>
    <d v="2021-10-20T00:00:00"/>
    <n v="-1"/>
  </r>
  <r>
    <x v="333"/>
    <x v="22"/>
    <n v="0"/>
    <n v="0"/>
    <n v="0"/>
    <n v="0"/>
    <x v="2209"/>
    <n v="0"/>
    <n v="0"/>
    <n v="0"/>
    <n v="0"/>
    <x v="170"/>
    <n v="64"/>
    <s v="J (Apr 21)"/>
    <d v="2021-04-21T00:00:00"/>
    <n v="-1"/>
  </r>
  <r>
    <x v="333"/>
    <x v="20"/>
    <n v="0"/>
    <n v="0"/>
    <n v="0"/>
    <n v="0"/>
    <x v="2210"/>
    <n v="0"/>
    <n v="0"/>
    <n v="0"/>
    <n v="0"/>
    <x v="132"/>
    <n v="120"/>
    <s v="M (Jun 21)"/>
    <d v="2021-06-16T00:00:00"/>
    <n v="-1"/>
  </r>
  <r>
    <x v="333"/>
    <x v="19"/>
    <n v="0"/>
    <n v="0"/>
    <n v="0"/>
    <n v="0"/>
    <x v="2211"/>
    <n v="0"/>
    <n v="0"/>
    <n v="0"/>
    <n v="0"/>
    <x v="162"/>
    <n v="155"/>
    <s v="N (Jul 21)"/>
    <d v="2021-07-21T00:00:00"/>
    <n v="-1"/>
  </r>
  <r>
    <x v="333"/>
    <x v="21"/>
    <n v="0"/>
    <n v="0"/>
    <n v="0"/>
    <n v="0"/>
    <x v="2212"/>
    <n v="0"/>
    <n v="0"/>
    <n v="0"/>
    <n v="0"/>
    <x v="167"/>
    <n v="92"/>
    <s v="K (May 21)"/>
    <d v="2021-05-19T00:00:00"/>
    <n v="-1"/>
  </r>
  <r>
    <x v="334"/>
    <x v="20"/>
    <n v="0"/>
    <n v="0"/>
    <n v="0"/>
    <n v="0"/>
    <x v="2213"/>
    <n v="0"/>
    <n v="0"/>
    <n v="0"/>
    <n v="0"/>
    <x v="135"/>
    <n v="124"/>
    <s v="M (Jun 21)"/>
    <d v="2021-06-16T00:00:00"/>
    <n v="-1"/>
  </r>
  <r>
    <x v="334"/>
    <x v="19"/>
    <n v="0"/>
    <n v="0"/>
    <n v="0"/>
    <n v="0"/>
    <x v="2214"/>
    <n v="0"/>
    <n v="0"/>
    <n v="0"/>
    <n v="0"/>
    <x v="172"/>
    <n v="159"/>
    <s v="N (Jul 21)"/>
    <d v="2021-07-21T00:00:00"/>
    <n v="-1"/>
  </r>
  <r>
    <x v="334"/>
    <x v="21"/>
    <n v="0"/>
    <n v="0"/>
    <n v="0"/>
    <n v="0"/>
    <x v="2215"/>
    <n v="0"/>
    <n v="0"/>
    <n v="0"/>
    <n v="0"/>
    <x v="175"/>
    <n v="96"/>
    <s v="K (May 21)"/>
    <d v="2021-05-19T00:00:00"/>
    <n v="-1"/>
  </r>
  <r>
    <x v="334"/>
    <x v="24"/>
    <n v="0"/>
    <n v="0"/>
    <n v="0"/>
    <n v="0"/>
    <x v="2216"/>
    <n v="0"/>
    <n v="0"/>
    <n v="0"/>
    <n v="0"/>
    <x v="161"/>
    <n v="5"/>
    <s v="G (Feb 21)"/>
    <d v="2021-02-17T00:00:00"/>
    <n v="-1"/>
  </r>
  <r>
    <x v="334"/>
    <x v="23"/>
    <n v="0"/>
    <n v="0"/>
    <n v="0"/>
    <n v="0"/>
    <x v="2217"/>
    <n v="0"/>
    <n v="0"/>
    <n v="0"/>
    <n v="0"/>
    <x v="169"/>
    <n v="33"/>
    <s v="H (Mar 21)"/>
    <d v="2021-03-17T00:00:00"/>
    <n v="-1"/>
  </r>
  <r>
    <x v="334"/>
    <x v="18"/>
    <n v="0"/>
    <n v="0"/>
    <n v="0"/>
    <n v="0"/>
    <x v="16"/>
    <n v="0"/>
    <n v="0"/>
    <n v="0"/>
    <n v="0"/>
    <x v="173"/>
    <n v="187"/>
    <s v="Q (Aug 21)"/>
    <d v="2021-08-18T00:00:00"/>
    <n v="-1"/>
  </r>
  <r>
    <x v="334"/>
    <x v="17"/>
    <n v="0"/>
    <n v="0"/>
    <n v="0"/>
    <n v="0"/>
    <x v="2156"/>
    <n v="0"/>
    <n v="0"/>
    <n v="0"/>
    <n v="0"/>
    <x v="126"/>
    <n v="215"/>
    <s v="U (Sep 21)"/>
    <d v="2021-09-15T00:00:00"/>
    <n v="-1"/>
  </r>
  <r>
    <x v="334"/>
    <x v="16"/>
    <n v="0"/>
    <n v="0"/>
    <n v="0"/>
    <n v="0"/>
    <x v="2156"/>
    <n v="0"/>
    <n v="0"/>
    <n v="0"/>
    <n v="0"/>
    <x v="22"/>
    <n v="250"/>
    <s v="V (Oct 21)"/>
    <d v="2021-10-20T00:00:00"/>
    <n v="-1"/>
  </r>
  <r>
    <x v="334"/>
    <x v="22"/>
    <n v="0"/>
    <n v="0"/>
    <n v="0"/>
    <n v="0"/>
    <x v="2218"/>
    <n v="0"/>
    <n v="0"/>
    <n v="0"/>
    <n v="0"/>
    <x v="6"/>
    <n v="68"/>
    <s v="J (Apr 21)"/>
    <d v="2021-04-21T00:00:00"/>
    <n v="-1"/>
  </r>
  <r>
    <x v="335"/>
    <x v="24"/>
    <n v="0"/>
    <n v="0"/>
    <n v="0"/>
    <n v="0"/>
    <x v="2219"/>
    <n v="0"/>
    <n v="0"/>
    <n v="0"/>
    <n v="0"/>
    <x v="8"/>
    <n v="6"/>
    <s v="G (Feb 21)"/>
    <d v="2021-02-17T00:00:00"/>
    <n v="-1"/>
  </r>
  <r>
    <x v="335"/>
    <x v="23"/>
    <n v="0"/>
    <n v="0"/>
    <n v="0"/>
    <n v="0"/>
    <x v="2220"/>
    <n v="0"/>
    <n v="0"/>
    <n v="0"/>
    <n v="0"/>
    <x v="176"/>
    <n v="34"/>
    <s v="H (Mar 21)"/>
    <d v="2021-03-17T00:00:00"/>
    <n v="-1"/>
  </r>
  <r>
    <x v="335"/>
    <x v="18"/>
    <n v="0"/>
    <n v="0"/>
    <n v="0"/>
    <n v="0"/>
    <x v="2221"/>
    <n v="0"/>
    <n v="0"/>
    <n v="0"/>
    <n v="0"/>
    <x v="174"/>
    <n v="188"/>
    <s v="Q (Aug 21)"/>
    <d v="2021-08-18T00:00:00"/>
    <n v="-1"/>
  </r>
  <r>
    <x v="335"/>
    <x v="17"/>
    <n v="0"/>
    <n v="0"/>
    <n v="0"/>
    <n v="0"/>
    <x v="50"/>
    <n v="0"/>
    <n v="0"/>
    <n v="0"/>
    <n v="0"/>
    <x v="137"/>
    <n v="216"/>
    <s v="U (Sep 21)"/>
    <d v="2021-09-15T00:00:00"/>
    <n v="-1"/>
  </r>
  <r>
    <x v="335"/>
    <x v="16"/>
    <n v="0"/>
    <n v="0"/>
    <n v="0"/>
    <n v="0"/>
    <x v="50"/>
    <n v="0"/>
    <n v="0"/>
    <n v="0"/>
    <n v="0"/>
    <x v="33"/>
    <n v="251"/>
    <s v="V (Oct 21)"/>
    <d v="2021-10-20T00:00:00"/>
    <n v="-1"/>
  </r>
  <r>
    <x v="335"/>
    <x v="22"/>
    <n v="0"/>
    <n v="0"/>
    <n v="0"/>
    <n v="0"/>
    <x v="2222"/>
    <n v="0"/>
    <n v="0"/>
    <n v="0"/>
    <n v="0"/>
    <x v="9"/>
    <n v="69"/>
    <s v="J (Apr 21)"/>
    <d v="2021-04-21T00:00:00"/>
    <n v="-1"/>
  </r>
  <r>
    <x v="335"/>
    <x v="20"/>
    <n v="0"/>
    <n v="0"/>
    <n v="0"/>
    <n v="0"/>
    <x v="2223"/>
    <n v="0"/>
    <n v="0"/>
    <n v="0"/>
    <n v="0"/>
    <x v="149"/>
    <n v="125"/>
    <s v="M (Jun 21)"/>
    <d v="2021-06-16T00:00:00"/>
    <n v="-1"/>
  </r>
  <r>
    <x v="335"/>
    <x v="19"/>
    <n v="0"/>
    <n v="0"/>
    <n v="0"/>
    <n v="0"/>
    <x v="205"/>
    <n v="0"/>
    <n v="0"/>
    <n v="0"/>
    <n v="0"/>
    <x v="0"/>
    <n v="160"/>
    <s v="N (Jul 21)"/>
    <d v="2021-07-21T00:00:00"/>
    <n v="-1"/>
  </r>
  <r>
    <x v="335"/>
    <x v="21"/>
    <n v="0"/>
    <n v="0"/>
    <n v="0"/>
    <n v="0"/>
    <x v="2224"/>
    <n v="0"/>
    <n v="0"/>
    <n v="0"/>
    <n v="0"/>
    <x v="177"/>
    <n v="97"/>
    <s v="K (May 21)"/>
    <d v="2021-05-19T00:00:00"/>
    <n v="-1"/>
  </r>
  <r>
    <x v="336"/>
    <x v="20"/>
    <n v="0"/>
    <n v="0"/>
    <n v="0"/>
    <n v="0"/>
    <x v="2225"/>
    <n v="0"/>
    <n v="0"/>
    <n v="0"/>
    <n v="0"/>
    <x v="152"/>
    <n v="126"/>
    <s v="M (Jun 21)"/>
    <d v="2021-06-16T00:00:00"/>
    <n v="-1"/>
  </r>
  <r>
    <x v="336"/>
    <x v="19"/>
    <n v="0"/>
    <n v="0"/>
    <n v="0"/>
    <n v="0"/>
    <x v="2226"/>
    <n v="0"/>
    <n v="0"/>
    <n v="0"/>
    <n v="0"/>
    <x v="12"/>
    <n v="161"/>
    <s v="N (Jul 21)"/>
    <d v="2021-07-21T00:00:00"/>
    <n v="-1"/>
  </r>
  <r>
    <x v="336"/>
    <x v="21"/>
    <n v="0"/>
    <n v="0"/>
    <n v="0"/>
    <n v="0"/>
    <x v="2227"/>
    <n v="0"/>
    <n v="0"/>
    <n v="0"/>
    <n v="0"/>
    <x v="181"/>
    <n v="98"/>
    <s v="K (May 21)"/>
    <d v="2021-05-19T00:00:00"/>
    <n v="-1"/>
  </r>
  <r>
    <x v="336"/>
    <x v="24"/>
    <n v="0"/>
    <n v="0"/>
    <n v="0"/>
    <n v="0"/>
    <x v="2228"/>
    <n v="0"/>
    <n v="0"/>
    <n v="0"/>
    <n v="0"/>
    <x v="11"/>
    <n v="7"/>
    <s v="G (Feb 21)"/>
    <d v="2021-02-17T00:00:00"/>
    <n v="-1"/>
  </r>
  <r>
    <x v="336"/>
    <x v="23"/>
    <n v="0"/>
    <n v="0"/>
    <n v="0"/>
    <n v="0"/>
    <x v="2229"/>
    <n v="0"/>
    <n v="0"/>
    <n v="0"/>
    <n v="0"/>
    <x v="178"/>
    <n v="35"/>
    <s v="H (Mar 21)"/>
    <d v="2021-03-17T00:00:00"/>
    <n v="-1"/>
  </r>
  <r>
    <x v="336"/>
    <x v="18"/>
    <n v="0"/>
    <n v="0"/>
    <n v="0"/>
    <n v="0"/>
    <x v="2230"/>
    <n v="0"/>
    <n v="0"/>
    <n v="0"/>
    <n v="0"/>
    <x v="179"/>
    <n v="189"/>
    <s v="Q (Aug 21)"/>
    <d v="2021-08-18T00:00:00"/>
    <n v="-1"/>
  </r>
  <r>
    <x v="336"/>
    <x v="17"/>
    <n v="0"/>
    <n v="0"/>
    <n v="0"/>
    <n v="0"/>
    <x v="99"/>
    <n v="0"/>
    <n v="0"/>
    <n v="0"/>
    <n v="0"/>
    <x v="142"/>
    <n v="217"/>
    <s v="U (Sep 21)"/>
    <d v="2021-09-15T00:00:00"/>
    <n v="-1"/>
  </r>
  <r>
    <x v="336"/>
    <x v="16"/>
    <n v="0"/>
    <n v="0"/>
    <n v="0"/>
    <n v="0"/>
    <x v="214"/>
    <n v="0"/>
    <n v="0"/>
    <n v="0"/>
    <n v="0"/>
    <x v="39"/>
    <n v="252"/>
    <s v="V (Oct 21)"/>
    <d v="2021-10-20T00:00:00"/>
    <n v="-1"/>
  </r>
  <r>
    <x v="336"/>
    <x v="22"/>
    <n v="0"/>
    <n v="0"/>
    <n v="0"/>
    <n v="0"/>
    <x v="2231"/>
    <n v="0"/>
    <n v="0"/>
    <n v="0"/>
    <n v="0"/>
    <x v="24"/>
    <n v="70"/>
    <s v="J (Apr 21)"/>
    <d v="2021-04-21T00:00:00"/>
    <n v="-1"/>
  </r>
  <r>
    <x v="337"/>
    <x v="24"/>
    <n v="0"/>
    <n v="0"/>
    <n v="0"/>
    <n v="0"/>
    <x v="2232"/>
    <n v="0"/>
    <n v="0"/>
    <n v="0"/>
    <n v="0"/>
    <x v="26"/>
    <n v="8"/>
    <s v="G (Feb 21)"/>
    <d v="2021-02-17T00:00:00"/>
    <n v="-1"/>
  </r>
  <r>
    <x v="337"/>
    <x v="23"/>
    <n v="0"/>
    <n v="0"/>
    <n v="0"/>
    <n v="0"/>
    <x v="2233"/>
    <n v="0"/>
    <n v="0"/>
    <n v="0"/>
    <n v="0"/>
    <x v="182"/>
    <n v="36"/>
    <s v="H (Mar 21)"/>
    <d v="2021-03-17T00:00:00"/>
    <n v="-1"/>
  </r>
  <r>
    <x v="337"/>
    <x v="18"/>
    <n v="0"/>
    <n v="0"/>
    <n v="0"/>
    <n v="0"/>
    <x v="82"/>
    <n v="0"/>
    <n v="0"/>
    <n v="0"/>
    <n v="0"/>
    <x v="180"/>
    <n v="190"/>
    <s v="Q (Aug 21)"/>
    <d v="2021-08-18T00:00:00"/>
    <n v="-1"/>
  </r>
  <r>
    <x v="337"/>
    <x v="17"/>
    <n v="0"/>
    <n v="0"/>
    <n v="0"/>
    <n v="0"/>
    <x v="2108"/>
    <n v="0"/>
    <n v="0"/>
    <n v="0"/>
    <n v="0"/>
    <x v="3"/>
    <n v="218"/>
    <s v="U (Sep 21)"/>
    <d v="2021-09-15T00:00:00"/>
    <n v="-1"/>
  </r>
  <r>
    <x v="337"/>
    <x v="16"/>
    <n v="0"/>
    <n v="0"/>
    <n v="0"/>
    <n v="0"/>
    <x v="2108"/>
    <n v="0"/>
    <n v="0"/>
    <n v="0"/>
    <n v="0"/>
    <x v="51"/>
    <n v="253"/>
    <s v="V (Oct 21)"/>
    <d v="2021-10-20T00:00:00"/>
    <n v="-1"/>
  </r>
  <r>
    <x v="337"/>
    <x v="22"/>
    <n v="0"/>
    <n v="0"/>
    <n v="0"/>
    <n v="0"/>
    <x v="2234"/>
    <n v="0"/>
    <n v="0"/>
    <n v="0"/>
    <n v="0"/>
    <x v="27"/>
    <n v="71"/>
    <s v="J (Apr 21)"/>
    <d v="2021-04-21T00:00:00"/>
    <n v="-1"/>
  </r>
  <r>
    <x v="337"/>
    <x v="20"/>
    <n v="0"/>
    <n v="0"/>
    <n v="0"/>
    <n v="0"/>
    <x v="2235"/>
    <n v="0"/>
    <n v="0"/>
    <n v="0"/>
    <n v="0"/>
    <x v="165"/>
    <n v="127"/>
    <s v="M (Jun 21)"/>
    <d v="2021-06-16T00:00:00"/>
    <n v="-1"/>
  </r>
  <r>
    <x v="337"/>
    <x v="19"/>
    <n v="0"/>
    <n v="0"/>
    <n v="0"/>
    <n v="0"/>
    <x v="2236"/>
    <n v="0"/>
    <n v="0"/>
    <n v="0"/>
    <n v="0"/>
    <x v="18"/>
    <n v="162"/>
    <s v="N (Jul 21)"/>
    <d v="2021-07-21T00:00:00"/>
    <n v="-1"/>
  </r>
  <r>
    <x v="337"/>
    <x v="21"/>
    <n v="0"/>
    <n v="0"/>
    <n v="0"/>
    <n v="0"/>
    <x v="70"/>
    <n v="0"/>
    <n v="0"/>
    <n v="0"/>
    <n v="0"/>
    <x v="183"/>
    <n v="99"/>
    <s v="K (May 21)"/>
    <d v="2021-05-19T00:00:00"/>
    <n v="-1"/>
  </r>
  <r>
    <x v="338"/>
    <x v="20"/>
    <n v="0"/>
    <n v="0"/>
    <n v="0"/>
    <n v="0"/>
    <x v="2237"/>
    <n v="0"/>
    <n v="0"/>
    <n v="0"/>
    <n v="0"/>
    <x v="168"/>
    <n v="128"/>
    <s v="M (Jun 21)"/>
    <d v="2021-06-16T00:00:00"/>
    <n v="-1"/>
  </r>
  <r>
    <x v="338"/>
    <x v="19"/>
    <n v="0"/>
    <n v="0"/>
    <n v="0"/>
    <n v="0"/>
    <x v="82"/>
    <n v="0"/>
    <n v="0"/>
    <n v="0"/>
    <n v="0"/>
    <x v="35"/>
    <n v="163"/>
    <s v="N (Jul 21)"/>
    <d v="2021-07-21T00:00:00"/>
    <n v="-1"/>
  </r>
  <r>
    <x v="338"/>
    <x v="21"/>
    <n v="0"/>
    <n v="0"/>
    <n v="0"/>
    <n v="0"/>
    <x v="18"/>
    <n v="0"/>
    <n v="0"/>
    <n v="0"/>
    <n v="0"/>
    <x v="7"/>
    <n v="100"/>
    <s v="K (May 21)"/>
    <d v="2021-05-19T00:00:00"/>
    <n v="-1"/>
  </r>
  <r>
    <x v="338"/>
    <x v="24"/>
    <n v="0"/>
    <n v="0"/>
    <n v="0"/>
    <n v="0"/>
    <x v="2238"/>
    <n v="0"/>
    <n v="0"/>
    <n v="0"/>
    <n v="0"/>
    <x v="29"/>
    <n v="9"/>
    <s v="G (Feb 21)"/>
    <d v="2021-02-17T00:00:00"/>
    <n v="-1"/>
  </r>
  <r>
    <x v="338"/>
    <x v="23"/>
    <n v="0"/>
    <n v="0"/>
    <n v="0"/>
    <n v="0"/>
    <x v="2239"/>
    <n v="0"/>
    <n v="0"/>
    <n v="0"/>
    <n v="0"/>
    <x v="184"/>
    <n v="37"/>
    <s v="H (Mar 21)"/>
    <d v="2021-03-17T00:00:00"/>
    <n v="-1"/>
  </r>
  <r>
    <x v="338"/>
    <x v="18"/>
    <n v="0"/>
    <n v="0"/>
    <n v="0"/>
    <n v="0"/>
    <x v="346"/>
    <n v="0"/>
    <n v="0"/>
    <n v="0"/>
    <n v="0"/>
    <x v="185"/>
    <n v="191"/>
    <s v="Q (Aug 21)"/>
    <d v="2021-08-18T00:00:00"/>
    <n v="-1"/>
  </r>
  <r>
    <x v="338"/>
    <x v="17"/>
    <n v="0"/>
    <n v="0"/>
    <n v="0"/>
    <n v="0"/>
    <x v="2240"/>
    <n v="0"/>
    <n v="0"/>
    <n v="0"/>
    <n v="0"/>
    <x v="15"/>
    <n v="219"/>
    <s v="U (Sep 21)"/>
    <d v="2021-09-15T00:00:00"/>
    <n v="-1"/>
  </r>
  <r>
    <x v="338"/>
    <x v="16"/>
    <n v="0"/>
    <n v="0"/>
    <n v="0"/>
    <n v="0"/>
    <x v="2240"/>
    <n v="0"/>
    <n v="0"/>
    <n v="0"/>
    <n v="0"/>
    <x v="57"/>
    <n v="254"/>
    <s v="V (Oct 21)"/>
    <d v="2021-10-20T00:00:00"/>
    <n v="-1"/>
  </r>
  <r>
    <x v="338"/>
    <x v="22"/>
    <n v="0"/>
    <n v="0"/>
    <n v="0"/>
    <n v="0"/>
    <x v="2241"/>
    <n v="0"/>
    <n v="0"/>
    <n v="0"/>
    <n v="0"/>
    <x v="42"/>
    <n v="72"/>
    <s v="J (Apr 21)"/>
    <d v="2021-04-21T00:00:00"/>
    <n v="-1"/>
  </r>
  <r>
    <x v="339"/>
    <x v="24"/>
    <n v="0"/>
    <n v="0"/>
    <n v="0"/>
    <n v="0"/>
    <x v="2242"/>
    <n v="0"/>
    <n v="0"/>
    <n v="0"/>
    <n v="0"/>
    <x v="44"/>
    <n v="12"/>
    <s v="G (Feb 21)"/>
    <d v="2021-02-17T00:00:00"/>
    <n v="-1"/>
  </r>
  <r>
    <x v="339"/>
    <x v="23"/>
    <n v="0"/>
    <n v="0"/>
    <n v="0"/>
    <n v="0"/>
    <x v="635"/>
    <n v="0"/>
    <n v="0"/>
    <n v="0"/>
    <n v="0"/>
    <x v="2"/>
    <n v="40"/>
    <s v="H (Mar 21)"/>
    <d v="2021-03-17T00:00:00"/>
    <n v="-1"/>
  </r>
  <r>
    <x v="339"/>
    <x v="18"/>
    <n v="0"/>
    <n v="0"/>
    <n v="0"/>
    <n v="0"/>
    <x v="2243"/>
    <n v="0"/>
    <n v="0"/>
    <n v="0"/>
    <n v="0"/>
    <x v="1"/>
    <n v="194"/>
    <s v="Q (Aug 21)"/>
    <d v="2021-08-18T00:00:00"/>
    <n v="-1"/>
  </r>
  <r>
    <x v="339"/>
    <x v="17"/>
    <n v="0"/>
    <n v="0"/>
    <n v="0"/>
    <n v="0"/>
    <x v="54"/>
    <n v="0"/>
    <n v="0"/>
    <n v="0"/>
    <n v="0"/>
    <x v="21"/>
    <n v="222"/>
    <s v="U (Sep 21)"/>
    <d v="2021-09-15T00:00:00"/>
    <n v="-1"/>
  </r>
  <r>
    <x v="339"/>
    <x v="16"/>
    <n v="0"/>
    <n v="0"/>
    <n v="0"/>
    <n v="0"/>
    <x v="2244"/>
    <n v="0"/>
    <n v="0"/>
    <n v="0"/>
    <n v="0"/>
    <x v="69"/>
    <n v="257"/>
    <s v="V (Oct 21)"/>
    <d v="2021-10-20T00:00:00"/>
    <n v="-1"/>
  </r>
  <r>
    <x v="339"/>
    <x v="22"/>
    <n v="0"/>
    <n v="0"/>
    <n v="0"/>
    <n v="0"/>
    <x v="2245"/>
    <n v="0"/>
    <n v="0"/>
    <n v="0"/>
    <n v="0"/>
    <x v="45"/>
    <n v="75"/>
    <s v="J (Apr 21)"/>
    <d v="2021-04-21T00:00:00"/>
    <n v="-1"/>
  </r>
  <r>
    <x v="339"/>
    <x v="20"/>
    <n v="0"/>
    <n v="0"/>
    <n v="0"/>
    <n v="0"/>
    <x v="2246"/>
    <n v="0"/>
    <n v="0"/>
    <n v="0"/>
    <n v="0"/>
    <x v="5"/>
    <n v="131"/>
    <s v="M (Jun 21)"/>
    <d v="2021-06-16T00:00:00"/>
    <n v="-1"/>
  </r>
  <r>
    <x v="339"/>
    <x v="19"/>
    <n v="0"/>
    <n v="0"/>
    <n v="0"/>
    <n v="0"/>
    <x v="49"/>
    <n v="0"/>
    <n v="0"/>
    <n v="0"/>
    <n v="0"/>
    <x v="41"/>
    <n v="166"/>
    <s v="N (Jul 21)"/>
    <d v="2021-07-21T00:00:00"/>
    <n v="-1"/>
  </r>
  <r>
    <x v="339"/>
    <x v="21"/>
    <n v="0"/>
    <n v="0"/>
    <n v="0"/>
    <n v="0"/>
    <x v="2247"/>
    <n v="0"/>
    <n v="0"/>
    <n v="0"/>
    <n v="0"/>
    <x v="10"/>
    <n v="103"/>
    <s v="K (May 21)"/>
    <d v="2021-05-19T00:00:00"/>
    <n v="-1"/>
  </r>
  <r>
    <x v="340"/>
    <x v="20"/>
    <n v="0"/>
    <n v="0"/>
    <n v="0"/>
    <n v="0"/>
    <x v="2248"/>
    <n v="0"/>
    <n v="0"/>
    <n v="0"/>
    <n v="0"/>
    <x v="17"/>
    <n v="132"/>
    <s v="M (Jun 21)"/>
    <d v="2021-06-16T00:00:00"/>
    <n v="-1"/>
  </r>
  <r>
    <x v="340"/>
    <x v="19"/>
    <n v="0"/>
    <n v="0"/>
    <n v="0"/>
    <n v="0"/>
    <x v="2249"/>
    <n v="0"/>
    <n v="0"/>
    <n v="0"/>
    <n v="0"/>
    <x v="53"/>
    <n v="167"/>
    <s v="N (Jul 21)"/>
    <d v="2021-07-21T00:00:00"/>
    <n v="-1"/>
  </r>
  <r>
    <x v="340"/>
    <x v="21"/>
    <n v="0"/>
    <n v="0"/>
    <n v="0"/>
    <n v="0"/>
    <x v="346"/>
    <n v="0"/>
    <n v="0"/>
    <n v="0"/>
    <n v="0"/>
    <x v="25"/>
    <n v="104"/>
    <s v="K (May 21)"/>
    <d v="2021-05-19T00:00:00"/>
    <n v="-1"/>
  </r>
  <r>
    <x v="340"/>
    <x v="24"/>
    <n v="0"/>
    <n v="0"/>
    <n v="0"/>
    <n v="0"/>
    <x v="2250"/>
    <n v="0"/>
    <n v="0"/>
    <n v="0"/>
    <n v="0"/>
    <x v="47"/>
    <n v="13"/>
    <s v="G (Feb 21)"/>
    <d v="2021-02-17T00:00:00"/>
    <n v="-1"/>
  </r>
  <r>
    <x v="340"/>
    <x v="23"/>
    <n v="0"/>
    <n v="0"/>
    <n v="0"/>
    <n v="0"/>
    <x v="2251"/>
    <n v="0"/>
    <n v="0"/>
    <n v="0"/>
    <n v="0"/>
    <x v="14"/>
    <n v="41"/>
    <s v="H (Mar 21)"/>
    <d v="2021-03-17T00:00:00"/>
    <n v="-1"/>
  </r>
  <r>
    <x v="340"/>
    <x v="18"/>
    <n v="0"/>
    <n v="0"/>
    <n v="0"/>
    <n v="0"/>
    <x v="2252"/>
    <n v="0"/>
    <n v="0"/>
    <n v="0"/>
    <n v="0"/>
    <x v="13"/>
    <n v="195"/>
    <s v="Q (Aug 21)"/>
    <d v="2021-08-18T00:00:00"/>
    <n v="-1"/>
  </r>
  <r>
    <x v="340"/>
    <x v="17"/>
    <n v="0"/>
    <n v="0"/>
    <n v="0"/>
    <n v="0"/>
    <x v="54"/>
    <n v="0"/>
    <n v="0"/>
    <n v="0"/>
    <n v="0"/>
    <x v="32"/>
    <n v="223"/>
    <s v="U (Sep 21)"/>
    <d v="2021-09-15T00:00:00"/>
    <n v="-1"/>
  </r>
  <r>
    <x v="340"/>
    <x v="16"/>
    <n v="0"/>
    <n v="0"/>
    <n v="0"/>
    <n v="0"/>
    <x v="518"/>
    <n v="0"/>
    <n v="0"/>
    <n v="0"/>
    <n v="0"/>
    <x v="75"/>
    <n v="258"/>
    <s v="V (Oct 21)"/>
    <d v="2021-10-20T00:00:00"/>
    <n v="-1"/>
  </r>
  <r>
    <x v="340"/>
    <x v="22"/>
    <n v="0"/>
    <n v="0"/>
    <n v="0"/>
    <n v="0"/>
    <x v="2253"/>
    <n v="0"/>
    <n v="0"/>
    <n v="0"/>
    <n v="0"/>
    <x v="60"/>
    <n v="76"/>
    <s v="J (Apr 21)"/>
    <d v="2021-04-21T00:00:00"/>
    <n v="-1"/>
  </r>
  <r>
    <x v="341"/>
    <x v="24"/>
    <n v="0"/>
    <n v="0"/>
    <n v="0"/>
    <n v="0"/>
    <x v="2254"/>
    <n v="0"/>
    <n v="0"/>
    <n v="0"/>
    <n v="0"/>
    <x v="62"/>
    <n v="14"/>
    <s v="G (Feb 21)"/>
    <d v="2021-02-17T00:00:00"/>
    <n v="-1"/>
  </r>
  <r>
    <x v="341"/>
    <x v="23"/>
    <n v="0"/>
    <n v="0"/>
    <n v="0"/>
    <n v="0"/>
    <x v="2255"/>
    <n v="0"/>
    <n v="0"/>
    <n v="0"/>
    <n v="0"/>
    <x v="20"/>
    <n v="42"/>
    <s v="H (Mar 21)"/>
    <d v="2021-03-17T00:00:00"/>
    <n v="-1"/>
  </r>
  <r>
    <x v="341"/>
    <x v="18"/>
    <n v="0"/>
    <n v="0"/>
    <n v="0"/>
    <n v="0"/>
    <x v="56"/>
    <n v="0"/>
    <n v="0"/>
    <n v="0"/>
    <n v="0"/>
    <x v="19"/>
    <n v="196"/>
    <s v="Q (Aug 21)"/>
    <d v="2021-08-18T00:00:00"/>
    <n v="-1"/>
  </r>
  <r>
    <x v="341"/>
    <x v="17"/>
    <n v="0"/>
    <n v="0"/>
    <n v="0"/>
    <n v="0"/>
    <x v="2163"/>
    <n v="0"/>
    <n v="0"/>
    <n v="0"/>
    <n v="0"/>
    <x v="38"/>
    <n v="224"/>
    <s v="U (Sep 21)"/>
    <d v="2021-09-15T00:00:00"/>
    <n v="-1"/>
  </r>
  <r>
    <x v="341"/>
    <x v="16"/>
    <n v="0"/>
    <n v="0"/>
    <n v="0"/>
    <n v="0"/>
    <x v="518"/>
    <n v="0"/>
    <n v="0"/>
    <n v="0"/>
    <n v="0"/>
    <x v="87"/>
    <n v="259"/>
    <s v="V (Oct 21)"/>
    <d v="2021-10-20T00:00:00"/>
    <n v="-1"/>
  </r>
  <r>
    <x v="341"/>
    <x v="22"/>
    <n v="0"/>
    <n v="0"/>
    <n v="0"/>
    <n v="0"/>
    <x v="2256"/>
    <n v="0"/>
    <n v="0"/>
    <n v="0"/>
    <n v="0"/>
    <x v="63"/>
    <n v="77"/>
    <s v="J (Apr 21)"/>
    <d v="2021-04-21T00:00:00"/>
    <n v="-1"/>
  </r>
  <r>
    <x v="341"/>
    <x v="20"/>
    <n v="0"/>
    <n v="0"/>
    <n v="0"/>
    <n v="0"/>
    <x v="2257"/>
    <n v="0"/>
    <n v="0"/>
    <n v="0"/>
    <n v="0"/>
    <x v="23"/>
    <n v="133"/>
    <s v="M (Jun 21)"/>
    <d v="2021-06-16T00:00:00"/>
    <n v="-1"/>
  </r>
  <r>
    <x v="341"/>
    <x v="19"/>
    <n v="0"/>
    <n v="0"/>
    <n v="0"/>
    <n v="0"/>
    <x v="2258"/>
    <n v="0"/>
    <n v="0"/>
    <n v="0"/>
    <n v="0"/>
    <x v="59"/>
    <n v="168"/>
    <s v="N (Jul 21)"/>
    <d v="2021-07-21T00:00:00"/>
    <n v="-1"/>
  </r>
  <r>
    <x v="341"/>
    <x v="21"/>
    <n v="0"/>
    <n v="0"/>
    <n v="0"/>
    <n v="0"/>
    <x v="2259"/>
    <n v="0"/>
    <n v="0"/>
    <n v="0"/>
    <n v="0"/>
    <x v="28"/>
    <n v="105"/>
    <s v="K (May 21)"/>
    <d v="2021-05-19T00:00:00"/>
    <n v="-1"/>
  </r>
  <r>
    <x v="342"/>
    <x v="20"/>
    <n v="0"/>
    <n v="0"/>
    <n v="0"/>
    <n v="0"/>
    <x v="2260"/>
    <n v="0"/>
    <n v="0"/>
    <n v="0"/>
    <n v="0"/>
    <x v="34"/>
    <n v="134"/>
    <s v="M (Jun 21)"/>
    <d v="2021-06-16T00:00:00"/>
    <n v="-1"/>
  </r>
  <r>
    <x v="342"/>
    <x v="19"/>
    <n v="0"/>
    <n v="0"/>
    <n v="0"/>
    <n v="0"/>
    <x v="2261"/>
    <n v="0"/>
    <n v="0"/>
    <n v="0"/>
    <n v="0"/>
    <x v="71"/>
    <n v="169"/>
    <s v="N (Jul 21)"/>
    <d v="2021-07-21T00:00:00"/>
    <n v="-1"/>
  </r>
  <r>
    <x v="342"/>
    <x v="21"/>
    <n v="0"/>
    <n v="0"/>
    <n v="0"/>
    <n v="0"/>
    <x v="2262"/>
    <n v="0"/>
    <n v="0"/>
    <n v="0"/>
    <n v="0"/>
    <x v="43"/>
    <n v="106"/>
    <s v="K (May 21)"/>
    <d v="2021-05-19T00:00:00"/>
    <n v="-1"/>
  </r>
  <r>
    <x v="342"/>
    <x v="24"/>
    <n v="0"/>
    <n v="0"/>
    <n v="0"/>
    <n v="0"/>
    <x v="2263"/>
    <n v="0"/>
    <n v="0"/>
    <n v="0"/>
    <n v="0"/>
    <x v="65"/>
    <n v="15"/>
    <s v="G (Feb 21)"/>
    <d v="2021-02-17T00:00:00"/>
    <n v="-1"/>
  </r>
  <r>
    <x v="342"/>
    <x v="23"/>
    <n v="0"/>
    <n v="0"/>
    <n v="0"/>
    <n v="0"/>
    <x v="2264"/>
    <n v="0"/>
    <n v="0"/>
    <n v="0"/>
    <n v="0"/>
    <x v="31"/>
    <n v="43"/>
    <s v="H (Mar 21)"/>
    <d v="2021-03-17T00:00:00"/>
    <n v="-1"/>
  </r>
  <r>
    <x v="342"/>
    <x v="18"/>
    <n v="0"/>
    <n v="0"/>
    <n v="0"/>
    <n v="0"/>
    <x v="38"/>
    <n v="0"/>
    <n v="0"/>
    <n v="0"/>
    <n v="0"/>
    <x v="30"/>
    <n v="197"/>
    <s v="Q (Aug 21)"/>
    <d v="2021-08-18T00:00:00"/>
    <n v="-1"/>
  </r>
  <r>
    <x v="342"/>
    <x v="17"/>
    <n v="0"/>
    <n v="0"/>
    <n v="0"/>
    <n v="0"/>
    <x v="82"/>
    <n v="0"/>
    <n v="0"/>
    <n v="0"/>
    <n v="0"/>
    <x v="50"/>
    <n v="225"/>
    <s v="U (Sep 21)"/>
    <d v="2021-09-15T00:00:00"/>
    <n v="-1"/>
  </r>
  <r>
    <x v="342"/>
    <x v="16"/>
    <n v="0"/>
    <n v="0"/>
    <n v="0"/>
    <n v="0"/>
    <x v="518"/>
    <n v="0"/>
    <n v="0"/>
    <n v="0"/>
    <n v="0"/>
    <x v="93"/>
    <n v="260"/>
    <s v="V (Oct 21)"/>
    <d v="2021-10-20T00:00:00"/>
    <n v="-1"/>
  </r>
  <r>
    <x v="342"/>
    <x v="22"/>
    <n v="0"/>
    <n v="0"/>
    <n v="0"/>
    <n v="0"/>
    <x v="2265"/>
    <n v="0"/>
    <n v="0"/>
    <n v="0"/>
    <n v="0"/>
    <x v="78"/>
    <n v="78"/>
    <s v="J (Apr 21)"/>
    <d v="2021-04-21T00:00:00"/>
    <n v="-1"/>
  </r>
  <r>
    <x v="343"/>
    <x v="24"/>
    <n v="0"/>
    <n v="0"/>
    <n v="0"/>
    <n v="0"/>
    <x v="2266"/>
    <n v="0"/>
    <n v="0"/>
    <n v="0"/>
    <n v="0"/>
    <x v="80"/>
    <n v="16"/>
    <s v="G (Feb 21)"/>
    <d v="2021-02-17T00:00:00"/>
    <n v="-1"/>
  </r>
  <r>
    <x v="343"/>
    <x v="23"/>
    <n v="0"/>
    <n v="0"/>
    <n v="0"/>
    <n v="0"/>
    <x v="2267"/>
    <n v="0"/>
    <n v="0"/>
    <n v="0"/>
    <n v="0"/>
    <x v="37"/>
    <n v="44"/>
    <s v="H (Mar 21)"/>
    <d v="2021-03-17T00:00:00"/>
    <n v="-1"/>
  </r>
  <r>
    <x v="343"/>
    <x v="18"/>
    <n v="0"/>
    <n v="0"/>
    <n v="0"/>
    <n v="0"/>
    <x v="2268"/>
    <n v="0"/>
    <n v="0"/>
    <n v="0"/>
    <n v="0"/>
    <x v="36"/>
    <n v="198"/>
    <s v="Q (Aug 21)"/>
    <d v="2021-08-18T00:00:00"/>
    <n v="-1"/>
  </r>
  <r>
    <x v="343"/>
    <x v="17"/>
    <n v="0"/>
    <n v="0"/>
    <n v="0"/>
    <n v="0"/>
    <x v="2155"/>
    <n v="0"/>
    <n v="0"/>
    <n v="0"/>
    <n v="0"/>
    <x v="56"/>
    <n v="226"/>
    <s v="U (Sep 21)"/>
    <d v="2021-09-15T00:00:00"/>
    <n v="-1"/>
  </r>
  <r>
    <x v="343"/>
    <x v="16"/>
    <n v="0"/>
    <n v="0"/>
    <n v="0"/>
    <n v="0"/>
    <x v="518"/>
    <n v="0"/>
    <n v="0"/>
    <n v="0"/>
    <n v="0"/>
    <x v="105"/>
    <n v="261"/>
    <s v="V (Oct 21)"/>
    <d v="2021-10-20T00:00:00"/>
    <n v="-1"/>
  </r>
  <r>
    <x v="343"/>
    <x v="22"/>
    <n v="0"/>
    <n v="0"/>
    <n v="0"/>
    <n v="0"/>
    <x v="2269"/>
    <n v="0"/>
    <n v="0"/>
    <n v="0"/>
    <n v="0"/>
    <x v="81"/>
    <n v="79"/>
    <s v="J (Apr 21)"/>
    <d v="2021-04-21T00:00:00"/>
    <n v="-1"/>
  </r>
  <r>
    <x v="343"/>
    <x v="20"/>
    <n v="0"/>
    <n v="0"/>
    <n v="0"/>
    <n v="0"/>
    <x v="2270"/>
    <n v="0"/>
    <n v="0"/>
    <n v="0"/>
    <n v="0"/>
    <x v="40"/>
    <n v="135"/>
    <s v="M (Jun 21)"/>
    <d v="2021-06-16T00:00:00"/>
    <n v="-1"/>
  </r>
  <r>
    <x v="343"/>
    <x v="19"/>
    <n v="0"/>
    <n v="0"/>
    <n v="0"/>
    <n v="0"/>
    <x v="2271"/>
    <n v="0"/>
    <n v="0"/>
    <n v="0"/>
    <n v="0"/>
    <x v="77"/>
    <n v="170"/>
    <s v="N (Jul 21)"/>
    <d v="2021-07-21T00:00:00"/>
    <n v="-1"/>
  </r>
  <r>
    <x v="343"/>
    <x v="21"/>
    <n v="0"/>
    <n v="0"/>
    <n v="0"/>
    <n v="0"/>
    <x v="2272"/>
    <n v="0"/>
    <n v="0"/>
    <n v="0"/>
    <n v="0"/>
    <x v="46"/>
    <n v="107"/>
    <s v="K (May 21)"/>
    <d v="2021-05-19T00:00:00"/>
    <n v="-1"/>
  </r>
  <r>
    <x v="344"/>
    <x v="20"/>
    <n v="0"/>
    <n v="0"/>
    <n v="0"/>
    <n v="0"/>
    <x v="2273"/>
    <n v="0"/>
    <n v="0"/>
    <n v="0"/>
    <n v="0"/>
    <x v="52"/>
    <n v="138"/>
    <s v="M (Jun 21)"/>
    <d v="2021-06-16T00:00:00"/>
    <n v="-1"/>
  </r>
  <r>
    <x v="344"/>
    <x v="19"/>
    <n v="0"/>
    <n v="0"/>
    <n v="0"/>
    <n v="0"/>
    <x v="2274"/>
    <n v="0"/>
    <n v="0"/>
    <n v="0"/>
    <n v="0"/>
    <x v="89"/>
    <n v="173"/>
    <s v="N (Jul 21)"/>
    <d v="2021-07-21T00:00:00"/>
    <n v="-1"/>
  </r>
  <r>
    <x v="344"/>
    <x v="21"/>
    <n v="0"/>
    <n v="0"/>
    <n v="0"/>
    <n v="0"/>
    <x v="2275"/>
    <n v="0"/>
    <n v="0"/>
    <n v="0"/>
    <n v="0"/>
    <x v="61"/>
    <n v="110"/>
    <s v="K (May 21)"/>
    <d v="2021-05-19T00:00:00"/>
    <n v="-1"/>
  </r>
  <r>
    <x v="344"/>
    <x v="24"/>
    <n v="0"/>
    <n v="0"/>
    <n v="0"/>
    <n v="0"/>
    <x v="2276"/>
    <n v="0"/>
    <n v="0"/>
    <n v="0"/>
    <n v="0"/>
    <x v="83"/>
    <n v="19"/>
    <s v="G (Feb 21)"/>
    <d v="2021-02-17T00:00:00"/>
    <n v="-1"/>
  </r>
  <r>
    <x v="344"/>
    <x v="23"/>
    <n v="0"/>
    <n v="0"/>
    <n v="0"/>
    <n v="0"/>
    <x v="2277"/>
    <n v="0"/>
    <n v="0"/>
    <n v="0"/>
    <n v="0"/>
    <x v="49"/>
    <n v="47"/>
    <s v="H (Mar 21)"/>
    <d v="2021-03-17T00:00:00"/>
    <n v="-1"/>
  </r>
  <r>
    <x v="344"/>
    <x v="18"/>
    <n v="0"/>
    <n v="0"/>
    <n v="0"/>
    <n v="0"/>
    <x v="2278"/>
    <n v="0"/>
    <n v="0"/>
    <n v="0"/>
    <n v="0"/>
    <x v="48"/>
    <n v="201"/>
    <s v="Q (Aug 21)"/>
    <d v="2021-08-18T00:00:00"/>
    <n v="-1"/>
  </r>
  <r>
    <x v="344"/>
    <x v="17"/>
    <n v="0"/>
    <n v="0"/>
    <n v="0"/>
    <n v="0"/>
    <x v="185"/>
    <n v="0"/>
    <n v="0"/>
    <n v="0"/>
    <n v="0"/>
    <x v="68"/>
    <n v="229"/>
    <s v="U (Sep 21)"/>
    <d v="2021-09-15T00:00:00"/>
    <n v="-1"/>
  </r>
  <r>
    <x v="344"/>
    <x v="16"/>
    <n v="0"/>
    <n v="0"/>
    <n v="0"/>
    <n v="0"/>
    <x v="2279"/>
    <n v="0"/>
    <n v="0"/>
    <n v="0"/>
    <n v="0"/>
    <x v="111"/>
    <n v="264"/>
    <s v="V (Oct 21)"/>
    <d v="2021-10-20T00:00:00"/>
    <n v="-1"/>
  </r>
  <r>
    <x v="344"/>
    <x v="22"/>
    <n v="0"/>
    <n v="0"/>
    <n v="0"/>
    <n v="0"/>
    <x v="2280"/>
    <n v="0"/>
    <n v="0"/>
    <n v="0"/>
    <n v="0"/>
    <x v="96"/>
    <n v="82"/>
    <s v="J (Apr 21)"/>
    <d v="2021-04-21T00:00:00"/>
    <n v="-1"/>
  </r>
  <r>
    <x v="345"/>
    <x v="24"/>
    <n v="0"/>
    <n v="0"/>
    <n v="0"/>
    <n v="0"/>
    <x v="2281"/>
    <n v="0"/>
    <n v="0"/>
    <n v="0"/>
    <n v="0"/>
    <x v="98"/>
    <n v="20"/>
    <s v="G (Feb 21)"/>
    <d v="2021-02-17T00:00:00"/>
    <n v="-1"/>
  </r>
  <r>
    <x v="345"/>
    <x v="23"/>
    <n v="0"/>
    <n v="0"/>
    <n v="0"/>
    <n v="0"/>
    <x v="2282"/>
    <n v="0"/>
    <n v="0"/>
    <n v="0"/>
    <n v="0"/>
    <x v="55"/>
    <n v="48"/>
    <s v="H (Mar 21)"/>
    <d v="2021-03-17T00:00:00"/>
    <n v="-1"/>
  </r>
  <r>
    <x v="345"/>
    <x v="18"/>
    <n v="0"/>
    <n v="0"/>
    <n v="0"/>
    <n v="0"/>
    <x v="2283"/>
    <n v="0"/>
    <n v="0"/>
    <n v="0"/>
    <n v="0"/>
    <x v="54"/>
    <n v="202"/>
    <s v="Q (Aug 21)"/>
    <d v="2021-08-18T00:00:00"/>
    <n v="-1"/>
  </r>
  <r>
    <x v="345"/>
    <x v="17"/>
    <n v="0"/>
    <n v="0"/>
    <n v="0"/>
    <n v="0"/>
    <x v="49"/>
    <n v="0"/>
    <n v="0"/>
    <n v="0"/>
    <n v="0"/>
    <x v="74"/>
    <n v="230"/>
    <s v="U (Sep 21)"/>
    <d v="2021-09-15T00:00:00"/>
    <n v="-1"/>
  </r>
  <r>
    <x v="345"/>
    <x v="16"/>
    <n v="0"/>
    <n v="0"/>
    <n v="0"/>
    <n v="0"/>
    <x v="49"/>
    <n v="0"/>
    <n v="0"/>
    <n v="0"/>
    <n v="0"/>
    <x v="123"/>
    <n v="265"/>
    <s v="V (Oct 21)"/>
    <d v="2021-10-20T00:00:00"/>
    <n v="-1"/>
  </r>
  <r>
    <x v="345"/>
    <x v="22"/>
    <n v="0"/>
    <n v="0"/>
    <n v="0"/>
    <n v="0"/>
    <x v="2284"/>
    <n v="0"/>
    <n v="0"/>
    <n v="0"/>
    <n v="0"/>
    <x v="99"/>
    <n v="83"/>
    <s v="J (Apr 21)"/>
    <d v="2021-04-21T00:00:00"/>
    <n v="-1"/>
  </r>
  <r>
    <x v="345"/>
    <x v="20"/>
    <n v="0"/>
    <n v="0"/>
    <n v="0"/>
    <n v="0"/>
    <x v="2285"/>
    <n v="0"/>
    <n v="0"/>
    <n v="0"/>
    <n v="0"/>
    <x v="58"/>
    <n v="139"/>
    <s v="M (Jun 21)"/>
    <d v="2021-06-16T00:00:00"/>
    <n v="-1"/>
  </r>
  <r>
    <x v="345"/>
    <x v="19"/>
    <n v="0"/>
    <n v="0"/>
    <n v="0"/>
    <n v="0"/>
    <x v="2286"/>
    <n v="0"/>
    <n v="0"/>
    <n v="0"/>
    <n v="0"/>
    <x v="95"/>
    <n v="174"/>
    <s v="N (Jul 21)"/>
    <d v="2021-07-21T00:00:00"/>
    <n v="-1"/>
  </r>
  <r>
    <x v="345"/>
    <x v="21"/>
    <n v="0"/>
    <n v="0"/>
    <n v="0"/>
    <n v="0"/>
    <x v="2287"/>
    <n v="0"/>
    <n v="0"/>
    <n v="0"/>
    <n v="0"/>
    <x v="64"/>
    <n v="111"/>
    <s v="K (May 21)"/>
    <d v="2021-05-19T00:00:00"/>
    <n v="-1"/>
  </r>
  <r>
    <x v="346"/>
    <x v="20"/>
    <n v="0"/>
    <n v="0"/>
    <n v="0"/>
    <n v="0"/>
    <x v="2288"/>
    <n v="0"/>
    <n v="0"/>
    <n v="0"/>
    <n v="0"/>
    <x v="70"/>
    <n v="140"/>
    <s v="M (Jun 21)"/>
    <d v="2021-06-16T00:00:00"/>
    <n v="-1"/>
  </r>
  <r>
    <x v="346"/>
    <x v="19"/>
    <n v="0"/>
    <n v="0"/>
    <n v="0"/>
    <n v="0"/>
    <x v="171"/>
    <n v="0"/>
    <n v="0"/>
    <n v="0"/>
    <n v="0"/>
    <x v="107"/>
    <n v="175"/>
    <s v="N (Jul 21)"/>
    <d v="2021-07-21T00:00:00"/>
    <n v="-1"/>
  </r>
  <r>
    <x v="346"/>
    <x v="21"/>
    <n v="0"/>
    <n v="0"/>
    <n v="0"/>
    <n v="0"/>
    <x v="2289"/>
    <n v="0"/>
    <n v="0"/>
    <n v="0"/>
    <n v="0"/>
    <x v="79"/>
    <n v="112"/>
    <s v="K (May 21)"/>
    <d v="2021-05-19T00:00:00"/>
    <n v="-1"/>
  </r>
  <r>
    <x v="346"/>
    <x v="24"/>
    <n v="0"/>
    <n v="0"/>
    <n v="0"/>
    <n v="0"/>
    <x v="2290"/>
    <n v="0"/>
    <n v="0"/>
    <n v="0"/>
    <n v="0"/>
    <x v="101"/>
    <n v="21"/>
    <s v="G (Feb 21)"/>
    <d v="2021-02-17T00:00:00"/>
    <n v="-1"/>
  </r>
  <r>
    <x v="346"/>
    <x v="23"/>
    <n v="0"/>
    <n v="0"/>
    <n v="0"/>
    <n v="0"/>
    <x v="2291"/>
    <n v="0"/>
    <n v="0"/>
    <n v="0"/>
    <n v="0"/>
    <x v="67"/>
    <n v="49"/>
    <s v="H (Mar 21)"/>
    <d v="2021-03-17T00:00:00"/>
    <n v="-1"/>
  </r>
  <r>
    <x v="346"/>
    <x v="18"/>
    <n v="0"/>
    <n v="0"/>
    <n v="0"/>
    <n v="0"/>
    <x v="2292"/>
    <n v="0"/>
    <n v="0"/>
    <n v="0"/>
    <n v="0"/>
    <x v="66"/>
    <n v="203"/>
    <s v="Q (Aug 21)"/>
    <d v="2021-08-18T00:00:00"/>
    <n v="-1"/>
  </r>
  <r>
    <x v="346"/>
    <x v="17"/>
    <n v="0"/>
    <n v="0"/>
    <n v="0"/>
    <n v="0"/>
    <x v="205"/>
    <n v="0"/>
    <n v="0"/>
    <n v="0"/>
    <n v="0"/>
    <x v="86"/>
    <n v="231"/>
    <s v="U (Sep 21)"/>
    <d v="2021-09-15T00:00:00"/>
    <n v="-1"/>
  </r>
  <r>
    <x v="346"/>
    <x v="16"/>
    <n v="0"/>
    <n v="0"/>
    <n v="0"/>
    <n v="0"/>
    <x v="205"/>
    <n v="0"/>
    <n v="0"/>
    <n v="0"/>
    <n v="0"/>
    <x v="186"/>
    <n v="266"/>
    <s v="V (Oct 21)"/>
    <d v="2021-10-20T00:00:00"/>
    <n v="-1"/>
  </r>
  <r>
    <x v="346"/>
    <x v="22"/>
    <n v="0"/>
    <n v="0"/>
    <n v="0"/>
    <n v="0"/>
    <x v="2293"/>
    <n v="0"/>
    <n v="0"/>
    <n v="0"/>
    <n v="0"/>
    <x v="114"/>
    <n v="84"/>
    <s v="J (Apr 21)"/>
    <d v="2021-04-21T00:00:00"/>
    <n v="-1"/>
  </r>
  <r>
    <x v="347"/>
    <x v="24"/>
    <n v="0"/>
    <n v="0"/>
    <n v="0"/>
    <n v="0"/>
    <x v="2294"/>
    <n v="0"/>
    <n v="0"/>
    <n v="0"/>
    <n v="0"/>
    <x v="116"/>
    <n v="22"/>
    <s v="G (Feb 21)"/>
    <d v="2021-02-17T00:00:00"/>
    <n v="-1"/>
  </r>
  <r>
    <x v="347"/>
    <x v="23"/>
    <n v="0"/>
    <n v="0"/>
    <n v="0"/>
    <n v="0"/>
    <x v="2295"/>
    <n v="0"/>
    <n v="0"/>
    <n v="0"/>
    <n v="0"/>
    <x v="73"/>
    <n v="50"/>
    <s v="H (Mar 21)"/>
    <d v="2021-03-17T00:00:00"/>
    <n v="-1"/>
  </r>
  <r>
    <x v="347"/>
    <x v="18"/>
    <n v="0"/>
    <n v="0"/>
    <n v="0"/>
    <n v="0"/>
    <x v="2296"/>
    <n v="0"/>
    <n v="0"/>
    <n v="0"/>
    <n v="0"/>
    <x v="72"/>
    <n v="204"/>
    <s v="Q (Aug 21)"/>
    <d v="2021-08-18T00:00:00"/>
    <n v="-1"/>
  </r>
  <r>
    <x v="347"/>
    <x v="17"/>
    <n v="0"/>
    <n v="0"/>
    <n v="0"/>
    <n v="0"/>
    <x v="316"/>
    <n v="0"/>
    <n v="0"/>
    <n v="0"/>
    <n v="0"/>
    <x v="92"/>
    <n v="232"/>
    <s v="U (Sep 21)"/>
    <d v="2021-09-15T00:00:00"/>
    <n v="-1"/>
  </r>
  <r>
    <x v="347"/>
    <x v="16"/>
    <n v="0"/>
    <n v="0"/>
    <n v="0"/>
    <n v="0"/>
    <x v="316"/>
    <n v="0"/>
    <n v="0"/>
    <n v="0"/>
    <n v="0"/>
    <x v="187"/>
    <n v="267"/>
    <s v="V (Oct 21)"/>
    <d v="2021-10-20T00:00:00"/>
    <n v="-1"/>
  </r>
  <r>
    <x v="347"/>
    <x v="22"/>
    <n v="0"/>
    <n v="0"/>
    <n v="0"/>
    <n v="0"/>
    <x v="2297"/>
    <n v="0"/>
    <n v="0"/>
    <n v="0"/>
    <n v="0"/>
    <x v="117"/>
    <n v="85"/>
    <s v="J (Apr 21)"/>
    <d v="2021-04-21T00:00:00"/>
    <n v="-1"/>
  </r>
  <r>
    <x v="347"/>
    <x v="20"/>
    <n v="0"/>
    <n v="0"/>
    <n v="0"/>
    <n v="0"/>
    <x v="2298"/>
    <n v="0"/>
    <n v="0"/>
    <n v="0"/>
    <n v="0"/>
    <x v="76"/>
    <n v="141"/>
    <s v="M (Jun 21)"/>
    <d v="2021-06-16T00:00:00"/>
    <n v="-1"/>
  </r>
  <r>
    <x v="347"/>
    <x v="19"/>
    <n v="0"/>
    <n v="0"/>
    <n v="0"/>
    <n v="0"/>
    <x v="2299"/>
    <n v="0"/>
    <n v="0"/>
    <n v="0"/>
    <n v="0"/>
    <x v="113"/>
    <n v="176"/>
    <s v="N (Jul 21)"/>
    <d v="2021-07-21T00:00:00"/>
    <n v="-1"/>
  </r>
  <r>
    <x v="347"/>
    <x v="21"/>
    <n v="0"/>
    <n v="0"/>
    <n v="0"/>
    <n v="0"/>
    <x v="2300"/>
    <n v="0"/>
    <n v="0"/>
    <n v="0"/>
    <n v="0"/>
    <x v="82"/>
    <n v="113"/>
    <s v="K (May 21)"/>
    <d v="2021-05-19T00:00:00"/>
    <n v="-1"/>
  </r>
  <r>
    <x v="348"/>
    <x v="20"/>
    <n v="0"/>
    <n v="0"/>
    <n v="0"/>
    <n v="0"/>
    <x v="2301"/>
    <n v="0"/>
    <n v="0"/>
    <n v="0"/>
    <n v="0"/>
    <x v="88"/>
    <n v="142"/>
    <s v="M (Jun 21)"/>
    <d v="2021-06-16T00:00:00"/>
    <n v="-1"/>
  </r>
  <r>
    <x v="348"/>
    <x v="19"/>
    <n v="0"/>
    <n v="0"/>
    <n v="0"/>
    <n v="0"/>
    <x v="2302"/>
    <n v="0"/>
    <n v="0"/>
    <n v="0"/>
    <n v="0"/>
    <x v="125"/>
    <n v="177"/>
    <s v="N (Jul 21)"/>
    <d v="2021-07-21T00:00:00"/>
    <n v="-1"/>
  </r>
  <r>
    <x v="348"/>
    <x v="21"/>
    <n v="0"/>
    <n v="0"/>
    <n v="0"/>
    <n v="0"/>
    <x v="2303"/>
    <n v="0"/>
    <n v="0"/>
    <n v="0"/>
    <n v="0"/>
    <x v="97"/>
    <n v="114"/>
    <s v="K (May 21)"/>
    <d v="2021-05-19T00:00:00"/>
    <n v="-1"/>
  </r>
  <r>
    <x v="348"/>
    <x v="24"/>
    <n v="0"/>
    <n v="0"/>
    <n v="0"/>
    <n v="0"/>
    <x v="2304"/>
    <n v="0"/>
    <n v="0"/>
    <n v="0"/>
    <n v="0"/>
    <x v="119"/>
    <n v="23"/>
    <s v="G (Feb 21)"/>
    <d v="2021-02-17T00:00:00"/>
    <n v="-1"/>
  </r>
  <r>
    <x v="348"/>
    <x v="23"/>
    <n v="0"/>
    <n v="0"/>
    <n v="0"/>
    <n v="0"/>
    <x v="2305"/>
    <n v="0"/>
    <n v="0"/>
    <n v="0"/>
    <n v="0"/>
    <x v="85"/>
    <n v="51"/>
    <s v="H (Mar 21)"/>
    <d v="2021-03-17T00:00:00"/>
    <n v="-1"/>
  </r>
  <r>
    <x v="348"/>
    <x v="18"/>
    <n v="0"/>
    <n v="0"/>
    <n v="0"/>
    <n v="0"/>
    <x v="2306"/>
    <n v="0"/>
    <n v="0"/>
    <n v="0"/>
    <n v="0"/>
    <x v="84"/>
    <n v="205"/>
    <s v="Q (Aug 21)"/>
    <d v="2021-08-18T00:00:00"/>
    <n v="-1"/>
  </r>
  <r>
    <x v="348"/>
    <x v="17"/>
    <n v="0"/>
    <n v="0"/>
    <n v="0"/>
    <n v="0"/>
    <x v="516"/>
    <n v="0"/>
    <n v="0"/>
    <n v="0"/>
    <n v="0"/>
    <x v="104"/>
    <n v="233"/>
    <s v="U (Sep 21)"/>
    <d v="2021-09-15T00:00:00"/>
    <n v="-1"/>
  </r>
  <r>
    <x v="348"/>
    <x v="16"/>
    <n v="0"/>
    <n v="0"/>
    <n v="0"/>
    <n v="0"/>
    <x v="516"/>
    <n v="0"/>
    <n v="0"/>
    <n v="0"/>
    <n v="0"/>
    <x v="188"/>
    <n v="268"/>
    <s v="V (Oct 21)"/>
    <d v="2021-10-20T00:00:00"/>
    <n v="-1"/>
  </r>
  <r>
    <x v="348"/>
    <x v="22"/>
    <n v="0"/>
    <n v="0"/>
    <n v="0"/>
    <n v="0"/>
    <x v="2307"/>
    <n v="0"/>
    <n v="0"/>
    <n v="0"/>
    <n v="0"/>
    <x v="131"/>
    <n v="86"/>
    <s v="J (Apr 21)"/>
    <d v="2021-04-21T00:00:00"/>
    <n v="-1"/>
  </r>
  <r>
    <x v="349"/>
    <x v="24"/>
    <n v="0"/>
    <n v="0"/>
    <n v="0"/>
    <n v="0"/>
    <x v="1070"/>
    <n v="0"/>
    <n v="0"/>
    <n v="0"/>
    <n v="0"/>
    <x v="133"/>
    <n v="26"/>
    <s v="G (Feb 21)"/>
    <d v="2021-02-17T00:00:00"/>
    <n v="-1"/>
  </r>
  <r>
    <x v="349"/>
    <x v="23"/>
    <n v="0"/>
    <n v="0"/>
    <n v="0"/>
    <n v="0"/>
    <x v="295"/>
    <n v="0"/>
    <n v="0"/>
    <n v="0"/>
    <n v="0"/>
    <x v="91"/>
    <n v="54"/>
    <s v="H (Mar 21)"/>
    <d v="2021-03-17T00:00:00"/>
    <n v="-1"/>
  </r>
  <r>
    <x v="349"/>
    <x v="18"/>
    <n v="0"/>
    <n v="0"/>
    <n v="0"/>
    <n v="0"/>
    <x v="351"/>
    <n v="0"/>
    <n v="0"/>
    <n v="0"/>
    <n v="0"/>
    <x v="90"/>
    <n v="208"/>
    <s v="Q (Aug 21)"/>
    <d v="2021-08-18T00:00:00"/>
    <n v="-1"/>
  </r>
  <r>
    <x v="349"/>
    <x v="17"/>
    <n v="0"/>
    <n v="0"/>
    <n v="0"/>
    <n v="0"/>
    <x v="318"/>
    <n v="0"/>
    <n v="0"/>
    <n v="0"/>
    <n v="0"/>
    <x v="110"/>
    <n v="236"/>
    <s v="U (Sep 21)"/>
    <d v="2021-09-15T00:00:00"/>
    <n v="-1"/>
  </r>
  <r>
    <x v="349"/>
    <x v="22"/>
    <n v="0"/>
    <n v="0"/>
    <n v="0"/>
    <n v="0"/>
    <x v="336"/>
    <n v="0"/>
    <n v="0"/>
    <n v="0"/>
    <n v="0"/>
    <x v="134"/>
    <n v="89"/>
    <s v="J (Apr 21)"/>
    <d v="2021-04-21T00:00:00"/>
    <n v="-1"/>
  </r>
  <r>
    <x v="349"/>
    <x v="20"/>
    <n v="0"/>
    <n v="0"/>
    <n v="0"/>
    <n v="0"/>
    <x v="645"/>
    <n v="0"/>
    <n v="0"/>
    <n v="0"/>
    <n v="0"/>
    <x v="94"/>
    <n v="145"/>
    <s v="M (Jun 21)"/>
    <d v="2021-06-16T00:00:00"/>
    <n v="-1"/>
  </r>
  <r>
    <x v="349"/>
    <x v="19"/>
    <n v="0"/>
    <n v="0"/>
    <n v="0"/>
    <n v="0"/>
    <x v="2308"/>
    <n v="0"/>
    <n v="0"/>
    <n v="0"/>
    <n v="0"/>
    <x v="130"/>
    <n v="180"/>
    <s v="N (Jul 21)"/>
    <d v="2021-07-21T00:00:00"/>
    <n v="-1"/>
  </r>
  <r>
    <x v="349"/>
    <x v="21"/>
    <n v="0"/>
    <n v="0"/>
    <n v="0"/>
    <n v="0"/>
    <x v="645"/>
    <n v="0"/>
    <n v="0"/>
    <n v="0"/>
    <n v="0"/>
    <x v="100"/>
    <n v="117"/>
    <s v="K (May 21)"/>
    <d v="2021-05-19T00:00:00"/>
    <n v="-1"/>
  </r>
  <r>
    <x v="350"/>
    <x v="20"/>
    <n v="0"/>
    <n v="0"/>
    <n v="0"/>
    <n v="0"/>
    <x v="731"/>
    <n v="0"/>
    <n v="0"/>
    <n v="0"/>
    <n v="0"/>
    <x v="106"/>
    <n v="146"/>
    <s v="M (Jun 21)"/>
    <d v="2021-06-16T00:00:00"/>
    <n v="-1"/>
  </r>
  <r>
    <x v="350"/>
    <x v="19"/>
    <n v="0"/>
    <n v="0"/>
    <n v="0"/>
    <n v="0"/>
    <x v="568"/>
    <n v="0"/>
    <n v="0"/>
    <n v="0"/>
    <n v="0"/>
    <x v="141"/>
    <n v="181"/>
    <s v="N (Jul 21)"/>
    <d v="2021-07-21T00:00:00"/>
    <n v="-1"/>
  </r>
  <r>
    <x v="350"/>
    <x v="21"/>
    <n v="0"/>
    <n v="0"/>
    <n v="0"/>
    <n v="0"/>
    <x v="336"/>
    <n v="0"/>
    <n v="0"/>
    <n v="0"/>
    <n v="0"/>
    <x v="115"/>
    <n v="118"/>
    <s v="K (May 21)"/>
    <d v="2021-05-19T00:00:00"/>
    <n v="-1"/>
  </r>
  <r>
    <x v="350"/>
    <x v="24"/>
    <n v="0"/>
    <n v="0"/>
    <n v="0"/>
    <n v="0"/>
    <x v="1842"/>
    <n v="0"/>
    <n v="0"/>
    <n v="0"/>
    <n v="0"/>
    <x v="136"/>
    <n v="27"/>
    <s v="G (Feb 21)"/>
    <d v="2021-02-17T00:00:00"/>
    <n v="-1"/>
  </r>
  <r>
    <x v="350"/>
    <x v="23"/>
    <n v="0"/>
    <n v="0"/>
    <n v="0"/>
    <n v="0"/>
    <x v="2076"/>
    <n v="0"/>
    <n v="0"/>
    <n v="0"/>
    <n v="0"/>
    <x v="103"/>
    <n v="55"/>
    <s v="H (Mar 21)"/>
    <d v="2021-03-17T00:00:00"/>
    <n v="-1"/>
  </r>
  <r>
    <x v="350"/>
    <x v="18"/>
    <n v="0"/>
    <n v="0"/>
    <n v="0"/>
    <n v="0"/>
    <x v="731"/>
    <n v="0"/>
    <n v="0"/>
    <n v="0"/>
    <n v="0"/>
    <x v="102"/>
    <n v="209"/>
    <s v="Q (Aug 21)"/>
    <d v="2021-08-18T00:00:00"/>
    <n v="-1"/>
  </r>
  <r>
    <x v="350"/>
    <x v="17"/>
    <n v="0"/>
    <n v="0"/>
    <n v="0"/>
    <n v="0"/>
    <x v="562"/>
    <n v="0"/>
    <n v="0"/>
    <n v="0"/>
    <n v="0"/>
    <x v="122"/>
    <n v="237"/>
    <s v="U (Sep 21)"/>
    <d v="2021-09-15T00:00:00"/>
    <n v="-1"/>
  </r>
  <r>
    <x v="350"/>
    <x v="22"/>
    <n v="0"/>
    <n v="0"/>
    <n v="0"/>
    <n v="0"/>
    <x v="550"/>
    <n v="0"/>
    <n v="0"/>
    <n v="0"/>
    <n v="0"/>
    <x v="148"/>
    <n v="90"/>
    <s v="J (Apr 21)"/>
    <d v="2021-04-21T00:00:00"/>
    <n v="-1"/>
  </r>
  <r>
    <x v="351"/>
    <x v="24"/>
    <n v="0"/>
    <n v="0"/>
    <n v="0"/>
    <n v="0"/>
    <x v="1115"/>
    <n v="0"/>
    <n v="0"/>
    <n v="0"/>
    <n v="0"/>
    <x v="150"/>
    <n v="28"/>
    <s v="G (Feb 21)"/>
    <d v="2021-02-17T00:00:00"/>
    <n v="-1"/>
  </r>
  <r>
    <x v="351"/>
    <x v="23"/>
    <n v="0"/>
    <n v="0"/>
    <n v="0"/>
    <n v="0"/>
    <x v="461"/>
    <n v="0"/>
    <n v="0"/>
    <n v="0"/>
    <n v="0"/>
    <x v="109"/>
    <n v="56"/>
    <s v="H (Mar 21)"/>
    <d v="2021-03-17T00:00:00"/>
    <n v="-1"/>
  </r>
  <r>
    <x v="351"/>
    <x v="18"/>
    <n v="0"/>
    <n v="0"/>
    <n v="0"/>
    <n v="0"/>
    <x v="597"/>
    <n v="0"/>
    <n v="0"/>
    <n v="0"/>
    <n v="0"/>
    <x v="108"/>
    <n v="210"/>
    <s v="Q (Aug 21)"/>
    <d v="2021-08-18T00:00:00"/>
    <n v="-1"/>
  </r>
  <r>
    <x v="351"/>
    <x v="17"/>
    <n v="0"/>
    <n v="0"/>
    <n v="0"/>
    <n v="0"/>
    <x v="400"/>
    <n v="0"/>
    <n v="0"/>
    <n v="0"/>
    <n v="0"/>
    <x v="128"/>
    <n v="238"/>
    <s v="U (Sep 21)"/>
    <d v="2021-09-15T00:00:00"/>
    <n v="-1"/>
  </r>
  <r>
    <x v="351"/>
    <x v="22"/>
    <n v="0"/>
    <n v="0"/>
    <n v="0"/>
    <n v="0"/>
    <x v="562"/>
    <n v="0"/>
    <n v="0"/>
    <n v="0"/>
    <n v="0"/>
    <x v="151"/>
    <n v="91"/>
    <s v="J (Apr 21)"/>
    <d v="2021-04-21T00:00:00"/>
    <n v="-1"/>
  </r>
  <r>
    <x v="351"/>
    <x v="20"/>
    <n v="0"/>
    <n v="0"/>
    <n v="0"/>
    <n v="0"/>
    <x v="976"/>
    <n v="0"/>
    <n v="0"/>
    <n v="0"/>
    <n v="0"/>
    <x v="112"/>
    <n v="147"/>
    <s v="M (Jun 21)"/>
    <d v="2021-06-16T00:00:00"/>
    <n v="-1"/>
  </r>
  <r>
    <x v="351"/>
    <x v="19"/>
    <n v="0"/>
    <n v="0"/>
    <n v="0"/>
    <n v="0"/>
    <x v="579"/>
    <n v="0"/>
    <n v="0"/>
    <n v="0"/>
    <n v="0"/>
    <x v="147"/>
    <n v="182"/>
    <s v="N (Jul 21)"/>
    <d v="2021-07-21T00:00:00"/>
    <n v="-1"/>
  </r>
  <r>
    <x v="351"/>
    <x v="25"/>
    <n v="0"/>
    <n v="0"/>
    <n v="0"/>
    <n v="0"/>
    <x v="2309"/>
    <n v="0"/>
    <n v="0"/>
    <n v="0"/>
    <n v="0"/>
    <x v="145"/>
    <n v="0"/>
    <s v="F (Jan 21)"/>
    <d v="2021-01-20T00:00:00"/>
    <n v="-1"/>
  </r>
  <r>
    <x v="351"/>
    <x v="21"/>
    <n v="0"/>
    <n v="0"/>
    <n v="0"/>
    <n v="0"/>
    <x v="976"/>
    <n v="0"/>
    <n v="0"/>
    <n v="0"/>
    <n v="0"/>
    <x v="118"/>
    <n v="119"/>
    <s v="K (May 21)"/>
    <d v="2021-05-19T00:00:00"/>
    <n v="-1"/>
  </r>
  <r>
    <x v="352"/>
    <x v="20"/>
    <n v="0"/>
    <n v="0"/>
    <n v="0"/>
    <n v="0"/>
    <x v="632"/>
    <n v="0"/>
    <n v="0"/>
    <n v="0"/>
    <n v="0"/>
    <x v="124"/>
    <n v="148"/>
    <s v="M (Jun 21)"/>
    <d v="2021-06-16T00:00:00"/>
    <n v="-1"/>
  </r>
  <r>
    <x v="352"/>
    <x v="19"/>
    <n v="0"/>
    <n v="0"/>
    <n v="0"/>
    <n v="0"/>
    <x v="220"/>
    <n v="0"/>
    <n v="0"/>
    <n v="0"/>
    <n v="0"/>
    <x v="158"/>
    <n v="183"/>
    <s v="N (Jul 21)"/>
    <d v="2021-07-21T00:00:00"/>
    <n v="-1"/>
  </r>
  <r>
    <x v="352"/>
    <x v="25"/>
    <n v="0"/>
    <n v="0"/>
    <n v="0"/>
    <n v="0"/>
    <x v="2310"/>
    <n v="0"/>
    <n v="0"/>
    <n v="0"/>
    <n v="0"/>
    <x v="156"/>
    <n v="1"/>
    <s v="F (Jan 21)"/>
    <d v="2021-01-20T00:00:00"/>
    <n v="-1"/>
  </r>
  <r>
    <x v="352"/>
    <x v="21"/>
    <n v="0"/>
    <n v="0"/>
    <n v="0"/>
    <n v="0"/>
    <x v="579"/>
    <n v="0"/>
    <n v="0"/>
    <n v="0"/>
    <n v="0"/>
    <x v="132"/>
    <n v="120"/>
    <s v="K (May 21)"/>
    <d v="2021-05-19T00:00:00"/>
    <n v="-1"/>
  </r>
  <r>
    <x v="352"/>
    <x v="24"/>
    <n v="0"/>
    <n v="0"/>
    <n v="0"/>
    <n v="0"/>
    <x v="390"/>
    <n v="0"/>
    <n v="0"/>
    <n v="0"/>
    <n v="0"/>
    <x v="153"/>
    <n v="29"/>
    <s v="G (Feb 21)"/>
    <d v="2021-02-17T00:00:00"/>
    <n v="-1"/>
  </r>
  <r>
    <x v="352"/>
    <x v="23"/>
    <n v="0"/>
    <n v="0"/>
    <n v="0"/>
    <n v="0"/>
    <x v="328"/>
    <n v="0"/>
    <n v="0"/>
    <n v="0"/>
    <n v="0"/>
    <x v="121"/>
    <n v="57"/>
    <s v="H (Mar 21)"/>
    <d v="2021-03-17T00:00:00"/>
    <n v="-1"/>
  </r>
  <r>
    <x v="352"/>
    <x v="18"/>
    <n v="0"/>
    <n v="0"/>
    <n v="0"/>
    <n v="0"/>
    <x v="304"/>
    <n v="0"/>
    <n v="0"/>
    <n v="0"/>
    <n v="0"/>
    <x v="120"/>
    <n v="211"/>
    <s v="Q (Aug 21)"/>
    <d v="2021-08-18T00:00:00"/>
    <n v="-1"/>
  </r>
  <r>
    <x v="352"/>
    <x v="17"/>
    <n v="0"/>
    <n v="0"/>
    <n v="0"/>
    <n v="0"/>
    <x v="351"/>
    <n v="0"/>
    <n v="0"/>
    <n v="0"/>
    <n v="0"/>
    <x v="139"/>
    <n v="239"/>
    <s v="U (Sep 21)"/>
    <d v="2021-09-15T00:00:00"/>
    <n v="-1"/>
  </r>
  <r>
    <x v="352"/>
    <x v="22"/>
    <n v="0"/>
    <n v="0"/>
    <n v="0"/>
    <n v="0"/>
    <x v="579"/>
    <n v="0"/>
    <n v="0"/>
    <n v="0"/>
    <n v="0"/>
    <x v="164"/>
    <n v="92"/>
    <s v="J (Apr 21)"/>
    <d v="2021-04-21T00:00:00"/>
    <n v="-1"/>
  </r>
  <r>
    <x v="353"/>
    <x v="24"/>
    <n v="0"/>
    <n v="0"/>
    <n v="0"/>
    <n v="0"/>
    <x v="841"/>
    <n v="0"/>
    <n v="0"/>
    <n v="0"/>
    <n v="0"/>
    <x v="166"/>
    <n v="33"/>
    <s v="G (Feb 21)"/>
    <d v="2021-02-17T00:00:00"/>
    <n v="-1"/>
  </r>
  <r>
    <x v="353"/>
    <x v="23"/>
    <n v="0"/>
    <n v="0"/>
    <n v="0"/>
    <n v="0"/>
    <x v="597"/>
    <n v="0"/>
    <n v="0"/>
    <n v="0"/>
    <n v="0"/>
    <x v="127"/>
    <n v="61"/>
    <s v="H (Mar 21)"/>
    <d v="2021-03-17T00:00:00"/>
    <n v="-1"/>
  </r>
  <r>
    <x v="353"/>
    <x v="18"/>
    <n v="0"/>
    <n v="0"/>
    <n v="0"/>
    <n v="0"/>
    <x v="396"/>
    <n v="0"/>
    <n v="0"/>
    <n v="0"/>
    <n v="0"/>
    <x v="126"/>
    <n v="215"/>
    <s v="Q (Aug 21)"/>
    <d v="2021-08-18T00:00:00"/>
    <n v="-1"/>
  </r>
  <r>
    <x v="353"/>
    <x v="17"/>
    <n v="0"/>
    <n v="0"/>
    <n v="0"/>
    <n v="0"/>
    <x v="452"/>
    <n v="0"/>
    <n v="0"/>
    <n v="0"/>
    <n v="0"/>
    <x v="144"/>
    <n v="243"/>
    <s v="U (Sep 21)"/>
    <d v="2021-09-15T00:00:00"/>
    <n v="-1"/>
  </r>
  <r>
    <x v="353"/>
    <x v="22"/>
    <n v="0"/>
    <n v="0"/>
    <n v="0"/>
    <n v="0"/>
    <x v="220"/>
    <n v="0"/>
    <n v="0"/>
    <n v="0"/>
    <n v="0"/>
    <x v="167"/>
    <n v="96"/>
    <s v="J (Apr 21)"/>
    <d v="2021-04-21T00:00:00"/>
    <n v="-1"/>
  </r>
  <r>
    <x v="353"/>
    <x v="20"/>
    <n v="0"/>
    <n v="0"/>
    <n v="0"/>
    <n v="0"/>
    <x v="579"/>
    <n v="0"/>
    <n v="0"/>
    <n v="0"/>
    <n v="0"/>
    <x v="129"/>
    <n v="152"/>
    <s v="M (Jun 21)"/>
    <d v="2021-06-16T00:00:00"/>
    <n v="-1"/>
  </r>
  <r>
    <x v="353"/>
    <x v="19"/>
    <n v="0"/>
    <n v="0"/>
    <n v="0"/>
    <n v="0"/>
    <x v="250"/>
    <n v="0"/>
    <n v="0"/>
    <n v="0"/>
    <n v="0"/>
    <x v="163"/>
    <n v="187"/>
    <s v="N (Jul 21)"/>
    <d v="2021-07-21T00:00:00"/>
    <n v="-1"/>
  </r>
  <r>
    <x v="353"/>
    <x v="25"/>
    <n v="0"/>
    <n v="0"/>
    <n v="0"/>
    <n v="0"/>
    <x v="1634"/>
    <n v="0"/>
    <n v="0"/>
    <n v="0"/>
    <n v="0"/>
    <x v="161"/>
    <n v="5"/>
    <s v="F (Jan 21)"/>
    <d v="2021-01-20T00:00:00"/>
    <n v="-1"/>
  </r>
  <r>
    <x v="353"/>
    <x v="21"/>
    <n v="0"/>
    <n v="0"/>
    <n v="0"/>
    <n v="0"/>
    <x v="579"/>
    <n v="0"/>
    <n v="0"/>
    <n v="0"/>
    <n v="0"/>
    <x v="135"/>
    <n v="124"/>
    <s v="K (May 21)"/>
    <d v="2021-05-19T00:00:00"/>
    <n v="-1"/>
  </r>
  <r>
    <x v="354"/>
    <x v="20"/>
    <n v="0"/>
    <n v="0"/>
    <n v="0"/>
    <n v="0"/>
    <x v="580"/>
    <n v="0"/>
    <n v="0"/>
    <n v="0"/>
    <n v="0"/>
    <x v="140"/>
    <n v="153"/>
    <s v="M (Jun 21)"/>
    <d v="2021-06-16T00:00:00"/>
    <n v="-1"/>
  </r>
  <r>
    <x v="354"/>
    <x v="19"/>
    <n v="0"/>
    <n v="0"/>
    <n v="0"/>
    <n v="0"/>
    <x v="2311"/>
    <n v="0"/>
    <n v="0"/>
    <n v="0"/>
    <n v="0"/>
    <x v="173"/>
    <n v="188"/>
    <s v="N (Jul 21)"/>
    <d v="2021-07-21T00:00:00"/>
    <n v="-1"/>
  </r>
  <r>
    <x v="354"/>
    <x v="25"/>
    <n v="0"/>
    <n v="0"/>
    <n v="0"/>
    <n v="0"/>
    <x v="2312"/>
    <n v="0"/>
    <n v="0"/>
    <n v="0"/>
    <n v="0"/>
    <x v="8"/>
    <n v="6"/>
    <s v="F (Jan 21)"/>
    <d v="2021-01-20T00:00:00"/>
    <n v="-1"/>
  </r>
  <r>
    <x v="354"/>
    <x v="21"/>
    <n v="0"/>
    <n v="0"/>
    <n v="0"/>
    <n v="0"/>
    <x v="295"/>
    <n v="0"/>
    <n v="0"/>
    <n v="0"/>
    <n v="0"/>
    <x v="149"/>
    <n v="125"/>
    <s v="K (May 21)"/>
    <d v="2021-05-19T00:00:00"/>
    <n v="-1"/>
  </r>
  <r>
    <x v="354"/>
    <x v="24"/>
    <n v="0"/>
    <n v="0"/>
    <n v="0"/>
    <n v="0"/>
    <x v="1157"/>
    <n v="0"/>
    <n v="0"/>
    <n v="0"/>
    <n v="0"/>
    <x v="169"/>
    <n v="34"/>
    <s v="G (Feb 21)"/>
    <d v="2021-02-17T00:00:00"/>
    <n v="-1"/>
  </r>
  <r>
    <x v="354"/>
    <x v="23"/>
    <n v="0"/>
    <n v="0"/>
    <n v="0"/>
    <n v="0"/>
    <x v="769"/>
    <n v="0"/>
    <n v="0"/>
    <n v="0"/>
    <n v="0"/>
    <x v="138"/>
    <n v="62"/>
    <s v="H (Mar 21)"/>
    <d v="2021-03-17T00:00:00"/>
    <n v="-1"/>
  </r>
  <r>
    <x v="354"/>
    <x v="18"/>
    <n v="0"/>
    <n v="0"/>
    <n v="0"/>
    <n v="0"/>
    <x v="410"/>
    <n v="0"/>
    <n v="0"/>
    <n v="0"/>
    <n v="0"/>
    <x v="137"/>
    <n v="216"/>
    <s v="Q (Aug 21)"/>
    <d v="2021-08-18T00:00:00"/>
    <n v="-1"/>
  </r>
  <r>
    <x v="354"/>
    <x v="17"/>
    <n v="0"/>
    <n v="0"/>
    <n v="0"/>
    <n v="0"/>
    <x v="318"/>
    <n v="0"/>
    <n v="0"/>
    <n v="0"/>
    <n v="0"/>
    <x v="155"/>
    <n v="244"/>
    <s v="U (Sep 21)"/>
    <d v="2021-09-15T00:00:00"/>
    <n v="-1"/>
  </r>
  <r>
    <x v="354"/>
    <x v="22"/>
    <n v="0"/>
    <n v="0"/>
    <n v="0"/>
    <n v="0"/>
    <x v="580"/>
    <n v="0"/>
    <n v="0"/>
    <n v="0"/>
    <n v="0"/>
    <x v="175"/>
    <n v="97"/>
    <s v="J (Apr 21)"/>
    <d v="2021-04-21T00:00:00"/>
    <n v="-1"/>
  </r>
  <r>
    <x v="355"/>
    <x v="24"/>
    <n v="0"/>
    <n v="0"/>
    <n v="0"/>
    <n v="0"/>
    <x v="1361"/>
    <n v="0"/>
    <n v="0"/>
    <n v="0"/>
    <n v="0"/>
    <x v="176"/>
    <n v="35"/>
    <s v="G (Feb 21)"/>
    <d v="2021-02-17T00:00:00"/>
    <n v="-1"/>
  </r>
  <r>
    <x v="355"/>
    <x v="23"/>
    <n v="0"/>
    <n v="0"/>
    <n v="0"/>
    <n v="0"/>
    <x v="457"/>
    <n v="0"/>
    <n v="0"/>
    <n v="0"/>
    <n v="0"/>
    <x v="143"/>
    <n v="63"/>
    <s v="H (Mar 21)"/>
    <d v="2021-03-17T00:00:00"/>
    <n v="-1"/>
  </r>
  <r>
    <x v="355"/>
    <x v="18"/>
    <n v="0"/>
    <n v="0"/>
    <n v="0"/>
    <n v="0"/>
    <x v="776"/>
    <n v="0"/>
    <n v="0"/>
    <n v="0"/>
    <n v="0"/>
    <x v="142"/>
    <n v="217"/>
    <s v="Q (Aug 21)"/>
    <d v="2021-08-18T00:00:00"/>
    <n v="-1"/>
  </r>
  <r>
    <x v="355"/>
    <x v="17"/>
    <n v="0"/>
    <n v="0"/>
    <n v="0"/>
    <n v="0"/>
    <x v="318"/>
    <n v="0"/>
    <n v="0"/>
    <n v="0"/>
    <n v="0"/>
    <x v="160"/>
    <n v="245"/>
    <s v="U (Sep 21)"/>
    <d v="2021-09-15T00:00:00"/>
    <n v="-1"/>
  </r>
  <r>
    <x v="355"/>
    <x v="22"/>
    <n v="0"/>
    <n v="0"/>
    <n v="0"/>
    <n v="0"/>
    <x v="628"/>
    <n v="0"/>
    <n v="0"/>
    <n v="0"/>
    <n v="0"/>
    <x v="177"/>
    <n v="98"/>
    <s v="J (Apr 21)"/>
    <d v="2021-04-21T00:00:00"/>
    <n v="-1"/>
  </r>
  <r>
    <x v="355"/>
    <x v="20"/>
    <n v="0"/>
    <n v="0"/>
    <n v="0"/>
    <n v="0"/>
    <x v="841"/>
    <n v="0"/>
    <n v="0"/>
    <n v="0"/>
    <n v="0"/>
    <x v="146"/>
    <n v="154"/>
    <s v="M (Jun 21)"/>
    <d v="2021-06-16T00:00:00"/>
    <n v="-1"/>
  </r>
  <r>
    <x v="355"/>
    <x v="19"/>
    <n v="0"/>
    <n v="0"/>
    <n v="0"/>
    <n v="0"/>
    <x v="332"/>
    <n v="0"/>
    <n v="0"/>
    <n v="0"/>
    <n v="0"/>
    <x v="174"/>
    <n v="189"/>
    <s v="N (Jul 21)"/>
    <d v="2021-07-21T00:00:00"/>
    <n v="-1"/>
  </r>
  <r>
    <x v="355"/>
    <x v="25"/>
    <n v="0"/>
    <n v="0"/>
    <n v="0"/>
    <n v="0"/>
    <x v="2313"/>
    <n v="0"/>
    <n v="0"/>
    <n v="0"/>
    <n v="0"/>
    <x v="11"/>
    <n v="7"/>
    <s v="F (Jan 21)"/>
    <d v="2021-01-20T00:00:00"/>
    <n v="-1"/>
  </r>
  <r>
    <x v="355"/>
    <x v="21"/>
    <n v="0"/>
    <n v="0"/>
    <n v="0"/>
    <n v="0"/>
    <x v="628"/>
    <n v="0"/>
    <n v="0"/>
    <n v="0"/>
    <n v="0"/>
    <x v="152"/>
    <n v="126"/>
    <s v="K (May 21)"/>
    <d v="2021-05-19T00:00:00"/>
    <n v="-1"/>
  </r>
  <r>
    <x v="356"/>
    <x v="20"/>
    <n v="0"/>
    <n v="0"/>
    <n v="0"/>
    <n v="0"/>
    <x v="878"/>
    <n v="0"/>
    <n v="0"/>
    <n v="0"/>
    <n v="0"/>
    <x v="157"/>
    <n v="155"/>
    <s v="M (Jun 21)"/>
    <d v="2021-06-16T00:00:00"/>
    <n v="-1"/>
  </r>
  <r>
    <x v="356"/>
    <x v="19"/>
    <n v="0"/>
    <n v="0"/>
    <n v="0"/>
    <n v="0"/>
    <x v="461"/>
    <n v="0"/>
    <n v="0"/>
    <n v="0"/>
    <n v="0"/>
    <x v="179"/>
    <n v="190"/>
    <s v="N (Jul 21)"/>
    <d v="2021-07-21T00:00:00"/>
    <n v="-1"/>
  </r>
  <r>
    <x v="356"/>
    <x v="25"/>
    <n v="0"/>
    <n v="0"/>
    <n v="0"/>
    <n v="0"/>
    <x v="2314"/>
    <n v="0"/>
    <n v="0"/>
    <n v="0"/>
    <n v="0"/>
    <x v="26"/>
    <n v="8"/>
    <s v="F (Jan 21)"/>
    <d v="2021-01-20T00:00:00"/>
    <n v="-1"/>
  </r>
  <r>
    <x v="356"/>
    <x v="21"/>
    <n v="0"/>
    <n v="0"/>
    <n v="0"/>
    <n v="0"/>
    <x v="878"/>
    <n v="0"/>
    <n v="0"/>
    <n v="0"/>
    <n v="0"/>
    <x v="165"/>
    <n v="127"/>
    <s v="K (May 21)"/>
    <d v="2021-05-19T00:00:00"/>
    <n v="-1"/>
  </r>
  <r>
    <x v="356"/>
    <x v="24"/>
    <n v="0"/>
    <n v="0"/>
    <n v="0"/>
    <n v="0"/>
    <x v="411"/>
    <n v="0"/>
    <n v="0"/>
    <n v="0"/>
    <n v="0"/>
    <x v="178"/>
    <n v="36"/>
    <s v="G (Feb 21)"/>
    <d v="2021-02-17T00:00:00"/>
    <n v="-1"/>
  </r>
  <r>
    <x v="356"/>
    <x v="23"/>
    <n v="0"/>
    <n v="0"/>
    <n v="0"/>
    <n v="0"/>
    <x v="776"/>
    <n v="0"/>
    <n v="0"/>
    <n v="0"/>
    <n v="0"/>
    <x v="154"/>
    <n v="64"/>
    <s v="H (Mar 21)"/>
    <d v="2021-03-17T00:00:00"/>
    <n v="-1"/>
  </r>
  <r>
    <x v="356"/>
    <x v="18"/>
    <n v="0"/>
    <n v="0"/>
    <n v="0"/>
    <n v="0"/>
    <x v="814"/>
    <n v="0"/>
    <n v="0"/>
    <n v="0"/>
    <n v="0"/>
    <x v="3"/>
    <n v="218"/>
    <s v="Q (Aug 21)"/>
    <d v="2021-08-18T00:00:00"/>
    <n v="-1"/>
  </r>
  <r>
    <x v="356"/>
    <x v="17"/>
    <n v="0"/>
    <n v="0"/>
    <n v="0"/>
    <n v="0"/>
    <x v="430"/>
    <n v="0"/>
    <n v="0"/>
    <n v="0"/>
    <n v="0"/>
    <x v="171"/>
    <n v="246"/>
    <s v="U (Sep 21)"/>
    <d v="2021-09-15T00:00:00"/>
    <n v="-1"/>
  </r>
  <r>
    <x v="356"/>
    <x v="22"/>
    <n v="0"/>
    <n v="0"/>
    <n v="0"/>
    <n v="0"/>
    <x v="2076"/>
    <n v="0"/>
    <n v="0"/>
    <n v="0"/>
    <n v="0"/>
    <x v="181"/>
    <n v="99"/>
    <s v="J (Apr 21)"/>
    <d v="2021-04-21T00:00:00"/>
    <n v="-1"/>
  </r>
  <r>
    <x v="357"/>
    <x v="24"/>
    <n v="0"/>
    <n v="0"/>
    <n v="0"/>
    <n v="0"/>
    <x v="878"/>
    <n v="0"/>
    <n v="0"/>
    <n v="0"/>
    <n v="0"/>
    <x v="182"/>
    <n v="37"/>
    <s v="G (Feb 21)"/>
    <d v="2021-02-17T00:00:00"/>
    <n v="-1"/>
  </r>
  <r>
    <x v="357"/>
    <x v="23"/>
    <n v="0"/>
    <n v="0"/>
    <n v="0"/>
    <n v="0"/>
    <x v="580"/>
    <n v="0"/>
    <n v="0"/>
    <n v="0"/>
    <n v="0"/>
    <x v="159"/>
    <n v="65"/>
    <s v="H (Mar 21)"/>
    <d v="2021-03-17T00:00:00"/>
    <n v="-1"/>
  </r>
  <r>
    <x v="357"/>
    <x v="18"/>
    <n v="0"/>
    <n v="0"/>
    <n v="0"/>
    <n v="0"/>
    <x v="670"/>
    <n v="0"/>
    <n v="0"/>
    <n v="0"/>
    <n v="0"/>
    <x v="15"/>
    <n v="219"/>
    <s v="Q (Aug 21)"/>
    <d v="2021-08-18T00:00:00"/>
    <n v="-1"/>
  </r>
  <r>
    <x v="357"/>
    <x v="17"/>
    <n v="0"/>
    <n v="0"/>
    <n v="0"/>
    <n v="0"/>
    <x v="1022"/>
    <n v="0"/>
    <n v="0"/>
    <n v="0"/>
    <n v="0"/>
    <x v="4"/>
    <n v="247"/>
    <s v="U (Sep 21)"/>
    <d v="2021-09-15T00:00:00"/>
    <n v="-1"/>
  </r>
  <r>
    <x v="357"/>
    <x v="22"/>
    <n v="0"/>
    <n v="0"/>
    <n v="0"/>
    <n v="0"/>
    <x v="366"/>
    <n v="0"/>
    <n v="0"/>
    <n v="0"/>
    <n v="0"/>
    <x v="183"/>
    <n v="100"/>
    <s v="J (Apr 21)"/>
    <d v="2021-04-21T00:00:00"/>
    <n v="-1"/>
  </r>
  <r>
    <x v="357"/>
    <x v="20"/>
    <n v="0"/>
    <n v="0"/>
    <n v="0"/>
    <n v="0"/>
    <x v="759"/>
    <n v="0"/>
    <n v="0"/>
    <n v="0"/>
    <n v="0"/>
    <x v="162"/>
    <n v="156"/>
    <s v="M (Jun 21)"/>
    <d v="2021-06-16T00:00:00"/>
    <n v="-1"/>
  </r>
  <r>
    <x v="357"/>
    <x v="19"/>
    <n v="0"/>
    <n v="0"/>
    <n v="0"/>
    <n v="0"/>
    <x v="400"/>
    <n v="0"/>
    <n v="0"/>
    <n v="0"/>
    <n v="0"/>
    <x v="180"/>
    <n v="191"/>
    <s v="N (Jul 21)"/>
    <d v="2021-07-21T00:00:00"/>
    <n v="-1"/>
  </r>
  <r>
    <x v="357"/>
    <x v="25"/>
    <n v="0"/>
    <n v="0"/>
    <n v="0"/>
    <n v="0"/>
    <x v="1540"/>
    <n v="0"/>
    <n v="0"/>
    <n v="0"/>
    <n v="0"/>
    <x v="29"/>
    <n v="9"/>
    <s v="F (Jan 21)"/>
    <d v="2021-01-20T00:00:00"/>
    <n v="-1"/>
  </r>
  <r>
    <x v="357"/>
    <x v="21"/>
    <n v="0"/>
    <n v="0"/>
    <n v="0"/>
    <n v="0"/>
    <x v="400"/>
    <n v="0"/>
    <n v="0"/>
    <n v="0"/>
    <n v="0"/>
    <x v="168"/>
    <n v="128"/>
    <s v="K (May 21)"/>
    <d v="2021-05-19T00:00:00"/>
    <n v="-1"/>
  </r>
  <r>
    <x v="358"/>
    <x v="20"/>
    <n v="25.65"/>
    <n v="25.87"/>
    <n v="25.35"/>
    <n v="25.42"/>
    <x v="655"/>
    <n v="-0.05"/>
    <n v="1225"/>
    <n v="0"/>
    <n v="9599"/>
    <x v="172"/>
    <n v="159"/>
    <s v="M (Jun 21)"/>
    <d v="2021-06-16T00:00:00"/>
    <n v="-1"/>
  </r>
  <r>
    <x v="358"/>
    <x v="19"/>
    <n v="25.75"/>
    <n v="25.93"/>
    <n v="25.45"/>
    <n v="25.51"/>
    <x v="406"/>
    <n v="0"/>
    <n v="495"/>
    <n v="0"/>
    <n v="2820"/>
    <x v="185"/>
    <n v="194"/>
    <s v="N (Jul 21)"/>
    <d v="2021-07-21T00:00:00"/>
    <n v="-1"/>
  </r>
  <r>
    <x v="358"/>
    <x v="25"/>
    <n v="23.2"/>
    <n v="23.77"/>
    <n v="22.55"/>
    <n v="22.8"/>
    <x v="2315"/>
    <n v="-0.45"/>
    <n v="87598"/>
    <n v="0"/>
    <n v="86283"/>
    <x v="44"/>
    <n v="12"/>
    <s v="F (Jan 21)"/>
    <d v="2021-01-20T00:00:00"/>
    <n v="-1"/>
  </r>
  <r>
    <x v="358"/>
    <x v="21"/>
    <n v="25.7"/>
    <n v="25.97"/>
    <n v="25.37"/>
    <n v="25.49"/>
    <x v="438"/>
    <n v="-0.05"/>
    <n v="2528"/>
    <n v="0"/>
    <n v="10139"/>
    <x v="5"/>
    <n v="131"/>
    <s v="K (May 21)"/>
    <d v="2021-05-19T00:00:00"/>
    <n v="-1"/>
  </r>
  <r>
    <x v="358"/>
    <x v="24"/>
    <n v="25"/>
    <n v="25.62"/>
    <n v="24.62"/>
    <n v="24.82"/>
    <x v="1425"/>
    <n v="-0.15"/>
    <n v="89257"/>
    <n v="0"/>
    <n v="160089"/>
    <x v="184"/>
    <n v="40"/>
    <s v="G (Feb 21)"/>
    <d v="2021-02-17T00:00:00"/>
    <n v="-1"/>
  </r>
  <r>
    <x v="358"/>
    <x v="23"/>
    <n v="25.55"/>
    <n v="25.97"/>
    <n v="25.1"/>
    <n v="25.2"/>
    <x v="1090"/>
    <n v="-0.25"/>
    <n v="18304"/>
    <n v="0"/>
    <n v="41497"/>
    <x v="170"/>
    <n v="68"/>
    <s v="H (Mar 21)"/>
    <d v="2021-03-17T00:00:00"/>
    <n v="-1"/>
  </r>
  <r>
    <x v="358"/>
    <x v="22"/>
    <n v="25.75"/>
    <n v="26.1"/>
    <n v="25.42"/>
    <n v="25.51"/>
    <x v="438"/>
    <n v="-0.15"/>
    <n v="4833"/>
    <n v="0"/>
    <n v="13762"/>
    <x v="7"/>
    <n v="103"/>
    <s v="J (Apr 21)"/>
    <d v="2021-04-21T00:00:00"/>
    <n v="-1"/>
  </r>
  <r>
    <x v="359"/>
    <x v="24"/>
    <n v="25.8"/>
    <n v="25.86"/>
    <n v="24.8"/>
    <n v="24.97"/>
    <x v="1347"/>
    <n v="-1.3"/>
    <n v="78604"/>
    <n v="0"/>
    <n v="144896"/>
    <x v="2"/>
    <n v="41"/>
    <s v="G (Feb 21)"/>
    <d v="2021-02-17T00:00:00"/>
    <n v="-1"/>
  </r>
  <r>
    <x v="359"/>
    <x v="23"/>
    <n v="25.93"/>
    <n v="25.97"/>
    <n v="25.31"/>
    <n v="25.52"/>
    <x v="655"/>
    <n v="-0.75"/>
    <n v="16713"/>
    <n v="0"/>
    <n v="37647"/>
    <x v="6"/>
    <n v="69"/>
    <s v="H (Mar 21)"/>
    <d v="2021-03-17T00:00:00"/>
    <n v="-1"/>
  </r>
  <r>
    <x v="359"/>
    <x v="22"/>
    <n v="25.9"/>
    <n v="25.94"/>
    <n v="25.47"/>
    <n v="25.71"/>
    <x v="457"/>
    <n v="-0.5"/>
    <n v="6061"/>
    <n v="0"/>
    <n v="13876"/>
    <x v="10"/>
    <n v="104"/>
    <s v="J (Apr 21)"/>
    <d v="2021-04-21T00:00:00"/>
    <n v="-1"/>
  </r>
  <r>
    <x v="359"/>
    <x v="20"/>
    <n v="25.56"/>
    <n v="25.65"/>
    <n v="25.3"/>
    <n v="25.57"/>
    <x v="438"/>
    <n v="-0.2"/>
    <n v="3298"/>
    <n v="0"/>
    <n v="9457"/>
    <x v="0"/>
    <n v="160"/>
    <s v="M (Jun 21)"/>
    <d v="2021-06-16T00:00:00"/>
    <n v="-1"/>
  </r>
  <r>
    <x v="359"/>
    <x v="19"/>
    <n v="25.6"/>
    <n v="25.75"/>
    <n v="25.42"/>
    <n v="25.65"/>
    <x v="406"/>
    <n v="-0.27500000000000002"/>
    <n v="760"/>
    <n v="0"/>
    <n v="2739"/>
    <x v="1"/>
    <n v="195"/>
    <s v="N (Jul 21)"/>
    <d v="2021-07-21T00:00:00"/>
    <n v="-1"/>
  </r>
  <r>
    <x v="359"/>
    <x v="18"/>
    <n v="25.6"/>
    <n v="25.6"/>
    <n v="25.45"/>
    <n v="25.6"/>
    <x v="426"/>
    <n v="-0.32500000000000001"/>
    <n v="1"/>
    <n v="0"/>
    <n v="24"/>
    <x v="32"/>
    <n v="223"/>
    <s v="Q (Aug 21)"/>
    <d v="2021-08-18T00:00:00"/>
    <n v="-1"/>
  </r>
  <r>
    <x v="359"/>
    <x v="25"/>
    <n v="24.6"/>
    <n v="24.63"/>
    <n v="22.95"/>
    <n v="23.2"/>
    <x v="2310"/>
    <n v="-1.9"/>
    <n v="90569"/>
    <n v="309"/>
    <n v="97478"/>
    <x v="47"/>
    <n v="13"/>
    <s v="F (Jan 21)"/>
    <d v="2021-01-20T00:00:00"/>
    <n v="-1"/>
  </r>
  <r>
    <x v="359"/>
    <x v="21"/>
    <n v="25.7"/>
    <n v="25.72"/>
    <n v="25.35"/>
    <n v="25.63"/>
    <x v="406"/>
    <n v="-0.35"/>
    <n v="3147"/>
    <n v="0"/>
    <n v="9916"/>
    <x v="17"/>
    <n v="132"/>
    <s v="K (May 21)"/>
    <d v="2021-05-19T00:00:00"/>
    <n v="-1"/>
  </r>
  <r>
    <x v="360"/>
    <x v="20"/>
    <n v="26.2"/>
    <n v="26.45"/>
    <n v="25.3"/>
    <n v="25.6"/>
    <x v="454"/>
    <n v="-0.25"/>
    <n v="3849"/>
    <n v="0"/>
    <n v="8950"/>
    <x v="12"/>
    <n v="161"/>
    <s v="M (Jun 21)"/>
    <d v="2021-06-16T00:00:00"/>
    <n v="-1"/>
  </r>
  <r>
    <x v="360"/>
    <x v="19"/>
    <n v="26.21"/>
    <n v="26.45"/>
    <n v="25.45"/>
    <n v="25.69"/>
    <x v="375"/>
    <n v="-0.25"/>
    <n v="1028"/>
    <n v="0"/>
    <n v="2560"/>
    <x v="13"/>
    <n v="196"/>
    <s v="N (Jul 21)"/>
    <d v="2021-07-21T00:00:00"/>
    <n v="-1"/>
  </r>
  <r>
    <x v="360"/>
    <x v="18"/>
    <n v="25.9"/>
    <n v="25.9"/>
    <n v="25.45"/>
    <n v="25.75"/>
    <x v="358"/>
    <n v="-0.22500000000000001"/>
    <n v="7"/>
    <n v="0"/>
    <n v="24"/>
    <x v="38"/>
    <n v="224"/>
    <s v="Q (Aug 21)"/>
    <d v="2021-08-18T00:00:00"/>
    <n v="-1"/>
  </r>
  <r>
    <x v="360"/>
    <x v="25"/>
    <n v="25.5"/>
    <n v="26.45"/>
    <n v="23.2"/>
    <n v="24.7"/>
    <x v="1063"/>
    <n v="-0.2"/>
    <n v="143351"/>
    <n v="139"/>
    <n v="104005"/>
    <x v="62"/>
    <n v="14"/>
    <s v="F (Jan 21)"/>
    <d v="2021-01-20T00:00:00"/>
    <n v="-1"/>
  </r>
  <r>
    <x v="360"/>
    <x v="21"/>
    <n v="26.38"/>
    <n v="26.77"/>
    <n v="25.45"/>
    <n v="25.74"/>
    <x v="841"/>
    <n v="-0.25"/>
    <n v="4199"/>
    <n v="0"/>
    <n v="9544"/>
    <x v="23"/>
    <n v="133"/>
    <s v="K (May 21)"/>
    <d v="2021-05-19T00:00:00"/>
    <n v="-1"/>
  </r>
  <r>
    <x v="360"/>
    <x v="24"/>
    <n v="26.65"/>
    <n v="27.37"/>
    <n v="25.04"/>
    <n v="25.94"/>
    <x v="461"/>
    <n v="-0.15"/>
    <n v="119720"/>
    <n v="200"/>
    <n v="135313"/>
    <x v="14"/>
    <n v="42"/>
    <s v="G (Feb 21)"/>
    <d v="2021-02-17T00:00:00"/>
    <n v="-1"/>
  </r>
  <r>
    <x v="360"/>
    <x v="23"/>
    <n v="26.65"/>
    <n v="27.17"/>
    <n v="25.4"/>
    <n v="25.95"/>
    <x v="461"/>
    <n v="-0.15"/>
    <n v="25422"/>
    <n v="0"/>
    <n v="35287"/>
    <x v="9"/>
    <n v="70"/>
    <s v="H (Mar 21)"/>
    <d v="2021-03-17T00:00:00"/>
    <n v="-1"/>
  </r>
  <r>
    <x v="360"/>
    <x v="22"/>
    <n v="26.65"/>
    <n v="27.02"/>
    <n v="25.57"/>
    <n v="26"/>
    <x v="2076"/>
    <n v="-0.2"/>
    <n v="6411"/>
    <n v="0"/>
    <n v="13144"/>
    <x v="25"/>
    <n v="105"/>
    <s v="J (Apr 21)"/>
    <d v="2021-04-21T00:00:00"/>
    <n v="-1"/>
  </r>
  <r>
    <x v="361"/>
    <x v="24"/>
    <n v="27.25"/>
    <n v="28.02"/>
    <n v="26.25"/>
    <n v="26.7"/>
    <x v="759"/>
    <n v="-0.7"/>
    <n v="73697"/>
    <n v="0"/>
    <n v="125335"/>
    <x v="20"/>
    <n v="43"/>
    <s v="G (Feb 21)"/>
    <d v="2021-02-17T00:00:00"/>
    <n v="-1"/>
  </r>
  <r>
    <x v="361"/>
    <x v="23"/>
    <n v="27"/>
    <n v="27.62"/>
    <n v="26.33"/>
    <n v="26.62"/>
    <x v="759"/>
    <n v="-0.45"/>
    <n v="14961"/>
    <n v="0"/>
    <n v="31815"/>
    <x v="24"/>
    <n v="71"/>
    <s v="H (Mar 21)"/>
    <d v="2021-03-17T00:00:00"/>
    <n v="-1"/>
  </r>
  <r>
    <x v="361"/>
    <x v="22"/>
    <n v="26.94"/>
    <n v="27.42"/>
    <n v="26.33"/>
    <n v="26.61"/>
    <x v="759"/>
    <n v="-0.4"/>
    <n v="5233"/>
    <n v="0"/>
    <n v="12885"/>
    <x v="28"/>
    <n v="106"/>
    <s v="J (Apr 21)"/>
    <d v="2021-04-21T00:00:00"/>
    <n v="-1"/>
  </r>
  <r>
    <x v="361"/>
    <x v="20"/>
    <n v="26.63"/>
    <n v="27.05"/>
    <n v="25.92"/>
    <n v="26.15"/>
    <x v="769"/>
    <n v="-0.5"/>
    <n v="3176"/>
    <n v="0"/>
    <n v="8193"/>
    <x v="18"/>
    <n v="162"/>
    <s v="M (Jun 21)"/>
    <d v="2021-06-16T00:00:00"/>
    <n v="-1"/>
  </r>
  <r>
    <x v="361"/>
    <x v="19"/>
    <n v="26.6"/>
    <n v="27.09"/>
    <n v="26.05"/>
    <n v="26.2"/>
    <x v="397"/>
    <n v="-0.47499999999999998"/>
    <n v="1090"/>
    <n v="0"/>
    <n v="2484"/>
    <x v="19"/>
    <n v="197"/>
    <s v="N (Jul 21)"/>
    <d v="2021-07-21T00:00:00"/>
    <n v="-1"/>
  </r>
  <r>
    <x v="361"/>
    <x v="18"/>
    <n v="26.1"/>
    <n v="26.1"/>
    <n v="26.1"/>
    <n v="26.1"/>
    <x v="430"/>
    <n v="-0.47499999999999998"/>
    <n v="3"/>
    <n v="0"/>
    <n v="24"/>
    <x v="50"/>
    <n v="225"/>
    <s v="Q (Aug 21)"/>
    <d v="2021-08-18T00:00:00"/>
    <n v="-1"/>
  </r>
  <r>
    <x v="361"/>
    <x v="25"/>
    <n v="26.5"/>
    <n v="27.45"/>
    <n v="24.95"/>
    <n v="25.4"/>
    <x v="1157"/>
    <n v="-0.95"/>
    <n v="87182"/>
    <n v="0"/>
    <n v="111463"/>
    <x v="65"/>
    <n v="15"/>
    <s v="F (Jan 21)"/>
    <d v="2021-01-20T00:00:00"/>
    <n v="-1"/>
  </r>
  <r>
    <x v="361"/>
    <x v="21"/>
    <n v="26.77"/>
    <n v="27.2"/>
    <n v="26.12"/>
    <n v="26.4"/>
    <x v="2076"/>
    <n v="-0.45"/>
    <n v="3594"/>
    <n v="0"/>
    <n v="9151"/>
    <x v="34"/>
    <n v="134"/>
    <s v="K (May 21)"/>
    <d v="2021-05-19T00:00:00"/>
    <n v="-1"/>
  </r>
  <r>
    <x v="362"/>
    <x v="20"/>
    <n v="25.9"/>
    <n v="27.08"/>
    <n v="25.7"/>
    <n v="26.56"/>
    <x v="295"/>
    <n v="0.6"/>
    <n v="2720"/>
    <n v="0"/>
    <n v="7765"/>
    <x v="35"/>
    <n v="163"/>
    <s v="M (Jun 21)"/>
    <d v="2021-06-16T00:00:00"/>
    <n v="-1"/>
  </r>
  <r>
    <x v="362"/>
    <x v="19"/>
    <n v="25.97"/>
    <n v="27.17"/>
    <n v="25.7"/>
    <n v="26.65"/>
    <x v="597"/>
    <n v="0.625"/>
    <n v="1202"/>
    <n v="0"/>
    <n v="2397"/>
    <x v="30"/>
    <n v="198"/>
    <s v="N (Jul 21)"/>
    <d v="2021-07-21T00:00:00"/>
    <n v="-1"/>
  </r>
  <r>
    <x v="362"/>
    <x v="18"/>
    <n v="26.3"/>
    <n v="27"/>
    <n v="26"/>
    <n v="27"/>
    <x v="295"/>
    <n v="0.47499999999999998"/>
    <n v="3"/>
    <n v="0"/>
    <n v="21"/>
    <x v="56"/>
    <n v="226"/>
    <s v="Q (Aug 21)"/>
    <d v="2021-08-18T00:00:00"/>
    <n v="-1"/>
  </r>
  <r>
    <x v="362"/>
    <x v="25"/>
    <n v="23.4"/>
    <n v="27.35"/>
    <n v="23.15"/>
    <n v="26.45"/>
    <x v="461"/>
    <n v="2.6"/>
    <n v="132333"/>
    <n v="0"/>
    <n v="119409"/>
    <x v="80"/>
    <n v="16"/>
    <s v="F (Jan 21)"/>
    <d v="2021-01-20T00:00:00"/>
    <n v="-1"/>
  </r>
  <r>
    <x v="362"/>
    <x v="21"/>
    <n v="25.85"/>
    <n v="27.17"/>
    <n v="25.67"/>
    <n v="26.69"/>
    <x v="562"/>
    <n v="0.75"/>
    <n v="3850"/>
    <n v="0"/>
    <n v="9164"/>
    <x v="40"/>
    <n v="135"/>
    <s v="K (May 21)"/>
    <d v="2021-05-19T00:00:00"/>
    <n v="-1"/>
  </r>
  <r>
    <x v="362"/>
    <x v="24"/>
    <n v="25.44"/>
    <n v="27.8"/>
    <n v="25.15"/>
    <n v="27.19"/>
    <x v="727"/>
    <n v="1.55"/>
    <n v="101687"/>
    <n v="0"/>
    <n v="118542"/>
    <x v="31"/>
    <n v="44"/>
    <s v="G (Feb 21)"/>
    <d v="2021-02-17T00:00:00"/>
    <n v="-1"/>
  </r>
  <r>
    <x v="362"/>
    <x v="23"/>
    <n v="25.65"/>
    <n v="27.57"/>
    <n v="25.49"/>
    <n v="26.92"/>
    <x v="579"/>
    <n v="1.1000000000000001"/>
    <n v="19132"/>
    <n v="0"/>
    <n v="30399"/>
    <x v="27"/>
    <n v="72"/>
    <s v="H (Mar 21)"/>
    <d v="2021-03-17T00:00:00"/>
    <n v="-1"/>
  </r>
  <r>
    <x v="362"/>
    <x v="22"/>
    <n v="25.85"/>
    <n v="27.35"/>
    <n v="25.66"/>
    <n v="26.8"/>
    <x v="550"/>
    <n v="0.875"/>
    <n v="7047"/>
    <n v="0"/>
    <n v="12688"/>
    <x v="43"/>
    <n v="107"/>
    <s v="J (Apr 21)"/>
    <d v="2021-04-21T00:00:00"/>
    <n v="-1"/>
  </r>
  <r>
    <x v="363"/>
    <x v="24"/>
    <n v="25.7"/>
    <n v="25.87"/>
    <n v="25.05"/>
    <n v="25.48"/>
    <x v="438"/>
    <n v="-0.05"/>
    <n v="42629"/>
    <n v="20"/>
    <n v="104708"/>
    <x v="37"/>
    <n v="48"/>
    <s v="G (Feb 21)"/>
    <d v="2021-02-17T00:00:00"/>
    <n v="-1"/>
  </r>
  <r>
    <x v="363"/>
    <x v="23"/>
    <n v="25.93"/>
    <n v="26.01"/>
    <n v="25.32"/>
    <n v="25.7"/>
    <x v="454"/>
    <n v="-0.1"/>
    <n v="6333"/>
    <n v="0"/>
    <n v="28367"/>
    <x v="42"/>
    <n v="76"/>
    <s v="H (Mar 21)"/>
    <d v="2021-03-17T00:00:00"/>
    <n v="-1"/>
  </r>
  <r>
    <x v="363"/>
    <x v="22"/>
    <n v="25.9"/>
    <n v="26.09"/>
    <n v="25.52"/>
    <n v="25.85"/>
    <x v="414"/>
    <n v="2.5000000000000001E-2"/>
    <n v="2454"/>
    <n v="0"/>
    <n v="11997"/>
    <x v="46"/>
    <n v="111"/>
    <s v="J (Apr 21)"/>
    <d v="2021-04-21T00:00:00"/>
    <n v="-1"/>
  </r>
  <r>
    <x v="363"/>
    <x v="20"/>
    <n v="25.95"/>
    <n v="26"/>
    <n v="25.51"/>
    <n v="25.85"/>
    <x v="622"/>
    <n v="7.4999999999999997E-2"/>
    <n v="1260"/>
    <n v="0"/>
    <n v="7479"/>
    <x v="41"/>
    <n v="167"/>
    <s v="M (Jun 21)"/>
    <d v="2021-06-16T00:00:00"/>
    <n v="-1"/>
  </r>
  <r>
    <x v="363"/>
    <x v="19"/>
    <n v="25.95"/>
    <n v="26.05"/>
    <n v="25.58"/>
    <n v="25.92"/>
    <x v="628"/>
    <n v="0.1"/>
    <n v="516"/>
    <n v="0"/>
    <n v="2204"/>
    <x v="36"/>
    <n v="202"/>
    <s v="N (Jul 21)"/>
    <d v="2021-07-21T00:00:00"/>
    <n v="-1"/>
  </r>
  <r>
    <x v="363"/>
    <x v="25"/>
    <n v="23.8"/>
    <n v="24.13"/>
    <n v="23.18"/>
    <n v="23.6"/>
    <x v="1732"/>
    <n v="0"/>
    <n v="46212"/>
    <n v="0"/>
    <n v="126320"/>
    <x v="83"/>
    <n v="20"/>
    <s v="F (Jan 21)"/>
    <d v="2021-01-20T00:00:00"/>
    <n v="-1"/>
  </r>
  <r>
    <x v="363"/>
    <x v="21"/>
    <n v="25.95"/>
    <n v="26"/>
    <n v="25.51"/>
    <n v="25.88"/>
    <x v="622"/>
    <n v="0.05"/>
    <n v="1870"/>
    <n v="0"/>
    <n v="8943"/>
    <x v="52"/>
    <n v="139"/>
    <s v="K (May 21)"/>
    <d v="2021-05-19T00:00:00"/>
    <n v="-1"/>
  </r>
  <r>
    <x v="364"/>
    <x v="20"/>
    <n v="26.34"/>
    <n v="26.5"/>
    <n v="25.8"/>
    <n v="25.95"/>
    <x v="300"/>
    <n v="-0.57499999999999996"/>
    <n v="1411"/>
    <n v="0"/>
    <n v="7584"/>
    <x v="53"/>
    <n v="168"/>
    <s v="M (Jun 21)"/>
    <d v="2021-06-16T00:00:00"/>
    <n v="-1"/>
  </r>
  <r>
    <x v="364"/>
    <x v="19"/>
    <n v="26.37"/>
    <n v="26.5"/>
    <n v="25.85"/>
    <n v="25.95"/>
    <x v="375"/>
    <n v="-0.52500000000000002"/>
    <n v="384"/>
    <n v="0"/>
    <n v="2120"/>
    <x v="48"/>
    <n v="203"/>
    <s v="N (Jul 21)"/>
    <d v="2021-07-21T00:00:00"/>
    <n v="-1"/>
  </r>
  <r>
    <x v="364"/>
    <x v="25"/>
    <n v="24.9"/>
    <n v="24.9"/>
    <n v="23.55"/>
    <n v="23.75"/>
    <x v="1732"/>
    <n v="-0.95"/>
    <n v="54397"/>
    <n v="0"/>
    <n v="130550"/>
    <x v="98"/>
    <n v="21"/>
    <s v="F (Jan 21)"/>
    <d v="2021-01-20T00:00:00"/>
    <n v="-1"/>
  </r>
  <r>
    <x v="364"/>
    <x v="21"/>
    <n v="26.35"/>
    <n v="26.46"/>
    <n v="25.82"/>
    <n v="25.92"/>
    <x v="776"/>
    <n v="-0.5"/>
    <n v="1481"/>
    <n v="0"/>
    <n v="8778"/>
    <x v="58"/>
    <n v="140"/>
    <s v="K (May 21)"/>
    <d v="2021-05-19T00:00:00"/>
    <n v="-1"/>
  </r>
  <r>
    <x v="364"/>
    <x v="24"/>
    <n v="26.35"/>
    <n v="26.53"/>
    <n v="25.48"/>
    <n v="25.65"/>
    <x v="406"/>
    <n v="-0.8"/>
    <n v="41545"/>
    <n v="0"/>
    <n v="99207"/>
    <x v="49"/>
    <n v="49"/>
    <s v="G (Feb 21)"/>
    <d v="2021-02-17T00:00:00"/>
    <n v="-1"/>
  </r>
  <r>
    <x v="364"/>
    <x v="23"/>
    <n v="26.4"/>
    <n v="26.55"/>
    <n v="25.75"/>
    <n v="25.93"/>
    <x v="776"/>
    <n v="-0.55000000000000004"/>
    <n v="8568"/>
    <n v="0"/>
    <n v="27248"/>
    <x v="45"/>
    <n v="77"/>
    <s v="H (Mar 21)"/>
    <d v="2021-03-17T00:00:00"/>
    <n v="-1"/>
  </r>
  <r>
    <x v="364"/>
    <x v="18"/>
    <n v="26.23"/>
    <n v="26.23"/>
    <n v="26"/>
    <n v="26.05"/>
    <x v="313"/>
    <n v="0.05"/>
    <n v="3"/>
    <n v="0"/>
    <n v="18"/>
    <x v="74"/>
    <n v="231"/>
    <s v="Q (Aug 21)"/>
    <d v="2021-08-18T00:00:00"/>
    <n v="-1"/>
  </r>
  <r>
    <x v="364"/>
    <x v="22"/>
    <n v="26.45"/>
    <n v="26.54"/>
    <n v="25.85"/>
    <n v="26.01"/>
    <x v="622"/>
    <n v="-0.55000000000000004"/>
    <n v="2617"/>
    <n v="0"/>
    <n v="12020"/>
    <x v="61"/>
    <n v="112"/>
    <s v="J (Apr 21)"/>
    <d v="2021-04-21T00:00:00"/>
    <n v="-1"/>
  </r>
  <r>
    <x v="365"/>
    <x v="24"/>
    <n v="25.41"/>
    <n v="26.7"/>
    <n v="25.22"/>
    <n v="26.43"/>
    <x v="759"/>
    <n v="0.85"/>
    <n v="44120"/>
    <n v="0"/>
    <n v="92085"/>
    <x v="55"/>
    <n v="50"/>
    <s v="G (Feb 21)"/>
    <d v="2021-02-17T00:00:00"/>
    <n v="-1"/>
  </r>
  <r>
    <x v="365"/>
    <x v="23"/>
    <n v="25.6"/>
    <n v="26.63"/>
    <n v="25.4"/>
    <n v="26.45"/>
    <x v="759"/>
    <n v="0.75"/>
    <n v="8906"/>
    <n v="0"/>
    <n v="26182"/>
    <x v="60"/>
    <n v="78"/>
    <s v="H (Mar 21)"/>
    <d v="2021-03-17T00:00:00"/>
    <n v="-1"/>
  </r>
  <r>
    <x v="365"/>
    <x v="22"/>
    <n v="25.67"/>
    <n v="26.6"/>
    <n v="25.5"/>
    <n v="26.45"/>
    <x v="580"/>
    <n v="0.7"/>
    <n v="3863"/>
    <n v="0"/>
    <n v="11866"/>
    <x v="64"/>
    <n v="113"/>
    <s v="J (Apr 21)"/>
    <d v="2021-04-21T00:00:00"/>
    <n v="-1"/>
  </r>
  <r>
    <x v="365"/>
    <x v="20"/>
    <n v="25.63"/>
    <n v="26.53"/>
    <n v="25.5"/>
    <n v="26.4"/>
    <x v="759"/>
    <n v="0.65"/>
    <n v="2442"/>
    <n v="0"/>
    <n v="7654"/>
    <x v="59"/>
    <n v="169"/>
    <s v="M (Jun 21)"/>
    <d v="2021-06-16T00:00:00"/>
    <n v="-1"/>
  </r>
  <r>
    <x v="365"/>
    <x v="19"/>
    <n v="25.68"/>
    <n v="26.51"/>
    <n v="25.64"/>
    <n v="26.4"/>
    <x v="759"/>
    <n v="0.6"/>
    <n v="789"/>
    <n v="0"/>
    <n v="2082"/>
    <x v="54"/>
    <n v="204"/>
    <s v="N (Jul 21)"/>
    <d v="2021-07-21T00:00:00"/>
    <n v="-1"/>
  </r>
  <r>
    <x v="365"/>
    <x v="25"/>
    <n v="23.65"/>
    <n v="25.2"/>
    <n v="23.3"/>
    <n v="24.7"/>
    <x v="1217"/>
    <n v="0.95"/>
    <n v="62028"/>
    <n v="0"/>
    <n v="135225"/>
    <x v="101"/>
    <n v="22"/>
    <s v="F (Jan 21)"/>
    <d v="2021-01-20T00:00:00"/>
    <n v="-1"/>
  </r>
  <r>
    <x v="365"/>
    <x v="21"/>
    <n v="25.62"/>
    <n v="26.51"/>
    <n v="25.5"/>
    <n v="26.35"/>
    <x v="328"/>
    <n v="0.6"/>
    <n v="3026"/>
    <n v="0"/>
    <n v="8792"/>
    <x v="70"/>
    <n v="141"/>
    <s v="K (May 21)"/>
    <d v="2021-05-19T00:00:00"/>
    <n v="-1"/>
  </r>
  <r>
    <x v="366"/>
    <x v="20"/>
    <n v="26.1"/>
    <n v="26.1"/>
    <n v="25.58"/>
    <n v="25.7"/>
    <x v="454"/>
    <n v="-0.125"/>
    <n v="1557"/>
    <n v="0"/>
    <n v="6929"/>
    <x v="71"/>
    <n v="170"/>
    <s v="M (Jun 21)"/>
    <d v="2021-06-16T00:00:00"/>
    <n v="-1"/>
  </r>
  <r>
    <x v="366"/>
    <x v="19"/>
    <n v="25.95"/>
    <n v="26.05"/>
    <n v="25.68"/>
    <n v="25.7"/>
    <x v="358"/>
    <n v="-0.22500000000000001"/>
    <n v="668"/>
    <n v="0"/>
    <n v="1882"/>
    <x v="66"/>
    <n v="205"/>
    <s v="N (Jul 21)"/>
    <d v="2021-07-21T00:00:00"/>
    <n v="-1"/>
  </r>
  <r>
    <x v="366"/>
    <x v="18"/>
    <n v="25.85"/>
    <n v="25.85"/>
    <n v="25.85"/>
    <n v="25.85"/>
    <x v="358"/>
    <n v="-0.1"/>
    <n v="1"/>
    <n v="0"/>
    <n v="18"/>
    <x v="92"/>
    <n v="233"/>
    <s v="Q (Aug 21)"/>
    <d v="2021-08-18T00:00:00"/>
    <n v="-1"/>
  </r>
  <r>
    <x v="366"/>
    <x v="25"/>
    <n v="23.9"/>
    <n v="24.25"/>
    <n v="23.28"/>
    <n v="23.6"/>
    <x v="1732"/>
    <n v="-0.15"/>
    <n v="46070"/>
    <n v="0"/>
    <n v="140881"/>
    <x v="116"/>
    <n v="23"/>
    <s v="F (Jan 21)"/>
    <d v="2021-01-20T00:00:00"/>
    <n v="-1"/>
  </r>
  <r>
    <x v="366"/>
    <x v="21"/>
    <n v="25.95"/>
    <n v="25.95"/>
    <n v="25.55"/>
    <n v="25.65"/>
    <x v="454"/>
    <n v="-0.05"/>
    <n v="1407"/>
    <n v="0"/>
    <n v="8535"/>
    <x v="76"/>
    <n v="142"/>
    <s v="K (May 21)"/>
    <d v="2021-05-19T00:00:00"/>
    <n v="-1"/>
  </r>
  <r>
    <x v="366"/>
    <x v="24"/>
    <n v="25.6"/>
    <n v="26.05"/>
    <n v="25.25"/>
    <n v="25.44"/>
    <x v="438"/>
    <n v="-0.05"/>
    <n v="38445"/>
    <n v="0"/>
    <n v="86209"/>
    <x v="67"/>
    <n v="51"/>
    <s v="G (Feb 21)"/>
    <d v="2021-02-17T00:00:00"/>
    <n v="-1"/>
  </r>
  <r>
    <x v="366"/>
    <x v="23"/>
    <n v="25.91"/>
    <n v="25.91"/>
    <n v="25.42"/>
    <n v="25.6"/>
    <x v="774"/>
    <n v="-0.05"/>
    <n v="5492"/>
    <n v="0"/>
    <n v="24806"/>
    <x v="63"/>
    <n v="79"/>
    <s v="H (Mar 21)"/>
    <d v="2021-03-17T00:00:00"/>
    <n v="-1"/>
  </r>
  <r>
    <x v="366"/>
    <x v="22"/>
    <n v="25.95"/>
    <n v="25.95"/>
    <n v="25.52"/>
    <n v="25.75"/>
    <x v="454"/>
    <n v="-2.5000000000000001E-2"/>
    <n v="2007"/>
    <n v="0"/>
    <n v="12065"/>
    <x v="79"/>
    <n v="114"/>
    <s v="J (Apr 21)"/>
    <d v="2021-04-21T00:00:00"/>
    <n v="-1"/>
  </r>
  <r>
    <x v="367"/>
    <x v="24"/>
    <n v="26.05"/>
    <n v="26.1"/>
    <n v="25.5"/>
    <n v="25.66"/>
    <x v="406"/>
    <n v="-0.55000000000000004"/>
    <n v="27836"/>
    <n v="0"/>
    <n v="79305"/>
    <x v="73"/>
    <n v="55"/>
    <s v="G (Feb 21)"/>
    <d v="2021-02-17T00:00:00"/>
    <n v="-1"/>
  </r>
  <r>
    <x v="367"/>
    <x v="23"/>
    <n v="26.07"/>
    <n v="26.07"/>
    <n v="25.6"/>
    <n v="25.75"/>
    <x v="457"/>
    <n v="-0.4"/>
    <n v="4385"/>
    <n v="0"/>
    <n v="24480"/>
    <x v="78"/>
    <n v="83"/>
    <s v="H (Mar 21)"/>
    <d v="2021-03-17T00:00:00"/>
    <n v="-1"/>
  </r>
  <r>
    <x v="367"/>
    <x v="22"/>
    <n v="26.12"/>
    <n v="26.12"/>
    <n v="25.74"/>
    <n v="25.8"/>
    <x v="804"/>
    <n v="-0.32500000000000001"/>
    <n v="1803"/>
    <n v="0"/>
    <n v="11903"/>
    <x v="82"/>
    <n v="118"/>
    <s v="J (Apr 21)"/>
    <d v="2021-04-21T00:00:00"/>
    <n v="-1"/>
  </r>
  <r>
    <x v="367"/>
    <x v="20"/>
    <n v="26"/>
    <n v="26.05"/>
    <n v="25.8"/>
    <n v="25.95"/>
    <x v="375"/>
    <n v="-0.17499999999999999"/>
    <n v="1525"/>
    <n v="0"/>
    <n v="6891"/>
    <x v="77"/>
    <n v="174"/>
    <s v="M (Jun 21)"/>
    <d v="2021-06-16T00:00:00"/>
    <n v="-1"/>
  </r>
  <r>
    <x v="367"/>
    <x v="19"/>
    <n v="26.05"/>
    <n v="26.15"/>
    <n v="25.9"/>
    <n v="26.05"/>
    <x v="430"/>
    <n v="-0.125"/>
    <n v="647"/>
    <n v="0"/>
    <n v="1804"/>
    <x v="72"/>
    <n v="209"/>
    <s v="N (Jul 21)"/>
    <d v="2021-07-21T00:00:00"/>
    <n v="-1"/>
  </r>
  <r>
    <x v="367"/>
    <x v="25"/>
    <n v="24.6"/>
    <n v="24.67"/>
    <n v="23.8"/>
    <n v="23.85"/>
    <x v="1656"/>
    <n v="-0.8"/>
    <n v="38210"/>
    <n v="0"/>
    <n v="149254"/>
    <x v="119"/>
    <n v="27"/>
    <s v="F (Jan 21)"/>
    <d v="2021-01-20T00:00:00"/>
    <n v="-1"/>
  </r>
  <r>
    <x v="367"/>
    <x v="21"/>
    <n v="26"/>
    <n v="26"/>
    <n v="25.75"/>
    <n v="25.8"/>
    <x v="358"/>
    <n v="-0.25"/>
    <n v="2106"/>
    <n v="0"/>
    <n v="8399"/>
    <x v="88"/>
    <n v="146"/>
    <s v="K (May 21)"/>
    <d v="2021-05-19T00:00:00"/>
    <n v="-1"/>
  </r>
  <r>
    <x v="368"/>
    <x v="20"/>
    <n v="26.8"/>
    <n v="27"/>
    <n v="25.92"/>
    <n v="26.04"/>
    <x v="814"/>
    <n v="-0.65"/>
    <n v="1402"/>
    <n v="0"/>
    <n v="6528"/>
    <x v="89"/>
    <n v="175"/>
    <s v="M (Jun 21)"/>
    <d v="2021-06-16T00:00:00"/>
    <n v="-1"/>
  </r>
  <r>
    <x v="368"/>
    <x v="19"/>
    <n v="26.8"/>
    <n v="27.05"/>
    <n v="26.03"/>
    <n v="26.17"/>
    <x v="878"/>
    <n v="-0.6"/>
    <n v="489"/>
    <n v="0"/>
    <n v="1594"/>
    <x v="84"/>
    <n v="210"/>
    <s v="N (Jul 21)"/>
    <d v="2021-07-21T00:00:00"/>
    <n v="-1"/>
  </r>
  <r>
    <x v="368"/>
    <x v="25"/>
    <n v="25.8"/>
    <n v="26.5"/>
    <n v="24.1"/>
    <n v="24.65"/>
    <x v="1217"/>
    <n v="-1.1499999999999999"/>
    <n v="66463"/>
    <n v="0"/>
    <n v="154833"/>
    <x v="133"/>
    <n v="28"/>
    <s v="F (Jan 21)"/>
    <d v="2021-01-20T00:00:00"/>
    <n v="-1"/>
  </r>
  <r>
    <x v="368"/>
    <x v="21"/>
    <n v="26.75"/>
    <n v="27.1"/>
    <n v="25.95"/>
    <n v="26.03"/>
    <x v="814"/>
    <n v="-0.6"/>
    <n v="3065"/>
    <n v="0"/>
    <n v="8350"/>
    <x v="94"/>
    <n v="147"/>
    <s v="K (May 21)"/>
    <d v="2021-05-19T00:00:00"/>
    <n v="-1"/>
  </r>
  <r>
    <x v="368"/>
    <x v="24"/>
    <n v="26.95"/>
    <n v="27.46"/>
    <n v="25.75"/>
    <n v="26.05"/>
    <x v="878"/>
    <n v="-0.75"/>
    <n v="39851"/>
    <n v="0"/>
    <n v="74863"/>
    <x v="85"/>
    <n v="56"/>
    <s v="G (Feb 21)"/>
    <d v="2021-02-17T00:00:00"/>
    <n v="-1"/>
  </r>
  <r>
    <x v="368"/>
    <x v="23"/>
    <n v="26.8"/>
    <n v="27.27"/>
    <n v="25.95"/>
    <n v="26.04"/>
    <x v="332"/>
    <n v="-0.7"/>
    <n v="10824"/>
    <n v="0"/>
    <n v="24058"/>
    <x v="81"/>
    <n v="84"/>
    <s v="H (Mar 21)"/>
    <d v="2021-03-17T00:00:00"/>
    <n v="-1"/>
  </r>
  <r>
    <x v="368"/>
    <x v="18"/>
    <n v="26.1"/>
    <n v="26.15"/>
    <n v="25.95"/>
    <n v="25.95"/>
    <x v="628"/>
    <n v="-0.57499999999999996"/>
    <n v="3"/>
    <n v="0"/>
    <n v="17"/>
    <x v="110"/>
    <n v="238"/>
    <s v="Q (Aug 21)"/>
    <d v="2021-08-18T00:00:00"/>
    <n v="-1"/>
  </r>
  <r>
    <x v="368"/>
    <x v="22"/>
    <n v="26.85"/>
    <n v="27.2"/>
    <n v="26.02"/>
    <n v="26.1"/>
    <x v="332"/>
    <n v="-0.7"/>
    <n v="3506"/>
    <n v="0"/>
    <n v="11832"/>
    <x v="97"/>
    <n v="119"/>
    <s v="J (Apr 21)"/>
    <d v="2021-04-21T00:00:00"/>
    <n v="-1"/>
  </r>
  <r>
    <x v="369"/>
    <x v="24"/>
    <n v="26.95"/>
    <n v="27.65"/>
    <n v="26.8"/>
    <n v="26.9"/>
    <x v="220"/>
    <n v="-0.2"/>
    <n v="43080"/>
    <n v="0"/>
    <n v="69516"/>
    <x v="91"/>
    <n v="57"/>
    <s v="G (Feb 21)"/>
    <d v="2021-02-17T00:00:00"/>
    <n v="-1"/>
  </r>
  <r>
    <x v="369"/>
    <x v="23"/>
    <n v="26.75"/>
    <n v="27.25"/>
    <n v="26.63"/>
    <n v="26.85"/>
    <x v="550"/>
    <n v="0"/>
    <n v="9126"/>
    <n v="0"/>
    <n v="23309"/>
    <x v="96"/>
    <n v="85"/>
    <s v="H (Mar 21)"/>
    <d v="2021-03-17T00:00:00"/>
    <n v="-1"/>
  </r>
  <r>
    <x v="369"/>
    <x v="18"/>
    <n v="27"/>
    <n v="27"/>
    <n v="27"/>
    <n v="27"/>
    <x v="366"/>
    <n v="-0.25"/>
    <n v="10"/>
    <n v="0"/>
    <n v="16"/>
    <x v="122"/>
    <n v="239"/>
    <s v="Q (Aug 21)"/>
    <d v="2021-08-18T00:00:00"/>
    <n v="-1"/>
  </r>
  <r>
    <x v="369"/>
    <x v="22"/>
    <n v="26.59"/>
    <n v="27.08"/>
    <n v="26.57"/>
    <n v="26.88"/>
    <x v="550"/>
    <n v="0.15"/>
    <n v="3942"/>
    <n v="0"/>
    <n v="11997"/>
    <x v="100"/>
    <n v="120"/>
    <s v="J (Apr 21)"/>
    <d v="2021-04-21T00:00:00"/>
    <n v="-1"/>
  </r>
  <r>
    <x v="369"/>
    <x v="20"/>
    <n v="26.4"/>
    <n v="26.8"/>
    <n v="26.39"/>
    <n v="26.75"/>
    <x v="632"/>
    <n v="0.25"/>
    <n v="1370"/>
    <n v="0"/>
    <n v="6302"/>
    <x v="95"/>
    <n v="176"/>
    <s v="M (Jun 21)"/>
    <d v="2021-06-16T00:00:00"/>
    <n v="-1"/>
  </r>
  <r>
    <x v="369"/>
    <x v="19"/>
    <n v="26.53"/>
    <n v="26.87"/>
    <n v="26.49"/>
    <n v="26.78"/>
    <x v="976"/>
    <n v="0.22500000000000001"/>
    <n v="508"/>
    <n v="0"/>
    <n v="1635"/>
    <x v="90"/>
    <n v="211"/>
    <s v="N (Jul 21)"/>
    <d v="2021-07-21T00:00:00"/>
    <n v="-1"/>
  </r>
  <r>
    <x v="369"/>
    <x v="25"/>
    <n v="26.25"/>
    <n v="27.1"/>
    <n v="25.6"/>
    <n v="25.8"/>
    <x v="454"/>
    <n v="-0.55000000000000004"/>
    <n v="67933"/>
    <n v="0"/>
    <n v="163838"/>
    <x v="136"/>
    <n v="29"/>
    <s v="F (Jan 21)"/>
    <d v="2021-01-20T00:00:00"/>
    <n v="-1"/>
  </r>
  <r>
    <x v="369"/>
    <x v="21"/>
    <n v="26.5"/>
    <n v="26.85"/>
    <n v="26.45"/>
    <n v="26.85"/>
    <x v="562"/>
    <n v="0.1"/>
    <n v="2725"/>
    <n v="0"/>
    <n v="8557"/>
    <x v="106"/>
    <n v="148"/>
    <s v="K (May 21)"/>
    <d v="2021-05-19T00:00:00"/>
    <n v="-1"/>
  </r>
  <r>
    <x v="370"/>
    <x v="20"/>
    <n v="26.05"/>
    <n v="27.65"/>
    <n v="26.05"/>
    <n v="26.56"/>
    <x v="580"/>
    <n v="0.25"/>
    <n v="2754"/>
    <n v="0"/>
    <n v="6055"/>
    <x v="107"/>
    <n v="177"/>
    <s v="M (Jun 21)"/>
    <d v="2021-06-16T00:00:00"/>
    <n v="-1"/>
  </r>
  <r>
    <x v="370"/>
    <x v="19"/>
    <n v="26.43"/>
    <n v="27.6"/>
    <n v="26.35"/>
    <n v="26.61"/>
    <x v="318"/>
    <n v="0.22500000000000001"/>
    <n v="1185"/>
    <n v="0"/>
    <n v="1451"/>
    <x v="102"/>
    <n v="212"/>
    <s v="N (Jul 21)"/>
    <d v="2021-07-21T00:00:00"/>
    <n v="-1"/>
  </r>
  <r>
    <x v="370"/>
    <x v="25"/>
    <n v="24.2"/>
    <n v="27.85"/>
    <n v="23.95"/>
    <n v="26.25"/>
    <x v="445"/>
    <n v="2.15"/>
    <n v="129127"/>
    <n v="86"/>
    <n v="170490"/>
    <x v="150"/>
    <n v="30"/>
    <s v="F (Jan 21)"/>
    <d v="2021-01-20T00:00:00"/>
    <n v="-1"/>
  </r>
  <r>
    <x v="370"/>
    <x v="21"/>
    <n v="26.02"/>
    <n v="27.7"/>
    <n v="26.02"/>
    <n v="26.62"/>
    <x v="366"/>
    <n v="0.4"/>
    <n v="5481"/>
    <n v="0"/>
    <n v="8326"/>
    <x v="112"/>
    <n v="149"/>
    <s v="K (May 21)"/>
    <d v="2021-05-19T00:00:00"/>
    <n v="-1"/>
  </r>
  <r>
    <x v="370"/>
    <x v="24"/>
    <n v="25.5"/>
    <n v="28.4"/>
    <n v="25.45"/>
    <n v="27"/>
    <x v="727"/>
    <n v="1.4"/>
    <n v="69759"/>
    <n v="14"/>
    <n v="68043"/>
    <x v="103"/>
    <n v="58"/>
    <s v="G (Feb 21)"/>
    <d v="2021-02-17T00:00:00"/>
    <n v="-1"/>
  </r>
  <r>
    <x v="370"/>
    <x v="23"/>
    <n v="25.78"/>
    <n v="28.05"/>
    <n v="25.78"/>
    <n v="26.8"/>
    <x v="550"/>
    <n v="0.8"/>
    <n v="19988"/>
    <n v="0"/>
    <n v="22766"/>
    <x v="99"/>
    <n v="86"/>
    <s v="H (Mar 21)"/>
    <d v="2021-03-17T00:00:00"/>
    <n v="-1"/>
  </r>
  <r>
    <x v="370"/>
    <x v="18"/>
    <n v="26.5"/>
    <n v="27.1"/>
    <n v="26.5"/>
    <n v="27.1"/>
    <x v="550"/>
    <n v="0.9"/>
    <n v="3"/>
    <n v="0"/>
    <n v="6"/>
    <x v="128"/>
    <n v="240"/>
    <s v="Q (Aug 21)"/>
    <d v="2021-08-18T00:00:00"/>
    <n v="-1"/>
  </r>
  <r>
    <x v="370"/>
    <x v="22"/>
    <n v="26.11"/>
    <n v="27.9"/>
    <n v="26.11"/>
    <n v="26.75"/>
    <x v="562"/>
    <n v="0.5"/>
    <n v="9245"/>
    <n v="0"/>
    <n v="11999"/>
    <x v="115"/>
    <n v="121"/>
    <s v="J (Apr 21)"/>
    <d v="2021-04-21T00:00:00"/>
    <n v="-1"/>
  </r>
  <r>
    <x v="371"/>
    <x v="24"/>
    <n v="25.47"/>
    <n v="26.27"/>
    <n v="25.42"/>
    <n v="25.55"/>
    <x v="457"/>
    <n v="0.3"/>
    <n v="42588"/>
    <n v="0"/>
    <n v="58615"/>
    <x v="109"/>
    <n v="61"/>
    <s v="G (Feb 21)"/>
    <d v="2021-02-17T00:00:00"/>
    <n v="-1"/>
  </r>
  <r>
    <x v="371"/>
    <x v="23"/>
    <n v="25.81"/>
    <n v="26.44"/>
    <n v="25.8"/>
    <n v="25.9"/>
    <x v="769"/>
    <n v="0.3"/>
    <n v="6218"/>
    <n v="0"/>
    <n v="21609"/>
    <x v="114"/>
    <n v="89"/>
    <s v="H (Mar 21)"/>
    <d v="2021-03-17T00:00:00"/>
    <n v="-1"/>
  </r>
  <r>
    <x v="371"/>
    <x v="18"/>
    <n v="26.25"/>
    <n v="26.4"/>
    <n v="26.25"/>
    <n v="26.4"/>
    <x v="622"/>
    <n v="-0.1"/>
    <n v="2"/>
    <n v="0"/>
    <n v="3"/>
    <x v="139"/>
    <n v="243"/>
    <s v="Q (Aug 21)"/>
    <d v="2021-08-18T00:00:00"/>
    <n v="-1"/>
  </r>
  <r>
    <x v="371"/>
    <x v="22"/>
    <n v="26"/>
    <n v="26.56"/>
    <n v="25.95"/>
    <n v="26.05"/>
    <x v="878"/>
    <n v="0.25"/>
    <n v="4286"/>
    <n v="0"/>
    <n v="11881"/>
    <x v="118"/>
    <n v="124"/>
    <s v="J (Apr 21)"/>
    <d v="2021-04-21T00:00:00"/>
    <n v="-1"/>
  </r>
  <r>
    <x v="371"/>
    <x v="20"/>
    <n v="25.95"/>
    <n v="26.47"/>
    <n v="25.85"/>
    <n v="26.1"/>
    <x v="2076"/>
    <n v="0.35"/>
    <n v="2047"/>
    <n v="0"/>
    <n v="5618"/>
    <x v="113"/>
    <n v="180"/>
    <s v="M (Jun 21)"/>
    <d v="2021-06-16T00:00:00"/>
    <n v="-1"/>
  </r>
  <r>
    <x v="371"/>
    <x v="19"/>
    <n v="26.08"/>
    <n v="26.6"/>
    <n v="26.05"/>
    <n v="26.21"/>
    <x v="445"/>
    <n v="0.3"/>
    <n v="764"/>
    <n v="0"/>
    <n v="1260"/>
    <x v="108"/>
    <n v="215"/>
    <s v="N (Jul 21)"/>
    <d v="2021-07-21T00:00:00"/>
    <n v="-1"/>
  </r>
  <r>
    <x v="371"/>
    <x v="25"/>
    <n v="23.86"/>
    <n v="25"/>
    <n v="23.8"/>
    <n v="24"/>
    <x v="1469"/>
    <n v="0.35"/>
    <n v="71168"/>
    <n v="0"/>
    <n v="173692"/>
    <x v="153"/>
    <n v="33"/>
    <s v="F (Jan 21)"/>
    <d v="2021-01-20T00:00:00"/>
    <n v="-1"/>
  </r>
  <r>
    <x v="371"/>
    <x v="21"/>
    <n v="25.9"/>
    <n v="26.48"/>
    <n v="25.85"/>
    <n v="26.07"/>
    <x v="878"/>
    <n v="0.3"/>
    <n v="2626"/>
    <n v="0"/>
    <n v="7870"/>
    <x v="124"/>
    <n v="152"/>
    <s v="K (May 21)"/>
    <d v="2021-05-19T00:00:00"/>
    <n v="-1"/>
  </r>
  <r>
    <x v="372"/>
    <x v="20"/>
    <n v="25.9"/>
    <n v="26.11"/>
    <n v="25.77"/>
    <n v="25.87"/>
    <x v="776"/>
    <n v="-0.05"/>
    <n v="1158"/>
    <n v="0"/>
    <n v="5095"/>
    <x v="125"/>
    <n v="181"/>
    <s v="M (Jun 21)"/>
    <d v="2021-06-16T00:00:00"/>
    <n v="-1"/>
  </r>
  <r>
    <x v="372"/>
    <x v="19"/>
    <n v="26.15"/>
    <n v="26.25"/>
    <n v="25.98"/>
    <n v="26.05"/>
    <x v="769"/>
    <n v="-0.1"/>
    <n v="316"/>
    <n v="0"/>
    <n v="919"/>
    <x v="120"/>
    <n v="216"/>
    <s v="N (Jul 21)"/>
    <d v="2021-07-21T00:00:00"/>
    <n v="-1"/>
  </r>
  <r>
    <x v="372"/>
    <x v="25"/>
    <n v="24.25"/>
    <n v="24.3"/>
    <n v="23.55"/>
    <n v="23.9"/>
    <x v="1656"/>
    <n v="-0.27500000000000002"/>
    <n v="56938"/>
    <n v="0"/>
    <n v="179516"/>
    <x v="166"/>
    <n v="34"/>
    <s v="F (Jan 21)"/>
    <d v="2021-01-20T00:00:00"/>
    <n v="-1"/>
  </r>
  <r>
    <x v="372"/>
    <x v="21"/>
    <n v="25.95"/>
    <n v="26.17"/>
    <n v="25.8"/>
    <n v="25.87"/>
    <x v="776"/>
    <n v="-0.1"/>
    <n v="1968"/>
    <n v="0"/>
    <n v="7625"/>
    <x v="129"/>
    <n v="153"/>
    <s v="K (May 21)"/>
    <d v="2021-05-19T00:00:00"/>
    <n v="-1"/>
  </r>
  <r>
    <x v="372"/>
    <x v="24"/>
    <n v="25.65"/>
    <n v="25.95"/>
    <n v="25.31"/>
    <n v="25.4"/>
    <x v="411"/>
    <n v="-0.15"/>
    <n v="37852"/>
    <n v="0"/>
    <n v="55110"/>
    <x v="121"/>
    <n v="62"/>
    <s v="G (Feb 21)"/>
    <d v="2021-02-17T00:00:00"/>
    <n v="-1"/>
  </r>
  <r>
    <x v="372"/>
    <x v="23"/>
    <n v="25.85"/>
    <n v="26.15"/>
    <n v="25.68"/>
    <n v="25.78"/>
    <x v="457"/>
    <n v="-0.15"/>
    <n v="7749"/>
    <n v="0"/>
    <n v="21132"/>
    <x v="117"/>
    <n v="90"/>
    <s v="H (Mar 21)"/>
    <d v="2021-03-17T00:00:00"/>
    <n v="-1"/>
  </r>
  <r>
    <x v="372"/>
    <x v="22"/>
    <n v="26.02"/>
    <n v="26.27"/>
    <n v="25.88"/>
    <n v="25.93"/>
    <x v="622"/>
    <n v="-0.15"/>
    <n v="3416"/>
    <n v="0"/>
    <n v="11630"/>
    <x v="132"/>
    <n v="125"/>
    <s v="J (Apr 21)"/>
    <d v="2021-04-21T00:00:00"/>
    <n v="-1"/>
  </r>
  <r>
    <x v="373"/>
    <x v="24"/>
    <n v="25.85"/>
    <n v="26.2"/>
    <n v="25.56"/>
    <n v="25.65"/>
    <x v="438"/>
    <n v="-0.35"/>
    <n v="36249"/>
    <n v="0"/>
    <n v="50156"/>
    <x v="127"/>
    <n v="63"/>
    <s v="G (Feb 21)"/>
    <d v="2021-02-17T00:00:00"/>
    <n v="-1"/>
  </r>
  <r>
    <x v="373"/>
    <x v="23"/>
    <n v="26.1"/>
    <n v="26.35"/>
    <n v="25.8"/>
    <n v="25.9"/>
    <x v="776"/>
    <n v="-0.3"/>
    <n v="10344"/>
    <n v="0"/>
    <n v="20129"/>
    <x v="131"/>
    <n v="91"/>
    <s v="H (Mar 21)"/>
    <d v="2021-03-17T00:00:00"/>
    <n v="-1"/>
  </r>
  <r>
    <x v="373"/>
    <x v="22"/>
    <n v="26.25"/>
    <n v="26.51"/>
    <n v="26"/>
    <n v="26.07"/>
    <x v="814"/>
    <n v="-0.3"/>
    <n v="3591"/>
    <n v="0"/>
    <n v="11874"/>
    <x v="135"/>
    <n v="126"/>
    <s v="J (Apr 21)"/>
    <d v="2021-04-21T00:00:00"/>
    <n v="-1"/>
  </r>
  <r>
    <x v="373"/>
    <x v="20"/>
    <n v="26.35"/>
    <n v="26.5"/>
    <n v="25.94"/>
    <n v="25.95"/>
    <x v="622"/>
    <n v="-0.45"/>
    <n v="1711"/>
    <n v="0"/>
    <n v="4945"/>
    <x v="130"/>
    <n v="182"/>
    <s v="M (Jun 21)"/>
    <d v="2021-06-16T00:00:00"/>
    <n v="-1"/>
  </r>
  <r>
    <x v="373"/>
    <x v="19"/>
    <n v="26.4"/>
    <n v="26.62"/>
    <n v="26.1"/>
    <n v="26.1"/>
    <x v="332"/>
    <n v="-0.32500000000000001"/>
    <n v="674"/>
    <n v="0"/>
    <n v="780"/>
    <x v="126"/>
    <n v="217"/>
    <s v="N (Jul 21)"/>
    <d v="2021-07-21T00:00:00"/>
    <n v="-1"/>
  </r>
  <r>
    <x v="373"/>
    <x v="25"/>
    <n v="24.85"/>
    <n v="25.15"/>
    <n v="24.05"/>
    <n v="24.25"/>
    <x v="1404"/>
    <n v="-0.875"/>
    <n v="63436"/>
    <n v="0"/>
    <n v="186940"/>
    <x v="169"/>
    <n v="35"/>
    <s v="F (Jan 21)"/>
    <d v="2021-01-20T00:00:00"/>
    <n v="-1"/>
  </r>
  <r>
    <x v="373"/>
    <x v="21"/>
    <n v="26.35"/>
    <n v="26.5"/>
    <n v="25.93"/>
    <n v="26"/>
    <x v="841"/>
    <n v="-0.4"/>
    <n v="2577"/>
    <n v="0"/>
    <n v="7861"/>
    <x v="140"/>
    <n v="154"/>
    <s v="K (May 21)"/>
    <d v="2021-05-19T00:00:00"/>
    <n v="-1"/>
  </r>
  <r>
    <x v="374"/>
    <x v="20"/>
    <n v="26.75"/>
    <n v="26.75"/>
    <n v="26.2"/>
    <n v="26.3"/>
    <x v="328"/>
    <n v="-0.25"/>
    <n v="1446"/>
    <n v="0"/>
    <n v="4794"/>
    <x v="141"/>
    <n v="183"/>
    <s v="M (Jun 21)"/>
    <d v="2021-06-16T00:00:00"/>
    <n v="-1"/>
  </r>
  <r>
    <x v="374"/>
    <x v="19"/>
    <n v="26.75"/>
    <n v="26.76"/>
    <n v="26.39"/>
    <n v="26.46"/>
    <x v="606"/>
    <n v="-0.2"/>
    <n v="148"/>
    <n v="0"/>
    <n v="392"/>
    <x v="137"/>
    <n v="218"/>
    <s v="N (Jul 21)"/>
    <d v="2021-07-21T00:00:00"/>
    <n v="-1"/>
  </r>
  <r>
    <x v="374"/>
    <x v="25"/>
    <n v="26.05"/>
    <n v="26.43"/>
    <n v="24.8"/>
    <n v="24.8"/>
    <x v="1347"/>
    <n v="-1.1499999999999999"/>
    <n v="76032"/>
    <n v="0"/>
    <n v="193457"/>
    <x v="176"/>
    <n v="36"/>
    <s v="F (Jan 21)"/>
    <d v="2021-01-20T00:00:00"/>
    <n v="-1"/>
  </r>
  <r>
    <x v="374"/>
    <x v="21"/>
    <n v="26.68"/>
    <n v="26.8"/>
    <n v="26.23"/>
    <n v="26.3"/>
    <x v="328"/>
    <n v="-0.25"/>
    <n v="2389"/>
    <n v="0"/>
    <n v="7862"/>
    <x v="146"/>
    <n v="155"/>
    <s v="K (May 21)"/>
    <d v="2021-05-19T00:00:00"/>
    <n v="-1"/>
  </r>
  <r>
    <x v="374"/>
    <x v="24"/>
    <n v="26.6"/>
    <n v="26.81"/>
    <n v="25.8"/>
    <n v="25.85"/>
    <x v="622"/>
    <n v="-0.7"/>
    <n v="21299"/>
    <n v="0"/>
    <n v="46408"/>
    <x v="138"/>
    <n v="64"/>
    <s v="G (Feb 21)"/>
    <d v="2021-02-17T00:00:00"/>
    <n v="-1"/>
  </r>
  <r>
    <x v="374"/>
    <x v="23"/>
    <n v="26.55"/>
    <n v="26.7"/>
    <n v="26.05"/>
    <n v="26.09"/>
    <x v="878"/>
    <n v="-0.35"/>
    <n v="10707"/>
    <n v="0"/>
    <n v="18439"/>
    <x v="134"/>
    <n v="92"/>
    <s v="H (Mar 21)"/>
    <d v="2021-03-17T00:00:00"/>
    <n v="-1"/>
  </r>
  <r>
    <x v="374"/>
    <x v="18"/>
    <n v="26.75"/>
    <n v="26.75"/>
    <n v="26.75"/>
    <n v="26.75"/>
    <x v="304"/>
    <n v="0.05"/>
    <n v="1"/>
    <n v="0"/>
    <n v="1"/>
    <x v="160"/>
    <n v="246"/>
    <s v="Q (Aug 21)"/>
    <d v="2021-08-18T00:00:00"/>
    <n v="-1"/>
  </r>
  <r>
    <x v="374"/>
    <x v="22"/>
    <n v="26.75"/>
    <n v="26.81"/>
    <n v="26.25"/>
    <n v="26.31"/>
    <x v="328"/>
    <n v="-0.3"/>
    <n v="5375"/>
    <n v="0"/>
    <n v="11655"/>
    <x v="149"/>
    <n v="127"/>
    <s v="J (Apr 21)"/>
    <d v="2021-04-21T00:00:00"/>
    <n v="-1"/>
  </r>
  <r>
    <x v="375"/>
    <x v="24"/>
    <n v="25.8"/>
    <n v="26.68"/>
    <n v="25.4"/>
    <n v="26.65"/>
    <x v="597"/>
    <n v="0.55000000000000004"/>
    <n v="17782"/>
    <n v="0"/>
    <n v="43127"/>
    <x v="143"/>
    <n v="65"/>
    <s v="G (Feb 21)"/>
    <d v="2021-02-17T00:00:00"/>
    <n v="-1"/>
  </r>
  <r>
    <x v="375"/>
    <x v="23"/>
    <n v="25.85"/>
    <n v="26.6"/>
    <n v="25.54"/>
    <n v="26.6"/>
    <x v="295"/>
    <n v="0.45"/>
    <n v="8966"/>
    <n v="0"/>
    <n v="16091"/>
    <x v="148"/>
    <n v="93"/>
    <s v="H (Mar 21)"/>
    <d v="2021-03-17T00:00:00"/>
    <n v="-1"/>
  </r>
  <r>
    <x v="375"/>
    <x v="22"/>
    <n v="26.3"/>
    <n v="26.75"/>
    <n v="26.03"/>
    <n v="26.75"/>
    <x v="562"/>
    <n v="0.1"/>
    <n v="5094"/>
    <n v="0"/>
    <n v="11134"/>
    <x v="152"/>
    <n v="128"/>
    <s v="J (Apr 21)"/>
    <d v="2021-04-21T00:00:00"/>
    <n v="-1"/>
  </r>
  <r>
    <x v="375"/>
    <x v="20"/>
    <n v="26.01"/>
    <n v="26.65"/>
    <n v="25.99"/>
    <n v="26.6"/>
    <x v="597"/>
    <n v="0.25"/>
    <n v="1557"/>
    <n v="0"/>
    <n v="5437"/>
    <x v="147"/>
    <n v="184"/>
    <s v="M (Jun 21)"/>
    <d v="2021-06-16T00:00:00"/>
    <n v="-1"/>
  </r>
  <r>
    <x v="375"/>
    <x v="19"/>
    <n v="26.13"/>
    <n v="26.65"/>
    <n v="26.13"/>
    <n v="26.65"/>
    <x v="635"/>
    <n v="0.25"/>
    <n v="88"/>
    <n v="0"/>
    <n v="322"/>
    <x v="142"/>
    <n v="219"/>
    <s v="N (Jul 21)"/>
    <d v="2021-07-21T00:00:00"/>
    <n v="-1"/>
  </r>
  <r>
    <x v="375"/>
    <x v="25"/>
    <n v="25.1"/>
    <n v="26.25"/>
    <n v="24.53"/>
    <n v="26.15"/>
    <x v="332"/>
    <n v="0.55000000000000004"/>
    <n v="80326"/>
    <n v="0"/>
    <n v="189005"/>
    <x v="178"/>
    <n v="37"/>
    <s v="F (Jan 21)"/>
    <d v="2021-01-20T00:00:00"/>
    <n v="-1"/>
  </r>
  <r>
    <x v="375"/>
    <x v="21"/>
    <n v="26.29"/>
    <n v="26.7"/>
    <n v="26.06"/>
    <n v="26.7"/>
    <x v="597"/>
    <n v="0.15"/>
    <n v="2464"/>
    <n v="0"/>
    <n v="7686"/>
    <x v="157"/>
    <n v="156"/>
    <s v="K (May 21)"/>
    <d v="2021-05-19T00:00:00"/>
    <n v="-1"/>
  </r>
  <r>
    <x v="376"/>
    <x v="20"/>
    <n v="25.9"/>
    <n v="26.65"/>
    <n v="25.9"/>
    <n v="26.28"/>
    <x v="328"/>
    <n v="0.5"/>
    <n v="1250"/>
    <n v="0"/>
    <n v="4777"/>
    <x v="158"/>
    <n v="187"/>
    <s v="M (Jun 21)"/>
    <d v="2021-06-16T00:00:00"/>
    <n v="-1"/>
  </r>
  <r>
    <x v="376"/>
    <x v="19"/>
    <n v="26.05"/>
    <n v="26.7"/>
    <n v="26.05"/>
    <n v="26.35"/>
    <x v="218"/>
    <n v="0.4"/>
    <n v="135"/>
    <n v="0"/>
    <n v="296"/>
    <x v="3"/>
    <n v="222"/>
    <s v="N (Jul 21)"/>
    <d v="2021-07-21T00:00:00"/>
    <n v="-1"/>
  </r>
  <r>
    <x v="376"/>
    <x v="25"/>
    <n v="24.6"/>
    <n v="26.1"/>
    <n v="24.47"/>
    <n v="25.62"/>
    <x v="438"/>
    <n v="0.9"/>
    <n v="85788"/>
    <n v="168"/>
    <n v="179775"/>
    <x v="182"/>
    <n v="40"/>
    <s v="F (Jan 21)"/>
    <d v="2021-01-20T00:00:00"/>
    <n v="-1"/>
  </r>
  <r>
    <x v="376"/>
    <x v="21"/>
    <n v="25.91"/>
    <n v="26.72"/>
    <n v="25.9"/>
    <n v="26.41"/>
    <x v="580"/>
    <n v="0.55000000000000004"/>
    <n v="2597"/>
    <n v="0"/>
    <n v="7634"/>
    <x v="162"/>
    <n v="159"/>
    <s v="K (May 21)"/>
    <d v="2021-05-19T00:00:00"/>
    <n v="-1"/>
  </r>
  <r>
    <x v="376"/>
    <x v="24"/>
    <n v="25.35"/>
    <n v="26.63"/>
    <n v="25.25"/>
    <n v="26.19"/>
    <x v="814"/>
    <n v="0.65"/>
    <n v="19187"/>
    <n v="0"/>
    <n v="41474"/>
    <x v="154"/>
    <n v="68"/>
    <s v="G (Feb 21)"/>
    <d v="2021-02-17T00:00:00"/>
    <n v="-1"/>
  </r>
  <r>
    <x v="376"/>
    <x v="23"/>
    <n v="25.52"/>
    <n v="26.62"/>
    <n v="25.5"/>
    <n v="26.15"/>
    <x v="814"/>
    <n v="0.5"/>
    <n v="11183"/>
    <n v="0"/>
    <n v="14988"/>
    <x v="151"/>
    <n v="96"/>
    <s v="H (Mar 21)"/>
    <d v="2021-03-17T00:00:00"/>
    <n v="-1"/>
  </r>
  <r>
    <x v="376"/>
    <x v="22"/>
    <n v="25.81"/>
    <n v="26.75"/>
    <n v="25.8"/>
    <n v="26.45"/>
    <x v="366"/>
    <n v="0.75"/>
    <n v="8209"/>
    <n v="0"/>
    <n v="11195"/>
    <x v="165"/>
    <n v="131"/>
    <s v="J (Apr 21)"/>
    <d v="2021-04-21T00:00:00"/>
    <n v="-1"/>
  </r>
  <r>
    <x v="377"/>
    <x v="24"/>
    <n v="25.1"/>
    <n v="25.6"/>
    <n v="24.9"/>
    <n v="25.4"/>
    <x v="411"/>
    <n v="0.15"/>
    <n v="14449"/>
    <n v="0"/>
    <n v="38436"/>
    <x v="159"/>
    <n v="69"/>
    <s v="G (Feb 21)"/>
    <d v="2021-02-17T00:00:00"/>
    <n v="-1"/>
  </r>
  <r>
    <x v="377"/>
    <x v="23"/>
    <n v="25.25"/>
    <n v="25.7"/>
    <n v="25.08"/>
    <n v="25.55"/>
    <x v="438"/>
    <n v="0.2"/>
    <n v="4798"/>
    <n v="0"/>
    <n v="14768"/>
    <x v="164"/>
    <n v="97"/>
    <s v="H (Mar 21)"/>
    <d v="2021-03-17T00:00:00"/>
    <n v="-1"/>
  </r>
  <r>
    <x v="377"/>
    <x v="22"/>
    <n v="25.6"/>
    <n v="25.95"/>
    <n v="25.4"/>
    <n v="25.85"/>
    <x v="358"/>
    <n v="0.125"/>
    <n v="1423"/>
    <n v="0"/>
    <n v="9549"/>
    <x v="168"/>
    <n v="132"/>
    <s v="J (Apr 21)"/>
    <d v="2021-04-21T00:00:00"/>
    <n v="-1"/>
  </r>
  <r>
    <x v="377"/>
    <x v="20"/>
    <n v="25.6"/>
    <n v="25.95"/>
    <n v="25.55"/>
    <n v="25.95"/>
    <x v="776"/>
    <n v="0.1"/>
    <n v="920"/>
    <n v="0"/>
    <n v="4270"/>
    <x v="163"/>
    <n v="188"/>
    <s v="M (Jun 21)"/>
    <d v="2021-06-16T00:00:00"/>
    <n v="-1"/>
  </r>
  <r>
    <x v="377"/>
    <x v="19"/>
    <n v="25.77"/>
    <n v="26.01"/>
    <n v="25.68"/>
    <n v="26"/>
    <x v="628"/>
    <n v="0.2"/>
    <n v="54"/>
    <n v="0"/>
    <n v="226"/>
    <x v="15"/>
    <n v="223"/>
    <s v="N (Jul 21)"/>
    <d v="2021-07-21T00:00:00"/>
    <n v="-1"/>
  </r>
  <r>
    <x v="377"/>
    <x v="25"/>
    <n v="24.15"/>
    <n v="24.85"/>
    <n v="23.82"/>
    <n v="24.65"/>
    <x v="1311"/>
    <n v="0.3"/>
    <n v="71277"/>
    <n v="0"/>
    <n v="172484"/>
    <x v="184"/>
    <n v="41"/>
    <s v="F (Jan 21)"/>
    <d v="2021-01-20T00:00:00"/>
    <n v="-1"/>
  </r>
  <r>
    <x v="377"/>
    <x v="21"/>
    <n v="25.64"/>
    <n v="26"/>
    <n v="25.5"/>
    <n v="26"/>
    <x v="622"/>
    <n v="0.15"/>
    <n v="1370"/>
    <n v="0"/>
    <n v="7441"/>
    <x v="172"/>
    <n v="160"/>
    <s v="K (May 21)"/>
    <d v="2021-05-19T00:00:00"/>
    <n v="-1"/>
  </r>
  <r>
    <x v="378"/>
    <x v="20"/>
    <n v="25.2"/>
    <n v="25.8"/>
    <n v="25.12"/>
    <n v="25.68"/>
    <x v="454"/>
    <n v="0.5"/>
    <n v="1302"/>
    <n v="0"/>
    <n v="3757"/>
    <x v="173"/>
    <n v="189"/>
    <s v="M (Jun 21)"/>
    <d v="2021-06-16T00:00:00"/>
    <n v="-1"/>
  </r>
  <r>
    <x v="378"/>
    <x v="19"/>
    <n v="25.25"/>
    <n v="25.86"/>
    <n v="25.2"/>
    <n v="25.86"/>
    <x v="804"/>
    <n v="0.52500000000000002"/>
    <n v="115"/>
    <n v="0"/>
    <n v="232"/>
    <x v="21"/>
    <n v="224"/>
    <s v="N (Jul 21)"/>
    <d v="2021-07-21T00:00:00"/>
    <n v="-1"/>
  </r>
  <r>
    <x v="378"/>
    <x v="25"/>
    <n v="23.65"/>
    <n v="24.6"/>
    <n v="23.22"/>
    <n v="24.2"/>
    <x v="1431"/>
    <n v="0.75"/>
    <n v="85460"/>
    <n v="0"/>
    <n v="162834"/>
    <x v="2"/>
    <n v="42"/>
    <s v="F (Jan 21)"/>
    <d v="2021-01-20T00:00:00"/>
    <n v="-1"/>
  </r>
  <r>
    <x v="378"/>
    <x v="21"/>
    <n v="25.4"/>
    <n v="25.9"/>
    <n v="25.18"/>
    <n v="25.7"/>
    <x v="454"/>
    <n v="0.45"/>
    <n v="2550"/>
    <n v="0"/>
    <n v="7385"/>
    <x v="0"/>
    <n v="161"/>
    <s v="K (May 21)"/>
    <d v="2021-05-19T00:00:00"/>
    <n v="-1"/>
  </r>
  <r>
    <x v="378"/>
    <x v="24"/>
    <n v="24.55"/>
    <n v="25.47"/>
    <n v="24.2"/>
    <n v="25.13"/>
    <x v="1090"/>
    <n v="0.7"/>
    <n v="13909"/>
    <n v="0"/>
    <n v="36265"/>
    <x v="170"/>
    <n v="70"/>
    <s v="G (Feb 21)"/>
    <d v="2021-02-17T00:00:00"/>
    <n v="-1"/>
  </r>
  <r>
    <x v="378"/>
    <x v="23"/>
    <n v="24.75"/>
    <n v="25.5"/>
    <n v="24.5"/>
    <n v="25.28"/>
    <x v="1237"/>
    <n v="0.65"/>
    <n v="5072"/>
    <n v="0"/>
    <n v="14726"/>
    <x v="167"/>
    <n v="98"/>
    <s v="H (Mar 21)"/>
    <d v="2021-03-17T00:00:00"/>
    <n v="-1"/>
  </r>
  <r>
    <x v="378"/>
    <x v="22"/>
    <n v="25.15"/>
    <n v="25.79"/>
    <n v="24.97"/>
    <n v="25.6"/>
    <x v="378"/>
    <n v="0.55000000000000004"/>
    <n v="2356"/>
    <n v="0"/>
    <n v="9332"/>
    <x v="5"/>
    <n v="133"/>
    <s v="J (Apr 21)"/>
    <d v="2021-04-21T00:00:00"/>
    <n v="-1"/>
  </r>
  <r>
    <x v="379"/>
    <x v="24"/>
    <n v="25.12"/>
    <n v="25.36"/>
    <n v="24.52"/>
    <n v="24.55"/>
    <x v="2316"/>
    <n v="-0.5"/>
    <n v="10767"/>
    <n v="0"/>
    <n v="33793"/>
    <x v="6"/>
    <n v="71"/>
    <s v="G (Feb 21)"/>
    <d v="2021-02-17T00:00:00"/>
    <n v="-1"/>
  </r>
  <r>
    <x v="379"/>
    <x v="23"/>
    <n v="25.15"/>
    <n v="25.4"/>
    <n v="24.72"/>
    <n v="24.75"/>
    <x v="1165"/>
    <n v="-0.4"/>
    <n v="5066"/>
    <n v="0"/>
    <n v="14786"/>
    <x v="175"/>
    <n v="99"/>
    <s v="H (Mar 21)"/>
    <d v="2021-03-17T00:00:00"/>
    <n v="-1"/>
  </r>
  <r>
    <x v="379"/>
    <x v="22"/>
    <n v="25.6"/>
    <n v="25.7"/>
    <n v="25.12"/>
    <n v="25.16"/>
    <x v="1080"/>
    <n v="-0.32500000000000001"/>
    <n v="1775"/>
    <n v="0"/>
    <n v="9083"/>
    <x v="17"/>
    <n v="134"/>
    <s v="J (Apr 21)"/>
    <d v="2021-04-21T00:00:00"/>
    <n v="-1"/>
  </r>
  <r>
    <x v="379"/>
    <x v="20"/>
    <n v="25.48"/>
    <n v="25.62"/>
    <n v="25.15"/>
    <n v="25.2"/>
    <x v="1090"/>
    <n v="-0.17499999999999999"/>
    <n v="1138"/>
    <n v="0"/>
    <n v="3340"/>
    <x v="174"/>
    <n v="190"/>
    <s v="M (Jun 21)"/>
    <d v="2021-06-16T00:00:00"/>
    <n v="-1"/>
  </r>
  <r>
    <x v="379"/>
    <x v="19"/>
    <n v="25.45"/>
    <n v="25.6"/>
    <n v="25.27"/>
    <n v="25.28"/>
    <x v="1090"/>
    <n v="-0.125"/>
    <n v="90"/>
    <n v="0"/>
    <n v="211"/>
    <x v="32"/>
    <n v="225"/>
    <s v="N (Jul 21)"/>
    <d v="2021-07-21T00:00:00"/>
    <n v="-1"/>
  </r>
  <r>
    <x v="379"/>
    <x v="25"/>
    <n v="24.45"/>
    <n v="24.72"/>
    <n v="23.59"/>
    <n v="23.68"/>
    <x v="2317"/>
    <n v="-0.7"/>
    <n v="48579"/>
    <n v="0"/>
    <n v="151398"/>
    <x v="14"/>
    <n v="43"/>
    <s v="F (Jan 21)"/>
    <d v="2021-01-20T00:00:00"/>
    <n v="-1"/>
  </r>
  <r>
    <x v="379"/>
    <x v="21"/>
    <n v="25.65"/>
    <n v="25.75"/>
    <n v="25.3"/>
    <n v="25.33"/>
    <x v="1157"/>
    <n v="-0.22500000000000001"/>
    <n v="1430"/>
    <n v="0"/>
    <n v="7325"/>
    <x v="12"/>
    <n v="162"/>
    <s v="K (May 21)"/>
    <d v="2021-05-19T00:00:00"/>
    <n v="-1"/>
  </r>
  <r>
    <x v="380"/>
    <x v="20"/>
    <n v="25.5"/>
    <n v="25.55"/>
    <n v="25.37"/>
    <n v="25.5"/>
    <x v="394"/>
    <n v="0.125"/>
    <n v="654"/>
    <n v="0"/>
    <n v="3646"/>
    <x v="179"/>
    <n v="191"/>
    <s v="M (Jun 21)"/>
    <d v="2021-06-16T00:00:00"/>
    <n v="-1"/>
  </r>
  <r>
    <x v="380"/>
    <x v="19"/>
    <n v="25.55"/>
    <n v="25.55"/>
    <n v="25.55"/>
    <n v="25.55"/>
    <x v="1055"/>
    <n v="-0.1"/>
    <n v="13"/>
    <n v="0"/>
    <n v="197"/>
    <x v="38"/>
    <n v="226"/>
    <s v="N (Jul 21)"/>
    <d v="2021-07-21T00:00:00"/>
    <n v="-1"/>
  </r>
  <r>
    <x v="380"/>
    <x v="25"/>
    <n v="24.2"/>
    <n v="24.66"/>
    <n v="24.1"/>
    <n v="24.54"/>
    <x v="1504"/>
    <n v="0.1"/>
    <n v="44389"/>
    <n v="0"/>
    <n v="145785"/>
    <x v="20"/>
    <n v="44"/>
    <s v="F (Jan 21)"/>
    <d v="2021-01-20T00:00:00"/>
    <n v="-1"/>
  </r>
  <r>
    <x v="380"/>
    <x v="21"/>
    <n v="25.4"/>
    <n v="25.65"/>
    <n v="25.4"/>
    <n v="25.65"/>
    <x v="1252"/>
    <n v="0.17499999999999999"/>
    <n v="1485"/>
    <n v="0"/>
    <n v="7223"/>
    <x v="18"/>
    <n v="163"/>
    <s v="K (May 21)"/>
    <d v="2021-05-19T00:00:00"/>
    <n v="-1"/>
  </r>
  <r>
    <x v="380"/>
    <x v="24"/>
    <n v="24.85"/>
    <n v="25.2"/>
    <n v="24.8"/>
    <n v="25.2"/>
    <x v="1361"/>
    <n v="0.2"/>
    <n v="5099"/>
    <n v="0"/>
    <n v="31766"/>
    <x v="9"/>
    <n v="72"/>
    <s v="G (Feb 21)"/>
    <d v="2021-02-17T00:00:00"/>
    <n v="-1"/>
  </r>
  <r>
    <x v="380"/>
    <x v="23"/>
    <n v="24.94"/>
    <n v="25.25"/>
    <n v="24.92"/>
    <n v="25.22"/>
    <x v="1063"/>
    <n v="0.15"/>
    <n v="2188"/>
    <n v="0"/>
    <n v="15315"/>
    <x v="177"/>
    <n v="100"/>
    <s v="H (Mar 21)"/>
    <d v="2021-03-17T00:00:00"/>
    <n v="-1"/>
  </r>
  <r>
    <x v="380"/>
    <x v="22"/>
    <n v="25.31"/>
    <n v="25.57"/>
    <n v="25.3"/>
    <n v="25.55"/>
    <x v="1881"/>
    <n v="0.15"/>
    <n v="1384"/>
    <n v="0"/>
    <n v="8995"/>
    <x v="23"/>
    <n v="135"/>
    <s v="J (Apr 21)"/>
    <d v="2021-04-21T00:00:00"/>
    <n v="-1"/>
  </r>
  <r>
    <x v="381"/>
    <x v="24"/>
    <n v="24.97"/>
    <n v="25"/>
    <n v="24.7"/>
    <n v="24.91"/>
    <x v="1070"/>
    <n v="-0.15"/>
    <n v="6542"/>
    <n v="0"/>
    <n v="30725"/>
    <x v="24"/>
    <n v="75"/>
    <s v="G (Feb 21)"/>
    <d v="2021-02-17T00:00:00"/>
    <n v="-1"/>
  </r>
  <r>
    <x v="381"/>
    <x v="23"/>
    <n v="25.15"/>
    <n v="25.15"/>
    <n v="24.87"/>
    <n v="25.01"/>
    <x v="1347"/>
    <n v="-0.2"/>
    <n v="2389"/>
    <n v="0"/>
    <n v="14974"/>
    <x v="181"/>
    <n v="103"/>
    <s v="H (Mar 21)"/>
    <d v="2021-03-17T00:00:00"/>
    <n v="-1"/>
  </r>
  <r>
    <x v="381"/>
    <x v="22"/>
    <n v="25.45"/>
    <n v="25.45"/>
    <n v="25.22"/>
    <n v="25.36"/>
    <x v="1157"/>
    <n v="-0.15"/>
    <n v="1730"/>
    <n v="0"/>
    <n v="8617"/>
    <x v="34"/>
    <n v="138"/>
    <s v="J (Apr 21)"/>
    <d v="2021-04-21T00:00:00"/>
    <n v="-1"/>
  </r>
  <r>
    <x v="381"/>
    <x v="20"/>
    <n v="25.3"/>
    <n v="25.4"/>
    <n v="25.24"/>
    <n v="25.35"/>
    <x v="1157"/>
    <n v="-0.05"/>
    <n v="677"/>
    <n v="0"/>
    <n v="2989"/>
    <x v="180"/>
    <n v="194"/>
    <s v="M (Jun 21)"/>
    <d v="2021-06-16T00:00:00"/>
    <n v="-1"/>
  </r>
  <r>
    <x v="381"/>
    <x v="19"/>
    <n v="25.45"/>
    <n v="25.45"/>
    <n v="25.45"/>
    <n v="25.45"/>
    <x v="426"/>
    <n v="-0.25"/>
    <n v="2"/>
    <n v="0"/>
    <n v="192"/>
    <x v="50"/>
    <n v="229"/>
    <s v="N (Jul 21)"/>
    <d v="2021-07-21T00:00:00"/>
    <n v="-1"/>
  </r>
  <r>
    <x v="381"/>
    <x v="25"/>
    <n v="24.4"/>
    <n v="24.5"/>
    <n v="23.95"/>
    <n v="24.27"/>
    <x v="1395"/>
    <n v="-0.25"/>
    <n v="44995"/>
    <n v="337"/>
    <n v="132736"/>
    <x v="31"/>
    <n v="47"/>
    <s v="F (Jan 21)"/>
    <d v="2021-01-20T00:00:00"/>
    <n v="-1"/>
  </r>
  <r>
    <x v="381"/>
    <x v="21"/>
    <n v="25.45"/>
    <n v="25.5"/>
    <n v="25.3"/>
    <n v="25.45"/>
    <x v="1237"/>
    <n v="-0.1"/>
    <n v="1190"/>
    <n v="0"/>
    <n v="7125"/>
    <x v="35"/>
    <n v="166"/>
    <s v="K (May 21)"/>
    <d v="2021-05-19T00:00:00"/>
    <n v="-1"/>
  </r>
  <r>
    <x v="382"/>
    <x v="20"/>
    <n v="25.22"/>
    <n v="25.4"/>
    <n v="25.1"/>
    <n v="25.32"/>
    <x v="1237"/>
    <n v="0.15"/>
    <n v="612"/>
    <n v="0"/>
    <n v="2551"/>
    <x v="185"/>
    <n v="195"/>
    <s v="M (Jun 21)"/>
    <d v="2021-06-16T00:00:00"/>
    <n v="-1"/>
  </r>
  <r>
    <x v="382"/>
    <x v="19"/>
    <n v="25.4"/>
    <n v="25.45"/>
    <n v="25.4"/>
    <n v="25.45"/>
    <x v="362"/>
    <n v="0.125"/>
    <n v="6"/>
    <n v="0"/>
    <n v="192"/>
    <x v="56"/>
    <n v="230"/>
    <s v="N (Jul 21)"/>
    <d v="2021-07-21T00:00:00"/>
    <n v="-1"/>
  </r>
  <r>
    <x v="382"/>
    <x v="25"/>
    <n v="24.29"/>
    <n v="24.6"/>
    <n v="23.97"/>
    <n v="24.4"/>
    <x v="1540"/>
    <n v="0.15"/>
    <n v="45256"/>
    <n v="423"/>
    <n v="123639"/>
    <x v="37"/>
    <n v="48"/>
    <s v="F (Jan 21)"/>
    <d v="2021-01-20T00:00:00"/>
    <n v="-1"/>
  </r>
  <r>
    <x v="382"/>
    <x v="21"/>
    <n v="25.35"/>
    <n v="25.55"/>
    <n v="25.2"/>
    <n v="25.45"/>
    <x v="1881"/>
    <n v="0.1"/>
    <n v="1359"/>
    <n v="0"/>
    <n v="6867"/>
    <x v="41"/>
    <n v="167"/>
    <s v="K (May 21)"/>
    <d v="2021-05-19T00:00:00"/>
    <n v="-1"/>
  </r>
  <r>
    <x v="382"/>
    <x v="23"/>
    <n v="25"/>
    <n v="25.2"/>
    <n v="24.75"/>
    <n v="25.1"/>
    <x v="1195"/>
    <n v="0.2"/>
    <n v="3219"/>
    <n v="0"/>
    <n v="14983"/>
    <x v="183"/>
    <n v="104"/>
    <s v="H (Mar 21)"/>
    <d v="2021-03-17T00:00:00"/>
    <n v="-1"/>
  </r>
  <r>
    <x v="382"/>
    <x v="26"/>
    <n v="22.8"/>
    <n v="23.31"/>
    <n v="22.3"/>
    <n v="23"/>
    <x v="2318"/>
    <n v="0.3"/>
    <n v="54321"/>
    <n v="380"/>
    <n v="103334"/>
    <x v="62"/>
    <n v="13"/>
    <s v="Z (Dec 20)"/>
    <d v="2020-12-16T00:00:00"/>
    <n v="-1"/>
  </r>
  <r>
    <x v="382"/>
    <x v="22"/>
    <n v="25.3"/>
    <n v="25.55"/>
    <n v="25.15"/>
    <n v="25.4"/>
    <x v="1881"/>
    <n v="0.125"/>
    <n v="1705"/>
    <n v="0"/>
    <n v="8441"/>
    <x v="40"/>
    <n v="139"/>
    <s v="J (Apr 21)"/>
    <d v="2021-04-21T00:00:00"/>
    <n v="-1"/>
  </r>
  <r>
    <x v="382"/>
    <x v="24"/>
    <n v="24.8"/>
    <n v="25.1"/>
    <n v="24.57"/>
    <n v="24.95"/>
    <x v="1171"/>
    <n v="0.2"/>
    <n v="8076"/>
    <n v="0"/>
    <n v="29177"/>
    <x v="27"/>
    <n v="76"/>
    <s v="G (Feb 21)"/>
    <d v="2021-02-17T00:00:00"/>
    <n v="-1"/>
  </r>
  <r>
    <x v="383"/>
    <x v="23"/>
    <n v="25.01"/>
    <n v="25.2"/>
    <n v="24.65"/>
    <n v="25"/>
    <x v="1347"/>
    <n v="-0.15"/>
    <n v="2554"/>
    <n v="0"/>
    <n v="15261"/>
    <x v="7"/>
    <n v="105"/>
    <s v="H (Mar 21)"/>
    <d v="2021-03-17T00:00:00"/>
    <n v="-1"/>
  </r>
  <r>
    <x v="383"/>
    <x v="26"/>
    <n v="22.65"/>
    <n v="23.05"/>
    <n v="22.2"/>
    <n v="22.75"/>
    <x v="2313"/>
    <n v="-0.15"/>
    <n v="59417"/>
    <n v="291"/>
    <n v="111326"/>
    <x v="65"/>
    <n v="14"/>
    <s v="Z (Dec 20)"/>
    <d v="2020-12-16T00:00:00"/>
    <n v="-1"/>
  </r>
  <r>
    <x v="383"/>
    <x v="22"/>
    <n v="25.35"/>
    <n v="25.55"/>
    <n v="25.05"/>
    <n v="25.32"/>
    <x v="1096"/>
    <n v="-0.1"/>
    <n v="1709"/>
    <n v="0"/>
    <n v="8460"/>
    <x v="52"/>
    <n v="140"/>
    <s v="J (Apr 21)"/>
    <d v="2021-04-21T00:00:00"/>
    <n v="-1"/>
  </r>
  <r>
    <x v="383"/>
    <x v="24"/>
    <n v="24.86"/>
    <n v="25.1"/>
    <n v="24.45"/>
    <n v="24.75"/>
    <x v="1425"/>
    <n v="-0.15"/>
    <n v="10868"/>
    <n v="0"/>
    <n v="27567"/>
    <x v="42"/>
    <n v="77"/>
    <s v="G (Feb 21)"/>
    <d v="2021-02-17T00:00:00"/>
    <n v="-1"/>
  </r>
  <r>
    <x v="383"/>
    <x v="20"/>
    <n v="25.35"/>
    <n v="25.46"/>
    <n v="25.06"/>
    <n v="25.2"/>
    <x v="390"/>
    <n v="-0.1"/>
    <n v="646"/>
    <n v="0"/>
    <n v="2599"/>
    <x v="1"/>
    <n v="196"/>
    <s v="M (Jun 21)"/>
    <d v="2021-06-16T00:00:00"/>
    <n v="-1"/>
  </r>
  <r>
    <x v="383"/>
    <x v="19"/>
    <n v="25.55"/>
    <n v="25.55"/>
    <n v="25.3"/>
    <n v="25.5"/>
    <x v="406"/>
    <n v="0.25"/>
    <n v="26"/>
    <n v="0"/>
    <n v="186"/>
    <x v="68"/>
    <n v="231"/>
    <s v="N (Jul 21)"/>
    <d v="2021-07-21T00:00:00"/>
    <n v="-1"/>
  </r>
  <r>
    <x v="383"/>
    <x v="25"/>
    <n v="24.38"/>
    <n v="24.6"/>
    <n v="23.85"/>
    <n v="24.32"/>
    <x v="1504"/>
    <n v="-0.1"/>
    <n v="52287"/>
    <n v="262"/>
    <n v="114827"/>
    <x v="49"/>
    <n v="49"/>
    <s v="F (Jan 21)"/>
    <d v="2021-01-20T00:00:00"/>
    <n v="-1"/>
  </r>
  <r>
    <x v="383"/>
    <x v="21"/>
    <n v="25.4"/>
    <n v="25.57"/>
    <n v="25.1"/>
    <n v="25.35"/>
    <x v="1237"/>
    <n v="-0.1"/>
    <n v="962"/>
    <n v="0"/>
    <n v="6600"/>
    <x v="53"/>
    <n v="168"/>
    <s v="K (May 21)"/>
    <d v="2021-05-19T00:00:00"/>
    <n v="-1"/>
  </r>
  <r>
    <x v="384"/>
    <x v="20"/>
    <n v="25.25"/>
    <n v="25.35"/>
    <n v="25"/>
    <n v="25.3"/>
    <x v="1157"/>
    <n v="2.5000000000000001E-2"/>
    <n v="791"/>
    <n v="0"/>
    <n v="2158"/>
    <x v="13"/>
    <n v="197"/>
    <s v="M (Jun 21)"/>
    <d v="2021-06-16T00:00:00"/>
    <n v="-1"/>
  </r>
  <r>
    <x v="384"/>
    <x v="19"/>
    <n v="26.25"/>
    <n v="26.25"/>
    <n v="25.27"/>
    <n v="25.4"/>
    <x v="1237"/>
    <n v="-0.25"/>
    <n v="110"/>
    <n v="0"/>
    <n v="160"/>
    <x v="74"/>
    <n v="232"/>
    <s v="N (Jul 21)"/>
    <d v="2021-07-21T00:00:00"/>
    <n v="-1"/>
  </r>
  <r>
    <x v="384"/>
    <x v="25"/>
    <n v="24.5"/>
    <n v="24.65"/>
    <n v="23.89"/>
    <n v="24.3"/>
    <x v="1498"/>
    <n v="-0.15"/>
    <n v="70845"/>
    <n v="84"/>
    <n v="107787"/>
    <x v="55"/>
    <n v="50"/>
    <s v="F (Jan 21)"/>
    <d v="2021-01-20T00:00:00"/>
    <n v="-1"/>
  </r>
  <r>
    <x v="384"/>
    <x v="21"/>
    <n v="25.32"/>
    <n v="25.47"/>
    <n v="25.03"/>
    <n v="25.4"/>
    <x v="1881"/>
    <n v="0.1"/>
    <n v="1266"/>
    <n v="0"/>
    <n v="6450"/>
    <x v="59"/>
    <n v="169"/>
    <s v="K (May 21)"/>
    <d v="2021-05-19T00:00:00"/>
    <n v="-1"/>
  </r>
  <r>
    <x v="384"/>
    <x v="23"/>
    <n v="25.03"/>
    <n v="25.15"/>
    <n v="24.59"/>
    <n v="25"/>
    <x v="1063"/>
    <n v="0.05"/>
    <n v="5559"/>
    <n v="0"/>
    <n v="15166"/>
    <x v="10"/>
    <n v="106"/>
    <s v="H (Mar 21)"/>
    <d v="2021-03-17T00:00:00"/>
    <n v="-1"/>
  </r>
  <r>
    <x v="384"/>
    <x v="26"/>
    <n v="22.5"/>
    <n v="22.95"/>
    <n v="21.85"/>
    <n v="22.63"/>
    <x v="2319"/>
    <n v="0.45"/>
    <n v="83533"/>
    <n v="116"/>
    <n v="117095"/>
    <x v="80"/>
    <n v="15"/>
    <s v="Z (Dec 20)"/>
    <d v="2020-12-16T00:00:00"/>
    <n v="-1"/>
  </r>
  <r>
    <x v="384"/>
    <x v="22"/>
    <n v="25.25"/>
    <n v="25.45"/>
    <n v="24.95"/>
    <n v="25.3"/>
    <x v="394"/>
    <n v="0.17499999999999999"/>
    <n v="2575"/>
    <n v="0"/>
    <n v="8265"/>
    <x v="58"/>
    <n v="141"/>
    <s v="J (Apr 21)"/>
    <d v="2021-04-21T00:00:00"/>
    <n v="-1"/>
  </r>
  <r>
    <x v="384"/>
    <x v="24"/>
    <n v="25.02"/>
    <n v="25.06"/>
    <n v="24.42"/>
    <n v="24.86"/>
    <x v="1347"/>
    <n v="-0.05"/>
    <n v="15572"/>
    <n v="0"/>
    <n v="23379"/>
    <x v="45"/>
    <n v="78"/>
    <s v="G (Feb 21)"/>
    <d v="2021-02-17T00:00:00"/>
    <n v="-1"/>
  </r>
  <r>
    <x v="385"/>
    <x v="23"/>
    <n v="25.19"/>
    <n v="26.03"/>
    <n v="24.95"/>
    <n v="25.05"/>
    <x v="1361"/>
    <n v="-0.25"/>
    <n v="4176"/>
    <n v="0"/>
    <n v="14644"/>
    <x v="25"/>
    <n v="107"/>
    <s v="H (Mar 21)"/>
    <d v="2021-03-17T00:00:00"/>
    <n v="-1"/>
  </r>
  <r>
    <x v="385"/>
    <x v="26"/>
    <n v="22.5"/>
    <n v="23.8"/>
    <n v="22.35"/>
    <n v="22.5"/>
    <x v="2320"/>
    <n v="-0.45"/>
    <n v="66184"/>
    <n v="0"/>
    <n v="124050"/>
    <x v="83"/>
    <n v="16"/>
    <s v="Z (Dec 20)"/>
    <d v="2020-12-16T00:00:00"/>
    <n v="-1"/>
  </r>
  <r>
    <x v="385"/>
    <x v="22"/>
    <n v="25.3"/>
    <n v="26.1"/>
    <n v="25.2"/>
    <n v="25.28"/>
    <x v="1090"/>
    <n v="-0.125"/>
    <n v="4221"/>
    <n v="0"/>
    <n v="7918"/>
    <x v="70"/>
    <n v="142"/>
    <s v="J (Apr 21)"/>
    <d v="2021-04-21T00:00:00"/>
    <n v="-1"/>
  </r>
  <r>
    <x v="385"/>
    <x v="24"/>
    <n v="25.23"/>
    <n v="26.12"/>
    <n v="24.93"/>
    <n v="25.02"/>
    <x v="1171"/>
    <n v="-0.35"/>
    <n v="9765"/>
    <n v="0"/>
    <n v="20613"/>
    <x v="60"/>
    <n v="79"/>
    <s v="G (Feb 21)"/>
    <d v="2021-02-17T00:00:00"/>
    <n v="-1"/>
  </r>
  <r>
    <x v="385"/>
    <x v="20"/>
    <n v="25.35"/>
    <n v="26"/>
    <n v="25.2"/>
    <n v="25.24"/>
    <x v="1085"/>
    <n v="-0.17499999999999999"/>
    <n v="680"/>
    <n v="0"/>
    <n v="1763"/>
    <x v="19"/>
    <n v="198"/>
    <s v="M (Jun 21)"/>
    <d v="2021-06-16T00:00:00"/>
    <n v="-1"/>
  </r>
  <r>
    <x v="385"/>
    <x v="19"/>
    <n v="25.75"/>
    <n v="25.8"/>
    <n v="25.75"/>
    <n v="25.79"/>
    <x v="406"/>
    <n v="0.125"/>
    <n v="5"/>
    <n v="0"/>
    <n v="95"/>
    <x v="86"/>
    <n v="233"/>
    <s v="N (Jul 21)"/>
    <d v="2021-07-21T00:00:00"/>
    <n v="-1"/>
  </r>
  <r>
    <x v="385"/>
    <x v="25"/>
    <n v="24.8"/>
    <n v="25.76"/>
    <n v="24.45"/>
    <n v="24.58"/>
    <x v="2316"/>
    <n v="-0.45"/>
    <n v="57348"/>
    <n v="0"/>
    <n v="93849"/>
    <x v="67"/>
    <n v="51"/>
    <s v="F (Jan 21)"/>
    <d v="2021-01-20T00:00:00"/>
    <n v="-1"/>
  </r>
  <r>
    <x v="385"/>
    <x v="21"/>
    <n v="25.5"/>
    <n v="26.16"/>
    <n v="25.25"/>
    <n v="25.37"/>
    <x v="1237"/>
    <n v="-0.125"/>
    <n v="1652"/>
    <n v="0"/>
    <n v="6516"/>
    <x v="71"/>
    <n v="170"/>
    <s v="K (May 21)"/>
    <d v="2021-05-19T00:00:00"/>
    <n v="-1"/>
  </r>
  <r>
    <x v="386"/>
    <x v="20"/>
    <n v="25.4"/>
    <n v="25.4"/>
    <n v="25.4"/>
    <n v="25.4"/>
    <x v="1881"/>
    <n v="0.05"/>
    <n v="5"/>
    <n v="0"/>
    <n v="0"/>
    <x v="30"/>
    <n v="201"/>
    <s v="M (Jun 21)"/>
    <d v="2021-06-16T00:00:00"/>
    <n v="-1"/>
  </r>
  <r>
    <x v="386"/>
    <x v="19"/>
    <n v="25.56"/>
    <n v="25.56"/>
    <n v="25.56"/>
    <n v="25.56"/>
    <x v="426"/>
    <n v="-0.15"/>
    <n v="1"/>
    <n v="0"/>
    <n v="91"/>
    <x v="92"/>
    <n v="236"/>
    <s v="N (Jul 21)"/>
    <d v="2021-07-21T00:00:00"/>
    <n v="-1"/>
  </r>
  <r>
    <x v="386"/>
    <x v="25"/>
    <n v="24.85"/>
    <n v="25"/>
    <n v="24.9"/>
    <n v="24.8"/>
    <x v="1171"/>
    <n v="0.2"/>
    <n v="1143"/>
    <n v="0"/>
    <n v="0"/>
    <x v="73"/>
    <n v="54"/>
    <s v="F (Jan 21)"/>
    <d v="2021-01-20T00:00:00"/>
    <n v="-1"/>
  </r>
  <r>
    <x v="386"/>
    <x v="21"/>
    <n v="25.34"/>
    <n v="25.4"/>
    <n v="25.35"/>
    <n v="25.4"/>
    <x v="426"/>
    <n v="7.4999999999999997E-2"/>
    <n v="23"/>
    <n v="0"/>
    <n v="0"/>
    <x v="77"/>
    <n v="173"/>
    <s v="K (May 21)"/>
    <d v="2021-05-19T00:00:00"/>
    <n v="-1"/>
  </r>
  <r>
    <x v="386"/>
    <x v="23"/>
    <n v="25.25"/>
    <n v="25.35"/>
    <n v="25.2"/>
    <n v="25.28"/>
    <x v="1157"/>
    <n v="0.05"/>
    <n v="262"/>
    <n v="0"/>
    <n v="0"/>
    <x v="28"/>
    <n v="110"/>
    <s v="H (Mar 21)"/>
    <d v="2021-03-17T00:00:00"/>
    <n v="-1"/>
  </r>
  <r>
    <x v="386"/>
    <x v="26"/>
    <n v="22.7"/>
    <n v="22.9"/>
    <n v="22.7"/>
    <n v="22.85"/>
    <x v="2319"/>
    <n v="0.2"/>
    <n v="2067"/>
    <n v="0"/>
    <n v="0"/>
    <x v="98"/>
    <n v="19"/>
    <s v="Z (Dec 20)"/>
    <d v="2020-12-16T00:00:00"/>
    <n v="-1"/>
  </r>
  <r>
    <x v="386"/>
    <x v="22"/>
    <n v="25.2"/>
    <n v="25.3"/>
    <n v="25.2"/>
    <n v="25.25"/>
    <x v="1055"/>
    <n v="0.125"/>
    <n v="62"/>
    <n v="0"/>
    <n v="0"/>
    <x v="76"/>
    <n v="145"/>
    <s v="J (Apr 21)"/>
    <d v="2021-04-21T00:00:00"/>
    <n v="-1"/>
  </r>
  <r>
    <x v="386"/>
    <x v="24"/>
    <n v="25.37"/>
    <n v="25.45"/>
    <n v="25.3"/>
    <n v="25.32"/>
    <x v="1237"/>
    <n v="0.05"/>
    <n v="505"/>
    <n v="0"/>
    <n v="0"/>
    <x v="63"/>
    <n v="82"/>
    <s v="G (Feb 21)"/>
    <d v="2021-02-17T00:00:00"/>
    <n v="-1"/>
  </r>
  <r>
    <x v="387"/>
    <x v="23"/>
    <n v="25.55"/>
    <n v="25.9"/>
    <n v="25.2"/>
    <n v="25.28"/>
    <x v="1090"/>
    <n v="-0.42499999999999999"/>
    <n v="3204"/>
    <n v="0"/>
    <n v="15012"/>
    <x v="43"/>
    <n v="112"/>
    <s v="H (Mar 21)"/>
    <d v="2021-03-17T00:00:00"/>
    <n v="-1"/>
  </r>
  <r>
    <x v="387"/>
    <x v="26"/>
    <n v="23.6"/>
    <n v="23.95"/>
    <n v="22.6"/>
    <n v="22.8"/>
    <x v="2321"/>
    <n v="-0.97499999999999998"/>
    <n v="67614"/>
    <n v="14"/>
    <n v="139039"/>
    <x v="101"/>
    <n v="21"/>
    <s v="Z (Dec 20)"/>
    <d v="2020-12-16T00:00:00"/>
    <n v="-1"/>
  </r>
  <r>
    <x v="387"/>
    <x v="22"/>
    <n v="25.6"/>
    <n v="25.87"/>
    <n v="25.24"/>
    <n v="25.27"/>
    <x v="1090"/>
    <n v="-0.45"/>
    <n v="2830"/>
    <n v="0"/>
    <n v="8278"/>
    <x v="88"/>
    <n v="147"/>
    <s v="J (Apr 21)"/>
    <d v="2021-04-21T00:00:00"/>
    <n v="-1"/>
  </r>
  <r>
    <x v="387"/>
    <x v="24"/>
    <n v="25.63"/>
    <n v="26.05"/>
    <n v="25.3"/>
    <n v="25.35"/>
    <x v="1157"/>
    <n v="-0.5"/>
    <n v="5362"/>
    <n v="0"/>
    <n v="19117"/>
    <x v="78"/>
    <n v="84"/>
    <s v="G (Feb 21)"/>
    <d v="2021-02-17T00:00:00"/>
    <n v="-1"/>
  </r>
  <r>
    <x v="387"/>
    <x v="20"/>
    <n v="25.69"/>
    <n v="25.86"/>
    <n v="25.4"/>
    <n v="25.45"/>
    <x v="411"/>
    <n v="-0.45"/>
    <n v="515"/>
    <n v="0"/>
    <n v="1403"/>
    <x v="36"/>
    <n v="203"/>
    <s v="M (Jun 21)"/>
    <d v="2021-06-16T00:00:00"/>
    <n v="-1"/>
  </r>
  <r>
    <x v="387"/>
    <x v="25"/>
    <n v="25.44"/>
    <n v="25.9"/>
    <n v="24.81"/>
    <n v="24.87"/>
    <x v="1425"/>
    <n v="-0.8"/>
    <n v="41486"/>
    <n v="0"/>
    <n v="78398"/>
    <x v="85"/>
    <n v="56"/>
    <s v="F (Jan 21)"/>
    <d v="2021-01-20T00:00:00"/>
    <n v="-1"/>
  </r>
  <r>
    <x v="387"/>
    <x v="21"/>
    <n v="25.69"/>
    <n v="26"/>
    <n v="25.35"/>
    <n v="25.45"/>
    <x v="411"/>
    <n v="-0.45"/>
    <n v="1092"/>
    <n v="0"/>
    <n v="6293"/>
    <x v="89"/>
    <n v="175"/>
    <s v="K (May 21)"/>
    <d v="2021-05-19T00:00:00"/>
    <n v="-1"/>
  </r>
  <r>
    <x v="388"/>
    <x v="20"/>
    <n v="25.8"/>
    <n v="25.87"/>
    <n v="25.55"/>
    <n v="25.7"/>
    <x v="776"/>
    <n v="2.5000000000000001E-2"/>
    <n v="682"/>
    <n v="0"/>
    <n v="1555"/>
    <x v="48"/>
    <n v="204"/>
    <s v="M (Jun 21)"/>
    <d v="2021-06-16T00:00:00"/>
    <n v="-1"/>
  </r>
  <r>
    <x v="388"/>
    <x v="25"/>
    <n v="25.65"/>
    <n v="25.72"/>
    <n v="25.2"/>
    <n v="25.4"/>
    <x v="406"/>
    <n v="-0.1"/>
    <n v="44357"/>
    <n v="105"/>
    <n v="71983"/>
    <x v="91"/>
    <n v="57"/>
    <s v="F (Jan 21)"/>
    <d v="2021-01-20T00:00:00"/>
    <n v="-1"/>
  </r>
  <r>
    <x v="388"/>
    <x v="21"/>
    <n v="25.85"/>
    <n v="25.92"/>
    <n v="25.58"/>
    <n v="25.7"/>
    <x v="776"/>
    <n v="0"/>
    <n v="2042"/>
    <n v="0"/>
    <n v="6219"/>
    <x v="95"/>
    <n v="176"/>
    <s v="K (May 21)"/>
    <d v="2021-05-19T00:00:00"/>
    <n v="-1"/>
  </r>
  <r>
    <x v="388"/>
    <x v="19"/>
    <n v="25.85"/>
    <n v="25.85"/>
    <n v="25.85"/>
    <n v="25.85"/>
    <x v="414"/>
    <n v="-0.05"/>
    <n v="1"/>
    <n v="0"/>
    <n v="91"/>
    <x v="110"/>
    <n v="239"/>
    <s v="N (Jul 21)"/>
    <d v="2021-07-21T00:00:00"/>
    <n v="-1"/>
  </r>
  <r>
    <x v="388"/>
    <x v="23"/>
    <n v="25.8"/>
    <n v="25.8"/>
    <n v="25.47"/>
    <n v="25.55"/>
    <x v="378"/>
    <n v="-2.5000000000000001E-2"/>
    <n v="3459"/>
    <n v="0"/>
    <n v="14515"/>
    <x v="46"/>
    <n v="113"/>
    <s v="H (Mar 21)"/>
    <d v="2021-03-17T00:00:00"/>
    <n v="-1"/>
  </r>
  <r>
    <x v="388"/>
    <x v="26"/>
    <n v="24.1"/>
    <n v="24.1"/>
    <n v="23.45"/>
    <n v="23.6"/>
    <x v="1089"/>
    <n v="-0.5"/>
    <n v="58507"/>
    <n v="394"/>
    <n v="144624"/>
    <x v="116"/>
    <n v="22"/>
    <s v="Z (Dec 20)"/>
    <d v="2020-12-16T00:00:00"/>
    <n v="-1"/>
  </r>
  <r>
    <x v="388"/>
    <x v="22"/>
    <n v="25.81"/>
    <n v="25.86"/>
    <n v="25.54"/>
    <n v="25.55"/>
    <x v="457"/>
    <n v="-0.1"/>
    <n v="4124"/>
    <n v="0"/>
    <n v="8150"/>
    <x v="94"/>
    <n v="148"/>
    <s v="J (Apr 21)"/>
    <d v="2021-04-21T00:00:00"/>
    <n v="-1"/>
  </r>
  <r>
    <x v="388"/>
    <x v="24"/>
    <n v="25.88"/>
    <n v="25.9"/>
    <n v="25.5"/>
    <n v="25.7"/>
    <x v="358"/>
    <n v="-0.05"/>
    <n v="6285"/>
    <n v="0"/>
    <n v="18735"/>
    <x v="81"/>
    <n v="85"/>
    <s v="G (Feb 21)"/>
    <d v="2021-02-17T00:00:00"/>
    <n v="-1"/>
  </r>
  <r>
    <x v="389"/>
    <x v="23"/>
    <n v="26.05"/>
    <n v="26.05"/>
    <n v="25.35"/>
    <n v="25.75"/>
    <x v="457"/>
    <n v="-0.2"/>
    <n v="3142"/>
    <n v="0"/>
    <n v="14126"/>
    <x v="61"/>
    <n v="114"/>
    <s v="H (Mar 21)"/>
    <d v="2021-03-17T00:00:00"/>
    <n v="-1"/>
  </r>
  <r>
    <x v="389"/>
    <x v="26"/>
    <n v="24.75"/>
    <n v="24.75"/>
    <n v="23.7"/>
    <n v="24.15"/>
    <x v="1404"/>
    <n v="-0.27500000000000002"/>
    <n v="52954"/>
    <n v="0"/>
    <n v="149344"/>
    <x v="119"/>
    <n v="23"/>
    <s v="Z (Dec 20)"/>
    <d v="2020-12-16T00:00:00"/>
    <n v="-1"/>
  </r>
  <r>
    <x v="389"/>
    <x v="22"/>
    <n v="25.89"/>
    <n v="26"/>
    <n v="25.46"/>
    <n v="25.85"/>
    <x v="358"/>
    <n v="-0.2"/>
    <n v="2623"/>
    <n v="0"/>
    <n v="7584"/>
    <x v="106"/>
    <n v="149"/>
    <s v="J (Apr 21)"/>
    <d v="2021-04-21T00:00:00"/>
    <n v="-1"/>
  </r>
  <r>
    <x v="389"/>
    <x v="24"/>
    <n v="26.08"/>
    <n v="26.15"/>
    <n v="25.42"/>
    <n v="25.86"/>
    <x v="776"/>
    <n v="-0.1"/>
    <n v="5095"/>
    <n v="0"/>
    <n v="19484"/>
    <x v="96"/>
    <n v="86"/>
    <s v="G (Feb 21)"/>
    <d v="2021-02-17T00:00:00"/>
    <n v="-1"/>
  </r>
  <r>
    <x v="389"/>
    <x v="20"/>
    <n v="25.85"/>
    <n v="26"/>
    <n v="25.55"/>
    <n v="25.85"/>
    <x v="300"/>
    <n v="-0.25"/>
    <n v="411"/>
    <n v="0"/>
    <n v="1222"/>
    <x v="54"/>
    <n v="205"/>
    <s v="M (Jun 21)"/>
    <d v="2021-06-16T00:00:00"/>
    <n v="-1"/>
  </r>
  <r>
    <x v="389"/>
    <x v="25"/>
    <n v="26.2"/>
    <n v="26.2"/>
    <n v="25.25"/>
    <n v="25.7"/>
    <x v="457"/>
    <n v="-0.1"/>
    <n v="36713"/>
    <n v="0"/>
    <n v="65837"/>
    <x v="103"/>
    <n v="58"/>
    <s v="F (Jan 21)"/>
    <d v="2021-01-20T00:00:00"/>
    <n v="-1"/>
  </r>
  <r>
    <x v="389"/>
    <x v="21"/>
    <n v="25.85"/>
    <n v="26.05"/>
    <n v="25.52"/>
    <n v="25.89"/>
    <x v="776"/>
    <n v="-0.2"/>
    <n v="1563"/>
    <n v="0"/>
    <n v="5737"/>
    <x v="107"/>
    <n v="177"/>
    <s v="K (May 21)"/>
    <d v="2021-05-19T00:00:00"/>
    <n v="-1"/>
  </r>
  <r>
    <x v="390"/>
    <x v="20"/>
    <n v="26.05"/>
    <n v="26.15"/>
    <n v="25.6"/>
    <n v="26.06"/>
    <x v="313"/>
    <n v="0.17499999999999999"/>
    <n v="747"/>
    <n v="0"/>
    <n v="1208"/>
    <x v="66"/>
    <n v="208"/>
    <s v="M (Jun 21)"/>
    <d v="2021-06-16T00:00:00"/>
    <n v="-1"/>
  </r>
  <r>
    <x v="390"/>
    <x v="19"/>
    <n v="25.95"/>
    <n v="26.15"/>
    <n v="25.95"/>
    <n v="25.95"/>
    <x v="397"/>
    <n v="-0.05"/>
    <n v="4"/>
    <n v="0"/>
    <n v="90"/>
    <x v="128"/>
    <n v="243"/>
    <s v="N (Jul 21)"/>
    <d v="2021-07-21T00:00:00"/>
    <n v="-1"/>
  </r>
  <r>
    <x v="390"/>
    <x v="25"/>
    <n v="26.22"/>
    <n v="26.42"/>
    <n v="25.55"/>
    <n v="25.85"/>
    <x v="358"/>
    <n v="-0.1"/>
    <n v="40987"/>
    <n v="0"/>
    <n v="60242"/>
    <x v="109"/>
    <n v="61"/>
    <s v="F (Jan 21)"/>
    <d v="2021-01-20T00:00:00"/>
    <n v="-1"/>
  </r>
  <r>
    <x v="390"/>
    <x v="21"/>
    <n v="26.12"/>
    <n v="26.25"/>
    <n v="25.6"/>
    <n v="26.09"/>
    <x v="814"/>
    <n v="0.1"/>
    <n v="2378"/>
    <n v="0"/>
    <n v="5586"/>
    <x v="113"/>
    <n v="180"/>
    <s v="K (May 21)"/>
    <d v="2021-05-19T00:00:00"/>
    <n v="-1"/>
  </r>
  <r>
    <x v="390"/>
    <x v="23"/>
    <n v="26.2"/>
    <n v="26.25"/>
    <n v="25.58"/>
    <n v="25.93"/>
    <x v="622"/>
    <n v="0"/>
    <n v="4003"/>
    <n v="0"/>
    <n v="14182"/>
    <x v="64"/>
    <n v="117"/>
    <s v="H (Mar 21)"/>
    <d v="2021-03-17T00:00:00"/>
    <n v="-1"/>
  </r>
  <r>
    <x v="390"/>
    <x v="26"/>
    <n v="24.9"/>
    <n v="25.15"/>
    <n v="23.95"/>
    <n v="24.46"/>
    <x v="1431"/>
    <n v="-0.1"/>
    <n v="57899"/>
    <n v="0"/>
    <n v="158178"/>
    <x v="133"/>
    <n v="26"/>
    <s v="Z (Dec 20)"/>
    <d v="2020-12-16T00:00:00"/>
    <n v="-1"/>
  </r>
  <r>
    <x v="390"/>
    <x v="22"/>
    <n v="26.17"/>
    <n v="26.25"/>
    <n v="25.62"/>
    <n v="26.01"/>
    <x v="769"/>
    <n v="0.05"/>
    <n v="2575"/>
    <n v="0"/>
    <n v="7603"/>
    <x v="112"/>
    <n v="152"/>
    <s v="J (Apr 21)"/>
    <d v="2021-04-21T00:00:00"/>
    <n v="-1"/>
  </r>
  <r>
    <x v="390"/>
    <x v="24"/>
    <n v="26.4"/>
    <n v="26.45"/>
    <n v="25.68"/>
    <n v="26.05"/>
    <x v="841"/>
    <n v="-0.1"/>
    <n v="5735"/>
    <n v="0"/>
    <n v="19179"/>
    <x v="99"/>
    <n v="89"/>
    <s v="G (Feb 21)"/>
    <d v="2021-02-17T00:00:00"/>
    <n v="-1"/>
  </r>
  <r>
    <x v="391"/>
    <x v="23"/>
    <n v="26.06"/>
    <n v="26.25"/>
    <n v="25.66"/>
    <n v="26.09"/>
    <x v="622"/>
    <n v="-0.2"/>
    <n v="3082"/>
    <n v="0"/>
    <n v="14015"/>
    <x v="79"/>
    <n v="118"/>
    <s v="H (Mar 21)"/>
    <d v="2021-03-17T00:00:00"/>
    <n v="-1"/>
  </r>
  <r>
    <x v="391"/>
    <x v="26"/>
    <n v="24.95"/>
    <n v="25.2"/>
    <n v="24.09"/>
    <n v="24.9"/>
    <x v="1540"/>
    <n v="-0.4"/>
    <n v="61736"/>
    <n v="189"/>
    <n v="174080"/>
    <x v="136"/>
    <n v="27"/>
    <s v="Z (Dec 20)"/>
    <d v="2020-12-16T00:00:00"/>
    <n v="-1"/>
  </r>
  <r>
    <x v="391"/>
    <x v="22"/>
    <n v="26.1"/>
    <n v="26.25"/>
    <n v="25.77"/>
    <n v="26.1"/>
    <x v="841"/>
    <n v="-0.15"/>
    <n v="2275"/>
    <n v="0"/>
    <n v="7914"/>
    <x v="124"/>
    <n v="153"/>
    <s v="J (Apr 21)"/>
    <d v="2021-04-21T00:00:00"/>
    <n v="-1"/>
  </r>
  <r>
    <x v="391"/>
    <x v="24"/>
    <n v="26.17"/>
    <n v="26.4"/>
    <n v="25.72"/>
    <n v="26.3"/>
    <x v="814"/>
    <n v="-0.15"/>
    <n v="6293"/>
    <n v="0"/>
    <n v="20056"/>
    <x v="114"/>
    <n v="90"/>
    <s v="G (Feb 21)"/>
    <d v="2021-02-17T00:00:00"/>
    <n v="-1"/>
  </r>
  <r>
    <x v="391"/>
    <x v="20"/>
    <n v="26.16"/>
    <n v="26.35"/>
    <n v="25.8"/>
    <n v="26.04"/>
    <x v="622"/>
    <n v="-0.35"/>
    <n v="756"/>
    <n v="0"/>
    <n v="1218"/>
    <x v="72"/>
    <n v="209"/>
    <s v="M (Jun 21)"/>
    <d v="2021-06-16T00:00:00"/>
    <n v="-1"/>
  </r>
  <r>
    <x v="391"/>
    <x v="19"/>
    <n v="25.85"/>
    <n v="26.23"/>
    <n v="25.85"/>
    <n v="26.2"/>
    <x v="348"/>
    <n v="1.05"/>
    <n v="28"/>
    <n v="0"/>
    <n v="86"/>
    <x v="139"/>
    <n v="244"/>
    <s v="N (Jul 21)"/>
    <d v="2021-07-21T00:00:00"/>
    <n v="-1"/>
  </r>
  <r>
    <x v="391"/>
    <x v="25"/>
    <n v="26.08"/>
    <n v="26.36"/>
    <n v="25.55"/>
    <n v="26.2"/>
    <x v="622"/>
    <n v="-0.25"/>
    <n v="38512"/>
    <n v="11"/>
    <n v="60153"/>
    <x v="121"/>
    <n v="62"/>
    <s v="F (Jan 21)"/>
    <d v="2021-01-20T00:00:00"/>
    <n v="-1"/>
  </r>
  <r>
    <x v="391"/>
    <x v="21"/>
    <n v="26.06"/>
    <n v="26.25"/>
    <n v="25.79"/>
    <n v="26.1"/>
    <x v="841"/>
    <n v="-0.2"/>
    <n v="1936"/>
    <n v="0"/>
    <n v="5254"/>
    <x v="125"/>
    <n v="181"/>
    <s v="K (May 21)"/>
    <d v="2021-05-19T00:00:00"/>
    <n v="-1"/>
  </r>
  <r>
    <x v="392"/>
    <x v="20"/>
    <n v="25.66"/>
    <n v="26.3"/>
    <n v="25.53"/>
    <n v="26.25"/>
    <x v="461"/>
    <n v="0.75"/>
    <n v="696"/>
    <n v="0"/>
    <n v="668"/>
    <x v="84"/>
    <n v="210"/>
    <s v="M (Jun 21)"/>
    <d v="2021-06-16T00:00:00"/>
    <n v="-1"/>
  </r>
  <r>
    <x v="392"/>
    <x v="27"/>
    <n v="23.1"/>
    <n v="23.6"/>
    <n v="21.6"/>
    <n v="21.95"/>
    <x v="2322"/>
    <n v="-0.56499999999999995"/>
    <n v="2311"/>
    <n v="0"/>
    <n v="19691"/>
    <x v="145"/>
    <n v="0"/>
    <s v="X (Nov 20)"/>
    <d v="2020-11-18T00:00:00"/>
    <n v="-1"/>
  </r>
  <r>
    <x v="392"/>
    <x v="25"/>
    <n v="25.35"/>
    <n v="26.25"/>
    <n v="25"/>
    <n v="26.15"/>
    <x v="878"/>
    <n v="0.95"/>
    <n v="42003"/>
    <n v="0"/>
    <n v="46756"/>
    <x v="127"/>
    <n v="63"/>
    <s v="F (Jan 21)"/>
    <d v="2021-01-20T00:00:00"/>
    <n v="-1"/>
  </r>
  <r>
    <x v="392"/>
    <x v="21"/>
    <n v="25.5"/>
    <n v="26.2"/>
    <n v="25.4"/>
    <n v="26.17"/>
    <x v="878"/>
    <n v="0.75"/>
    <n v="2027"/>
    <n v="0"/>
    <n v="5088"/>
    <x v="130"/>
    <n v="182"/>
    <s v="K (May 21)"/>
    <d v="2021-05-19T00:00:00"/>
    <n v="-1"/>
  </r>
  <r>
    <x v="392"/>
    <x v="23"/>
    <n v="25.51"/>
    <n v="26.2"/>
    <n v="25.26"/>
    <n v="26.15"/>
    <x v="332"/>
    <n v="0.75"/>
    <n v="3628"/>
    <n v="0"/>
    <n v="13457"/>
    <x v="82"/>
    <n v="119"/>
    <s v="H (Mar 21)"/>
    <d v="2021-03-17T00:00:00"/>
    <n v="-1"/>
  </r>
  <r>
    <x v="392"/>
    <x v="26"/>
    <n v="24.15"/>
    <n v="25.1"/>
    <n v="23.55"/>
    <n v="25"/>
    <x v="1070"/>
    <n v="0.85"/>
    <n v="70060"/>
    <n v="0"/>
    <n v="168441"/>
    <x v="150"/>
    <n v="28"/>
    <s v="Z (Dec 20)"/>
    <d v="2020-12-16T00:00:00"/>
    <n v="-1"/>
  </r>
  <r>
    <x v="392"/>
    <x v="22"/>
    <n v="25.6"/>
    <n v="26.2"/>
    <n v="25.38"/>
    <n v="26.15"/>
    <x v="332"/>
    <n v="0.7"/>
    <n v="2655"/>
    <n v="0"/>
    <n v="7935"/>
    <x v="129"/>
    <n v="154"/>
    <s v="J (Apr 21)"/>
    <d v="2021-04-21T00:00:00"/>
    <n v="-1"/>
  </r>
  <r>
    <x v="392"/>
    <x v="24"/>
    <n v="25.54"/>
    <n v="26.3"/>
    <n v="25.26"/>
    <n v="26.25"/>
    <x v="2076"/>
    <n v="0.85"/>
    <n v="8330"/>
    <n v="0"/>
    <n v="19229"/>
    <x v="117"/>
    <n v="91"/>
    <s v="G (Feb 21)"/>
    <d v="2021-02-17T00:00:00"/>
    <n v="-1"/>
  </r>
  <r>
    <x v="393"/>
    <x v="19"/>
    <n v="25.85"/>
    <n v="25.92"/>
    <n v="25.71"/>
    <n v="25.71"/>
    <x v="1055"/>
    <n v="0.75"/>
    <n v="6"/>
    <n v="0"/>
    <n v="62"/>
    <x v="155"/>
    <n v="246"/>
    <s v="N (Jul 21)"/>
    <d v="2021-07-21T00:00:00"/>
    <n v="-1"/>
  </r>
  <r>
    <x v="393"/>
    <x v="23"/>
    <n v="25.42"/>
    <n v="26"/>
    <n v="25.35"/>
    <n v="25.55"/>
    <x v="1237"/>
    <n v="-0.15"/>
    <n v="3207"/>
    <n v="0"/>
    <n v="13127"/>
    <x v="97"/>
    <n v="120"/>
    <s v="H (Mar 21)"/>
    <d v="2021-03-17T00:00:00"/>
    <n v="-1"/>
  </r>
  <r>
    <x v="393"/>
    <x v="26"/>
    <n v="24.45"/>
    <n v="25.1"/>
    <n v="24"/>
    <n v="24.2"/>
    <x v="1484"/>
    <n v="-0.5"/>
    <n v="71498"/>
    <n v="0"/>
    <n v="172339"/>
    <x v="153"/>
    <n v="29"/>
    <s v="Z (Dec 20)"/>
    <d v="2020-12-16T00:00:00"/>
    <n v="-1"/>
  </r>
  <r>
    <x v="393"/>
    <x v="22"/>
    <n v="25.7"/>
    <n v="26.1"/>
    <n v="25.44"/>
    <n v="25.55"/>
    <x v="411"/>
    <n v="-0.22500000000000001"/>
    <n v="2171"/>
    <n v="0"/>
    <n v="8012"/>
    <x v="140"/>
    <n v="155"/>
    <s v="J (Apr 21)"/>
    <d v="2021-04-21T00:00:00"/>
    <n v="-1"/>
  </r>
  <r>
    <x v="393"/>
    <x v="24"/>
    <n v="25.46"/>
    <n v="26.05"/>
    <n v="25.35"/>
    <n v="25.45"/>
    <x v="1237"/>
    <n v="-0.2"/>
    <n v="5903"/>
    <n v="0"/>
    <n v="18292"/>
    <x v="131"/>
    <n v="92"/>
    <s v="G (Feb 21)"/>
    <d v="2021-02-17T00:00:00"/>
    <n v="-1"/>
  </r>
  <r>
    <x v="393"/>
    <x v="20"/>
    <n v="25.7"/>
    <n v="25.92"/>
    <n v="25.43"/>
    <n v="25.57"/>
    <x v="655"/>
    <n v="0"/>
    <n v="361"/>
    <n v="0"/>
    <n v="443"/>
    <x v="90"/>
    <n v="211"/>
    <s v="M (Jun 21)"/>
    <d v="2021-06-16T00:00:00"/>
    <n v="-1"/>
  </r>
  <r>
    <x v="393"/>
    <x v="27"/>
    <n v="22.85"/>
    <n v="24.21"/>
    <n v="22.75"/>
    <n v="23.3"/>
    <x v="2318"/>
    <n v="0.05"/>
    <n v="60084"/>
    <n v="0"/>
    <n v="21928"/>
    <x v="156"/>
    <n v="1"/>
    <s v="X (Nov 20)"/>
    <d v="2020-11-18T00:00:00"/>
    <n v="-1"/>
  </r>
  <r>
    <x v="393"/>
    <x v="25"/>
    <n v="25.38"/>
    <n v="26"/>
    <n v="25.1"/>
    <n v="25.3"/>
    <x v="390"/>
    <n v="-0.3"/>
    <n v="17949"/>
    <n v="0"/>
    <n v="44202"/>
    <x v="138"/>
    <n v="64"/>
    <s v="F (Jan 21)"/>
    <d v="2021-01-20T00:00:00"/>
    <n v="-1"/>
  </r>
  <r>
    <x v="393"/>
    <x v="21"/>
    <n v="25.75"/>
    <n v="26.1"/>
    <n v="25.43"/>
    <n v="25.5"/>
    <x v="411"/>
    <n v="-0.25"/>
    <n v="1665"/>
    <n v="0"/>
    <n v="4524"/>
    <x v="141"/>
    <n v="183"/>
    <s v="K (May 21)"/>
    <d v="2021-05-19T00:00:00"/>
    <n v="-1"/>
  </r>
  <r>
    <x v="394"/>
    <x v="20"/>
    <n v="25.15"/>
    <n v="25.65"/>
    <n v="25.15"/>
    <n v="25.45"/>
    <x v="655"/>
    <n v="0.2"/>
    <n v="124"/>
    <n v="0"/>
    <n v="257"/>
    <x v="102"/>
    <n v="212"/>
    <s v="M (Jun 21)"/>
    <d v="2021-06-16T00:00:00"/>
    <n v="-1"/>
  </r>
  <r>
    <x v="394"/>
    <x v="27"/>
    <n v="23.35"/>
    <n v="24.11"/>
    <n v="22.69"/>
    <n v="22.8"/>
    <x v="2323"/>
    <n v="-0.4"/>
    <n v="60277"/>
    <n v="0"/>
    <n v="33858"/>
    <x v="161"/>
    <n v="2"/>
    <s v="X (Nov 20)"/>
    <d v="2020-11-18T00:00:00"/>
    <n v="-1"/>
  </r>
  <r>
    <x v="394"/>
    <x v="25"/>
    <n v="25.59"/>
    <n v="26.1"/>
    <n v="25.2"/>
    <n v="25.38"/>
    <x v="655"/>
    <n v="-0.2"/>
    <n v="15405"/>
    <n v="0"/>
    <n v="41338"/>
    <x v="143"/>
    <n v="65"/>
    <s v="F (Jan 21)"/>
    <d v="2021-01-20T00:00:00"/>
    <n v="-1"/>
  </r>
  <r>
    <x v="394"/>
    <x v="21"/>
    <n v="25.3"/>
    <n v="25.8"/>
    <n v="25.15"/>
    <n v="25.57"/>
    <x v="774"/>
    <n v="0.25"/>
    <n v="1412"/>
    <n v="0"/>
    <n v="4643"/>
    <x v="147"/>
    <n v="184"/>
    <s v="K (May 21)"/>
    <d v="2021-05-19T00:00:00"/>
    <n v="-1"/>
  </r>
  <r>
    <x v="394"/>
    <x v="19"/>
    <n v="25.6"/>
    <n v="25.6"/>
    <n v="25.1"/>
    <n v="25.45"/>
    <x v="1135"/>
    <n v="-0.35"/>
    <n v="7"/>
    <n v="0"/>
    <n v="57"/>
    <x v="160"/>
    <n v="247"/>
    <s v="N (Jul 21)"/>
    <d v="2021-07-21T00:00:00"/>
    <n v="-1"/>
  </r>
  <r>
    <x v="394"/>
    <x v="23"/>
    <n v="25.35"/>
    <n v="25.75"/>
    <n v="25.15"/>
    <n v="25.45"/>
    <x v="655"/>
    <n v="0"/>
    <n v="3155"/>
    <n v="0"/>
    <n v="12668"/>
    <x v="100"/>
    <n v="121"/>
    <s v="H (Mar 21)"/>
    <d v="2021-03-17T00:00:00"/>
    <n v="-1"/>
  </r>
  <r>
    <x v="394"/>
    <x v="26"/>
    <n v="24.65"/>
    <n v="25.35"/>
    <n v="24.25"/>
    <n v="24.45"/>
    <x v="1842"/>
    <n v="-0.55000000000000004"/>
    <n v="72760"/>
    <n v="300"/>
    <n v="161518"/>
    <x v="166"/>
    <n v="30"/>
    <s v="Z (Dec 20)"/>
    <d v="2020-12-16T00:00:00"/>
    <n v="-1"/>
  </r>
  <r>
    <x v="394"/>
    <x v="22"/>
    <n v="25.4"/>
    <n v="25.8"/>
    <n v="25.2"/>
    <n v="25.55"/>
    <x v="370"/>
    <n v="0.125"/>
    <n v="2063"/>
    <n v="0"/>
    <n v="8277"/>
    <x v="146"/>
    <n v="156"/>
    <s v="J (Apr 21)"/>
    <d v="2021-04-21T00:00:00"/>
    <n v="-1"/>
  </r>
  <r>
    <x v="394"/>
    <x v="24"/>
    <n v="25.59"/>
    <n v="25.9"/>
    <n v="25.28"/>
    <n v="25.5"/>
    <x v="438"/>
    <n v="-0.1"/>
    <n v="5213"/>
    <n v="0"/>
    <n v="17805"/>
    <x v="134"/>
    <n v="93"/>
    <s v="G (Feb 21)"/>
    <d v="2021-02-17T00:00:00"/>
    <n v="-1"/>
  </r>
  <r>
    <x v="395"/>
    <x v="19"/>
    <n v="25.31"/>
    <n v="25.5"/>
    <n v="25.1"/>
    <n v="25.1"/>
    <x v="1074"/>
    <n v="-0.97499999999999998"/>
    <n v="20"/>
    <n v="0"/>
    <n v="52"/>
    <x v="171"/>
    <n v="250"/>
    <s v="N (Jul 21)"/>
    <d v="2021-07-21T00:00:00"/>
    <n v="-1"/>
  </r>
  <r>
    <x v="395"/>
    <x v="23"/>
    <n v="26.05"/>
    <n v="26.2"/>
    <n v="25.15"/>
    <n v="25.5"/>
    <x v="655"/>
    <n v="-0.55000000000000004"/>
    <n v="3792"/>
    <n v="0"/>
    <n v="12320"/>
    <x v="115"/>
    <n v="124"/>
    <s v="H (Mar 21)"/>
    <d v="2021-03-17T00:00:00"/>
    <n v="-1"/>
  </r>
  <r>
    <x v="395"/>
    <x v="26"/>
    <n v="26.58"/>
    <n v="27"/>
    <n v="24.6"/>
    <n v="25"/>
    <x v="1361"/>
    <n v="-1.5"/>
    <n v="65697"/>
    <n v="1305"/>
    <n v="150485"/>
    <x v="169"/>
    <n v="33"/>
    <s v="Z (Dec 20)"/>
    <d v="2020-12-16T00:00:00"/>
    <n v="-1"/>
  </r>
  <r>
    <x v="395"/>
    <x v="22"/>
    <n v="26.15"/>
    <n v="26.25"/>
    <n v="25.3"/>
    <n v="25.44"/>
    <x v="655"/>
    <n v="-0.6"/>
    <n v="2219"/>
    <n v="0"/>
    <n v="8030"/>
    <x v="157"/>
    <n v="159"/>
    <s v="J (Apr 21)"/>
    <d v="2021-04-21T00:00:00"/>
    <n v="-1"/>
  </r>
  <r>
    <x v="395"/>
    <x v="24"/>
    <n v="26.3"/>
    <n v="26.47"/>
    <n v="25.35"/>
    <n v="25.65"/>
    <x v="774"/>
    <n v="-0.6"/>
    <n v="5672"/>
    <n v="0"/>
    <n v="17768"/>
    <x v="148"/>
    <n v="96"/>
    <s v="G (Feb 21)"/>
    <d v="2021-02-17T00:00:00"/>
    <n v="-1"/>
  </r>
  <r>
    <x v="395"/>
    <x v="20"/>
    <n v="25.95"/>
    <n v="25.95"/>
    <n v="25.15"/>
    <n v="25.32"/>
    <x v="1157"/>
    <n v="-0.52500000000000002"/>
    <n v="92"/>
    <n v="0"/>
    <n v="143"/>
    <x v="108"/>
    <n v="215"/>
    <s v="M (Jun 21)"/>
    <d v="2021-06-16T00:00:00"/>
    <n v="-1"/>
  </r>
  <r>
    <x v="395"/>
    <x v="27"/>
    <n v="25.9"/>
    <n v="26.5"/>
    <n v="23.25"/>
    <n v="23.35"/>
    <x v="2314"/>
    <n v="-2.5499999999999998"/>
    <n v="65667"/>
    <n v="230"/>
    <n v="40713"/>
    <x v="8"/>
    <n v="5"/>
    <s v="X (Nov 20)"/>
    <d v="2020-11-18T00:00:00"/>
    <n v="-1"/>
  </r>
  <r>
    <x v="395"/>
    <x v="25"/>
    <n v="26.6"/>
    <n v="26.88"/>
    <n v="25.32"/>
    <n v="25.64"/>
    <x v="457"/>
    <n v="-0.95"/>
    <n v="16854"/>
    <n v="0"/>
    <n v="39542"/>
    <x v="154"/>
    <n v="68"/>
    <s v="F (Jan 21)"/>
    <d v="2021-01-20T00:00:00"/>
    <n v="-1"/>
  </r>
  <r>
    <x v="395"/>
    <x v="21"/>
    <n v="26.2"/>
    <n v="26.2"/>
    <n v="25.25"/>
    <n v="25.4"/>
    <x v="411"/>
    <n v="-0.65"/>
    <n v="1008"/>
    <n v="0"/>
    <n v="4086"/>
    <x v="158"/>
    <n v="187"/>
    <s v="K (May 21)"/>
    <d v="2021-05-19T00:00:00"/>
    <n v="-1"/>
  </r>
  <r>
    <x v="396"/>
    <x v="20"/>
    <n v="25.55"/>
    <n v="25.9"/>
    <n v="25.15"/>
    <n v="25.75"/>
    <x v="300"/>
    <n v="0.47499999999999998"/>
    <n v="109"/>
    <n v="0"/>
    <n v="127"/>
    <x v="120"/>
    <n v="216"/>
    <s v="M (Jun 21)"/>
    <d v="2021-06-16T00:00:00"/>
    <n v="-1"/>
  </r>
  <r>
    <x v="396"/>
    <x v="27"/>
    <n v="24.1"/>
    <n v="26.9"/>
    <n v="23.8"/>
    <n v="25.76"/>
    <x v="776"/>
    <n v="2.0499999999999998"/>
    <n v="81862"/>
    <n v="0"/>
    <n v="43976"/>
    <x v="11"/>
    <n v="6"/>
    <s v="X (Nov 20)"/>
    <d v="2020-11-18T00:00:00"/>
    <n v="-1"/>
  </r>
  <r>
    <x v="396"/>
    <x v="25"/>
    <n v="25.38"/>
    <n v="27.1"/>
    <n v="25.38"/>
    <n v="26.54"/>
    <x v="562"/>
    <n v="1.25"/>
    <n v="17499"/>
    <n v="0"/>
    <n v="37802"/>
    <x v="159"/>
    <n v="69"/>
    <s v="F (Jan 21)"/>
    <d v="2021-01-20T00:00:00"/>
    <n v="-1"/>
  </r>
  <r>
    <x v="396"/>
    <x v="21"/>
    <n v="25.5"/>
    <n v="26.15"/>
    <n v="25.25"/>
    <n v="25.91"/>
    <x v="814"/>
    <n v="0.6"/>
    <n v="1220"/>
    <n v="0"/>
    <n v="3810"/>
    <x v="163"/>
    <n v="188"/>
    <s v="K (May 21)"/>
    <d v="2021-05-19T00:00:00"/>
    <n v="-1"/>
  </r>
  <r>
    <x v="396"/>
    <x v="19"/>
    <n v="25.6"/>
    <n v="25.65"/>
    <n v="25.6"/>
    <n v="25.65"/>
    <x v="841"/>
    <n v="1.45"/>
    <n v="2"/>
    <n v="0"/>
    <n v="37"/>
    <x v="4"/>
    <n v="251"/>
    <s v="N (Jul 21)"/>
    <d v="2021-07-21T00:00:00"/>
    <n v="-1"/>
  </r>
  <r>
    <x v="396"/>
    <x v="23"/>
    <n v="25.43"/>
    <n v="26.27"/>
    <n v="25.25"/>
    <n v="25.99"/>
    <x v="814"/>
    <n v="0.65"/>
    <n v="4059"/>
    <n v="0"/>
    <n v="11603"/>
    <x v="118"/>
    <n v="125"/>
    <s v="H (Mar 21)"/>
    <d v="2021-03-17T00:00:00"/>
    <n v="-1"/>
  </r>
  <r>
    <x v="396"/>
    <x v="26"/>
    <n v="24.75"/>
    <n v="27.02"/>
    <n v="24.75"/>
    <n v="26.43"/>
    <x v="366"/>
    <n v="1.6"/>
    <n v="89518"/>
    <n v="0"/>
    <n v="148555"/>
    <x v="176"/>
    <n v="34"/>
    <s v="Z (Dec 20)"/>
    <d v="2020-12-16T00:00:00"/>
    <n v="-1"/>
  </r>
  <r>
    <x v="396"/>
    <x v="22"/>
    <n v="25.47"/>
    <n v="26.2"/>
    <n v="25.22"/>
    <n v="26.05"/>
    <x v="332"/>
    <n v="0.65"/>
    <n v="3684"/>
    <n v="0"/>
    <n v="7916"/>
    <x v="162"/>
    <n v="160"/>
    <s v="J (Apr 21)"/>
    <d v="2021-04-21T00:00:00"/>
    <n v="-1"/>
  </r>
  <r>
    <x v="396"/>
    <x v="24"/>
    <n v="25.46"/>
    <n v="26.58"/>
    <n v="25.4"/>
    <n v="26.25"/>
    <x v="461"/>
    <n v="0.8"/>
    <n v="7041"/>
    <n v="0"/>
    <n v="17240"/>
    <x v="151"/>
    <n v="97"/>
    <s v="G (Feb 21)"/>
    <d v="2021-02-17T00:00:00"/>
    <n v="-1"/>
  </r>
  <r>
    <x v="397"/>
    <x v="19"/>
    <n v="25"/>
    <n v="25"/>
    <n v="24.95"/>
    <n v="24.95"/>
    <x v="1842"/>
    <n v="0.22500000000000001"/>
    <n v="6"/>
    <n v="0"/>
    <n v="36"/>
    <x v="16"/>
    <n v="252"/>
    <s v="N (Jul 21)"/>
    <d v="2021-07-21T00:00:00"/>
    <n v="-1"/>
  </r>
  <r>
    <x v="397"/>
    <x v="23"/>
    <n v="25.48"/>
    <n v="25.67"/>
    <n v="25.12"/>
    <n v="25.4"/>
    <x v="411"/>
    <n v="-0.1"/>
    <n v="3314"/>
    <n v="0"/>
    <n v="11551"/>
    <x v="132"/>
    <n v="126"/>
    <s v="H (Mar 21)"/>
    <d v="2021-03-17T00:00:00"/>
    <n v="-1"/>
  </r>
  <r>
    <x v="397"/>
    <x v="26"/>
    <n v="25.48"/>
    <n v="25.75"/>
    <n v="24.5"/>
    <n v="24.9"/>
    <x v="1347"/>
    <n v="-0.45"/>
    <n v="62110"/>
    <n v="578"/>
    <n v="141220"/>
    <x v="178"/>
    <n v="35"/>
    <s v="Z (Dec 20)"/>
    <d v="2020-12-16T00:00:00"/>
    <n v="-1"/>
  </r>
  <r>
    <x v="397"/>
    <x v="22"/>
    <n v="25.4"/>
    <n v="25.7"/>
    <n v="25.16"/>
    <n v="25.46"/>
    <x v="1881"/>
    <n v="0"/>
    <n v="1923"/>
    <n v="0"/>
    <n v="8210"/>
    <x v="172"/>
    <n v="161"/>
    <s v="J (Apr 21)"/>
    <d v="2021-04-21T00:00:00"/>
    <n v="-1"/>
  </r>
  <r>
    <x v="397"/>
    <x v="24"/>
    <n v="25.6"/>
    <n v="25.8"/>
    <n v="25.19"/>
    <n v="25.5"/>
    <x v="1881"/>
    <n v="-0.15"/>
    <n v="6017"/>
    <n v="0"/>
    <n v="17034"/>
    <x v="164"/>
    <n v="98"/>
    <s v="G (Feb 21)"/>
    <d v="2021-02-17T00:00:00"/>
    <n v="-1"/>
  </r>
  <r>
    <x v="397"/>
    <x v="20"/>
    <n v="24.95"/>
    <n v="25.35"/>
    <n v="24.9"/>
    <n v="25.32"/>
    <x v="1237"/>
    <n v="0.22500000000000001"/>
    <n v="66"/>
    <n v="0"/>
    <n v="126"/>
    <x v="126"/>
    <n v="217"/>
    <s v="M (Jun 21)"/>
    <d v="2021-06-16T00:00:00"/>
    <n v="-1"/>
  </r>
  <r>
    <x v="397"/>
    <x v="27"/>
    <n v="24.7"/>
    <n v="24.96"/>
    <n v="23.18"/>
    <n v="24.15"/>
    <x v="1656"/>
    <n v="-0.85"/>
    <n v="62948"/>
    <n v="192"/>
    <n v="52329"/>
    <x v="26"/>
    <n v="7"/>
    <s v="X (Nov 20)"/>
    <d v="2020-11-18T00:00:00"/>
    <n v="-1"/>
  </r>
  <r>
    <x v="397"/>
    <x v="25"/>
    <n v="25.8"/>
    <n v="26.11"/>
    <n v="25.09"/>
    <n v="25.4"/>
    <x v="411"/>
    <n v="-0.45"/>
    <n v="13657"/>
    <n v="0"/>
    <n v="35596"/>
    <x v="170"/>
    <n v="70"/>
    <s v="F (Jan 21)"/>
    <d v="2021-01-20T00:00:00"/>
    <n v="-1"/>
  </r>
  <r>
    <x v="397"/>
    <x v="21"/>
    <n v="25.31"/>
    <n v="25.65"/>
    <n v="25.07"/>
    <n v="25.47"/>
    <x v="1881"/>
    <n v="7.4999999999999997E-2"/>
    <n v="880"/>
    <n v="0"/>
    <n v="3509"/>
    <x v="173"/>
    <n v="189"/>
    <s v="K (May 21)"/>
    <d v="2021-05-19T00:00:00"/>
    <n v="-1"/>
  </r>
  <r>
    <x v="398"/>
    <x v="20"/>
    <n v="25.25"/>
    <n v="25.36"/>
    <n v="24.75"/>
    <n v="25.14"/>
    <x v="1080"/>
    <n v="0.17499999999999999"/>
    <n v="54"/>
    <n v="0"/>
    <n v="105"/>
    <x v="137"/>
    <n v="218"/>
    <s v="M (Jun 21)"/>
    <d v="2021-06-16T00:00:00"/>
    <n v="-1"/>
  </r>
  <r>
    <x v="398"/>
    <x v="27"/>
    <n v="25.2"/>
    <n v="26.15"/>
    <n v="24.07"/>
    <n v="24.7"/>
    <x v="1311"/>
    <n v="-0.9"/>
    <n v="92806"/>
    <n v="0"/>
    <n v="60451"/>
    <x v="29"/>
    <n v="8"/>
    <s v="X (Nov 20)"/>
    <d v="2020-11-18T00:00:00"/>
    <n v="-1"/>
  </r>
  <r>
    <x v="398"/>
    <x v="25"/>
    <n v="26.1"/>
    <n v="26.7"/>
    <n v="25.45"/>
    <n v="25.9"/>
    <x v="776"/>
    <n v="-0.4"/>
    <n v="16292"/>
    <n v="0"/>
    <n v="33239"/>
    <x v="6"/>
    <n v="71"/>
    <s v="F (Jan 21)"/>
    <d v="2021-01-20T00:00:00"/>
    <n v="-1"/>
  </r>
  <r>
    <x v="398"/>
    <x v="21"/>
    <n v="25.12"/>
    <n v="25.57"/>
    <n v="24.95"/>
    <n v="25.4"/>
    <x v="1055"/>
    <n v="0.2"/>
    <n v="955"/>
    <n v="0"/>
    <n v="3357"/>
    <x v="174"/>
    <n v="190"/>
    <s v="K (May 21)"/>
    <d v="2021-05-19T00:00:00"/>
    <n v="-1"/>
  </r>
  <r>
    <x v="398"/>
    <x v="19"/>
    <n v="24.95"/>
    <n v="24.95"/>
    <n v="24.95"/>
    <n v="24.95"/>
    <x v="1123"/>
    <n v="-0.15"/>
    <n v="1"/>
    <n v="0"/>
    <n v="33"/>
    <x v="22"/>
    <n v="253"/>
    <s v="N (Jul 21)"/>
    <d v="2021-07-21T00:00:00"/>
    <n v="-1"/>
  </r>
  <r>
    <x v="398"/>
    <x v="23"/>
    <n v="25.32"/>
    <n v="25.89"/>
    <n v="25.1"/>
    <n v="25.5"/>
    <x v="655"/>
    <n v="7.4999999999999997E-2"/>
    <n v="3995"/>
    <n v="0"/>
    <n v="11527"/>
    <x v="135"/>
    <n v="127"/>
    <s v="H (Mar 21)"/>
    <d v="2021-03-17T00:00:00"/>
    <n v="-1"/>
  </r>
  <r>
    <x v="398"/>
    <x v="26"/>
    <n v="25.95"/>
    <n v="26.7"/>
    <n v="25.07"/>
    <n v="25.53"/>
    <x v="411"/>
    <n v="-0.85"/>
    <n v="81384"/>
    <n v="0"/>
    <n v="135198"/>
    <x v="182"/>
    <n v="36"/>
    <s v="Z (Dec 20)"/>
    <d v="2020-12-16T00:00:00"/>
    <n v="-1"/>
  </r>
  <r>
    <x v="398"/>
    <x v="22"/>
    <n v="25.32"/>
    <n v="25.8"/>
    <n v="25.1"/>
    <n v="25.45"/>
    <x v="1881"/>
    <n v="0.05"/>
    <n v="3144"/>
    <n v="0"/>
    <n v="8265"/>
    <x v="0"/>
    <n v="162"/>
    <s v="J (Apr 21)"/>
    <d v="2021-04-21T00:00:00"/>
    <n v="-1"/>
  </r>
  <r>
    <x v="398"/>
    <x v="24"/>
    <n v="25.5"/>
    <n v="26.07"/>
    <n v="25.25"/>
    <n v="25.65"/>
    <x v="406"/>
    <n v="-0.05"/>
    <n v="7858"/>
    <n v="0"/>
    <n v="16429"/>
    <x v="167"/>
    <n v="99"/>
    <s v="G (Feb 21)"/>
    <d v="2021-02-17T00:00:00"/>
    <n v="-1"/>
  </r>
  <r>
    <x v="399"/>
    <x v="19"/>
    <n v="25.6"/>
    <n v="25.6"/>
    <n v="24.6"/>
    <n v="24.6"/>
    <x v="1209"/>
    <n v="-2.4750000000000001"/>
    <n v="7"/>
    <n v="0"/>
    <n v="32"/>
    <x v="33"/>
    <n v="254"/>
    <s v="N (Jul 21)"/>
    <d v="2021-07-21T00:00:00"/>
    <n v="-1"/>
  </r>
  <r>
    <x v="399"/>
    <x v="23"/>
    <n v="26.65"/>
    <n v="26.7"/>
    <n v="24.6"/>
    <n v="25.45"/>
    <x v="394"/>
    <n v="-1.375"/>
    <n v="6276"/>
    <n v="0"/>
    <n v="11468"/>
    <x v="149"/>
    <n v="128"/>
    <s v="H (Mar 21)"/>
    <d v="2021-03-17T00:00:00"/>
    <n v="-1"/>
  </r>
  <r>
    <x v="399"/>
    <x v="26"/>
    <n v="27"/>
    <n v="27"/>
    <n v="24.15"/>
    <n v="26.05"/>
    <x v="461"/>
    <n v="-0.9"/>
    <n v="122073"/>
    <n v="930"/>
    <n v="134216"/>
    <x v="184"/>
    <n v="37"/>
    <s v="Z (Dec 20)"/>
    <d v="2020-12-16T00:00:00"/>
    <n v="-1"/>
  </r>
  <r>
    <x v="399"/>
    <x v="22"/>
    <n v="26.64"/>
    <n v="26.75"/>
    <n v="24.7"/>
    <n v="25.47"/>
    <x v="411"/>
    <n v="-1.45"/>
    <n v="4001"/>
    <n v="0"/>
    <n v="8341"/>
    <x v="12"/>
    <n v="163"/>
    <s v="J (Apr 21)"/>
    <d v="2021-04-21T00:00:00"/>
    <n v="-1"/>
  </r>
  <r>
    <x v="399"/>
    <x v="24"/>
    <n v="26.94"/>
    <n v="27"/>
    <n v="24.75"/>
    <n v="25.65"/>
    <x v="774"/>
    <n v="-1.625"/>
    <n v="16719"/>
    <n v="0"/>
    <n v="16853"/>
    <x v="175"/>
    <n v="100"/>
    <s v="G (Feb 21)"/>
    <d v="2021-02-17T00:00:00"/>
    <n v="-1"/>
  </r>
  <r>
    <x v="399"/>
    <x v="27"/>
    <n v="25.4"/>
    <n v="25.63"/>
    <n v="22.45"/>
    <n v="25.35"/>
    <x v="438"/>
    <n v="0.1"/>
    <n v="115926"/>
    <n v="808"/>
    <n v="74412"/>
    <x v="44"/>
    <n v="9"/>
    <s v="X (Nov 20)"/>
    <d v="2020-11-18T00:00:00"/>
    <n v="-1"/>
  </r>
  <r>
    <x v="399"/>
    <x v="25"/>
    <n v="27.3"/>
    <n v="27.4"/>
    <n v="24.66"/>
    <n v="26.18"/>
    <x v="461"/>
    <n v="-1.425"/>
    <n v="32457"/>
    <n v="0"/>
    <n v="32030"/>
    <x v="9"/>
    <n v="72"/>
    <s v="F (Jan 21)"/>
    <d v="2021-01-20T00:00:00"/>
    <n v="-1"/>
  </r>
  <r>
    <x v="399"/>
    <x v="21"/>
    <n v="26.2"/>
    <n v="26.2"/>
    <n v="24.49"/>
    <n v="25.25"/>
    <x v="1022"/>
    <n v="-1.2250000000000001"/>
    <n v="1398"/>
    <n v="0"/>
    <n v="3336"/>
    <x v="179"/>
    <n v="191"/>
    <s v="K (May 21)"/>
    <d v="2021-05-19T00:00:00"/>
    <n v="-1"/>
  </r>
  <r>
    <x v="399"/>
    <x v="20"/>
    <n v="25.65"/>
    <n v="25.95"/>
    <n v="24.4"/>
    <n v="24.94"/>
    <x v="1347"/>
    <n v="-1.2"/>
    <n v="127"/>
    <n v="0"/>
    <n v="100"/>
    <x v="142"/>
    <n v="219"/>
    <s v="M (Jun 21)"/>
    <d v="2021-06-16T00:00:00"/>
    <n v="-1"/>
  </r>
  <r>
    <x v="400"/>
    <x v="27"/>
    <n v="27.7"/>
    <n v="28.9"/>
    <n v="25.2"/>
    <n v="25.35"/>
    <x v="1881"/>
    <n v="-2.2999999999999998"/>
    <n v="96504"/>
    <n v="545"/>
    <n v="81333"/>
    <x v="47"/>
    <n v="12"/>
    <s v="X (Nov 20)"/>
    <d v="2020-11-18T00:00:00"/>
    <n v="-1"/>
  </r>
  <r>
    <x v="400"/>
    <x v="25"/>
    <n v="28.52"/>
    <n v="29.1"/>
    <n v="27.35"/>
    <n v="27.49"/>
    <x v="19"/>
    <n v="-0.82499999999999996"/>
    <n v="20013"/>
    <n v="0"/>
    <n v="26056"/>
    <x v="24"/>
    <n v="75"/>
    <s v="F (Jan 21)"/>
    <d v="2021-01-20T00:00:00"/>
    <n v="-1"/>
  </r>
  <r>
    <x v="400"/>
    <x v="21"/>
    <n v="26.96"/>
    <n v="27.3"/>
    <n v="26.2"/>
    <n v="26.29"/>
    <x v="759"/>
    <n v="-0.55000000000000004"/>
    <n v="1133"/>
    <n v="0"/>
    <n v="3429"/>
    <x v="180"/>
    <n v="194"/>
    <s v="K (May 21)"/>
    <d v="2021-05-19T00:00:00"/>
    <n v="-1"/>
  </r>
  <r>
    <x v="400"/>
    <x v="20"/>
    <n v="26.6"/>
    <n v="26.9"/>
    <n v="26.05"/>
    <n v="26.15"/>
    <x v="878"/>
    <n v="-0.55000000000000004"/>
    <n v="14"/>
    <n v="0"/>
    <n v="83"/>
    <x v="3"/>
    <n v="222"/>
    <s v="M (Jun 21)"/>
    <d v="2021-06-16T00:00:00"/>
    <n v="-1"/>
  </r>
  <r>
    <x v="400"/>
    <x v="23"/>
    <n v="27.22"/>
    <n v="27.67"/>
    <n v="26.55"/>
    <n v="26.72"/>
    <x v="550"/>
    <n v="-0.45"/>
    <n v="5905"/>
    <n v="0"/>
    <n v="11189"/>
    <x v="152"/>
    <n v="131"/>
    <s v="H (Mar 21)"/>
    <d v="2021-03-17T00:00:00"/>
    <n v="-1"/>
  </r>
  <r>
    <x v="400"/>
    <x v="26"/>
    <n v="28.6"/>
    <n v="29.5"/>
    <n v="27"/>
    <n v="27.1"/>
    <x v="568"/>
    <n v="-1.6"/>
    <n v="92411"/>
    <n v="817"/>
    <n v="127584"/>
    <x v="2"/>
    <n v="40"/>
    <s v="Z (Dec 20)"/>
    <d v="2020-12-16T00:00:00"/>
    <n v="-1"/>
  </r>
  <r>
    <x v="400"/>
    <x v="22"/>
    <n v="27.39"/>
    <n v="27.75"/>
    <n v="26.55"/>
    <n v="26.75"/>
    <x v="579"/>
    <n v="-0.55000000000000004"/>
    <n v="4021"/>
    <n v="0"/>
    <n v="8413"/>
    <x v="18"/>
    <n v="166"/>
    <s v="J (Apr 21)"/>
    <d v="2021-04-21T00:00:00"/>
    <n v="-1"/>
  </r>
  <r>
    <x v="400"/>
    <x v="24"/>
    <n v="27.59"/>
    <n v="28.11"/>
    <n v="26.85"/>
    <n v="27.1"/>
    <x v="52"/>
    <n v="-0.375"/>
    <n v="12671"/>
    <n v="0"/>
    <n v="17100"/>
    <x v="177"/>
    <n v="103"/>
    <s v="G (Feb 21)"/>
    <d v="2021-02-17T00:00:00"/>
    <n v="-1"/>
  </r>
  <r>
    <x v="401"/>
    <x v="23"/>
    <n v="27.1"/>
    <n v="27.4"/>
    <n v="26.65"/>
    <n v="27.2"/>
    <x v="2308"/>
    <n v="0.1"/>
    <n v="4717"/>
    <n v="0"/>
    <n v="10453"/>
    <x v="165"/>
    <n v="132"/>
    <s v="H (Mar 21)"/>
    <d v="2021-03-17T00:00:00"/>
    <n v="-1"/>
  </r>
  <r>
    <x v="401"/>
    <x v="26"/>
    <n v="29.05"/>
    <n v="29.52"/>
    <n v="27.9"/>
    <n v="28.72"/>
    <x v="2150"/>
    <n v="-0.4"/>
    <n v="71313"/>
    <n v="55"/>
    <n v="122157"/>
    <x v="14"/>
    <n v="41"/>
    <s v="Z (Dec 20)"/>
    <d v="2020-12-16T00:00:00"/>
    <n v="-1"/>
  </r>
  <r>
    <x v="401"/>
    <x v="22"/>
    <n v="27.38"/>
    <n v="27.58"/>
    <n v="26.9"/>
    <n v="27.34"/>
    <x v="2324"/>
    <n v="0"/>
    <n v="2686"/>
    <n v="0"/>
    <n v="8340"/>
    <x v="35"/>
    <n v="167"/>
    <s v="J (Apr 21)"/>
    <d v="2021-04-21T00:00:00"/>
    <n v="-1"/>
  </r>
  <r>
    <x v="401"/>
    <x v="24"/>
    <n v="27.45"/>
    <n v="27.73"/>
    <n v="26.95"/>
    <n v="27.55"/>
    <x v="2109"/>
    <n v="0.2"/>
    <n v="8699"/>
    <n v="0"/>
    <n v="15955"/>
    <x v="181"/>
    <n v="104"/>
    <s v="G (Feb 21)"/>
    <d v="2021-02-17T00:00:00"/>
    <n v="-1"/>
  </r>
  <r>
    <x v="401"/>
    <x v="27"/>
    <n v="28.6"/>
    <n v="29"/>
    <n v="27.14"/>
    <n v="27.73"/>
    <x v="2134"/>
    <n v="-0.6"/>
    <n v="67854"/>
    <n v="45"/>
    <n v="92374"/>
    <x v="62"/>
    <n v="13"/>
    <s v="X (Nov 20)"/>
    <d v="2020-11-18T00:00:00"/>
    <n v="-1"/>
  </r>
  <r>
    <x v="401"/>
    <x v="19"/>
    <n v="26.15"/>
    <n v="26.15"/>
    <n v="26.15"/>
    <n v="26.15"/>
    <x v="632"/>
    <n v="0.1"/>
    <n v="2"/>
    <n v="0"/>
    <n v="25"/>
    <x v="51"/>
    <n v="258"/>
    <s v="N (Jul 21)"/>
    <d v="2021-07-21T00:00:00"/>
    <n v="-1"/>
  </r>
  <r>
    <x v="401"/>
    <x v="25"/>
    <n v="28.36"/>
    <n v="28.75"/>
    <n v="27.75"/>
    <n v="28.5"/>
    <x v="520"/>
    <n v="0.1"/>
    <n v="13587"/>
    <n v="0"/>
    <n v="25150"/>
    <x v="27"/>
    <n v="76"/>
    <s v="F (Jan 21)"/>
    <d v="2021-01-20T00:00:00"/>
    <n v="-1"/>
  </r>
  <r>
    <x v="401"/>
    <x v="21"/>
    <n v="26.98"/>
    <n v="27.15"/>
    <n v="26.6"/>
    <n v="26.9"/>
    <x v="336"/>
    <n v="-7.4999999999999997E-2"/>
    <n v="785"/>
    <n v="0"/>
    <n v="3614"/>
    <x v="185"/>
    <n v="195"/>
    <s v="K (May 21)"/>
    <d v="2021-05-19T00:00:00"/>
    <n v="-1"/>
  </r>
  <r>
    <x v="401"/>
    <x v="20"/>
    <n v="26.55"/>
    <n v="26.7"/>
    <n v="26.25"/>
    <n v="26.57"/>
    <x v="632"/>
    <n v="0.1"/>
    <n v="17"/>
    <n v="0"/>
    <n v="94"/>
    <x v="15"/>
    <n v="223"/>
    <s v="M (Jun 21)"/>
    <d v="2021-06-16T00:00:00"/>
    <n v="-1"/>
  </r>
  <r>
    <x v="402"/>
    <x v="27"/>
    <n v="31.2"/>
    <n v="33.1"/>
    <n v="28.21"/>
    <n v="28.55"/>
    <x v="21"/>
    <n v="-3.05"/>
    <n v="130128"/>
    <n v="663"/>
    <n v="101547"/>
    <x v="65"/>
    <n v="14"/>
    <s v="X (Nov 20)"/>
    <d v="2020-11-18T00:00:00"/>
    <n v="-1"/>
  </r>
  <r>
    <x v="402"/>
    <x v="19"/>
    <n v="26.3"/>
    <n v="26.35"/>
    <n v="26.14"/>
    <n v="26.14"/>
    <x v="597"/>
    <n v="-0.67500000000000004"/>
    <n v="8"/>
    <n v="0"/>
    <n v="23"/>
    <x v="57"/>
    <n v="259"/>
    <s v="N (Jul 21)"/>
    <d v="2021-07-21T00:00:00"/>
    <n v="-1"/>
  </r>
  <r>
    <x v="402"/>
    <x v="25"/>
    <n v="29.55"/>
    <n v="30.3"/>
    <n v="27.75"/>
    <n v="28.35"/>
    <x v="113"/>
    <n v="-1.2"/>
    <n v="17743"/>
    <n v="0"/>
    <n v="25588"/>
    <x v="42"/>
    <n v="77"/>
    <s v="F (Jan 21)"/>
    <d v="2021-01-20T00:00:00"/>
    <n v="-1"/>
  </r>
  <r>
    <x v="402"/>
    <x v="21"/>
    <n v="27.35"/>
    <n v="28.07"/>
    <n v="26.3"/>
    <n v="26.92"/>
    <x v="250"/>
    <n v="-0.5"/>
    <n v="1409"/>
    <n v="0"/>
    <n v="3586"/>
    <x v="1"/>
    <n v="196"/>
    <s v="K (May 21)"/>
    <d v="2021-05-19T00:00:00"/>
    <n v="-1"/>
  </r>
  <r>
    <x v="402"/>
    <x v="20"/>
    <n v="26.75"/>
    <n v="27.55"/>
    <n v="26.1"/>
    <n v="26.45"/>
    <x v="597"/>
    <n v="-0.45"/>
    <n v="38"/>
    <n v="0"/>
    <n v="100"/>
    <x v="21"/>
    <n v="224"/>
    <s v="M (Jun 21)"/>
    <d v="2021-06-16T00:00:00"/>
    <n v="-1"/>
  </r>
  <r>
    <x v="402"/>
    <x v="23"/>
    <n v="27.65"/>
    <n v="28.45"/>
    <n v="26.22"/>
    <n v="27.1"/>
    <x v="568"/>
    <n v="-0.65"/>
    <n v="5552"/>
    <n v="0"/>
    <n v="10297"/>
    <x v="168"/>
    <n v="133"/>
    <s v="H (Mar 21)"/>
    <d v="2021-03-17T00:00:00"/>
    <n v="-1"/>
  </r>
  <r>
    <x v="402"/>
    <x v="26"/>
    <n v="31.55"/>
    <n v="32.35"/>
    <n v="28.8"/>
    <n v="28.95"/>
    <x v="2325"/>
    <n v="-2.4"/>
    <n v="98930"/>
    <n v="663"/>
    <n v="116838"/>
    <x v="20"/>
    <n v="42"/>
    <s v="Z (Dec 20)"/>
    <d v="2020-12-16T00:00:00"/>
    <n v="-1"/>
  </r>
  <r>
    <x v="402"/>
    <x v="22"/>
    <n v="27.7"/>
    <n v="28.48"/>
    <n v="26.56"/>
    <n v="27.4"/>
    <x v="2324"/>
    <n v="-0.45"/>
    <n v="2724"/>
    <n v="0"/>
    <n v="8018"/>
    <x v="41"/>
    <n v="168"/>
    <s v="J (Apr 21)"/>
    <d v="2021-04-21T00:00:00"/>
    <n v="-1"/>
  </r>
  <r>
    <x v="402"/>
    <x v="24"/>
    <n v="28.1"/>
    <n v="29.01"/>
    <n v="26.6"/>
    <n v="27.45"/>
    <x v="2244"/>
    <n v="-0.85"/>
    <n v="11822"/>
    <n v="0"/>
    <n v="15750"/>
    <x v="183"/>
    <n v="105"/>
    <s v="G (Feb 21)"/>
    <d v="2021-02-17T00:00:00"/>
    <n v="-1"/>
  </r>
  <r>
    <x v="403"/>
    <x v="23"/>
    <n v="28.41"/>
    <n v="28.41"/>
    <n v="27.72"/>
    <n v="27.8"/>
    <x v="232"/>
    <n v="-0.7"/>
    <n v="3266"/>
    <n v="0"/>
    <n v="10666"/>
    <x v="5"/>
    <n v="134"/>
    <s v="H (Mar 21)"/>
    <d v="2021-03-17T00:00:00"/>
    <n v="-1"/>
  </r>
  <r>
    <x v="403"/>
    <x v="26"/>
    <n v="33.01"/>
    <n v="33.01"/>
    <n v="31.15"/>
    <n v="31.35"/>
    <x v="2326"/>
    <n v="-1.6"/>
    <n v="55396"/>
    <n v="0"/>
    <n v="108661"/>
    <x v="31"/>
    <n v="43"/>
    <s v="Z (Dec 20)"/>
    <d v="2020-12-16T00:00:00"/>
    <n v="-1"/>
  </r>
  <r>
    <x v="403"/>
    <x v="22"/>
    <n v="28.3"/>
    <n v="28.3"/>
    <n v="27.81"/>
    <n v="27.9"/>
    <x v="2327"/>
    <n v="-0.6"/>
    <n v="2464"/>
    <n v="0"/>
    <n v="7773"/>
    <x v="53"/>
    <n v="169"/>
    <s v="J (Apr 21)"/>
    <d v="2021-04-21T00:00:00"/>
    <n v="-1"/>
  </r>
  <r>
    <x v="403"/>
    <x v="24"/>
    <n v="29.02"/>
    <n v="29.05"/>
    <n v="28.15"/>
    <n v="28.3"/>
    <x v="2328"/>
    <n v="-0.85"/>
    <n v="6838"/>
    <n v="0"/>
    <n v="16223"/>
    <x v="7"/>
    <n v="106"/>
    <s v="G (Feb 21)"/>
    <d v="2021-02-17T00:00:00"/>
    <n v="-1"/>
  </r>
  <r>
    <x v="403"/>
    <x v="27"/>
    <n v="33.15"/>
    <n v="33.200000000000003"/>
    <n v="30.99"/>
    <n v="31.25"/>
    <x v="2329"/>
    <n v="-1.95"/>
    <n v="74045"/>
    <n v="0"/>
    <n v="110494"/>
    <x v="80"/>
    <n v="15"/>
    <s v="X (Nov 20)"/>
    <d v="2020-11-18T00:00:00"/>
    <n v="-1"/>
  </r>
  <r>
    <x v="403"/>
    <x v="19"/>
    <n v="27.15"/>
    <n v="27.15"/>
    <n v="27.15"/>
    <n v="27.15"/>
    <x v="52"/>
    <n v="1.575"/>
    <n v="5"/>
    <n v="0"/>
    <n v="17"/>
    <x v="69"/>
    <n v="260"/>
    <s v="N (Jul 21)"/>
    <d v="2021-07-21T00:00:00"/>
    <n v="-1"/>
  </r>
  <r>
    <x v="403"/>
    <x v="25"/>
    <n v="30.7"/>
    <n v="30.7"/>
    <n v="29.47"/>
    <n v="29.55"/>
    <x v="2330"/>
    <n v="-1.2"/>
    <n v="8365"/>
    <n v="0"/>
    <n v="25426"/>
    <x v="45"/>
    <n v="78"/>
    <s v="F (Jan 21)"/>
    <d v="2021-01-20T00:00:00"/>
    <n v="-1"/>
  </r>
  <r>
    <x v="403"/>
    <x v="21"/>
    <n v="27.95"/>
    <n v="28"/>
    <n v="27.5"/>
    <n v="27.55"/>
    <x v="316"/>
    <n v="-0.625"/>
    <n v="1018"/>
    <n v="0"/>
    <n v="3347"/>
    <x v="13"/>
    <n v="197"/>
    <s v="K (May 21)"/>
    <d v="2021-05-19T00:00:00"/>
    <n v="-1"/>
  </r>
  <r>
    <x v="403"/>
    <x v="20"/>
    <n v="27.26"/>
    <n v="27.4"/>
    <n v="27.1"/>
    <n v="27.2"/>
    <x v="645"/>
    <n v="-0.55000000000000004"/>
    <n v="33"/>
    <n v="0"/>
    <n v="96"/>
    <x v="32"/>
    <n v="225"/>
    <s v="M (Jun 21)"/>
    <d v="2021-06-16T00:00:00"/>
    <n v="-1"/>
  </r>
  <r>
    <x v="404"/>
    <x v="27"/>
    <n v="34.5"/>
    <n v="35.25"/>
    <n v="32.549999999999997"/>
    <n v="33.15"/>
    <x v="2331"/>
    <n v="-0.72499999999999998"/>
    <n v="74047"/>
    <n v="0"/>
    <n v="115064"/>
    <x v="83"/>
    <n v="16"/>
    <s v="X (Nov 20)"/>
    <d v="2020-11-18T00:00:00"/>
    <n v="-1"/>
  </r>
  <r>
    <x v="404"/>
    <x v="25"/>
    <n v="31.75"/>
    <n v="32.25"/>
    <n v="30.45"/>
    <n v="30.7"/>
    <x v="2332"/>
    <n v="-1"/>
    <n v="9451"/>
    <n v="0"/>
    <n v="24160"/>
    <x v="60"/>
    <n v="79"/>
    <s v="F (Jan 21)"/>
    <d v="2021-01-20T00:00:00"/>
    <n v="-1"/>
  </r>
  <r>
    <x v="404"/>
    <x v="21"/>
    <n v="28.45"/>
    <n v="28.85"/>
    <n v="27.9"/>
    <n v="28.05"/>
    <x v="85"/>
    <n v="-0.55000000000000004"/>
    <n v="1078"/>
    <n v="0"/>
    <n v="3121"/>
    <x v="19"/>
    <n v="198"/>
    <s v="K (May 21)"/>
    <d v="2021-05-19T00:00:00"/>
    <n v="-1"/>
  </r>
  <r>
    <x v="404"/>
    <x v="20"/>
    <n v="27.5"/>
    <n v="28.25"/>
    <n v="27.44"/>
    <n v="27.52"/>
    <x v="2099"/>
    <n v="-0.32500000000000001"/>
    <n v="15"/>
    <n v="0"/>
    <n v="81"/>
    <x v="38"/>
    <n v="226"/>
    <s v="M (Jun 21)"/>
    <d v="2021-06-16T00:00:00"/>
    <n v="-1"/>
  </r>
  <r>
    <x v="404"/>
    <x v="23"/>
    <n v="29.34"/>
    <n v="29.65"/>
    <n v="28.22"/>
    <n v="28.43"/>
    <x v="520"/>
    <n v="-0.8"/>
    <n v="3339"/>
    <n v="0"/>
    <n v="10494"/>
    <x v="17"/>
    <n v="135"/>
    <s v="H (Mar 21)"/>
    <d v="2021-03-17T00:00:00"/>
    <n v="-1"/>
  </r>
  <r>
    <x v="404"/>
    <x v="26"/>
    <n v="34"/>
    <n v="34.53"/>
    <n v="32.200000000000003"/>
    <n v="32.950000000000003"/>
    <x v="2333"/>
    <n v="-0.9"/>
    <n v="58397"/>
    <n v="0"/>
    <n v="101024"/>
    <x v="37"/>
    <n v="44"/>
    <s v="Z (Dec 20)"/>
    <d v="2020-12-16T00:00:00"/>
    <n v="-1"/>
  </r>
  <r>
    <x v="404"/>
    <x v="22"/>
    <n v="29.2"/>
    <n v="29.45"/>
    <n v="28.2"/>
    <n v="28.37"/>
    <x v="214"/>
    <n v="-0.67500000000000004"/>
    <n v="1806"/>
    <n v="0"/>
    <n v="7690"/>
    <x v="59"/>
    <n v="170"/>
    <s v="J (Apr 21)"/>
    <d v="2021-04-21T00:00:00"/>
    <n v="-1"/>
  </r>
  <r>
    <x v="404"/>
    <x v="24"/>
    <n v="30.05"/>
    <n v="30.55"/>
    <n v="28.9"/>
    <n v="29.05"/>
    <x v="2325"/>
    <n v="-1"/>
    <n v="6390"/>
    <n v="0"/>
    <n v="15669"/>
    <x v="10"/>
    <n v="107"/>
    <s v="G (Feb 21)"/>
    <d v="2021-02-17T00:00:00"/>
    <n v="-1"/>
  </r>
  <r>
    <x v="405"/>
    <x v="23"/>
    <n v="29.48"/>
    <n v="30.05"/>
    <n v="29"/>
    <n v="29.1"/>
    <x v="2334"/>
    <n v="0.35"/>
    <n v="5205"/>
    <n v="0"/>
    <n v="10541"/>
    <x v="23"/>
    <n v="138"/>
    <s v="H (Mar 21)"/>
    <d v="2021-03-17T00:00:00"/>
    <n v="-1"/>
  </r>
  <r>
    <x v="405"/>
    <x v="26"/>
    <n v="33.5"/>
    <n v="34.799999999999997"/>
    <n v="32.75"/>
    <n v="33.5"/>
    <x v="2335"/>
    <n v="1.5"/>
    <n v="59819"/>
    <n v="0"/>
    <n v="92202"/>
    <x v="49"/>
    <n v="47"/>
    <s v="Z (Dec 20)"/>
    <d v="2020-12-16T00:00:00"/>
    <n v="-1"/>
  </r>
  <r>
    <x v="405"/>
    <x v="22"/>
    <n v="29.15"/>
    <n v="29.8"/>
    <n v="28.85"/>
    <n v="28.91"/>
    <x v="120"/>
    <n v="0.47499999999999998"/>
    <n v="3062"/>
    <n v="0"/>
    <n v="7520"/>
    <x v="71"/>
    <n v="173"/>
    <s v="J (Apr 21)"/>
    <d v="2021-04-21T00:00:00"/>
    <n v="-1"/>
  </r>
  <r>
    <x v="405"/>
    <x v="24"/>
    <n v="30.05"/>
    <n v="30.75"/>
    <n v="29.67"/>
    <n v="29.9"/>
    <x v="2336"/>
    <n v="0.65"/>
    <n v="8355"/>
    <n v="0"/>
    <n v="15920"/>
    <x v="25"/>
    <n v="110"/>
    <s v="G (Feb 21)"/>
    <d v="2021-02-17T00:00:00"/>
    <n v="-1"/>
  </r>
  <r>
    <x v="405"/>
    <x v="27"/>
    <n v="34.450000000000003"/>
    <n v="36.5"/>
    <n v="33.33"/>
    <n v="33.909999999999997"/>
    <x v="2337"/>
    <n v="0.97499999999999998"/>
    <n v="91275"/>
    <n v="0"/>
    <n v="123409"/>
    <x v="98"/>
    <n v="19"/>
    <s v="X (Nov 20)"/>
    <d v="2020-11-18T00:00:00"/>
    <n v="-1"/>
  </r>
  <r>
    <x v="405"/>
    <x v="25"/>
    <n v="31.4"/>
    <n v="32.35"/>
    <n v="30.93"/>
    <n v="31.45"/>
    <x v="2338"/>
    <n v="1.05"/>
    <n v="11404"/>
    <n v="0"/>
    <n v="23313"/>
    <x v="63"/>
    <n v="82"/>
    <s v="F (Jan 21)"/>
    <d v="2021-01-20T00:00:00"/>
    <n v="-1"/>
  </r>
  <r>
    <x v="405"/>
    <x v="21"/>
    <n v="28.61"/>
    <n v="29.15"/>
    <n v="28.39"/>
    <n v="28.43"/>
    <x v="2156"/>
    <n v="0.52500000000000002"/>
    <n v="1068"/>
    <n v="0"/>
    <n v="3096"/>
    <x v="30"/>
    <n v="201"/>
    <s v="K (May 21)"/>
    <d v="2021-05-19T00:00:00"/>
    <n v="-1"/>
  </r>
  <r>
    <x v="405"/>
    <x v="20"/>
    <n v="28.1"/>
    <n v="28.15"/>
    <n v="28.1"/>
    <n v="28.1"/>
    <x v="2243"/>
    <n v="0.4"/>
    <n v="1"/>
    <n v="0"/>
    <n v="77"/>
    <x v="50"/>
    <n v="229"/>
    <s v="M (Jun 21)"/>
    <d v="2021-06-16T00:00:00"/>
    <n v="-1"/>
  </r>
  <r>
    <x v="406"/>
    <x v="27"/>
    <n v="35.700000000000003"/>
    <n v="36.15"/>
    <n v="32.159999999999997"/>
    <n v="34.369999999999997"/>
    <x v="2339"/>
    <n v="-2.875"/>
    <n v="105241"/>
    <n v="175"/>
    <n v="128466"/>
    <x v="101"/>
    <n v="20"/>
    <s v="X (Nov 20)"/>
    <d v="2020-11-18T00:00:00"/>
    <n v="-1"/>
  </r>
  <r>
    <x v="406"/>
    <x v="19"/>
    <n v="27.77"/>
    <n v="27.77"/>
    <n v="27.77"/>
    <n v="27.77"/>
    <x v="365"/>
    <n v="-0.22500000000000001"/>
    <n v="3"/>
    <n v="0"/>
    <n v="12"/>
    <x v="93"/>
    <n v="265"/>
    <s v="N (Jul 21)"/>
    <d v="2021-07-21T00:00:00"/>
    <n v="-1"/>
  </r>
  <r>
    <x v="406"/>
    <x v="25"/>
    <n v="31.95"/>
    <n v="32.409999999999997"/>
    <n v="30.2"/>
    <n v="31.41"/>
    <x v="2340"/>
    <n v="-1.6"/>
    <n v="13551"/>
    <n v="0"/>
    <n v="23160"/>
    <x v="78"/>
    <n v="83"/>
    <s v="F (Jan 21)"/>
    <d v="2021-01-20T00:00:00"/>
    <n v="-1"/>
  </r>
  <r>
    <x v="406"/>
    <x v="21"/>
    <n v="29"/>
    <n v="29.15"/>
    <n v="27.85"/>
    <n v="28.55"/>
    <x v="49"/>
    <n v="-0.85"/>
    <n v="1082"/>
    <n v="0"/>
    <n v="2902"/>
    <x v="36"/>
    <n v="202"/>
    <s v="K (May 21)"/>
    <d v="2021-05-19T00:00:00"/>
    <n v="-1"/>
  </r>
  <r>
    <x v="406"/>
    <x v="20"/>
    <n v="27.97"/>
    <n v="27.97"/>
    <n v="27.85"/>
    <n v="27.97"/>
    <x v="316"/>
    <n v="-0.85"/>
    <n v="3"/>
    <n v="0"/>
    <n v="76"/>
    <x v="56"/>
    <n v="230"/>
    <s v="M (Jun 21)"/>
    <d v="2021-06-16T00:00:00"/>
    <n v="-1"/>
  </r>
  <r>
    <x v="406"/>
    <x v="23"/>
    <n v="30.25"/>
    <n v="30.27"/>
    <n v="28.52"/>
    <n v="29.36"/>
    <x v="2341"/>
    <n v="-1.1499999999999999"/>
    <n v="3831"/>
    <n v="0"/>
    <n v="9688"/>
    <x v="34"/>
    <n v="139"/>
    <s v="H (Mar 21)"/>
    <d v="2021-03-17T00:00:00"/>
    <n v="-1"/>
  </r>
  <r>
    <x v="406"/>
    <x v="26"/>
    <n v="34.1"/>
    <n v="34.5"/>
    <n v="31.77"/>
    <n v="33.4"/>
    <x v="2342"/>
    <n v="-2.15"/>
    <n v="61320"/>
    <n v="75"/>
    <n v="83668"/>
    <x v="55"/>
    <n v="48"/>
    <s v="Z (Dec 20)"/>
    <d v="2020-12-16T00:00:00"/>
    <n v="-1"/>
  </r>
  <r>
    <x v="406"/>
    <x v="22"/>
    <n v="29.55"/>
    <n v="29.77"/>
    <n v="28.32"/>
    <n v="29.05"/>
    <x v="2283"/>
    <n v="-1"/>
    <n v="2548"/>
    <n v="0"/>
    <n v="7001"/>
    <x v="77"/>
    <n v="174"/>
    <s v="J (Apr 21)"/>
    <d v="2021-04-21T00:00:00"/>
    <n v="-1"/>
  </r>
  <r>
    <x v="406"/>
    <x v="24"/>
    <n v="30.6"/>
    <n v="30.9"/>
    <n v="29"/>
    <n v="30"/>
    <x v="4"/>
    <n v="-1.25"/>
    <n v="8549"/>
    <n v="0"/>
    <n v="15201"/>
    <x v="28"/>
    <n v="111"/>
    <s v="G (Feb 21)"/>
    <d v="2021-02-17T00:00:00"/>
    <n v="-1"/>
  </r>
  <r>
    <x v="407"/>
    <x v="23"/>
    <n v="28.8"/>
    <n v="30.55"/>
    <n v="28.7"/>
    <n v="30.02"/>
    <x v="2343"/>
    <n v="1.65"/>
    <n v="6525"/>
    <n v="0"/>
    <n v="9716"/>
    <x v="40"/>
    <n v="140"/>
    <s v="H (Mar 21)"/>
    <d v="2021-03-17T00:00:00"/>
    <n v="-1"/>
  </r>
  <r>
    <x v="407"/>
    <x v="26"/>
    <n v="31.15"/>
    <n v="34.72"/>
    <n v="31.15"/>
    <n v="34.049999999999997"/>
    <x v="2344"/>
    <n v="3.8"/>
    <n v="78906"/>
    <n v="13"/>
    <n v="78219"/>
    <x v="67"/>
    <n v="49"/>
    <s v="Z (Dec 20)"/>
    <d v="2020-12-16T00:00:00"/>
    <n v="-1"/>
  </r>
  <r>
    <x v="407"/>
    <x v="22"/>
    <n v="28.5"/>
    <n v="30.22"/>
    <n v="28.45"/>
    <n v="29.6"/>
    <x v="2345"/>
    <n v="1.4"/>
    <n v="4303"/>
    <n v="0"/>
    <n v="6874"/>
    <x v="89"/>
    <n v="175"/>
    <s v="J (Apr 21)"/>
    <d v="2021-04-21T00:00:00"/>
    <n v="-1"/>
  </r>
  <r>
    <x v="407"/>
    <x v="24"/>
    <n v="29.2"/>
    <n v="31.18"/>
    <n v="29.15"/>
    <n v="30.65"/>
    <x v="2340"/>
    <n v="1.875"/>
    <n v="9281"/>
    <n v="0"/>
    <n v="15757"/>
    <x v="43"/>
    <n v="112"/>
    <s v="G (Feb 21)"/>
    <d v="2021-02-17T00:00:00"/>
    <n v="-1"/>
  </r>
  <r>
    <x v="407"/>
    <x v="27"/>
    <n v="31.8"/>
    <n v="36.200000000000003"/>
    <n v="31.75"/>
    <n v="35.6"/>
    <x v="2346"/>
    <n v="4.6749999999999998"/>
    <n v="149289"/>
    <n v="39"/>
    <n v="138259"/>
    <x v="116"/>
    <n v="21"/>
    <s v="X (Nov 20)"/>
    <d v="2020-11-18T00:00:00"/>
    <n v="-1"/>
  </r>
  <r>
    <x v="407"/>
    <x v="19"/>
    <n v="28.27"/>
    <n v="28.27"/>
    <n v="28.05"/>
    <n v="28.05"/>
    <x v="2324"/>
    <n v="0.2"/>
    <n v="4"/>
    <n v="0"/>
    <n v="9"/>
    <x v="105"/>
    <n v="266"/>
    <s v="N (Jul 21)"/>
    <d v="2021-07-21T00:00:00"/>
    <n v="-1"/>
  </r>
  <r>
    <x v="407"/>
    <x v="25"/>
    <n v="29.84"/>
    <n v="32.409999999999997"/>
    <n v="29.8"/>
    <n v="32"/>
    <x v="2347"/>
    <n v="2.75"/>
    <n v="17605"/>
    <n v="0"/>
    <n v="23012"/>
    <x v="81"/>
    <n v="84"/>
    <s v="F (Jan 21)"/>
    <d v="2021-01-20T00:00:00"/>
    <n v="-1"/>
  </r>
  <r>
    <x v="407"/>
    <x v="21"/>
    <n v="28.15"/>
    <n v="29.66"/>
    <n v="28.14"/>
    <n v="28.92"/>
    <x v="205"/>
    <n v="1.125"/>
    <n v="1584"/>
    <n v="0"/>
    <n v="2855"/>
    <x v="48"/>
    <n v="203"/>
    <s v="K (May 21)"/>
    <d v="2021-05-19T00:00:00"/>
    <n v="-1"/>
  </r>
  <r>
    <x v="407"/>
    <x v="20"/>
    <n v="27.85"/>
    <n v="28.95"/>
    <n v="27.8"/>
    <n v="28.35"/>
    <x v="2141"/>
    <n v="1.175"/>
    <n v="59"/>
    <n v="0"/>
    <n v="76"/>
    <x v="68"/>
    <n v="231"/>
    <s v="M (Jun 21)"/>
    <d v="2021-06-16T00:00:00"/>
    <n v="-1"/>
  </r>
  <r>
    <x v="408"/>
    <x v="27"/>
    <n v="31.45"/>
    <n v="32.049999999999997"/>
    <n v="30.65"/>
    <n v="31.75"/>
    <x v="2348"/>
    <n v="0"/>
    <n v="84334"/>
    <n v="541"/>
    <n v="138909"/>
    <x v="119"/>
    <n v="22"/>
    <s v="X (Nov 20)"/>
    <d v="2020-11-18T00:00:00"/>
    <n v="-1"/>
  </r>
  <r>
    <x v="408"/>
    <x v="25"/>
    <n v="29.65"/>
    <n v="29.87"/>
    <n v="28.9"/>
    <n v="29.85"/>
    <x v="2330"/>
    <n v="0.35"/>
    <n v="9258"/>
    <n v="0"/>
    <n v="21529"/>
    <x v="96"/>
    <n v="85"/>
    <s v="F (Jan 21)"/>
    <d v="2021-01-20T00:00:00"/>
    <n v="-1"/>
  </r>
  <r>
    <x v="408"/>
    <x v="21"/>
    <n v="28.75"/>
    <n v="28.75"/>
    <n v="27.78"/>
    <n v="28.01"/>
    <x v="2349"/>
    <n v="-2.5000000000000001E-2"/>
    <n v="698"/>
    <n v="0"/>
    <n v="2464"/>
    <x v="54"/>
    <n v="204"/>
    <s v="K (May 21)"/>
    <d v="2021-05-19T00:00:00"/>
    <n v="-1"/>
  </r>
  <r>
    <x v="408"/>
    <x v="20"/>
    <n v="27.34"/>
    <n v="27.95"/>
    <n v="27.3"/>
    <n v="27.3"/>
    <x v="717"/>
    <n v="-0.17499999999999999"/>
    <n v="49"/>
    <n v="0"/>
    <n v="51"/>
    <x v="74"/>
    <n v="232"/>
    <s v="M (Jun 21)"/>
    <d v="2021-06-16T00:00:00"/>
    <n v="-1"/>
  </r>
  <r>
    <x v="408"/>
    <x v="23"/>
    <n v="28.6"/>
    <n v="28.95"/>
    <n v="28.22"/>
    <n v="28.73"/>
    <x v="214"/>
    <n v="-0.05"/>
    <n v="3486"/>
    <n v="0"/>
    <n v="9559"/>
    <x v="52"/>
    <n v="141"/>
    <s v="H (Mar 21)"/>
    <d v="2021-03-17T00:00:00"/>
    <n v="-1"/>
  </r>
  <r>
    <x v="408"/>
    <x v="26"/>
    <n v="30.3"/>
    <n v="31.19"/>
    <n v="29.8"/>
    <n v="31.12"/>
    <x v="2350"/>
    <n v="0.55000000000000004"/>
    <n v="50308"/>
    <n v="46"/>
    <n v="70393"/>
    <x v="73"/>
    <n v="50"/>
    <s v="Z (Dec 20)"/>
    <d v="2020-12-16T00:00:00"/>
    <n v="-1"/>
  </r>
  <r>
    <x v="408"/>
    <x v="22"/>
    <n v="29"/>
    <n v="29"/>
    <n v="28.05"/>
    <n v="28.47"/>
    <x v="22"/>
    <n v="0"/>
    <n v="1638"/>
    <n v="0"/>
    <n v="5689"/>
    <x v="95"/>
    <n v="176"/>
    <s v="J (Apr 21)"/>
    <d v="2021-04-21T00:00:00"/>
    <n v="-1"/>
  </r>
  <r>
    <x v="408"/>
    <x v="24"/>
    <n v="28.79"/>
    <n v="29.36"/>
    <n v="28.49"/>
    <n v="29.17"/>
    <x v="2155"/>
    <n v="7.4999999999999997E-2"/>
    <n v="5607"/>
    <n v="0"/>
    <n v="15177"/>
    <x v="46"/>
    <n v="113"/>
    <s v="G (Feb 21)"/>
    <d v="2021-02-17T00:00:00"/>
    <n v="-1"/>
  </r>
  <r>
    <x v="409"/>
    <x v="19"/>
    <n v="26.93"/>
    <n v="26.93"/>
    <n v="26.93"/>
    <n v="26.93"/>
    <x v="632"/>
    <n v="0"/>
    <n v="5"/>
    <n v="0"/>
    <n v="5"/>
    <x v="123"/>
    <n v="268"/>
    <s v="N (Jul 21)"/>
    <d v="2021-07-21T00:00:00"/>
    <n v="-1"/>
  </r>
  <r>
    <x v="409"/>
    <x v="23"/>
    <n v="27.58"/>
    <n v="28.9"/>
    <n v="27.45"/>
    <n v="28.4"/>
    <x v="520"/>
    <n v="1.1000000000000001"/>
    <n v="4087"/>
    <n v="0"/>
    <n v="9805"/>
    <x v="58"/>
    <n v="142"/>
    <s v="H (Mar 21)"/>
    <d v="2021-03-17T00:00:00"/>
    <n v="-1"/>
  </r>
  <r>
    <x v="409"/>
    <x v="26"/>
    <n v="28.75"/>
    <n v="30.8"/>
    <n v="28.7"/>
    <n v="30.3"/>
    <x v="2351"/>
    <n v="1.75"/>
    <n v="48316"/>
    <n v="0"/>
    <n v="63663"/>
    <x v="85"/>
    <n v="51"/>
    <s v="Z (Dec 20)"/>
    <d v="2020-12-16T00:00:00"/>
    <n v="-1"/>
  </r>
  <r>
    <x v="409"/>
    <x v="22"/>
    <n v="27.47"/>
    <n v="28.63"/>
    <n v="27.32"/>
    <n v="28.25"/>
    <x v="22"/>
    <n v="0.92500000000000004"/>
    <n v="2933"/>
    <n v="0"/>
    <n v="5405"/>
    <x v="107"/>
    <n v="177"/>
    <s v="J (Apr 21)"/>
    <d v="2021-04-21T00:00:00"/>
    <n v="-1"/>
  </r>
  <r>
    <x v="409"/>
    <x v="24"/>
    <n v="27.7"/>
    <n v="29.22"/>
    <n v="27.69"/>
    <n v="28.7"/>
    <x v="178"/>
    <n v="1.2"/>
    <n v="5198"/>
    <n v="0"/>
    <n v="15083"/>
    <x v="61"/>
    <n v="114"/>
    <s v="G (Feb 21)"/>
    <d v="2021-02-17T00:00:00"/>
    <n v="-1"/>
  </r>
  <r>
    <x v="409"/>
    <x v="27"/>
    <n v="28.95"/>
    <n v="31.85"/>
    <n v="28.95"/>
    <n v="31.4"/>
    <x v="2348"/>
    <n v="2.5499999999999998"/>
    <n v="96264"/>
    <n v="0"/>
    <n v="144271"/>
    <x v="133"/>
    <n v="23"/>
    <s v="X (Nov 20)"/>
    <d v="2020-11-18T00:00:00"/>
    <n v="-1"/>
  </r>
  <r>
    <x v="409"/>
    <x v="25"/>
    <n v="28"/>
    <n v="29.67"/>
    <n v="27.95"/>
    <n v="29.17"/>
    <x v="2352"/>
    <n v="1.35"/>
    <n v="11620"/>
    <n v="0"/>
    <n v="21196"/>
    <x v="99"/>
    <n v="86"/>
    <s v="F (Jan 21)"/>
    <d v="2021-01-20T00:00:00"/>
    <n v="-1"/>
  </r>
  <r>
    <x v="409"/>
    <x v="21"/>
    <n v="27.3"/>
    <n v="28.25"/>
    <n v="27.12"/>
    <n v="27.85"/>
    <x v="2243"/>
    <n v="0.875"/>
    <n v="1610"/>
    <n v="0"/>
    <n v="2327"/>
    <x v="66"/>
    <n v="205"/>
    <s v="K (May 21)"/>
    <d v="2021-05-19T00:00:00"/>
    <n v="-1"/>
  </r>
  <r>
    <x v="409"/>
    <x v="20"/>
    <n v="27.2"/>
    <n v="28"/>
    <n v="26.4"/>
    <n v="27.36"/>
    <x v="347"/>
    <n v="0.77500000000000002"/>
    <n v="24"/>
    <n v="0"/>
    <n v="29"/>
    <x v="86"/>
    <n v="233"/>
    <s v="M (Jun 21)"/>
    <d v="2021-06-16T00:00:00"/>
    <n v="-1"/>
  </r>
  <r>
    <x v="410"/>
    <x v="27"/>
    <n v="28.8"/>
    <n v="29.32"/>
    <n v="28.44"/>
    <n v="28.8"/>
    <x v="2150"/>
    <n v="-0.05"/>
    <n v="48557"/>
    <n v="180"/>
    <n v="145006"/>
    <x v="136"/>
    <n v="26"/>
    <s v="X (Nov 20)"/>
    <d v="2020-11-18T00:00:00"/>
    <n v="-1"/>
  </r>
  <r>
    <x v="410"/>
    <x v="25"/>
    <n v="27.8"/>
    <n v="28.05"/>
    <n v="27.6"/>
    <n v="27.89"/>
    <x v="2349"/>
    <n v="0"/>
    <n v="6734"/>
    <n v="0"/>
    <n v="21767"/>
    <x v="114"/>
    <n v="89"/>
    <s v="F (Jan 21)"/>
    <d v="2021-01-20T00:00:00"/>
    <n v="-1"/>
  </r>
  <r>
    <x v="410"/>
    <x v="21"/>
    <n v="26.95"/>
    <n v="27.1"/>
    <n v="26.7"/>
    <n v="27.01"/>
    <x v="645"/>
    <n v="0.1"/>
    <n v="692"/>
    <n v="0"/>
    <n v="1560"/>
    <x v="72"/>
    <n v="208"/>
    <s v="K (May 21)"/>
    <d v="2021-05-19T00:00:00"/>
    <n v="-1"/>
  </r>
  <r>
    <x v="410"/>
    <x v="20"/>
    <n v="26.66"/>
    <n v="26.66"/>
    <n v="26.65"/>
    <n v="26.65"/>
    <x v="597"/>
    <n v="0.05"/>
    <n v="7"/>
    <n v="0"/>
    <n v="40"/>
    <x v="92"/>
    <n v="236"/>
    <s v="M (Jun 21)"/>
    <d v="2021-06-16T00:00:00"/>
    <n v="-1"/>
  </r>
  <r>
    <x v="410"/>
    <x v="23"/>
    <n v="27.3"/>
    <n v="27.45"/>
    <n v="27.02"/>
    <n v="27.4"/>
    <x v="2324"/>
    <n v="0.1"/>
    <n v="3101"/>
    <n v="0"/>
    <n v="9818"/>
    <x v="70"/>
    <n v="145"/>
    <s v="H (Mar 21)"/>
    <d v="2021-03-17T00:00:00"/>
    <n v="-1"/>
  </r>
  <r>
    <x v="410"/>
    <x v="26"/>
    <n v="28.3"/>
    <n v="28.8"/>
    <n v="28.1"/>
    <n v="28.59"/>
    <x v="88"/>
    <n v="0.1"/>
    <n v="33300"/>
    <n v="20"/>
    <n v="58407"/>
    <x v="91"/>
    <n v="54"/>
    <s v="Z (Dec 20)"/>
    <d v="2020-12-16T00:00:00"/>
    <n v="-1"/>
  </r>
  <r>
    <x v="410"/>
    <x v="22"/>
    <n v="27.17"/>
    <n v="27.35"/>
    <n v="26.95"/>
    <n v="27.35"/>
    <x v="252"/>
    <n v="0.125"/>
    <n v="2034"/>
    <n v="0"/>
    <n v="4609"/>
    <x v="113"/>
    <n v="180"/>
    <s v="J (Apr 21)"/>
    <d v="2021-04-21T00:00:00"/>
    <n v="-1"/>
  </r>
  <r>
    <x v="410"/>
    <x v="24"/>
    <n v="27.55"/>
    <n v="27.77"/>
    <n v="27.33"/>
    <n v="27.6"/>
    <x v="2099"/>
    <n v="0"/>
    <n v="4086"/>
    <n v="0"/>
    <n v="14328"/>
    <x v="64"/>
    <n v="117"/>
    <s v="G (Feb 21)"/>
    <d v="2021-02-17T00:00:00"/>
    <n v="-1"/>
  </r>
  <r>
    <x v="411"/>
    <x v="23"/>
    <n v="27.6"/>
    <n v="27.85"/>
    <n v="27.15"/>
    <n v="27.32"/>
    <x v="230"/>
    <n v="-0.2"/>
    <n v="1796"/>
    <n v="0"/>
    <n v="9737"/>
    <x v="76"/>
    <n v="146"/>
    <s v="H (Mar 21)"/>
    <d v="2021-03-17T00:00:00"/>
    <n v="-1"/>
  </r>
  <r>
    <x v="411"/>
    <x v="26"/>
    <n v="28.8"/>
    <n v="29.2"/>
    <n v="28.1"/>
    <n v="28.43"/>
    <x v="520"/>
    <n v="-0.3"/>
    <n v="33590"/>
    <n v="0"/>
    <n v="53771"/>
    <x v="103"/>
    <n v="55"/>
    <s v="Z (Dec 20)"/>
    <d v="2020-12-16T00:00:00"/>
    <n v="-1"/>
  </r>
  <r>
    <x v="411"/>
    <x v="22"/>
    <n v="27.6"/>
    <n v="27.65"/>
    <n v="27.02"/>
    <n v="27.25"/>
    <x v="717"/>
    <n v="-0.2"/>
    <n v="1213"/>
    <n v="0"/>
    <n v="4014"/>
    <x v="125"/>
    <n v="181"/>
    <s v="J (Apr 21)"/>
    <d v="2021-04-21T00:00:00"/>
    <n v="-1"/>
  </r>
  <r>
    <x v="411"/>
    <x v="24"/>
    <n v="27.85"/>
    <n v="28.15"/>
    <n v="27.42"/>
    <n v="27.6"/>
    <x v="2099"/>
    <n v="-0.25"/>
    <n v="2951"/>
    <n v="0"/>
    <n v="14248"/>
    <x v="79"/>
    <n v="118"/>
    <s v="G (Feb 21)"/>
    <d v="2021-02-17T00:00:00"/>
    <n v="-1"/>
  </r>
  <r>
    <x v="411"/>
    <x v="27"/>
    <n v="29.3"/>
    <n v="29.85"/>
    <n v="28.35"/>
    <n v="28.85"/>
    <x v="178"/>
    <n v="-0.4"/>
    <n v="53453"/>
    <n v="0"/>
    <n v="151396"/>
    <x v="150"/>
    <n v="27"/>
    <s v="X (Nov 20)"/>
    <d v="2020-11-18T00:00:00"/>
    <n v="-1"/>
  </r>
  <r>
    <x v="411"/>
    <x v="25"/>
    <n v="28.2"/>
    <n v="28.5"/>
    <n v="27.64"/>
    <n v="27.87"/>
    <x v="2349"/>
    <n v="-0.3"/>
    <n v="6496"/>
    <n v="0"/>
    <n v="21483"/>
    <x v="117"/>
    <n v="90"/>
    <s v="F (Jan 21)"/>
    <d v="2021-01-20T00:00:00"/>
    <n v="-1"/>
  </r>
  <r>
    <x v="411"/>
    <x v="21"/>
    <n v="27.35"/>
    <n v="27.35"/>
    <n v="26.77"/>
    <n v="26.9"/>
    <x v="336"/>
    <n v="-0.15"/>
    <n v="629"/>
    <n v="0"/>
    <n v="1328"/>
    <x v="84"/>
    <n v="209"/>
    <s v="K (May 21)"/>
    <d v="2021-05-19T00:00:00"/>
    <n v="-1"/>
  </r>
  <r>
    <x v="411"/>
    <x v="20"/>
    <n v="27.25"/>
    <n v="27.25"/>
    <n v="26.84"/>
    <n v="26.92"/>
    <x v="366"/>
    <n v="-0.3"/>
    <n v="34"/>
    <n v="0"/>
    <n v="40"/>
    <x v="104"/>
    <n v="237"/>
    <s v="M (Jun 21)"/>
    <d v="2021-06-16T00:00:00"/>
    <n v="-1"/>
  </r>
  <r>
    <x v="412"/>
    <x v="27"/>
    <n v="29.9"/>
    <n v="30.45"/>
    <n v="29.07"/>
    <n v="29.2"/>
    <x v="104"/>
    <n v="-0.75"/>
    <n v="61205"/>
    <n v="309"/>
    <n v="160860"/>
    <x v="153"/>
    <n v="28"/>
    <s v="X (Nov 20)"/>
    <d v="2020-11-18T00:00:00"/>
    <n v="-1"/>
  </r>
  <r>
    <x v="412"/>
    <x v="28"/>
    <n v="29.2"/>
    <n v="30.3"/>
    <n v="28.6"/>
    <n v="30"/>
    <x v="2353"/>
    <n v="-0.20499999999999999"/>
    <n v="884"/>
    <n v="0"/>
    <n v="21144"/>
    <x v="145"/>
    <n v="0"/>
    <s v="V (Oct 20)"/>
    <d v="2020-10-21T00:00:00"/>
    <n v="-1"/>
  </r>
  <r>
    <x v="412"/>
    <x v="25"/>
    <n v="28.53"/>
    <n v="28.95"/>
    <n v="27.95"/>
    <n v="28.15"/>
    <x v="33"/>
    <n v="-0.47499999999999998"/>
    <n v="7698"/>
    <n v="0"/>
    <n v="21138"/>
    <x v="131"/>
    <n v="91"/>
    <s v="F (Jan 21)"/>
    <d v="2021-01-20T00:00:00"/>
    <n v="-1"/>
  </r>
  <r>
    <x v="412"/>
    <x v="21"/>
    <n v="27.25"/>
    <n v="27.6"/>
    <n v="26.85"/>
    <n v="27.1"/>
    <x v="727"/>
    <n v="-0.4"/>
    <n v="835"/>
    <n v="0"/>
    <n v="1166"/>
    <x v="90"/>
    <n v="210"/>
    <s v="K (May 21)"/>
    <d v="2021-05-19T00:00:00"/>
    <n v="-1"/>
  </r>
  <r>
    <x v="412"/>
    <x v="23"/>
    <n v="27.82"/>
    <n v="28.1"/>
    <n v="27.32"/>
    <n v="27.5"/>
    <x v="2354"/>
    <n v="-0.4"/>
    <n v="2814"/>
    <n v="0"/>
    <n v="10152"/>
    <x v="88"/>
    <n v="147"/>
    <s v="H (Mar 21)"/>
    <d v="2021-03-17T00:00:00"/>
    <n v="-1"/>
  </r>
  <r>
    <x v="412"/>
    <x v="26"/>
    <n v="29.2"/>
    <n v="29.65"/>
    <n v="28.5"/>
    <n v="28.7"/>
    <x v="178"/>
    <n v="-0.52500000000000002"/>
    <n v="41376"/>
    <n v="0"/>
    <n v="47511"/>
    <x v="109"/>
    <n v="56"/>
    <s v="Z (Dec 20)"/>
    <d v="2020-12-16T00:00:00"/>
    <n v="-1"/>
  </r>
  <r>
    <x v="412"/>
    <x v="22"/>
    <n v="27.47"/>
    <n v="27.8"/>
    <n v="27.13"/>
    <n v="27.4"/>
    <x v="2324"/>
    <n v="-0.25"/>
    <n v="2069"/>
    <n v="0"/>
    <n v="3730"/>
    <x v="130"/>
    <n v="182"/>
    <s v="J (Apr 21)"/>
    <d v="2021-04-21T00:00:00"/>
    <n v="-1"/>
  </r>
  <r>
    <x v="412"/>
    <x v="24"/>
    <n v="28.25"/>
    <n v="28.55"/>
    <n v="27.65"/>
    <n v="27.85"/>
    <x v="2327"/>
    <n v="-0.5"/>
    <n v="3279"/>
    <n v="0"/>
    <n v="14480"/>
    <x v="82"/>
    <n v="119"/>
    <s v="G (Feb 21)"/>
    <d v="2021-02-17T00:00:00"/>
    <n v="-1"/>
  </r>
  <r>
    <x v="413"/>
    <x v="23"/>
    <n v="27.87"/>
    <n v="28"/>
    <n v="27.4"/>
    <n v="27.95"/>
    <x v="2349"/>
    <n v="-0.05"/>
    <n v="2760"/>
    <n v="0"/>
    <n v="10142"/>
    <x v="94"/>
    <n v="148"/>
    <s v="H (Mar 21)"/>
    <d v="2021-03-17T00:00:00"/>
    <n v="-1"/>
  </r>
  <r>
    <x v="413"/>
    <x v="26"/>
    <n v="29.1"/>
    <n v="29.38"/>
    <n v="28.75"/>
    <n v="29.3"/>
    <x v="2292"/>
    <n v="0.17499999999999999"/>
    <n v="16905"/>
    <n v="0"/>
    <n v="40734"/>
    <x v="121"/>
    <n v="57"/>
    <s v="Z (Dec 20)"/>
    <d v="2020-12-16T00:00:00"/>
    <n v="-1"/>
  </r>
  <r>
    <x v="413"/>
    <x v="22"/>
    <n v="27.75"/>
    <n v="27.82"/>
    <n v="27.28"/>
    <n v="27.7"/>
    <x v="2109"/>
    <n v="-0.15"/>
    <n v="1320"/>
    <n v="0"/>
    <n v="3442"/>
    <x v="141"/>
    <n v="183"/>
    <s v="J (Apr 21)"/>
    <d v="2021-04-21T00:00:00"/>
    <n v="-1"/>
  </r>
  <r>
    <x v="413"/>
    <x v="24"/>
    <n v="28.25"/>
    <n v="28.43"/>
    <n v="27.77"/>
    <n v="28.36"/>
    <x v="21"/>
    <n v="-2.5000000000000001E-2"/>
    <n v="4420"/>
    <n v="0"/>
    <n v="14724"/>
    <x v="97"/>
    <n v="120"/>
    <s v="G (Feb 21)"/>
    <d v="2021-02-17T00:00:00"/>
    <n v="-1"/>
  </r>
  <r>
    <x v="413"/>
    <x v="27"/>
    <n v="29.9"/>
    <n v="30.2"/>
    <n v="29.45"/>
    <n v="30"/>
    <x v="2355"/>
    <n v="-0.25"/>
    <n v="61446"/>
    <n v="371"/>
    <n v="166841"/>
    <x v="166"/>
    <n v="29"/>
    <s v="X (Nov 20)"/>
    <d v="2020-11-18T00:00:00"/>
    <n v="-1"/>
  </r>
  <r>
    <x v="413"/>
    <x v="28"/>
    <n v="28.85"/>
    <n v="29.8"/>
    <n v="28.15"/>
    <n v="29.6"/>
    <x v="2352"/>
    <n v="0.1"/>
    <n v="51168"/>
    <n v="15"/>
    <n v="22690"/>
    <x v="156"/>
    <n v="1"/>
    <s v="V (Oct 20)"/>
    <d v="2020-10-21T00:00:00"/>
    <n v="-1"/>
  </r>
  <r>
    <x v="413"/>
    <x v="25"/>
    <n v="28.48"/>
    <n v="28.77"/>
    <n v="28.1"/>
    <n v="28.7"/>
    <x v="71"/>
    <n v="0.125"/>
    <n v="7149"/>
    <n v="0"/>
    <n v="20288"/>
    <x v="134"/>
    <n v="92"/>
    <s v="F (Jan 21)"/>
    <d v="2021-01-20T00:00:00"/>
    <n v="-1"/>
  </r>
  <r>
    <x v="413"/>
    <x v="21"/>
    <n v="27.52"/>
    <n v="27.57"/>
    <n v="27.15"/>
    <n v="27.5"/>
    <x v="2354"/>
    <n v="0"/>
    <n v="244"/>
    <n v="0"/>
    <n v="850"/>
    <x v="102"/>
    <n v="211"/>
    <s v="K (May 21)"/>
    <d v="2021-05-19T00:00:00"/>
    <n v="-1"/>
  </r>
  <r>
    <x v="414"/>
    <x v="27"/>
    <n v="29"/>
    <n v="30.3"/>
    <n v="28.4"/>
    <n v="29.9"/>
    <x v="2356"/>
    <n v="1.2"/>
    <n v="61668"/>
    <n v="0"/>
    <n v="158782"/>
    <x v="169"/>
    <n v="30"/>
    <s v="X (Nov 20)"/>
    <d v="2020-11-18T00:00:00"/>
    <n v="-1"/>
  </r>
  <r>
    <x v="414"/>
    <x v="28"/>
    <n v="27.75"/>
    <n v="29.35"/>
    <n v="27.13"/>
    <n v="28.85"/>
    <x v="2325"/>
    <n v="1.3"/>
    <n v="47245"/>
    <n v="0"/>
    <n v="37794"/>
    <x v="161"/>
    <n v="2"/>
    <s v="V (Oct 20)"/>
    <d v="2020-10-21T00:00:00"/>
    <n v="-1"/>
  </r>
  <r>
    <x v="414"/>
    <x v="25"/>
    <n v="27.9"/>
    <n v="28.72"/>
    <n v="27.5"/>
    <n v="28.47"/>
    <x v="164"/>
    <n v="0.6"/>
    <n v="5469"/>
    <n v="0"/>
    <n v="19430"/>
    <x v="148"/>
    <n v="93"/>
    <s v="F (Jan 21)"/>
    <d v="2021-01-20T00:00:00"/>
    <n v="-1"/>
  </r>
  <r>
    <x v="414"/>
    <x v="21"/>
    <n v="26.9"/>
    <n v="27.7"/>
    <n v="26.8"/>
    <n v="27.52"/>
    <x v="2354"/>
    <n v="0.47499999999999998"/>
    <n v="103"/>
    <n v="0"/>
    <n v="765"/>
    <x v="108"/>
    <n v="212"/>
    <s v="K (May 21)"/>
    <d v="2021-05-19T00:00:00"/>
    <n v="-1"/>
  </r>
  <r>
    <x v="414"/>
    <x v="20"/>
    <n v="27.22"/>
    <n v="27.22"/>
    <n v="27.14"/>
    <n v="27.14"/>
    <x v="635"/>
    <n v="0.05"/>
    <n v="4"/>
    <n v="0"/>
    <n v="9"/>
    <x v="128"/>
    <n v="240"/>
    <s v="M (Jun 21)"/>
    <d v="2021-06-16T00:00:00"/>
    <n v="-1"/>
  </r>
  <r>
    <x v="414"/>
    <x v="23"/>
    <n v="27.55"/>
    <n v="28.22"/>
    <n v="27.31"/>
    <n v="27.87"/>
    <x v="2240"/>
    <n v="0.35"/>
    <n v="4306"/>
    <n v="0"/>
    <n v="10562"/>
    <x v="106"/>
    <n v="149"/>
    <s v="H (Mar 21)"/>
    <d v="2021-03-17T00:00:00"/>
    <n v="-1"/>
  </r>
  <r>
    <x v="414"/>
    <x v="26"/>
    <n v="28.23"/>
    <n v="29.35"/>
    <n v="27.7"/>
    <n v="29.01"/>
    <x v="2325"/>
    <n v="0.85"/>
    <n v="14072"/>
    <n v="0"/>
    <n v="39122"/>
    <x v="127"/>
    <n v="58"/>
    <s v="Z (Dec 20)"/>
    <d v="2020-12-16T00:00:00"/>
    <n v="-1"/>
  </r>
  <r>
    <x v="414"/>
    <x v="22"/>
    <n v="27.21"/>
    <n v="28.07"/>
    <n v="27.16"/>
    <n v="27.76"/>
    <x v="232"/>
    <n v="0.4"/>
    <n v="1139"/>
    <n v="0"/>
    <n v="3565"/>
    <x v="147"/>
    <n v="184"/>
    <s v="J (Apr 21)"/>
    <d v="2021-04-21T00:00:00"/>
    <n v="-1"/>
  </r>
  <r>
    <x v="414"/>
    <x v="24"/>
    <n v="27.8"/>
    <n v="28.57"/>
    <n v="27.5"/>
    <n v="28.3"/>
    <x v="2141"/>
    <n v="0.47499999999999998"/>
    <n v="3303"/>
    <n v="0"/>
    <n v="14648"/>
    <x v="100"/>
    <n v="121"/>
    <s v="G (Feb 21)"/>
    <d v="2021-02-17T00:00:00"/>
    <n v="-1"/>
  </r>
  <r>
    <x v="415"/>
    <x v="23"/>
    <n v="27.4"/>
    <n v="27.67"/>
    <n v="27"/>
    <n v="27.65"/>
    <x v="2099"/>
    <n v="0.3"/>
    <n v="2123"/>
    <n v="0"/>
    <n v="9946"/>
    <x v="112"/>
    <n v="152"/>
    <s v="H (Mar 21)"/>
    <d v="2021-03-17T00:00:00"/>
    <n v="-1"/>
  </r>
  <r>
    <x v="415"/>
    <x v="26"/>
    <n v="28.01"/>
    <n v="28.35"/>
    <n v="27.3"/>
    <n v="28.35"/>
    <x v="2328"/>
    <n v="0.375"/>
    <n v="11089"/>
    <n v="0"/>
    <n v="38312"/>
    <x v="138"/>
    <n v="61"/>
    <s v="Z (Dec 20)"/>
    <d v="2020-12-16T00:00:00"/>
    <n v="-1"/>
  </r>
  <r>
    <x v="415"/>
    <x v="22"/>
    <n v="27.15"/>
    <n v="27.45"/>
    <n v="26.87"/>
    <n v="27.4"/>
    <x v="2324"/>
    <n v="0.3"/>
    <n v="841"/>
    <n v="0"/>
    <n v="3313"/>
    <x v="158"/>
    <n v="187"/>
    <s v="J (Apr 21)"/>
    <d v="2021-04-21T00:00:00"/>
    <n v="-1"/>
  </r>
  <r>
    <x v="415"/>
    <x v="24"/>
    <n v="27.63"/>
    <n v="27.95"/>
    <n v="27.14"/>
    <n v="27.94"/>
    <x v="2349"/>
    <n v="0.35"/>
    <n v="2508"/>
    <n v="0"/>
    <n v="14663"/>
    <x v="115"/>
    <n v="124"/>
    <s v="G (Feb 21)"/>
    <d v="2021-02-17T00:00:00"/>
    <n v="-1"/>
  </r>
  <r>
    <x v="415"/>
    <x v="27"/>
    <n v="28.8"/>
    <n v="29.05"/>
    <n v="28.1"/>
    <n v="29.02"/>
    <x v="2176"/>
    <n v="0.15"/>
    <n v="36441"/>
    <n v="0"/>
    <n v="153145"/>
    <x v="176"/>
    <n v="33"/>
    <s v="X (Nov 20)"/>
    <d v="2020-11-18T00:00:00"/>
    <n v="-1"/>
  </r>
  <r>
    <x v="415"/>
    <x v="28"/>
    <n v="27.59"/>
    <n v="28"/>
    <n v="27.07"/>
    <n v="27.9"/>
    <x v="2327"/>
    <n v="0.3"/>
    <n v="43163"/>
    <n v="0"/>
    <n v="45907"/>
    <x v="8"/>
    <n v="5"/>
    <s v="V (Oct 20)"/>
    <d v="2020-10-21T00:00:00"/>
    <n v="-1"/>
  </r>
  <r>
    <x v="415"/>
    <x v="25"/>
    <n v="27.7"/>
    <n v="28"/>
    <n v="26.95"/>
    <n v="27.97"/>
    <x v="2240"/>
    <n v="0.27500000000000002"/>
    <n v="5885"/>
    <n v="0"/>
    <n v="18787"/>
    <x v="151"/>
    <n v="96"/>
    <s v="F (Jan 21)"/>
    <d v="2021-01-20T00:00:00"/>
    <n v="-1"/>
  </r>
  <r>
    <x v="415"/>
    <x v="21"/>
    <n v="26.75"/>
    <n v="27.07"/>
    <n v="26.58"/>
    <n v="27.05"/>
    <x v="250"/>
    <n v="0.27500000000000002"/>
    <n v="49"/>
    <n v="0"/>
    <n v="739"/>
    <x v="120"/>
    <n v="215"/>
    <s v="K (May 21)"/>
    <d v="2021-05-19T00:00:00"/>
    <n v="-1"/>
  </r>
  <r>
    <x v="416"/>
    <x v="27"/>
    <n v="28.3"/>
    <n v="29.75"/>
    <n v="28.2"/>
    <n v="28.85"/>
    <x v="2357"/>
    <n v="0.67500000000000004"/>
    <n v="50715"/>
    <n v="294"/>
    <n v="145441"/>
    <x v="178"/>
    <n v="34"/>
    <s v="X (Nov 20)"/>
    <d v="2020-11-18T00:00:00"/>
    <n v="-1"/>
  </r>
  <r>
    <x v="416"/>
    <x v="28"/>
    <n v="27.2"/>
    <n v="29.53"/>
    <n v="27.09"/>
    <n v="27.6"/>
    <x v="516"/>
    <n v="0.5"/>
    <n v="57347"/>
    <n v="56"/>
    <n v="51381"/>
    <x v="11"/>
    <n v="6"/>
    <s v="V (Oct 20)"/>
    <d v="2020-10-21T00:00:00"/>
    <n v="-1"/>
  </r>
  <r>
    <x v="416"/>
    <x v="25"/>
    <n v="27.4"/>
    <n v="28.4"/>
    <n v="27.4"/>
    <n v="27.8"/>
    <x v="19"/>
    <n v="0.3"/>
    <n v="5850"/>
    <n v="0"/>
    <n v="17668"/>
    <x v="164"/>
    <n v="97"/>
    <s v="F (Jan 21)"/>
    <d v="2021-01-20T00:00:00"/>
    <n v="-1"/>
  </r>
  <r>
    <x v="416"/>
    <x v="21"/>
    <n v="27"/>
    <n v="27.1"/>
    <n v="26.66"/>
    <n v="26.66"/>
    <x v="976"/>
    <n v="0.1"/>
    <n v="55"/>
    <n v="0"/>
    <n v="726"/>
    <x v="126"/>
    <n v="216"/>
    <s v="K (May 21)"/>
    <d v="2021-05-19T00:00:00"/>
    <n v="-1"/>
  </r>
  <r>
    <x v="416"/>
    <x v="23"/>
    <n v="27.23"/>
    <n v="27.95"/>
    <n v="27.15"/>
    <n v="27.35"/>
    <x v="230"/>
    <n v="0.1"/>
    <n v="1951"/>
    <n v="0"/>
    <n v="10045"/>
    <x v="124"/>
    <n v="153"/>
    <s v="H (Mar 21)"/>
    <d v="2021-03-17T00:00:00"/>
    <n v="-1"/>
  </r>
  <r>
    <x v="416"/>
    <x v="26"/>
    <n v="27.52"/>
    <n v="28.82"/>
    <n v="27.52"/>
    <n v="28"/>
    <x v="2243"/>
    <n v="0.45"/>
    <n v="12786"/>
    <n v="0"/>
    <n v="37335"/>
    <x v="143"/>
    <n v="62"/>
    <s v="Z (Dec 20)"/>
    <d v="2020-12-16T00:00:00"/>
    <n v="-1"/>
  </r>
  <r>
    <x v="416"/>
    <x v="22"/>
    <n v="27.3"/>
    <n v="27.6"/>
    <n v="27"/>
    <n v="27.15"/>
    <x v="727"/>
    <n v="0.125"/>
    <n v="856"/>
    <n v="0"/>
    <n v="3175"/>
    <x v="163"/>
    <n v="188"/>
    <s v="J (Apr 21)"/>
    <d v="2021-04-21T00:00:00"/>
    <n v="-1"/>
  </r>
  <r>
    <x v="416"/>
    <x v="24"/>
    <n v="27.5"/>
    <n v="28.3"/>
    <n v="27.45"/>
    <n v="27.64"/>
    <x v="516"/>
    <n v="0.1"/>
    <n v="2801"/>
    <n v="0"/>
    <n v="14534"/>
    <x v="118"/>
    <n v="125"/>
    <s v="G (Feb 21)"/>
    <d v="2021-02-17T00:00:00"/>
    <n v="-1"/>
  </r>
  <r>
    <x v="417"/>
    <x v="23"/>
    <n v="27.3"/>
    <n v="27.45"/>
    <n v="26.96"/>
    <n v="27.24"/>
    <x v="717"/>
    <n v="-0.15"/>
    <n v="2090"/>
    <n v="0"/>
    <n v="10172"/>
    <x v="129"/>
    <n v="154"/>
    <s v="H (Mar 21)"/>
    <d v="2021-03-17T00:00:00"/>
    <n v="-1"/>
  </r>
  <r>
    <x v="417"/>
    <x v="26"/>
    <n v="27.7"/>
    <n v="28.1"/>
    <n v="27.27"/>
    <n v="27.55"/>
    <x v="546"/>
    <n v="-0.22500000000000001"/>
    <n v="17978"/>
    <n v="0"/>
    <n v="35576"/>
    <x v="154"/>
    <n v="63"/>
    <s v="Z (Dec 20)"/>
    <d v="2020-12-16T00:00:00"/>
    <n v="-1"/>
  </r>
  <r>
    <x v="417"/>
    <x v="22"/>
    <n v="27.05"/>
    <n v="27.15"/>
    <n v="26.67"/>
    <n v="27"/>
    <x v="280"/>
    <n v="-7.4999999999999997E-2"/>
    <n v="1099"/>
    <n v="0"/>
    <n v="3095"/>
    <x v="173"/>
    <n v="189"/>
    <s v="J (Apr 21)"/>
    <d v="2021-04-21T00:00:00"/>
    <n v="-1"/>
  </r>
  <r>
    <x v="417"/>
    <x v="24"/>
    <n v="27.58"/>
    <n v="27.7"/>
    <n v="27.17"/>
    <n v="27.48"/>
    <x v="2244"/>
    <n v="-0.1"/>
    <n v="3062"/>
    <n v="0"/>
    <n v="14658"/>
    <x v="132"/>
    <n v="126"/>
    <s v="G (Feb 21)"/>
    <d v="2021-02-17T00:00:00"/>
    <n v="-1"/>
  </r>
  <r>
    <x v="417"/>
    <x v="28"/>
    <n v="26.9"/>
    <n v="27.68"/>
    <n v="26.3"/>
    <n v="27.15"/>
    <x v="645"/>
    <n v="0.3"/>
    <n v="61846"/>
    <n v="154"/>
    <n v="58993"/>
    <x v="26"/>
    <n v="7"/>
    <s v="V (Oct 20)"/>
    <d v="2020-10-21T00:00:00"/>
    <n v="-1"/>
  </r>
  <r>
    <x v="417"/>
    <x v="25"/>
    <n v="27.55"/>
    <n v="27.75"/>
    <n v="27.1"/>
    <n v="27.4"/>
    <x v="347"/>
    <n v="-0.125"/>
    <n v="5346"/>
    <n v="0"/>
    <n v="17772"/>
    <x v="167"/>
    <n v="98"/>
    <s v="F (Jan 21)"/>
    <d v="2021-01-20T00:00:00"/>
    <n v="-1"/>
  </r>
  <r>
    <x v="417"/>
    <x v="21"/>
    <n v="26.7"/>
    <n v="26.75"/>
    <n v="26.39"/>
    <n v="26.67"/>
    <x v="562"/>
    <n v="-2.5000000000000001E-2"/>
    <n v="134"/>
    <n v="0"/>
    <n v="726"/>
    <x v="137"/>
    <n v="217"/>
    <s v="K (May 21)"/>
    <d v="2021-05-19T00:00:00"/>
    <n v="-1"/>
  </r>
  <r>
    <x v="417"/>
    <x v="27"/>
    <n v="28.55"/>
    <n v="28.9"/>
    <n v="27.95"/>
    <n v="28.25"/>
    <x v="49"/>
    <n v="-0.375"/>
    <n v="52130"/>
    <n v="622"/>
    <n v="139218"/>
    <x v="182"/>
    <n v="35"/>
    <s v="X (Nov 20)"/>
    <d v="2020-11-18T00:00:00"/>
    <n v="-1"/>
  </r>
  <r>
    <x v="418"/>
    <x v="28"/>
    <n v="26.15"/>
    <n v="27.71"/>
    <n v="26.15"/>
    <n v="26.88"/>
    <x v="976"/>
    <n v="0.45"/>
    <n v="49484"/>
    <n v="0"/>
    <n v="66993"/>
    <x v="29"/>
    <n v="8"/>
    <s v="V (Oct 20)"/>
    <d v="2020-10-21T00:00:00"/>
    <n v="-1"/>
  </r>
  <r>
    <x v="418"/>
    <x v="25"/>
    <n v="27.58"/>
    <n v="28.17"/>
    <n v="27.45"/>
    <n v="27.6"/>
    <x v="2354"/>
    <n v="-0.1"/>
    <n v="6039"/>
    <n v="0"/>
    <n v="18238"/>
    <x v="175"/>
    <n v="99"/>
    <s v="F (Jan 21)"/>
    <d v="2021-01-20T00:00:00"/>
    <n v="-1"/>
  </r>
  <r>
    <x v="418"/>
    <x v="21"/>
    <n v="26.66"/>
    <n v="27.15"/>
    <n v="26.65"/>
    <n v="26.67"/>
    <x v="304"/>
    <n v="0.05"/>
    <n v="105"/>
    <n v="0"/>
    <n v="650"/>
    <x v="142"/>
    <n v="218"/>
    <s v="K (May 21)"/>
    <d v="2021-05-19T00:00:00"/>
    <n v="-1"/>
  </r>
  <r>
    <x v="418"/>
    <x v="27"/>
    <n v="28.55"/>
    <n v="29.28"/>
    <n v="28.45"/>
    <n v="28.58"/>
    <x v="164"/>
    <n v="0"/>
    <n v="41690"/>
    <n v="0"/>
    <n v="131637"/>
    <x v="184"/>
    <n v="36"/>
    <s v="X (Nov 20)"/>
    <d v="2020-11-18T00:00:00"/>
    <n v="-1"/>
  </r>
  <r>
    <x v="418"/>
    <x v="23"/>
    <n v="27.4"/>
    <n v="27.81"/>
    <n v="27.27"/>
    <n v="27.4"/>
    <x v="488"/>
    <n v="0.05"/>
    <n v="1555"/>
    <n v="0"/>
    <n v="10253"/>
    <x v="140"/>
    <n v="155"/>
    <s v="H (Mar 21)"/>
    <d v="2021-03-17T00:00:00"/>
    <n v="-1"/>
  </r>
  <r>
    <x v="418"/>
    <x v="26"/>
    <n v="27.7"/>
    <n v="28.35"/>
    <n v="27.65"/>
    <n v="27.8"/>
    <x v="2358"/>
    <n v="0.05"/>
    <n v="12881"/>
    <n v="0"/>
    <n v="35042"/>
    <x v="159"/>
    <n v="64"/>
    <s v="Z (Dec 20)"/>
    <d v="2020-12-16T00:00:00"/>
    <n v="-1"/>
  </r>
  <r>
    <x v="418"/>
    <x v="22"/>
    <n v="27.05"/>
    <n v="27.57"/>
    <n v="27"/>
    <n v="27.15"/>
    <x v="645"/>
    <n v="7.4999999999999997E-2"/>
    <n v="832"/>
    <n v="0"/>
    <n v="2950"/>
    <x v="174"/>
    <n v="190"/>
    <s v="J (Apr 21)"/>
    <d v="2021-04-21T00:00:00"/>
    <n v="-1"/>
  </r>
  <r>
    <x v="418"/>
    <x v="24"/>
    <n v="27.58"/>
    <n v="28.07"/>
    <n v="27.43"/>
    <n v="27.6"/>
    <x v="516"/>
    <n v="0"/>
    <n v="2769"/>
    <n v="0"/>
    <n v="14610"/>
    <x v="135"/>
    <n v="127"/>
    <s v="G (Feb 21)"/>
    <d v="2021-02-17T00:00:00"/>
    <n v="-1"/>
  </r>
  <r>
    <x v="419"/>
    <x v="23"/>
    <n v="27.61"/>
    <n v="27.7"/>
    <n v="27.2"/>
    <n v="27.3"/>
    <x v="230"/>
    <n v="-0.3"/>
    <n v="1118"/>
    <n v="0"/>
    <n v="10101"/>
    <x v="146"/>
    <n v="156"/>
    <s v="H (Mar 21)"/>
    <d v="2021-03-17T00:00:00"/>
    <n v="-1"/>
  </r>
  <r>
    <x v="419"/>
    <x v="26"/>
    <n v="28.06"/>
    <n v="28.25"/>
    <n v="27.6"/>
    <n v="27.65"/>
    <x v="2109"/>
    <n v="-0.35"/>
    <n v="10051"/>
    <n v="0"/>
    <n v="34973"/>
    <x v="170"/>
    <n v="65"/>
    <s v="Z (Dec 20)"/>
    <d v="2020-12-16T00:00:00"/>
    <n v="-1"/>
  </r>
  <r>
    <x v="419"/>
    <x v="22"/>
    <n v="27.32"/>
    <n v="27.32"/>
    <n v="26.8"/>
    <n v="26.95"/>
    <x v="280"/>
    <n v="-0.27500000000000002"/>
    <n v="591"/>
    <n v="0"/>
    <n v="2803"/>
    <x v="179"/>
    <n v="191"/>
    <s v="J (Apr 21)"/>
    <d v="2021-04-21T00:00:00"/>
    <n v="-1"/>
  </r>
  <r>
    <x v="419"/>
    <x v="24"/>
    <n v="27.9"/>
    <n v="28.05"/>
    <n v="27.49"/>
    <n v="27.55"/>
    <x v="516"/>
    <n v="-0.35"/>
    <n v="2150"/>
    <n v="0"/>
    <n v="14221"/>
    <x v="149"/>
    <n v="128"/>
    <s v="G (Feb 21)"/>
    <d v="2021-02-17T00:00:00"/>
    <n v="-1"/>
  </r>
  <r>
    <x v="419"/>
    <x v="28"/>
    <n v="26.85"/>
    <n v="27.25"/>
    <n v="26.15"/>
    <n v="26.2"/>
    <x v="445"/>
    <n v="-0.55000000000000004"/>
    <n v="46414"/>
    <n v="1027"/>
    <n v="74727"/>
    <x v="44"/>
    <n v="9"/>
    <s v="V (Oct 20)"/>
    <d v="2020-10-21T00:00:00"/>
    <n v="-1"/>
  </r>
  <r>
    <x v="419"/>
    <x v="25"/>
    <n v="27.95"/>
    <n v="28.1"/>
    <n v="27.47"/>
    <n v="27.6"/>
    <x v="2099"/>
    <n v="-0.32500000000000001"/>
    <n v="3082"/>
    <n v="0"/>
    <n v="18878"/>
    <x v="177"/>
    <n v="100"/>
    <s v="F (Jan 21)"/>
    <d v="2021-01-20T00:00:00"/>
    <n v="-1"/>
  </r>
  <r>
    <x v="419"/>
    <x v="21"/>
    <n v="26.5"/>
    <n v="26.85"/>
    <n v="26.45"/>
    <n v="26.65"/>
    <x v="635"/>
    <n v="-0.17499999999999999"/>
    <n v="65"/>
    <n v="0"/>
    <n v="615"/>
    <x v="3"/>
    <n v="219"/>
    <s v="K (May 21)"/>
    <d v="2021-05-19T00:00:00"/>
    <n v="-1"/>
  </r>
  <r>
    <x v="419"/>
    <x v="27"/>
    <n v="29.05"/>
    <n v="29.35"/>
    <n v="28.38"/>
    <n v="28.45"/>
    <x v="164"/>
    <n v="-0.45"/>
    <n v="48624"/>
    <n v="2650"/>
    <n v="126095"/>
    <x v="2"/>
    <n v="37"/>
    <s v="X (Nov 20)"/>
    <d v="2020-11-18T00:00:00"/>
    <n v="-1"/>
  </r>
  <r>
    <x v="420"/>
    <x v="28"/>
    <n v="28.05"/>
    <n v="28.05"/>
    <n v="26.61"/>
    <n v="26.8"/>
    <x v="579"/>
    <n v="-1.25"/>
    <n v="52025"/>
    <n v="124"/>
    <n v="82631"/>
    <x v="47"/>
    <n v="12"/>
    <s v="V (Oct 20)"/>
    <d v="2020-10-21T00:00:00"/>
    <n v="-1"/>
  </r>
  <r>
    <x v="420"/>
    <x v="25"/>
    <n v="28.9"/>
    <n v="29"/>
    <n v="27.72"/>
    <n v="27.91"/>
    <x v="2243"/>
    <n v="-0.97499999999999998"/>
    <n v="7104"/>
    <n v="0"/>
    <n v="19140"/>
    <x v="181"/>
    <n v="103"/>
    <s v="F (Jan 21)"/>
    <d v="2021-01-20T00:00:00"/>
    <n v="-1"/>
  </r>
  <r>
    <x v="420"/>
    <x v="21"/>
    <n v="27.35"/>
    <n v="27.4"/>
    <n v="26.75"/>
    <n v="26.82"/>
    <x v="550"/>
    <n v="-0.65"/>
    <n v="243"/>
    <n v="0"/>
    <n v="600"/>
    <x v="15"/>
    <n v="222"/>
    <s v="K (May 21)"/>
    <d v="2021-05-19T00:00:00"/>
    <n v="-1"/>
  </r>
  <r>
    <x v="420"/>
    <x v="27"/>
    <n v="30.3"/>
    <n v="30.36"/>
    <n v="29"/>
    <n v="29.05"/>
    <x v="2176"/>
    <n v="-1.4"/>
    <n v="53616"/>
    <n v="266"/>
    <n v="116223"/>
    <x v="14"/>
    <n v="40"/>
    <s v="X (Nov 20)"/>
    <d v="2020-11-18T00:00:00"/>
    <n v="-1"/>
  </r>
  <r>
    <x v="420"/>
    <x v="23"/>
    <n v="28.3"/>
    <n v="28.37"/>
    <n v="27.4"/>
    <n v="27.58"/>
    <x v="2099"/>
    <n v="-0.7"/>
    <n v="3265"/>
    <n v="0"/>
    <n v="10024"/>
    <x v="157"/>
    <n v="159"/>
    <s v="H (Mar 21)"/>
    <d v="2021-03-17T00:00:00"/>
    <n v="-1"/>
  </r>
  <r>
    <x v="420"/>
    <x v="26"/>
    <n v="29.15"/>
    <n v="29.35"/>
    <n v="27.95"/>
    <n v="27.95"/>
    <x v="236"/>
    <n v="-1.25"/>
    <n v="12246"/>
    <n v="0"/>
    <n v="34306"/>
    <x v="6"/>
    <n v="68"/>
    <s v="Z (Dec 20)"/>
    <d v="2020-12-16T00:00:00"/>
    <n v="-1"/>
  </r>
  <r>
    <x v="420"/>
    <x v="22"/>
    <n v="27.85"/>
    <n v="27.89"/>
    <n v="27.1"/>
    <n v="27.25"/>
    <x v="2308"/>
    <n v="-0.6"/>
    <n v="1151"/>
    <n v="0"/>
    <n v="2784"/>
    <x v="180"/>
    <n v="194"/>
    <s v="J (Apr 21)"/>
    <d v="2021-04-21T00:00:00"/>
    <n v="-1"/>
  </r>
  <r>
    <x v="420"/>
    <x v="24"/>
    <n v="28.7"/>
    <n v="28.8"/>
    <n v="27.7"/>
    <n v="27.87"/>
    <x v="2349"/>
    <n v="-0.8"/>
    <n v="4357"/>
    <n v="0"/>
    <n v="14151"/>
    <x v="152"/>
    <n v="131"/>
    <s v="G (Feb 21)"/>
    <d v="2021-02-17T00:00:00"/>
    <n v="-1"/>
  </r>
  <r>
    <x v="421"/>
    <x v="23"/>
    <n v="28.84"/>
    <n v="28.84"/>
    <n v="28.3"/>
    <n v="28.35"/>
    <x v="2328"/>
    <n v="-0.5"/>
    <n v="2058"/>
    <n v="0"/>
    <n v="10198"/>
    <x v="162"/>
    <n v="160"/>
    <s v="H (Mar 21)"/>
    <d v="2021-03-17T00:00:00"/>
    <n v="-1"/>
  </r>
  <r>
    <x v="421"/>
    <x v="26"/>
    <n v="30.24"/>
    <n v="30.25"/>
    <n v="29.15"/>
    <n v="29.21"/>
    <x v="2352"/>
    <n v="-0.95"/>
    <n v="6756"/>
    <n v="0"/>
    <n v="33826"/>
    <x v="9"/>
    <n v="69"/>
    <s v="Z (Dec 20)"/>
    <d v="2020-12-16T00:00:00"/>
    <n v="-1"/>
  </r>
  <r>
    <x v="421"/>
    <x v="22"/>
    <n v="28.31"/>
    <n v="28.31"/>
    <n v="27.82"/>
    <n v="27.89"/>
    <x v="2327"/>
    <n v="-0.42499999999999999"/>
    <n v="722"/>
    <n v="0"/>
    <n v="2629"/>
    <x v="185"/>
    <n v="195"/>
    <s v="J (Apr 21)"/>
    <d v="2021-04-21T00:00:00"/>
    <n v="-1"/>
  </r>
  <r>
    <x v="421"/>
    <x v="24"/>
    <n v="29.25"/>
    <n v="29.27"/>
    <n v="28.65"/>
    <n v="28.77"/>
    <x v="2156"/>
    <n v="-0.5"/>
    <n v="2758"/>
    <n v="0"/>
    <n v="13232"/>
    <x v="165"/>
    <n v="132"/>
    <s v="G (Feb 21)"/>
    <d v="2021-02-17T00:00:00"/>
    <n v="-1"/>
  </r>
  <r>
    <x v="421"/>
    <x v="28"/>
    <n v="30"/>
    <n v="30.15"/>
    <n v="27.95"/>
    <n v="28"/>
    <x v="2163"/>
    <n v="-1.9"/>
    <n v="48819"/>
    <n v="623"/>
    <n v="88752"/>
    <x v="62"/>
    <n v="13"/>
    <s v="V (Oct 20)"/>
    <d v="2020-10-21T00:00:00"/>
    <n v="-1"/>
  </r>
  <r>
    <x v="421"/>
    <x v="25"/>
    <n v="29.75"/>
    <n v="29.75"/>
    <n v="28.89"/>
    <n v="28.99"/>
    <x v="100"/>
    <n v="-0.8"/>
    <n v="3356"/>
    <n v="0"/>
    <n v="18011"/>
    <x v="183"/>
    <n v="104"/>
    <s v="F (Jan 21)"/>
    <d v="2021-01-20T00:00:00"/>
    <n v="-1"/>
  </r>
  <r>
    <x v="421"/>
    <x v="21"/>
    <n v="27.65"/>
    <n v="27.81"/>
    <n v="27.45"/>
    <n v="27.5"/>
    <x v="2244"/>
    <n v="-0.375"/>
    <n v="79"/>
    <n v="0"/>
    <n v="502"/>
    <x v="21"/>
    <n v="223"/>
    <s v="K (May 21)"/>
    <d v="2021-05-19T00:00:00"/>
    <n v="-1"/>
  </r>
  <r>
    <x v="421"/>
    <x v="27"/>
    <n v="31.67"/>
    <n v="31.8"/>
    <n v="30.2"/>
    <n v="30.27"/>
    <x v="2359"/>
    <n v="-1.3"/>
    <n v="47078"/>
    <n v="1110"/>
    <n v="110451"/>
    <x v="20"/>
    <n v="41"/>
    <s v="X (Nov 20)"/>
    <d v="2020-11-18T00:00:00"/>
    <n v="-1"/>
  </r>
  <r>
    <x v="422"/>
    <x v="28"/>
    <n v="31.55"/>
    <n v="31.62"/>
    <n v="29.68"/>
    <n v="30"/>
    <x v="2360"/>
    <n v="-1.2"/>
    <n v="42387"/>
    <n v="0"/>
    <n v="88534"/>
    <x v="65"/>
    <n v="14"/>
    <s v="V (Oct 20)"/>
    <d v="2020-10-21T00:00:00"/>
    <n v="-1"/>
  </r>
  <r>
    <x v="422"/>
    <x v="25"/>
    <n v="30.19"/>
    <n v="30.19"/>
    <n v="29.42"/>
    <n v="29.75"/>
    <x v="2361"/>
    <n v="-0.25"/>
    <n v="3446"/>
    <n v="0"/>
    <n v="17914"/>
    <x v="7"/>
    <n v="105"/>
    <s v="F (Jan 21)"/>
    <d v="2021-01-20T00:00:00"/>
    <n v="-1"/>
  </r>
  <r>
    <x v="422"/>
    <x v="21"/>
    <n v="27.75"/>
    <n v="27.95"/>
    <n v="27.64"/>
    <n v="27.75"/>
    <x v="151"/>
    <n v="-0.15"/>
    <n v="21"/>
    <n v="0"/>
    <n v="477"/>
    <x v="32"/>
    <n v="224"/>
    <s v="K (May 21)"/>
    <d v="2021-05-19T00:00:00"/>
    <n v="-1"/>
  </r>
  <r>
    <x v="422"/>
    <x v="27"/>
    <n v="32.47"/>
    <n v="32.520000000000003"/>
    <n v="31.37"/>
    <n v="31.7"/>
    <x v="2362"/>
    <n v="-0.5"/>
    <n v="35069"/>
    <n v="0"/>
    <n v="102738"/>
    <x v="31"/>
    <n v="42"/>
    <s v="X (Nov 20)"/>
    <d v="2020-11-18T00:00:00"/>
    <n v="-1"/>
  </r>
  <r>
    <x v="422"/>
    <x v="23"/>
    <n v="29.1"/>
    <n v="29.2"/>
    <n v="28.47"/>
    <n v="28.85"/>
    <x v="178"/>
    <n v="-0.2"/>
    <n v="1256"/>
    <n v="0"/>
    <n v="10161"/>
    <x v="172"/>
    <n v="161"/>
    <s v="H (Mar 21)"/>
    <d v="2021-03-17T00:00:00"/>
    <n v="-1"/>
  </r>
  <r>
    <x v="422"/>
    <x v="26"/>
    <n v="30.95"/>
    <n v="31.1"/>
    <n v="29.98"/>
    <n v="30.3"/>
    <x v="2356"/>
    <n v="-0.6"/>
    <n v="8493"/>
    <n v="0"/>
    <n v="33767"/>
    <x v="24"/>
    <n v="70"/>
    <s v="Z (Dec 20)"/>
    <d v="2020-12-16T00:00:00"/>
    <n v="-1"/>
  </r>
  <r>
    <x v="422"/>
    <x v="22"/>
    <n v="28.47"/>
    <n v="28.47"/>
    <n v="27.95"/>
    <n v="28.35"/>
    <x v="82"/>
    <n v="-0.125"/>
    <n v="729"/>
    <n v="0"/>
    <n v="2486"/>
    <x v="1"/>
    <n v="196"/>
    <s v="J (Apr 21)"/>
    <d v="2021-04-21T00:00:00"/>
    <n v="-1"/>
  </r>
  <r>
    <x v="422"/>
    <x v="24"/>
    <n v="29.57"/>
    <n v="29.57"/>
    <n v="28.9"/>
    <n v="29.3"/>
    <x v="104"/>
    <n v="-0.22500000000000001"/>
    <n v="1928"/>
    <n v="0"/>
    <n v="12964"/>
    <x v="168"/>
    <n v="133"/>
    <s v="G (Feb 21)"/>
    <d v="2021-02-17T00:00:00"/>
    <n v="-1"/>
  </r>
  <r>
    <x v="422"/>
    <x v="20"/>
    <n v="28.6"/>
    <n v="28.6"/>
    <n v="28.2"/>
    <n v="28.6"/>
    <x v="328"/>
    <n v="0.35"/>
    <n v="1"/>
    <n v="0"/>
    <n v="7"/>
    <x v="22"/>
    <n v="252"/>
    <s v="M (Jun 21)"/>
    <d v="2021-06-16T00:00:00"/>
    <n v="-1"/>
  </r>
  <r>
    <x v="423"/>
    <x v="23"/>
    <n v="28.9"/>
    <n v="29.26"/>
    <n v="28.53"/>
    <n v="29.15"/>
    <x v="2176"/>
    <n v="0.1"/>
    <n v="1834"/>
    <n v="0"/>
    <n v="9961"/>
    <x v="0"/>
    <n v="162"/>
    <s v="H (Mar 21)"/>
    <d v="2021-03-17T00:00:00"/>
    <n v="-1"/>
  </r>
  <r>
    <x v="423"/>
    <x v="26"/>
    <n v="30.77"/>
    <n v="31.11"/>
    <n v="30"/>
    <n v="31.1"/>
    <x v="2332"/>
    <n v="0.05"/>
    <n v="10538"/>
    <n v="0"/>
    <n v="33111"/>
    <x v="27"/>
    <n v="71"/>
    <s v="Z (Dec 20)"/>
    <d v="2020-12-16T00:00:00"/>
    <n v="-1"/>
  </r>
  <r>
    <x v="423"/>
    <x v="22"/>
    <n v="28.35"/>
    <n v="28.75"/>
    <n v="28.05"/>
    <n v="28.55"/>
    <x v="113"/>
    <n v="0.05"/>
    <n v="827"/>
    <n v="0"/>
    <n v="2350"/>
    <x v="13"/>
    <n v="197"/>
    <s v="J (Apr 21)"/>
    <d v="2021-04-21T00:00:00"/>
    <n v="-1"/>
  </r>
  <r>
    <x v="423"/>
    <x v="24"/>
    <n v="29.3"/>
    <n v="29.72"/>
    <n v="28.9"/>
    <n v="29.62"/>
    <x v="171"/>
    <n v="7.4999999999999997E-2"/>
    <n v="3155"/>
    <n v="0"/>
    <n v="12977"/>
    <x v="5"/>
    <n v="134"/>
    <s v="G (Feb 21)"/>
    <d v="2021-02-17T00:00:00"/>
    <n v="-1"/>
  </r>
  <r>
    <x v="423"/>
    <x v="28"/>
    <n v="30.85"/>
    <n v="31.7"/>
    <n v="29.8"/>
    <n v="31.55"/>
    <x v="2363"/>
    <n v="0.4"/>
    <n v="58960"/>
    <n v="0"/>
    <n v="92816"/>
    <x v="80"/>
    <n v="15"/>
    <s v="V (Oct 20)"/>
    <d v="2020-10-21T00:00:00"/>
    <n v="-1"/>
  </r>
  <r>
    <x v="423"/>
    <x v="25"/>
    <n v="29.8"/>
    <n v="30.22"/>
    <n v="29.35"/>
    <n v="30.2"/>
    <x v="2355"/>
    <n v="0.125"/>
    <n v="4088"/>
    <n v="0"/>
    <n v="17790"/>
    <x v="10"/>
    <n v="106"/>
    <s v="F (Jan 21)"/>
    <d v="2021-01-20T00:00:00"/>
    <n v="-1"/>
  </r>
  <r>
    <x v="423"/>
    <x v="21"/>
    <n v="27.77"/>
    <n v="28.2"/>
    <n v="27.7"/>
    <n v="27.95"/>
    <x v="56"/>
    <n v="0.05"/>
    <n v="7"/>
    <n v="0"/>
    <n v="470"/>
    <x v="38"/>
    <n v="225"/>
    <s v="K (May 21)"/>
    <d v="2021-05-19T00:00:00"/>
    <n v="-1"/>
  </r>
  <r>
    <x v="423"/>
    <x v="27"/>
    <n v="32.200000000000003"/>
    <n v="32.71"/>
    <n v="31.35"/>
    <n v="32.549999999999997"/>
    <x v="2364"/>
    <n v="0"/>
    <n v="46981"/>
    <n v="0"/>
    <n v="98268"/>
    <x v="37"/>
    <n v="43"/>
    <s v="X (Nov 20)"/>
    <d v="2020-11-18T00:00:00"/>
    <n v="-1"/>
  </r>
  <r>
    <x v="424"/>
    <x v="28"/>
    <n v="31.65"/>
    <n v="32.04"/>
    <n v="30.6"/>
    <n v="30.86"/>
    <x v="2332"/>
    <n v="-1.25"/>
    <n v="44497"/>
    <n v="152"/>
    <n v="98129"/>
    <x v="83"/>
    <n v="16"/>
    <s v="V (Oct 20)"/>
    <d v="2020-10-21T00:00:00"/>
    <n v="-1"/>
  </r>
  <r>
    <x v="424"/>
    <x v="25"/>
    <n v="30.41"/>
    <n v="30.45"/>
    <n v="29.7"/>
    <n v="29.85"/>
    <x v="2182"/>
    <n v="-0.72499999999999998"/>
    <n v="2688"/>
    <n v="0"/>
    <n v="18079"/>
    <x v="25"/>
    <n v="107"/>
    <s v="F (Jan 21)"/>
    <d v="2021-01-20T00:00:00"/>
    <n v="-1"/>
  </r>
  <r>
    <x v="424"/>
    <x v="21"/>
    <n v="28.05"/>
    <n v="28.2"/>
    <n v="27.91"/>
    <n v="27.91"/>
    <x v="2243"/>
    <n v="-0.47499999999999998"/>
    <n v="10"/>
    <n v="0"/>
    <n v="465"/>
    <x v="50"/>
    <n v="226"/>
    <s v="K (May 21)"/>
    <d v="2021-05-19T00:00:00"/>
    <n v="-1"/>
  </r>
  <r>
    <x v="424"/>
    <x v="20"/>
    <n v="27.65"/>
    <n v="27.65"/>
    <n v="27.65"/>
    <n v="27.65"/>
    <x v="316"/>
    <n v="7.4999999999999997E-2"/>
    <n v="6"/>
    <n v="0"/>
    <n v="6"/>
    <x v="39"/>
    <n v="254"/>
    <s v="M (Jun 21)"/>
    <d v="2021-06-16T00:00:00"/>
    <n v="-1"/>
  </r>
  <r>
    <x v="424"/>
    <x v="27"/>
    <n v="32.950000000000003"/>
    <n v="33"/>
    <n v="31.84"/>
    <n v="32.229999999999997"/>
    <x v="2364"/>
    <n v="-0.95"/>
    <n v="34356"/>
    <n v="164"/>
    <n v="92686"/>
    <x v="49"/>
    <n v="44"/>
    <s v="X (Nov 20)"/>
    <d v="2020-11-18T00:00:00"/>
    <n v="-1"/>
  </r>
  <r>
    <x v="424"/>
    <x v="23"/>
    <n v="29.41"/>
    <n v="29.41"/>
    <n v="28.82"/>
    <n v="28.9"/>
    <x v="100"/>
    <n v="-0.6"/>
    <n v="1040"/>
    <n v="0"/>
    <n v="9856"/>
    <x v="12"/>
    <n v="163"/>
    <s v="H (Mar 21)"/>
    <d v="2021-03-17T00:00:00"/>
    <n v="-1"/>
  </r>
  <r>
    <x v="424"/>
    <x v="26"/>
    <n v="31.51"/>
    <n v="31.7"/>
    <n v="30.54"/>
    <n v="30.75"/>
    <x v="2340"/>
    <n v="-0.9"/>
    <n v="7229"/>
    <n v="0"/>
    <n v="32312"/>
    <x v="42"/>
    <n v="72"/>
    <s v="Z (Dec 20)"/>
    <d v="2020-12-16T00:00:00"/>
    <n v="-1"/>
  </r>
  <r>
    <x v="424"/>
    <x v="22"/>
    <n v="28.7"/>
    <n v="28.8"/>
    <n v="28.32"/>
    <n v="28.35"/>
    <x v="21"/>
    <n v="-0.55000000000000004"/>
    <n v="567"/>
    <n v="0"/>
    <n v="2222"/>
    <x v="19"/>
    <n v="198"/>
    <s v="J (Apr 21)"/>
    <d v="2021-04-21T00:00:00"/>
    <n v="-1"/>
  </r>
  <r>
    <x v="424"/>
    <x v="24"/>
    <n v="29.92"/>
    <n v="29.95"/>
    <n v="29.22"/>
    <n v="29.33"/>
    <x v="135"/>
    <n v="-0.7"/>
    <n v="2535"/>
    <n v="0"/>
    <n v="12857"/>
    <x v="17"/>
    <n v="135"/>
    <s v="G (Feb 21)"/>
    <d v="2021-02-17T00:00:00"/>
    <n v="-1"/>
  </r>
  <r>
    <x v="425"/>
    <x v="23"/>
    <n v="29.12"/>
    <n v="30.61"/>
    <n v="29.12"/>
    <n v="29.5"/>
    <x v="4"/>
    <n v="0.4"/>
    <n v="1236"/>
    <n v="0"/>
    <n v="9742"/>
    <x v="18"/>
    <n v="166"/>
    <s v="H (Mar 21)"/>
    <d v="2021-03-17T00:00:00"/>
    <n v="-1"/>
  </r>
  <r>
    <x v="425"/>
    <x v="26"/>
    <n v="31.1"/>
    <n v="33.15"/>
    <n v="31.04"/>
    <n v="31.55"/>
    <x v="2365"/>
    <n v="0.6"/>
    <n v="9870"/>
    <n v="0"/>
    <n v="31954"/>
    <x v="45"/>
    <n v="75"/>
    <s v="Z (Dec 20)"/>
    <d v="2020-12-16T00:00:00"/>
    <n v="-1"/>
  </r>
  <r>
    <x v="425"/>
    <x v="22"/>
    <n v="28.55"/>
    <n v="29.91"/>
    <n v="28.55"/>
    <n v="28.9"/>
    <x v="100"/>
    <n v="0.35"/>
    <n v="726"/>
    <n v="0"/>
    <n v="2075"/>
    <x v="30"/>
    <n v="201"/>
    <s v="J (Apr 21)"/>
    <d v="2021-04-21T00:00:00"/>
    <n v="-1"/>
  </r>
  <r>
    <x v="425"/>
    <x v="24"/>
    <n v="29.65"/>
    <n v="31.31"/>
    <n v="29.65"/>
    <n v="30.04"/>
    <x v="2366"/>
    <n v="0.4"/>
    <n v="2309"/>
    <n v="0"/>
    <n v="12892"/>
    <x v="23"/>
    <n v="138"/>
    <s v="G (Feb 21)"/>
    <d v="2021-02-17T00:00:00"/>
    <n v="-1"/>
  </r>
  <r>
    <x v="425"/>
    <x v="28"/>
    <n v="30.6"/>
    <n v="34.299999999999997"/>
    <n v="30.53"/>
    <n v="31.95"/>
    <x v="2367"/>
    <n v="1.4"/>
    <n v="65412"/>
    <n v="0"/>
    <n v="102495"/>
    <x v="98"/>
    <n v="19"/>
    <s v="V (Oct 20)"/>
    <d v="2020-10-21T00:00:00"/>
    <n v="-1"/>
  </r>
  <r>
    <x v="425"/>
    <x v="25"/>
    <n v="30.2"/>
    <n v="31.85"/>
    <n v="30.12"/>
    <n v="30.55"/>
    <x v="2368"/>
    <n v="0.42499999999999999"/>
    <n v="4926"/>
    <n v="0"/>
    <n v="18107"/>
    <x v="28"/>
    <n v="110"/>
    <s v="F (Jan 21)"/>
    <d v="2021-01-20T00:00:00"/>
    <n v="-1"/>
  </r>
  <r>
    <x v="425"/>
    <x v="21"/>
    <n v="28.5"/>
    <n v="29.2"/>
    <n v="28.15"/>
    <n v="28.45"/>
    <x v="113"/>
    <n v="0.4"/>
    <n v="53"/>
    <n v="0"/>
    <n v="468"/>
    <x v="56"/>
    <n v="229"/>
    <s v="K (May 21)"/>
    <d v="2021-05-19T00:00:00"/>
    <n v="-1"/>
  </r>
  <r>
    <x v="425"/>
    <x v="27"/>
    <n v="32.5"/>
    <n v="35.26"/>
    <n v="32.4"/>
    <n v="32.950000000000003"/>
    <x v="2333"/>
    <n v="0.7"/>
    <n v="45393"/>
    <n v="161"/>
    <n v="87166"/>
    <x v="55"/>
    <n v="47"/>
    <s v="X (Nov 20)"/>
    <d v="2020-11-18T00:00:00"/>
    <n v="-1"/>
  </r>
  <r>
    <x v="426"/>
    <x v="28"/>
    <n v="30.4"/>
    <n v="31"/>
    <n v="29.58"/>
    <n v="30.7"/>
    <x v="2369"/>
    <n v="0.3"/>
    <n v="54201"/>
    <n v="0"/>
    <n v="112129"/>
    <x v="101"/>
    <n v="20"/>
    <s v="V (Oct 20)"/>
    <d v="2020-10-21T00:00:00"/>
    <n v="-1"/>
  </r>
  <r>
    <x v="426"/>
    <x v="25"/>
    <n v="29.78"/>
    <n v="30.26"/>
    <n v="29.5"/>
    <n v="30.15"/>
    <x v="2183"/>
    <n v="0.27500000000000002"/>
    <n v="2825"/>
    <n v="0"/>
    <n v="18122"/>
    <x v="43"/>
    <n v="111"/>
    <s v="F (Jan 21)"/>
    <d v="2021-01-20T00:00:00"/>
    <n v="-1"/>
  </r>
  <r>
    <x v="426"/>
    <x v="21"/>
    <n v="27.78"/>
    <n v="28"/>
    <n v="27.78"/>
    <n v="28"/>
    <x v="236"/>
    <n v="0.25"/>
    <n v="168"/>
    <n v="0"/>
    <n v="453"/>
    <x v="68"/>
    <n v="230"/>
    <s v="K (May 21)"/>
    <d v="2021-05-19T00:00:00"/>
    <n v="-1"/>
  </r>
  <r>
    <x v="426"/>
    <x v="27"/>
    <n v="32.799999999999997"/>
    <n v="33.1"/>
    <n v="32.15"/>
    <n v="32.49"/>
    <x v="2370"/>
    <n v="-0.4"/>
    <n v="43412"/>
    <n v="0"/>
    <n v="82819"/>
    <x v="67"/>
    <n v="48"/>
    <s v="X (Nov 20)"/>
    <d v="2020-11-18T00:00:00"/>
    <n v="-1"/>
  </r>
  <r>
    <x v="426"/>
    <x v="23"/>
    <n v="28.88"/>
    <n v="29.19"/>
    <n v="28.65"/>
    <n v="29.15"/>
    <x v="115"/>
    <n v="0.2"/>
    <n v="1166"/>
    <n v="0"/>
    <n v="9570"/>
    <x v="35"/>
    <n v="167"/>
    <s v="H (Mar 21)"/>
    <d v="2021-03-17T00:00:00"/>
    <n v="-1"/>
  </r>
  <r>
    <x v="426"/>
    <x v="26"/>
    <n v="30.8"/>
    <n v="31.3"/>
    <n v="30.37"/>
    <n v="31.07"/>
    <x v="2371"/>
    <n v="0.15"/>
    <n v="7176"/>
    <n v="0"/>
    <n v="31382"/>
    <x v="60"/>
    <n v="76"/>
    <s v="Z (Dec 20)"/>
    <d v="2020-12-16T00:00:00"/>
    <n v="-1"/>
  </r>
  <r>
    <x v="426"/>
    <x v="22"/>
    <n v="28.14"/>
    <n v="28.62"/>
    <n v="28.1"/>
    <n v="28.55"/>
    <x v="164"/>
    <n v="0.2"/>
    <n v="547"/>
    <n v="0"/>
    <n v="1924"/>
    <x v="36"/>
    <n v="202"/>
    <s v="J (Apr 21)"/>
    <d v="2021-04-21T00:00:00"/>
    <n v="-1"/>
  </r>
  <r>
    <x v="426"/>
    <x v="24"/>
    <n v="29.25"/>
    <n v="29.77"/>
    <n v="29.07"/>
    <n v="29.75"/>
    <x v="2345"/>
    <n v="0.27500000000000002"/>
    <n v="2048"/>
    <n v="0"/>
    <n v="12692"/>
    <x v="34"/>
    <n v="139"/>
    <s v="G (Feb 21)"/>
    <d v="2021-02-17T00:00:00"/>
    <n v="-1"/>
  </r>
  <r>
    <x v="427"/>
    <x v="23"/>
    <n v="28.75"/>
    <n v="29"/>
    <n v="28.55"/>
    <n v="28.9"/>
    <x v="100"/>
    <n v="0.3"/>
    <n v="1408"/>
    <n v="0"/>
    <n v="9476"/>
    <x v="41"/>
    <n v="168"/>
    <s v="H (Mar 21)"/>
    <d v="2021-03-17T00:00:00"/>
    <n v="-1"/>
  </r>
  <r>
    <x v="427"/>
    <x v="26"/>
    <n v="30.44"/>
    <n v="31"/>
    <n v="30.22"/>
    <n v="30.85"/>
    <x v="2350"/>
    <n v="0.45"/>
    <n v="6973"/>
    <n v="0"/>
    <n v="31036"/>
    <x v="63"/>
    <n v="77"/>
    <s v="Z (Dec 20)"/>
    <d v="2020-12-16T00:00:00"/>
    <n v="-1"/>
  </r>
  <r>
    <x v="427"/>
    <x v="22"/>
    <n v="28"/>
    <n v="28.4"/>
    <n v="28"/>
    <n v="28.35"/>
    <x v="21"/>
    <n v="0.3"/>
    <n v="474"/>
    <n v="0"/>
    <n v="1854"/>
    <x v="48"/>
    <n v="203"/>
    <s v="J (Apr 21)"/>
    <d v="2021-04-21T00:00:00"/>
    <n v="-1"/>
  </r>
  <r>
    <x v="427"/>
    <x v="24"/>
    <n v="29.12"/>
    <n v="29.45"/>
    <n v="28.98"/>
    <n v="29.4"/>
    <x v="92"/>
    <n v="0.3"/>
    <n v="1862"/>
    <n v="0"/>
    <n v="12466"/>
    <x v="40"/>
    <n v="140"/>
    <s v="G (Feb 21)"/>
    <d v="2021-02-17T00:00:00"/>
    <n v="-1"/>
  </r>
  <r>
    <x v="427"/>
    <x v="28"/>
    <n v="30"/>
    <n v="31.1"/>
    <n v="29.45"/>
    <n v="30.5"/>
    <x v="2351"/>
    <n v="0.6"/>
    <n v="54857"/>
    <n v="239"/>
    <n v="116107"/>
    <x v="116"/>
    <n v="21"/>
    <s v="V (Oct 20)"/>
    <d v="2020-10-21T00:00:00"/>
    <n v="-1"/>
  </r>
  <r>
    <x v="427"/>
    <x v="25"/>
    <n v="29.6"/>
    <n v="30.01"/>
    <n v="29.45"/>
    <n v="29.87"/>
    <x v="2372"/>
    <n v="0.25"/>
    <n v="2915"/>
    <n v="0"/>
    <n v="17883"/>
    <x v="46"/>
    <n v="112"/>
    <s v="F (Jan 21)"/>
    <d v="2021-01-20T00:00:00"/>
    <n v="-1"/>
  </r>
  <r>
    <x v="427"/>
    <x v="21"/>
    <n v="27.71"/>
    <n v="27.9"/>
    <n v="27.65"/>
    <n v="27.9"/>
    <x v="2134"/>
    <n v="0.125"/>
    <n v="13"/>
    <n v="0"/>
    <n v="476"/>
    <x v="74"/>
    <n v="231"/>
    <s v="K (May 21)"/>
    <d v="2021-05-19T00:00:00"/>
    <n v="-1"/>
  </r>
  <r>
    <x v="427"/>
    <x v="27"/>
    <n v="32.25"/>
    <n v="32.96"/>
    <n v="31.8"/>
    <n v="32.9"/>
    <x v="2373"/>
    <n v="0.8"/>
    <n v="38722"/>
    <n v="159"/>
    <n v="76357"/>
    <x v="73"/>
    <n v="49"/>
    <s v="X (Nov 20)"/>
    <d v="2020-11-18T00:00:00"/>
    <n v="-1"/>
  </r>
  <r>
    <x v="428"/>
    <x v="28"/>
    <n v="30.95"/>
    <n v="31.35"/>
    <n v="29.7"/>
    <n v="29.95"/>
    <x v="2374"/>
    <n v="-1.05"/>
    <n v="61558"/>
    <n v="0"/>
    <n v="119459"/>
    <x v="119"/>
    <n v="22"/>
    <s v="V (Oct 20)"/>
    <d v="2020-10-21T00:00:00"/>
    <n v="-1"/>
  </r>
  <r>
    <x v="428"/>
    <x v="25"/>
    <n v="29.95"/>
    <n v="30.15"/>
    <n v="29.45"/>
    <n v="29.65"/>
    <x v="2330"/>
    <n v="-0.3"/>
    <n v="2894"/>
    <n v="0"/>
    <n v="17825"/>
    <x v="61"/>
    <n v="113"/>
    <s v="F (Jan 21)"/>
    <d v="2021-01-20T00:00:00"/>
    <n v="-1"/>
  </r>
  <r>
    <x v="428"/>
    <x v="21"/>
    <n v="27.87"/>
    <n v="27.87"/>
    <n v="27.6"/>
    <n v="27.6"/>
    <x v="482"/>
    <n v="-0.4"/>
    <n v="6"/>
    <n v="0"/>
    <n v="471"/>
    <x v="86"/>
    <n v="232"/>
    <s v="K (May 21)"/>
    <d v="2021-05-19T00:00:00"/>
    <n v="-1"/>
  </r>
  <r>
    <x v="428"/>
    <x v="27"/>
    <n v="33"/>
    <n v="33.270000000000003"/>
    <n v="32.049999999999997"/>
    <n v="32.15"/>
    <x v="2367"/>
    <n v="-0.9"/>
    <n v="29540"/>
    <n v="0"/>
    <n v="71047"/>
    <x v="85"/>
    <n v="50"/>
    <s v="X (Nov 20)"/>
    <d v="2020-11-18T00:00:00"/>
    <n v="-1"/>
  </r>
  <r>
    <x v="428"/>
    <x v="23"/>
    <n v="28.9"/>
    <n v="29.13"/>
    <n v="28.55"/>
    <n v="28.75"/>
    <x v="88"/>
    <n v="-0.4"/>
    <n v="1153"/>
    <n v="0"/>
    <n v="9125"/>
    <x v="53"/>
    <n v="169"/>
    <s v="H (Mar 21)"/>
    <d v="2021-03-17T00:00:00"/>
    <n v="-1"/>
  </r>
  <r>
    <x v="428"/>
    <x v="26"/>
    <n v="31"/>
    <n v="31.21"/>
    <n v="30.37"/>
    <n v="30.52"/>
    <x v="2375"/>
    <n v="-0.47499999999999998"/>
    <n v="6648"/>
    <n v="0"/>
    <n v="29812"/>
    <x v="78"/>
    <n v="78"/>
    <s v="Z (Dec 20)"/>
    <d v="2020-12-16T00:00:00"/>
    <n v="-1"/>
  </r>
  <r>
    <x v="428"/>
    <x v="22"/>
    <n v="28.3"/>
    <n v="28.52"/>
    <n v="28.03"/>
    <n v="28.1"/>
    <x v="2376"/>
    <n v="-0.35"/>
    <n v="494"/>
    <n v="0"/>
    <n v="1757"/>
    <x v="54"/>
    <n v="204"/>
    <s v="J (Apr 21)"/>
    <d v="2021-04-21T00:00:00"/>
    <n v="-1"/>
  </r>
  <r>
    <x v="428"/>
    <x v="24"/>
    <n v="29.4"/>
    <n v="29.55"/>
    <n v="29.02"/>
    <n v="29.14"/>
    <x v="2279"/>
    <n v="-0.27500000000000002"/>
    <n v="2447"/>
    <n v="0"/>
    <n v="12293"/>
    <x v="52"/>
    <n v="141"/>
    <s v="G (Feb 21)"/>
    <d v="2021-02-17T00:00:00"/>
    <n v="-1"/>
  </r>
  <r>
    <x v="429"/>
    <x v="23"/>
    <n v="29.09"/>
    <n v="29.25"/>
    <n v="28.92"/>
    <n v="29.05"/>
    <x v="2176"/>
    <n v="-0.2"/>
    <n v="1072"/>
    <n v="0"/>
    <n v="9137"/>
    <x v="59"/>
    <n v="170"/>
    <s v="H (Mar 21)"/>
    <d v="2021-03-17T00:00:00"/>
    <n v="-1"/>
  </r>
  <r>
    <x v="429"/>
    <x v="26"/>
    <n v="31.26"/>
    <n v="31.35"/>
    <n v="30.87"/>
    <n v="31"/>
    <x v="2377"/>
    <n v="-0.375"/>
    <n v="7141"/>
    <n v="0"/>
    <n v="29421"/>
    <x v="81"/>
    <n v="79"/>
    <s v="Z (Dec 20)"/>
    <d v="2020-12-16T00:00:00"/>
    <n v="-1"/>
  </r>
  <r>
    <x v="429"/>
    <x v="22"/>
    <n v="28.55"/>
    <n v="28.75"/>
    <n v="28.35"/>
    <n v="28.4"/>
    <x v="113"/>
    <n v="-0.27500000000000002"/>
    <n v="553"/>
    <n v="0"/>
    <n v="1800"/>
    <x v="66"/>
    <n v="205"/>
    <s v="J (Apr 21)"/>
    <d v="2021-04-21T00:00:00"/>
    <n v="-1"/>
  </r>
  <r>
    <x v="429"/>
    <x v="24"/>
    <n v="29.52"/>
    <n v="29.6"/>
    <n v="29.3"/>
    <n v="29.45"/>
    <x v="135"/>
    <n v="-0.27500000000000002"/>
    <n v="1546"/>
    <n v="0"/>
    <n v="12671"/>
    <x v="58"/>
    <n v="142"/>
    <s v="G (Feb 21)"/>
    <d v="2021-02-17T00:00:00"/>
    <n v="-1"/>
  </r>
  <r>
    <x v="429"/>
    <x v="28"/>
    <n v="31.16"/>
    <n v="31.4"/>
    <n v="30.7"/>
    <n v="31"/>
    <x v="2332"/>
    <n v="-0.4"/>
    <n v="40862"/>
    <n v="661"/>
    <n v="121149"/>
    <x v="133"/>
    <n v="23"/>
    <s v="V (Oct 20)"/>
    <d v="2020-10-21T00:00:00"/>
    <n v="-1"/>
  </r>
  <r>
    <x v="429"/>
    <x v="25"/>
    <n v="30.2"/>
    <n v="30.21"/>
    <n v="29.85"/>
    <n v="29.99"/>
    <x v="2378"/>
    <n v="-0.4"/>
    <n v="2201"/>
    <n v="0"/>
    <n v="17922"/>
    <x v="64"/>
    <n v="114"/>
    <s v="F (Jan 21)"/>
    <d v="2021-01-20T00:00:00"/>
    <n v="-1"/>
  </r>
  <r>
    <x v="429"/>
    <x v="21"/>
    <n v="28.13"/>
    <n v="28.2"/>
    <n v="28.05"/>
    <n v="28.05"/>
    <x v="346"/>
    <n v="-0.27500000000000002"/>
    <n v="19"/>
    <n v="0"/>
    <n v="467"/>
    <x v="92"/>
    <n v="233"/>
    <s v="K (May 21)"/>
    <d v="2021-05-19T00:00:00"/>
    <n v="-1"/>
  </r>
  <r>
    <x v="429"/>
    <x v="27"/>
    <n v="32.89"/>
    <n v="33.200000000000003"/>
    <n v="32.35"/>
    <n v="33.03"/>
    <x v="2379"/>
    <n v="0.05"/>
    <n v="27248"/>
    <n v="310"/>
    <n v="68184"/>
    <x v="91"/>
    <n v="51"/>
    <s v="X (Nov 20)"/>
    <d v="2020-11-18T00:00:00"/>
    <n v="-1"/>
  </r>
  <r>
    <x v="430"/>
    <x v="28"/>
    <n v="32.25"/>
    <n v="32.659999999999997"/>
    <n v="31"/>
    <n v="31.27"/>
    <x v="2363"/>
    <n v="-1"/>
    <n v="50521"/>
    <n v="0"/>
    <n v="122829"/>
    <x v="136"/>
    <n v="26"/>
    <s v="V (Oct 20)"/>
    <d v="2020-10-21T00:00:00"/>
    <n v="-1"/>
  </r>
  <r>
    <x v="430"/>
    <x v="25"/>
    <n v="30.95"/>
    <n v="31.25"/>
    <n v="30.3"/>
    <n v="30.35"/>
    <x v="2380"/>
    <n v="-0.7"/>
    <n v="3946"/>
    <n v="0"/>
    <n v="17702"/>
    <x v="79"/>
    <n v="117"/>
    <s v="F (Jan 21)"/>
    <d v="2021-01-20T00:00:00"/>
    <n v="-1"/>
  </r>
  <r>
    <x v="430"/>
    <x v="21"/>
    <n v="28.82"/>
    <n v="28.9"/>
    <n v="28.22"/>
    <n v="28.25"/>
    <x v="2328"/>
    <n v="-0.42499999999999999"/>
    <n v="273"/>
    <n v="0"/>
    <n v="455"/>
    <x v="104"/>
    <n v="236"/>
    <s v="K (May 21)"/>
    <d v="2021-05-19T00:00:00"/>
    <n v="-1"/>
  </r>
  <r>
    <x v="430"/>
    <x v="27"/>
    <n v="33.57"/>
    <n v="34"/>
    <n v="32.799999999999997"/>
    <n v="32.9"/>
    <x v="2381"/>
    <n v="-0.75"/>
    <n v="32580"/>
    <n v="0"/>
    <n v="63867"/>
    <x v="103"/>
    <n v="54"/>
    <s v="X (Nov 20)"/>
    <d v="2020-11-18T00:00:00"/>
    <n v="-1"/>
  </r>
  <r>
    <x v="430"/>
    <x v="23"/>
    <n v="29.6"/>
    <n v="30"/>
    <n v="29.15"/>
    <n v="29.25"/>
    <x v="104"/>
    <n v="-0.52500000000000002"/>
    <n v="2524"/>
    <n v="0"/>
    <n v="8908"/>
    <x v="71"/>
    <n v="173"/>
    <s v="H (Mar 21)"/>
    <d v="2021-03-17T00:00:00"/>
    <n v="-1"/>
  </r>
  <r>
    <x v="430"/>
    <x v="26"/>
    <n v="31.95"/>
    <n v="32.28"/>
    <n v="31.3"/>
    <n v="31.3"/>
    <x v="2348"/>
    <n v="-0.7"/>
    <n v="8407"/>
    <n v="0"/>
    <n v="28692"/>
    <x v="96"/>
    <n v="82"/>
    <s v="Z (Dec 20)"/>
    <d v="2020-12-16T00:00:00"/>
    <n v="-1"/>
  </r>
  <r>
    <x v="430"/>
    <x v="22"/>
    <n v="29.03"/>
    <n v="29.4"/>
    <n v="28.67"/>
    <n v="28.7"/>
    <x v="71"/>
    <n v="-0.47499999999999998"/>
    <n v="805"/>
    <n v="0"/>
    <n v="1597"/>
    <x v="72"/>
    <n v="208"/>
    <s v="J (Apr 21)"/>
    <d v="2021-04-21T00:00:00"/>
    <n v="-1"/>
  </r>
  <r>
    <x v="430"/>
    <x v="24"/>
    <n v="30"/>
    <n v="30.46"/>
    <n v="29.55"/>
    <n v="29.65"/>
    <x v="2188"/>
    <n v="-0.6"/>
    <n v="2969"/>
    <n v="0"/>
    <n v="12313"/>
    <x v="70"/>
    <n v="145"/>
    <s v="G (Feb 21)"/>
    <d v="2021-02-17T00:00:00"/>
    <n v="-1"/>
  </r>
  <r>
    <x v="431"/>
    <x v="23"/>
    <n v="29.92"/>
    <n v="30.4"/>
    <n v="29.52"/>
    <n v="29.75"/>
    <x v="518"/>
    <n v="-0.22500000000000001"/>
    <n v="1422"/>
    <n v="0"/>
    <n v="8378"/>
    <x v="77"/>
    <n v="174"/>
    <s v="H (Mar 21)"/>
    <d v="2021-03-17T00:00:00"/>
    <n v="-1"/>
  </r>
  <r>
    <x v="431"/>
    <x v="26"/>
    <n v="32.020000000000003"/>
    <n v="32.65"/>
    <n v="31.53"/>
    <n v="31.96"/>
    <x v="2382"/>
    <n v="0.15"/>
    <n v="10988"/>
    <n v="0"/>
    <n v="28071"/>
    <x v="99"/>
    <n v="83"/>
    <s v="Z (Dec 20)"/>
    <d v="2020-12-16T00:00:00"/>
    <n v="-1"/>
  </r>
  <r>
    <x v="431"/>
    <x v="22"/>
    <n v="29.51"/>
    <n v="29.8"/>
    <n v="29"/>
    <n v="29.1"/>
    <x v="2325"/>
    <n v="-0.22500000000000001"/>
    <n v="625"/>
    <n v="0"/>
    <n v="1296"/>
    <x v="84"/>
    <n v="209"/>
    <s v="J (Apr 21)"/>
    <d v="2021-04-21T00:00:00"/>
    <n v="-1"/>
  </r>
  <r>
    <x v="431"/>
    <x v="24"/>
    <n v="30.36"/>
    <n v="30.82"/>
    <n v="29.95"/>
    <n v="30.17"/>
    <x v="2383"/>
    <n v="-0.125"/>
    <n v="3057"/>
    <n v="0"/>
    <n v="11918"/>
    <x v="76"/>
    <n v="146"/>
    <s v="G (Feb 21)"/>
    <d v="2021-02-17T00:00:00"/>
    <n v="-1"/>
  </r>
  <r>
    <x v="431"/>
    <x v="28"/>
    <n v="32.549999999999997"/>
    <n v="33.28"/>
    <n v="31.63"/>
    <n v="32.25"/>
    <x v="2364"/>
    <n v="-0.25"/>
    <n v="64922"/>
    <n v="0"/>
    <n v="128341"/>
    <x v="150"/>
    <n v="27"/>
    <s v="V (Oct 20)"/>
    <d v="2020-10-21T00:00:00"/>
    <n v="-1"/>
  </r>
  <r>
    <x v="431"/>
    <x v="25"/>
    <n v="31.07"/>
    <n v="31.57"/>
    <n v="30.6"/>
    <n v="30.96"/>
    <x v="2384"/>
    <n v="-0.05"/>
    <n v="4564"/>
    <n v="0"/>
    <n v="17037"/>
    <x v="82"/>
    <n v="118"/>
    <s v="F (Jan 21)"/>
    <d v="2021-01-20T00:00:00"/>
    <n v="-1"/>
  </r>
  <r>
    <x v="431"/>
    <x v="21"/>
    <n v="28.97"/>
    <n v="29.1"/>
    <n v="28.65"/>
    <n v="28.7"/>
    <x v="2215"/>
    <n v="-0.22500000000000001"/>
    <n v="107"/>
    <n v="0"/>
    <n v="235"/>
    <x v="110"/>
    <n v="237"/>
    <s v="K (May 21)"/>
    <d v="2021-05-19T00:00:00"/>
    <n v="-1"/>
  </r>
  <r>
    <x v="431"/>
    <x v="27"/>
    <n v="33.4"/>
    <n v="34.17"/>
    <n v="32.9"/>
    <n v="33.6"/>
    <x v="2385"/>
    <n v="0.35"/>
    <n v="38840"/>
    <n v="0"/>
    <n v="60414"/>
    <x v="109"/>
    <n v="55"/>
    <s v="X (Nov 20)"/>
    <d v="2020-11-18T00:00:00"/>
    <n v="-1"/>
  </r>
  <r>
    <x v="432"/>
    <x v="28"/>
    <n v="31.35"/>
    <n v="33.06"/>
    <n v="30.74"/>
    <n v="32.549999999999997"/>
    <x v="2370"/>
    <n v="1.1000000000000001"/>
    <n v="66240"/>
    <n v="0"/>
    <n v="133889"/>
    <x v="153"/>
    <n v="28"/>
    <s v="V (Oct 20)"/>
    <d v="2020-10-21T00:00:00"/>
    <n v="-1"/>
  </r>
  <r>
    <x v="432"/>
    <x v="25"/>
    <n v="30.55"/>
    <n v="31.33"/>
    <n v="30.4"/>
    <n v="31.07"/>
    <x v="2371"/>
    <n v="0.5"/>
    <n v="4792"/>
    <n v="0"/>
    <n v="17163"/>
    <x v="97"/>
    <n v="119"/>
    <s v="F (Jan 21)"/>
    <d v="2021-01-20T00:00:00"/>
    <n v="-1"/>
  </r>
  <r>
    <x v="432"/>
    <x v="21"/>
    <n v="28.8"/>
    <n v="29.05"/>
    <n v="28.47"/>
    <n v="28.99"/>
    <x v="2341"/>
    <n v="0.47499999999999998"/>
    <n v="18"/>
    <n v="0"/>
    <n v="219"/>
    <x v="122"/>
    <n v="238"/>
    <s v="K (May 21)"/>
    <d v="2021-05-19T00:00:00"/>
    <n v="-1"/>
  </r>
  <r>
    <x v="432"/>
    <x v="27"/>
    <n v="32.1"/>
    <n v="33.54"/>
    <n v="31.73"/>
    <n v="33.270000000000003"/>
    <x v="2386"/>
    <n v="1.1499999999999999"/>
    <n v="40873"/>
    <n v="0"/>
    <n v="57702"/>
    <x v="121"/>
    <n v="56"/>
    <s v="X (Nov 20)"/>
    <d v="2020-11-18T00:00:00"/>
    <n v="-1"/>
  </r>
  <r>
    <x v="432"/>
    <x v="23"/>
    <n v="29.52"/>
    <n v="30.16"/>
    <n v="29.4"/>
    <n v="29.95"/>
    <x v="2355"/>
    <n v="0.4"/>
    <n v="1722"/>
    <n v="0"/>
    <n v="8343"/>
    <x v="89"/>
    <n v="175"/>
    <s v="H (Mar 21)"/>
    <d v="2021-03-17T00:00:00"/>
    <n v="-1"/>
  </r>
  <r>
    <x v="432"/>
    <x v="26"/>
    <n v="31.2"/>
    <n v="32.14"/>
    <n v="30.97"/>
    <n v="32"/>
    <x v="2387"/>
    <n v="0.65"/>
    <n v="9251"/>
    <n v="0"/>
    <n v="28632"/>
    <x v="114"/>
    <n v="84"/>
    <s v="Z (Dec 20)"/>
    <d v="2020-12-16T00:00:00"/>
    <n v="-1"/>
  </r>
  <r>
    <x v="432"/>
    <x v="22"/>
    <n v="29.1"/>
    <n v="29.5"/>
    <n v="28.9"/>
    <n v="29.42"/>
    <x v="92"/>
    <n v="0.375"/>
    <n v="614"/>
    <n v="0"/>
    <n v="1219"/>
    <x v="90"/>
    <n v="210"/>
    <s v="J (Apr 21)"/>
    <d v="2021-04-21T00:00:00"/>
    <n v="-1"/>
  </r>
  <r>
    <x v="432"/>
    <x v="24"/>
    <n v="29.86"/>
    <n v="30.57"/>
    <n v="29.74"/>
    <n v="30.4"/>
    <x v="2351"/>
    <n v="0.5"/>
    <n v="2330"/>
    <n v="0"/>
    <n v="11617"/>
    <x v="88"/>
    <n v="147"/>
    <s v="G (Feb 21)"/>
    <d v="2021-02-17T00:00:00"/>
    <n v="-1"/>
  </r>
  <r>
    <x v="433"/>
    <x v="23"/>
    <n v="29.15"/>
    <n v="29.68"/>
    <n v="29.1"/>
    <n v="29.53"/>
    <x v="2288"/>
    <n v="0.4"/>
    <n v="1930"/>
    <n v="0"/>
    <n v="7914"/>
    <x v="95"/>
    <n v="176"/>
    <s v="H (Mar 21)"/>
    <d v="2021-03-17T00:00:00"/>
    <n v="-1"/>
  </r>
  <r>
    <x v="433"/>
    <x v="26"/>
    <n v="30.85"/>
    <n v="31.7"/>
    <n v="30.68"/>
    <n v="31.25"/>
    <x v="2363"/>
    <n v="0.27500000000000002"/>
    <n v="10456"/>
    <n v="0"/>
    <n v="27674"/>
    <x v="117"/>
    <n v="85"/>
    <s v="Z (Dec 20)"/>
    <d v="2020-12-16T00:00:00"/>
    <n v="-1"/>
  </r>
  <r>
    <x v="433"/>
    <x v="22"/>
    <n v="28.67"/>
    <n v="29.05"/>
    <n v="28.6"/>
    <n v="29"/>
    <x v="2176"/>
    <n v="0.375"/>
    <n v="773"/>
    <n v="0"/>
    <n v="1128"/>
    <x v="102"/>
    <n v="211"/>
    <s v="J (Apr 21)"/>
    <d v="2021-04-21T00:00:00"/>
    <n v="-1"/>
  </r>
  <r>
    <x v="433"/>
    <x v="24"/>
    <n v="29.5"/>
    <n v="30.15"/>
    <n v="29.44"/>
    <n v="29.9"/>
    <x v="2372"/>
    <n v="0.35"/>
    <n v="4265"/>
    <n v="0"/>
    <n v="11568"/>
    <x v="94"/>
    <n v="148"/>
    <s v="G (Feb 21)"/>
    <d v="2021-02-17T00:00:00"/>
    <n v="-1"/>
  </r>
  <r>
    <x v="433"/>
    <x v="28"/>
    <n v="31.25"/>
    <n v="32.15"/>
    <n v="30.9"/>
    <n v="31.42"/>
    <x v="2388"/>
    <n v="0.15"/>
    <n v="56159"/>
    <n v="0"/>
    <n v="135963"/>
    <x v="166"/>
    <n v="29"/>
    <s v="V (Oct 20)"/>
    <d v="2020-10-21T00:00:00"/>
    <n v="-1"/>
  </r>
  <r>
    <x v="433"/>
    <x v="25"/>
    <n v="30.17"/>
    <n v="31.02"/>
    <n v="30.16"/>
    <n v="30.65"/>
    <x v="2368"/>
    <n v="0.3"/>
    <n v="5326"/>
    <n v="0"/>
    <n v="17258"/>
    <x v="100"/>
    <n v="120"/>
    <s v="F (Jan 21)"/>
    <d v="2021-01-20T00:00:00"/>
    <n v="-1"/>
  </r>
  <r>
    <x v="433"/>
    <x v="21"/>
    <n v="28.55"/>
    <n v="28.55"/>
    <n v="28.45"/>
    <n v="28.55"/>
    <x v="70"/>
    <n v="0.47499999999999998"/>
    <n v="3"/>
    <n v="0"/>
    <n v="205"/>
    <x v="128"/>
    <n v="239"/>
    <s v="K (May 21)"/>
    <d v="2021-05-19T00:00:00"/>
    <n v="-1"/>
  </r>
  <r>
    <x v="433"/>
    <x v="27"/>
    <n v="31.7"/>
    <n v="32.75"/>
    <n v="31.45"/>
    <n v="32.159999999999997"/>
    <x v="2389"/>
    <n v="0.5"/>
    <n v="31251"/>
    <n v="0"/>
    <n v="53890"/>
    <x v="127"/>
    <n v="57"/>
    <s v="X (Nov 20)"/>
    <d v="2020-11-18T00:00:00"/>
    <n v="-1"/>
  </r>
  <r>
    <x v="434"/>
    <x v="28"/>
    <n v="30.15"/>
    <n v="33"/>
    <n v="29.8"/>
    <n v="31.3"/>
    <x v="2363"/>
    <n v="1.1499999999999999"/>
    <n v="82016"/>
    <n v="0"/>
    <n v="142073"/>
    <x v="169"/>
    <n v="30"/>
    <s v="V (Oct 20)"/>
    <d v="2020-10-21T00:00:00"/>
    <n v="-1"/>
  </r>
  <r>
    <x v="434"/>
    <x v="25"/>
    <n v="29.84"/>
    <n v="30.95"/>
    <n v="29.72"/>
    <n v="30.3"/>
    <x v="2390"/>
    <n v="0.5"/>
    <n v="6973"/>
    <n v="0"/>
    <n v="16775"/>
    <x v="115"/>
    <n v="121"/>
    <s v="F (Jan 21)"/>
    <d v="2021-01-20T00:00:00"/>
    <n v="-1"/>
  </r>
  <r>
    <x v="434"/>
    <x v="21"/>
    <n v="28.3"/>
    <n v="28.65"/>
    <n v="28.15"/>
    <n v="28.5"/>
    <x v="236"/>
    <n v="0.27500000000000002"/>
    <n v="21"/>
    <n v="0"/>
    <n v="203"/>
    <x v="139"/>
    <n v="240"/>
    <s v="K (May 21)"/>
    <d v="2021-05-19T00:00:00"/>
    <n v="-1"/>
  </r>
  <r>
    <x v="434"/>
    <x v="27"/>
    <n v="30.9"/>
    <n v="32.799999999999997"/>
    <n v="30.6"/>
    <n v="31.65"/>
    <x v="2365"/>
    <n v="1"/>
    <n v="37978"/>
    <n v="0"/>
    <n v="50288"/>
    <x v="138"/>
    <n v="58"/>
    <s v="X (Nov 20)"/>
    <d v="2020-11-18T00:00:00"/>
    <n v="-1"/>
  </r>
  <r>
    <x v="434"/>
    <x v="23"/>
    <n v="29.1"/>
    <n v="29.72"/>
    <n v="28.87"/>
    <n v="29.15"/>
    <x v="2325"/>
    <n v="0.2"/>
    <n v="2629"/>
    <n v="0"/>
    <n v="7539"/>
    <x v="107"/>
    <n v="177"/>
    <s v="H (Mar 21)"/>
    <d v="2021-03-17T00:00:00"/>
    <n v="-1"/>
  </r>
  <r>
    <x v="434"/>
    <x v="26"/>
    <n v="30.3"/>
    <n v="31.47"/>
    <n v="30.05"/>
    <n v="30.9"/>
    <x v="2377"/>
    <n v="0.92500000000000004"/>
    <n v="14202"/>
    <n v="0"/>
    <n v="27127"/>
    <x v="131"/>
    <n v="86"/>
    <s v="Z (Dec 20)"/>
    <d v="2020-12-16T00:00:00"/>
    <n v="-1"/>
  </r>
  <r>
    <x v="434"/>
    <x v="22"/>
    <n v="28.53"/>
    <n v="29.13"/>
    <n v="28.37"/>
    <n v="28.6"/>
    <x v="87"/>
    <n v="0.3"/>
    <n v="762"/>
    <n v="0"/>
    <n v="926"/>
    <x v="108"/>
    <n v="212"/>
    <s v="J (Apr 21)"/>
    <d v="2021-04-21T00:00:00"/>
    <n v="-1"/>
  </r>
  <r>
    <x v="434"/>
    <x v="24"/>
    <n v="29.4"/>
    <n v="30.25"/>
    <n v="29.21"/>
    <n v="29.51"/>
    <x v="4"/>
    <n v="0.22500000000000001"/>
    <n v="5354"/>
    <n v="0"/>
    <n v="10578"/>
    <x v="106"/>
    <n v="149"/>
    <s v="G (Feb 21)"/>
    <d v="2021-02-17T00:00:00"/>
    <n v="-1"/>
  </r>
  <r>
    <x v="435"/>
    <x v="23"/>
    <n v="28.6"/>
    <n v="29"/>
    <n v="28.35"/>
    <n v="29"/>
    <x v="2341"/>
    <n v="0.3"/>
    <n v="1554"/>
    <n v="0"/>
    <n v="7351"/>
    <x v="113"/>
    <n v="180"/>
    <s v="H (Mar 21)"/>
    <d v="2021-03-17T00:00:00"/>
    <n v="-1"/>
  </r>
  <r>
    <x v="435"/>
    <x v="26"/>
    <n v="30"/>
    <n v="30.68"/>
    <n v="29.75"/>
    <n v="30.15"/>
    <x v="2360"/>
    <n v="-0.125"/>
    <n v="11245"/>
    <n v="0"/>
    <n v="27464"/>
    <x v="134"/>
    <n v="89"/>
    <s v="Z (Dec 20)"/>
    <d v="2020-12-16T00:00:00"/>
    <n v="-1"/>
  </r>
  <r>
    <x v="435"/>
    <x v="22"/>
    <n v="28"/>
    <n v="28.5"/>
    <n v="27.85"/>
    <n v="28.35"/>
    <x v="65"/>
    <n v="0.22500000000000001"/>
    <n v="599"/>
    <n v="0"/>
    <n v="825"/>
    <x v="120"/>
    <n v="215"/>
    <s v="J (Apr 21)"/>
    <d v="2021-04-21T00:00:00"/>
    <n v="-1"/>
  </r>
  <r>
    <x v="435"/>
    <x v="24"/>
    <n v="28.85"/>
    <n v="29.46"/>
    <n v="28.72"/>
    <n v="29.29"/>
    <x v="180"/>
    <n v="0.27500000000000002"/>
    <n v="3315"/>
    <n v="0"/>
    <n v="10447"/>
    <x v="112"/>
    <n v="152"/>
    <s v="G (Feb 21)"/>
    <d v="2021-02-17T00:00:00"/>
    <n v="-1"/>
  </r>
  <r>
    <x v="435"/>
    <x v="28"/>
    <n v="29.95"/>
    <n v="30.85"/>
    <n v="29.18"/>
    <n v="30.1"/>
    <x v="2366"/>
    <n v="0.25"/>
    <n v="75616"/>
    <n v="297"/>
    <n v="148896"/>
    <x v="176"/>
    <n v="33"/>
    <s v="V (Oct 20)"/>
    <d v="2020-10-21T00:00:00"/>
    <n v="-1"/>
  </r>
  <r>
    <x v="435"/>
    <x v="25"/>
    <n v="29.45"/>
    <n v="30.12"/>
    <n v="29.32"/>
    <n v="29.8"/>
    <x v="2374"/>
    <n v="0.1"/>
    <n v="5609"/>
    <n v="0"/>
    <n v="17098"/>
    <x v="118"/>
    <n v="124"/>
    <s v="F (Jan 21)"/>
    <d v="2021-01-20T00:00:00"/>
    <n v="-1"/>
  </r>
  <r>
    <x v="435"/>
    <x v="21"/>
    <n v="27.48"/>
    <n v="27.9"/>
    <n v="27.48"/>
    <n v="27.8"/>
    <x v="264"/>
    <n v="0.32500000000000001"/>
    <n v="27"/>
    <n v="0"/>
    <n v="194"/>
    <x v="144"/>
    <n v="243"/>
    <s v="K (May 21)"/>
    <d v="2021-05-19T00:00:00"/>
    <n v="-1"/>
  </r>
  <r>
    <x v="435"/>
    <x v="27"/>
    <n v="30.52"/>
    <n v="31.32"/>
    <n v="30.06"/>
    <n v="30.76"/>
    <x v="2369"/>
    <n v="0.1"/>
    <n v="41936"/>
    <n v="25"/>
    <n v="46969"/>
    <x v="143"/>
    <n v="61"/>
    <s v="X (Nov 20)"/>
    <d v="2020-11-18T00:00:00"/>
    <n v="-1"/>
  </r>
  <r>
    <x v="436"/>
    <x v="28"/>
    <n v="30.4"/>
    <n v="32.01"/>
    <n v="29.75"/>
    <n v="29.95"/>
    <x v="2391"/>
    <n v="-0.7"/>
    <n v="75007"/>
    <n v="388"/>
    <n v="152028"/>
    <x v="178"/>
    <n v="34"/>
    <s v="V (Oct 20)"/>
    <d v="2020-10-21T00:00:00"/>
    <n v="-1"/>
  </r>
  <r>
    <x v="436"/>
    <x v="25"/>
    <n v="29.2"/>
    <n v="29.95"/>
    <n v="29.14"/>
    <n v="29.6"/>
    <x v="2345"/>
    <n v="0.375"/>
    <n v="9925"/>
    <n v="0"/>
    <n v="16542"/>
    <x v="132"/>
    <n v="125"/>
    <s v="F (Jan 21)"/>
    <d v="2021-01-20T00:00:00"/>
    <n v="-1"/>
  </r>
  <r>
    <x v="436"/>
    <x v="21"/>
    <n v="27.6"/>
    <n v="27.65"/>
    <n v="27.22"/>
    <n v="27.55"/>
    <x v="2324"/>
    <n v="0.375"/>
    <n v="95"/>
    <n v="0"/>
    <n v="209"/>
    <x v="155"/>
    <n v="244"/>
    <s v="K (May 21)"/>
    <d v="2021-05-19T00:00:00"/>
    <n v="-1"/>
  </r>
  <r>
    <x v="436"/>
    <x v="27"/>
    <n v="30.7"/>
    <n v="31.84"/>
    <n v="30.45"/>
    <n v="30.52"/>
    <x v="2368"/>
    <n v="-0.2"/>
    <n v="40396"/>
    <n v="16"/>
    <n v="43359"/>
    <x v="154"/>
    <n v="62"/>
    <s v="X (Nov 20)"/>
    <d v="2020-11-18T00:00:00"/>
    <n v="-1"/>
  </r>
  <r>
    <x v="436"/>
    <x v="23"/>
    <n v="28.15"/>
    <n v="28.8"/>
    <n v="28.15"/>
    <n v="28.6"/>
    <x v="2283"/>
    <n v="0.52500000000000002"/>
    <n v="2067"/>
    <n v="0"/>
    <n v="7166"/>
    <x v="125"/>
    <n v="181"/>
    <s v="H (Mar 21)"/>
    <d v="2021-03-17T00:00:00"/>
    <n v="-1"/>
  </r>
  <r>
    <x v="436"/>
    <x v="26"/>
    <n v="29.89"/>
    <n v="30.77"/>
    <n v="29.74"/>
    <n v="30"/>
    <x v="2183"/>
    <n v="0.17499999999999999"/>
    <n v="14654"/>
    <n v="0"/>
    <n v="26696"/>
    <x v="148"/>
    <n v="90"/>
    <s v="Z (Dec 20)"/>
    <d v="2020-12-16T00:00:00"/>
    <n v="-1"/>
  </r>
  <r>
    <x v="436"/>
    <x v="22"/>
    <n v="27.65"/>
    <n v="28.29"/>
    <n v="27.65"/>
    <n v="28.02"/>
    <x v="2163"/>
    <n v="0.5"/>
    <n v="819"/>
    <n v="0"/>
    <n v="703"/>
    <x v="126"/>
    <n v="216"/>
    <s v="J (Apr 21)"/>
    <d v="2021-04-21T00:00:00"/>
    <n v="-1"/>
  </r>
  <r>
    <x v="436"/>
    <x v="24"/>
    <n v="28.48"/>
    <n v="29.2"/>
    <n v="28.48"/>
    <n v="28.92"/>
    <x v="2176"/>
    <n v="0.47499999999999998"/>
    <n v="4143"/>
    <n v="0"/>
    <n v="10508"/>
    <x v="124"/>
    <n v="153"/>
    <s v="G (Feb 21)"/>
    <d v="2021-02-17T00:00:00"/>
    <n v="-1"/>
  </r>
  <r>
    <x v="437"/>
    <x v="23"/>
    <n v="27.79"/>
    <n v="28.2"/>
    <n v="27.67"/>
    <n v="28.15"/>
    <x v="2108"/>
    <n v="0.35"/>
    <n v="1255"/>
    <n v="0"/>
    <n v="7130"/>
    <x v="130"/>
    <n v="182"/>
    <s v="H (Mar 21)"/>
    <d v="2021-03-17T00:00:00"/>
    <n v="-1"/>
  </r>
  <r>
    <x v="437"/>
    <x v="26"/>
    <n v="29.45"/>
    <n v="30"/>
    <n v="29.13"/>
    <n v="29.85"/>
    <x v="2355"/>
    <n v="0.55000000000000004"/>
    <n v="9988"/>
    <n v="0"/>
    <n v="26832"/>
    <x v="151"/>
    <n v="91"/>
    <s v="Z (Dec 20)"/>
    <d v="2020-12-16T00:00:00"/>
    <n v="-1"/>
  </r>
  <r>
    <x v="437"/>
    <x v="22"/>
    <n v="27.28"/>
    <n v="27.65"/>
    <n v="27.12"/>
    <n v="27.55"/>
    <x v="2099"/>
    <n v="0.42499999999999999"/>
    <n v="413"/>
    <n v="0"/>
    <n v="426"/>
    <x v="137"/>
    <n v="217"/>
    <s v="J (Apr 21)"/>
    <d v="2021-04-21T00:00:00"/>
    <n v="-1"/>
  </r>
  <r>
    <x v="437"/>
    <x v="24"/>
    <n v="28.12"/>
    <n v="28.6"/>
    <n v="27.97"/>
    <n v="28.4"/>
    <x v="50"/>
    <n v="0.42499999999999999"/>
    <n v="4357"/>
    <n v="0"/>
    <n v="10245"/>
    <x v="129"/>
    <n v="154"/>
    <s v="G (Feb 21)"/>
    <d v="2021-02-17T00:00:00"/>
    <n v="-1"/>
  </r>
  <r>
    <x v="437"/>
    <x v="29"/>
    <n v="25.5"/>
    <n v="25.8"/>
    <n v="25.1"/>
    <n v="25.4"/>
    <x v="2392"/>
    <n v="0.745"/>
    <n v="743"/>
    <n v="0"/>
    <n v="12991"/>
    <x v="145"/>
    <n v="0"/>
    <s v="U (Sep 20)"/>
    <d v="2020-09-16T00:00:00"/>
    <n v="-1"/>
  </r>
  <r>
    <x v="437"/>
    <x v="28"/>
    <n v="30.45"/>
    <n v="30.83"/>
    <n v="29.95"/>
    <n v="30.35"/>
    <x v="2393"/>
    <n v="0.1"/>
    <n v="72573"/>
    <n v="0"/>
    <n v="155365"/>
    <x v="182"/>
    <n v="35"/>
    <s v="V (Oct 20)"/>
    <d v="2020-10-21T00:00:00"/>
    <n v="-1"/>
  </r>
  <r>
    <x v="437"/>
    <x v="25"/>
    <n v="28.55"/>
    <n v="29.35"/>
    <n v="28.47"/>
    <n v="29.15"/>
    <x v="180"/>
    <n v="0.72499999999999998"/>
    <n v="6799"/>
    <n v="0"/>
    <n v="14890"/>
    <x v="135"/>
    <n v="126"/>
    <s v="F (Jan 21)"/>
    <d v="2021-01-20T00:00:00"/>
    <n v="-1"/>
  </r>
  <r>
    <x v="437"/>
    <x v="21"/>
    <n v="26.8"/>
    <n v="27.25"/>
    <n v="26.79"/>
    <n v="27.25"/>
    <x v="250"/>
    <n v="0.75"/>
    <n v="45"/>
    <n v="0"/>
    <n v="117"/>
    <x v="160"/>
    <n v="245"/>
    <s v="K (May 21)"/>
    <d v="2021-05-19T00:00:00"/>
    <n v="-1"/>
  </r>
  <r>
    <x v="437"/>
    <x v="27"/>
    <n v="30.3"/>
    <n v="30.81"/>
    <n v="30"/>
    <n v="30.56"/>
    <x v="2340"/>
    <n v="0.45"/>
    <n v="38728"/>
    <n v="0"/>
    <n v="40688"/>
    <x v="159"/>
    <n v="63"/>
    <s v="X (Nov 20)"/>
    <d v="2020-11-18T00:00:00"/>
    <n v="-1"/>
  </r>
  <r>
    <x v="438"/>
    <x v="29"/>
    <n v="25.8"/>
    <n v="26.15"/>
    <n v="24.88"/>
    <n v="25.45"/>
    <x v="1237"/>
    <n v="-0.35"/>
    <n v="47216"/>
    <n v="0"/>
    <n v="16098"/>
    <x v="156"/>
    <n v="1"/>
    <s v="U (Sep 20)"/>
    <d v="2020-09-16T00:00:00"/>
    <n v="-1"/>
  </r>
  <r>
    <x v="438"/>
    <x v="28"/>
    <n v="31.2"/>
    <n v="31.46"/>
    <n v="30.4"/>
    <n v="30.4"/>
    <x v="2359"/>
    <n v="-0.95"/>
    <n v="67036"/>
    <n v="0"/>
    <n v="153786"/>
    <x v="184"/>
    <n v="36"/>
    <s v="V (Oct 20)"/>
    <d v="2020-10-21T00:00:00"/>
    <n v="-1"/>
  </r>
  <r>
    <x v="438"/>
    <x v="25"/>
    <n v="28.36"/>
    <n v="28.82"/>
    <n v="28.05"/>
    <n v="28.6"/>
    <x v="164"/>
    <n v="0.35"/>
    <n v="6200"/>
    <n v="0"/>
    <n v="14487"/>
    <x v="149"/>
    <n v="127"/>
    <s v="F (Jan 21)"/>
    <d v="2021-01-20T00:00:00"/>
    <n v="-1"/>
  </r>
  <r>
    <x v="438"/>
    <x v="21"/>
    <n v="26.95"/>
    <n v="27.05"/>
    <n v="26.9"/>
    <n v="26.95"/>
    <x v="410"/>
    <n v="7.4999999999999997E-2"/>
    <n v="8"/>
    <n v="0"/>
    <n v="77"/>
    <x v="171"/>
    <n v="246"/>
    <s v="K (May 21)"/>
    <d v="2021-05-19T00:00:00"/>
    <n v="-1"/>
  </r>
  <r>
    <x v="438"/>
    <x v="27"/>
    <n v="30.19"/>
    <n v="30.57"/>
    <n v="29.77"/>
    <n v="30.3"/>
    <x v="2380"/>
    <n v="0.17499999999999999"/>
    <n v="22453"/>
    <n v="0"/>
    <n v="36955"/>
    <x v="170"/>
    <n v="64"/>
    <s v="X (Nov 20)"/>
    <d v="2020-11-18T00:00:00"/>
    <n v="-1"/>
  </r>
  <r>
    <x v="438"/>
    <x v="23"/>
    <n v="27.72"/>
    <n v="27.97"/>
    <n v="27.25"/>
    <n v="27.8"/>
    <x v="270"/>
    <n v="0.05"/>
    <n v="1779"/>
    <n v="0"/>
    <n v="6846"/>
    <x v="141"/>
    <n v="183"/>
    <s v="H (Mar 21)"/>
    <d v="2021-03-17T00:00:00"/>
    <n v="-1"/>
  </r>
  <r>
    <x v="438"/>
    <x v="26"/>
    <n v="29.2"/>
    <n v="29.6"/>
    <n v="28.9"/>
    <n v="29.45"/>
    <x v="2394"/>
    <n v="0.4"/>
    <n v="10593"/>
    <n v="0"/>
    <n v="25572"/>
    <x v="164"/>
    <n v="92"/>
    <s v="Z (Dec 20)"/>
    <d v="2020-12-16T00:00:00"/>
    <n v="-1"/>
  </r>
  <r>
    <x v="438"/>
    <x v="22"/>
    <n v="27.1"/>
    <n v="27.4"/>
    <n v="26.8"/>
    <n v="27.32"/>
    <x v="365"/>
    <n v="0.125"/>
    <n v="499"/>
    <n v="0"/>
    <n v="297"/>
    <x v="142"/>
    <n v="218"/>
    <s v="J (Apr 21)"/>
    <d v="2021-04-21T00:00:00"/>
    <n v="-1"/>
  </r>
  <r>
    <x v="438"/>
    <x v="24"/>
    <n v="28.11"/>
    <n v="28.37"/>
    <n v="27.65"/>
    <n v="28.14"/>
    <x v="2163"/>
    <n v="0.1"/>
    <n v="2313"/>
    <n v="0"/>
    <n v="9719"/>
    <x v="140"/>
    <n v="155"/>
    <s v="G (Feb 21)"/>
    <d v="2021-02-17T00:00:00"/>
    <n v="-1"/>
  </r>
  <r>
    <x v="439"/>
    <x v="23"/>
    <n v="27.76"/>
    <n v="27.85"/>
    <n v="27.4"/>
    <n v="27.78"/>
    <x v="264"/>
    <n v="0"/>
    <n v="1519"/>
    <n v="0"/>
    <n v="6499"/>
    <x v="147"/>
    <n v="184"/>
    <s v="H (Mar 21)"/>
    <d v="2021-03-17T00:00:00"/>
    <n v="-1"/>
  </r>
  <r>
    <x v="439"/>
    <x v="26"/>
    <n v="29.25"/>
    <n v="29.52"/>
    <n v="28.65"/>
    <n v="29.22"/>
    <x v="2176"/>
    <n v="-0.4"/>
    <n v="12221"/>
    <n v="0"/>
    <n v="24377"/>
    <x v="167"/>
    <n v="93"/>
    <s v="Z (Dec 20)"/>
    <d v="2020-12-16T00:00:00"/>
    <n v="-1"/>
  </r>
  <r>
    <x v="439"/>
    <x v="22"/>
    <n v="27.15"/>
    <n v="27.18"/>
    <n v="26.76"/>
    <n v="27.05"/>
    <x v="645"/>
    <n v="7.4999999999999997E-2"/>
    <n v="231"/>
    <n v="0"/>
    <n v="187"/>
    <x v="3"/>
    <n v="219"/>
    <s v="J (Apr 21)"/>
    <d v="2021-04-21T00:00:00"/>
    <n v="-1"/>
  </r>
  <r>
    <x v="439"/>
    <x v="24"/>
    <n v="28.08"/>
    <n v="28.17"/>
    <n v="27.7"/>
    <n v="28.1"/>
    <x v="236"/>
    <n v="-0.15"/>
    <n v="1688"/>
    <n v="0"/>
    <n v="9576"/>
    <x v="146"/>
    <n v="156"/>
    <s v="G (Feb 21)"/>
    <d v="2021-02-17T00:00:00"/>
    <n v="-1"/>
  </r>
  <r>
    <x v="439"/>
    <x v="29"/>
    <n v="26.32"/>
    <n v="26.35"/>
    <n v="24.95"/>
    <n v="25.85"/>
    <x v="457"/>
    <n v="-0.6"/>
    <n v="60126"/>
    <n v="43"/>
    <n v="26839"/>
    <x v="161"/>
    <n v="2"/>
    <s v="U (Sep 20)"/>
    <d v="2020-09-16T00:00:00"/>
    <n v="-1"/>
  </r>
  <r>
    <x v="439"/>
    <x v="28"/>
    <n v="31.4"/>
    <n v="31.65"/>
    <n v="30.45"/>
    <n v="31.15"/>
    <x v="2388"/>
    <n v="-0.5"/>
    <n v="78671"/>
    <n v="369"/>
    <n v="146602"/>
    <x v="2"/>
    <n v="37"/>
    <s v="V (Oct 20)"/>
    <d v="2020-10-21T00:00:00"/>
    <n v="-1"/>
  </r>
  <r>
    <x v="439"/>
    <x v="25"/>
    <n v="28.28"/>
    <n v="28.6"/>
    <n v="27.85"/>
    <n v="28.4"/>
    <x v="33"/>
    <n v="-0.22500000000000001"/>
    <n v="5041"/>
    <n v="0"/>
    <n v="14403"/>
    <x v="152"/>
    <n v="128"/>
    <s v="F (Jan 21)"/>
    <d v="2021-01-20T00:00:00"/>
    <n v="-1"/>
  </r>
  <r>
    <x v="439"/>
    <x v="21"/>
    <n v="26.85"/>
    <n v="26.9"/>
    <n v="26.69"/>
    <n v="26.69"/>
    <x v="2076"/>
    <n v="7.4999999999999997E-2"/>
    <n v="20"/>
    <n v="0"/>
    <n v="72"/>
    <x v="4"/>
    <n v="247"/>
    <s v="K (May 21)"/>
    <d v="2021-05-19T00:00:00"/>
    <n v="-1"/>
  </r>
  <r>
    <x v="439"/>
    <x v="27"/>
    <n v="30.45"/>
    <n v="30.45"/>
    <n v="29.77"/>
    <n v="30.25"/>
    <x v="2183"/>
    <n v="-0.42499999999999999"/>
    <n v="19068"/>
    <n v="0"/>
    <n v="33312"/>
    <x v="6"/>
    <n v="65"/>
    <s v="X (Nov 20)"/>
    <d v="2020-11-18T00:00:00"/>
    <n v="-1"/>
  </r>
  <r>
    <x v="440"/>
    <x v="29"/>
    <n v="28.75"/>
    <n v="29.1"/>
    <n v="26.25"/>
    <n v="26.6"/>
    <x v="445"/>
    <n v="-2.4500000000000002"/>
    <n v="81230"/>
    <n v="47"/>
    <n v="43347"/>
    <x v="8"/>
    <n v="5"/>
    <s v="U (Sep 20)"/>
    <d v="2020-09-16T00:00:00"/>
    <n v="-1"/>
  </r>
  <r>
    <x v="440"/>
    <x v="28"/>
    <n v="32.880000000000003"/>
    <n v="33.270000000000003"/>
    <n v="31.3"/>
    <n v="31.84"/>
    <x v="2387"/>
    <n v="-0.8"/>
    <n v="69590"/>
    <n v="253"/>
    <n v="138156"/>
    <x v="14"/>
    <n v="40"/>
    <s v="V (Oct 20)"/>
    <d v="2020-10-21T00:00:00"/>
    <n v="-1"/>
  </r>
  <r>
    <x v="440"/>
    <x v="25"/>
    <n v="28.52"/>
    <n v="28.8"/>
    <n v="28.07"/>
    <n v="28.35"/>
    <x v="38"/>
    <n v="0.1"/>
    <n v="6284"/>
    <n v="0"/>
    <n v="14958"/>
    <x v="165"/>
    <n v="131"/>
    <s v="F (Jan 21)"/>
    <d v="2021-01-20T00:00:00"/>
    <n v="-1"/>
  </r>
  <r>
    <x v="440"/>
    <x v="21"/>
    <n v="26.43"/>
    <n v="26.43"/>
    <n v="26.38"/>
    <n v="26.38"/>
    <x v="397"/>
    <n v="-0.42499999999999999"/>
    <n v="4"/>
    <n v="0"/>
    <n v="62"/>
    <x v="16"/>
    <n v="250"/>
    <s v="K (May 21)"/>
    <d v="2021-05-19T00:00:00"/>
    <n v="-1"/>
  </r>
  <r>
    <x v="440"/>
    <x v="27"/>
    <n v="31.13"/>
    <n v="31.37"/>
    <n v="30.22"/>
    <n v="30.45"/>
    <x v="2368"/>
    <n v="-0.3"/>
    <n v="16344"/>
    <n v="0"/>
    <n v="33088"/>
    <x v="9"/>
    <n v="68"/>
    <s v="X (Nov 20)"/>
    <d v="2020-11-18T00:00:00"/>
    <n v="-1"/>
  </r>
  <r>
    <x v="440"/>
    <x v="23"/>
    <n v="27.6"/>
    <n v="27.94"/>
    <n v="27.35"/>
    <n v="27.7"/>
    <x v="264"/>
    <n v="0.17499999999999999"/>
    <n v="1530"/>
    <n v="0"/>
    <n v="6280"/>
    <x v="158"/>
    <n v="187"/>
    <s v="H (Mar 21)"/>
    <d v="2021-03-17T00:00:00"/>
    <n v="-1"/>
  </r>
  <r>
    <x v="440"/>
    <x v="26"/>
    <n v="29.38"/>
    <n v="29.65"/>
    <n v="28.8"/>
    <n v="29.25"/>
    <x v="2394"/>
    <n v="0.35"/>
    <n v="11549"/>
    <n v="0"/>
    <n v="24756"/>
    <x v="175"/>
    <n v="96"/>
    <s v="Z (Dec 20)"/>
    <d v="2020-12-16T00:00:00"/>
    <n v="-1"/>
  </r>
  <r>
    <x v="440"/>
    <x v="22"/>
    <n v="26.72"/>
    <n v="27.17"/>
    <n v="26.7"/>
    <n v="27"/>
    <x v="280"/>
    <n v="0.05"/>
    <n v="336"/>
    <n v="0"/>
    <n v="177"/>
    <x v="15"/>
    <n v="222"/>
    <s v="J (Apr 21)"/>
    <d v="2021-04-21T00:00:00"/>
    <n v="-1"/>
  </r>
  <r>
    <x v="440"/>
    <x v="24"/>
    <n v="28.15"/>
    <n v="28.45"/>
    <n v="27.79"/>
    <n v="28.12"/>
    <x v="85"/>
    <n v="0.15"/>
    <n v="2576"/>
    <n v="0"/>
    <n v="9546"/>
    <x v="157"/>
    <n v="159"/>
    <s v="G (Feb 21)"/>
    <d v="2021-02-17T00:00:00"/>
    <n v="-1"/>
  </r>
  <r>
    <x v="441"/>
    <x v="23"/>
    <n v="27.68"/>
    <n v="28.25"/>
    <n v="27.55"/>
    <n v="27.66"/>
    <x v="516"/>
    <n v="-7.4999999999999997E-2"/>
    <n v="1606"/>
    <n v="0"/>
    <n v="5755"/>
    <x v="163"/>
    <n v="188"/>
    <s v="H (Mar 21)"/>
    <d v="2021-03-17T00:00:00"/>
    <n v="-1"/>
  </r>
  <r>
    <x v="441"/>
    <x v="26"/>
    <n v="29.35"/>
    <n v="30.22"/>
    <n v="29"/>
    <n v="29.34"/>
    <x v="185"/>
    <n v="-0.25"/>
    <n v="14603"/>
    <n v="0"/>
    <n v="22234"/>
    <x v="177"/>
    <n v="97"/>
    <s v="Z (Dec 20)"/>
    <d v="2020-12-16T00:00:00"/>
    <n v="-1"/>
  </r>
  <r>
    <x v="441"/>
    <x v="22"/>
    <n v="26.95"/>
    <n v="27.51"/>
    <n v="26.9"/>
    <n v="26.9"/>
    <x v="317"/>
    <n v="-7.4999999999999997E-2"/>
    <n v="647"/>
    <n v="0"/>
    <n v="149"/>
    <x v="21"/>
    <n v="223"/>
    <s v="J (Apr 21)"/>
    <d v="2021-04-21T00:00:00"/>
    <n v="-1"/>
  </r>
  <r>
    <x v="441"/>
    <x v="24"/>
    <n v="28.13"/>
    <n v="28.82"/>
    <n v="28"/>
    <n v="28.12"/>
    <x v="236"/>
    <n v="-7.4999999999999997E-2"/>
    <n v="2530"/>
    <n v="0"/>
    <n v="9376"/>
    <x v="162"/>
    <n v="160"/>
    <s v="G (Feb 21)"/>
    <d v="2021-02-17T00:00:00"/>
    <n v="-1"/>
  </r>
  <r>
    <x v="441"/>
    <x v="29"/>
    <n v="28.5"/>
    <n v="29.62"/>
    <n v="27.55"/>
    <n v="28.86"/>
    <x v="2150"/>
    <n v="0.4"/>
    <n v="89514"/>
    <n v="0"/>
    <n v="48617"/>
    <x v="11"/>
    <n v="6"/>
    <s v="U (Sep 20)"/>
    <d v="2020-09-16T00:00:00"/>
    <n v="-1"/>
  </r>
  <r>
    <x v="441"/>
    <x v="28"/>
    <n v="33.25"/>
    <n v="34.07"/>
    <n v="32.479999999999997"/>
    <n v="32.85"/>
    <x v="2395"/>
    <n v="-0.55000000000000004"/>
    <n v="76600"/>
    <n v="0"/>
    <n v="133643"/>
    <x v="20"/>
    <n v="41"/>
    <s v="V (Oct 20)"/>
    <d v="2020-10-21T00:00:00"/>
    <n v="-1"/>
  </r>
  <r>
    <x v="441"/>
    <x v="25"/>
    <n v="28.59"/>
    <n v="29.28"/>
    <n v="28.35"/>
    <n v="28.52"/>
    <x v="65"/>
    <n v="-0.22500000000000001"/>
    <n v="6374"/>
    <n v="0"/>
    <n v="14034"/>
    <x v="168"/>
    <n v="132"/>
    <s v="F (Jan 21)"/>
    <d v="2021-01-20T00:00:00"/>
    <n v="-1"/>
  </r>
  <r>
    <x v="441"/>
    <x v="21"/>
    <n v="26.75"/>
    <n v="26.75"/>
    <n v="26.75"/>
    <n v="26.75"/>
    <x v="366"/>
    <n v="0.4"/>
    <n v="1"/>
    <n v="0"/>
    <n v="58"/>
    <x v="22"/>
    <n v="251"/>
    <s v="K (May 21)"/>
    <d v="2021-05-19T00:00:00"/>
    <n v="-1"/>
  </r>
  <r>
    <x v="441"/>
    <x v="27"/>
    <n v="31.35"/>
    <n v="32.18"/>
    <n v="30.8"/>
    <n v="31.06"/>
    <x v="2396"/>
    <n v="-0.45"/>
    <n v="21092"/>
    <n v="0"/>
    <n v="31791"/>
    <x v="24"/>
    <n v="69"/>
    <s v="X (Nov 20)"/>
    <d v="2020-11-18T00:00:00"/>
    <n v="-1"/>
  </r>
  <r>
    <x v="442"/>
    <x v="29"/>
    <n v="31.05"/>
    <n v="32.25"/>
    <n v="27.9"/>
    <n v="28.5"/>
    <x v="21"/>
    <n v="-1.85"/>
    <n v="88215"/>
    <n v="0"/>
    <n v="59164"/>
    <x v="26"/>
    <n v="7"/>
    <s v="U (Sep 20)"/>
    <d v="2020-09-16T00:00:00"/>
    <n v="-1"/>
  </r>
  <r>
    <x v="442"/>
    <x v="28"/>
    <n v="35.200000000000003"/>
    <n v="36"/>
    <n v="32.299999999999997"/>
    <n v="33.25"/>
    <x v="2397"/>
    <n v="-1.4"/>
    <n v="81349"/>
    <n v="0"/>
    <n v="125605"/>
    <x v="31"/>
    <n v="42"/>
    <s v="V (Oct 20)"/>
    <d v="2020-10-21T00:00:00"/>
    <n v="-1"/>
  </r>
  <r>
    <x v="442"/>
    <x v="25"/>
    <n v="29.27"/>
    <n v="29.6"/>
    <n v="28.32"/>
    <n v="28.67"/>
    <x v="164"/>
    <n v="-0.1"/>
    <n v="4881"/>
    <n v="0"/>
    <n v="13565"/>
    <x v="5"/>
    <n v="133"/>
    <s v="F (Jan 21)"/>
    <d v="2021-01-20T00:00:00"/>
    <n v="-1"/>
  </r>
  <r>
    <x v="442"/>
    <x v="27"/>
    <n v="32.6"/>
    <n v="32.979999999999997"/>
    <n v="30.64"/>
    <n v="31.32"/>
    <x v="2348"/>
    <n v="-0.5"/>
    <n v="22825"/>
    <n v="0"/>
    <n v="31104"/>
    <x v="27"/>
    <n v="70"/>
    <s v="X (Nov 20)"/>
    <d v="2020-11-18T00:00:00"/>
    <n v="-1"/>
  </r>
  <r>
    <x v="442"/>
    <x v="23"/>
    <n v="28.13"/>
    <n v="28.46"/>
    <n v="27.3"/>
    <n v="27.72"/>
    <x v="482"/>
    <n v="-0.125"/>
    <n v="2137"/>
    <n v="0"/>
    <n v="5544"/>
    <x v="173"/>
    <n v="189"/>
    <s v="H (Mar 21)"/>
    <d v="2021-03-17T00:00:00"/>
    <n v="-1"/>
  </r>
  <r>
    <x v="442"/>
    <x v="26"/>
    <n v="30.05"/>
    <n v="30.3"/>
    <n v="28.92"/>
    <n v="29.4"/>
    <x v="2334"/>
    <n v="-7.4999999999999997E-2"/>
    <n v="11370"/>
    <n v="0"/>
    <n v="21027"/>
    <x v="181"/>
    <n v="98"/>
    <s v="Z (Dec 20)"/>
    <d v="2020-12-16T00:00:00"/>
    <n v="-1"/>
  </r>
  <r>
    <x v="442"/>
    <x v="22"/>
    <n v="27.7"/>
    <n v="27.8"/>
    <n v="26.65"/>
    <n v="27.05"/>
    <x v="731"/>
    <n v="-0.27500000000000002"/>
    <n v="392"/>
    <n v="0"/>
    <n v="104"/>
    <x v="32"/>
    <n v="224"/>
    <s v="J (Apr 21)"/>
    <d v="2021-04-21T00:00:00"/>
    <n v="-1"/>
  </r>
  <r>
    <x v="442"/>
    <x v="24"/>
    <n v="28.8"/>
    <n v="29.05"/>
    <n v="27.9"/>
    <n v="28.2"/>
    <x v="18"/>
    <n v="-0.15"/>
    <n v="3224"/>
    <n v="0"/>
    <n v="9323"/>
    <x v="172"/>
    <n v="161"/>
    <s v="G (Feb 21)"/>
    <d v="2021-02-17T00:00:00"/>
    <n v="-1"/>
  </r>
  <r>
    <x v="443"/>
    <x v="23"/>
    <n v="28.15"/>
    <n v="28.95"/>
    <n v="27.75"/>
    <n v="27.95"/>
    <x v="2134"/>
    <n v="-0.15"/>
    <n v="2356"/>
    <n v="0"/>
    <n v="5332"/>
    <x v="174"/>
    <n v="190"/>
    <s v="H (Mar 21)"/>
    <d v="2021-03-17T00:00:00"/>
    <n v="-1"/>
  </r>
  <r>
    <x v="443"/>
    <x v="26"/>
    <n v="30.86"/>
    <n v="32.119999999999997"/>
    <n v="29.4"/>
    <n v="29.64"/>
    <x v="92"/>
    <n v="-1.5249999999999999"/>
    <n v="13445"/>
    <n v="0"/>
    <n v="20653"/>
    <x v="183"/>
    <n v="99"/>
    <s v="Z (Dec 20)"/>
    <d v="2020-12-16T00:00:00"/>
    <n v="-1"/>
  </r>
  <r>
    <x v="443"/>
    <x v="22"/>
    <n v="27.26"/>
    <n v="28"/>
    <n v="26.94"/>
    <n v="27.43"/>
    <x v="52"/>
    <n v="0.125"/>
    <n v="569"/>
    <n v="0"/>
    <n v="98"/>
    <x v="38"/>
    <n v="225"/>
    <s v="J (Apr 21)"/>
    <d v="2021-04-21T00:00:00"/>
    <n v="-1"/>
  </r>
  <r>
    <x v="443"/>
    <x v="21"/>
    <n v="27.18"/>
    <n v="27.18"/>
    <n v="27.01"/>
    <n v="27.02"/>
    <x v="317"/>
    <n v="-0.2"/>
    <n v="14"/>
    <n v="0"/>
    <n v="57"/>
    <x v="39"/>
    <n v="253"/>
    <s v="K (May 21)"/>
    <d v="2021-05-19T00:00:00"/>
    <n v="-1"/>
  </r>
  <r>
    <x v="443"/>
    <x v="24"/>
    <n v="29.2"/>
    <n v="30.2"/>
    <n v="28.25"/>
    <n v="28.55"/>
    <x v="147"/>
    <n v="-0.72499999999999998"/>
    <n v="5346"/>
    <n v="0"/>
    <n v="9601"/>
    <x v="0"/>
    <n v="162"/>
    <s v="G (Feb 21)"/>
    <d v="2021-02-17T00:00:00"/>
    <n v="-1"/>
  </r>
  <r>
    <x v="443"/>
    <x v="29"/>
    <n v="29.95"/>
    <n v="34.1"/>
    <n v="29.1"/>
    <n v="30.1"/>
    <x v="2356"/>
    <n v="0.57499999999999996"/>
    <n v="123890"/>
    <n v="63"/>
    <n v="68755"/>
    <x v="29"/>
    <n v="8"/>
    <s v="U (Sep 20)"/>
    <d v="2020-09-16T00:00:00"/>
    <n v="-1"/>
  </r>
  <r>
    <x v="443"/>
    <x v="28"/>
    <n v="36.020000000000003"/>
    <n v="38.68"/>
    <n v="34.43"/>
    <n v="34.549999999999997"/>
    <x v="2398"/>
    <n v="-1.55"/>
    <n v="100670"/>
    <n v="137"/>
    <n v="120991"/>
    <x v="37"/>
    <n v="43"/>
    <s v="V (Oct 20)"/>
    <d v="2020-10-21T00:00:00"/>
    <n v="-1"/>
  </r>
  <r>
    <x v="443"/>
    <x v="25"/>
    <n v="30.15"/>
    <n v="31.05"/>
    <n v="28.65"/>
    <n v="29"/>
    <x v="2283"/>
    <n v="-1.25"/>
    <n v="6538"/>
    <n v="0"/>
    <n v="13223"/>
    <x v="17"/>
    <n v="134"/>
    <s v="F (Jan 21)"/>
    <d v="2021-01-20T00:00:00"/>
    <n v="-1"/>
  </r>
  <r>
    <x v="443"/>
    <x v="27"/>
    <n v="33.200000000000003"/>
    <n v="35.17"/>
    <n v="31.85"/>
    <n v="32"/>
    <x v="2338"/>
    <n v="-1.9750000000000001"/>
    <n v="27268"/>
    <n v="0"/>
    <n v="29204"/>
    <x v="42"/>
    <n v="71"/>
    <s v="X (Nov 20)"/>
    <d v="2020-11-18T00:00:00"/>
    <n v="-1"/>
  </r>
  <r>
    <x v="444"/>
    <x v="29"/>
    <n v="34.549999999999997"/>
    <n v="37.35"/>
    <n v="29.05"/>
    <n v="29.85"/>
    <x v="2188"/>
    <n v="-4.2249999999999996"/>
    <n v="166814"/>
    <n v="810"/>
    <n v="79875"/>
    <x v="44"/>
    <n v="12"/>
    <s v="U (Sep 20)"/>
    <d v="2020-09-16T00:00:00"/>
    <n v="-1"/>
  </r>
  <r>
    <x v="444"/>
    <x v="28"/>
    <n v="38.799999999999997"/>
    <n v="41"/>
    <n v="35.549999999999997"/>
    <n v="36.28"/>
    <x v="2399"/>
    <n v="-2.85"/>
    <n v="122203"/>
    <n v="1390"/>
    <n v="116357"/>
    <x v="49"/>
    <n v="47"/>
    <s v="V (Oct 20)"/>
    <d v="2020-10-21T00:00:00"/>
    <n v="-1"/>
  </r>
  <r>
    <x v="444"/>
    <x v="25"/>
    <n v="30.9"/>
    <n v="31.85"/>
    <n v="29.46"/>
    <n v="29.93"/>
    <x v="2378"/>
    <n v="-0.95"/>
    <n v="7698"/>
    <n v="0"/>
    <n v="13240"/>
    <x v="23"/>
    <n v="138"/>
    <s v="F (Jan 21)"/>
    <d v="2021-01-20T00:00:00"/>
    <n v="-1"/>
  </r>
  <r>
    <x v="444"/>
    <x v="27"/>
    <n v="35.229999999999997"/>
    <n v="36.81"/>
    <n v="32.9"/>
    <n v="33.85"/>
    <x v="2400"/>
    <n v="-1.35"/>
    <n v="26376"/>
    <n v="0"/>
    <n v="29617"/>
    <x v="45"/>
    <n v="75"/>
    <s v="X (Nov 20)"/>
    <d v="2020-11-18T00:00:00"/>
    <n v="-1"/>
  </r>
  <r>
    <x v="444"/>
    <x v="23"/>
    <n v="28.77"/>
    <n v="29.64"/>
    <n v="27.9"/>
    <n v="28.02"/>
    <x v="2349"/>
    <n v="-0.77500000000000002"/>
    <n v="2227"/>
    <n v="0"/>
    <n v="5049"/>
    <x v="179"/>
    <n v="194"/>
    <s v="H (Mar 21)"/>
    <d v="2021-03-17T00:00:00"/>
    <n v="-1"/>
  </r>
  <r>
    <x v="444"/>
    <x v="26"/>
    <n v="31.69"/>
    <n v="32.950000000000003"/>
    <n v="30.17"/>
    <n v="30.86"/>
    <x v="2350"/>
    <n v="-0.65"/>
    <n v="15890"/>
    <n v="0"/>
    <n v="20936"/>
    <x v="7"/>
    <n v="103"/>
    <s v="Z (Dec 20)"/>
    <d v="2020-12-16T00:00:00"/>
    <n v="-1"/>
  </r>
  <r>
    <x v="444"/>
    <x v="22"/>
    <n v="28.11"/>
    <n v="28.8"/>
    <n v="27.1"/>
    <n v="27.19"/>
    <x v="568"/>
    <n v="-0.72499999999999998"/>
    <n v="512"/>
    <n v="0"/>
    <n v="85"/>
    <x v="50"/>
    <n v="229"/>
    <s v="J (Apr 21)"/>
    <d v="2021-04-21T00:00:00"/>
    <n v="-1"/>
  </r>
  <r>
    <x v="444"/>
    <x v="21"/>
    <n v="27.95"/>
    <n v="28.4"/>
    <n v="26.86"/>
    <n v="26.86"/>
    <x v="351"/>
    <n v="-0.125"/>
    <n v="23"/>
    <n v="0"/>
    <n v="48"/>
    <x v="51"/>
    <n v="257"/>
    <s v="K (May 21)"/>
    <d v="2021-05-19T00:00:00"/>
    <n v="-1"/>
  </r>
  <r>
    <x v="444"/>
    <x v="24"/>
    <n v="29.9"/>
    <n v="31.05"/>
    <n v="28.97"/>
    <n v="29.15"/>
    <x v="2341"/>
    <n v="-1.175"/>
    <n v="5144"/>
    <n v="0"/>
    <n v="10031"/>
    <x v="12"/>
    <n v="166"/>
    <s v="G (Feb 21)"/>
    <d v="2021-02-17T00:00:00"/>
    <n v="-1"/>
  </r>
  <r>
    <x v="445"/>
    <x v="23"/>
    <n v="28.6"/>
    <n v="29.6"/>
    <n v="28.3"/>
    <n v="28.7"/>
    <x v="71"/>
    <n v="0.17499999999999999"/>
    <n v="1778"/>
    <n v="0"/>
    <n v="5018"/>
    <x v="180"/>
    <n v="195"/>
    <s v="H (Mar 21)"/>
    <d v="2021-03-17T00:00:00"/>
    <n v="-1"/>
  </r>
  <r>
    <x v="445"/>
    <x v="26"/>
    <n v="30.75"/>
    <n v="32.450000000000003"/>
    <n v="30.17"/>
    <n v="31.42"/>
    <x v="2326"/>
    <n v="0.8"/>
    <n v="21902"/>
    <n v="0"/>
    <n v="21235"/>
    <x v="10"/>
    <n v="104"/>
    <s v="Z (Dec 20)"/>
    <d v="2020-12-16T00:00:00"/>
    <n v="-1"/>
  </r>
  <r>
    <x v="445"/>
    <x v="22"/>
    <n v="28"/>
    <n v="28.7"/>
    <n v="27.5"/>
    <n v="27.85"/>
    <x v="54"/>
    <n v="0.05"/>
    <n v="111"/>
    <n v="0"/>
    <n v="67"/>
    <x v="56"/>
    <n v="230"/>
    <s v="J (Apr 21)"/>
    <d v="2021-04-21T00:00:00"/>
    <n v="-1"/>
  </r>
  <r>
    <x v="445"/>
    <x v="21"/>
    <n v="27.32"/>
    <n v="28"/>
    <n v="27.32"/>
    <n v="27.5"/>
    <x v="2308"/>
    <n v="0.5"/>
    <n v="13"/>
    <n v="0"/>
    <n v="28"/>
    <x v="57"/>
    <n v="258"/>
    <s v="K (May 21)"/>
    <d v="2021-05-19T00:00:00"/>
    <n v="-1"/>
  </r>
  <r>
    <x v="445"/>
    <x v="24"/>
    <n v="29.95"/>
    <n v="31"/>
    <n v="29.55"/>
    <n v="30.07"/>
    <x v="2183"/>
    <n v="0.17499999999999999"/>
    <n v="4355"/>
    <n v="0"/>
    <n v="10213"/>
    <x v="18"/>
    <n v="167"/>
    <s v="G (Feb 21)"/>
    <d v="2021-02-17T00:00:00"/>
    <n v="-1"/>
  </r>
  <r>
    <x v="445"/>
    <x v="29"/>
    <n v="28.95"/>
    <n v="35.5"/>
    <n v="27.83"/>
    <n v="34.1"/>
    <x v="2401"/>
    <n v="5"/>
    <n v="170425"/>
    <n v="782"/>
    <n v="98718"/>
    <x v="47"/>
    <n v="13"/>
    <s v="U (Sep 20)"/>
    <d v="2020-09-16T00:00:00"/>
    <n v="-1"/>
  </r>
  <r>
    <x v="445"/>
    <x v="28"/>
    <n v="35.35"/>
    <n v="39.5"/>
    <n v="34.200000000000003"/>
    <n v="38.4"/>
    <x v="2402"/>
    <n v="3.7"/>
    <n v="126949"/>
    <n v="1077"/>
    <n v="119254"/>
    <x v="55"/>
    <n v="48"/>
    <s v="V (Oct 20)"/>
    <d v="2020-10-21T00:00:00"/>
    <n v="-1"/>
  </r>
  <r>
    <x v="445"/>
    <x v="25"/>
    <n v="30.33"/>
    <n v="31.57"/>
    <n v="29.87"/>
    <n v="30.75"/>
    <x v="2396"/>
    <n v="0.45"/>
    <n v="7075"/>
    <n v="0"/>
    <n v="13086"/>
    <x v="34"/>
    <n v="139"/>
    <s v="F (Jan 21)"/>
    <d v="2021-01-20T00:00:00"/>
    <n v="-1"/>
  </r>
  <r>
    <x v="445"/>
    <x v="27"/>
    <n v="33.6"/>
    <n v="36.200000000000003"/>
    <n v="32.799999999999997"/>
    <n v="35.020000000000003"/>
    <x v="2403"/>
    <n v="1.5249999999999999"/>
    <n v="32628"/>
    <n v="0"/>
    <n v="28653"/>
    <x v="60"/>
    <n v="76"/>
    <s v="X (Nov 20)"/>
    <d v="2020-11-18T00:00:00"/>
    <n v="-1"/>
  </r>
  <r>
    <x v="446"/>
    <x v="29"/>
    <n v="28.4"/>
    <n v="29.1"/>
    <n v="27.84"/>
    <n v="28.95"/>
    <x v="2357"/>
    <n v="0.55000000000000004"/>
    <n v="87953"/>
    <n v="1118"/>
    <n v="112180"/>
    <x v="62"/>
    <n v="14"/>
    <s v="U (Sep 20)"/>
    <d v="2020-09-16T00:00:00"/>
    <n v="-1"/>
  </r>
  <r>
    <x v="446"/>
    <x v="28"/>
    <n v="33.54"/>
    <n v="35.450000000000003"/>
    <n v="33.159999999999997"/>
    <n v="35.39"/>
    <x v="2404"/>
    <n v="1.8"/>
    <n v="67793"/>
    <n v="1242"/>
    <n v="113030"/>
    <x v="67"/>
    <n v="49"/>
    <s v="V (Oct 20)"/>
    <d v="2020-10-21T00:00:00"/>
    <n v="-1"/>
  </r>
  <r>
    <x v="446"/>
    <x v="25"/>
    <n v="29.6"/>
    <n v="30.42"/>
    <n v="29.37"/>
    <n v="30.4"/>
    <x v="2359"/>
    <n v="0.8"/>
    <n v="3601"/>
    <n v="0"/>
    <n v="12693"/>
    <x v="40"/>
    <n v="140"/>
    <s v="F (Jan 21)"/>
    <d v="2021-01-20T00:00:00"/>
    <n v="-1"/>
  </r>
  <r>
    <x v="446"/>
    <x v="27"/>
    <n v="31.81"/>
    <n v="33.65"/>
    <n v="31.57"/>
    <n v="33.64"/>
    <x v="2405"/>
    <n v="1.75"/>
    <n v="18092"/>
    <n v="0"/>
    <n v="28861"/>
    <x v="63"/>
    <n v="77"/>
    <s v="X (Nov 20)"/>
    <d v="2020-11-18T00:00:00"/>
    <n v="-1"/>
  </r>
  <r>
    <x v="446"/>
    <x v="23"/>
    <n v="28.25"/>
    <n v="28.8"/>
    <n v="28.07"/>
    <n v="28.57"/>
    <x v="520"/>
    <n v="0.25"/>
    <n v="1700"/>
    <n v="0"/>
    <n v="5236"/>
    <x v="185"/>
    <n v="196"/>
    <s v="H (Mar 21)"/>
    <d v="2021-03-17T00:00:00"/>
    <n v="-1"/>
  </r>
  <r>
    <x v="446"/>
    <x v="26"/>
    <n v="29.84"/>
    <n v="30.8"/>
    <n v="29.61"/>
    <n v="30.78"/>
    <x v="2340"/>
    <n v="0.9"/>
    <n v="8771"/>
    <n v="0"/>
    <n v="22234"/>
    <x v="25"/>
    <n v="105"/>
    <s v="Z (Dec 20)"/>
    <d v="2020-12-16T00:00:00"/>
    <n v="-1"/>
  </r>
  <r>
    <x v="446"/>
    <x v="22"/>
    <n v="27.85"/>
    <n v="27.95"/>
    <n v="27.7"/>
    <n v="27.89"/>
    <x v="151"/>
    <n v="0.3"/>
    <n v="10"/>
    <n v="0"/>
    <n v="54"/>
    <x v="68"/>
    <n v="231"/>
    <s v="J (Apr 21)"/>
    <d v="2021-04-21T00:00:00"/>
    <n v="-1"/>
  </r>
  <r>
    <x v="446"/>
    <x v="24"/>
    <n v="29.3"/>
    <n v="30.02"/>
    <n v="29.1"/>
    <n v="29.95"/>
    <x v="2355"/>
    <n v="0.65"/>
    <n v="2785"/>
    <n v="0"/>
    <n v="10312"/>
    <x v="35"/>
    <n v="168"/>
    <s v="G (Feb 21)"/>
    <d v="2021-02-17T00:00:00"/>
    <n v="-1"/>
  </r>
  <r>
    <x v="447"/>
    <x v="23"/>
    <n v="28.28"/>
    <n v="28.47"/>
    <n v="27.97"/>
    <n v="28.2"/>
    <x v="22"/>
    <n v="0.05"/>
    <n v="1324"/>
    <n v="0"/>
    <n v="5031"/>
    <x v="1"/>
    <n v="197"/>
    <s v="H (Mar 21)"/>
    <d v="2021-03-17T00:00:00"/>
    <n v="-1"/>
  </r>
  <r>
    <x v="447"/>
    <x v="26"/>
    <n v="29.72"/>
    <n v="30.1"/>
    <n v="29.3"/>
    <n v="29.8"/>
    <x v="2372"/>
    <n v="0.2"/>
    <n v="8028"/>
    <n v="0"/>
    <n v="22418"/>
    <x v="28"/>
    <n v="106"/>
    <s v="Z (Dec 20)"/>
    <d v="2020-12-16T00:00:00"/>
    <n v="-1"/>
  </r>
  <r>
    <x v="447"/>
    <x v="22"/>
    <n v="27.37"/>
    <n v="27.65"/>
    <n v="27.37"/>
    <n v="27.39"/>
    <x v="316"/>
    <n v="0.05"/>
    <n v="5"/>
    <n v="0"/>
    <n v="51"/>
    <x v="74"/>
    <n v="232"/>
    <s v="J (Apr 21)"/>
    <d v="2021-04-21T00:00:00"/>
    <n v="-1"/>
  </r>
  <r>
    <x v="447"/>
    <x v="24"/>
    <n v="29.15"/>
    <n v="29.44"/>
    <n v="28.85"/>
    <n v="29.26"/>
    <x v="2334"/>
    <n v="0.2"/>
    <n v="2545"/>
    <n v="0"/>
    <n v="9654"/>
    <x v="41"/>
    <n v="169"/>
    <s v="G (Feb 21)"/>
    <d v="2021-02-17T00:00:00"/>
    <n v="-1"/>
  </r>
  <r>
    <x v="447"/>
    <x v="29"/>
    <n v="28.05"/>
    <n v="28.78"/>
    <n v="27.25"/>
    <n v="28.35"/>
    <x v="2328"/>
    <n v="0.45"/>
    <n v="76216"/>
    <n v="0"/>
    <n v="114428"/>
    <x v="65"/>
    <n v="15"/>
    <s v="U (Sep 20)"/>
    <d v="2020-09-16T00:00:00"/>
    <n v="-1"/>
  </r>
  <r>
    <x v="447"/>
    <x v="28"/>
    <n v="33.299999999999997"/>
    <n v="33.770000000000003"/>
    <n v="32.65"/>
    <n v="33.51"/>
    <x v="2406"/>
    <n v="0.3"/>
    <n v="61602"/>
    <n v="0"/>
    <n v="102846"/>
    <x v="73"/>
    <n v="50"/>
    <s v="V (Oct 20)"/>
    <d v="2020-10-21T00:00:00"/>
    <n v="-1"/>
  </r>
  <r>
    <x v="447"/>
    <x v="25"/>
    <n v="29.39"/>
    <n v="29.77"/>
    <n v="29"/>
    <n v="29.55"/>
    <x v="2330"/>
    <n v="0.27500000000000002"/>
    <n v="3612"/>
    <n v="0"/>
    <n v="12514"/>
    <x v="52"/>
    <n v="141"/>
    <s v="F (Jan 21)"/>
    <d v="2021-01-20T00:00:00"/>
    <n v="-1"/>
  </r>
  <r>
    <x v="447"/>
    <x v="21"/>
    <n v="27.12"/>
    <n v="27.14"/>
    <n v="27.12"/>
    <n v="27.14"/>
    <x v="280"/>
    <n v="0.45"/>
    <n v="5"/>
    <n v="0"/>
    <n v="21"/>
    <x v="75"/>
    <n v="260"/>
    <s v="K (May 21)"/>
    <d v="2021-05-19T00:00:00"/>
    <n v="-1"/>
  </r>
  <r>
    <x v="447"/>
    <x v="27"/>
    <n v="31.5"/>
    <n v="32"/>
    <n v="31.05"/>
    <n v="31.8"/>
    <x v="2387"/>
    <n v="0.25"/>
    <n v="14381"/>
    <n v="0"/>
    <n v="28507"/>
    <x v="78"/>
    <n v="78"/>
    <s v="X (Nov 20)"/>
    <d v="2020-11-18T00:00:00"/>
    <n v="-1"/>
  </r>
  <r>
    <x v="448"/>
    <x v="29"/>
    <n v="26.9"/>
    <n v="28.3"/>
    <n v="26.4"/>
    <n v="28.15"/>
    <x v="2327"/>
    <n v="0.92500000000000004"/>
    <n v="84332"/>
    <n v="174"/>
    <n v="124350"/>
    <x v="80"/>
    <n v="16"/>
    <s v="U (Sep 20)"/>
    <d v="2020-09-16T00:00:00"/>
    <n v="-1"/>
  </r>
  <r>
    <x v="448"/>
    <x v="28"/>
    <n v="31.65"/>
    <n v="33.35"/>
    <n v="31.32"/>
    <n v="33.299999999999997"/>
    <x v="2397"/>
    <n v="1.55"/>
    <n v="56638"/>
    <n v="126"/>
    <n v="94274"/>
    <x v="85"/>
    <n v="51"/>
    <s v="V (Oct 20)"/>
    <d v="2020-10-21T00:00:00"/>
    <n v="-1"/>
  </r>
  <r>
    <x v="448"/>
    <x v="25"/>
    <n v="28.5"/>
    <n v="29.49"/>
    <n v="28.45"/>
    <n v="29.41"/>
    <x v="2292"/>
    <n v="0.625"/>
    <n v="3716"/>
    <n v="0"/>
    <n v="12180"/>
    <x v="58"/>
    <n v="142"/>
    <s v="F (Jan 21)"/>
    <d v="2021-01-20T00:00:00"/>
    <n v="-1"/>
  </r>
  <r>
    <x v="448"/>
    <x v="27"/>
    <n v="30.3"/>
    <n v="31.7"/>
    <n v="30.11"/>
    <n v="31.57"/>
    <x v="2407"/>
    <n v="1.175"/>
    <n v="13262"/>
    <n v="0"/>
    <n v="29154"/>
    <x v="81"/>
    <n v="79"/>
    <s v="X (Nov 20)"/>
    <d v="2020-11-18T00:00:00"/>
    <n v="-1"/>
  </r>
  <r>
    <x v="448"/>
    <x v="23"/>
    <n v="27.85"/>
    <n v="28.37"/>
    <n v="27.72"/>
    <n v="28.28"/>
    <x v="33"/>
    <n v="0.35"/>
    <n v="1279"/>
    <n v="0"/>
    <n v="4658"/>
    <x v="13"/>
    <n v="198"/>
    <s v="H (Mar 21)"/>
    <d v="2021-03-17T00:00:00"/>
    <n v="-1"/>
  </r>
  <r>
    <x v="448"/>
    <x v="26"/>
    <n v="28.85"/>
    <n v="29.8"/>
    <n v="28.6"/>
    <n v="29.76"/>
    <x v="2345"/>
    <n v="0.75"/>
    <n v="8866"/>
    <n v="0"/>
    <n v="22465"/>
    <x v="43"/>
    <n v="107"/>
    <s v="Z (Dec 20)"/>
    <d v="2020-12-16T00:00:00"/>
    <n v="-1"/>
  </r>
  <r>
    <x v="448"/>
    <x v="22"/>
    <n v="27.5"/>
    <n v="27.75"/>
    <n v="27.5"/>
    <n v="27.6"/>
    <x v="546"/>
    <n v="0.2"/>
    <n v="20"/>
    <n v="0"/>
    <n v="50"/>
    <x v="86"/>
    <n v="233"/>
    <s v="J (Apr 21)"/>
    <d v="2021-04-21T00:00:00"/>
    <n v="-1"/>
  </r>
  <r>
    <x v="448"/>
    <x v="24"/>
    <n v="28.62"/>
    <n v="29.27"/>
    <n v="28.42"/>
    <n v="29.15"/>
    <x v="115"/>
    <n v="0.45"/>
    <n v="3222"/>
    <n v="0"/>
    <n v="9404"/>
    <x v="53"/>
    <n v="170"/>
    <s v="G (Feb 21)"/>
    <d v="2021-02-17T00:00:00"/>
    <n v="-1"/>
  </r>
  <r>
    <x v="449"/>
    <x v="23"/>
    <n v="27.87"/>
    <n v="28.34"/>
    <n v="27.7"/>
    <n v="27.85"/>
    <x v="2327"/>
    <n v="-2.5000000000000001E-2"/>
    <n v="1040"/>
    <n v="0"/>
    <n v="4508"/>
    <x v="19"/>
    <n v="201"/>
    <s v="H (Mar 21)"/>
    <d v="2021-03-17T00:00:00"/>
    <n v="-1"/>
  </r>
  <r>
    <x v="449"/>
    <x v="26"/>
    <n v="28.77"/>
    <n v="29.48"/>
    <n v="28.58"/>
    <n v="28.88"/>
    <x v="100"/>
    <n v="0.1"/>
    <n v="8844"/>
    <n v="0"/>
    <n v="21469"/>
    <x v="46"/>
    <n v="110"/>
    <s v="Z (Dec 20)"/>
    <d v="2020-12-16T00:00:00"/>
    <n v="-1"/>
  </r>
  <r>
    <x v="449"/>
    <x v="22"/>
    <n v="27.62"/>
    <n v="27.62"/>
    <n v="27.1"/>
    <n v="27.21"/>
    <x v="52"/>
    <n v="-0.5"/>
    <n v="24"/>
    <n v="0"/>
    <n v="33"/>
    <x v="92"/>
    <n v="236"/>
    <s v="J (Apr 21)"/>
    <d v="2021-04-21T00:00:00"/>
    <n v="-1"/>
  </r>
  <r>
    <x v="449"/>
    <x v="21"/>
    <n v="27.47"/>
    <n v="27.47"/>
    <n v="27.02"/>
    <n v="27.35"/>
    <x v="550"/>
    <n v="0.05"/>
    <n v="20"/>
    <n v="0"/>
    <n v="16"/>
    <x v="93"/>
    <n v="264"/>
    <s v="K (May 21)"/>
    <d v="2021-05-19T00:00:00"/>
    <n v="-1"/>
  </r>
  <r>
    <x v="449"/>
    <x v="24"/>
    <n v="28.52"/>
    <n v="29.05"/>
    <n v="28.37"/>
    <n v="28.65"/>
    <x v="2283"/>
    <n v="0.1"/>
    <n v="2304"/>
    <n v="0"/>
    <n v="8965"/>
    <x v="59"/>
    <n v="173"/>
    <s v="G (Feb 21)"/>
    <d v="2021-02-17T00:00:00"/>
    <n v="-1"/>
  </r>
  <r>
    <x v="449"/>
    <x v="29"/>
    <n v="27.05"/>
    <n v="28.65"/>
    <n v="26.25"/>
    <n v="26.9"/>
    <x v="317"/>
    <n v="-7.4999999999999997E-2"/>
    <n v="95025"/>
    <n v="0"/>
    <n v="132640"/>
    <x v="83"/>
    <n v="19"/>
    <s v="U (Sep 20)"/>
    <d v="2020-09-16T00:00:00"/>
    <n v="-1"/>
  </r>
  <r>
    <x v="449"/>
    <x v="28"/>
    <n v="31.25"/>
    <n v="32.770000000000003"/>
    <n v="30.95"/>
    <n v="31.63"/>
    <x v="2365"/>
    <n v="0.35"/>
    <n v="56693"/>
    <n v="0"/>
    <n v="88958"/>
    <x v="91"/>
    <n v="54"/>
    <s v="V (Oct 20)"/>
    <d v="2020-10-21T00:00:00"/>
    <n v="-1"/>
  </r>
  <r>
    <x v="449"/>
    <x v="25"/>
    <n v="28.61"/>
    <n v="29.2"/>
    <n v="28.43"/>
    <n v="28.65"/>
    <x v="2156"/>
    <n v="0.05"/>
    <n v="2741"/>
    <n v="0"/>
    <n v="11877"/>
    <x v="70"/>
    <n v="145"/>
    <s v="F (Jan 21)"/>
    <d v="2021-01-20T00:00:00"/>
    <n v="-1"/>
  </r>
  <r>
    <x v="449"/>
    <x v="27"/>
    <n v="30.17"/>
    <n v="31.12"/>
    <n v="29.9"/>
    <n v="30.37"/>
    <x v="2408"/>
    <n v="0.22500000000000001"/>
    <n v="16907"/>
    <n v="0"/>
    <n v="29019"/>
    <x v="96"/>
    <n v="82"/>
    <s v="X (Nov 20)"/>
    <d v="2020-11-18T00:00:00"/>
    <n v="-1"/>
  </r>
  <r>
    <x v="450"/>
    <x v="29"/>
    <n v="26.2"/>
    <n v="29.4"/>
    <n v="25.51"/>
    <n v="27.05"/>
    <x v="731"/>
    <n v="0.95"/>
    <n v="131655"/>
    <n v="155"/>
    <n v="141965"/>
    <x v="98"/>
    <n v="20"/>
    <s v="U (Sep 20)"/>
    <d v="2020-09-16T00:00:00"/>
    <n v="-1"/>
  </r>
  <r>
    <x v="450"/>
    <x v="28"/>
    <n v="30.41"/>
    <n v="33.1"/>
    <n v="30.07"/>
    <n v="31.25"/>
    <x v="2348"/>
    <n v="0.95"/>
    <n v="64522"/>
    <n v="71"/>
    <n v="83785"/>
    <x v="103"/>
    <n v="55"/>
    <s v="V (Oct 20)"/>
    <d v="2020-10-21T00:00:00"/>
    <n v="-1"/>
  </r>
  <r>
    <x v="450"/>
    <x v="25"/>
    <n v="28.66"/>
    <n v="29.61"/>
    <n v="28.4"/>
    <n v="28.62"/>
    <x v="2283"/>
    <n v="2.5000000000000001E-2"/>
    <n v="5108"/>
    <n v="0"/>
    <n v="11764"/>
    <x v="76"/>
    <n v="146"/>
    <s v="F (Jan 21)"/>
    <d v="2021-01-20T00:00:00"/>
    <n v="-1"/>
  </r>
  <r>
    <x v="450"/>
    <x v="27"/>
    <n v="29.62"/>
    <n v="31.6"/>
    <n v="29.33"/>
    <n v="30.15"/>
    <x v="2356"/>
    <n v="0.6"/>
    <n v="16604"/>
    <n v="0"/>
    <n v="29237"/>
    <x v="99"/>
    <n v="83"/>
    <s v="X (Nov 20)"/>
    <d v="2020-11-18T00:00:00"/>
    <n v="-1"/>
  </r>
  <r>
    <x v="450"/>
    <x v="23"/>
    <n v="28.02"/>
    <n v="28.75"/>
    <n v="27.8"/>
    <n v="27.9"/>
    <x v="54"/>
    <n v="-0.17499999999999999"/>
    <n v="1486"/>
    <n v="0"/>
    <n v="4263"/>
    <x v="30"/>
    <n v="202"/>
    <s v="H (Mar 21)"/>
    <d v="2021-03-17T00:00:00"/>
    <n v="-1"/>
  </r>
  <r>
    <x v="450"/>
    <x v="26"/>
    <n v="28.52"/>
    <n v="29.75"/>
    <n v="28.17"/>
    <n v="28.77"/>
    <x v="178"/>
    <n v="0.3"/>
    <n v="10374"/>
    <n v="0"/>
    <n v="21586"/>
    <x v="61"/>
    <n v="111"/>
    <s v="Z (Dec 20)"/>
    <d v="2020-12-16T00:00:00"/>
    <n v="-1"/>
  </r>
  <r>
    <x v="450"/>
    <x v="22"/>
    <n v="27.9"/>
    <n v="27.95"/>
    <n v="27.7"/>
    <n v="27.7"/>
    <x v="270"/>
    <n v="7.4999999999999997E-2"/>
    <n v="22"/>
    <n v="0"/>
    <n v="35"/>
    <x v="104"/>
    <n v="237"/>
    <s v="J (Apr 21)"/>
    <d v="2021-04-21T00:00:00"/>
    <n v="-1"/>
  </r>
  <r>
    <x v="450"/>
    <x v="24"/>
    <n v="28.65"/>
    <n v="29.4"/>
    <n v="28.4"/>
    <n v="28.55"/>
    <x v="164"/>
    <n v="-0.05"/>
    <n v="3309"/>
    <n v="0"/>
    <n v="8536"/>
    <x v="71"/>
    <n v="174"/>
    <s v="G (Feb 21)"/>
    <d v="2021-02-17T00:00:00"/>
    <n v="-1"/>
  </r>
  <r>
    <x v="451"/>
    <x v="23"/>
    <n v="28.1"/>
    <n v="28.13"/>
    <n v="27.62"/>
    <n v="28.1"/>
    <x v="2376"/>
    <n v="0"/>
    <n v="1060"/>
    <n v="0"/>
    <n v="3891"/>
    <x v="36"/>
    <n v="203"/>
    <s v="H (Mar 21)"/>
    <d v="2021-03-17T00:00:00"/>
    <n v="-1"/>
  </r>
  <r>
    <x v="451"/>
    <x v="26"/>
    <n v="28.07"/>
    <n v="28.62"/>
    <n v="27.78"/>
    <n v="28.49"/>
    <x v="520"/>
    <n v="0.45"/>
    <n v="5640"/>
    <n v="0"/>
    <n v="20910"/>
    <x v="64"/>
    <n v="112"/>
    <s v="Z (Dec 20)"/>
    <d v="2020-12-16T00:00:00"/>
    <n v="-1"/>
  </r>
  <r>
    <x v="451"/>
    <x v="22"/>
    <n v="27.3"/>
    <n v="28"/>
    <n v="27.25"/>
    <n v="28"/>
    <x v="2358"/>
    <n v="-0.125"/>
    <n v="4"/>
    <n v="0"/>
    <n v="19"/>
    <x v="110"/>
    <n v="238"/>
    <s v="J (Apr 21)"/>
    <d v="2021-04-21T00:00:00"/>
    <n v="-1"/>
  </r>
  <r>
    <x v="451"/>
    <x v="25"/>
    <n v="28.35"/>
    <n v="28.77"/>
    <n v="28.08"/>
    <n v="28.66"/>
    <x v="87"/>
    <n v="0.27500000000000002"/>
    <n v="4351"/>
    <n v="0"/>
    <n v="11547"/>
    <x v="88"/>
    <n v="147"/>
    <s v="F (Jan 21)"/>
    <d v="2021-01-20T00:00:00"/>
    <n v="-1"/>
  </r>
  <r>
    <x v="451"/>
    <x v="24"/>
    <n v="28.45"/>
    <n v="28.67"/>
    <n v="28.11"/>
    <n v="28.66"/>
    <x v="88"/>
    <n v="0.15"/>
    <n v="3410"/>
    <n v="0"/>
    <n v="8332"/>
    <x v="77"/>
    <n v="175"/>
    <s v="G (Feb 21)"/>
    <d v="2021-02-17T00:00:00"/>
    <n v="-1"/>
  </r>
  <r>
    <x v="451"/>
    <x v="29"/>
    <n v="25.5"/>
    <n v="26.38"/>
    <n v="24.7"/>
    <n v="26.15"/>
    <x v="814"/>
    <n v="0.6"/>
    <n v="62151"/>
    <n v="0"/>
    <n v="150441"/>
    <x v="101"/>
    <n v="21"/>
    <s v="U (Sep 20)"/>
    <d v="2020-09-16T00:00:00"/>
    <n v="-1"/>
  </r>
  <r>
    <x v="451"/>
    <x v="28"/>
    <n v="29.5"/>
    <n v="30.42"/>
    <n v="29.05"/>
    <n v="30.4"/>
    <x v="2351"/>
    <n v="0.9"/>
    <n v="42823"/>
    <n v="0"/>
    <n v="78108"/>
    <x v="109"/>
    <n v="56"/>
    <s v="V (Oct 20)"/>
    <d v="2020-10-21T00:00:00"/>
    <n v="-1"/>
  </r>
  <r>
    <x v="451"/>
    <x v="21"/>
    <n v="27.5"/>
    <n v="27.5"/>
    <n v="27.5"/>
    <n v="27.5"/>
    <x v="365"/>
    <n v="-0.67500000000000004"/>
    <n v="2"/>
    <n v="0"/>
    <n v="2"/>
    <x v="111"/>
    <n v="266"/>
    <s v="K (May 21)"/>
    <d v="2021-05-19T00:00:00"/>
    <n v="-1"/>
  </r>
  <r>
    <x v="451"/>
    <x v="27"/>
    <n v="28.83"/>
    <n v="29.69"/>
    <n v="28.55"/>
    <n v="29.6"/>
    <x v="2330"/>
    <n v="0.8"/>
    <n v="7954"/>
    <n v="0"/>
    <n v="29159"/>
    <x v="114"/>
    <n v="84"/>
    <s v="X (Nov 20)"/>
    <d v="2020-11-18T00:00:00"/>
    <n v="-1"/>
  </r>
  <r>
    <x v="452"/>
    <x v="29"/>
    <n v="25.9"/>
    <n v="26.71"/>
    <n v="25.35"/>
    <n v="25.35"/>
    <x v="1881"/>
    <n v="-0.35"/>
    <n v="63672"/>
    <n v="0"/>
    <n v="157249"/>
    <x v="116"/>
    <n v="22"/>
    <s v="U (Sep 20)"/>
    <d v="2020-09-16T00:00:00"/>
    <n v="-1"/>
  </r>
  <r>
    <x v="452"/>
    <x v="28"/>
    <n v="29.58"/>
    <n v="30.43"/>
    <n v="29.3"/>
    <n v="29.43"/>
    <x v="2409"/>
    <n v="-0.1"/>
    <n v="37182"/>
    <n v="0"/>
    <n v="74747"/>
    <x v="121"/>
    <n v="57"/>
    <s v="V (Oct 20)"/>
    <d v="2020-10-21T00:00:00"/>
    <n v="-1"/>
  </r>
  <r>
    <x v="452"/>
    <x v="27"/>
    <n v="28.9"/>
    <n v="29.58"/>
    <n v="28.7"/>
    <n v="28.77"/>
    <x v="178"/>
    <n v="-7.4999999999999997E-2"/>
    <n v="8192"/>
    <n v="0"/>
    <n v="28343"/>
    <x v="117"/>
    <n v="85"/>
    <s v="X (Nov 20)"/>
    <d v="2020-11-18T00:00:00"/>
    <n v="-1"/>
  </r>
  <r>
    <x v="452"/>
    <x v="23"/>
    <n v="28.15"/>
    <n v="28.47"/>
    <n v="27.92"/>
    <n v="27.95"/>
    <x v="2376"/>
    <n v="-0.15"/>
    <n v="1049"/>
    <n v="0"/>
    <n v="3618"/>
    <x v="48"/>
    <n v="204"/>
    <s v="H (Mar 21)"/>
    <d v="2021-03-17T00:00:00"/>
    <n v="-1"/>
  </r>
  <r>
    <x v="452"/>
    <x v="26"/>
    <n v="28.2"/>
    <n v="28.72"/>
    <n v="27.97"/>
    <n v="27.99"/>
    <x v="2376"/>
    <n v="-0.125"/>
    <n v="6120"/>
    <n v="0"/>
    <n v="20497"/>
    <x v="79"/>
    <n v="113"/>
    <s v="Z (Dec 20)"/>
    <d v="2020-12-16T00:00:00"/>
    <n v="-1"/>
  </r>
  <r>
    <x v="452"/>
    <x v="25"/>
    <n v="28.6"/>
    <n v="28.98"/>
    <n v="28.25"/>
    <n v="28.3"/>
    <x v="21"/>
    <n v="-0.15"/>
    <n v="4671"/>
    <n v="0"/>
    <n v="11393"/>
    <x v="94"/>
    <n v="148"/>
    <s v="F (Jan 21)"/>
    <d v="2021-01-20T00:00:00"/>
    <n v="-1"/>
  </r>
  <r>
    <x v="452"/>
    <x v="24"/>
    <n v="28.6"/>
    <n v="29.02"/>
    <n v="28.38"/>
    <n v="28.4"/>
    <x v="214"/>
    <n v="-0.17499999999999999"/>
    <n v="2822"/>
    <n v="0"/>
    <n v="7781"/>
    <x v="89"/>
    <n v="176"/>
    <s v="G (Feb 21)"/>
    <d v="2021-02-17T00:00:00"/>
    <n v="-1"/>
  </r>
  <r>
    <x v="453"/>
    <x v="23"/>
    <n v="28.31"/>
    <n v="28.37"/>
    <n v="27.9"/>
    <n v="28.25"/>
    <x v="33"/>
    <n v="-0.15"/>
    <n v="1344"/>
    <n v="0"/>
    <n v="3159"/>
    <x v="54"/>
    <n v="205"/>
    <s v="H (Mar 21)"/>
    <d v="2021-03-17T00:00:00"/>
    <n v="-1"/>
  </r>
  <r>
    <x v="453"/>
    <x v="26"/>
    <n v="28.17"/>
    <n v="28.3"/>
    <n v="27.67"/>
    <n v="28.25"/>
    <x v="49"/>
    <n v="2.5000000000000001E-2"/>
    <n v="3826"/>
    <n v="0"/>
    <n v="20853"/>
    <x v="82"/>
    <n v="114"/>
    <s v="Z (Dec 20)"/>
    <d v="2020-12-16T00:00:00"/>
    <n v="-1"/>
  </r>
  <r>
    <x v="453"/>
    <x v="25"/>
    <n v="28.5"/>
    <n v="28.6"/>
    <n v="28.1"/>
    <n v="28.55"/>
    <x v="520"/>
    <n v="0"/>
    <n v="3725"/>
    <n v="0"/>
    <n v="11166"/>
    <x v="106"/>
    <n v="149"/>
    <s v="F (Jan 21)"/>
    <d v="2021-01-20T00:00:00"/>
    <n v="-1"/>
  </r>
  <r>
    <x v="453"/>
    <x v="24"/>
    <n v="28.62"/>
    <n v="28.7"/>
    <n v="28.2"/>
    <n v="28.7"/>
    <x v="87"/>
    <n v="-0.05"/>
    <n v="3194"/>
    <n v="0"/>
    <n v="7212"/>
    <x v="95"/>
    <n v="177"/>
    <s v="G (Feb 21)"/>
    <d v="2021-02-17T00:00:00"/>
    <n v="-1"/>
  </r>
  <r>
    <x v="453"/>
    <x v="29"/>
    <n v="25.78"/>
    <n v="26.15"/>
    <n v="25.05"/>
    <n v="25.9"/>
    <x v="358"/>
    <n v="-0.1"/>
    <n v="61512"/>
    <n v="234"/>
    <n v="161960"/>
    <x v="119"/>
    <n v="23"/>
    <s v="U (Sep 20)"/>
    <d v="2020-09-16T00:00:00"/>
    <n v="-1"/>
  </r>
  <r>
    <x v="453"/>
    <x v="22"/>
    <n v="27.9"/>
    <n v="27.9"/>
    <n v="27.7"/>
    <n v="27.9"/>
    <x v="2243"/>
    <n v="0.125"/>
    <n v="1"/>
    <n v="0"/>
    <n v="19"/>
    <x v="128"/>
    <n v="240"/>
    <s v="J (Apr 21)"/>
    <d v="2021-04-21T00:00:00"/>
    <n v="-1"/>
  </r>
  <r>
    <x v="453"/>
    <x v="28"/>
    <n v="29.4"/>
    <n v="29.72"/>
    <n v="28.8"/>
    <n v="29.6"/>
    <x v="2288"/>
    <n v="0"/>
    <n v="38603"/>
    <n v="43"/>
    <n v="69389"/>
    <x v="127"/>
    <n v="58"/>
    <s v="V (Oct 20)"/>
    <d v="2020-10-21T00:00:00"/>
    <n v="-1"/>
  </r>
  <r>
    <x v="453"/>
    <x v="27"/>
    <n v="28.78"/>
    <n v="29.02"/>
    <n v="28.3"/>
    <n v="28.95"/>
    <x v="2155"/>
    <n v="2.5000000000000001E-2"/>
    <n v="5483"/>
    <n v="0"/>
    <n v="28649"/>
    <x v="131"/>
    <n v="86"/>
    <s v="X (Nov 20)"/>
    <d v="2020-11-18T00:00:00"/>
    <n v="-1"/>
  </r>
  <r>
    <x v="454"/>
    <x v="29"/>
    <n v="25.9"/>
    <n v="26.95"/>
    <n v="25.6"/>
    <n v="26"/>
    <x v="622"/>
    <n v="0.05"/>
    <n v="61933"/>
    <n v="893"/>
    <n v="168321"/>
    <x v="133"/>
    <n v="26"/>
    <s v="U (Sep 20)"/>
    <d v="2020-09-16T00:00:00"/>
    <n v="-1"/>
  </r>
  <r>
    <x v="454"/>
    <x v="22"/>
    <n v="27.9"/>
    <n v="27.9"/>
    <n v="27.65"/>
    <n v="27.9"/>
    <x v="232"/>
    <n v="0.45"/>
    <n v="4"/>
    <n v="0"/>
    <n v="18"/>
    <x v="139"/>
    <n v="243"/>
    <s v="J (Apr 21)"/>
    <d v="2021-04-21T00:00:00"/>
    <n v="-1"/>
  </r>
  <r>
    <x v="454"/>
    <x v="28"/>
    <n v="29.25"/>
    <n v="30.1"/>
    <n v="29"/>
    <n v="29.57"/>
    <x v="2288"/>
    <n v="0.35"/>
    <n v="37246"/>
    <n v="107"/>
    <n v="62631"/>
    <x v="138"/>
    <n v="61"/>
    <s v="V (Oct 20)"/>
    <d v="2020-10-21T00:00:00"/>
    <n v="-1"/>
  </r>
  <r>
    <x v="454"/>
    <x v="27"/>
    <n v="28.52"/>
    <n v="29.3"/>
    <n v="28.39"/>
    <n v="28.94"/>
    <x v="2357"/>
    <n v="0.3"/>
    <n v="7605"/>
    <n v="0"/>
    <n v="28803"/>
    <x v="134"/>
    <n v="89"/>
    <s v="X (Nov 20)"/>
    <d v="2020-11-18T00:00:00"/>
    <n v="-1"/>
  </r>
  <r>
    <x v="454"/>
    <x v="23"/>
    <n v="27.57"/>
    <n v="28.4"/>
    <n v="27.55"/>
    <n v="28.38"/>
    <x v="21"/>
    <n v="0.75"/>
    <n v="1703"/>
    <n v="0"/>
    <n v="2593"/>
    <x v="66"/>
    <n v="208"/>
    <s v="H (Mar 21)"/>
    <d v="2021-03-17T00:00:00"/>
    <n v="-1"/>
  </r>
  <r>
    <x v="454"/>
    <x v="26"/>
    <n v="27.77"/>
    <n v="28.45"/>
    <n v="27.66"/>
    <n v="28.24"/>
    <x v="85"/>
    <n v="0.35"/>
    <n v="5035"/>
    <n v="0"/>
    <n v="20592"/>
    <x v="97"/>
    <n v="117"/>
    <s v="Z (Dec 20)"/>
    <d v="2020-12-16T00:00:00"/>
    <n v="-1"/>
  </r>
  <r>
    <x v="454"/>
    <x v="25"/>
    <n v="27.9"/>
    <n v="28.6"/>
    <n v="27.82"/>
    <n v="28.58"/>
    <x v="520"/>
    <n v="0.55000000000000004"/>
    <n v="4460"/>
    <n v="0"/>
    <n v="10385"/>
    <x v="112"/>
    <n v="152"/>
    <s v="F (Jan 21)"/>
    <d v="2021-01-20T00:00:00"/>
    <n v="-1"/>
  </r>
  <r>
    <x v="454"/>
    <x v="24"/>
    <n v="27.93"/>
    <n v="28.75"/>
    <n v="27.85"/>
    <n v="28.75"/>
    <x v="71"/>
    <n v="0.72499999999999998"/>
    <n v="2800"/>
    <n v="0"/>
    <n v="6490"/>
    <x v="107"/>
    <n v="180"/>
    <s v="G (Feb 21)"/>
    <d v="2021-02-17T00:00:00"/>
    <n v="-1"/>
  </r>
  <r>
    <x v="455"/>
    <x v="23"/>
    <n v="27.5"/>
    <n v="28.3"/>
    <n v="27.37"/>
    <n v="27.6"/>
    <x v="2099"/>
    <n v="-0.17499999999999999"/>
    <n v="799"/>
    <n v="0"/>
    <n v="1878"/>
    <x v="72"/>
    <n v="209"/>
    <s v="H (Mar 21)"/>
    <d v="2021-03-17T00:00:00"/>
    <n v="-1"/>
  </r>
  <r>
    <x v="455"/>
    <x v="26"/>
    <n v="27.92"/>
    <n v="28.52"/>
    <n v="27.65"/>
    <n v="27.8"/>
    <x v="232"/>
    <n v="-7.4999999999999997E-2"/>
    <n v="6803"/>
    <n v="0"/>
    <n v="20760"/>
    <x v="100"/>
    <n v="118"/>
    <s v="Z (Dec 20)"/>
    <d v="2020-12-16T00:00:00"/>
    <n v="-1"/>
  </r>
  <r>
    <x v="455"/>
    <x v="25"/>
    <n v="28.12"/>
    <n v="28.75"/>
    <n v="27.8"/>
    <n v="27.94"/>
    <x v="2240"/>
    <n v="-0.15"/>
    <n v="2578"/>
    <n v="0"/>
    <n v="9999"/>
    <x v="124"/>
    <n v="153"/>
    <s v="F (Jan 21)"/>
    <d v="2021-01-20T00:00:00"/>
    <n v="-1"/>
  </r>
  <r>
    <x v="455"/>
    <x v="24"/>
    <n v="28.21"/>
    <n v="28.7"/>
    <n v="27.85"/>
    <n v="27.95"/>
    <x v="2240"/>
    <n v="-0.15"/>
    <n v="1612"/>
    <n v="0"/>
    <n v="5815"/>
    <x v="113"/>
    <n v="181"/>
    <s v="G (Feb 21)"/>
    <d v="2021-02-17T00:00:00"/>
    <n v="-1"/>
  </r>
  <r>
    <x v="455"/>
    <x v="29"/>
    <n v="26.35"/>
    <n v="27.41"/>
    <n v="25.75"/>
    <n v="25.88"/>
    <x v="776"/>
    <n v="-0.35"/>
    <n v="71914"/>
    <n v="1621"/>
    <n v="172783"/>
    <x v="136"/>
    <n v="27"/>
    <s v="U (Sep 20)"/>
    <d v="2020-09-16T00:00:00"/>
    <n v="-1"/>
  </r>
  <r>
    <x v="455"/>
    <x v="22"/>
    <n v="27.05"/>
    <n v="27.3"/>
    <n v="27.05"/>
    <n v="27.05"/>
    <x v="488"/>
    <n v="2.0249999999999999"/>
    <n v="1"/>
    <n v="0"/>
    <n v="14"/>
    <x v="144"/>
    <n v="244"/>
    <s v="J (Apr 21)"/>
    <d v="2021-04-21T00:00:00"/>
    <n v="-1"/>
  </r>
  <r>
    <x v="455"/>
    <x v="28"/>
    <n v="29.4"/>
    <n v="30.32"/>
    <n v="29.11"/>
    <n v="29.22"/>
    <x v="104"/>
    <n v="-0.15"/>
    <n v="39630"/>
    <n v="90"/>
    <n v="58143"/>
    <x v="143"/>
    <n v="62"/>
    <s v="V (Oct 20)"/>
    <d v="2020-10-21T00:00:00"/>
    <n v="-1"/>
  </r>
  <r>
    <x v="455"/>
    <x v="27"/>
    <n v="28.7"/>
    <n v="29.4"/>
    <n v="28.45"/>
    <n v="28.5"/>
    <x v="164"/>
    <n v="-0.1"/>
    <n v="9318"/>
    <n v="0"/>
    <n v="29307"/>
    <x v="148"/>
    <n v="90"/>
    <s v="X (Nov 20)"/>
    <d v="2020-11-18T00:00:00"/>
    <n v="-1"/>
  </r>
  <r>
    <x v="456"/>
    <x v="29"/>
    <n v="25.55"/>
    <n v="26.35"/>
    <n v="25.28"/>
    <n v="26.25"/>
    <x v="2076"/>
    <n v="0.75"/>
    <n v="69399"/>
    <n v="0"/>
    <n v="176774"/>
    <x v="150"/>
    <n v="28"/>
    <s v="U (Sep 20)"/>
    <d v="2020-09-16T00:00:00"/>
    <n v="-1"/>
  </r>
  <r>
    <x v="456"/>
    <x v="22"/>
    <n v="25.5"/>
    <n v="25.65"/>
    <n v="25.5"/>
    <n v="25.5"/>
    <x v="1096"/>
    <n v="-0.05"/>
    <n v="1"/>
    <n v="0"/>
    <n v="13"/>
    <x v="155"/>
    <n v="245"/>
    <s v="J (Apr 21)"/>
    <d v="2021-04-21T00:00:00"/>
    <n v="-1"/>
  </r>
  <r>
    <x v="456"/>
    <x v="28"/>
    <n v="28.85"/>
    <n v="29.48"/>
    <n v="28.65"/>
    <n v="29.4"/>
    <x v="135"/>
    <n v="0.55000000000000004"/>
    <n v="39461"/>
    <n v="0"/>
    <n v="54470"/>
    <x v="154"/>
    <n v="63"/>
    <s v="V (Oct 20)"/>
    <d v="2020-10-21T00:00:00"/>
    <n v="-1"/>
  </r>
  <r>
    <x v="456"/>
    <x v="30"/>
    <n v="21.95"/>
    <n v="21.95"/>
    <n v="21.6"/>
    <n v="21.8"/>
    <x v="2410"/>
    <n v="-6.5000000000000002E-2"/>
    <n v="731"/>
    <n v="0"/>
    <n v="13877"/>
    <x v="145"/>
    <n v="0"/>
    <s v="Q (Aug 20)"/>
    <d v="2020-08-19T00:00:00"/>
    <n v="-1"/>
  </r>
  <r>
    <x v="456"/>
    <x v="27"/>
    <n v="28.22"/>
    <n v="28.73"/>
    <n v="28.1"/>
    <n v="28.68"/>
    <x v="2283"/>
    <n v="0.45"/>
    <n v="11010"/>
    <n v="0"/>
    <n v="29572"/>
    <x v="151"/>
    <n v="91"/>
    <s v="X (Nov 20)"/>
    <d v="2020-11-18T00:00:00"/>
    <n v="-1"/>
  </r>
  <r>
    <x v="456"/>
    <x v="23"/>
    <n v="27.36"/>
    <n v="27.84"/>
    <n v="27.3"/>
    <n v="27.8"/>
    <x v="270"/>
    <n v="0.42499999999999999"/>
    <n v="730"/>
    <n v="0"/>
    <n v="1586"/>
    <x v="84"/>
    <n v="210"/>
    <s v="H (Mar 21)"/>
    <d v="2021-03-17T00:00:00"/>
    <n v="-1"/>
  </r>
  <r>
    <x v="456"/>
    <x v="26"/>
    <n v="27.4"/>
    <n v="28"/>
    <n v="27.35"/>
    <n v="27.92"/>
    <x v="54"/>
    <n v="0.42499999999999999"/>
    <n v="6049"/>
    <n v="0"/>
    <n v="20106"/>
    <x v="115"/>
    <n v="119"/>
    <s v="Z (Dec 20)"/>
    <d v="2020-12-16T00:00:00"/>
    <n v="-1"/>
  </r>
  <r>
    <x v="456"/>
    <x v="25"/>
    <n v="27.8"/>
    <n v="28.25"/>
    <n v="27.62"/>
    <n v="28.15"/>
    <x v="2163"/>
    <n v="0.35"/>
    <n v="2416"/>
    <n v="0"/>
    <n v="10230"/>
    <x v="129"/>
    <n v="154"/>
    <s v="F (Jan 21)"/>
    <d v="2021-01-20T00:00:00"/>
    <n v="-1"/>
  </r>
  <r>
    <x v="456"/>
    <x v="24"/>
    <n v="27.65"/>
    <n v="28.22"/>
    <n v="27.58"/>
    <n v="28.15"/>
    <x v="2163"/>
    <n v="0.45"/>
    <n v="2202"/>
    <n v="0"/>
    <n v="5774"/>
    <x v="125"/>
    <n v="182"/>
    <s v="G (Feb 21)"/>
    <d v="2021-02-17T00:00:00"/>
    <n v="-1"/>
  </r>
  <r>
    <x v="457"/>
    <x v="23"/>
    <n v="27.52"/>
    <n v="27.62"/>
    <n v="27.22"/>
    <n v="27.4"/>
    <x v="488"/>
    <n v="-2.5000000000000001E-2"/>
    <n v="491"/>
    <n v="0"/>
    <n v="1313"/>
    <x v="90"/>
    <n v="211"/>
    <s v="H (Mar 21)"/>
    <d v="2021-03-17T00:00:00"/>
    <n v="-1"/>
  </r>
  <r>
    <x v="457"/>
    <x v="26"/>
    <n v="27.4"/>
    <n v="27.75"/>
    <n v="27.2"/>
    <n v="27.42"/>
    <x v="2244"/>
    <n v="0.1"/>
    <n v="6174"/>
    <n v="0"/>
    <n v="19197"/>
    <x v="118"/>
    <n v="120"/>
    <s v="Z (Dec 20)"/>
    <d v="2020-12-16T00:00:00"/>
    <n v="-1"/>
  </r>
  <r>
    <x v="457"/>
    <x v="25"/>
    <n v="27.87"/>
    <n v="28.16"/>
    <n v="27.56"/>
    <n v="27.75"/>
    <x v="2134"/>
    <n v="-0.1"/>
    <n v="2583"/>
    <n v="0"/>
    <n v="9928"/>
    <x v="140"/>
    <n v="155"/>
    <s v="F (Jan 21)"/>
    <d v="2021-01-20T00:00:00"/>
    <n v="-1"/>
  </r>
  <r>
    <x v="457"/>
    <x v="24"/>
    <n v="27.77"/>
    <n v="27.95"/>
    <n v="27.45"/>
    <n v="27.65"/>
    <x v="2109"/>
    <n v="-0.1"/>
    <n v="1832"/>
    <n v="0"/>
    <n v="5036"/>
    <x v="130"/>
    <n v="183"/>
    <s v="G (Feb 21)"/>
    <d v="2021-02-17T00:00:00"/>
    <n v="-1"/>
  </r>
  <r>
    <x v="457"/>
    <x v="29"/>
    <n v="25.85"/>
    <n v="26.3"/>
    <n v="25.45"/>
    <n v="25.55"/>
    <x v="1881"/>
    <n v="-0.35"/>
    <n v="71017"/>
    <n v="285"/>
    <n v="179090"/>
    <x v="153"/>
    <n v="29"/>
    <s v="U (Sep 20)"/>
    <d v="2020-09-16T00:00:00"/>
    <n v="-1"/>
  </r>
  <r>
    <x v="457"/>
    <x v="28"/>
    <n v="29.27"/>
    <n v="29.44"/>
    <n v="28.66"/>
    <n v="28.85"/>
    <x v="178"/>
    <n v="-0.3"/>
    <n v="26763"/>
    <n v="0"/>
    <n v="49410"/>
    <x v="159"/>
    <n v="64"/>
    <s v="V (Oct 20)"/>
    <d v="2020-10-21T00:00:00"/>
    <n v="-1"/>
  </r>
  <r>
    <x v="457"/>
    <x v="30"/>
    <n v="21.81"/>
    <n v="22.56"/>
    <n v="21.4"/>
    <n v="21.95"/>
    <x v="2411"/>
    <n v="0"/>
    <n v="53706"/>
    <n v="15"/>
    <n v="15351"/>
    <x v="156"/>
    <n v="1"/>
    <s v="Q (Aug 20)"/>
    <d v="2020-08-19T00:00:00"/>
    <n v="-1"/>
  </r>
  <r>
    <x v="457"/>
    <x v="27"/>
    <n v="28.37"/>
    <n v="28.66"/>
    <n v="28.05"/>
    <n v="28.25"/>
    <x v="33"/>
    <n v="0.1"/>
    <n v="12018"/>
    <n v="0"/>
    <n v="29487"/>
    <x v="164"/>
    <n v="92"/>
    <s v="X (Nov 20)"/>
    <d v="2020-11-18T00:00:00"/>
    <n v="-1"/>
  </r>
  <r>
    <x v="458"/>
    <x v="29"/>
    <n v="26.8"/>
    <n v="26.8"/>
    <n v="25.75"/>
    <n v="25.93"/>
    <x v="358"/>
    <n v="-1.1499999999999999"/>
    <n v="56386"/>
    <n v="0"/>
    <n v="169647"/>
    <x v="166"/>
    <n v="30"/>
    <s v="U (Sep 20)"/>
    <d v="2020-09-16T00:00:00"/>
    <n v="-1"/>
  </r>
  <r>
    <x v="458"/>
    <x v="28"/>
    <n v="29.95"/>
    <n v="30"/>
    <n v="29.08"/>
    <n v="29.32"/>
    <x v="115"/>
    <n v="-0.92500000000000004"/>
    <n v="13273"/>
    <n v="0"/>
    <n v="42295"/>
    <x v="170"/>
    <n v="65"/>
    <s v="V (Oct 20)"/>
    <d v="2020-10-21T00:00:00"/>
    <n v="-1"/>
  </r>
  <r>
    <x v="458"/>
    <x v="30"/>
    <n v="23.15"/>
    <n v="23.2"/>
    <n v="21.77"/>
    <n v="21.9"/>
    <x v="2411"/>
    <n v="-1.5"/>
    <n v="51100"/>
    <n v="0"/>
    <n v="27876"/>
    <x v="161"/>
    <n v="2"/>
    <s v="Q (Aug 20)"/>
    <d v="2020-08-19T00:00:00"/>
    <n v="-1"/>
  </r>
  <r>
    <x v="458"/>
    <x v="27"/>
    <n v="28.7"/>
    <n v="28.75"/>
    <n v="27.96"/>
    <n v="28.4"/>
    <x v="2163"/>
    <n v="-0.65"/>
    <n v="11253"/>
    <n v="0"/>
    <n v="29125"/>
    <x v="167"/>
    <n v="93"/>
    <s v="X (Nov 20)"/>
    <d v="2020-11-18T00:00:00"/>
    <n v="-1"/>
  </r>
  <r>
    <x v="458"/>
    <x v="23"/>
    <n v="27.7"/>
    <n v="27.8"/>
    <n v="27.37"/>
    <n v="27.5"/>
    <x v="347"/>
    <n v="-0.55000000000000004"/>
    <n v="362"/>
    <n v="0"/>
    <n v="1094"/>
    <x v="102"/>
    <n v="212"/>
    <s v="H (Mar 21)"/>
    <d v="2021-03-17T00:00:00"/>
    <n v="-1"/>
  </r>
  <r>
    <x v="458"/>
    <x v="26"/>
    <n v="28.06"/>
    <n v="28.1"/>
    <n v="27.31"/>
    <n v="27.6"/>
    <x v="488"/>
    <n v="-0.92500000000000004"/>
    <n v="7541"/>
    <n v="0"/>
    <n v="18656"/>
    <x v="132"/>
    <n v="121"/>
    <s v="Z (Dec 20)"/>
    <d v="2020-12-16T00:00:00"/>
    <n v="-1"/>
  </r>
  <r>
    <x v="458"/>
    <x v="25"/>
    <n v="28.47"/>
    <n v="28.5"/>
    <n v="27.8"/>
    <n v="28.02"/>
    <x v="2327"/>
    <n v="-0.8"/>
    <n v="2970"/>
    <n v="0"/>
    <n v="9765"/>
    <x v="146"/>
    <n v="156"/>
    <s v="F (Jan 21)"/>
    <d v="2021-01-20T00:00:00"/>
    <n v="-1"/>
  </r>
  <r>
    <x v="458"/>
    <x v="24"/>
    <n v="28.15"/>
    <n v="28.15"/>
    <n v="27.7"/>
    <n v="27.87"/>
    <x v="2134"/>
    <n v="-0.55000000000000004"/>
    <n v="1960"/>
    <n v="0"/>
    <n v="4872"/>
    <x v="141"/>
    <n v="184"/>
    <s v="G (Feb 21)"/>
    <d v="2021-02-17T00:00:00"/>
    <n v="-1"/>
  </r>
  <r>
    <x v="459"/>
    <x v="23"/>
    <n v="27.8"/>
    <n v="28.1"/>
    <n v="27.65"/>
    <n v="27.9"/>
    <x v="2243"/>
    <n v="0.27500000000000002"/>
    <n v="244"/>
    <n v="0"/>
    <n v="928"/>
    <x v="108"/>
    <n v="215"/>
    <s v="H (Mar 21)"/>
    <d v="2021-03-17T00:00:00"/>
    <n v="-1"/>
  </r>
  <r>
    <x v="459"/>
    <x v="26"/>
    <n v="27.85"/>
    <n v="28.37"/>
    <n v="27.77"/>
    <n v="28.25"/>
    <x v="82"/>
    <n v="0.47499999999999998"/>
    <n v="8878"/>
    <n v="0"/>
    <n v="18722"/>
    <x v="135"/>
    <n v="124"/>
    <s v="Z (Dec 20)"/>
    <d v="2020-12-16T00:00:00"/>
    <n v="-1"/>
  </r>
  <r>
    <x v="459"/>
    <x v="25"/>
    <n v="28.32"/>
    <n v="28.8"/>
    <n v="28.25"/>
    <n v="28.55"/>
    <x v="2283"/>
    <n v="0.4"/>
    <n v="3154"/>
    <n v="0"/>
    <n v="9360"/>
    <x v="157"/>
    <n v="159"/>
    <s v="F (Jan 21)"/>
    <d v="2021-01-20T00:00:00"/>
    <n v="-1"/>
  </r>
  <r>
    <x v="459"/>
    <x v="24"/>
    <n v="27.99"/>
    <n v="28.45"/>
    <n v="27.95"/>
    <n v="28.2"/>
    <x v="2328"/>
    <n v="0.4"/>
    <n v="1905"/>
    <n v="0"/>
    <n v="4508"/>
    <x v="147"/>
    <n v="187"/>
    <s v="G (Feb 21)"/>
    <d v="2021-02-17T00:00:00"/>
    <n v="-1"/>
  </r>
  <r>
    <x v="459"/>
    <x v="29"/>
    <n v="26.8"/>
    <n v="27.7"/>
    <n v="26.65"/>
    <n v="26.94"/>
    <x v="336"/>
    <n v="0.15"/>
    <n v="53492"/>
    <n v="0"/>
    <n v="160228"/>
    <x v="169"/>
    <n v="33"/>
    <s v="U (Sep 20)"/>
    <d v="2020-09-16T00:00:00"/>
    <n v="-1"/>
  </r>
  <r>
    <x v="459"/>
    <x v="28"/>
    <n v="30.02"/>
    <n v="30.72"/>
    <n v="29.9"/>
    <n v="30.13"/>
    <x v="2412"/>
    <n v="2.5000000000000001E-2"/>
    <n v="13707"/>
    <n v="0"/>
    <n v="39911"/>
    <x v="6"/>
    <n v="68"/>
    <s v="V (Oct 20)"/>
    <d v="2020-10-21T00:00:00"/>
    <n v="-1"/>
  </r>
  <r>
    <x v="459"/>
    <x v="30"/>
    <n v="23.2"/>
    <n v="24.3"/>
    <n v="22.95"/>
    <n v="23.29"/>
    <x v="1760"/>
    <n v="0.05"/>
    <n v="53450"/>
    <n v="0"/>
    <n v="37190"/>
    <x v="8"/>
    <n v="5"/>
    <s v="Q (Aug 20)"/>
    <d v="2020-08-19T00:00:00"/>
    <n v="-1"/>
  </r>
  <r>
    <x v="459"/>
    <x v="27"/>
    <n v="28.65"/>
    <n v="29.25"/>
    <n v="28.57"/>
    <n v="28.85"/>
    <x v="2150"/>
    <n v="0.2"/>
    <n v="9752"/>
    <n v="0"/>
    <n v="26620"/>
    <x v="175"/>
    <n v="96"/>
    <s v="X (Nov 20)"/>
    <d v="2020-11-18T00:00:00"/>
    <n v="-1"/>
  </r>
  <r>
    <x v="460"/>
    <x v="29"/>
    <n v="26.85"/>
    <n v="27.2"/>
    <n v="26.25"/>
    <n v="26.82"/>
    <x v="550"/>
    <n v="-0.05"/>
    <n v="51912"/>
    <n v="0"/>
    <n v="150510"/>
    <x v="176"/>
    <n v="34"/>
    <s v="U (Sep 20)"/>
    <d v="2020-09-16T00:00:00"/>
    <n v="-1"/>
  </r>
  <r>
    <x v="460"/>
    <x v="28"/>
    <n v="30.05"/>
    <n v="30.36"/>
    <n v="29.55"/>
    <n v="30.05"/>
    <x v="2360"/>
    <n v="0"/>
    <n v="10107"/>
    <n v="0"/>
    <n v="37767"/>
    <x v="9"/>
    <n v="69"/>
    <s v="V (Oct 20)"/>
    <d v="2020-10-21T00:00:00"/>
    <n v="-1"/>
  </r>
  <r>
    <x v="460"/>
    <x v="30"/>
    <n v="23.6"/>
    <n v="23.65"/>
    <n v="22.6"/>
    <n v="23.2"/>
    <x v="2310"/>
    <n v="-0.05"/>
    <n v="59489"/>
    <n v="0"/>
    <n v="48113"/>
    <x v="11"/>
    <n v="6"/>
    <s v="Q (Aug 20)"/>
    <d v="2020-08-19T00:00:00"/>
    <n v="-1"/>
  </r>
  <r>
    <x v="460"/>
    <x v="27"/>
    <n v="28.55"/>
    <n v="28.9"/>
    <n v="28.22"/>
    <n v="28.65"/>
    <x v="164"/>
    <n v="0.05"/>
    <n v="5173"/>
    <n v="0"/>
    <n v="26926"/>
    <x v="177"/>
    <n v="97"/>
    <s v="X (Nov 20)"/>
    <d v="2020-11-18T00:00:00"/>
    <n v="-1"/>
  </r>
  <r>
    <x v="460"/>
    <x v="23"/>
    <n v="27.55"/>
    <n v="27.75"/>
    <n v="27.32"/>
    <n v="27.62"/>
    <x v="2109"/>
    <n v="0.22500000000000001"/>
    <n v="321"/>
    <n v="0"/>
    <n v="815"/>
    <x v="120"/>
    <n v="216"/>
    <s v="H (Mar 21)"/>
    <d v="2021-03-17T00:00:00"/>
    <n v="-1"/>
  </r>
  <r>
    <x v="460"/>
    <x v="26"/>
    <n v="27.7"/>
    <n v="28.01"/>
    <n v="27.4"/>
    <n v="27.8"/>
    <x v="232"/>
    <n v="0.15"/>
    <n v="3136"/>
    <n v="0"/>
    <n v="16737"/>
    <x v="149"/>
    <n v="125"/>
    <s v="Z (Dec 20)"/>
    <d v="2020-12-16T00:00:00"/>
    <n v="-1"/>
  </r>
  <r>
    <x v="460"/>
    <x v="22"/>
    <n v="27.4"/>
    <n v="27.45"/>
    <n v="27.4"/>
    <n v="27.45"/>
    <x v="230"/>
    <n v="-0.27500000000000002"/>
    <n v="5"/>
    <n v="0"/>
    <n v="12"/>
    <x v="16"/>
    <n v="251"/>
    <s v="J (Apr 21)"/>
    <d v="2021-04-21T00:00:00"/>
    <n v="-1"/>
  </r>
  <r>
    <x v="460"/>
    <x v="25"/>
    <n v="28.05"/>
    <n v="28.4"/>
    <n v="27.85"/>
    <n v="28.25"/>
    <x v="22"/>
    <n v="0.2"/>
    <n v="1770"/>
    <n v="0"/>
    <n v="9346"/>
    <x v="162"/>
    <n v="160"/>
    <s v="F (Jan 21)"/>
    <d v="2021-01-20T00:00:00"/>
    <n v="-1"/>
  </r>
  <r>
    <x v="460"/>
    <x v="24"/>
    <n v="27.75"/>
    <n v="28.06"/>
    <n v="27.6"/>
    <n v="27.92"/>
    <x v="2349"/>
    <n v="0.2"/>
    <n v="1194"/>
    <n v="0"/>
    <n v="3905"/>
    <x v="158"/>
    <n v="188"/>
    <s v="G (Feb 21)"/>
    <d v="2021-02-17T00:00:00"/>
    <n v="-1"/>
  </r>
  <r>
    <x v="461"/>
    <x v="23"/>
    <n v="27.9"/>
    <n v="27.9"/>
    <n v="27.1"/>
    <n v="27.5"/>
    <x v="262"/>
    <n v="-0.52500000000000002"/>
    <n v="260"/>
    <n v="0"/>
    <n v="634"/>
    <x v="126"/>
    <n v="217"/>
    <s v="H (Mar 21)"/>
    <d v="2021-03-17T00:00:00"/>
    <n v="-1"/>
  </r>
  <r>
    <x v="461"/>
    <x v="26"/>
    <n v="28"/>
    <n v="28.25"/>
    <n v="27.35"/>
    <n v="27.68"/>
    <x v="2109"/>
    <n v="-0.55000000000000004"/>
    <n v="3618"/>
    <n v="0"/>
    <n v="16430"/>
    <x v="152"/>
    <n v="126"/>
    <s v="Z (Dec 20)"/>
    <d v="2020-12-16T00:00:00"/>
    <n v="-1"/>
  </r>
  <r>
    <x v="461"/>
    <x v="22"/>
    <n v="27.95"/>
    <n v="27.95"/>
    <n v="27.38"/>
    <n v="27.4"/>
    <x v="341"/>
    <n v="0.6"/>
    <n v="8"/>
    <n v="0"/>
    <n v="7"/>
    <x v="22"/>
    <n v="252"/>
    <s v="J (Apr 21)"/>
    <d v="2021-04-21T00:00:00"/>
    <n v="-1"/>
  </r>
  <r>
    <x v="461"/>
    <x v="25"/>
    <n v="28.35"/>
    <n v="28.65"/>
    <n v="27.77"/>
    <n v="28.15"/>
    <x v="2376"/>
    <n v="-0.55000000000000004"/>
    <n v="2186"/>
    <n v="0"/>
    <n v="8999"/>
    <x v="172"/>
    <n v="161"/>
    <s v="F (Jan 21)"/>
    <d v="2021-01-20T00:00:00"/>
    <n v="-1"/>
  </r>
  <r>
    <x v="461"/>
    <x v="24"/>
    <n v="28.15"/>
    <n v="28.2"/>
    <n v="27.36"/>
    <n v="27.75"/>
    <x v="2358"/>
    <n v="-0.5"/>
    <n v="1352"/>
    <n v="0"/>
    <n v="3693"/>
    <x v="163"/>
    <n v="189"/>
    <s v="G (Feb 21)"/>
    <d v="2021-02-17T00:00:00"/>
    <n v="-1"/>
  </r>
  <r>
    <x v="461"/>
    <x v="29"/>
    <n v="27.9"/>
    <n v="28.25"/>
    <n v="26.65"/>
    <n v="26.95"/>
    <x v="579"/>
    <n v="-1.3"/>
    <n v="58874"/>
    <n v="956"/>
    <n v="140357"/>
    <x v="178"/>
    <n v="35"/>
    <s v="U (Sep 20)"/>
    <d v="2020-09-16T00:00:00"/>
    <n v="-1"/>
  </r>
  <r>
    <x v="461"/>
    <x v="28"/>
    <n v="30.71"/>
    <n v="31.02"/>
    <n v="29.7"/>
    <n v="30.04"/>
    <x v="2360"/>
    <n v="-0.95"/>
    <n v="11924"/>
    <n v="0"/>
    <n v="36554"/>
    <x v="24"/>
    <n v="70"/>
    <s v="V (Oct 20)"/>
    <d v="2020-10-21T00:00:00"/>
    <n v="-1"/>
  </r>
  <r>
    <x v="461"/>
    <x v="30"/>
    <n v="24.64"/>
    <n v="25.03"/>
    <n v="23.03"/>
    <n v="23.35"/>
    <x v="1760"/>
    <n v="-1.65"/>
    <n v="63811"/>
    <n v="318"/>
    <n v="59364"/>
    <x v="26"/>
    <n v="7"/>
    <s v="Q (Aug 20)"/>
    <d v="2020-08-19T00:00:00"/>
    <n v="-1"/>
  </r>
  <r>
    <x v="461"/>
    <x v="27"/>
    <n v="28.94"/>
    <n v="29.3"/>
    <n v="28.25"/>
    <n v="28.56"/>
    <x v="520"/>
    <n v="-0.75"/>
    <n v="5395"/>
    <n v="0"/>
    <n v="26573"/>
    <x v="181"/>
    <n v="98"/>
    <s v="X (Nov 20)"/>
    <d v="2020-11-18T00:00:00"/>
    <n v="-1"/>
  </r>
  <r>
    <x v="462"/>
    <x v="29"/>
    <n v="27.2"/>
    <n v="28.35"/>
    <n v="26.19"/>
    <n v="27.9"/>
    <x v="85"/>
    <n v="1.05"/>
    <n v="63303"/>
    <n v="207"/>
    <n v="129427"/>
    <x v="182"/>
    <n v="36"/>
    <s v="U (Sep 20)"/>
    <d v="2020-09-16T00:00:00"/>
    <n v="-1"/>
  </r>
  <r>
    <x v="462"/>
    <x v="28"/>
    <n v="30.05"/>
    <n v="31.07"/>
    <n v="29.2"/>
    <n v="30.71"/>
    <x v="2413"/>
    <n v="0.95"/>
    <n v="14546"/>
    <n v="0"/>
    <n v="35763"/>
    <x v="27"/>
    <n v="71"/>
    <s v="V (Oct 20)"/>
    <d v="2020-10-21T00:00:00"/>
    <n v="-1"/>
  </r>
  <r>
    <x v="462"/>
    <x v="30"/>
    <n v="23.81"/>
    <n v="25.4"/>
    <n v="22.65"/>
    <n v="24.68"/>
    <x v="1067"/>
    <n v="1.1499999999999999"/>
    <n v="81213"/>
    <n v="88"/>
    <n v="71807"/>
    <x v="29"/>
    <n v="8"/>
    <s v="Q (Aug 20)"/>
    <d v="2020-08-19T00:00:00"/>
    <n v="-1"/>
  </r>
  <r>
    <x v="462"/>
    <x v="27"/>
    <n v="28.6"/>
    <n v="29.35"/>
    <n v="27.85"/>
    <n v="29.02"/>
    <x v="2352"/>
    <n v="0.7"/>
    <n v="7813"/>
    <n v="0"/>
    <n v="26163"/>
    <x v="183"/>
    <n v="99"/>
    <s v="X (Nov 20)"/>
    <d v="2020-11-18T00:00:00"/>
    <n v="-1"/>
  </r>
  <r>
    <x v="462"/>
    <x v="23"/>
    <n v="27"/>
    <n v="28"/>
    <n v="26.95"/>
    <n v="27.95"/>
    <x v="2240"/>
    <n v="0.52500000000000002"/>
    <n v="146"/>
    <n v="0"/>
    <n v="553"/>
    <x v="137"/>
    <n v="218"/>
    <s v="H (Mar 21)"/>
    <d v="2021-03-17T00:00:00"/>
    <n v="-1"/>
  </r>
  <r>
    <x v="462"/>
    <x v="26"/>
    <n v="27.65"/>
    <n v="28.33"/>
    <n v="27.05"/>
    <n v="28.05"/>
    <x v="33"/>
    <n v="0.6"/>
    <n v="4393"/>
    <n v="0"/>
    <n v="15905"/>
    <x v="165"/>
    <n v="127"/>
    <s v="Z (Dec 20)"/>
    <d v="2020-12-16T00:00:00"/>
    <n v="-1"/>
  </r>
  <r>
    <x v="462"/>
    <x v="25"/>
    <n v="28.15"/>
    <n v="28.67"/>
    <n v="27.52"/>
    <n v="28.45"/>
    <x v="88"/>
    <n v="0.55000000000000004"/>
    <n v="3382"/>
    <n v="0"/>
    <n v="8820"/>
    <x v="0"/>
    <n v="162"/>
    <s v="F (Jan 21)"/>
    <d v="2021-01-20T00:00:00"/>
    <n v="-1"/>
  </r>
  <r>
    <x v="462"/>
    <x v="24"/>
    <n v="27.77"/>
    <n v="28.24"/>
    <n v="27.15"/>
    <n v="28.04"/>
    <x v="33"/>
    <n v="0.5"/>
    <n v="1063"/>
    <n v="0"/>
    <n v="3350"/>
    <x v="173"/>
    <n v="190"/>
    <s v="G (Feb 21)"/>
    <d v="2021-02-17T00:00:00"/>
    <n v="-1"/>
  </r>
  <r>
    <x v="463"/>
    <x v="23"/>
    <n v="27.6"/>
    <n v="27.7"/>
    <n v="27.4"/>
    <n v="27.46"/>
    <x v="262"/>
    <n v="-0.32500000000000001"/>
    <n v="46"/>
    <n v="0"/>
    <n v="502"/>
    <x v="142"/>
    <n v="219"/>
    <s v="H (Mar 21)"/>
    <d v="2021-03-17T00:00:00"/>
    <n v="-1"/>
  </r>
  <r>
    <x v="463"/>
    <x v="26"/>
    <n v="27.92"/>
    <n v="28.08"/>
    <n v="27.45"/>
    <n v="27.64"/>
    <x v="2099"/>
    <n v="-0.35"/>
    <n v="1608"/>
    <n v="0"/>
    <n v="15197"/>
    <x v="168"/>
    <n v="128"/>
    <s v="Z (Dec 20)"/>
    <d v="2020-12-16T00:00:00"/>
    <n v="-1"/>
  </r>
  <r>
    <x v="463"/>
    <x v="25"/>
    <n v="28.4"/>
    <n v="28.5"/>
    <n v="27.9"/>
    <n v="28.09"/>
    <x v="2376"/>
    <n v="-0.35"/>
    <n v="865"/>
    <n v="0"/>
    <n v="8101"/>
    <x v="12"/>
    <n v="163"/>
    <s v="F (Jan 21)"/>
    <d v="2021-01-20T00:00:00"/>
    <n v="-1"/>
  </r>
  <r>
    <x v="463"/>
    <x v="24"/>
    <n v="27.9"/>
    <n v="28.05"/>
    <n v="27.52"/>
    <n v="27.75"/>
    <x v="2358"/>
    <n v="-0.3"/>
    <n v="460"/>
    <n v="0"/>
    <n v="3201"/>
    <x v="174"/>
    <n v="191"/>
    <s v="G (Feb 21)"/>
    <d v="2021-02-17T00:00:00"/>
    <n v="-1"/>
  </r>
  <r>
    <x v="463"/>
    <x v="29"/>
    <n v="27.81"/>
    <n v="28.01"/>
    <n v="27"/>
    <n v="27.1"/>
    <x v="727"/>
    <n v="-0.7"/>
    <n v="47399"/>
    <n v="0"/>
    <n v="120904"/>
    <x v="184"/>
    <n v="37"/>
    <s v="U (Sep 20)"/>
    <d v="2020-09-16T00:00:00"/>
    <n v="-1"/>
  </r>
  <r>
    <x v="463"/>
    <x v="28"/>
    <n v="30.6"/>
    <n v="30.65"/>
    <n v="29.9"/>
    <n v="30.02"/>
    <x v="2360"/>
    <n v="-0.5"/>
    <n v="10455"/>
    <n v="0"/>
    <n v="36556"/>
    <x v="42"/>
    <n v="72"/>
    <s v="V (Oct 20)"/>
    <d v="2020-10-21T00:00:00"/>
    <n v="-1"/>
  </r>
  <r>
    <x v="463"/>
    <x v="30"/>
    <n v="24.6"/>
    <n v="24.8"/>
    <n v="23.55"/>
    <n v="23.85"/>
    <x v="1634"/>
    <n v="-0.85"/>
    <n v="61606"/>
    <n v="0"/>
    <n v="84066"/>
    <x v="44"/>
    <n v="9"/>
    <s v="Q (Aug 20)"/>
    <d v="2020-08-19T00:00:00"/>
    <n v="-1"/>
  </r>
  <r>
    <x v="463"/>
    <x v="27"/>
    <n v="29"/>
    <n v="29.07"/>
    <n v="28.43"/>
    <n v="28.6"/>
    <x v="164"/>
    <n v="-0.4"/>
    <n v="3356"/>
    <n v="0"/>
    <n v="26287"/>
    <x v="7"/>
    <n v="100"/>
    <s v="X (Nov 20)"/>
    <d v="2020-11-18T00:00:00"/>
    <n v="-1"/>
  </r>
  <r>
    <x v="464"/>
    <x v="29"/>
    <n v="27.78"/>
    <n v="28.41"/>
    <n v="27.55"/>
    <n v="27.84"/>
    <x v="232"/>
    <n v="-0.05"/>
    <n v="54997"/>
    <n v="240"/>
    <n v="111916"/>
    <x v="2"/>
    <n v="40"/>
    <s v="U (Sep 20)"/>
    <d v="2020-09-16T00:00:00"/>
    <n v="-1"/>
  </r>
  <r>
    <x v="464"/>
    <x v="28"/>
    <n v="30.5"/>
    <n v="30.95"/>
    <n v="30.27"/>
    <n v="30.5"/>
    <x v="2393"/>
    <n v="0.1"/>
    <n v="12041"/>
    <n v="0"/>
    <n v="35231"/>
    <x v="45"/>
    <n v="75"/>
    <s v="V (Oct 20)"/>
    <d v="2020-10-21T00:00:00"/>
    <n v="-1"/>
  </r>
  <r>
    <x v="464"/>
    <x v="30"/>
    <n v="24.81"/>
    <n v="25.66"/>
    <n v="24.3"/>
    <n v="24.6"/>
    <x v="1217"/>
    <n v="-0.25"/>
    <n v="62538"/>
    <n v="160"/>
    <n v="93298"/>
    <x v="47"/>
    <n v="12"/>
    <s v="Q (Aug 20)"/>
    <d v="2020-08-19T00:00:00"/>
    <n v="-1"/>
  </r>
  <r>
    <x v="464"/>
    <x v="27"/>
    <n v="28.97"/>
    <n v="29.35"/>
    <n v="28.75"/>
    <n v="28.96"/>
    <x v="2341"/>
    <n v="0.125"/>
    <n v="3892"/>
    <n v="0"/>
    <n v="26047"/>
    <x v="10"/>
    <n v="103"/>
    <s v="X (Nov 20)"/>
    <d v="2020-11-18T00:00:00"/>
    <n v="-1"/>
  </r>
  <r>
    <x v="464"/>
    <x v="23"/>
    <n v="28"/>
    <n v="28.03"/>
    <n v="27.62"/>
    <n v="27.77"/>
    <x v="2134"/>
    <n v="0.125"/>
    <n v="133"/>
    <n v="0"/>
    <n v="476"/>
    <x v="3"/>
    <n v="222"/>
    <s v="H (Mar 21)"/>
    <d v="2021-03-17T00:00:00"/>
    <n v="-1"/>
  </r>
  <r>
    <x v="464"/>
    <x v="26"/>
    <n v="28"/>
    <n v="28.33"/>
    <n v="27.77"/>
    <n v="27.96"/>
    <x v="2240"/>
    <n v="0.1"/>
    <n v="2585"/>
    <n v="0"/>
    <n v="15029"/>
    <x v="5"/>
    <n v="131"/>
    <s v="Z (Dec 20)"/>
    <d v="2020-12-16T00:00:00"/>
    <n v="-1"/>
  </r>
  <r>
    <x v="464"/>
    <x v="25"/>
    <n v="28.5"/>
    <n v="28.7"/>
    <n v="28.22"/>
    <n v="28.4"/>
    <x v="113"/>
    <n v="0.15"/>
    <n v="1057"/>
    <n v="0"/>
    <n v="7884"/>
    <x v="18"/>
    <n v="166"/>
    <s v="F (Jan 21)"/>
    <d v="2021-01-20T00:00:00"/>
    <n v="-1"/>
  </r>
  <r>
    <x v="464"/>
    <x v="24"/>
    <n v="28.02"/>
    <n v="28.3"/>
    <n v="27.82"/>
    <n v="28"/>
    <x v="236"/>
    <n v="0.15"/>
    <n v="768"/>
    <n v="0"/>
    <n v="3077"/>
    <x v="179"/>
    <n v="194"/>
    <s v="G (Feb 21)"/>
    <d v="2021-02-17T00:00:00"/>
    <n v="-1"/>
  </r>
  <r>
    <x v="465"/>
    <x v="23"/>
    <n v="28.05"/>
    <n v="28.05"/>
    <n v="27.67"/>
    <n v="27.69"/>
    <x v="482"/>
    <n v="-0.125"/>
    <n v="47"/>
    <n v="0"/>
    <n v="454"/>
    <x v="15"/>
    <n v="223"/>
    <s v="H (Mar 21)"/>
    <d v="2021-03-17T00:00:00"/>
    <n v="-1"/>
  </r>
  <r>
    <x v="465"/>
    <x v="26"/>
    <n v="28"/>
    <n v="28.35"/>
    <n v="27.75"/>
    <n v="27.93"/>
    <x v="2327"/>
    <n v="-0.1"/>
    <n v="2047"/>
    <n v="0"/>
    <n v="14554"/>
    <x v="17"/>
    <n v="132"/>
    <s v="Z (Dec 20)"/>
    <d v="2020-12-16T00:00:00"/>
    <n v="-1"/>
  </r>
  <r>
    <x v="465"/>
    <x v="25"/>
    <n v="28.43"/>
    <n v="28.72"/>
    <n v="28.18"/>
    <n v="28.34"/>
    <x v="22"/>
    <n v="-0.1"/>
    <n v="929"/>
    <n v="0"/>
    <n v="7686"/>
    <x v="35"/>
    <n v="167"/>
    <s v="F (Jan 21)"/>
    <d v="2021-01-20T00:00:00"/>
    <n v="-1"/>
  </r>
  <r>
    <x v="465"/>
    <x v="24"/>
    <n v="28"/>
    <n v="28.3"/>
    <n v="27.84"/>
    <n v="27.96"/>
    <x v="2327"/>
    <n v="-0.1"/>
    <n v="639"/>
    <n v="0"/>
    <n v="2914"/>
    <x v="180"/>
    <n v="195"/>
    <s v="G (Feb 21)"/>
    <d v="2021-02-17T00:00:00"/>
    <n v="-1"/>
  </r>
  <r>
    <x v="465"/>
    <x v="29"/>
    <n v="28.07"/>
    <n v="28.6"/>
    <n v="27.75"/>
    <n v="27.75"/>
    <x v="2327"/>
    <n v="-0.25"/>
    <n v="37329"/>
    <n v="0"/>
    <n v="102966"/>
    <x v="14"/>
    <n v="41"/>
    <s v="U (Sep 20)"/>
    <d v="2020-09-16T00:00:00"/>
    <n v="-1"/>
  </r>
  <r>
    <x v="465"/>
    <x v="22"/>
    <n v="27.49"/>
    <n v="27.49"/>
    <n v="27.49"/>
    <n v="27.49"/>
    <x v="546"/>
    <n v="-2.3250000000000002"/>
    <n v="2"/>
    <n v="0"/>
    <n v="2"/>
    <x v="57"/>
    <n v="258"/>
    <s v="J (Apr 21)"/>
    <d v="2021-04-21T00:00:00"/>
    <n v="-1"/>
  </r>
  <r>
    <x v="465"/>
    <x v="28"/>
    <n v="30.77"/>
    <n v="31.17"/>
    <n v="30.3"/>
    <n v="30.43"/>
    <x v="2359"/>
    <n v="-0.35"/>
    <n v="8223"/>
    <n v="0"/>
    <n v="32972"/>
    <x v="60"/>
    <n v="76"/>
    <s v="V (Oct 20)"/>
    <d v="2020-10-21T00:00:00"/>
    <n v="-1"/>
  </r>
  <r>
    <x v="465"/>
    <x v="30"/>
    <n v="25.25"/>
    <n v="25.85"/>
    <n v="24.8"/>
    <n v="24.85"/>
    <x v="1070"/>
    <n v="-0.45"/>
    <n v="46297"/>
    <n v="0"/>
    <n v="97856"/>
    <x v="62"/>
    <n v="13"/>
    <s v="Q (Aug 20)"/>
    <d v="2020-08-19T00:00:00"/>
    <n v="-1"/>
  </r>
  <r>
    <x v="465"/>
    <x v="27"/>
    <n v="29.01"/>
    <n v="29.41"/>
    <n v="28.74"/>
    <n v="28.9"/>
    <x v="2231"/>
    <n v="-0.17499999999999999"/>
    <n v="3549"/>
    <n v="0"/>
    <n v="25972"/>
    <x v="25"/>
    <n v="104"/>
    <s v="X (Nov 20)"/>
    <d v="2020-11-18T00:00:00"/>
    <n v="-1"/>
  </r>
  <r>
    <x v="466"/>
    <x v="29"/>
    <n v="28.4"/>
    <n v="28.6"/>
    <n v="27.96"/>
    <n v="28.08"/>
    <x v="2163"/>
    <n v="-0.3"/>
    <n v="47738"/>
    <n v="252"/>
    <n v="96780"/>
    <x v="20"/>
    <n v="42"/>
    <s v="U (Sep 20)"/>
    <d v="2020-09-16T00:00:00"/>
    <n v="-1"/>
  </r>
  <r>
    <x v="466"/>
    <x v="28"/>
    <n v="31"/>
    <n v="31.13"/>
    <n v="30.62"/>
    <n v="30.71"/>
    <x v="2340"/>
    <n v="-0.2"/>
    <n v="6766"/>
    <n v="0"/>
    <n v="31657"/>
    <x v="63"/>
    <n v="77"/>
    <s v="V (Oct 20)"/>
    <d v="2020-10-21T00:00:00"/>
    <n v="-1"/>
  </r>
  <r>
    <x v="466"/>
    <x v="30"/>
    <n v="25.85"/>
    <n v="26.1"/>
    <n v="25.25"/>
    <n v="25.25"/>
    <x v="1157"/>
    <n v="-0.55000000000000004"/>
    <n v="51442"/>
    <n v="252"/>
    <n v="103164"/>
    <x v="65"/>
    <n v="14"/>
    <s v="Q (Aug 20)"/>
    <d v="2020-08-19T00:00:00"/>
    <n v="-1"/>
  </r>
  <r>
    <x v="466"/>
    <x v="27"/>
    <n v="29.25"/>
    <n v="29.27"/>
    <n v="28.85"/>
    <n v="29"/>
    <x v="2176"/>
    <n v="-0.1"/>
    <n v="3714"/>
    <n v="0"/>
    <n v="25864"/>
    <x v="28"/>
    <n v="105"/>
    <s v="X (Nov 20)"/>
    <d v="2020-11-18T00:00:00"/>
    <n v="-1"/>
  </r>
  <r>
    <x v="466"/>
    <x v="23"/>
    <n v="27.77"/>
    <n v="27.85"/>
    <n v="27.65"/>
    <n v="27.82"/>
    <x v="2134"/>
    <n v="-0.17499999999999999"/>
    <n v="144"/>
    <n v="0"/>
    <n v="425"/>
    <x v="21"/>
    <n v="224"/>
    <s v="H (Mar 21)"/>
    <d v="2021-03-17T00:00:00"/>
    <n v="-1"/>
  </r>
  <r>
    <x v="466"/>
    <x v="26"/>
    <n v="28.1"/>
    <n v="28.15"/>
    <n v="27.7"/>
    <n v="27.96"/>
    <x v="2240"/>
    <n v="-0.05"/>
    <n v="2564"/>
    <n v="0"/>
    <n v="14340"/>
    <x v="23"/>
    <n v="133"/>
    <s v="Z (Dec 20)"/>
    <d v="2020-12-16T00:00:00"/>
    <n v="-1"/>
  </r>
  <r>
    <x v="466"/>
    <x v="25"/>
    <n v="28.55"/>
    <n v="28.55"/>
    <n v="28.2"/>
    <n v="28.38"/>
    <x v="21"/>
    <n v="-0.1"/>
    <n v="1192"/>
    <n v="0"/>
    <n v="7550"/>
    <x v="41"/>
    <n v="168"/>
    <s v="F (Jan 21)"/>
    <d v="2021-01-20T00:00:00"/>
    <n v="-1"/>
  </r>
  <r>
    <x v="466"/>
    <x v="24"/>
    <n v="28"/>
    <n v="28.1"/>
    <n v="27.85"/>
    <n v="27.94"/>
    <x v="2240"/>
    <n v="-0.1"/>
    <n v="746"/>
    <n v="0"/>
    <n v="2866"/>
    <x v="185"/>
    <n v="196"/>
    <s v="G (Feb 21)"/>
    <d v="2021-02-17T00:00:00"/>
    <n v="-1"/>
  </r>
  <r>
    <x v="467"/>
    <x v="23"/>
    <n v="28.31"/>
    <n v="28.31"/>
    <n v="27.92"/>
    <n v="27.93"/>
    <x v="2243"/>
    <n v="-0.4"/>
    <n v="61"/>
    <n v="0"/>
    <n v="343"/>
    <x v="32"/>
    <n v="225"/>
    <s v="H (Mar 21)"/>
    <d v="2021-03-17T00:00:00"/>
    <n v="-1"/>
  </r>
  <r>
    <x v="467"/>
    <x v="26"/>
    <n v="28.5"/>
    <n v="28.6"/>
    <n v="28"/>
    <n v="28.05"/>
    <x v="236"/>
    <n v="-0.52500000000000002"/>
    <n v="2879"/>
    <n v="0"/>
    <n v="13795"/>
    <x v="34"/>
    <n v="134"/>
    <s v="Z (Dec 20)"/>
    <d v="2020-12-16T00:00:00"/>
    <n v="-1"/>
  </r>
  <r>
    <x v="467"/>
    <x v="25"/>
    <n v="28.95"/>
    <n v="29.1"/>
    <n v="28.45"/>
    <n v="28.5"/>
    <x v="214"/>
    <n v="-0.5"/>
    <n v="1504"/>
    <n v="0"/>
    <n v="7371"/>
    <x v="53"/>
    <n v="169"/>
    <s v="F (Jan 21)"/>
    <d v="2021-01-20T00:00:00"/>
    <n v="-1"/>
  </r>
  <r>
    <x v="467"/>
    <x v="24"/>
    <n v="28.32"/>
    <n v="28.5"/>
    <n v="28.04"/>
    <n v="28.05"/>
    <x v="2376"/>
    <n v="-0.4"/>
    <n v="604"/>
    <n v="0"/>
    <n v="2734"/>
    <x v="1"/>
    <n v="197"/>
    <s v="G (Feb 21)"/>
    <d v="2021-02-17T00:00:00"/>
    <n v="-1"/>
  </r>
  <r>
    <x v="467"/>
    <x v="29"/>
    <n v="29.34"/>
    <n v="29.5"/>
    <n v="28.4"/>
    <n v="28.45"/>
    <x v="113"/>
    <n v="-0.95"/>
    <n v="43028"/>
    <n v="0"/>
    <n v="89431"/>
    <x v="31"/>
    <n v="43"/>
    <s v="U (Sep 20)"/>
    <d v="2020-09-16T00:00:00"/>
    <n v="-1"/>
  </r>
  <r>
    <x v="467"/>
    <x v="28"/>
    <n v="31.8"/>
    <n v="31.95"/>
    <n v="30.97"/>
    <n v="31.04"/>
    <x v="2413"/>
    <n v="-0.875"/>
    <n v="7519"/>
    <n v="0"/>
    <n v="31217"/>
    <x v="78"/>
    <n v="78"/>
    <s v="V (Oct 20)"/>
    <d v="2020-10-21T00:00:00"/>
    <n v="-1"/>
  </r>
  <r>
    <x v="467"/>
    <x v="30"/>
    <n v="26.85"/>
    <n v="26.9"/>
    <n v="25.8"/>
    <n v="25.85"/>
    <x v="776"/>
    <n v="-0.9"/>
    <n v="52672"/>
    <n v="0"/>
    <n v="106965"/>
    <x v="80"/>
    <n v="15"/>
    <s v="Q (Aug 20)"/>
    <d v="2020-08-19T00:00:00"/>
    <n v="-1"/>
  </r>
  <r>
    <x v="467"/>
    <x v="27"/>
    <n v="29.9"/>
    <n v="29.95"/>
    <n v="29.11"/>
    <n v="29.23"/>
    <x v="115"/>
    <n v="-0.75"/>
    <n v="5142"/>
    <n v="0"/>
    <n v="25432"/>
    <x v="43"/>
    <n v="106"/>
    <s v="X (Nov 20)"/>
    <d v="2020-11-18T00:00:00"/>
    <n v="-1"/>
  </r>
  <r>
    <x v="468"/>
    <x v="29"/>
    <n v="29.65"/>
    <n v="29.97"/>
    <n v="29.1"/>
    <n v="29.34"/>
    <x v="135"/>
    <n v="-0.25"/>
    <n v="46047"/>
    <n v="360"/>
    <n v="82278"/>
    <x v="37"/>
    <n v="44"/>
    <s v="U (Sep 20)"/>
    <d v="2020-09-16T00:00:00"/>
    <n v="-1"/>
  </r>
  <r>
    <x v="468"/>
    <x v="28"/>
    <n v="32.15"/>
    <n v="32.42"/>
    <n v="31.67"/>
    <n v="31.9"/>
    <x v="2414"/>
    <n v="-0.27500000000000002"/>
    <n v="9226"/>
    <n v="0"/>
    <n v="30489"/>
    <x v="81"/>
    <n v="79"/>
    <s v="V (Oct 20)"/>
    <d v="2020-10-21T00:00:00"/>
    <n v="-1"/>
  </r>
  <r>
    <x v="468"/>
    <x v="30"/>
    <n v="26.95"/>
    <n v="27.3"/>
    <n v="26.44"/>
    <n v="26.8"/>
    <x v="976"/>
    <n v="-0.05"/>
    <n v="57171"/>
    <n v="540"/>
    <n v="113520"/>
    <x v="83"/>
    <n v="16"/>
    <s v="Q (Aug 20)"/>
    <d v="2020-08-19T00:00:00"/>
    <n v="-1"/>
  </r>
  <r>
    <x v="468"/>
    <x v="27"/>
    <n v="30"/>
    <n v="30.24"/>
    <n v="29.75"/>
    <n v="29.85"/>
    <x v="2372"/>
    <n v="-0.15"/>
    <n v="5654"/>
    <n v="0"/>
    <n v="24740"/>
    <x v="46"/>
    <n v="107"/>
    <s v="X (Nov 20)"/>
    <d v="2020-11-18T00:00:00"/>
    <n v="-1"/>
  </r>
  <r>
    <x v="468"/>
    <x v="23"/>
    <n v="28.45"/>
    <n v="28.45"/>
    <n v="28.15"/>
    <n v="28.31"/>
    <x v="65"/>
    <n v="-0.05"/>
    <n v="25"/>
    <n v="0"/>
    <n v="314"/>
    <x v="38"/>
    <n v="226"/>
    <s v="H (Mar 21)"/>
    <d v="2021-03-17T00:00:00"/>
    <n v="-1"/>
  </r>
  <r>
    <x v="468"/>
    <x v="26"/>
    <n v="28.58"/>
    <n v="28.75"/>
    <n v="28.34"/>
    <n v="28.52"/>
    <x v="50"/>
    <n v="-2.5000000000000001E-2"/>
    <n v="2134"/>
    <n v="0"/>
    <n v="13403"/>
    <x v="40"/>
    <n v="135"/>
    <s v="Z (Dec 20)"/>
    <d v="2020-12-16T00:00:00"/>
    <n v="-1"/>
  </r>
  <r>
    <x v="468"/>
    <x v="25"/>
    <n v="29"/>
    <n v="29.15"/>
    <n v="28.78"/>
    <n v="28.95"/>
    <x v="2341"/>
    <n v="0"/>
    <n v="1478"/>
    <n v="0"/>
    <n v="7121"/>
    <x v="59"/>
    <n v="170"/>
    <s v="F (Jan 21)"/>
    <d v="2021-01-20T00:00:00"/>
    <n v="-1"/>
  </r>
  <r>
    <x v="468"/>
    <x v="24"/>
    <n v="28.44"/>
    <n v="28.65"/>
    <n v="28.3"/>
    <n v="28.4"/>
    <x v="214"/>
    <n v="0"/>
    <n v="548"/>
    <n v="0"/>
    <n v="2576"/>
    <x v="13"/>
    <n v="198"/>
    <s v="G (Feb 21)"/>
    <d v="2021-02-17T00:00:00"/>
    <n v="-1"/>
  </r>
  <r>
    <x v="469"/>
    <x v="23"/>
    <n v="28.45"/>
    <n v="28.92"/>
    <n v="28.33"/>
    <n v="28.4"/>
    <x v="2141"/>
    <n v="-0.15"/>
    <n v="147"/>
    <n v="0"/>
    <n v="307"/>
    <x v="50"/>
    <n v="229"/>
    <s v="H (Mar 21)"/>
    <d v="2021-03-17T00:00:00"/>
    <n v="-1"/>
  </r>
  <r>
    <x v="469"/>
    <x v="26"/>
    <n v="28.65"/>
    <n v="29.31"/>
    <n v="28.32"/>
    <n v="28.55"/>
    <x v="164"/>
    <n v="0"/>
    <n v="3178"/>
    <n v="0"/>
    <n v="13194"/>
    <x v="52"/>
    <n v="138"/>
    <s v="Z (Dec 20)"/>
    <d v="2020-12-16T00:00:00"/>
    <n v="-1"/>
  </r>
  <r>
    <x v="469"/>
    <x v="25"/>
    <n v="28.75"/>
    <n v="29.69"/>
    <n v="28.7"/>
    <n v="29"/>
    <x v="2341"/>
    <n v="-0.1"/>
    <n v="1816"/>
    <n v="0"/>
    <n v="6582"/>
    <x v="71"/>
    <n v="173"/>
    <s v="F (Jan 21)"/>
    <d v="2021-01-20T00:00:00"/>
    <n v="-1"/>
  </r>
  <r>
    <x v="469"/>
    <x v="24"/>
    <n v="28.62"/>
    <n v="29.22"/>
    <n v="28.4"/>
    <n v="28.48"/>
    <x v="214"/>
    <n v="-0.17499999999999999"/>
    <n v="1113"/>
    <n v="0"/>
    <n v="2289"/>
    <x v="19"/>
    <n v="201"/>
    <s v="G (Feb 21)"/>
    <d v="2021-02-17T00:00:00"/>
    <n v="-1"/>
  </r>
  <r>
    <x v="469"/>
    <x v="29"/>
    <n v="29.35"/>
    <n v="30.85"/>
    <n v="29.35"/>
    <n v="29.68"/>
    <x v="2330"/>
    <n v="-0.2"/>
    <n v="45331"/>
    <n v="0"/>
    <n v="72280"/>
    <x v="49"/>
    <n v="47"/>
    <s v="U (Sep 20)"/>
    <d v="2020-09-16T00:00:00"/>
    <n v="-1"/>
  </r>
  <r>
    <x v="469"/>
    <x v="28"/>
    <n v="31.85"/>
    <n v="33.1"/>
    <n v="31.81"/>
    <n v="32.15"/>
    <x v="2415"/>
    <n v="-0.05"/>
    <n v="8714"/>
    <n v="0"/>
    <n v="29540"/>
    <x v="96"/>
    <n v="82"/>
    <s v="V (Oct 20)"/>
    <d v="2020-10-21T00:00:00"/>
    <n v="-1"/>
  </r>
  <r>
    <x v="469"/>
    <x v="30"/>
    <n v="26.7"/>
    <n v="28.26"/>
    <n v="26.55"/>
    <n v="26.9"/>
    <x v="550"/>
    <n v="-0.35"/>
    <n v="76234"/>
    <n v="0"/>
    <n v="121483"/>
    <x v="98"/>
    <n v="19"/>
    <s v="Q (Aug 20)"/>
    <d v="2020-08-19T00:00:00"/>
    <n v="-1"/>
  </r>
  <r>
    <x v="469"/>
    <x v="27"/>
    <n v="29.7"/>
    <n v="30.82"/>
    <n v="29.66"/>
    <n v="30.02"/>
    <x v="2360"/>
    <n v="0"/>
    <n v="6094"/>
    <n v="0"/>
    <n v="23873"/>
    <x v="61"/>
    <n v="110"/>
    <s v="X (Nov 20)"/>
    <d v="2020-11-18T00:00:00"/>
    <n v="-1"/>
  </r>
  <r>
    <x v="470"/>
    <x v="29"/>
    <n v="29.41"/>
    <n v="31.8"/>
    <n v="29.37"/>
    <n v="29.55"/>
    <x v="2391"/>
    <n v="0.35"/>
    <n v="53808"/>
    <n v="0"/>
    <n v="66379"/>
    <x v="55"/>
    <n v="48"/>
    <s v="U (Sep 20)"/>
    <d v="2020-09-16T00:00:00"/>
    <n v="-1"/>
  </r>
  <r>
    <x v="470"/>
    <x v="28"/>
    <n v="31.9"/>
    <n v="33.770000000000003"/>
    <n v="31.87"/>
    <n v="31.95"/>
    <x v="2389"/>
    <n v="0.25"/>
    <n v="11995"/>
    <n v="0"/>
    <n v="29124"/>
    <x v="99"/>
    <n v="83"/>
    <s v="V (Oct 20)"/>
    <d v="2020-10-21T00:00:00"/>
    <n v="-1"/>
  </r>
  <r>
    <x v="470"/>
    <x v="30"/>
    <n v="26.9"/>
    <n v="29.71"/>
    <n v="26.66"/>
    <n v="26.75"/>
    <x v="568"/>
    <n v="0.4"/>
    <n v="86430"/>
    <n v="0"/>
    <n v="127539"/>
    <x v="101"/>
    <n v="20"/>
    <s v="Q (Aug 20)"/>
    <d v="2020-08-19T00:00:00"/>
    <n v="-1"/>
  </r>
  <r>
    <x v="470"/>
    <x v="27"/>
    <n v="29.8"/>
    <n v="31.61"/>
    <n v="29.75"/>
    <n v="29.81"/>
    <x v="2360"/>
    <n v="0.2"/>
    <n v="7481"/>
    <n v="0"/>
    <n v="24096"/>
    <x v="64"/>
    <n v="111"/>
    <s v="X (Nov 20)"/>
    <d v="2020-11-18T00:00:00"/>
    <n v="-1"/>
  </r>
  <r>
    <x v="470"/>
    <x v="23"/>
    <n v="28.5"/>
    <n v="29.39"/>
    <n v="28.2"/>
    <n v="28.4"/>
    <x v="50"/>
    <n v="0.45"/>
    <n v="150"/>
    <n v="0"/>
    <n v="263"/>
    <x v="56"/>
    <n v="230"/>
    <s v="H (Mar 21)"/>
    <d v="2021-03-17T00:00:00"/>
    <n v="-1"/>
  </r>
  <r>
    <x v="470"/>
    <x v="26"/>
    <n v="28.4"/>
    <n v="30.05"/>
    <n v="28.3"/>
    <n v="28.35"/>
    <x v="164"/>
    <n v="0.2"/>
    <n v="4128"/>
    <n v="0"/>
    <n v="13188"/>
    <x v="58"/>
    <n v="139"/>
    <s v="Z (Dec 20)"/>
    <d v="2020-12-16T00:00:00"/>
    <n v="-1"/>
  </r>
  <r>
    <x v="470"/>
    <x v="25"/>
    <n v="28.85"/>
    <n v="30.4"/>
    <n v="28.78"/>
    <n v="28.81"/>
    <x v="185"/>
    <n v="0.25"/>
    <n v="2413"/>
    <n v="0"/>
    <n v="6266"/>
    <x v="77"/>
    <n v="174"/>
    <s v="F (Jan 21)"/>
    <d v="2021-01-20T00:00:00"/>
    <n v="-1"/>
  </r>
  <r>
    <x v="470"/>
    <x v="24"/>
    <n v="28.43"/>
    <n v="29.8"/>
    <n v="28.4"/>
    <n v="28.4"/>
    <x v="87"/>
    <n v="0.27500000000000002"/>
    <n v="942"/>
    <n v="0"/>
    <n v="2028"/>
    <x v="30"/>
    <n v="202"/>
    <s v="G (Feb 21)"/>
    <d v="2021-02-17T00:00:00"/>
    <n v="-1"/>
  </r>
  <r>
    <x v="471"/>
    <x v="23"/>
    <n v="28.25"/>
    <n v="28.35"/>
    <n v="28.14"/>
    <n v="28.16"/>
    <x v="18"/>
    <n v="-0.17499999999999999"/>
    <n v="39"/>
    <n v="0"/>
    <n v="196"/>
    <x v="68"/>
    <n v="231"/>
    <s v="H (Mar 21)"/>
    <d v="2021-03-17T00:00:00"/>
    <n v="-1"/>
  </r>
  <r>
    <x v="471"/>
    <x v="26"/>
    <n v="28.46"/>
    <n v="28.7"/>
    <n v="28.23"/>
    <n v="28.34"/>
    <x v="21"/>
    <n v="-0.15"/>
    <n v="2456"/>
    <n v="0"/>
    <n v="12929"/>
    <x v="70"/>
    <n v="140"/>
    <s v="Z (Dec 20)"/>
    <d v="2020-12-16T00:00:00"/>
    <n v="-1"/>
  </r>
  <r>
    <x v="471"/>
    <x v="25"/>
    <n v="28.9"/>
    <n v="29.15"/>
    <n v="28.7"/>
    <n v="28.83"/>
    <x v="178"/>
    <n v="-0.15"/>
    <n v="1311"/>
    <n v="0"/>
    <n v="5963"/>
    <x v="89"/>
    <n v="175"/>
    <s v="F (Jan 21)"/>
    <d v="2021-01-20T00:00:00"/>
    <n v="-1"/>
  </r>
  <r>
    <x v="471"/>
    <x v="24"/>
    <n v="28.45"/>
    <n v="28.7"/>
    <n v="28.3"/>
    <n v="28.4"/>
    <x v="21"/>
    <n v="-0.2"/>
    <n v="592"/>
    <n v="0"/>
    <n v="1807"/>
    <x v="36"/>
    <n v="203"/>
    <s v="G (Feb 21)"/>
    <d v="2021-02-17T00:00:00"/>
    <n v="-1"/>
  </r>
  <r>
    <x v="471"/>
    <x v="29"/>
    <n v="29.8"/>
    <n v="30.25"/>
    <n v="29.3"/>
    <n v="29.3"/>
    <x v="2409"/>
    <n v="-0.4"/>
    <n v="34010"/>
    <n v="50"/>
    <n v="61081"/>
    <x v="67"/>
    <n v="49"/>
    <s v="U (Sep 20)"/>
    <d v="2020-09-16T00:00:00"/>
    <n v="-1"/>
  </r>
  <r>
    <x v="471"/>
    <x v="28"/>
    <n v="32.15"/>
    <n v="32.5"/>
    <n v="31.8"/>
    <n v="31.82"/>
    <x v="2416"/>
    <n v="-0.3"/>
    <n v="4584"/>
    <n v="0"/>
    <n v="28027"/>
    <x v="114"/>
    <n v="84"/>
    <s v="V (Oct 20)"/>
    <d v="2020-10-21T00:00:00"/>
    <n v="-1"/>
  </r>
  <r>
    <x v="471"/>
    <x v="30"/>
    <n v="27.5"/>
    <n v="27.9"/>
    <n v="26.6"/>
    <n v="26.63"/>
    <x v="976"/>
    <n v="-0.75"/>
    <n v="53792"/>
    <n v="150"/>
    <n v="136193"/>
    <x v="116"/>
    <n v="21"/>
    <s v="Q (Aug 20)"/>
    <d v="2020-08-19T00:00:00"/>
    <n v="-1"/>
  </r>
  <r>
    <x v="471"/>
    <x v="27"/>
    <n v="30"/>
    <n v="30.3"/>
    <n v="29.7"/>
    <n v="29.75"/>
    <x v="2391"/>
    <n v="-0.25"/>
    <n v="4347"/>
    <n v="0"/>
    <n v="24334"/>
    <x v="79"/>
    <n v="112"/>
    <s v="X (Nov 20)"/>
    <d v="2020-11-18T00:00:00"/>
    <n v="-1"/>
  </r>
  <r>
    <x v="472"/>
    <x v="29"/>
    <n v="29.87"/>
    <n v="30.41"/>
    <n v="29.3"/>
    <n v="29.93"/>
    <x v="2372"/>
    <n v="-0.05"/>
    <n v="44900"/>
    <n v="60"/>
    <n v="56233"/>
    <x v="73"/>
    <n v="50"/>
    <s v="U (Sep 20)"/>
    <d v="2020-09-16T00:00:00"/>
    <n v="-1"/>
  </r>
  <r>
    <x v="472"/>
    <x v="28"/>
    <n v="32.1"/>
    <n v="32.549999999999997"/>
    <n v="31.75"/>
    <n v="32.25"/>
    <x v="2364"/>
    <n v="0.1"/>
    <n v="6276"/>
    <n v="0"/>
    <n v="27710"/>
    <x v="117"/>
    <n v="85"/>
    <s v="V (Oct 20)"/>
    <d v="2020-10-21T00:00:00"/>
    <n v="-1"/>
  </r>
  <r>
    <x v="472"/>
    <x v="30"/>
    <n v="27.5"/>
    <n v="28.06"/>
    <n v="26.57"/>
    <n v="27.6"/>
    <x v="2354"/>
    <n v="0"/>
    <n v="64395"/>
    <n v="420"/>
    <n v="140472"/>
    <x v="119"/>
    <n v="22"/>
    <s v="Q (Aug 20)"/>
    <d v="2020-08-19T00:00:00"/>
    <n v="-1"/>
  </r>
  <r>
    <x v="472"/>
    <x v="27"/>
    <n v="29.9"/>
    <n v="30.32"/>
    <n v="29.65"/>
    <n v="30.15"/>
    <x v="2366"/>
    <n v="0.1"/>
    <n v="5405"/>
    <n v="0"/>
    <n v="24004"/>
    <x v="82"/>
    <n v="113"/>
    <s v="X (Nov 20)"/>
    <d v="2020-11-18T00:00:00"/>
    <n v="-1"/>
  </r>
  <r>
    <x v="472"/>
    <x v="23"/>
    <n v="28.55"/>
    <n v="28.58"/>
    <n v="28.05"/>
    <n v="28.2"/>
    <x v="22"/>
    <n v="-0.1"/>
    <n v="149"/>
    <n v="0"/>
    <n v="176"/>
    <x v="74"/>
    <n v="232"/>
    <s v="H (Mar 21)"/>
    <d v="2021-03-17T00:00:00"/>
    <n v="-1"/>
  </r>
  <r>
    <x v="472"/>
    <x v="26"/>
    <n v="28.35"/>
    <n v="28.66"/>
    <n v="28.12"/>
    <n v="28.55"/>
    <x v="520"/>
    <n v="0.1"/>
    <n v="3128"/>
    <n v="0"/>
    <n v="12922"/>
    <x v="76"/>
    <n v="141"/>
    <s v="Z (Dec 20)"/>
    <d v="2020-12-16T00:00:00"/>
    <n v="-1"/>
  </r>
  <r>
    <x v="472"/>
    <x v="25"/>
    <n v="28.8"/>
    <n v="29.1"/>
    <n v="28.47"/>
    <n v="28.97"/>
    <x v="2341"/>
    <n v="0.15"/>
    <n v="2359"/>
    <n v="0"/>
    <n v="5600"/>
    <x v="95"/>
    <n v="176"/>
    <s v="F (Jan 21)"/>
    <d v="2021-01-20T00:00:00"/>
    <n v="-1"/>
  </r>
  <r>
    <x v="472"/>
    <x v="24"/>
    <n v="28.55"/>
    <n v="28.7"/>
    <n v="28.08"/>
    <n v="28.6"/>
    <x v="164"/>
    <n v="0.1"/>
    <n v="883"/>
    <n v="0"/>
    <n v="1583"/>
    <x v="48"/>
    <n v="204"/>
    <s v="G (Feb 21)"/>
    <d v="2021-02-17T00:00:00"/>
    <n v="-1"/>
  </r>
  <r>
    <x v="473"/>
    <x v="23"/>
    <n v="28.25"/>
    <n v="28.6"/>
    <n v="28.25"/>
    <n v="28.45"/>
    <x v="21"/>
    <n v="-0.15"/>
    <n v="18"/>
    <n v="0"/>
    <n v="124"/>
    <x v="86"/>
    <n v="233"/>
    <s v="H (Mar 21)"/>
    <d v="2021-03-17T00:00:00"/>
    <n v="-1"/>
  </r>
  <r>
    <x v="473"/>
    <x v="26"/>
    <n v="28.7"/>
    <n v="28.85"/>
    <n v="28.3"/>
    <n v="28.35"/>
    <x v="113"/>
    <n v="-0.25"/>
    <n v="1916"/>
    <n v="0"/>
    <n v="12967"/>
    <x v="88"/>
    <n v="142"/>
    <s v="Z (Dec 20)"/>
    <d v="2020-12-16T00:00:00"/>
    <n v="-1"/>
  </r>
  <r>
    <x v="473"/>
    <x v="25"/>
    <n v="28.85"/>
    <n v="29.2"/>
    <n v="28.75"/>
    <n v="28.8"/>
    <x v="178"/>
    <n v="-0.25"/>
    <n v="1527"/>
    <n v="0"/>
    <n v="5125"/>
    <x v="107"/>
    <n v="177"/>
    <s v="F (Jan 21)"/>
    <d v="2021-01-20T00:00:00"/>
    <n v="-1"/>
  </r>
  <r>
    <x v="473"/>
    <x v="24"/>
    <n v="28.9"/>
    <n v="28.9"/>
    <n v="28.3"/>
    <n v="28.4"/>
    <x v="214"/>
    <n v="-0.2"/>
    <n v="570"/>
    <n v="0"/>
    <n v="1289"/>
    <x v="54"/>
    <n v="205"/>
    <s v="G (Feb 21)"/>
    <d v="2021-02-17T00:00:00"/>
    <n v="-1"/>
  </r>
  <r>
    <x v="473"/>
    <x v="29"/>
    <n v="31.1"/>
    <n v="31.1"/>
    <n v="29.8"/>
    <n v="29.82"/>
    <x v="2378"/>
    <n v="-0.6"/>
    <n v="33035"/>
    <n v="53"/>
    <n v="49596"/>
    <x v="85"/>
    <n v="51"/>
    <s v="U (Sep 20)"/>
    <d v="2020-09-16T00:00:00"/>
    <n v="-1"/>
  </r>
  <r>
    <x v="473"/>
    <x v="28"/>
    <n v="32.75"/>
    <n v="32.75"/>
    <n v="32.03"/>
    <n v="32.08"/>
    <x v="2415"/>
    <n v="-0.4"/>
    <n v="4999"/>
    <n v="0"/>
    <n v="27504"/>
    <x v="131"/>
    <n v="86"/>
    <s v="V (Oct 20)"/>
    <d v="2020-10-21T00:00:00"/>
    <n v="-1"/>
  </r>
  <r>
    <x v="473"/>
    <x v="30"/>
    <n v="28.8"/>
    <n v="29"/>
    <n v="27.47"/>
    <n v="27.5"/>
    <x v="2354"/>
    <n v="-1.2"/>
    <n v="52951"/>
    <n v="303"/>
    <n v="148660"/>
    <x v="133"/>
    <n v="23"/>
    <s v="Q (Aug 20)"/>
    <d v="2020-08-19T00:00:00"/>
    <n v="-1"/>
  </r>
  <r>
    <x v="473"/>
    <x v="27"/>
    <n v="30.3"/>
    <n v="30.5"/>
    <n v="29.89"/>
    <n v="29.9"/>
    <x v="2355"/>
    <n v="-0.4"/>
    <n v="2983"/>
    <n v="0"/>
    <n v="23382"/>
    <x v="97"/>
    <n v="114"/>
    <s v="X (Nov 20)"/>
    <d v="2020-11-18T00:00:00"/>
    <n v="-1"/>
  </r>
  <r>
    <x v="474"/>
    <x v="29"/>
    <n v="30.1"/>
    <n v="31.15"/>
    <n v="29.85"/>
    <n v="30.56"/>
    <x v="2393"/>
    <n v="0.25"/>
    <n v="45181"/>
    <n v="0"/>
    <n v="44842"/>
    <x v="91"/>
    <n v="54"/>
    <s v="U (Sep 20)"/>
    <d v="2020-09-16T00:00:00"/>
    <n v="-1"/>
  </r>
  <r>
    <x v="474"/>
    <x v="28"/>
    <n v="32.049999999999997"/>
    <n v="32.979999999999997"/>
    <n v="31.82"/>
    <n v="32.58"/>
    <x v="2417"/>
    <n v="0.35"/>
    <n v="8553"/>
    <n v="0"/>
    <n v="27141"/>
    <x v="134"/>
    <n v="89"/>
    <s v="V (Oct 20)"/>
    <d v="2020-10-21T00:00:00"/>
    <n v="-1"/>
  </r>
  <r>
    <x v="474"/>
    <x v="30"/>
    <n v="28.55"/>
    <n v="29.9"/>
    <n v="28.25"/>
    <n v="28.78"/>
    <x v="2156"/>
    <n v="-0.05"/>
    <n v="71571"/>
    <n v="0"/>
    <n v="153906"/>
    <x v="136"/>
    <n v="26"/>
    <s v="Q (Aug 20)"/>
    <d v="2020-08-19T00:00:00"/>
    <n v="-1"/>
  </r>
  <r>
    <x v="474"/>
    <x v="27"/>
    <n v="29.9"/>
    <n v="30.77"/>
    <n v="29.69"/>
    <n v="30.43"/>
    <x v="2351"/>
    <n v="0.4"/>
    <n v="4442"/>
    <n v="0"/>
    <n v="23466"/>
    <x v="100"/>
    <n v="117"/>
    <s v="X (Nov 20)"/>
    <d v="2020-11-18T00:00:00"/>
    <n v="-1"/>
  </r>
  <r>
    <x v="474"/>
    <x v="23"/>
    <n v="28.1"/>
    <n v="28.5"/>
    <n v="28.05"/>
    <n v="28.48"/>
    <x v="520"/>
    <n v="0.45"/>
    <n v="51"/>
    <n v="0"/>
    <n v="112"/>
    <x v="92"/>
    <n v="236"/>
    <s v="H (Mar 21)"/>
    <d v="2021-03-17T00:00:00"/>
    <n v="-1"/>
  </r>
  <r>
    <x v="474"/>
    <x v="26"/>
    <n v="28.4"/>
    <n v="29.06"/>
    <n v="28.2"/>
    <n v="28.74"/>
    <x v="2283"/>
    <n v="0.22500000000000001"/>
    <n v="3561"/>
    <n v="0"/>
    <n v="13576"/>
    <x v="94"/>
    <n v="145"/>
    <s v="Z (Dec 20)"/>
    <d v="2020-12-16T00:00:00"/>
    <n v="-1"/>
  </r>
  <r>
    <x v="474"/>
    <x v="25"/>
    <n v="28.75"/>
    <n v="29.37"/>
    <n v="28.6"/>
    <n v="29.12"/>
    <x v="185"/>
    <n v="0.35"/>
    <n v="2321"/>
    <n v="0"/>
    <n v="4692"/>
    <x v="113"/>
    <n v="180"/>
    <s v="F (Jan 21)"/>
    <d v="2021-01-20T00:00:00"/>
    <n v="-1"/>
  </r>
  <r>
    <x v="474"/>
    <x v="24"/>
    <n v="28.37"/>
    <n v="28.91"/>
    <n v="28.25"/>
    <n v="28.7"/>
    <x v="2283"/>
    <n v="0.27500000000000002"/>
    <n v="691"/>
    <n v="0"/>
    <n v="1031"/>
    <x v="66"/>
    <n v="208"/>
    <s v="G (Feb 21)"/>
    <d v="2021-02-17T00:00:00"/>
    <n v="-1"/>
  </r>
  <r>
    <x v="475"/>
    <x v="23"/>
    <n v="27.95"/>
    <n v="28.3"/>
    <n v="27.6"/>
    <n v="28.3"/>
    <x v="2376"/>
    <n v="0.52500000000000002"/>
    <n v="96"/>
    <n v="0"/>
    <n v="75"/>
    <x v="104"/>
    <n v="237"/>
    <s v="H (Mar 21)"/>
    <d v="2021-03-17T00:00:00"/>
    <n v="-1"/>
  </r>
  <r>
    <x v="475"/>
    <x v="26"/>
    <n v="28"/>
    <n v="28.65"/>
    <n v="27.45"/>
    <n v="28.42"/>
    <x v="38"/>
    <n v="0.57499999999999996"/>
    <n v="2589"/>
    <n v="0"/>
    <n v="13151"/>
    <x v="106"/>
    <n v="146"/>
    <s v="Z (Dec 20)"/>
    <d v="2020-12-16T00:00:00"/>
    <n v="-1"/>
  </r>
  <r>
    <x v="475"/>
    <x v="25"/>
    <n v="28.3"/>
    <n v="28.9"/>
    <n v="27.78"/>
    <n v="28.75"/>
    <x v="2156"/>
    <n v="0.55000000000000004"/>
    <n v="1647"/>
    <n v="0"/>
    <n v="4345"/>
    <x v="125"/>
    <n v="181"/>
    <s v="F (Jan 21)"/>
    <d v="2021-01-20T00:00:00"/>
    <n v="-1"/>
  </r>
  <r>
    <x v="475"/>
    <x v="24"/>
    <n v="27.86"/>
    <n v="28.55"/>
    <n v="27.5"/>
    <n v="28.35"/>
    <x v="2141"/>
    <n v="0.57499999999999996"/>
    <n v="556"/>
    <n v="0"/>
    <n v="888"/>
    <x v="72"/>
    <n v="209"/>
    <s v="G (Feb 21)"/>
    <d v="2021-02-17T00:00:00"/>
    <n v="-1"/>
  </r>
  <r>
    <x v="475"/>
    <x v="29"/>
    <n v="29.19"/>
    <n v="30.54"/>
    <n v="28.69"/>
    <n v="30.2"/>
    <x v="2390"/>
    <n v="1.1499999999999999"/>
    <n v="41073"/>
    <n v="0"/>
    <n v="40198"/>
    <x v="103"/>
    <n v="55"/>
    <s v="U (Sep 20)"/>
    <d v="2020-09-16T00:00:00"/>
    <n v="-1"/>
  </r>
  <r>
    <x v="475"/>
    <x v="28"/>
    <n v="31.36"/>
    <n v="32.43"/>
    <n v="30.9"/>
    <n v="32.090000000000003"/>
    <x v="2389"/>
    <n v="0.92500000000000004"/>
    <n v="7995"/>
    <n v="0"/>
    <n v="26754"/>
    <x v="148"/>
    <n v="90"/>
    <s v="V (Oct 20)"/>
    <d v="2020-10-21T00:00:00"/>
    <n v="-1"/>
  </r>
  <r>
    <x v="475"/>
    <x v="30"/>
    <n v="27.39"/>
    <n v="29.11"/>
    <n v="26.79"/>
    <n v="28.7"/>
    <x v="2150"/>
    <n v="1.5249999999999999"/>
    <n v="77269"/>
    <n v="104"/>
    <n v="159771"/>
    <x v="150"/>
    <n v="27"/>
    <s v="Q (Aug 20)"/>
    <d v="2020-08-19T00:00:00"/>
    <n v="-1"/>
  </r>
  <r>
    <x v="475"/>
    <x v="27"/>
    <n v="29.3"/>
    <n v="30.2"/>
    <n v="28.81"/>
    <n v="29.95"/>
    <x v="2355"/>
    <n v="0.77500000000000002"/>
    <n v="4636"/>
    <n v="0"/>
    <n v="23454"/>
    <x v="115"/>
    <n v="118"/>
    <s v="X (Nov 20)"/>
    <d v="2020-11-18T00:00:00"/>
    <n v="-1"/>
  </r>
  <r>
    <x v="476"/>
    <x v="29"/>
    <n v="29.5"/>
    <n v="30.05"/>
    <n v="28.97"/>
    <n v="29.16"/>
    <x v="115"/>
    <n v="-0.2"/>
    <n v="43032"/>
    <n v="0"/>
    <n v="34679"/>
    <x v="109"/>
    <n v="56"/>
    <s v="U (Sep 20)"/>
    <d v="2020-09-16T00:00:00"/>
    <n v="-1"/>
  </r>
  <r>
    <x v="476"/>
    <x v="31"/>
    <n v="24.85"/>
    <n v="25.9"/>
    <n v="24.35"/>
    <n v="24.85"/>
    <x v="394"/>
    <n v="0.67500000000000004"/>
    <n v="722"/>
    <n v="0"/>
    <n v="29255"/>
    <x v="145"/>
    <n v="0"/>
    <s v="N (Jul 20)"/>
    <d v="2020-07-22T00:00:00"/>
    <n v="-1"/>
  </r>
  <r>
    <x v="476"/>
    <x v="28"/>
    <n v="31.58"/>
    <n v="32.200000000000003"/>
    <n v="31.2"/>
    <n v="31.37"/>
    <x v="2418"/>
    <n v="-0.22500000000000001"/>
    <n v="8910"/>
    <n v="0"/>
    <n v="26691"/>
    <x v="151"/>
    <n v="91"/>
    <s v="V (Oct 20)"/>
    <d v="2020-10-21T00:00:00"/>
    <n v="-1"/>
  </r>
  <r>
    <x v="476"/>
    <x v="30"/>
    <n v="28"/>
    <n v="28.65"/>
    <n v="27.21"/>
    <n v="27.38"/>
    <x v="282"/>
    <n v="-0.57499999999999996"/>
    <n v="68595"/>
    <n v="250"/>
    <n v="165312"/>
    <x v="153"/>
    <n v="28"/>
    <s v="Q (Aug 20)"/>
    <d v="2020-08-19T00:00:00"/>
    <n v="-1"/>
  </r>
  <r>
    <x v="476"/>
    <x v="27"/>
    <n v="29.45"/>
    <n v="30.1"/>
    <n v="29.15"/>
    <n v="29.3"/>
    <x v="2153"/>
    <n v="-0.22500000000000001"/>
    <n v="5914"/>
    <n v="0"/>
    <n v="23344"/>
    <x v="118"/>
    <n v="119"/>
    <s v="X (Nov 20)"/>
    <d v="2020-11-18T00:00:00"/>
    <n v="-1"/>
  </r>
  <r>
    <x v="476"/>
    <x v="26"/>
    <n v="28.1"/>
    <n v="28.7"/>
    <n v="27.82"/>
    <n v="27.91"/>
    <x v="2327"/>
    <n v="-0.15"/>
    <n v="3677"/>
    <n v="0"/>
    <n v="12993"/>
    <x v="112"/>
    <n v="147"/>
    <s v="Z (Dec 20)"/>
    <d v="2020-12-16T00:00:00"/>
    <n v="-1"/>
  </r>
  <r>
    <x v="476"/>
    <x v="25"/>
    <n v="28.15"/>
    <n v="28.87"/>
    <n v="28.1"/>
    <n v="28.17"/>
    <x v="85"/>
    <n v="-0.1"/>
    <n v="1747"/>
    <n v="0"/>
    <n v="4182"/>
    <x v="130"/>
    <n v="182"/>
    <s v="F (Jan 21)"/>
    <d v="2021-01-20T00:00:00"/>
    <n v="-1"/>
  </r>
  <r>
    <x v="476"/>
    <x v="24"/>
    <n v="27.98"/>
    <n v="28.3"/>
    <n v="27.7"/>
    <n v="27.84"/>
    <x v="232"/>
    <n v="0"/>
    <n v="426"/>
    <n v="0"/>
    <n v="866"/>
    <x v="84"/>
    <n v="210"/>
    <s v="G (Feb 21)"/>
    <d v="2021-02-17T00:00:00"/>
    <n v="-1"/>
  </r>
  <r>
    <x v="477"/>
    <x v="26"/>
    <n v="27.85"/>
    <n v="28.2"/>
    <n v="27.25"/>
    <n v="28.04"/>
    <x v="236"/>
    <n v="0.2"/>
    <n v="2670"/>
    <n v="0"/>
    <n v="12804"/>
    <x v="124"/>
    <n v="148"/>
    <s v="Z (Dec 20)"/>
    <d v="2020-12-16T00:00:00"/>
    <n v="-1"/>
  </r>
  <r>
    <x v="477"/>
    <x v="25"/>
    <n v="28.05"/>
    <n v="28.4"/>
    <n v="27.48"/>
    <n v="28.28"/>
    <x v="22"/>
    <n v="0.25"/>
    <n v="1497"/>
    <n v="0"/>
    <n v="3650"/>
    <x v="141"/>
    <n v="183"/>
    <s v="F (Jan 21)"/>
    <d v="2021-01-20T00:00:00"/>
    <n v="-1"/>
  </r>
  <r>
    <x v="477"/>
    <x v="24"/>
    <n v="27.45"/>
    <n v="27.95"/>
    <n v="27.17"/>
    <n v="27.88"/>
    <x v="232"/>
    <n v="0.25"/>
    <n v="473"/>
    <n v="0"/>
    <n v="747"/>
    <x v="90"/>
    <n v="211"/>
    <s v="G (Feb 21)"/>
    <d v="2021-02-17T00:00:00"/>
    <n v="-1"/>
  </r>
  <r>
    <x v="477"/>
    <x v="29"/>
    <n v="28.9"/>
    <n v="29.65"/>
    <n v="28.22"/>
    <n v="29.45"/>
    <x v="2334"/>
    <n v="0.35"/>
    <n v="19864"/>
    <n v="0"/>
    <n v="30623"/>
    <x v="121"/>
    <n v="57"/>
    <s v="U (Sep 20)"/>
    <d v="2020-09-16T00:00:00"/>
    <n v="-1"/>
  </r>
  <r>
    <x v="477"/>
    <x v="31"/>
    <n v="24.7"/>
    <n v="25.58"/>
    <n v="23.83"/>
    <n v="24.83"/>
    <x v="1115"/>
    <n v="0.05"/>
    <n v="54193"/>
    <n v="0"/>
    <n v="30782"/>
    <x v="156"/>
    <n v="1"/>
    <s v="N (Jul 20)"/>
    <d v="2020-07-22T00:00:00"/>
    <n v="-1"/>
  </r>
  <r>
    <x v="477"/>
    <x v="28"/>
    <n v="31.25"/>
    <n v="31.72"/>
    <n v="30.6"/>
    <n v="31.54"/>
    <x v="2419"/>
    <n v="0.2"/>
    <n v="9777"/>
    <n v="0"/>
    <n v="26398"/>
    <x v="164"/>
    <n v="92"/>
    <s v="V (Oct 20)"/>
    <d v="2020-10-21T00:00:00"/>
    <n v="-1"/>
  </r>
  <r>
    <x v="477"/>
    <x v="30"/>
    <n v="27.46"/>
    <n v="28.3"/>
    <n v="26.65"/>
    <n v="27.9"/>
    <x v="232"/>
    <n v="0.3"/>
    <n v="84347"/>
    <n v="0"/>
    <n v="167202"/>
    <x v="166"/>
    <n v="29"/>
    <s v="Q (Aug 20)"/>
    <d v="2020-08-19T00:00:00"/>
    <n v="-1"/>
  </r>
  <r>
    <x v="477"/>
    <x v="27"/>
    <n v="29.3"/>
    <n v="29.65"/>
    <n v="28.6"/>
    <n v="29.42"/>
    <x v="2394"/>
    <n v="0.15"/>
    <n v="5938"/>
    <n v="0"/>
    <n v="23726"/>
    <x v="132"/>
    <n v="120"/>
    <s v="X (Nov 20)"/>
    <d v="2020-11-18T00:00:00"/>
    <n v="-1"/>
  </r>
  <r>
    <x v="478"/>
    <x v="29"/>
    <n v="29.85"/>
    <n v="30.67"/>
    <n v="28.82"/>
    <n v="28.88"/>
    <x v="2341"/>
    <n v="-1.2"/>
    <n v="20684"/>
    <n v="0"/>
    <n v="28205"/>
    <x v="127"/>
    <n v="58"/>
    <s v="U (Sep 20)"/>
    <d v="2020-09-16T00:00:00"/>
    <n v="-1"/>
  </r>
  <r>
    <x v="478"/>
    <x v="31"/>
    <n v="26.5"/>
    <n v="27.1"/>
    <n v="24.45"/>
    <n v="24.7"/>
    <x v="1165"/>
    <n v="-1.7"/>
    <n v="53120"/>
    <n v="0"/>
    <n v="39160"/>
    <x v="161"/>
    <n v="2"/>
    <s v="N (Jul 20)"/>
    <d v="2020-07-22T00:00:00"/>
    <n v="-1"/>
  </r>
  <r>
    <x v="478"/>
    <x v="28"/>
    <n v="32.31"/>
    <n v="32.85"/>
    <n v="31.2"/>
    <n v="31.24"/>
    <x v="2420"/>
    <n v="-1.1499999999999999"/>
    <n v="11458"/>
    <n v="0"/>
    <n v="26700"/>
    <x v="167"/>
    <n v="93"/>
    <s v="V (Oct 20)"/>
    <d v="2020-10-21T00:00:00"/>
    <n v="-1"/>
  </r>
  <r>
    <x v="478"/>
    <x v="30"/>
    <n v="28.8"/>
    <n v="29.6"/>
    <n v="27.2"/>
    <n v="27.45"/>
    <x v="2354"/>
    <n v="-1.45"/>
    <n v="73921"/>
    <n v="0"/>
    <n v="158664"/>
    <x v="169"/>
    <n v="30"/>
    <s v="Q (Aug 20)"/>
    <d v="2020-08-19T00:00:00"/>
    <n v="-1"/>
  </r>
  <r>
    <x v="478"/>
    <x v="27"/>
    <n v="30.3"/>
    <n v="30.8"/>
    <n v="29.05"/>
    <n v="29.27"/>
    <x v="2352"/>
    <n v="-1.2"/>
    <n v="11382"/>
    <n v="0"/>
    <n v="23392"/>
    <x v="135"/>
    <n v="121"/>
    <s v="X (Nov 20)"/>
    <d v="2020-11-18T00:00:00"/>
    <n v="-1"/>
  </r>
  <r>
    <x v="478"/>
    <x v="26"/>
    <n v="28.9"/>
    <n v="29.27"/>
    <n v="27.65"/>
    <n v="27.8"/>
    <x v="232"/>
    <n v="-1.125"/>
    <n v="3726"/>
    <n v="0"/>
    <n v="12371"/>
    <x v="129"/>
    <n v="149"/>
    <s v="Z (Dec 20)"/>
    <d v="2020-12-16T00:00:00"/>
    <n v="-1"/>
  </r>
  <r>
    <x v="478"/>
    <x v="25"/>
    <n v="28.98"/>
    <n v="29.32"/>
    <n v="27.87"/>
    <n v="28.03"/>
    <x v="236"/>
    <n v="-0.97499999999999998"/>
    <n v="991"/>
    <n v="0"/>
    <n v="3608"/>
    <x v="147"/>
    <n v="184"/>
    <s v="F (Jan 21)"/>
    <d v="2021-01-20T00:00:00"/>
    <n v="-1"/>
  </r>
  <r>
    <x v="478"/>
    <x v="24"/>
    <n v="28.49"/>
    <n v="28.8"/>
    <n v="27.5"/>
    <n v="27.55"/>
    <x v="516"/>
    <n v="-0.92500000000000004"/>
    <n v="194"/>
    <n v="0"/>
    <n v="595"/>
    <x v="102"/>
    <n v="212"/>
    <s v="G (Feb 21)"/>
    <d v="2021-02-17T00:00:00"/>
    <n v="-1"/>
  </r>
  <r>
    <x v="479"/>
    <x v="26"/>
    <n v="29.3"/>
    <n v="29.3"/>
    <n v="28.66"/>
    <n v="28.93"/>
    <x v="15"/>
    <n v="-0.3"/>
    <n v="3828"/>
    <n v="0"/>
    <n v="11489"/>
    <x v="140"/>
    <n v="152"/>
    <s v="Z (Dec 20)"/>
    <d v="2020-12-16T00:00:00"/>
    <n v="-1"/>
  </r>
  <r>
    <x v="479"/>
    <x v="25"/>
    <n v="29.32"/>
    <n v="29.35"/>
    <n v="28.83"/>
    <n v="29"/>
    <x v="2421"/>
    <n v="-0.375"/>
    <n v="1134"/>
    <n v="0"/>
    <n v="3530"/>
    <x v="158"/>
    <n v="187"/>
    <s v="F (Jan 21)"/>
    <d v="2021-01-20T00:00:00"/>
    <n v="-1"/>
  </r>
  <r>
    <x v="479"/>
    <x v="24"/>
    <n v="28.8"/>
    <n v="28.85"/>
    <n v="28.4"/>
    <n v="28.53"/>
    <x v="70"/>
    <n v="-0.35"/>
    <n v="146"/>
    <n v="0"/>
    <n v="513"/>
    <x v="108"/>
    <n v="215"/>
    <s v="G (Feb 21)"/>
    <d v="2021-02-17T00:00:00"/>
    <n v="-1"/>
  </r>
  <r>
    <x v="479"/>
    <x v="29"/>
    <n v="31.05"/>
    <n v="31.07"/>
    <n v="30.04"/>
    <n v="30.2"/>
    <x v="2336"/>
    <n v="-0.9"/>
    <n v="12328"/>
    <n v="0"/>
    <n v="29234"/>
    <x v="138"/>
    <n v="61"/>
    <s v="U (Sep 20)"/>
    <d v="2020-09-16T00:00:00"/>
    <n v="-1"/>
  </r>
  <r>
    <x v="479"/>
    <x v="23"/>
    <n v="27.05"/>
    <n v="28.5"/>
    <n v="27.05"/>
    <n v="28.5"/>
    <x v="236"/>
    <n v="1.375"/>
    <n v="12"/>
    <n v="0"/>
    <n v="13"/>
    <x v="139"/>
    <n v="243"/>
    <s v="H (Mar 21)"/>
    <d v="2021-03-17T00:00:00"/>
    <n v="-1"/>
  </r>
  <r>
    <x v="479"/>
    <x v="31"/>
    <n v="28.15"/>
    <n v="28.2"/>
    <n v="26.1"/>
    <n v="26.34"/>
    <x v="759"/>
    <n v="-1.7"/>
    <n v="52566"/>
    <n v="0"/>
    <n v="43873"/>
    <x v="8"/>
    <n v="5"/>
    <s v="N (Jul 20)"/>
    <d v="2020-07-22T00:00:00"/>
    <n v="-1"/>
  </r>
  <r>
    <x v="479"/>
    <x v="28"/>
    <n v="33"/>
    <n v="33.119999999999997"/>
    <n v="32.200000000000003"/>
    <n v="32.450000000000003"/>
    <x v="2422"/>
    <n v="-0.7"/>
    <n v="5368"/>
    <n v="0"/>
    <n v="25434"/>
    <x v="175"/>
    <n v="96"/>
    <s v="V (Oct 20)"/>
    <d v="2020-10-21T00:00:00"/>
    <n v="-1"/>
  </r>
  <r>
    <x v="479"/>
    <x v="30"/>
    <n v="30.25"/>
    <n v="30.3"/>
    <n v="28.85"/>
    <n v="28.98"/>
    <x v="2341"/>
    <n v="-1.3"/>
    <n v="56343"/>
    <n v="0"/>
    <n v="151526"/>
    <x v="176"/>
    <n v="33"/>
    <s v="Q (Aug 20)"/>
    <d v="2020-08-19T00:00:00"/>
    <n v="-1"/>
  </r>
  <r>
    <x v="479"/>
    <x v="27"/>
    <n v="30.9"/>
    <n v="31"/>
    <n v="30.05"/>
    <n v="30.43"/>
    <x v="2375"/>
    <n v="-0.5"/>
    <n v="7414"/>
    <n v="0"/>
    <n v="21591"/>
    <x v="149"/>
    <n v="124"/>
    <s v="X (Nov 20)"/>
    <d v="2020-11-18T00:00:00"/>
    <n v="-1"/>
  </r>
  <r>
    <x v="480"/>
    <x v="29"/>
    <n v="31.15"/>
    <n v="32.229999999999997"/>
    <n v="30.76"/>
    <n v="31.09"/>
    <x v="2371"/>
    <n v="-0.1"/>
    <n v="9411"/>
    <n v="0"/>
    <n v="28030"/>
    <x v="143"/>
    <n v="62"/>
    <s v="U (Sep 20)"/>
    <d v="2020-09-16T00:00:00"/>
    <n v="-1"/>
  </r>
  <r>
    <x v="480"/>
    <x v="23"/>
    <n v="30.75"/>
    <n v="30.75"/>
    <n v="30.4"/>
    <n v="30.75"/>
    <x v="635"/>
    <n v="-0.95"/>
    <n v="1"/>
    <n v="0"/>
    <n v="1"/>
    <x v="144"/>
    <n v="244"/>
    <s v="H (Mar 21)"/>
    <d v="2021-03-17T00:00:00"/>
    <n v="-1"/>
  </r>
  <r>
    <x v="480"/>
    <x v="31"/>
    <n v="28.34"/>
    <n v="29.7"/>
    <n v="27.5"/>
    <n v="28.09"/>
    <x v="2163"/>
    <n v="-0.2"/>
    <n v="54826"/>
    <n v="0"/>
    <n v="49965"/>
    <x v="11"/>
    <n v="6"/>
    <s v="N (Jul 20)"/>
    <d v="2020-07-22T00:00:00"/>
    <n v="-1"/>
  </r>
  <r>
    <x v="480"/>
    <x v="28"/>
    <n v="33.090000000000003"/>
    <n v="34.07"/>
    <n v="32.880000000000003"/>
    <n v="33.15"/>
    <x v="2339"/>
    <n v="0"/>
    <n v="4604"/>
    <n v="0"/>
    <n v="24846"/>
    <x v="177"/>
    <n v="97"/>
    <s v="V (Oct 20)"/>
    <d v="2020-10-21T00:00:00"/>
    <n v="-1"/>
  </r>
  <r>
    <x v="480"/>
    <x v="30"/>
    <n v="30.4"/>
    <n v="31.76"/>
    <n v="29.9"/>
    <n v="30.26"/>
    <x v="2390"/>
    <n v="-0.1"/>
    <n v="51742"/>
    <n v="0"/>
    <n v="145157"/>
    <x v="178"/>
    <n v="34"/>
    <s v="Q (Aug 20)"/>
    <d v="2020-08-19T00:00:00"/>
    <n v="-1"/>
  </r>
  <r>
    <x v="480"/>
    <x v="27"/>
    <n v="30.98"/>
    <n v="31.85"/>
    <n v="30.75"/>
    <n v="30.97"/>
    <x v="2413"/>
    <n v="-0.05"/>
    <n v="2742"/>
    <n v="0"/>
    <n v="20241"/>
    <x v="152"/>
    <n v="125"/>
    <s v="X (Nov 20)"/>
    <d v="2020-11-18T00:00:00"/>
    <n v="-1"/>
  </r>
  <r>
    <x v="480"/>
    <x v="26"/>
    <n v="29.22"/>
    <n v="30"/>
    <n v="29.05"/>
    <n v="29.3"/>
    <x v="2423"/>
    <n v="-2.5000000000000001E-2"/>
    <n v="1329"/>
    <n v="0"/>
    <n v="11007"/>
    <x v="146"/>
    <n v="153"/>
    <s v="Z (Dec 20)"/>
    <d v="2020-12-16T00:00:00"/>
    <n v="-1"/>
  </r>
  <r>
    <x v="480"/>
    <x v="25"/>
    <n v="29.46"/>
    <n v="30.01"/>
    <n v="29.15"/>
    <n v="29.35"/>
    <x v="135"/>
    <n v="0.05"/>
    <n v="1180"/>
    <n v="0"/>
    <n v="3373"/>
    <x v="163"/>
    <n v="188"/>
    <s v="F (Jan 21)"/>
    <d v="2021-01-20T00:00:00"/>
    <n v="-1"/>
  </r>
  <r>
    <x v="480"/>
    <x v="24"/>
    <n v="29.3"/>
    <n v="29.5"/>
    <n v="28.6"/>
    <n v="28.87"/>
    <x v="2231"/>
    <n v="-2.5000000000000001E-2"/>
    <n v="265"/>
    <n v="0"/>
    <n v="484"/>
    <x v="120"/>
    <n v="216"/>
    <s v="G (Feb 21)"/>
    <d v="2021-02-17T00:00:00"/>
    <n v="-1"/>
  </r>
  <r>
    <x v="481"/>
    <x v="26"/>
    <n v="29.2"/>
    <n v="30"/>
    <n v="29"/>
    <n v="29.3"/>
    <x v="2352"/>
    <n v="-0.25"/>
    <n v="1457"/>
    <n v="0"/>
    <n v="10814"/>
    <x v="157"/>
    <n v="154"/>
    <s v="Z (Dec 20)"/>
    <d v="2020-12-16T00:00:00"/>
    <n v="-1"/>
  </r>
  <r>
    <x v="481"/>
    <x v="25"/>
    <n v="29.3"/>
    <n v="30"/>
    <n v="29"/>
    <n v="29.3"/>
    <x v="2334"/>
    <n v="-0.2"/>
    <n v="755"/>
    <n v="0"/>
    <n v="3398"/>
    <x v="173"/>
    <n v="189"/>
    <s v="F (Jan 21)"/>
    <d v="2021-01-20T00:00:00"/>
    <n v="-1"/>
  </r>
  <r>
    <x v="481"/>
    <x v="24"/>
    <n v="28.75"/>
    <n v="29.5"/>
    <n v="28.7"/>
    <n v="28.95"/>
    <x v="2357"/>
    <n v="-0.17499999999999999"/>
    <n v="133"/>
    <n v="0"/>
    <n v="377"/>
    <x v="126"/>
    <n v="217"/>
    <s v="G (Feb 21)"/>
    <d v="2021-02-17T00:00:00"/>
    <n v="-1"/>
  </r>
  <r>
    <x v="481"/>
    <x v="29"/>
    <n v="31.5"/>
    <n v="32.200000000000003"/>
    <n v="30.8"/>
    <n v="31.14"/>
    <x v="2424"/>
    <n v="-0.5"/>
    <n v="9909"/>
    <n v="0"/>
    <n v="27156"/>
    <x v="154"/>
    <n v="63"/>
    <s v="U (Sep 20)"/>
    <d v="2020-09-16T00:00:00"/>
    <n v="-1"/>
  </r>
  <r>
    <x v="481"/>
    <x v="31"/>
    <n v="29.45"/>
    <n v="29.91"/>
    <n v="28.27"/>
    <n v="28.35"/>
    <x v="2328"/>
    <n v="-1.3"/>
    <n v="63319"/>
    <n v="26"/>
    <n v="57145"/>
    <x v="26"/>
    <n v="7"/>
    <s v="N (Jul 20)"/>
    <d v="2020-07-22T00:00:00"/>
    <n v="-1"/>
  </r>
  <r>
    <x v="481"/>
    <x v="28"/>
    <n v="33.15"/>
    <n v="34.03"/>
    <n v="32.86"/>
    <n v="33.119999999999997"/>
    <x v="2339"/>
    <n v="-0.4"/>
    <n v="4047"/>
    <n v="0"/>
    <n v="24440"/>
    <x v="181"/>
    <n v="98"/>
    <s v="V (Oct 20)"/>
    <d v="2020-10-21T00:00:00"/>
    <n v="-1"/>
  </r>
  <r>
    <x v="481"/>
    <x v="30"/>
    <n v="30.9"/>
    <n v="31.73"/>
    <n v="30.2"/>
    <n v="30.42"/>
    <x v="2351"/>
    <n v="-0.9"/>
    <n v="60322"/>
    <n v="99"/>
    <n v="136269"/>
    <x v="182"/>
    <n v="35"/>
    <s v="Q (Aug 20)"/>
    <d v="2020-08-19T00:00:00"/>
    <n v="-1"/>
  </r>
  <r>
    <x v="481"/>
    <x v="27"/>
    <n v="30.95"/>
    <n v="31.75"/>
    <n v="30.75"/>
    <n v="31"/>
    <x v="2384"/>
    <n v="-0.3"/>
    <n v="3255"/>
    <n v="0"/>
    <n v="20267"/>
    <x v="165"/>
    <n v="126"/>
    <s v="X (Nov 20)"/>
    <d v="2020-11-18T00:00:00"/>
    <n v="-1"/>
  </r>
  <r>
    <x v="482"/>
    <x v="29"/>
    <n v="33"/>
    <n v="33.75"/>
    <n v="31.55"/>
    <n v="31.68"/>
    <x v="2365"/>
    <n v="-1.55"/>
    <n v="16491"/>
    <n v="0"/>
    <n v="26886"/>
    <x v="159"/>
    <n v="64"/>
    <s v="U (Sep 20)"/>
    <d v="2020-09-16T00:00:00"/>
    <n v="-1"/>
  </r>
  <r>
    <x v="482"/>
    <x v="31"/>
    <n v="32.1"/>
    <n v="32.81"/>
    <n v="29.58"/>
    <n v="29.65"/>
    <x v="2330"/>
    <n v="-2.2000000000000002"/>
    <n v="82543"/>
    <n v="0"/>
    <n v="63190"/>
    <x v="29"/>
    <n v="8"/>
    <s v="N (Jul 20)"/>
    <d v="2020-07-22T00:00:00"/>
    <n v="-1"/>
  </r>
  <r>
    <x v="482"/>
    <x v="28"/>
    <n v="34.65"/>
    <n v="35.33"/>
    <n v="33.4"/>
    <n v="33.51"/>
    <x v="2406"/>
    <n v="-1.35"/>
    <n v="6982"/>
    <n v="0"/>
    <n v="24577"/>
    <x v="183"/>
    <n v="99"/>
    <s v="V (Oct 20)"/>
    <d v="2020-10-21T00:00:00"/>
    <n v="-1"/>
  </r>
  <r>
    <x v="482"/>
    <x v="30"/>
    <n v="32.9"/>
    <n v="33.64"/>
    <n v="31.15"/>
    <n v="31.25"/>
    <x v="2420"/>
    <n v="-1.7"/>
    <n v="70755"/>
    <n v="0"/>
    <n v="128955"/>
    <x v="184"/>
    <n v="36"/>
    <s v="Q (Aug 20)"/>
    <d v="2020-08-19T00:00:00"/>
    <n v="-1"/>
  </r>
  <r>
    <x v="482"/>
    <x v="27"/>
    <n v="31.95"/>
    <n v="32.9"/>
    <n v="31.1"/>
    <n v="31.3"/>
    <x v="2348"/>
    <n v="-1.1000000000000001"/>
    <n v="4074"/>
    <n v="0"/>
    <n v="20481"/>
    <x v="168"/>
    <n v="127"/>
    <s v="X (Nov 20)"/>
    <d v="2020-11-18T00:00:00"/>
    <n v="-1"/>
  </r>
  <r>
    <x v="482"/>
    <x v="26"/>
    <n v="30.35"/>
    <n v="31.05"/>
    <n v="29.32"/>
    <n v="29.5"/>
    <x v="4"/>
    <n v="-1.1000000000000001"/>
    <n v="2431"/>
    <n v="0"/>
    <n v="10822"/>
    <x v="162"/>
    <n v="155"/>
    <s v="Z (Dec 20)"/>
    <d v="2020-12-16T00:00:00"/>
    <n v="-1"/>
  </r>
  <r>
    <x v="482"/>
    <x v="25"/>
    <n v="30.35"/>
    <n v="31"/>
    <n v="29.35"/>
    <n v="29.55"/>
    <x v="4"/>
    <n v="-1.125"/>
    <n v="1044"/>
    <n v="0"/>
    <n v="3257"/>
    <x v="174"/>
    <n v="190"/>
    <s v="F (Jan 21)"/>
    <d v="2021-01-20T00:00:00"/>
    <n v="-1"/>
  </r>
  <r>
    <x v="482"/>
    <x v="24"/>
    <n v="29.93"/>
    <n v="30.5"/>
    <n v="28.95"/>
    <n v="29.05"/>
    <x v="205"/>
    <n v="-1.175"/>
    <n v="141"/>
    <n v="0"/>
    <n v="373"/>
    <x v="137"/>
    <n v="218"/>
    <s v="G (Feb 21)"/>
    <d v="2021-02-17T00:00:00"/>
    <n v="-1"/>
  </r>
  <r>
    <x v="483"/>
    <x v="26"/>
    <n v="28.64"/>
    <n v="30.82"/>
    <n v="28.39"/>
    <n v="30.42"/>
    <x v="2425"/>
    <n v="1.825"/>
    <n v="2110"/>
    <n v="0"/>
    <n v="10743"/>
    <x v="172"/>
    <n v="156"/>
    <s v="Z (Dec 20)"/>
    <d v="2020-12-16T00:00:00"/>
    <n v="-1"/>
  </r>
  <r>
    <x v="483"/>
    <x v="25"/>
    <n v="28.84"/>
    <n v="30.85"/>
    <n v="28.6"/>
    <n v="30.55"/>
    <x v="2426"/>
    <n v="1.675"/>
    <n v="837"/>
    <n v="0"/>
    <n v="3120"/>
    <x v="179"/>
    <n v="191"/>
    <s v="F (Jan 21)"/>
    <d v="2021-01-20T00:00:00"/>
    <n v="-1"/>
  </r>
  <r>
    <x v="483"/>
    <x v="24"/>
    <n v="28.5"/>
    <n v="30.35"/>
    <n v="28.48"/>
    <n v="30.2"/>
    <x v="2356"/>
    <n v="1.55"/>
    <n v="147"/>
    <n v="0"/>
    <n v="332"/>
    <x v="142"/>
    <n v="219"/>
    <s v="G (Feb 21)"/>
    <d v="2021-02-17T00:00:00"/>
    <n v="-1"/>
  </r>
  <r>
    <x v="483"/>
    <x v="29"/>
    <n v="30.6"/>
    <n v="33.549999999999997"/>
    <n v="30.35"/>
    <n v="32.869999999999997"/>
    <x v="2397"/>
    <n v="2.35"/>
    <n v="14626"/>
    <n v="0"/>
    <n v="27287"/>
    <x v="170"/>
    <n v="65"/>
    <s v="U (Sep 20)"/>
    <d v="2020-09-16T00:00:00"/>
    <n v="-1"/>
  </r>
  <r>
    <x v="483"/>
    <x v="31"/>
    <n v="28.67"/>
    <n v="32.450000000000003"/>
    <n v="28.2"/>
    <n v="32.1"/>
    <x v="2338"/>
    <n v="3.05"/>
    <n v="87364"/>
    <n v="0"/>
    <n v="71074"/>
    <x v="44"/>
    <n v="9"/>
    <s v="N (Jul 20)"/>
    <d v="2020-07-22T00:00:00"/>
    <n v="-1"/>
  </r>
  <r>
    <x v="483"/>
    <x v="28"/>
    <n v="32.49"/>
    <n v="35.07"/>
    <n v="32.299999999999997"/>
    <n v="34.590000000000003"/>
    <x v="2427"/>
    <n v="2.1"/>
    <n v="7108"/>
    <n v="0"/>
    <n v="24389"/>
    <x v="7"/>
    <n v="100"/>
    <s v="V (Oct 20)"/>
    <d v="2020-10-21T00:00:00"/>
    <n v="-1"/>
  </r>
  <r>
    <x v="483"/>
    <x v="30"/>
    <n v="30.15"/>
    <n v="33.4"/>
    <n v="29.75"/>
    <n v="32.9"/>
    <x v="2379"/>
    <n v="2.65"/>
    <n v="86132"/>
    <n v="288"/>
    <n v="122319"/>
    <x v="2"/>
    <n v="37"/>
    <s v="Q (Aug 20)"/>
    <d v="2020-08-19T00:00:00"/>
    <n v="-1"/>
  </r>
  <r>
    <x v="483"/>
    <x v="27"/>
    <n v="30.2"/>
    <n v="32.6"/>
    <n v="30.05"/>
    <n v="32.200000000000003"/>
    <x v="2422"/>
    <n v="1.9"/>
    <n v="3177"/>
    <n v="0"/>
    <n v="20321"/>
    <x v="5"/>
    <n v="128"/>
    <s v="X (Nov 20)"/>
    <d v="2020-11-18T00:00:00"/>
    <n v="-1"/>
  </r>
  <r>
    <x v="484"/>
    <x v="29"/>
    <n v="31.2"/>
    <n v="32.01"/>
    <n v="30.75"/>
    <n v="30.9"/>
    <x v="2396"/>
    <n v="-0.52500000000000002"/>
    <n v="7784"/>
    <n v="0"/>
    <n v="26283"/>
    <x v="6"/>
    <n v="68"/>
    <s v="U (Sep 20)"/>
    <d v="2020-09-16T00:00:00"/>
    <n v="-1"/>
  </r>
  <r>
    <x v="484"/>
    <x v="31"/>
    <n v="30.2"/>
    <n v="31.15"/>
    <n v="28.7"/>
    <n v="28.88"/>
    <x v="2150"/>
    <n v="-1.45"/>
    <n v="57116"/>
    <n v="0"/>
    <n v="83434"/>
    <x v="47"/>
    <n v="12"/>
    <s v="N (Jul 20)"/>
    <d v="2020-07-22T00:00:00"/>
    <n v="-1"/>
  </r>
  <r>
    <x v="484"/>
    <x v="28"/>
    <n v="33.049999999999997"/>
    <n v="33.72"/>
    <n v="32.61"/>
    <n v="32.75"/>
    <x v="2428"/>
    <n v="-0.42499999999999999"/>
    <n v="4954"/>
    <n v="0"/>
    <n v="24209"/>
    <x v="10"/>
    <n v="103"/>
    <s v="V (Oct 20)"/>
    <d v="2020-10-21T00:00:00"/>
    <n v="-1"/>
  </r>
  <r>
    <x v="484"/>
    <x v="30"/>
    <n v="31.1"/>
    <n v="31.95"/>
    <n v="30.2"/>
    <n v="30.36"/>
    <x v="2380"/>
    <n v="-0.9"/>
    <n v="40775"/>
    <n v="176"/>
    <n v="105811"/>
    <x v="14"/>
    <n v="40"/>
    <s v="Q (Aug 20)"/>
    <d v="2020-08-19T00:00:00"/>
    <n v="-1"/>
  </r>
  <r>
    <x v="484"/>
    <x v="27"/>
    <n v="30.65"/>
    <n v="31.3"/>
    <n v="30.36"/>
    <n v="30.45"/>
    <x v="2393"/>
    <n v="-0.25"/>
    <n v="2949"/>
    <n v="0"/>
    <n v="20688"/>
    <x v="17"/>
    <n v="131"/>
    <s v="X (Nov 20)"/>
    <d v="2020-11-18T00:00:00"/>
    <n v="-1"/>
  </r>
  <r>
    <x v="484"/>
    <x v="26"/>
    <n v="29.05"/>
    <n v="29.65"/>
    <n v="28.7"/>
    <n v="28.75"/>
    <x v="16"/>
    <n v="-0.375"/>
    <n v="1751"/>
    <n v="0"/>
    <n v="10327"/>
    <x v="0"/>
    <n v="159"/>
    <s v="Z (Dec 20)"/>
    <d v="2020-12-16T00:00:00"/>
    <n v="-1"/>
  </r>
  <r>
    <x v="484"/>
    <x v="25"/>
    <n v="29.25"/>
    <n v="29.75"/>
    <n v="28.85"/>
    <n v="28.95"/>
    <x v="2341"/>
    <n v="-0.35"/>
    <n v="454"/>
    <n v="0"/>
    <n v="2893"/>
    <x v="180"/>
    <n v="194"/>
    <s v="F (Jan 21)"/>
    <d v="2021-01-20T00:00:00"/>
    <n v="-1"/>
  </r>
  <r>
    <x v="484"/>
    <x v="24"/>
    <n v="29.11"/>
    <n v="29.3"/>
    <n v="28.65"/>
    <n v="28.7"/>
    <x v="2283"/>
    <n v="-0.42499999999999999"/>
    <n v="49"/>
    <n v="0"/>
    <n v="283"/>
    <x v="3"/>
    <n v="222"/>
    <s v="G (Feb 21)"/>
    <d v="2021-02-17T00:00:00"/>
    <n v="-1"/>
  </r>
  <r>
    <x v="485"/>
    <x v="26"/>
    <n v="28.65"/>
    <n v="29.6"/>
    <n v="28.57"/>
    <n v="29.1"/>
    <x v="2325"/>
    <n v="0.5"/>
    <n v="2765"/>
    <n v="0"/>
    <n v="10026"/>
    <x v="12"/>
    <n v="160"/>
    <s v="Z (Dec 20)"/>
    <d v="2020-12-16T00:00:00"/>
    <n v="-1"/>
  </r>
  <r>
    <x v="485"/>
    <x v="25"/>
    <n v="28.79"/>
    <n v="29.7"/>
    <n v="28.75"/>
    <n v="29.25"/>
    <x v="2334"/>
    <n v="0.5"/>
    <n v="646"/>
    <n v="0"/>
    <n v="2787"/>
    <x v="185"/>
    <n v="195"/>
    <s v="F (Jan 21)"/>
    <d v="2021-01-20T00:00:00"/>
    <n v="-1"/>
  </r>
  <r>
    <x v="485"/>
    <x v="24"/>
    <n v="28.7"/>
    <n v="29.3"/>
    <n v="28.6"/>
    <n v="29.07"/>
    <x v="2279"/>
    <n v="0.47499999999999998"/>
    <n v="39"/>
    <n v="0"/>
    <n v="287"/>
    <x v="15"/>
    <n v="223"/>
    <s v="G (Feb 21)"/>
    <d v="2021-02-17T00:00:00"/>
    <n v="-1"/>
  </r>
  <r>
    <x v="485"/>
    <x v="29"/>
    <n v="30.52"/>
    <n v="32.049999999999997"/>
    <n v="30.45"/>
    <n v="31.3"/>
    <x v="2429"/>
    <n v="0.875"/>
    <n v="8671"/>
    <n v="0"/>
    <n v="26342"/>
    <x v="9"/>
    <n v="69"/>
    <s v="U (Sep 20)"/>
    <d v="2020-09-16T00:00:00"/>
    <n v="-1"/>
  </r>
  <r>
    <x v="485"/>
    <x v="31"/>
    <n v="29.45"/>
    <n v="31.65"/>
    <n v="29.19"/>
    <n v="30.05"/>
    <x v="2356"/>
    <n v="0.7"/>
    <n v="73115"/>
    <n v="0"/>
    <n v="89692"/>
    <x v="62"/>
    <n v="13"/>
    <s v="N (Jul 20)"/>
    <d v="2020-07-22T00:00:00"/>
    <n v="-1"/>
  </r>
  <r>
    <x v="485"/>
    <x v="28"/>
    <n v="32.520000000000003"/>
    <n v="33.630000000000003"/>
    <n v="32.4"/>
    <n v="33.11"/>
    <x v="2430"/>
    <n v="0.625"/>
    <n v="7019"/>
    <n v="0"/>
    <n v="24868"/>
    <x v="25"/>
    <n v="104"/>
    <s v="V (Oct 20)"/>
    <d v="2020-10-21T00:00:00"/>
    <n v="-1"/>
  </r>
  <r>
    <x v="485"/>
    <x v="30"/>
    <n v="30.25"/>
    <n v="32.07"/>
    <n v="30.17"/>
    <n v="31.09"/>
    <x v="2363"/>
    <n v="0.8"/>
    <n v="50736"/>
    <n v="0"/>
    <n v="102394"/>
    <x v="20"/>
    <n v="41"/>
    <s v="Q (Aug 20)"/>
    <d v="2020-08-19T00:00:00"/>
    <n v="-1"/>
  </r>
  <r>
    <x v="485"/>
    <x v="27"/>
    <n v="30.21"/>
    <n v="31.22"/>
    <n v="30.1"/>
    <n v="30.7"/>
    <x v="2340"/>
    <n v="0.55000000000000004"/>
    <n v="3293"/>
    <n v="0"/>
    <n v="20938"/>
    <x v="23"/>
    <n v="132"/>
    <s v="X (Nov 20)"/>
    <d v="2020-11-18T00:00:00"/>
    <n v="-1"/>
  </r>
  <r>
    <x v="486"/>
    <x v="29"/>
    <n v="31.1"/>
    <n v="31.33"/>
    <n v="30.31"/>
    <n v="30.55"/>
    <x v="2393"/>
    <n v="-0.5"/>
    <n v="6494"/>
    <n v="0"/>
    <n v="26686"/>
    <x v="24"/>
    <n v="70"/>
    <s v="U (Sep 20)"/>
    <d v="2020-09-16T00:00:00"/>
    <n v="-1"/>
  </r>
  <r>
    <x v="486"/>
    <x v="31"/>
    <n v="30.6"/>
    <n v="31.13"/>
    <n v="29.4"/>
    <n v="29.4"/>
    <x v="4"/>
    <n v="-1.05"/>
    <n v="60503"/>
    <n v="167"/>
    <n v="93937"/>
    <x v="65"/>
    <n v="14"/>
    <s v="N (Jul 20)"/>
    <d v="2020-07-22T00:00:00"/>
    <n v="-1"/>
  </r>
  <r>
    <x v="486"/>
    <x v="28"/>
    <n v="33.25"/>
    <n v="33.33"/>
    <n v="32.42"/>
    <n v="32.5"/>
    <x v="2342"/>
    <n v="-0.6"/>
    <n v="5007"/>
    <n v="0"/>
    <n v="25034"/>
    <x v="28"/>
    <n v="105"/>
    <s v="V (Oct 20)"/>
    <d v="2020-10-21T00:00:00"/>
    <n v="-1"/>
  </r>
  <r>
    <x v="486"/>
    <x v="30"/>
    <n v="31.2"/>
    <n v="31.47"/>
    <n v="30.22"/>
    <n v="30.35"/>
    <x v="2359"/>
    <n v="-0.7"/>
    <n v="43555"/>
    <n v="233"/>
    <n v="95608"/>
    <x v="31"/>
    <n v="42"/>
    <s v="Q (Aug 20)"/>
    <d v="2020-08-19T00:00:00"/>
    <n v="-1"/>
  </r>
  <r>
    <x v="486"/>
    <x v="27"/>
    <n v="30.8"/>
    <n v="30.95"/>
    <n v="30.12"/>
    <n v="30.2"/>
    <x v="2356"/>
    <n v="-0.55000000000000004"/>
    <n v="2705"/>
    <n v="0"/>
    <n v="21124"/>
    <x v="34"/>
    <n v="133"/>
    <s v="X (Nov 20)"/>
    <d v="2020-11-18T00:00:00"/>
    <n v="-1"/>
  </r>
  <r>
    <x v="486"/>
    <x v="26"/>
    <n v="29.3"/>
    <n v="29.4"/>
    <n v="28.6"/>
    <n v="28.65"/>
    <x v="2283"/>
    <n v="-0.55000000000000004"/>
    <n v="1581"/>
    <n v="0"/>
    <n v="9264"/>
    <x v="18"/>
    <n v="161"/>
    <s v="Z (Dec 20)"/>
    <d v="2020-12-16T00:00:00"/>
    <n v="-1"/>
  </r>
  <r>
    <x v="486"/>
    <x v="25"/>
    <n v="29.3"/>
    <n v="29.55"/>
    <n v="28.75"/>
    <n v="28.8"/>
    <x v="178"/>
    <n v="-0.52500000000000002"/>
    <n v="465"/>
    <n v="0"/>
    <n v="2738"/>
    <x v="1"/>
    <n v="196"/>
    <s v="F (Jan 21)"/>
    <d v="2021-01-20T00:00:00"/>
    <n v="-1"/>
  </r>
  <r>
    <x v="486"/>
    <x v="24"/>
    <n v="29"/>
    <n v="29.25"/>
    <n v="28.6"/>
    <n v="28.8"/>
    <x v="88"/>
    <n v="-0.5"/>
    <n v="35"/>
    <n v="0"/>
    <n v="285"/>
    <x v="21"/>
    <n v="224"/>
    <s v="G (Feb 21)"/>
    <d v="2021-02-17T00:00:00"/>
    <n v="-1"/>
  </r>
  <r>
    <x v="487"/>
    <x v="26"/>
    <n v="28.53"/>
    <n v="29.3"/>
    <n v="28.35"/>
    <n v="29.25"/>
    <x v="104"/>
    <n v="0.65"/>
    <n v="1529"/>
    <n v="0"/>
    <n v="8844"/>
    <x v="35"/>
    <n v="162"/>
    <s v="Z (Dec 20)"/>
    <d v="2020-12-16T00:00:00"/>
    <n v="-1"/>
  </r>
  <r>
    <x v="487"/>
    <x v="25"/>
    <n v="28.69"/>
    <n v="29.4"/>
    <n v="28.5"/>
    <n v="29.35"/>
    <x v="2292"/>
    <n v="0.625"/>
    <n v="564"/>
    <n v="0"/>
    <n v="2741"/>
    <x v="13"/>
    <n v="197"/>
    <s v="F (Jan 21)"/>
    <d v="2021-01-20T00:00:00"/>
    <n v="-1"/>
  </r>
  <r>
    <x v="487"/>
    <x v="24"/>
    <n v="28.45"/>
    <n v="29.12"/>
    <n v="28.4"/>
    <n v="29.12"/>
    <x v="115"/>
    <n v="0.57499999999999996"/>
    <n v="16"/>
    <n v="0"/>
    <n v="264"/>
    <x v="32"/>
    <n v="225"/>
    <s v="G (Feb 21)"/>
    <d v="2021-02-17T00:00:00"/>
    <n v="-1"/>
  </r>
  <r>
    <x v="487"/>
    <x v="29"/>
    <n v="30.35"/>
    <n v="31.1"/>
    <n v="29.85"/>
    <n v="31.05"/>
    <x v="2384"/>
    <n v="0.75"/>
    <n v="4902"/>
    <n v="0"/>
    <n v="26106"/>
    <x v="27"/>
    <n v="71"/>
    <s v="U (Sep 20)"/>
    <d v="2020-09-16T00:00:00"/>
    <n v="-1"/>
  </r>
  <r>
    <x v="487"/>
    <x v="31"/>
    <n v="29.3"/>
    <n v="30.7"/>
    <n v="28.67"/>
    <n v="30.64"/>
    <x v="2368"/>
    <n v="1.325"/>
    <n v="59694"/>
    <n v="229"/>
    <n v="97289"/>
    <x v="80"/>
    <n v="15"/>
    <s v="N (Jul 20)"/>
    <d v="2020-07-22T00:00:00"/>
    <n v="-1"/>
  </r>
  <r>
    <x v="487"/>
    <x v="28"/>
    <n v="32.549999999999997"/>
    <n v="33.200000000000003"/>
    <n v="32.15"/>
    <n v="33.18"/>
    <x v="2333"/>
    <n v="0.7"/>
    <n v="3285"/>
    <n v="0"/>
    <n v="24918"/>
    <x v="43"/>
    <n v="106"/>
    <s v="V (Oct 20)"/>
    <d v="2020-10-21T00:00:00"/>
    <n v="-1"/>
  </r>
  <r>
    <x v="487"/>
    <x v="30"/>
    <n v="30.25"/>
    <n v="31.2"/>
    <n v="29.62"/>
    <n v="31.16"/>
    <x v="2431"/>
    <n v="0.92500000000000004"/>
    <n v="46414"/>
    <n v="271"/>
    <n v="90968"/>
    <x v="37"/>
    <n v="43"/>
    <s v="Q (Aug 20)"/>
    <d v="2020-08-19T00:00:00"/>
    <n v="-1"/>
  </r>
  <r>
    <x v="487"/>
    <x v="27"/>
    <n v="30.05"/>
    <n v="30.8"/>
    <n v="29.75"/>
    <n v="30.79"/>
    <x v="2340"/>
    <n v="0.75"/>
    <n v="2557"/>
    <n v="0"/>
    <n v="20868"/>
    <x v="40"/>
    <n v="134"/>
    <s v="X (Nov 20)"/>
    <d v="2020-11-18T00:00:00"/>
    <n v="-1"/>
  </r>
  <r>
    <x v="488"/>
    <x v="29"/>
    <n v="30.25"/>
    <n v="30.61"/>
    <n v="29.3"/>
    <n v="30.32"/>
    <x v="2390"/>
    <n v="0.05"/>
    <n v="6747"/>
    <n v="0"/>
    <n v="25455"/>
    <x v="42"/>
    <n v="72"/>
    <s v="U (Sep 20)"/>
    <d v="2020-09-16T00:00:00"/>
    <n v="-1"/>
  </r>
  <r>
    <x v="488"/>
    <x v="31"/>
    <n v="29.19"/>
    <n v="30"/>
    <n v="28.13"/>
    <n v="29.29"/>
    <x v="2423"/>
    <n v="0.17499999999999999"/>
    <n v="60700"/>
    <n v="0"/>
    <n v="100572"/>
    <x v="83"/>
    <n v="16"/>
    <s v="N (Jul 20)"/>
    <d v="2020-07-22T00:00:00"/>
    <n v="-1"/>
  </r>
  <r>
    <x v="488"/>
    <x v="28"/>
    <n v="32.4"/>
    <n v="32.799999999999997"/>
    <n v="31.6"/>
    <n v="32.5"/>
    <x v="2370"/>
    <n v="0.05"/>
    <n v="4208"/>
    <n v="0"/>
    <n v="25120"/>
    <x v="46"/>
    <n v="107"/>
    <s v="V (Oct 20)"/>
    <d v="2020-10-21T00:00:00"/>
    <n v="-1"/>
  </r>
  <r>
    <x v="488"/>
    <x v="30"/>
    <n v="30.1"/>
    <n v="30.58"/>
    <n v="28.95"/>
    <n v="30.23"/>
    <x v="2432"/>
    <n v="0.125"/>
    <n v="51244"/>
    <n v="0"/>
    <n v="84077"/>
    <x v="49"/>
    <n v="44"/>
    <s v="Q (Aug 20)"/>
    <d v="2020-08-19T00:00:00"/>
    <n v="-1"/>
  </r>
  <r>
    <x v="488"/>
    <x v="27"/>
    <n v="30"/>
    <n v="30.3"/>
    <n v="29.27"/>
    <n v="30.05"/>
    <x v="2360"/>
    <n v="7.4999999999999997E-2"/>
    <n v="2832"/>
    <n v="0"/>
    <n v="20825"/>
    <x v="52"/>
    <n v="135"/>
    <s v="X (Nov 20)"/>
    <d v="2020-11-18T00:00:00"/>
    <n v="-1"/>
  </r>
  <r>
    <x v="488"/>
    <x v="26"/>
    <n v="28.46"/>
    <n v="29"/>
    <n v="27.89"/>
    <n v="28.55"/>
    <x v="164"/>
    <n v="0.05"/>
    <n v="1526"/>
    <n v="0"/>
    <n v="8672"/>
    <x v="41"/>
    <n v="163"/>
    <s v="Z (Dec 20)"/>
    <d v="2020-12-16T00:00:00"/>
    <n v="-1"/>
  </r>
  <r>
    <x v="488"/>
    <x v="25"/>
    <n v="28.87"/>
    <n v="29.1"/>
    <n v="28.15"/>
    <n v="28.72"/>
    <x v="2156"/>
    <n v="0"/>
    <n v="704"/>
    <n v="0"/>
    <n v="2620"/>
    <x v="19"/>
    <n v="198"/>
    <s v="F (Jan 21)"/>
    <d v="2021-01-20T00:00:00"/>
    <n v="-1"/>
  </r>
  <r>
    <x v="488"/>
    <x v="24"/>
    <n v="29.15"/>
    <n v="29.15"/>
    <n v="28.2"/>
    <n v="28.55"/>
    <x v="50"/>
    <n v="-0.15"/>
    <n v="50"/>
    <n v="0"/>
    <n v="262"/>
    <x v="38"/>
    <n v="226"/>
    <s v="G (Feb 21)"/>
    <d v="2021-02-17T00:00:00"/>
    <n v="-1"/>
  </r>
  <r>
    <x v="489"/>
    <x v="26"/>
    <n v="28.8"/>
    <n v="28.85"/>
    <n v="27.69"/>
    <n v="28.56"/>
    <x v="520"/>
    <n v="-0.2"/>
    <n v="2334"/>
    <n v="0"/>
    <n v="8529"/>
    <x v="59"/>
    <n v="167"/>
    <s v="Z (Dec 20)"/>
    <d v="2020-12-16T00:00:00"/>
    <n v="-1"/>
  </r>
  <r>
    <x v="489"/>
    <x v="25"/>
    <n v="28.94"/>
    <n v="29.05"/>
    <n v="27.97"/>
    <n v="28.8"/>
    <x v="2156"/>
    <n v="-0.2"/>
    <n v="941"/>
    <n v="0"/>
    <n v="2605"/>
    <x v="36"/>
    <n v="202"/>
    <s v="F (Jan 21)"/>
    <d v="2021-01-20T00:00:00"/>
    <n v="-1"/>
  </r>
  <r>
    <x v="489"/>
    <x v="24"/>
    <n v="28.8"/>
    <n v="28.95"/>
    <n v="28.25"/>
    <n v="28.64"/>
    <x v="71"/>
    <n v="-0.375"/>
    <n v="106"/>
    <n v="0"/>
    <n v="243"/>
    <x v="56"/>
    <n v="230"/>
    <s v="G (Feb 21)"/>
    <d v="2021-02-17T00:00:00"/>
    <n v="-1"/>
  </r>
  <r>
    <x v="489"/>
    <x v="29"/>
    <n v="30.95"/>
    <n v="31.24"/>
    <n v="29.47"/>
    <n v="30.25"/>
    <x v="2356"/>
    <n v="-0.7"/>
    <n v="12319"/>
    <n v="0"/>
    <n v="25354"/>
    <x v="60"/>
    <n v="76"/>
    <s v="U (Sep 20)"/>
    <d v="2020-09-16T00:00:00"/>
    <n v="-1"/>
  </r>
  <r>
    <x v="489"/>
    <x v="31"/>
    <n v="29.8"/>
    <n v="30.3"/>
    <n v="27.92"/>
    <n v="29.15"/>
    <x v="185"/>
    <n v="-0.75"/>
    <n v="77628"/>
    <n v="135"/>
    <n v="104117"/>
    <x v="101"/>
    <n v="20"/>
    <s v="N (Jul 20)"/>
    <d v="2020-07-22T00:00:00"/>
    <n v="-1"/>
  </r>
  <r>
    <x v="489"/>
    <x v="28"/>
    <n v="32.75"/>
    <n v="33.06"/>
    <n v="31.58"/>
    <n v="32.5"/>
    <x v="2422"/>
    <n v="-0.35"/>
    <n v="8077"/>
    <n v="0"/>
    <n v="25109"/>
    <x v="64"/>
    <n v="111"/>
    <s v="V (Oct 20)"/>
    <d v="2020-10-21T00:00:00"/>
    <n v="-1"/>
  </r>
  <r>
    <x v="489"/>
    <x v="30"/>
    <n v="30.85"/>
    <n v="31.35"/>
    <n v="29.27"/>
    <n v="30.1"/>
    <x v="2366"/>
    <n v="-0.75"/>
    <n v="60780"/>
    <n v="115"/>
    <n v="76166"/>
    <x v="67"/>
    <n v="48"/>
    <s v="Q (Aug 20)"/>
    <d v="2020-08-19T00:00:00"/>
    <n v="-1"/>
  </r>
  <r>
    <x v="489"/>
    <x v="27"/>
    <n v="30.25"/>
    <n v="30.46"/>
    <n v="29.17"/>
    <n v="30"/>
    <x v="2433"/>
    <n v="-0.32500000000000001"/>
    <n v="4876"/>
    <n v="0"/>
    <n v="20801"/>
    <x v="70"/>
    <n v="139"/>
    <s v="X (Nov 20)"/>
    <d v="2020-11-18T00:00:00"/>
    <n v="-1"/>
  </r>
  <r>
    <x v="490"/>
    <x v="29"/>
    <n v="31.75"/>
    <n v="32.4"/>
    <n v="30.73"/>
    <n v="30.9"/>
    <x v="2350"/>
    <n v="-0.85"/>
    <n v="13033"/>
    <n v="0"/>
    <n v="25134"/>
    <x v="63"/>
    <n v="77"/>
    <s v="U (Sep 20)"/>
    <d v="2020-09-16T00:00:00"/>
    <n v="-1"/>
  </r>
  <r>
    <x v="490"/>
    <x v="31"/>
    <n v="30.8"/>
    <n v="31.9"/>
    <n v="29.5"/>
    <n v="29.74"/>
    <x v="2391"/>
    <n v="-1.05"/>
    <n v="70171"/>
    <n v="0"/>
    <n v="112187"/>
    <x v="116"/>
    <n v="21"/>
    <s v="N (Jul 20)"/>
    <d v="2020-07-22T00:00:00"/>
    <n v="-1"/>
  </r>
  <r>
    <x v="490"/>
    <x v="28"/>
    <n v="33.200000000000003"/>
    <n v="33.700000000000003"/>
    <n v="32.35"/>
    <n v="32.799999999999997"/>
    <x v="2428"/>
    <n v="-0.4"/>
    <n v="6586"/>
    <n v="0"/>
    <n v="26450"/>
    <x v="79"/>
    <n v="112"/>
    <s v="V (Oct 20)"/>
    <d v="2020-10-21T00:00:00"/>
    <n v="-1"/>
  </r>
  <r>
    <x v="490"/>
    <x v="30"/>
    <n v="31.75"/>
    <n v="32.6"/>
    <n v="30.63"/>
    <n v="30.84"/>
    <x v="2332"/>
    <n v="-1"/>
    <n v="63408"/>
    <n v="0"/>
    <n v="70800"/>
    <x v="73"/>
    <n v="49"/>
    <s v="Q (Aug 20)"/>
    <d v="2020-08-19T00:00:00"/>
    <n v="-1"/>
  </r>
  <r>
    <x v="490"/>
    <x v="27"/>
    <n v="30.57"/>
    <n v="31.15"/>
    <n v="29.85"/>
    <n v="30.25"/>
    <x v="2390"/>
    <n v="-0.3"/>
    <n v="2850"/>
    <n v="0"/>
    <n v="19947"/>
    <x v="76"/>
    <n v="140"/>
    <s v="X (Nov 20)"/>
    <d v="2020-11-18T00:00:00"/>
    <n v="-1"/>
  </r>
  <r>
    <x v="490"/>
    <x v="26"/>
    <n v="29.05"/>
    <n v="29.6"/>
    <n v="28.35"/>
    <n v="28.73"/>
    <x v="2156"/>
    <n v="-0.35"/>
    <n v="2004"/>
    <n v="0"/>
    <n v="8242"/>
    <x v="71"/>
    <n v="168"/>
    <s v="Z (Dec 20)"/>
    <d v="2020-12-16T00:00:00"/>
    <n v="-1"/>
  </r>
  <r>
    <x v="490"/>
    <x v="25"/>
    <n v="29.38"/>
    <n v="29.75"/>
    <n v="28.6"/>
    <n v="28.92"/>
    <x v="100"/>
    <n v="-0.5"/>
    <n v="879"/>
    <n v="0"/>
    <n v="2388"/>
    <x v="48"/>
    <n v="203"/>
    <s v="F (Jan 21)"/>
    <d v="2021-01-20T00:00:00"/>
    <n v="-1"/>
  </r>
  <r>
    <x v="490"/>
    <x v="24"/>
    <n v="29.35"/>
    <n v="29.55"/>
    <n v="28.85"/>
    <n v="29.05"/>
    <x v="185"/>
    <n v="-0.35"/>
    <n v="71"/>
    <n v="0"/>
    <n v="217"/>
    <x v="68"/>
    <n v="231"/>
    <s v="G (Feb 21)"/>
    <d v="2021-02-17T00:00:00"/>
    <n v="-1"/>
  </r>
  <r>
    <x v="491"/>
    <x v="26"/>
    <n v="30.2"/>
    <n v="30.5"/>
    <n v="28.85"/>
    <n v="29.05"/>
    <x v="185"/>
    <n v="-0.95"/>
    <n v="2556"/>
    <n v="0"/>
    <n v="8238"/>
    <x v="77"/>
    <n v="169"/>
    <s v="Z (Dec 20)"/>
    <d v="2020-12-16T00:00:00"/>
    <n v="-1"/>
  </r>
  <r>
    <x v="491"/>
    <x v="25"/>
    <n v="30.65"/>
    <n v="30.9"/>
    <n v="29.25"/>
    <n v="29.4"/>
    <x v="2394"/>
    <n v="-1.125"/>
    <n v="1088"/>
    <n v="0"/>
    <n v="2188"/>
    <x v="54"/>
    <n v="204"/>
    <s v="F (Jan 21)"/>
    <d v="2021-01-20T00:00:00"/>
    <n v="-1"/>
  </r>
  <r>
    <x v="491"/>
    <x v="24"/>
    <n v="30.55"/>
    <n v="30.55"/>
    <n v="29.3"/>
    <n v="29.39"/>
    <x v="2394"/>
    <n v="-0.95"/>
    <n v="50"/>
    <n v="0"/>
    <n v="188"/>
    <x v="74"/>
    <n v="232"/>
    <s v="G (Feb 21)"/>
    <d v="2021-02-17T00:00:00"/>
    <n v="-1"/>
  </r>
  <r>
    <x v="491"/>
    <x v="29"/>
    <n v="32.85"/>
    <n v="33.4"/>
    <n v="31.45"/>
    <n v="31.74"/>
    <x v="2434"/>
    <n v="-1"/>
    <n v="8959"/>
    <n v="0"/>
    <n v="22772"/>
    <x v="78"/>
    <n v="78"/>
    <s v="U (Sep 20)"/>
    <d v="2020-09-16T00:00:00"/>
    <n v="-1"/>
  </r>
  <r>
    <x v="491"/>
    <x v="31"/>
    <n v="32.51"/>
    <n v="33.159999999999997"/>
    <n v="30.43"/>
    <n v="30.79"/>
    <x v="2396"/>
    <n v="-1.45"/>
    <n v="82450"/>
    <n v="0"/>
    <n v="113098"/>
    <x v="119"/>
    <n v="22"/>
    <s v="N (Jul 20)"/>
    <d v="2020-07-22T00:00:00"/>
    <n v="-1"/>
  </r>
  <r>
    <x v="491"/>
    <x v="28"/>
    <n v="34.06"/>
    <n v="34.549999999999997"/>
    <n v="32.85"/>
    <n v="33.130000000000003"/>
    <x v="2333"/>
    <n v="-0.85"/>
    <n v="4715"/>
    <n v="0"/>
    <n v="26653"/>
    <x v="82"/>
    <n v="113"/>
    <s v="V (Oct 20)"/>
    <d v="2020-10-21T00:00:00"/>
    <n v="-1"/>
  </r>
  <r>
    <x v="491"/>
    <x v="30"/>
    <n v="32.92"/>
    <n v="33.58"/>
    <n v="31.4"/>
    <n v="31.75"/>
    <x v="2338"/>
    <n v="-1"/>
    <n v="54208"/>
    <n v="0"/>
    <n v="63955"/>
    <x v="85"/>
    <n v="50"/>
    <s v="Q (Aug 20)"/>
    <d v="2020-08-19T00:00:00"/>
    <n v="-1"/>
  </r>
  <r>
    <x v="491"/>
    <x v="27"/>
    <n v="31.55"/>
    <n v="32"/>
    <n v="30.32"/>
    <n v="30.56"/>
    <x v="2368"/>
    <n v="-0.92500000000000004"/>
    <n v="3662"/>
    <n v="0"/>
    <n v="19635"/>
    <x v="88"/>
    <n v="141"/>
    <s v="X (Nov 20)"/>
    <d v="2020-11-18T00:00:00"/>
    <n v="-1"/>
  </r>
  <r>
    <x v="492"/>
    <x v="29"/>
    <n v="34.44"/>
    <n v="34.6"/>
    <n v="32.619999999999997"/>
    <n v="32.85"/>
    <x v="2428"/>
    <n v="-1.45"/>
    <n v="6836"/>
    <n v="0"/>
    <n v="21682"/>
    <x v="81"/>
    <n v="79"/>
    <s v="U (Sep 20)"/>
    <d v="2020-09-16T00:00:00"/>
    <n v="-1"/>
  </r>
  <r>
    <x v="492"/>
    <x v="31"/>
    <n v="34.950000000000003"/>
    <n v="35.25"/>
    <n v="32.1"/>
    <n v="32.4"/>
    <x v="2435"/>
    <n v="-2.2000000000000002"/>
    <n v="74789"/>
    <n v="0"/>
    <n v="119900"/>
    <x v="133"/>
    <n v="23"/>
    <s v="N (Jul 20)"/>
    <d v="2020-07-22T00:00:00"/>
    <n v="-1"/>
  </r>
  <r>
    <x v="492"/>
    <x v="28"/>
    <n v="35.53"/>
    <n v="35.6"/>
    <n v="33.85"/>
    <n v="34.08"/>
    <x v="2436"/>
    <n v="-1.3"/>
    <n v="3313"/>
    <n v="0"/>
    <n v="26264"/>
    <x v="97"/>
    <n v="114"/>
    <s v="V (Oct 20)"/>
    <d v="2020-10-21T00:00:00"/>
    <n v="-1"/>
  </r>
  <r>
    <x v="492"/>
    <x v="30"/>
    <n v="34.700000000000003"/>
    <n v="34.9"/>
    <n v="32.6"/>
    <n v="32.880000000000003"/>
    <x v="2437"/>
    <n v="-1.65"/>
    <n v="49964"/>
    <n v="0"/>
    <n v="59368"/>
    <x v="91"/>
    <n v="51"/>
    <s v="Q (Aug 20)"/>
    <d v="2020-08-19T00:00:00"/>
    <n v="-1"/>
  </r>
  <r>
    <x v="492"/>
    <x v="27"/>
    <n v="32.869999999999997"/>
    <n v="32.950000000000003"/>
    <n v="31.35"/>
    <n v="31.52"/>
    <x v="2438"/>
    <n v="-1.2749999999999999"/>
    <n v="2113"/>
    <n v="0"/>
    <n v="19857"/>
    <x v="94"/>
    <n v="142"/>
    <s v="X (Nov 20)"/>
    <d v="2020-11-18T00:00:00"/>
    <n v="-1"/>
  </r>
  <r>
    <x v="492"/>
    <x v="26"/>
    <n v="30.85"/>
    <n v="31.55"/>
    <n v="29.88"/>
    <n v="30.05"/>
    <x v="2360"/>
    <n v="-1.1499999999999999"/>
    <n v="1507"/>
    <n v="0"/>
    <n v="8402"/>
    <x v="89"/>
    <n v="170"/>
    <s v="Z (Dec 20)"/>
    <d v="2020-12-16T00:00:00"/>
    <n v="-1"/>
  </r>
  <r>
    <x v="492"/>
    <x v="25"/>
    <n v="31.45"/>
    <n v="31.85"/>
    <n v="30.42"/>
    <n v="30.53"/>
    <x v="2439"/>
    <n v="-1.0249999999999999"/>
    <n v="547"/>
    <n v="0"/>
    <n v="2178"/>
    <x v="66"/>
    <n v="205"/>
    <s v="F (Jan 21)"/>
    <d v="2021-01-20T00:00:00"/>
    <n v="-1"/>
  </r>
  <r>
    <x v="492"/>
    <x v="24"/>
    <n v="31.25"/>
    <n v="31.25"/>
    <n v="30.25"/>
    <n v="30.25"/>
    <x v="2351"/>
    <n v="-0.72499999999999998"/>
    <n v="35"/>
    <n v="0"/>
    <n v="188"/>
    <x v="86"/>
    <n v="233"/>
    <s v="G (Feb 21)"/>
    <d v="2021-02-17T00:00:00"/>
    <n v="-1"/>
  </r>
  <r>
    <x v="493"/>
    <x v="26"/>
    <n v="29.62"/>
    <n v="31.3"/>
    <n v="29.6"/>
    <n v="31.17"/>
    <x v="2424"/>
    <n v="1.55"/>
    <n v="3428"/>
    <n v="0"/>
    <n v="8348"/>
    <x v="95"/>
    <n v="173"/>
    <s v="Z (Dec 20)"/>
    <d v="2020-12-16T00:00:00"/>
    <n v="-1"/>
  </r>
  <r>
    <x v="493"/>
    <x v="25"/>
    <n v="30.3"/>
    <n v="31.57"/>
    <n v="30.2"/>
    <n v="31.5"/>
    <x v="2326"/>
    <n v="1.4"/>
    <n v="1247"/>
    <n v="0"/>
    <n v="2162"/>
    <x v="72"/>
    <n v="208"/>
    <s v="F (Jan 21)"/>
    <d v="2021-01-20T00:00:00"/>
    <n v="-1"/>
  </r>
  <r>
    <x v="493"/>
    <x v="24"/>
    <n v="30.35"/>
    <n v="31.1"/>
    <n v="30"/>
    <n v="31.05"/>
    <x v="2440"/>
    <n v="1.1000000000000001"/>
    <n v="84"/>
    <n v="0"/>
    <n v="182"/>
    <x v="92"/>
    <n v="236"/>
    <s v="G (Feb 21)"/>
    <d v="2021-02-17T00:00:00"/>
    <n v="-1"/>
  </r>
  <r>
    <x v="493"/>
    <x v="29"/>
    <n v="32.5"/>
    <n v="34.35"/>
    <n v="32.200000000000003"/>
    <n v="34.17"/>
    <x v="2441"/>
    <n v="1.9"/>
    <n v="6760"/>
    <n v="0"/>
    <n v="21324"/>
    <x v="96"/>
    <n v="82"/>
    <s v="U (Sep 20)"/>
    <d v="2020-09-16T00:00:00"/>
    <n v="-1"/>
  </r>
  <r>
    <x v="493"/>
    <x v="31"/>
    <n v="32.35"/>
    <n v="34.85"/>
    <n v="31.85"/>
    <n v="34.450000000000003"/>
    <x v="2442"/>
    <n v="2.35"/>
    <n v="82928"/>
    <n v="817"/>
    <n v="125169"/>
    <x v="136"/>
    <n v="26"/>
    <s v="N (Jul 20)"/>
    <d v="2020-07-22T00:00:00"/>
    <n v="-1"/>
  </r>
  <r>
    <x v="493"/>
    <x v="28"/>
    <n v="33.630000000000003"/>
    <n v="35.42"/>
    <n v="33.5"/>
    <n v="35.340000000000003"/>
    <x v="2404"/>
    <n v="1.75"/>
    <n v="4547"/>
    <n v="0"/>
    <n v="26115"/>
    <x v="100"/>
    <n v="117"/>
    <s v="V (Oct 20)"/>
    <d v="2020-10-21T00:00:00"/>
    <n v="-1"/>
  </r>
  <r>
    <x v="493"/>
    <x v="30"/>
    <n v="32.549999999999997"/>
    <n v="34.65"/>
    <n v="32.200000000000003"/>
    <n v="34.380000000000003"/>
    <x v="2443"/>
    <n v="2.15"/>
    <n v="51078"/>
    <n v="336"/>
    <n v="54520"/>
    <x v="103"/>
    <n v="54"/>
    <s v="Q (Aug 20)"/>
    <d v="2020-08-19T00:00:00"/>
    <n v="-1"/>
  </r>
  <r>
    <x v="493"/>
    <x v="27"/>
    <n v="31.27"/>
    <n v="32.85"/>
    <n v="31.08"/>
    <n v="32.85"/>
    <x v="2428"/>
    <n v="1.65"/>
    <n v="2901"/>
    <n v="0"/>
    <n v="19861"/>
    <x v="106"/>
    <n v="145"/>
    <s v="X (Nov 20)"/>
    <d v="2020-11-18T00:00:00"/>
    <n v="-1"/>
  </r>
  <r>
    <x v="494"/>
    <x v="29"/>
    <n v="33.200000000000003"/>
    <n v="34.36"/>
    <n v="32.270000000000003"/>
    <n v="32.4"/>
    <x v="2435"/>
    <n v="-0.9"/>
    <n v="7074"/>
    <n v="0"/>
    <n v="21086"/>
    <x v="99"/>
    <n v="83"/>
    <s v="U (Sep 20)"/>
    <d v="2020-09-16T00:00:00"/>
    <n v="-1"/>
  </r>
  <r>
    <x v="494"/>
    <x v="31"/>
    <n v="33.6"/>
    <n v="35.450000000000003"/>
    <n v="31.97"/>
    <n v="32.25"/>
    <x v="2389"/>
    <n v="-1.4"/>
    <n v="82519"/>
    <n v="675"/>
    <n v="122847"/>
    <x v="150"/>
    <n v="27"/>
    <s v="N (Jul 20)"/>
    <d v="2020-07-22T00:00:00"/>
    <n v="-1"/>
  </r>
  <r>
    <x v="494"/>
    <x v="28"/>
    <n v="34.4"/>
    <n v="35.4"/>
    <n v="33.47"/>
    <n v="33.6"/>
    <x v="2444"/>
    <n v="-0.9"/>
    <n v="4344"/>
    <n v="0"/>
    <n v="26375"/>
    <x v="115"/>
    <n v="118"/>
    <s v="V (Oct 20)"/>
    <d v="2020-10-21T00:00:00"/>
    <n v="-1"/>
  </r>
  <r>
    <x v="494"/>
    <x v="30"/>
    <n v="33.42"/>
    <n v="34.950000000000003"/>
    <n v="32.299999999999997"/>
    <n v="32.450000000000003"/>
    <x v="2435"/>
    <n v="-1.1499999999999999"/>
    <n v="46610"/>
    <n v="225"/>
    <n v="48400"/>
    <x v="109"/>
    <n v="55"/>
    <s v="Q (Aug 20)"/>
    <d v="2020-08-19T00:00:00"/>
    <n v="-1"/>
  </r>
  <r>
    <x v="494"/>
    <x v="27"/>
    <n v="32.049999999999997"/>
    <n v="32.97"/>
    <n v="31"/>
    <n v="31.1"/>
    <x v="2431"/>
    <n v="-1"/>
    <n v="3303"/>
    <n v="0"/>
    <n v="19918"/>
    <x v="112"/>
    <n v="146"/>
    <s v="X (Nov 20)"/>
    <d v="2020-11-18T00:00:00"/>
    <n v="-1"/>
  </r>
  <r>
    <x v="494"/>
    <x v="26"/>
    <n v="30.85"/>
    <n v="31.47"/>
    <n v="29.5"/>
    <n v="29.61"/>
    <x v="2330"/>
    <n v="-1.05"/>
    <n v="1968"/>
    <n v="0"/>
    <n v="7672"/>
    <x v="107"/>
    <n v="174"/>
    <s v="Z (Dec 20)"/>
    <d v="2020-12-16T00:00:00"/>
    <n v="-1"/>
  </r>
  <r>
    <x v="494"/>
    <x v="25"/>
    <n v="31.12"/>
    <n v="31.85"/>
    <n v="30.1"/>
    <n v="30.2"/>
    <x v="2336"/>
    <n v="-0.95"/>
    <n v="966"/>
    <n v="0"/>
    <n v="1911"/>
    <x v="84"/>
    <n v="209"/>
    <s v="F (Jan 21)"/>
    <d v="2021-01-20T00:00:00"/>
    <n v="-1"/>
  </r>
  <r>
    <x v="494"/>
    <x v="24"/>
    <n v="31.25"/>
    <n v="31.35"/>
    <n v="30"/>
    <n v="30.35"/>
    <x v="2274"/>
    <n v="-0.72499999999999998"/>
    <n v="73"/>
    <n v="0"/>
    <n v="148"/>
    <x v="104"/>
    <n v="237"/>
    <s v="G (Feb 21)"/>
    <d v="2021-02-17T00:00:00"/>
    <n v="-1"/>
  </r>
  <r>
    <x v="495"/>
    <x v="26"/>
    <n v="29.4"/>
    <n v="31.1"/>
    <n v="29.15"/>
    <n v="30.64"/>
    <x v="2369"/>
    <n v="1.4"/>
    <n v="4166"/>
    <n v="0"/>
    <n v="7679"/>
    <x v="113"/>
    <n v="175"/>
    <s v="Z (Dec 20)"/>
    <d v="2020-12-16T00:00:00"/>
    <n v="-1"/>
  </r>
  <r>
    <x v="495"/>
    <x v="25"/>
    <n v="29.6"/>
    <n v="31.3"/>
    <n v="29.35"/>
    <n v="31.05"/>
    <x v="2431"/>
    <n v="1.65"/>
    <n v="1521"/>
    <n v="0"/>
    <n v="2014"/>
    <x v="90"/>
    <n v="210"/>
    <s v="F (Jan 21)"/>
    <d v="2021-01-20T00:00:00"/>
    <n v="-1"/>
  </r>
  <r>
    <x v="495"/>
    <x v="24"/>
    <n v="29.15"/>
    <n v="30.85"/>
    <n v="29.15"/>
    <n v="30.75"/>
    <x v="2445"/>
    <n v="1.575"/>
    <n v="86"/>
    <n v="0"/>
    <n v="129"/>
    <x v="110"/>
    <n v="238"/>
    <s v="G (Feb 21)"/>
    <d v="2021-02-17T00:00:00"/>
    <n v="-1"/>
  </r>
  <r>
    <x v="495"/>
    <x v="29"/>
    <n v="31.6"/>
    <n v="34.1"/>
    <n v="31.4"/>
    <n v="33.11"/>
    <x v="2397"/>
    <n v="1.5"/>
    <n v="9868"/>
    <n v="0"/>
    <n v="21051"/>
    <x v="114"/>
    <n v="84"/>
    <s v="U (Sep 20)"/>
    <d v="2020-09-16T00:00:00"/>
    <n v="-1"/>
  </r>
  <r>
    <x v="495"/>
    <x v="31"/>
    <n v="31.85"/>
    <n v="35.25"/>
    <n v="31.45"/>
    <n v="33.6"/>
    <x v="2444"/>
    <n v="1.65"/>
    <n v="121934"/>
    <n v="2376"/>
    <n v="127445"/>
    <x v="153"/>
    <n v="28"/>
    <s v="N (Jul 20)"/>
    <d v="2020-07-22T00:00:00"/>
    <n v="-1"/>
  </r>
  <r>
    <x v="495"/>
    <x v="28"/>
    <n v="33.049999999999997"/>
    <n v="35.15"/>
    <n v="32.799999999999997"/>
    <n v="34.4"/>
    <x v="2443"/>
    <n v="1.4"/>
    <n v="6121"/>
    <n v="0"/>
    <n v="26317"/>
    <x v="118"/>
    <n v="119"/>
    <s v="V (Oct 20)"/>
    <d v="2020-10-21T00:00:00"/>
    <n v="-1"/>
  </r>
  <r>
    <x v="495"/>
    <x v="30"/>
    <n v="31.8"/>
    <n v="34.71"/>
    <n v="31.55"/>
    <n v="33.450000000000003"/>
    <x v="2446"/>
    <n v="1.55"/>
    <n v="59898"/>
    <n v="624"/>
    <n v="44695"/>
    <x v="121"/>
    <n v="56"/>
    <s v="Q (Aug 20)"/>
    <d v="2020-08-19T00:00:00"/>
    <n v="-1"/>
  </r>
  <r>
    <x v="495"/>
    <x v="27"/>
    <n v="30.75"/>
    <n v="32.549999999999997"/>
    <n v="30.5"/>
    <n v="32.1"/>
    <x v="2415"/>
    <n v="1.4"/>
    <n v="4418"/>
    <n v="0"/>
    <n v="19988"/>
    <x v="124"/>
    <n v="147"/>
    <s v="X (Nov 20)"/>
    <d v="2020-11-18T00:00:00"/>
    <n v="-1"/>
  </r>
  <r>
    <x v="496"/>
    <x v="29"/>
    <n v="31.75"/>
    <n v="33.21"/>
    <n v="30.8"/>
    <n v="31.7"/>
    <x v="2362"/>
    <n v="0"/>
    <n v="7904"/>
    <n v="0"/>
    <n v="21190"/>
    <x v="117"/>
    <n v="85"/>
    <s v="U (Sep 20)"/>
    <d v="2020-09-16T00:00:00"/>
    <n v="-1"/>
  </r>
  <r>
    <x v="496"/>
    <x v="31"/>
    <n v="31.75"/>
    <n v="34.35"/>
    <n v="30.31"/>
    <n v="32"/>
    <x v="2416"/>
    <n v="0.3"/>
    <n v="72185"/>
    <n v="834"/>
    <n v="130637"/>
    <x v="166"/>
    <n v="29"/>
    <s v="N (Jul 20)"/>
    <d v="2020-07-22T00:00:00"/>
    <n v="-1"/>
  </r>
  <r>
    <x v="496"/>
    <x v="28"/>
    <n v="33.11"/>
    <n v="34.4"/>
    <n v="32.35"/>
    <n v="33.1"/>
    <x v="2447"/>
    <n v="-0.1"/>
    <n v="4456"/>
    <n v="0"/>
    <n v="26573"/>
    <x v="132"/>
    <n v="120"/>
    <s v="V (Oct 20)"/>
    <d v="2020-10-21T00:00:00"/>
    <n v="-1"/>
  </r>
  <r>
    <x v="496"/>
    <x v="30"/>
    <n v="31.85"/>
    <n v="33.65"/>
    <n v="30.75"/>
    <n v="31.92"/>
    <x v="2416"/>
    <n v="0.25"/>
    <n v="39975"/>
    <n v="166"/>
    <n v="42623"/>
    <x v="127"/>
    <n v="57"/>
    <s v="Q (Aug 20)"/>
    <d v="2020-08-19T00:00:00"/>
    <n v="-1"/>
  </r>
  <r>
    <x v="496"/>
    <x v="27"/>
    <n v="30.87"/>
    <n v="31.98"/>
    <n v="30.1"/>
    <n v="30.75"/>
    <x v="2445"/>
    <n v="-0.2"/>
    <n v="3284"/>
    <n v="0"/>
    <n v="19442"/>
    <x v="129"/>
    <n v="148"/>
    <s v="X (Nov 20)"/>
    <d v="2020-11-18T00:00:00"/>
    <n v="-1"/>
  </r>
  <r>
    <x v="496"/>
    <x v="26"/>
    <n v="29.43"/>
    <n v="30.36"/>
    <n v="28.67"/>
    <n v="29.3"/>
    <x v="2352"/>
    <n v="-0.15"/>
    <n v="1945"/>
    <n v="0"/>
    <n v="6719"/>
    <x v="125"/>
    <n v="176"/>
    <s v="Z (Dec 20)"/>
    <d v="2020-12-16T00:00:00"/>
    <n v="-1"/>
  </r>
  <r>
    <x v="496"/>
    <x v="25"/>
    <n v="29.69"/>
    <n v="30.55"/>
    <n v="28.97"/>
    <n v="29.5"/>
    <x v="2409"/>
    <n v="-0.2"/>
    <n v="525"/>
    <n v="0"/>
    <n v="1517"/>
    <x v="102"/>
    <n v="211"/>
    <s v="F (Jan 21)"/>
    <d v="2021-01-20T00:00:00"/>
    <n v="-1"/>
  </r>
  <r>
    <x v="496"/>
    <x v="24"/>
    <n v="28.95"/>
    <n v="30.1"/>
    <n v="28.85"/>
    <n v="29.15"/>
    <x v="120"/>
    <n v="-0.35"/>
    <n v="9"/>
    <n v="0"/>
    <n v="96"/>
    <x v="122"/>
    <n v="239"/>
    <s v="G (Feb 21)"/>
    <d v="2021-02-17T00:00:00"/>
    <n v="-1"/>
  </r>
  <r>
    <x v="497"/>
    <x v="26"/>
    <n v="31.49"/>
    <n v="32.1"/>
    <n v="29.35"/>
    <n v="29.45"/>
    <x v="2394"/>
    <n v="-1.65"/>
    <n v="2904"/>
    <n v="0"/>
    <n v="6485"/>
    <x v="130"/>
    <n v="177"/>
    <s v="Z (Dec 20)"/>
    <d v="2020-12-16T00:00:00"/>
    <n v="-1"/>
  </r>
  <r>
    <x v="497"/>
    <x v="25"/>
    <n v="31.35"/>
    <n v="31.9"/>
    <n v="29.5"/>
    <n v="29.7"/>
    <x v="2345"/>
    <n v="-1.325"/>
    <n v="997"/>
    <n v="0"/>
    <n v="1563"/>
    <x v="108"/>
    <n v="212"/>
    <s v="F (Jan 21)"/>
    <d v="2021-01-20T00:00:00"/>
    <n v="-1"/>
  </r>
  <r>
    <x v="497"/>
    <x v="24"/>
    <n v="31"/>
    <n v="31.1"/>
    <n v="29.5"/>
    <n v="29.85"/>
    <x v="197"/>
    <n v="-1.05"/>
    <n v="20"/>
    <n v="0"/>
    <n v="88"/>
    <x v="128"/>
    <n v="240"/>
    <s v="G (Feb 21)"/>
    <d v="2021-02-17T00:00:00"/>
    <n v="-1"/>
  </r>
  <r>
    <x v="497"/>
    <x v="29"/>
    <n v="34.5"/>
    <n v="35.15"/>
    <n v="31.65"/>
    <n v="31.75"/>
    <x v="2362"/>
    <n v="-2.5"/>
    <n v="8837"/>
    <n v="0"/>
    <n v="21092"/>
    <x v="131"/>
    <n v="86"/>
    <s v="U (Sep 20)"/>
    <d v="2020-09-16T00:00:00"/>
    <n v="-1"/>
  </r>
  <r>
    <x v="497"/>
    <x v="31"/>
    <n v="36.049999999999997"/>
    <n v="36.6"/>
    <n v="31.6"/>
    <n v="31.75"/>
    <x v="2407"/>
    <n v="-3.65"/>
    <n v="94928"/>
    <n v="218"/>
    <n v="130630"/>
    <x v="169"/>
    <n v="30"/>
    <s v="N (Jul 20)"/>
    <d v="2020-07-22T00:00:00"/>
    <n v="-1"/>
  </r>
  <r>
    <x v="497"/>
    <x v="28"/>
    <n v="35.25"/>
    <n v="35.99"/>
    <n v="33.14"/>
    <n v="33.200000000000003"/>
    <x v="2333"/>
    <n v="-1.95"/>
    <n v="5785"/>
    <n v="0"/>
    <n v="26600"/>
    <x v="135"/>
    <n v="121"/>
    <s v="V (Oct 20)"/>
    <d v="2020-10-21T00:00:00"/>
    <n v="-1"/>
  </r>
  <r>
    <x v="497"/>
    <x v="30"/>
    <n v="34.950000000000003"/>
    <n v="35.76"/>
    <n v="31.62"/>
    <n v="31.77"/>
    <x v="2365"/>
    <n v="-3.05"/>
    <n v="44693"/>
    <n v="32"/>
    <n v="39292"/>
    <x v="138"/>
    <n v="58"/>
    <s v="Q (Aug 20)"/>
    <d v="2020-08-19T00:00:00"/>
    <n v="-1"/>
  </r>
  <r>
    <x v="497"/>
    <x v="27"/>
    <n v="33.119999999999997"/>
    <n v="33.700000000000003"/>
    <n v="30.85"/>
    <n v="31"/>
    <x v="2350"/>
    <n v="-1.75"/>
    <n v="4020"/>
    <n v="0"/>
    <n v="19238"/>
    <x v="140"/>
    <n v="149"/>
    <s v="X (Nov 20)"/>
    <d v="2020-11-18T00:00:00"/>
    <n v="-1"/>
  </r>
  <r>
    <x v="498"/>
    <x v="29"/>
    <n v="32.700000000000003"/>
    <n v="34.25"/>
    <n v="32"/>
    <n v="34.1"/>
    <x v="2441"/>
    <n v="1.3"/>
    <n v="8177"/>
    <n v="0"/>
    <n v="21020"/>
    <x v="134"/>
    <n v="89"/>
    <s v="U (Sep 20)"/>
    <d v="2020-09-16T00:00:00"/>
    <n v="-1"/>
  </r>
  <r>
    <x v="498"/>
    <x v="31"/>
    <n v="33.479999999999997"/>
    <n v="35.35"/>
    <n v="32.119999999999997"/>
    <n v="35.15"/>
    <x v="2448"/>
    <n v="1.7"/>
    <n v="79492"/>
    <n v="964"/>
    <n v="137630"/>
    <x v="176"/>
    <n v="33"/>
    <s v="N (Jul 20)"/>
    <d v="2020-07-22T00:00:00"/>
    <n v="-1"/>
  </r>
  <r>
    <x v="498"/>
    <x v="28"/>
    <n v="33.65"/>
    <n v="35.15"/>
    <n v="33.049999999999997"/>
    <n v="35.020000000000003"/>
    <x v="2449"/>
    <n v="1.325"/>
    <n v="5683"/>
    <n v="0"/>
    <n v="25568"/>
    <x v="149"/>
    <n v="124"/>
    <s v="V (Oct 20)"/>
    <d v="2020-10-21T00:00:00"/>
    <n v="-1"/>
  </r>
  <r>
    <x v="498"/>
    <x v="30"/>
    <n v="33.299999999999997"/>
    <n v="34.85"/>
    <n v="32.15"/>
    <n v="34.549999999999997"/>
    <x v="2344"/>
    <n v="1.35"/>
    <n v="38202"/>
    <n v="86"/>
    <n v="36532"/>
    <x v="143"/>
    <n v="61"/>
    <s v="Q (Aug 20)"/>
    <d v="2020-08-19T00:00:00"/>
    <n v="-1"/>
  </r>
  <r>
    <x v="498"/>
    <x v="27"/>
    <n v="31.5"/>
    <n v="32.72"/>
    <n v="31"/>
    <n v="32.619999999999997"/>
    <x v="2395"/>
    <n v="1.05"/>
    <n v="3129"/>
    <n v="0"/>
    <n v="18829"/>
    <x v="146"/>
    <n v="152"/>
    <s v="X (Nov 20)"/>
    <d v="2020-11-18T00:00:00"/>
    <n v="-1"/>
  </r>
  <r>
    <x v="498"/>
    <x v="26"/>
    <n v="29.9"/>
    <n v="31.1"/>
    <n v="29.49"/>
    <n v="31.05"/>
    <x v="2371"/>
    <n v="1.05"/>
    <n v="2762"/>
    <n v="0"/>
    <n v="6477"/>
    <x v="141"/>
    <n v="180"/>
    <s v="Z (Dec 20)"/>
    <d v="2020-12-16T00:00:00"/>
    <n v="-1"/>
  </r>
  <r>
    <x v="498"/>
    <x v="25"/>
    <n v="30.15"/>
    <n v="31"/>
    <n v="29.45"/>
    <n v="30.94"/>
    <x v="2450"/>
    <n v="1.075"/>
    <n v="985"/>
    <n v="0"/>
    <n v="1371"/>
    <x v="120"/>
    <n v="215"/>
    <s v="F (Jan 21)"/>
    <d v="2021-01-20T00:00:00"/>
    <n v="-1"/>
  </r>
  <r>
    <x v="498"/>
    <x v="24"/>
    <n v="29.5"/>
    <n v="30.5"/>
    <n v="29.35"/>
    <n v="30.5"/>
    <x v="2439"/>
    <n v="0.92500000000000004"/>
    <n v="81"/>
    <n v="0"/>
    <n v="88"/>
    <x v="139"/>
    <n v="243"/>
    <s v="G (Feb 21)"/>
    <d v="2021-02-17T00:00:00"/>
    <n v="-1"/>
  </r>
  <r>
    <x v="499"/>
    <x v="26"/>
    <n v="29.95"/>
    <n v="30.65"/>
    <n v="29.81"/>
    <n v="30"/>
    <x v="2360"/>
    <n v="0.15"/>
    <n v="1828"/>
    <n v="0"/>
    <n v="5805"/>
    <x v="147"/>
    <n v="181"/>
    <s v="Z (Dec 20)"/>
    <d v="2020-12-16T00:00:00"/>
    <n v="-1"/>
  </r>
  <r>
    <x v="499"/>
    <x v="25"/>
    <n v="29.82"/>
    <n v="30.4"/>
    <n v="29.72"/>
    <n v="29.9"/>
    <x v="2378"/>
    <n v="0.15"/>
    <n v="473"/>
    <n v="0"/>
    <n v="1022"/>
    <x v="126"/>
    <n v="216"/>
    <s v="F (Jan 21)"/>
    <d v="2021-01-20T00:00:00"/>
    <n v="-1"/>
  </r>
  <r>
    <x v="499"/>
    <x v="24"/>
    <n v="29.75"/>
    <n v="29.75"/>
    <n v="29.45"/>
    <n v="29.55"/>
    <x v="2330"/>
    <n v="0.22500000000000001"/>
    <n v="21"/>
    <n v="0"/>
    <n v="44"/>
    <x v="144"/>
    <n v="244"/>
    <s v="G (Feb 21)"/>
    <d v="2021-02-17T00:00:00"/>
    <n v="-1"/>
  </r>
  <r>
    <x v="499"/>
    <x v="29"/>
    <n v="32.700000000000003"/>
    <n v="33.67"/>
    <n v="32.58"/>
    <n v="32.82"/>
    <x v="2381"/>
    <n v="0.25"/>
    <n v="7929"/>
    <n v="0"/>
    <n v="20652"/>
    <x v="148"/>
    <n v="90"/>
    <s v="U (Sep 20)"/>
    <d v="2020-09-16T00:00:00"/>
    <n v="-1"/>
  </r>
  <r>
    <x v="499"/>
    <x v="31"/>
    <n v="33.6"/>
    <n v="35.35"/>
    <n v="33.200000000000003"/>
    <n v="33.6"/>
    <x v="2444"/>
    <n v="-0.05"/>
    <n v="69534"/>
    <n v="0"/>
    <n v="140410"/>
    <x v="178"/>
    <n v="34"/>
    <s v="N (Jul 20)"/>
    <d v="2020-07-22T00:00:00"/>
    <n v="-1"/>
  </r>
  <r>
    <x v="499"/>
    <x v="28"/>
    <n v="33.700000000000003"/>
    <n v="34.49"/>
    <n v="33.590000000000003"/>
    <n v="33.799999999999997"/>
    <x v="2400"/>
    <n v="0.17499999999999999"/>
    <n v="5317"/>
    <n v="0"/>
    <n v="25243"/>
    <x v="152"/>
    <n v="125"/>
    <s v="V (Oct 20)"/>
    <d v="2020-10-21T00:00:00"/>
    <n v="-1"/>
  </r>
  <r>
    <x v="499"/>
    <x v="30"/>
    <n v="33.25"/>
    <n v="34.5"/>
    <n v="33.07"/>
    <n v="33.35"/>
    <x v="2331"/>
    <n v="0.1"/>
    <n v="36199"/>
    <n v="0"/>
    <n v="33336"/>
    <x v="154"/>
    <n v="62"/>
    <s v="Q (Aug 20)"/>
    <d v="2020-08-19T00:00:00"/>
    <n v="-1"/>
  </r>
  <r>
    <x v="499"/>
    <x v="27"/>
    <n v="31.7"/>
    <n v="32.33"/>
    <n v="31.42"/>
    <n v="31.6"/>
    <x v="2407"/>
    <n v="0.1"/>
    <n v="3276"/>
    <n v="0"/>
    <n v="18240"/>
    <x v="157"/>
    <n v="153"/>
    <s v="X (Nov 20)"/>
    <d v="2020-11-18T00:00:00"/>
    <n v="-1"/>
  </r>
  <r>
    <x v="500"/>
    <x v="29"/>
    <n v="33.15"/>
    <n v="33.65"/>
    <n v="32.49"/>
    <n v="32.619999999999997"/>
    <x v="2395"/>
    <n v="-0.17499999999999999"/>
    <n v="11660"/>
    <n v="0"/>
    <n v="20540"/>
    <x v="151"/>
    <n v="91"/>
    <s v="U (Sep 20)"/>
    <d v="2020-09-16T00:00:00"/>
    <n v="-1"/>
  </r>
  <r>
    <x v="500"/>
    <x v="31"/>
    <n v="33.6"/>
    <n v="34.869999999999997"/>
    <n v="33"/>
    <n v="33.6"/>
    <x v="2405"/>
    <n v="0"/>
    <n v="89180"/>
    <n v="1100"/>
    <n v="139786"/>
    <x v="182"/>
    <n v="35"/>
    <s v="N (Jul 20)"/>
    <d v="2020-07-22T00:00:00"/>
    <n v="-1"/>
  </r>
  <r>
    <x v="500"/>
    <x v="28"/>
    <n v="33.799999999999997"/>
    <n v="34.229999999999997"/>
    <n v="33.25"/>
    <n v="33.6"/>
    <x v="2405"/>
    <n v="0.15"/>
    <n v="5283"/>
    <n v="0"/>
    <n v="24369"/>
    <x v="165"/>
    <n v="126"/>
    <s v="V (Oct 20)"/>
    <d v="2020-10-21T00:00:00"/>
    <n v="-1"/>
  </r>
  <r>
    <x v="500"/>
    <x v="30"/>
    <n v="33.1"/>
    <n v="34.15"/>
    <n v="32.75"/>
    <n v="33.200000000000003"/>
    <x v="2451"/>
    <n v="0.05"/>
    <n v="41601"/>
    <n v="0"/>
    <n v="31441"/>
    <x v="159"/>
    <n v="63"/>
    <s v="Q (Aug 20)"/>
    <d v="2020-08-19T00:00:00"/>
    <n v="-1"/>
  </r>
  <r>
    <x v="500"/>
    <x v="27"/>
    <n v="31.55"/>
    <n v="31.9"/>
    <n v="30.95"/>
    <n v="31.47"/>
    <x v="2452"/>
    <n v="0.35"/>
    <n v="4593"/>
    <n v="0"/>
    <n v="17868"/>
    <x v="162"/>
    <n v="154"/>
    <s v="X (Nov 20)"/>
    <d v="2020-11-18T00:00:00"/>
    <n v="-1"/>
  </r>
  <r>
    <x v="500"/>
    <x v="32"/>
    <n v="33.700000000000003"/>
    <n v="34.25"/>
    <n v="32.299999999999997"/>
    <n v="32.799999999999997"/>
    <x v="2453"/>
    <n v="0.34"/>
    <n v="508"/>
    <n v="0"/>
    <n v="19725"/>
    <x v="145"/>
    <n v="0"/>
    <s v="M (Jun 20)"/>
    <d v="2020-06-17T00:00:00"/>
    <n v="-1"/>
  </r>
  <r>
    <x v="500"/>
    <x v="26"/>
    <n v="29.9"/>
    <n v="30.4"/>
    <n v="29.48"/>
    <n v="29.9"/>
    <x v="2372"/>
    <n v="0.27500000000000002"/>
    <n v="2351"/>
    <n v="0"/>
    <n v="5451"/>
    <x v="158"/>
    <n v="182"/>
    <s v="Z (Dec 20)"/>
    <d v="2020-12-16T00:00:00"/>
    <n v="-1"/>
  </r>
  <r>
    <x v="500"/>
    <x v="25"/>
    <n v="29.75"/>
    <n v="30.2"/>
    <n v="29.3"/>
    <n v="29.72"/>
    <x v="2374"/>
    <n v="0.35"/>
    <n v="726"/>
    <n v="0"/>
    <n v="854"/>
    <x v="137"/>
    <n v="217"/>
    <s v="F (Jan 21)"/>
    <d v="2021-01-20T00:00:00"/>
    <n v="-1"/>
  </r>
  <r>
    <x v="500"/>
    <x v="24"/>
    <n v="29.85"/>
    <n v="29.85"/>
    <n v="29.25"/>
    <n v="29.45"/>
    <x v="92"/>
    <n v="0.125"/>
    <n v="35"/>
    <n v="0"/>
    <n v="29"/>
    <x v="155"/>
    <n v="245"/>
    <s v="G (Feb 21)"/>
    <d v="2021-02-17T00:00:00"/>
    <n v="-1"/>
  </r>
  <r>
    <x v="501"/>
    <x v="26"/>
    <n v="29.53"/>
    <n v="30.3"/>
    <n v="28.6"/>
    <n v="29.58"/>
    <x v="2190"/>
    <n v="-0.125"/>
    <n v="2699"/>
    <n v="0"/>
    <n v="4960"/>
    <x v="163"/>
    <n v="183"/>
    <s v="Z (Dec 20)"/>
    <d v="2020-12-16T00:00:00"/>
    <n v="-1"/>
  </r>
  <r>
    <x v="501"/>
    <x v="25"/>
    <n v="29.3"/>
    <n v="30.1"/>
    <n v="28.7"/>
    <n v="29.4"/>
    <x v="2394"/>
    <n v="-0.22500000000000001"/>
    <n v="576"/>
    <n v="0"/>
    <n v="1002"/>
    <x v="142"/>
    <n v="218"/>
    <s v="F (Jan 21)"/>
    <d v="2021-01-20T00:00:00"/>
    <n v="-1"/>
  </r>
  <r>
    <x v="501"/>
    <x v="29"/>
    <n v="32.520000000000003"/>
    <n v="33.75"/>
    <n v="31.29"/>
    <n v="32.83"/>
    <x v="2454"/>
    <n v="0.27500000000000002"/>
    <n v="16463"/>
    <n v="0"/>
    <n v="19814"/>
    <x v="164"/>
    <n v="92"/>
    <s v="U (Sep 20)"/>
    <d v="2020-09-16T00:00:00"/>
    <n v="-1"/>
  </r>
  <r>
    <x v="501"/>
    <x v="31"/>
    <n v="33.950000000000003"/>
    <n v="35.700000000000003"/>
    <n v="31.9"/>
    <n v="33.53"/>
    <x v="2405"/>
    <n v="-0.45"/>
    <n v="120109"/>
    <n v="474"/>
    <n v="142885"/>
    <x v="184"/>
    <n v="36"/>
    <s v="N (Jul 20)"/>
    <d v="2020-07-22T00:00:00"/>
    <n v="-1"/>
  </r>
  <r>
    <x v="501"/>
    <x v="28"/>
    <n v="33.5"/>
    <n v="34.590000000000003"/>
    <n v="32.520000000000003"/>
    <n v="33.5"/>
    <x v="2446"/>
    <n v="-0.1"/>
    <n v="6629"/>
    <n v="0"/>
    <n v="24172"/>
    <x v="168"/>
    <n v="127"/>
    <s v="V (Oct 20)"/>
    <d v="2020-10-21T00:00:00"/>
    <n v="-1"/>
  </r>
  <r>
    <x v="501"/>
    <x v="30"/>
    <n v="33"/>
    <n v="34.32"/>
    <n v="31.38"/>
    <n v="33.19"/>
    <x v="2397"/>
    <n v="0.1"/>
    <n v="33422"/>
    <n v="0"/>
    <n v="28608"/>
    <x v="170"/>
    <n v="64"/>
    <s v="Q (Aug 20)"/>
    <d v="2020-08-19T00:00:00"/>
    <n v="-1"/>
  </r>
  <r>
    <x v="501"/>
    <x v="27"/>
    <n v="31"/>
    <n v="32.020000000000003"/>
    <n v="30.1"/>
    <n v="31.2"/>
    <x v="2424"/>
    <n v="-0.05"/>
    <n v="3462"/>
    <n v="0"/>
    <n v="17125"/>
    <x v="172"/>
    <n v="155"/>
    <s v="X (Nov 20)"/>
    <d v="2020-11-18T00:00:00"/>
    <n v="-1"/>
  </r>
  <r>
    <x v="501"/>
    <x v="32"/>
    <n v="33.799999999999997"/>
    <n v="36.65"/>
    <n v="31.55"/>
    <n v="33.18"/>
    <x v="2455"/>
    <n v="-0.8"/>
    <n v="58030"/>
    <n v="26"/>
    <n v="20256"/>
    <x v="156"/>
    <n v="1"/>
    <s v="M (Jun 20)"/>
    <d v="2020-06-17T00:00:00"/>
    <n v="-1"/>
  </r>
  <r>
    <x v="502"/>
    <x v="29"/>
    <n v="33.799999999999997"/>
    <n v="36.25"/>
    <n v="32.520000000000003"/>
    <n v="32.590000000000003"/>
    <x v="2342"/>
    <n v="-0.3"/>
    <n v="12791"/>
    <n v="0"/>
    <n v="18421"/>
    <x v="167"/>
    <n v="93"/>
    <s v="U (Sep 20)"/>
    <d v="2020-09-16T00:00:00"/>
    <n v="-1"/>
  </r>
  <r>
    <x v="502"/>
    <x v="31"/>
    <n v="36"/>
    <n v="40.4"/>
    <n v="33.979999999999997"/>
    <n v="34.1"/>
    <x v="2335"/>
    <n v="-0.75"/>
    <n v="124751"/>
    <n v="1788"/>
    <n v="132674"/>
    <x v="2"/>
    <n v="37"/>
    <s v="N (Jul 20)"/>
    <d v="2020-07-22T00:00:00"/>
    <n v="-1"/>
  </r>
  <r>
    <x v="502"/>
    <x v="28"/>
    <n v="34.75"/>
    <n v="36.75"/>
    <n v="33.450000000000003"/>
    <n v="33.56"/>
    <x v="2444"/>
    <n v="-0.45"/>
    <n v="5381"/>
    <n v="0"/>
    <n v="23584"/>
    <x v="5"/>
    <n v="128"/>
    <s v="V (Oct 20)"/>
    <d v="2020-10-21T00:00:00"/>
    <n v="-1"/>
  </r>
  <r>
    <x v="502"/>
    <x v="30"/>
    <n v="34.450000000000003"/>
    <n v="37.799999999999997"/>
    <n v="33.049999999999997"/>
    <n v="33.1"/>
    <x v="2339"/>
    <n v="-0.55000000000000004"/>
    <n v="24527"/>
    <n v="0"/>
    <n v="26157"/>
    <x v="6"/>
    <n v="65"/>
    <s v="Q (Aug 20)"/>
    <d v="2020-08-19T00:00:00"/>
    <n v="-1"/>
  </r>
  <r>
    <x v="502"/>
    <x v="27"/>
    <n v="32.450000000000003"/>
    <n v="34.15"/>
    <n v="31.15"/>
    <n v="31.2"/>
    <x v="2363"/>
    <n v="-0.47499999999999998"/>
    <n v="2675"/>
    <n v="0"/>
    <n v="17154"/>
    <x v="0"/>
    <n v="156"/>
    <s v="X (Nov 20)"/>
    <d v="2020-11-18T00:00:00"/>
    <n v="-1"/>
  </r>
  <r>
    <x v="502"/>
    <x v="32"/>
    <n v="37.25"/>
    <n v="41.85"/>
    <n v="33.85"/>
    <n v="34.049999999999997"/>
    <x v="2456"/>
    <n v="-1.175"/>
    <n v="74288"/>
    <n v="212"/>
    <n v="27307"/>
    <x v="161"/>
    <n v="2"/>
    <s v="M (Jun 20)"/>
    <d v="2020-06-17T00:00:00"/>
    <n v="-1"/>
  </r>
  <r>
    <x v="502"/>
    <x v="26"/>
    <n v="31.05"/>
    <n v="32.35"/>
    <n v="29.6"/>
    <n v="29.7"/>
    <x v="2361"/>
    <n v="-0.57499999999999996"/>
    <n v="2038"/>
    <n v="0"/>
    <n v="4990"/>
    <x v="173"/>
    <n v="184"/>
    <s v="Z (Dec 20)"/>
    <d v="2020-12-16T00:00:00"/>
    <n v="-1"/>
  </r>
  <r>
    <x v="502"/>
    <x v="25"/>
    <n v="31"/>
    <n v="31.95"/>
    <n v="29.48"/>
    <n v="29.48"/>
    <x v="2188"/>
    <n v="-0.45"/>
    <n v="245"/>
    <n v="0"/>
    <n v="707"/>
    <x v="3"/>
    <n v="219"/>
    <s v="F (Jan 21)"/>
    <d v="2021-01-20T00:00:00"/>
    <n v="-1"/>
  </r>
  <r>
    <x v="503"/>
    <x v="26"/>
    <n v="31.6"/>
    <n v="32.200000000000003"/>
    <n v="30.05"/>
    <n v="30.32"/>
    <x v="2457"/>
    <n v="-1.375"/>
    <n v="3826"/>
    <n v="0"/>
    <n v="4752"/>
    <x v="174"/>
    <n v="187"/>
    <s v="Z (Dec 20)"/>
    <d v="2020-12-16T00:00:00"/>
    <n v="-1"/>
  </r>
  <r>
    <x v="503"/>
    <x v="25"/>
    <n v="31.2"/>
    <n v="31.8"/>
    <n v="29.9"/>
    <n v="30.12"/>
    <x v="2458"/>
    <n v="-1.25"/>
    <n v="327"/>
    <n v="0"/>
    <n v="657"/>
    <x v="15"/>
    <n v="222"/>
    <s v="F (Jan 21)"/>
    <d v="2021-01-20T00:00:00"/>
    <n v="-1"/>
  </r>
  <r>
    <x v="503"/>
    <x v="24"/>
    <n v="30.95"/>
    <n v="31.36"/>
    <n v="30.05"/>
    <n v="30.1"/>
    <x v="2459"/>
    <n v="1"/>
    <n v="8"/>
    <n v="0"/>
    <n v="4"/>
    <x v="4"/>
    <n v="250"/>
    <s v="G (Feb 21)"/>
    <d v="2021-02-17T00:00:00"/>
    <n v="-1"/>
  </r>
  <r>
    <x v="503"/>
    <x v="29"/>
    <n v="34.81"/>
    <n v="36.049999999999997"/>
    <n v="31.88"/>
    <n v="32.99"/>
    <x v="2373"/>
    <n v="-2.2000000000000002"/>
    <n v="20158"/>
    <n v="0"/>
    <n v="17839"/>
    <x v="175"/>
    <n v="96"/>
    <s v="U (Sep 20)"/>
    <d v="2020-09-16T00:00:00"/>
    <n v="-1"/>
  </r>
  <r>
    <x v="503"/>
    <x v="31"/>
    <n v="38.75"/>
    <n v="41.07"/>
    <n v="34.200000000000003"/>
    <n v="34.950000000000003"/>
    <x v="2460"/>
    <n v="-4.8499999999999996"/>
    <n v="221385"/>
    <n v="1263"/>
    <n v="126542"/>
    <x v="14"/>
    <n v="40"/>
    <s v="N (Jul 20)"/>
    <d v="2020-07-22T00:00:00"/>
    <n v="-1"/>
  </r>
  <r>
    <x v="503"/>
    <x v="28"/>
    <n v="35.79"/>
    <n v="36.700000000000003"/>
    <n v="33.53"/>
    <n v="34.1"/>
    <x v="2436"/>
    <n v="-1.8"/>
    <n v="8313"/>
    <n v="0"/>
    <n v="23003"/>
    <x v="17"/>
    <n v="131"/>
    <s v="V (Oct 20)"/>
    <d v="2020-10-21T00:00:00"/>
    <n v="-1"/>
  </r>
  <r>
    <x v="503"/>
    <x v="30"/>
    <n v="36.1"/>
    <n v="38.15"/>
    <n v="32.630000000000003"/>
    <n v="33.78"/>
    <x v="2385"/>
    <n v="-3.1"/>
    <n v="45744"/>
    <n v="0"/>
    <n v="26526"/>
    <x v="9"/>
    <n v="68"/>
    <s v="Q (Aug 20)"/>
    <d v="2020-08-19T00:00:00"/>
    <n v="-1"/>
  </r>
  <r>
    <x v="503"/>
    <x v="27"/>
    <n v="33.21"/>
    <n v="33.950000000000003"/>
    <n v="31.5"/>
    <n v="31.79"/>
    <x v="2461"/>
    <n v="-1.6"/>
    <n v="5596"/>
    <n v="0"/>
    <n v="17118"/>
    <x v="12"/>
    <n v="159"/>
    <s v="X (Nov 20)"/>
    <d v="2020-11-18T00:00:00"/>
    <n v="-1"/>
  </r>
  <r>
    <x v="503"/>
    <x v="32"/>
    <n v="39.65"/>
    <n v="42.55"/>
    <n v="34.950000000000003"/>
    <n v="35.25"/>
    <x v="2462"/>
    <n v="-5.55"/>
    <n v="164174"/>
    <n v="237"/>
    <n v="35315"/>
    <x v="8"/>
    <n v="5"/>
    <s v="M (Jun 20)"/>
    <d v="2020-06-17T00:00:00"/>
    <n v="-1"/>
  </r>
  <r>
    <x v="504"/>
    <x v="29"/>
    <n v="29"/>
    <n v="35.200000000000003"/>
    <n v="28.95"/>
    <n v="34.979999999999997"/>
    <x v="2462"/>
    <n v="6.15"/>
    <n v="22701"/>
    <n v="0"/>
    <n v="18362"/>
    <x v="177"/>
    <n v="97"/>
    <s v="U (Sep 20)"/>
    <d v="2020-09-16T00:00:00"/>
    <n v="-1"/>
  </r>
  <r>
    <x v="504"/>
    <x v="31"/>
    <n v="29.05"/>
    <n v="39.85"/>
    <n v="28.9"/>
    <n v="39.08"/>
    <x v="2463"/>
    <n v="10.65"/>
    <n v="215998"/>
    <n v="3669"/>
    <n v="133776"/>
    <x v="20"/>
    <n v="41"/>
    <s v="N (Jul 20)"/>
    <d v="2020-07-22T00:00:00"/>
    <n v="-1"/>
  </r>
  <r>
    <x v="504"/>
    <x v="28"/>
    <n v="30.8"/>
    <n v="36.049999999999997"/>
    <n v="30.75"/>
    <n v="35.92"/>
    <x v="2464"/>
    <n v="5.0999999999999996"/>
    <n v="14041"/>
    <n v="0"/>
    <n v="22266"/>
    <x v="23"/>
    <n v="132"/>
    <s v="V (Oct 20)"/>
    <d v="2020-10-21T00:00:00"/>
    <n v="-1"/>
  </r>
  <r>
    <x v="504"/>
    <x v="30"/>
    <n v="28.75"/>
    <n v="37"/>
    <n v="28.75"/>
    <n v="36.53"/>
    <x v="2465"/>
    <n v="7.9749999999999996"/>
    <n v="43028"/>
    <n v="0"/>
    <n v="25606"/>
    <x v="24"/>
    <n v="69"/>
    <s v="Q (Aug 20)"/>
    <d v="2020-08-19T00:00:00"/>
    <n v="-1"/>
  </r>
  <r>
    <x v="504"/>
    <x v="27"/>
    <n v="28.75"/>
    <n v="33.56"/>
    <n v="28.7"/>
    <n v="33.450000000000003"/>
    <x v="2466"/>
    <n v="4.625"/>
    <n v="8750"/>
    <n v="0"/>
    <n v="16101"/>
    <x v="18"/>
    <n v="160"/>
    <s v="X (Nov 20)"/>
    <d v="2020-11-18T00:00:00"/>
    <n v="-1"/>
  </r>
  <r>
    <x v="504"/>
    <x v="32"/>
    <n v="27.45"/>
    <n v="40.9"/>
    <n v="27.4"/>
    <n v="40.19"/>
    <x v="2467"/>
    <n v="13.15"/>
    <n v="173483"/>
    <n v="981"/>
    <n v="46959"/>
    <x v="11"/>
    <n v="6"/>
    <s v="M (Jun 20)"/>
    <d v="2020-06-17T00:00:00"/>
    <n v="-1"/>
  </r>
  <r>
    <x v="504"/>
    <x v="26"/>
    <n v="27.5"/>
    <n v="31.85"/>
    <n v="27.3"/>
    <n v="31.75"/>
    <x v="2365"/>
    <n v="4.4000000000000004"/>
    <n v="2787"/>
    <n v="0"/>
    <n v="3652"/>
    <x v="179"/>
    <n v="188"/>
    <s v="Z (Dec 20)"/>
    <d v="2020-12-16T00:00:00"/>
    <n v="-1"/>
  </r>
  <r>
    <x v="504"/>
    <x v="25"/>
    <n v="27.65"/>
    <n v="31.55"/>
    <n v="27.3"/>
    <n v="31.55"/>
    <x v="2468"/>
    <n v="4.0999999999999996"/>
    <n v="406"/>
    <n v="0"/>
    <n v="569"/>
    <x v="21"/>
    <n v="223"/>
    <s v="F (Jan 21)"/>
    <d v="2021-01-20T00:00:00"/>
    <n v="-1"/>
  </r>
  <r>
    <x v="504"/>
    <x v="24"/>
    <n v="29.45"/>
    <n v="29.45"/>
    <n v="29.41"/>
    <n v="29.41"/>
    <x v="518"/>
    <n v="2.75"/>
    <n v="3"/>
    <n v="0"/>
    <n v="4"/>
    <x v="16"/>
    <n v="251"/>
    <s v="G (Feb 21)"/>
    <d v="2021-02-17T00:00:00"/>
    <n v="-1"/>
  </r>
  <r>
    <x v="505"/>
    <x v="26"/>
    <n v="27.67"/>
    <n v="27.82"/>
    <n v="26.75"/>
    <n v="27.3"/>
    <x v="2308"/>
    <n v="-0.4"/>
    <n v="831"/>
    <n v="0"/>
    <n v="3303"/>
    <x v="180"/>
    <n v="189"/>
    <s v="Z (Dec 20)"/>
    <d v="2020-12-16T00:00:00"/>
    <n v="-1"/>
  </r>
  <r>
    <x v="505"/>
    <x v="25"/>
    <n v="27.25"/>
    <n v="27.7"/>
    <n v="26.8"/>
    <n v="27.3"/>
    <x v="282"/>
    <n v="-0.3"/>
    <n v="54"/>
    <n v="0"/>
    <n v="488"/>
    <x v="32"/>
    <n v="224"/>
    <s v="F (Jan 21)"/>
    <d v="2021-01-20T00:00:00"/>
    <n v="-1"/>
  </r>
  <r>
    <x v="505"/>
    <x v="24"/>
    <n v="27.05"/>
    <n v="27.09"/>
    <n v="27.02"/>
    <n v="27.02"/>
    <x v="280"/>
    <n v="0"/>
    <n v="4"/>
    <n v="0"/>
    <n v="3"/>
    <x v="22"/>
    <n v="252"/>
    <s v="G (Feb 21)"/>
    <d v="2021-02-17T00:00:00"/>
    <n v="-1"/>
  </r>
  <r>
    <x v="505"/>
    <x v="29"/>
    <n v="29.23"/>
    <n v="29.41"/>
    <n v="28.17"/>
    <n v="28.97"/>
    <x v="100"/>
    <n v="-0.35"/>
    <n v="5871"/>
    <n v="0"/>
    <n v="17538"/>
    <x v="181"/>
    <n v="98"/>
    <s v="U (Sep 20)"/>
    <d v="2020-09-16T00:00:00"/>
    <n v="-1"/>
  </r>
  <r>
    <x v="505"/>
    <x v="31"/>
    <n v="29.35"/>
    <n v="29.77"/>
    <n v="27.85"/>
    <n v="29"/>
    <x v="2176"/>
    <n v="-0.55000000000000004"/>
    <n v="67537"/>
    <n v="80"/>
    <n v="121047"/>
    <x v="31"/>
    <n v="42"/>
    <s v="N (Jul 20)"/>
    <d v="2020-07-22T00:00:00"/>
    <n v="-1"/>
  </r>
  <r>
    <x v="505"/>
    <x v="28"/>
    <n v="31.1"/>
    <n v="31.27"/>
    <n v="30.1"/>
    <n v="30.75"/>
    <x v="2445"/>
    <n v="-0.35"/>
    <n v="4333"/>
    <n v="0"/>
    <n v="20142"/>
    <x v="34"/>
    <n v="133"/>
    <s v="V (Oct 20)"/>
    <d v="2020-10-21T00:00:00"/>
    <n v="-1"/>
  </r>
  <r>
    <x v="505"/>
    <x v="30"/>
    <n v="28.97"/>
    <n v="29.3"/>
    <n v="27.85"/>
    <n v="28.81"/>
    <x v="16"/>
    <n v="-0.3"/>
    <n v="13546"/>
    <n v="0"/>
    <n v="24403"/>
    <x v="27"/>
    <n v="70"/>
    <s v="Q (Aug 20)"/>
    <d v="2020-08-19T00:00:00"/>
    <n v="-1"/>
  </r>
  <r>
    <x v="505"/>
    <x v="27"/>
    <n v="29.02"/>
    <n v="29.25"/>
    <n v="28.15"/>
    <n v="28.72"/>
    <x v="2283"/>
    <n v="-0.4"/>
    <n v="2577"/>
    <n v="0"/>
    <n v="14646"/>
    <x v="35"/>
    <n v="161"/>
    <s v="X (Nov 20)"/>
    <d v="2020-11-18T00:00:00"/>
    <n v="-1"/>
  </r>
  <r>
    <x v="505"/>
    <x v="32"/>
    <n v="27.6"/>
    <n v="28.35"/>
    <n v="25.93"/>
    <n v="27.45"/>
    <x v="2244"/>
    <n v="-0.15"/>
    <n v="70434"/>
    <n v="28"/>
    <n v="55905"/>
    <x v="26"/>
    <n v="7"/>
    <s v="M (Jun 20)"/>
    <d v="2020-06-17T00:00:00"/>
    <n v="-1"/>
  </r>
  <r>
    <x v="506"/>
    <x v="29"/>
    <n v="28.15"/>
    <n v="29.3"/>
    <n v="28.15"/>
    <n v="29.21"/>
    <x v="2352"/>
    <n v="0.95"/>
    <n v="6014"/>
    <n v="0"/>
    <n v="17020"/>
    <x v="183"/>
    <n v="99"/>
    <s v="U (Sep 20)"/>
    <d v="2020-09-16T00:00:00"/>
    <n v="-1"/>
  </r>
  <r>
    <x v="506"/>
    <x v="31"/>
    <n v="27.85"/>
    <n v="29.57"/>
    <n v="27.8"/>
    <n v="29.38"/>
    <x v="2288"/>
    <n v="1.65"/>
    <n v="59309"/>
    <n v="34"/>
    <n v="117076"/>
    <x v="37"/>
    <n v="43"/>
    <s v="N (Jul 20)"/>
    <d v="2020-07-22T00:00:00"/>
    <n v="-1"/>
  </r>
  <r>
    <x v="506"/>
    <x v="28"/>
    <n v="30.15"/>
    <n v="31.15"/>
    <n v="30.15"/>
    <n v="31.07"/>
    <x v="2371"/>
    <n v="0.7"/>
    <n v="3796"/>
    <n v="0"/>
    <n v="19503"/>
    <x v="40"/>
    <n v="134"/>
    <s v="V (Oct 20)"/>
    <d v="2020-10-21T00:00:00"/>
    <n v="-1"/>
  </r>
  <r>
    <x v="506"/>
    <x v="30"/>
    <n v="27.8"/>
    <n v="29.15"/>
    <n v="27.77"/>
    <n v="29"/>
    <x v="2279"/>
    <n v="1.175"/>
    <n v="11993"/>
    <n v="0"/>
    <n v="23869"/>
    <x v="42"/>
    <n v="71"/>
    <s v="Q (Aug 20)"/>
    <d v="2020-08-19T00:00:00"/>
    <n v="-1"/>
  </r>
  <r>
    <x v="506"/>
    <x v="27"/>
    <n v="28.15"/>
    <n v="29.1"/>
    <n v="28.1"/>
    <n v="29.02"/>
    <x v="185"/>
    <n v="0.85"/>
    <n v="3029"/>
    <n v="0"/>
    <n v="14095"/>
    <x v="41"/>
    <n v="162"/>
    <s v="X (Nov 20)"/>
    <d v="2020-11-18T00:00:00"/>
    <n v="-1"/>
  </r>
  <r>
    <x v="506"/>
    <x v="32"/>
    <n v="26.05"/>
    <n v="27.8"/>
    <n v="25.96"/>
    <n v="27.55"/>
    <x v="2099"/>
    <n v="1.6"/>
    <n v="60753"/>
    <n v="16"/>
    <n v="62733"/>
    <x v="29"/>
    <n v="8"/>
    <s v="M (Jun 20)"/>
    <d v="2020-06-17T00:00:00"/>
    <n v="-1"/>
  </r>
  <r>
    <x v="506"/>
    <x v="26"/>
    <n v="26.7"/>
    <n v="27.7"/>
    <n v="26.65"/>
    <n v="27.63"/>
    <x v="2109"/>
    <n v="0.9"/>
    <n v="1482"/>
    <n v="0"/>
    <n v="3201"/>
    <x v="185"/>
    <n v="190"/>
    <s v="Z (Dec 20)"/>
    <d v="2020-12-16T00:00:00"/>
    <n v="-1"/>
  </r>
  <r>
    <x v="506"/>
    <x v="25"/>
    <n v="27"/>
    <n v="27.55"/>
    <n v="26.6"/>
    <n v="27.5"/>
    <x v="316"/>
    <n v="0.82499999999999996"/>
    <n v="186"/>
    <n v="0"/>
    <n v="473"/>
    <x v="38"/>
    <n v="225"/>
    <s v="F (Jan 21)"/>
    <d v="2021-01-20T00:00:00"/>
    <n v="-1"/>
  </r>
  <r>
    <x v="507"/>
    <x v="26"/>
    <n v="26.34"/>
    <n v="26.8"/>
    <n v="26.12"/>
    <n v="26.65"/>
    <x v="976"/>
    <n v="0.45"/>
    <n v="1032"/>
    <n v="0"/>
    <n v="2899"/>
    <x v="1"/>
    <n v="191"/>
    <s v="Z (Dec 20)"/>
    <d v="2020-12-16T00:00:00"/>
    <n v="-1"/>
  </r>
  <r>
    <x v="507"/>
    <x v="25"/>
    <n v="26.3"/>
    <n v="26.75"/>
    <n v="26.23"/>
    <n v="26.75"/>
    <x v="632"/>
    <n v="0.27500000000000002"/>
    <n v="113"/>
    <n v="0"/>
    <n v="405"/>
    <x v="50"/>
    <n v="226"/>
    <s v="F (Jan 21)"/>
    <d v="2021-01-20T00:00:00"/>
    <n v="-1"/>
  </r>
  <r>
    <x v="507"/>
    <x v="29"/>
    <n v="27.55"/>
    <n v="28.34"/>
    <n v="27.35"/>
    <n v="28.2"/>
    <x v="2328"/>
    <n v="0.65"/>
    <n v="4980"/>
    <n v="0"/>
    <n v="17151"/>
    <x v="7"/>
    <n v="100"/>
    <s v="U (Sep 20)"/>
    <d v="2020-09-16T00:00:00"/>
    <n v="-1"/>
  </r>
  <r>
    <x v="507"/>
    <x v="31"/>
    <n v="27.05"/>
    <n v="27.97"/>
    <n v="26.75"/>
    <n v="27.87"/>
    <x v="2349"/>
    <n v="0.75"/>
    <n v="43157"/>
    <n v="0"/>
    <n v="107050"/>
    <x v="49"/>
    <n v="44"/>
    <s v="N (Jul 20)"/>
    <d v="2020-07-22T00:00:00"/>
    <n v="-1"/>
  </r>
  <r>
    <x v="507"/>
    <x v="28"/>
    <n v="29.61"/>
    <n v="30.36"/>
    <n v="29.45"/>
    <n v="30.15"/>
    <x v="2351"/>
    <n v="0.7"/>
    <n v="3392"/>
    <n v="0"/>
    <n v="18812"/>
    <x v="52"/>
    <n v="135"/>
    <s v="V (Oct 20)"/>
    <d v="2020-10-21T00:00:00"/>
    <n v="-1"/>
  </r>
  <r>
    <x v="507"/>
    <x v="30"/>
    <n v="27.13"/>
    <n v="27.95"/>
    <n v="26.85"/>
    <n v="27.82"/>
    <x v="2349"/>
    <n v="0.7"/>
    <n v="9156"/>
    <n v="0"/>
    <n v="23203"/>
    <x v="45"/>
    <n v="72"/>
    <s v="Q (Aug 20)"/>
    <d v="2020-08-19T00:00:00"/>
    <n v="-1"/>
  </r>
  <r>
    <x v="507"/>
    <x v="24"/>
    <n v="26.74"/>
    <n v="26.8"/>
    <n v="26.73"/>
    <n v="26.73"/>
    <x v="598"/>
    <n v="-0.2"/>
    <n v="4"/>
    <n v="0"/>
    <n v="3"/>
    <x v="39"/>
    <n v="254"/>
    <s v="G (Feb 21)"/>
    <d v="2021-02-17T00:00:00"/>
    <n v="-1"/>
  </r>
  <r>
    <x v="507"/>
    <x v="27"/>
    <n v="27.5"/>
    <n v="28.25"/>
    <n v="27.5"/>
    <n v="28"/>
    <x v="33"/>
    <n v="0.55000000000000004"/>
    <n v="2281"/>
    <n v="0"/>
    <n v="13609"/>
    <x v="53"/>
    <n v="163"/>
    <s v="X (Nov 20)"/>
    <d v="2020-11-18T00:00:00"/>
    <n v="-1"/>
  </r>
  <r>
    <x v="507"/>
    <x v="32"/>
    <n v="25.35"/>
    <n v="26.25"/>
    <n v="24.95"/>
    <n v="26.07"/>
    <x v="769"/>
    <n v="0.7"/>
    <n v="43119"/>
    <n v="0"/>
    <n v="70832"/>
    <x v="44"/>
    <n v="9"/>
    <s v="M (Jun 20)"/>
    <d v="2020-06-17T00:00:00"/>
    <n v="-1"/>
  </r>
  <r>
    <x v="508"/>
    <x v="29"/>
    <n v="29.05"/>
    <n v="29.15"/>
    <n v="27.6"/>
    <n v="27.7"/>
    <x v="2109"/>
    <n v="-1.4"/>
    <n v="5538"/>
    <n v="0"/>
    <n v="16770"/>
    <x v="10"/>
    <n v="103"/>
    <s v="U (Sep 20)"/>
    <d v="2020-09-16T00:00:00"/>
    <n v="-1"/>
  </r>
  <r>
    <x v="508"/>
    <x v="31"/>
    <n v="28.67"/>
    <n v="28.85"/>
    <n v="27"/>
    <n v="27.21"/>
    <x v="568"/>
    <n v="-1.55"/>
    <n v="57181"/>
    <n v="541"/>
    <n v="96269"/>
    <x v="55"/>
    <n v="47"/>
    <s v="N (Jul 20)"/>
    <d v="2020-07-22T00:00:00"/>
    <n v="-1"/>
  </r>
  <r>
    <x v="508"/>
    <x v="28"/>
    <n v="31"/>
    <n v="31.05"/>
    <n v="29.59"/>
    <n v="29.65"/>
    <x v="2345"/>
    <n v="-1.3"/>
    <n v="4230"/>
    <n v="0"/>
    <n v="18583"/>
    <x v="58"/>
    <n v="138"/>
    <s v="V (Oct 20)"/>
    <d v="2020-10-21T00:00:00"/>
    <n v="-1"/>
  </r>
  <r>
    <x v="508"/>
    <x v="30"/>
    <n v="28.7"/>
    <n v="28.75"/>
    <n v="27.1"/>
    <n v="27.25"/>
    <x v="717"/>
    <n v="-1.45"/>
    <n v="13403"/>
    <n v="0"/>
    <n v="22837"/>
    <x v="60"/>
    <n v="75"/>
    <s v="Q (Aug 20)"/>
    <d v="2020-08-19T00:00:00"/>
    <n v="-1"/>
  </r>
  <r>
    <x v="508"/>
    <x v="27"/>
    <n v="28.9"/>
    <n v="29"/>
    <n v="27.6"/>
    <n v="27.71"/>
    <x v="2109"/>
    <n v="-1.2749999999999999"/>
    <n v="2037"/>
    <n v="0"/>
    <n v="13009"/>
    <x v="59"/>
    <n v="166"/>
    <s v="X (Nov 20)"/>
    <d v="2020-11-18T00:00:00"/>
    <n v="-1"/>
  </r>
  <r>
    <x v="508"/>
    <x v="32"/>
    <n v="26.7"/>
    <n v="26.9"/>
    <n v="24.8"/>
    <n v="25.42"/>
    <x v="1157"/>
    <n v="-1.4"/>
    <n v="63921"/>
    <n v="395"/>
    <n v="76012"/>
    <x v="47"/>
    <n v="12"/>
    <s v="M (Jun 20)"/>
    <d v="2020-06-17T00:00:00"/>
    <n v="-1"/>
  </r>
  <r>
    <x v="508"/>
    <x v="26"/>
    <n v="27.4"/>
    <n v="27.4"/>
    <n v="26.27"/>
    <n v="26.35"/>
    <x v="445"/>
    <n v="-1.075"/>
    <n v="919"/>
    <n v="0"/>
    <n v="2629"/>
    <x v="13"/>
    <n v="194"/>
    <s v="Z (Dec 20)"/>
    <d v="2020-12-16T00:00:00"/>
    <n v="-1"/>
  </r>
  <r>
    <x v="508"/>
    <x v="25"/>
    <n v="27.2"/>
    <n v="27.3"/>
    <n v="26.4"/>
    <n v="26.4"/>
    <x v="606"/>
    <n v="-0.92500000000000004"/>
    <n v="91"/>
    <n v="0"/>
    <n v="389"/>
    <x v="56"/>
    <n v="229"/>
    <s v="F (Jan 21)"/>
    <d v="2021-01-20T00:00:00"/>
    <n v="-1"/>
  </r>
  <r>
    <x v="509"/>
    <x v="26"/>
    <n v="27.6"/>
    <n v="27.8"/>
    <n v="27.1"/>
    <n v="27.4"/>
    <x v="347"/>
    <n v="-0.17499999999999999"/>
    <n v="493"/>
    <n v="0"/>
    <n v="2560"/>
    <x v="19"/>
    <n v="195"/>
    <s v="Z (Dec 20)"/>
    <d v="2020-12-16T00:00:00"/>
    <n v="-1"/>
  </r>
  <r>
    <x v="509"/>
    <x v="25"/>
    <n v="27.7"/>
    <n v="27.71"/>
    <n v="27.2"/>
    <n v="27.45"/>
    <x v="488"/>
    <n v="-0.2"/>
    <n v="57"/>
    <n v="0"/>
    <n v="359"/>
    <x v="68"/>
    <n v="230"/>
    <s v="F (Jan 21)"/>
    <d v="2021-01-20T00:00:00"/>
    <n v="-1"/>
  </r>
  <r>
    <x v="509"/>
    <x v="24"/>
    <n v="27.3"/>
    <n v="27.3"/>
    <n v="27.3"/>
    <n v="27.3"/>
    <x v="282"/>
    <n v="-0.7"/>
    <n v="1"/>
    <n v="0"/>
    <n v="1"/>
    <x v="57"/>
    <n v="258"/>
    <s v="G (Feb 21)"/>
    <d v="2021-02-17T00:00:00"/>
    <n v="-1"/>
  </r>
  <r>
    <x v="509"/>
    <x v="29"/>
    <n v="29.45"/>
    <n v="29.65"/>
    <n v="28.6"/>
    <n v="29"/>
    <x v="185"/>
    <n v="-0.25"/>
    <n v="2944"/>
    <n v="0"/>
    <n v="17463"/>
    <x v="25"/>
    <n v="104"/>
    <s v="U (Sep 20)"/>
    <d v="2020-09-16T00:00:00"/>
    <n v="-1"/>
  </r>
  <r>
    <x v="509"/>
    <x v="31"/>
    <n v="29.15"/>
    <n v="29.5"/>
    <n v="28"/>
    <n v="28.6"/>
    <x v="2156"/>
    <n v="-0.35"/>
    <n v="55328"/>
    <n v="962"/>
    <n v="90568"/>
    <x v="67"/>
    <n v="48"/>
    <s v="N (Jul 20)"/>
    <d v="2020-07-22T00:00:00"/>
    <n v="-1"/>
  </r>
  <r>
    <x v="509"/>
    <x v="28"/>
    <n v="31.3"/>
    <n v="31.5"/>
    <n v="30.6"/>
    <n v="30.88"/>
    <x v="2413"/>
    <n v="-0.15"/>
    <n v="2505"/>
    <n v="0"/>
    <n v="18446"/>
    <x v="70"/>
    <n v="139"/>
    <s v="V (Oct 20)"/>
    <d v="2020-10-21T00:00:00"/>
    <n v="-1"/>
  </r>
  <r>
    <x v="509"/>
    <x v="30"/>
    <n v="29.2"/>
    <n v="29.37"/>
    <n v="28.1"/>
    <n v="28.6"/>
    <x v="2283"/>
    <n v="-0.35"/>
    <n v="11111"/>
    <n v="0"/>
    <n v="20623"/>
    <x v="63"/>
    <n v="76"/>
    <s v="Q (Aug 20)"/>
    <d v="2020-08-19T00:00:00"/>
    <n v="-1"/>
  </r>
  <r>
    <x v="509"/>
    <x v="27"/>
    <n v="29.25"/>
    <n v="29.45"/>
    <n v="28.6"/>
    <n v="28.87"/>
    <x v="15"/>
    <n v="-0.15"/>
    <n v="1461"/>
    <n v="0"/>
    <n v="12836"/>
    <x v="71"/>
    <n v="167"/>
    <s v="X (Nov 20)"/>
    <d v="2020-11-18T00:00:00"/>
    <n v="-1"/>
  </r>
  <r>
    <x v="509"/>
    <x v="32"/>
    <n v="27.1"/>
    <n v="27.7"/>
    <n v="25.8"/>
    <n v="26.65"/>
    <x v="632"/>
    <n v="-0.27500000000000002"/>
    <n v="62020"/>
    <n v="867"/>
    <n v="80209"/>
    <x v="62"/>
    <n v="13"/>
    <s v="M (Jun 20)"/>
    <d v="2020-06-17T00:00:00"/>
    <n v="-1"/>
  </r>
  <r>
    <x v="510"/>
    <x v="29"/>
    <n v="29.98"/>
    <n v="30.01"/>
    <n v="29.27"/>
    <n v="29.43"/>
    <x v="2334"/>
    <n v="-0.7"/>
    <n v="3907"/>
    <n v="0"/>
    <n v="17483"/>
    <x v="28"/>
    <n v="105"/>
    <s v="U (Sep 20)"/>
    <d v="2020-09-16T00:00:00"/>
    <n v="-1"/>
  </r>
  <r>
    <x v="510"/>
    <x v="31"/>
    <n v="29.95"/>
    <n v="30.05"/>
    <n v="28.9"/>
    <n v="29.15"/>
    <x v="185"/>
    <n v="-0.95"/>
    <n v="62988"/>
    <n v="921"/>
    <n v="86413"/>
    <x v="73"/>
    <n v="49"/>
    <s v="N (Jul 20)"/>
    <d v="2020-07-22T00:00:00"/>
    <n v="-1"/>
  </r>
  <r>
    <x v="510"/>
    <x v="28"/>
    <n v="31.85"/>
    <n v="31.86"/>
    <n v="31.1"/>
    <n v="31.21"/>
    <x v="2431"/>
    <n v="-0.75"/>
    <n v="2679"/>
    <n v="0"/>
    <n v="18041"/>
    <x v="76"/>
    <n v="140"/>
    <s v="V (Oct 20)"/>
    <d v="2020-10-21T00:00:00"/>
    <n v="-1"/>
  </r>
  <r>
    <x v="510"/>
    <x v="30"/>
    <n v="29.82"/>
    <n v="29.9"/>
    <n v="28.91"/>
    <n v="29.12"/>
    <x v="2176"/>
    <n v="-0.85"/>
    <n v="10345"/>
    <n v="0"/>
    <n v="19663"/>
    <x v="78"/>
    <n v="77"/>
    <s v="Q (Aug 20)"/>
    <d v="2020-08-19T00:00:00"/>
    <n v="-1"/>
  </r>
  <r>
    <x v="510"/>
    <x v="27"/>
    <n v="29.75"/>
    <n v="29.8"/>
    <n v="29.07"/>
    <n v="29.2"/>
    <x v="2279"/>
    <n v="-0.72499999999999998"/>
    <n v="1664"/>
    <n v="0"/>
    <n v="12554"/>
    <x v="77"/>
    <n v="168"/>
    <s v="X (Nov 20)"/>
    <d v="2020-11-18T00:00:00"/>
    <n v="-1"/>
  </r>
  <r>
    <x v="510"/>
    <x v="32"/>
    <n v="28.15"/>
    <n v="28.3"/>
    <n v="26.71"/>
    <n v="27.05"/>
    <x v="280"/>
    <n v="-1.2250000000000001"/>
    <n v="72780"/>
    <n v="1022"/>
    <n v="83998"/>
    <x v="65"/>
    <n v="14"/>
    <s v="M (Jun 20)"/>
    <d v="2020-06-17T00:00:00"/>
    <n v="-1"/>
  </r>
  <r>
    <x v="510"/>
    <x v="26"/>
    <n v="28.25"/>
    <n v="28.3"/>
    <n v="27.56"/>
    <n v="27.65"/>
    <x v="516"/>
    <n v="-0.75"/>
    <n v="590"/>
    <n v="0"/>
    <n v="2563"/>
    <x v="30"/>
    <n v="196"/>
    <s v="Z (Dec 20)"/>
    <d v="2020-12-16T00:00:00"/>
    <n v="-1"/>
  </r>
  <r>
    <x v="510"/>
    <x v="25"/>
    <n v="28.2"/>
    <n v="28.2"/>
    <n v="27.65"/>
    <n v="27.7"/>
    <x v="516"/>
    <n v="-0.67500000000000004"/>
    <n v="35"/>
    <n v="0"/>
    <n v="346"/>
    <x v="74"/>
    <n v="231"/>
    <s v="F (Jan 21)"/>
    <d v="2021-01-20T00:00:00"/>
    <n v="-1"/>
  </r>
  <r>
    <x v="511"/>
    <x v="26"/>
    <n v="28.63"/>
    <n v="28.7"/>
    <n v="28.25"/>
    <n v="28.25"/>
    <x v="2328"/>
    <n v="-0.25"/>
    <n v="486"/>
    <n v="0"/>
    <n v="2465"/>
    <x v="36"/>
    <n v="197"/>
    <s v="Z (Dec 20)"/>
    <d v="2020-12-16T00:00:00"/>
    <n v="-1"/>
  </r>
  <r>
    <x v="511"/>
    <x v="25"/>
    <n v="28.43"/>
    <n v="28.5"/>
    <n v="28.15"/>
    <n v="28.15"/>
    <x v="147"/>
    <n v="-0.27500000000000002"/>
    <n v="33"/>
    <n v="0"/>
    <n v="336"/>
    <x v="86"/>
    <n v="232"/>
    <s v="F (Jan 21)"/>
    <d v="2021-01-20T00:00:00"/>
    <n v="-1"/>
  </r>
  <r>
    <x v="511"/>
    <x v="29"/>
    <n v="30.56"/>
    <n v="30.72"/>
    <n v="29.95"/>
    <n v="29.95"/>
    <x v="2360"/>
    <n v="-0.5"/>
    <n v="2976"/>
    <n v="0"/>
    <n v="17282"/>
    <x v="43"/>
    <n v="106"/>
    <s v="U (Sep 20)"/>
    <d v="2020-09-16T00:00:00"/>
    <n v="-1"/>
  </r>
  <r>
    <x v="511"/>
    <x v="31"/>
    <n v="30.75"/>
    <n v="31.05"/>
    <n v="29.85"/>
    <n v="29.9"/>
    <x v="2360"/>
    <n v="-0.75"/>
    <n v="41853"/>
    <n v="515"/>
    <n v="79124"/>
    <x v="85"/>
    <n v="50"/>
    <s v="N (Jul 20)"/>
    <d v="2020-07-22T00:00:00"/>
    <n v="-1"/>
  </r>
  <r>
    <x v="511"/>
    <x v="28"/>
    <n v="32.200000000000003"/>
    <n v="32.35"/>
    <n v="31.8"/>
    <n v="31.81"/>
    <x v="2387"/>
    <n v="-0.3"/>
    <n v="2454"/>
    <n v="0"/>
    <n v="17973"/>
    <x v="88"/>
    <n v="141"/>
    <s v="V (Oct 20)"/>
    <d v="2020-10-21T00:00:00"/>
    <n v="-1"/>
  </r>
  <r>
    <x v="511"/>
    <x v="30"/>
    <n v="30.5"/>
    <n v="30.75"/>
    <n v="29.75"/>
    <n v="29.75"/>
    <x v="2372"/>
    <n v="-0.6"/>
    <n v="6171"/>
    <n v="0"/>
    <n v="17971"/>
    <x v="81"/>
    <n v="78"/>
    <s v="Q (Aug 20)"/>
    <d v="2020-08-19T00:00:00"/>
    <n v="-1"/>
  </r>
  <r>
    <x v="511"/>
    <x v="27"/>
    <n v="30.1"/>
    <n v="30.3"/>
    <n v="29.75"/>
    <n v="29.75"/>
    <x v="2391"/>
    <n v="-0.25"/>
    <n v="1472"/>
    <n v="0"/>
    <n v="12395"/>
    <x v="89"/>
    <n v="169"/>
    <s v="X (Nov 20)"/>
    <d v="2020-11-18T00:00:00"/>
    <n v="-1"/>
  </r>
  <r>
    <x v="511"/>
    <x v="32"/>
    <n v="29.55"/>
    <n v="29.96"/>
    <n v="28.05"/>
    <n v="28.2"/>
    <x v="33"/>
    <n v="-1.3"/>
    <n v="58365"/>
    <n v="712"/>
    <n v="89946"/>
    <x v="80"/>
    <n v="15"/>
    <s v="M (Jun 20)"/>
    <d v="2020-06-17T00:00:00"/>
    <n v="-1"/>
  </r>
  <r>
    <x v="512"/>
    <x v="29"/>
    <n v="30.5"/>
    <n v="30.95"/>
    <n v="30.2"/>
    <n v="30.55"/>
    <x v="2393"/>
    <n v="0.3"/>
    <n v="2679"/>
    <n v="0"/>
    <n v="17042"/>
    <x v="46"/>
    <n v="107"/>
    <s v="U (Sep 20)"/>
    <d v="2020-09-16T00:00:00"/>
    <n v="-1"/>
  </r>
  <r>
    <x v="512"/>
    <x v="31"/>
    <n v="30.35"/>
    <n v="31.27"/>
    <n v="30.1"/>
    <n v="30.76"/>
    <x v="2340"/>
    <n v="0.6"/>
    <n v="35370"/>
    <n v="166"/>
    <n v="70875"/>
    <x v="91"/>
    <n v="51"/>
    <s v="N (Jul 20)"/>
    <d v="2020-07-22T00:00:00"/>
    <n v="-1"/>
  </r>
  <r>
    <x v="512"/>
    <x v="28"/>
    <n v="31.98"/>
    <n v="32.5"/>
    <n v="31.89"/>
    <n v="32.15"/>
    <x v="2389"/>
    <n v="0.25"/>
    <n v="1842"/>
    <n v="0"/>
    <n v="17361"/>
    <x v="94"/>
    <n v="142"/>
    <s v="V (Oct 20)"/>
    <d v="2020-10-21T00:00:00"/>
    <n v="-1"/>
  </r>
  <r>
    <x v="512"/>
    <x v="30"/>
    <n v="30.25"/>
    <n v="30.9"/>
    <n v="29.95"/>
    <n v="30.5"/>
    <x v="2375"/>
    <n v="0.45"/>
    <n v="4035"/>
    <n v="0"/>
    <n v="17083"/>
    <x v="96"/>
    <n v="79"/>
    <s v="Q (Aug 20)"/>
    <d v="2020-08-19T00:00:00"/>
    <n v="-1"/>
  </r>
  <r>
    <x v="512"/>
    <x v="27"/>
    <n v="29.99"/>
    <n v="30.45"/>
    <n v="29.85"/>
    <n v="30.07"/>
    <x v="2366"/>
    <n v="0.25"/>
    <n v="1077"/>
    <n v="0"/>
    <n v="12135"/>
    <x v="95"/>
    <n v="170"/>
    <s v="X (Nov 20)"/>
    <d v="2020-11-18T00:00:00"/>
    <n v="-1"/>
  </r>
  <r>
    <x v="512"/>
    <x v="32"/>
    <n v="29.55"/>
    <n v="30.45"/>
    <n v="28.98"/>
    <n v="29.6"/>
    <x v="4"/>
    <n v="0.7"/>
    <n v="53460"/>
    <n v="284"/>
    <n v="93869"/>
    <x v="83"/>
    <n v="16"/>
    <s v="M (Jun 20)"/>
    <d v="2020-06-17T00:00:00"/>
    <n v="-1"/>
  </r>
  <r>
    <x v="512"/>
    <x v="26"/>
    <n v="28.42"/>
    <n v="28.9"/>
    <n v="28.4"/>
    <n v="28.54"/>
    <x v="164"/>
    <n v="0.22500000000000001"/>
    <n v="300"/>
    <n v="0"/>
    <n v="2309"/>
    <x v="48"/>
    <n v="198"/>
    <s v="Z (Dec 20)"/>
    <d v="2020-12-16T00:00:00"/>
    <n v="-1"/>
  </r>
  <r>
    <x v="512"/>
    <x v="25"/>
    <n v="28.48"/>
    <n v="28.9"/>
    <n v="28.42"/>
    <n v="28.5"/>
    <x v="520"/>
    <n v="0.22500000000000001"/>
    <n v="33"/>
    <n v="0"/>
    <n v="309"/>
    <x v="92"/>
    <n v="233"/>
    <s v="F (Jan 21)"/>
    <d v="2021-01-20T00:00:00"/>
    <n v="-1"/>
  </r>
  <r>
    <x v="513"/>
    <x v="26"/>
    <n v="29"/>
    <n v="29.3"/>
    <n v="28.3"/>
    <n v="28.33"/>
    <x v="65"/>
    <n v="-0.52500000000000002"/>
    <n v="316"/>
    <n v="0"/>
    <n v="2209"/>
    <x v="54"/>
    <n v="201"/>
    <s v="Z (Dec 20)"/>
    <d v="2020-12-16T00:00:00"/>
    <n v="-1"/>
  </r>
  <r>
    <x v="513"/>
    <x v="25"/>
    <n v="29"/>
    <n v="29.2"/>
    <n v="28.32"/>
    <n v="28.32"/>
    <x v="82"/>
    <n v="-0.45"/>
    <n v="56"/>
    <n v="0"/>
    <n v="269"/>
    <x v="104"/>
    <n v="236"/>
    <s v="F (Jan 21)"/>
    <d v="2021-01-20T00:00:00"/>
    <n v="-1"/>
  </r>
  <r>
    <x v="513"/>
    <x v="29"/>
    <n v="30.8"/>
    <n v="31.37"/>
    <n v="30.2"/>
    <n v="30.25"/>
    <x v="2356"/>
    <n v="-0.55000000000000004"/>
    <n v="2884"/>
    <n v="0"/>
    <n v="16931"/>
    <x v="61"/>
    <n v="110"/>
    <s v="U (Sep 20)"/>
    <d v="2020-09-16T00:00:00"/>
    <n v="-1"/>
  </r>
  <r>
    <x v="513"/>
    <x v="31"/>
    <n v="31.14"/>
    <n v="31.85"/>
    <n v="30.1"/>
    <n v="30.13"/>
    <x v="2336"/>
    <n v="-0.95"/>
    <n v="37110"/>
    <n v="126"/>
    <n v="62261"/>
    <x v="103"/>
    <n v="54"/>
    <s v="N (Jul 20)"/>
    <d v="2020-07-22T00:00:00"/>
    <n v="-1"/>
  </r>
  <r>
    <x v="513"/>
    <x v="28"/>
    <n v="32.4"/>
    <n v="32.9"/>
    <n v="31.85"/>
    <n v="31.9"/>
    <x v="2416"/>
    <n v="-0.4"/>
    <n v="2574"/>
    <n v="0"/>
    <n v="17226"/>
    <x v="106"/>
    <n v="145"/>
    <s v="V (Oct 20)"/>
    <d v="2020-10-21T00:00:00"/>
    <n v="-1"/>
  </r>
  <r>
    <x v="513"/>
    <x v="30"/>
    <n v="30.7"/>
    <n v="31.35"/>
    <n v="30"/>
    <n v="30"/>
    <x v="2360"/>
    <n v="-0.65"/>
    <n v="7253"/>
    <n v="0"/>
    <n v="17042"/>
    <x v="99"/>
    <n v="82"/>
    <s v="Q (Aug 20)"/>
    <d v="2020-08-19T00:00:00"/>
    <n v="-1"/>
  </r>
  <r>
    <x v="513"/>
    <x v="27"/>
    <n v="30.3"/>
    <n v="30.75"/>
    <n v="29.75"/>
    <n v="29.8"/>
    <x v="2391"/>
    <n v="-0.4"/>
    <n v="1313"/>
    <n v="0"/>
    <n v="11915"/>
    <x v="107"/>
    <n v="173"/>
    <s v="X (Nov 20)"/>
    <d v="2020-11-18T00:00:00"/>
    <n v="-1"/>
  </r>
  <r>
    <x v="513"/>
    <x v="32"/>
    <n v="30.35"/>
    <n v="31.2"/>
    <n v="28.8"/>
    <n v="28.85"/>
    <x v="178"/>
    <n v="-1.5"/>
    <n v="73744"/>
    <n v="274"/>
    <n v="90465"/>
    <x v="98"/>
    <n v="19"/>
    <s v="M (Jun 20)"/>
    <d v="2020-06-17T00:00:00"/>
    <n v="-1"/>
  </r>
  <r>
    <x v="514"/>
    <x v="29"/>
    <n v="30.15"/>
    <n v="31"/>
    <n v="29.9"/>
    <n v="30.75"/>
    <x v="2340"/>
    <n v="0.65"/>
    <n v="3681"/>
    <n v="0"/>
    <n v="17051"/>
    <x v="64"/>
    <n v="111"/>
    <s v="U (Sep 20)"/>
    <d v="2020-09-16T00:00:00"/>
    <n v="-1"/>
  </r>
  <r>
    <x v="514"/>
    <x v="31"/>
    <n v="30.15"/>
    <n v="31.47"/>
    <n v="29.8"/>
    <n v="31.1"/>
    <x v="2431"/>
    <n v="1.05"/>
    <n v="39575"/>
    <n v="194"/>
    <n v="58952"/>
    <x v="109"/>
    <n v="55"/>
    <s v="N (Jul 20)"/>
    <d v="2020-07-22T00:00:00"/>
    <n v="-1"/>
  </r>
  <r>
    <x v="514"/>
    <x v="28"/>
    <n v="31.65"/>
    <n v="32.5"/>
    <n v="31.45"/>
    <n v="32.299999999999997"/>
    <x v="2435"/>
    <n v="0.65"/>
    <n v="2735"/>
    <n v="0"/>
    <n v="16902"/>
    <x v="112"/>
    <n v="146"/>
    <s v="V (Oct 20)"/>
    <d v="2020-10-21T00:00:00"/>
    <n v="-1"/>
  </r>
  <r>
    <x v="514"/>
    <x v="30"/>
    <n v="29.92"/>
    <n v="30.95"/>
    <n v="29.59"/>
    <n v="30.68"/>
    <x v="2369"/>
    <n v="0.85"/>
    <n v="5380"/>
    <n v="0"/>
    <n v="16633"/>
    <x v="114"/>
    <n v="83"/>
    <s v="Q (Aug 20)"/>
    <d v="2020-08-19T00:00:00"/>
    <n v="-1"/>
  </r>
  <r>
    <x v="514"/>
    <x v="27"/>
    <n v="29.7"/>
    <n v="30.38"/>
    <n v="29.5"/>
    <n v="30.2"/>
    <x v="2356"/>
    <n v="0.5"/>
    <n v="1457"/>
    <n v="0"/>
    <n v="11837"/>
    <x v="113"/>
    <n v="174"/>
    <s v="X (Nov 20)"/>
    <d v="2020-11-18T00:00:00"/>
    <n v="-1"/>
  </r>
  <r>
    <x v="514"/>
    <x v="32"/>
    <n v="29.15"/>
    <n v="30.8"/>
    <n v="28.75"/>
    <n v="30.3"/>
    <x v="2380"/>
    <n v="1.25"/>
    <n v="65285"/>
    <n v="542"/>
    <n v="96156"/>
    <x v="101"/>
    <n v="20"/>
    <s v="M (Jun 20)"/>
    <d v="2020-06-17T00:00:00"/>
    <n v="-1"/>
  </r>
  <r>
    <x v="514"/>
    <x v="26"/>
    <n v="28.4"/>
    <n v="28.97"/>
    <n v="28.25"/>
    <n v="28.85"/>
    <x v="2357"/>
    <n v="0.45"/>
    <n v="444"/>
    <n v="0"/>
    <n v="2123"/>
    <x v="66"/>
    <n v="202"/>
    <s v="Z (Dec 20)"/>
    <d v="2020-12-16T00:00:00"/>
    <n v="-1"/>
  </r>
  <r>
    <x v="514"/>
    <x v="25"/>
    <n v="28.49"/>
    <n v="28.92"/>
    <n v="28.34"/>
    <n v="28.8"/>
    <x v="2215"/>
    <n v="0.3"/>
    <n v="47"/>
    <n v="0"/>
    <n v="226"/>
    <x v="110"/>
    <n v="237"/>
    <s v="F (Jan 21)"/>
    <d v="2021-01-20T00:00:00"/>
    <n v="-1"/>
  </r>
  <r>
    <x v="515"/>
    <x v="26"/>
    <n v="28.6"/>
    <n v="29.3"/>
    <n v="28.4"/>
    <n v="28.4"/>
    <x v="113"/>
    <n v="-0.35"/>
    <n v="492"/>
    <n v="0"/>
    <n v="2006"/>
    <x v="72"/>
    <n v="203"/>
    <s v="Z (Dec 20)"/>
    <d v="2020-12-16T00:00:00"/>
    <n v="-1"/>
  </r>
  <r>
    <x v="515"/>
    <x v="25"/>
    <n v="28.6"/>
    <n v="29.2"/>
    <n v="28.45"/>
    <n v="28.45"/>
    <x v="38"/>
    <n v="-0.3"/>
    <n v="133"/>
    <n v="0"/>
    <n v="203"/>
    <x v="122"/>
    <n v="238"/>
    <s v="F (Jan 21)"/>
    <d v="2021-01-20T00:00:00"/>
    <n v="-1"/>
  </r>
  <r>
    <x v="515"/>
    <x v="29"/>
    <n v="30.45"/>
    <n v="31.21"/>
    <n v="29.9"/>
    <n v="30.12"/>
    <x v="2343"/>
    <n v="-0.3"/>
    <n v="3602"/>
    <n v="0"/>
    <n v="17309"/>
    <x v="79"/>
    <n v="112"/>
    <s v="U (Sep 20)"/>
    <d v="2020-09-16T00:00:00"/>
    <n v="-1"/>
  </r>
  <r>
    <x v="515"/>
    <x v="31"/>
    <n v="30.55"/>
    <n v="31.62"/>
    <n v="29.6"/>
    <n v="30.1"/>
    <x v="2366"/>
    <n v="-0.4"/>
    <n v="37362"/>
    <n v="23"/>
    <n v="53504"/>
    <x v="121"/>
    <n v="56"/>
    <s v="N (Jul 20)"/>
    <d v="2020-07-22T00:00:00"/>
    <n v="-1"/>
  </r>
  <r>
    <x v="515"/>
    <x v="28"/>
    <n v="32.020000000000003"/>
    <n v="32.619999999999997"/>
    <n v="31.42"/>
    <n v="31.7"/>
    <x v="2365"/>
    <n v="-0.3"/>
    <n v="2917"/>
    <n v="0"/>
    <n v="16659"/>
    <x v="124"/>
    <n v="147"/>
    <s v="V (Oct 20)"/>
    <d v="2020-10-21T00:00:00"/>
    <n v="-1"/>
  </r>
  <r>
    <x v="515"/>
    <x v="30"/>
    <n v="30.22"/>
    <n v="31.05"/>
    <n v="29.5"/>
    <n v="29.82"/>
    <x v="2391"/>
    <n v="-0.35"/>
    <n v="6458"/>
    <n v="0"/>
    <n v="16708"/>
    <x v="117"/>
    <n v="84"/>
    <s v="Q (Aug 20)"/>
    <d v="2020-08-19T00:00:00"/>
    <n v="-1"/>
  </r>
  <r>
    <x v="515"/>
    <x v="27"/>
    <n v="30"/>
    <n v="30.56"/>
    <n v="29.55"/>
    <n v="29.7"/>
    <x v="2361"/>
    <n v="-0.27500000000000002"/>
    <n v="1930"/>
    <n v="0"/>
    <n v="11510"/>
    <x v="125"/>
    <n v="175"/>
    <s v="X (Nov 20)"/>
    <d v="2020-11-18T00:00:00"/>
    <n v="-1"/>
  </r>
  <r>
    <x v="515"/>
    <x v="32"/>
    <n v="29.7"/>
    <n v="31.35"/>
    <n v="28.61"/>
    <n v="29.1"/>
    <x v="185"/>
    <n v="-0.55000000000000004"/>
    <n v="68230"/>
    <n v="88"/>
    <n v="96018"/>
    <x v="116"/>
    <n v="21"/>
    <s v="M (Jun 20)"/>
    <d v="2020-06-17T00:00:00"/>
    <n v="-1"/>
  </r>
  <r>
    <x v="516"/>
    <x v="29"/>
    <n v="31.06"/>
    <n v="31.16"/>
    <n v="29.83"/>
    <n v="30.45"/>
    <x v="2359"/>
    <n v="-0.67500000000000004"/>
    <n v="3058"/>
    <n v="0"/>
    <n v="17536"/>
    <x v="82"/>
    <n v="113"/>
    <s v="U (Sep 20)"/>
    <d v="2020-09-16T00:00:00"/>
    <n v="-1"/>
  </r>
  <r>
    <x v="516"/>
    <x v="31"/>
    <n v="31"/>
    <n v="31.25"/>
    <n v="29.6"/>
    <n v="30.46"/>
    <x v="2375"/>
    <n v="-0.6"/>
    <n v="36263"/>
    <n v="164"/>
    <n v="48568"/>
    <x v="127"/>
    <n v="57"/>
    <s v="N (Jul 20)"/>
    <d v="2020-07-22T00:00:00"/>
    <n v="-1"/>
  </r>
  <r>
    <x v="516"/>
    <x v="28"/>
    <n v="32.049999999999997"/>
    <n v="32.35"/>
    <n v="31.28"/>
    <n v="31.98"/>
    <x v="2469"/>
    <n v="-0.375"/>
    <n v="2738"/>
    <n v="0"/>
    <n v="16611"/>
    <x v="129"/>
    <n v="148"/>
    <s v="V (Oct 20)"/>
    <d v="2020-10-21T00:00:00"/>
    <n v="-1"/>
  </r>
  <r>
    <x v="516"/>
    <x v="30"/>
    <n v="30.77"/>
    <n v="31"/>
    <n v="29.55"/>
    <n v="30.17"/>
    <x v="2336"/>
    <n v="-0.625"/>
    <n v="5329"/>
    <n v="0"/>
    <n v="16559"/>
    <x v="131"/>
    <n v="85"/>
    <s v="Q (Aug 20)"/>
    <d v="2020-08-19T00:00:00"/>
    <n v="-1"/>
  </r>
  <r>
    <x v="516"/>
    <x v="27"/>
    <n v="30.05"/>
    <n v="30.3"/>
    <n v="29.37"/>
    <n v="30"/>
    <x v="2274"/>
    <n v="-0.375"/>
    <n v="1495"/>
    <n v="0"/>
    <n v="11285"/>
    <x v="130"/>
    <n v="176"/>
    <s v="X (Nov 20)"/>
    <d v="2020-11-18T00:00:00"/>
    <n v="-1"/>
  </r>
  <r>
    <x v="516"/>
    <x v="32"/>
    <n v="30.5"/>
    <n v="30.65"/>
    <n v="28.7"/>
    <n v="29.6"/>
    <x v="2330"/>
    <n v="-0.75"/>
    <n v="64838"/>
    <n v="878"/>
    <n v="95624"/>
    <x v="119"/>
    <n v="22"/>
    <s v="M (Jun 20)"/>
    <d v="2020-06-17T00:00:00"/>
    <n v="-1"/>
  </r>
  <r>
    <x v="516"/>
    <x v="26"/>
    <n v="29"/>
    <n v="29.2"/>
    <n v="28.3"/>
    <n v="28.8"/>
    <x v="2150"/>
    <n v="-0.4"/>
    <n v="640"/>
    <n v="0"/>
    <n v="1871"/>
    <x v="84"/>
    <n v="204"/>
    <s v="Z (Dec 20)"/>
    <d v="2020-12-16T00:00:00"/>
    <n v="-1"/>
  </r>
  <r>
    <x v="516"/>
    <x v="25"/>
    <n v="28.75"/>
    <n v="29.1"/>
    <n v="28.4"/>
    <n v="28.75"/>
    <x v="2215"/>
    <n v="-0.4"/>
    <n v="76"/>
    <n v="0"/>
    <n v="123"/>
    <x v="128"/>
    <n v="239"/>
    <s v="F (Jan 21)"/>
    <d v="2021-01-20T00:00:00"/>
    <n v="-1"/>
  </r>
  <r>
    <x v="517"/>
    <x v="26"/>
    <n v="29.9"/>
    <n v="30.05"/>
    <n v="29.03"/>
    <n v="29.12"/>
    <x v="2325"/>
    <n v="-0.35"/>
    <n v="666"/>
    <n v="0"/>
    <n v="1656"/>
    <x v="90"/>
    <n v="208"/>
    <s v="Z (Dec 20)"/>
    <d v="2020-12-16T00:00:00"/>
    <n v="-1"/>
  </r>
  <r>
    <x v="517"/>
    <x v="25"/>
    <n v="30"/>
    <n v="30"/>
    <n v="29.05"/>
    <n v="29.22"/>
    <x v="120"/>
    <n v="-0.4"/>
    <n v="35"/>
    <n v="0"/>
    <n v="81"/>
    <x v="139"/>
    <n v="243"/>
    <s v="F (Jan 21)"/>
    <d v="2021-01-20T00:00:00"/>
    <n v="-1"/>
  </r>
  <r>
    <x v="517"/>
    <x v="31"/>
    <n v="31.37"/>
    <n v="32.69"/>
    <n v="30.81"/>
    <n v="30.94"/>
    <x v="2371"/>
    <n v="-0.55000000000000004"/>
    <n v="29088"/>
    <n v="0"/>
    <n v="45990"/>
    <x v="138"/>
    <n v="61"/>
    <s v="N (Jul 20)"/>
    <d v="2020-07-22T00:00:00"/>
    <n v="-1"/>
  </r>
  <r>
    <x v="517"/>
    <x v="28"/>
    <n v="32.28"/>
    <n v="33.4"/>
    <n v="32.17"/>
    <n v="32.25"/>
    <x v="2470"/>
    <n v="-0.27500000000000002"/>
    <n v="1769"/>
    <n v="0"/>
    <n v="16493"/>
    <x v="140"/>
    <n v="152"/>
    <s v="V (Oct 20)"/>
    <d v="2020-10-21T00:00:00"/>
    <n v="-1"/>
  </r>
  <r>
    <x v="517"/>
    <x v="30"/>
    <n v="31.08"/>
    <n v="32.17"/>
    <n v="30.6"/>
    <n v="30.65"/>
    <x v="2471"/>
    <n v="-0.42499999999999999"/>
    <n v="4405"/>
    <n v="0"/>
    <n v="16450"/>
    <x v="134"/>
    <n v="89"/>
    <s v="Q (Aug 20)"/>
    <d v="2020-08-19T00:00:00"/>
    <n v="-1"/>
  </r>
  <r>
    <x v="517"/>
    <x v="27"/>
    <n v="30.57"/>
    <n v="31.3"/>
    <n v="30.25"/>
    <n v="30.29"/>
    <x v="2351"/>
    <n v="-0.25"/>
    <n v="942"/>
    <n v="0"/>
    <n v="11029"/>
    <x v="141"/>
    <n v="180"/>
    <s v="X (Nov 20)"/>
    <d v="2020-11-18T00:00:00"/>
    <n v="-1"/>
  </r>
  <r>
    <x v="517"/>
    <x v="32"/>
    <n v="30.8"/>
    <n v="32.549999999999997"/>
    <n v="30.14"/>
    <n v="30.24"/>
    <x v="2351"/>
    <n v="-0.65"/>
    <n v="55867"/>
    <n v="0"/>
    <n v="100260"/>
    <x v="133"/>
    <n v="26"/>
    <s v="M (Jun 20)"/>
    <d v="2020-06-17T00:00:00"/>
    <n v="-1"/>
  </r>
  <r>
    <x v="517"/>
    <x v="29"/>
    <n v="31.29"/>
    <n v="32.299999999999997"/>
    <n v="30.95"/>
    <n v="30.95"/>
    <x v="2440"/>
    <n v="-0.375"/>
    <n v="2340"/>
    <n v="0"/>
    <n v="17173"/>
    <x v="97"/>
    <n v="117"/>
    <s v="U (Sep 20)"/>
    <d v="2020-09-16T00:00:00"/>
    <n v="-1"/>
  </r>
  <r>
    <x v="518"/>
    <x v="31"/>
    <n v="30.3"/>
    <n v="31.7"/>
    <n v="30.25"/>
    <n v="31.48"/>
    <x v="2407"/>
    <n v="1.05"/>
    <n v="31957"/>
    <n v="5"/>
    <n v="41404"/>
    <x v="143"/>
    <n v="62"/>
    <s v="N (Jul 20)"/>
    <d v="2020-07-22T00:00:00"/>
    <n v="-1"/>
  </r>
  <r>
    <x v="518"/>
    <x v="28"/>
    <n v="31.65"/>
    <n v="32.65"/>
    <n v="31.55"/>
    <n v="32.57"/>
    <x v="2472"/>
    <n v="0.85"/>
    <n v="2200"/>
    <n v="0"/>
    <n v="16445"/>
    <x v="146"/>
    <n v="153"/>
    <s v="V (Oct 20)"/>
    <d v="2020-10-21T00:00:00"/>
    <n v="-1"/>
  </r>
  <r>
    <x v="518"/>
    <x v="30"/>
    <n v="30.2"/>
    <n v="31.26"/>
    <n v="30.14"/>
    <n v="31.1"/>
    <x v="2363"/>
    <n v="0.9"/>
    <n v="5846"/>
    <n v="0"/>
    <n v="16279"/>
    <x v="148"/>
    <n v="90"/>
    <s v="Q (Aug 20)"/>
    <d v="2020-08-19T00:00:00"/>
    <n v="-1"/>
  </r>
  <r>
    <x v="518"/>
    <x v="27"/>
    <n v="29.81"/>
    <n v="30.65"/>
    <n v="29.7"/>
    <n v="30.57"/>
    <x v="2425"/>
    <n v="0.7"/>
    <n v="1015"/>
    <n v="0"/>
    <n v="10807"/>
    <x v="147"/>
    <n v="181"/>
    <s v="X (Nov 20)"/>
    <d v="2020-11-18T00:00:00"/>
    <n v="-1"/>
  </r>
  <r>
    <x v="518"/>
    <x v="32"/>
    <n v="29.6"/>
    <n v="31.3"/>
    <n v="29.45"/>
    <n v="30.85"/>
    <x v="2384"/>
    <n v="1.25"/>
    <n v="64746"/>
    <n v="107"/>
    <n v="104255"/>
    <x v="136"/>
    <n v="27"/>
    <s v="M (Jun 20)"/>
    <d v="2020-06-17T00:00:00"/>
    <n v="-1"/>
  </r>
  <r>
    <x v="518"/>
    <x v="29"/>
    <n v="30.45"/>
    <n v="31.5"/>
    <n v="30.44"/>
    <n v="31.41"/>
    <x v="2419"/>
    <n v="0.9"/>
    <n v="2656"/>
    <n v="0"/>
    <n v="17146"/>
    <x v="100"/>
    <n v="118"/>
    <s v="U (Sep 20)"/>
    <d v="2020-09-16T00:00:00"/>
    <n v="-1"/>
  </r>
  <r>
    <x v="518"/>
    <x v="26"/>
    <n v="28.8"/>
    <n v="29.55"/>
    <n v="28.77"/>
    <n v="29.37"/>
    <x v="4"/>
    <n v="0.6"/>
    <n v="685"/>
    <n v="0"/>
    <n v="1476"/>
    <x v="102"/>
    <n v="209"/>
    <s v="Z (Dec 20)"/>
    <d v="2020-12-16T00:00:00"/>
    <n v="-1"/>
  </r>
  <r>
    <x v="518"/>
    <x v="25"/>
    <n v="29.12"/>
    <n v="29.5"/>
    <n v="28.9"/>
    <n v="29.5"/>
    <x v="188"/>
    <n v="0.625"/>
    <n v="30"/>
    <n v="0"/>
    <n v="70"/>
    <x v="144"/>
    <n v="244"/>
    <s v="F (Jan 21)"/>
    <d v="2021-01-20T00:00:00"/>
    <n v="-1"/>
  </r>
  <r>
    <x v="519"/>
    <x v="26"/>
    <n v="29.45"/>
    <n v="29.6"/>
    <n v="28.6"/>
    <n v="28.8"/>
    <x v="100"/>
    <n v="-0.67500000000000004"/>
    <n v="565"/>
    <n v="0"/>
    <n v="1175"/>
    <x v="108"/>
    <n v="210"/>
    <s v="Z (Dec 20)"/>
    <d v="2020-12-16T00:00:00"/>
    <n v="-1"/>
  </r>
  <r>
    <x v="519"/>
    <x v="25"/>
    <n v="29.23"/>
    <n v="29.75"/>
    <n v="28.77"/>
    <n v="28.85"/>
    <x v="100"/>
    <n v="-0.92500000000000004"/>
    <n v="59"/>
    <n v="0"/>
    <n v="58"/>
    <x v="155"/>
    <n v="245"/>
    <s v="F (Jan 21)"/>
    <d v="2021-01-20T00:00:00"/>
    <n v="-1"/>
  </r>
  <r>
    <x v="519"/>
    <x v="31"/>
    <n v="31.78"/>
    <n v="32.020000000000003"/>
    <n v="30.17"/>
    <n v="30.35"/>
    <x v="2368"/>
    <n v="-1.2"/>
    <n v="37037"/>
    <n v="0"/>
    <n v="40009"/>
    <x v="154"/>
    <n v="63"/>
    <s v="N (Jul 20)"/>
    <d v="2020-07-22T00:00:00"/>
    <n v="-1"/>
  </r>
  <r>
    <x v="519"/>
    <x v="28"/>
    <n v="32.65"/>
    <n v="32.65"/>
    <n v="31.4"/>
    <n v="31.7"/>
    <x v="2434"/>
    <n v="-0.85"/>
    <n v="3151"/>
    <n v="0"/>
    <n v="16418"/>
    <x v="157"/>
    <n v="154"/>
    <s v="V (Oct 20)"/>
    <d v="2020-10-21T00:00:00"/>
    <n v="-1"/>
  </r>
  <r>
    <x v="519"/>
    <x v="33"/>
    <n v="30.8"/>
    <n v="31.13"/>
    <n v="28.7"/>
    <n v="28.7"/>
    <x v="2473"/>
    <n v="-2.64"/>
    <n v="452"/>
    <n v="0"/>
    <n v="29539"/>
    <x v="145"/>
    <n v="0"/>
    <s v="K (May 20)"/>
    <d v="2020-05-20T00:00:00"/>
    <n v="-1"/>
  </r>
  <r>
    <x v="519"/>
    <x v="30"/>
    <n v="31.28"/>
    <n v="31.46"/>
    <n v="29.9"/>
    <n v="30.17"/>
    <x v="2380"/>
    <n v="-0.95"/>
    <n v="7738"/>
    <n v="0"/>
    <n v="16088"/>
    <x v="151"/>
    <n v="91"/>
    <s v="Q (Aug 20)"/>
    <d v="2020-08-19T00:00:00"/>
    <n v="-1"/>
  </r>
  <r>
    <x v="519"/>
    <x v="27"/>
    <n v="30.85"/>
    <n v="30.85"/>
    <n v="29.55"/>
    <n v="29.8"/>
    <x v="2378"/>
    <n v="-0.82499999999999996"/>
    <n v="1551"/>
    <n v="0"/>
    <n v="10812"/>
    <x v="158"/>
    <n v="182"/>
    <s v="X (Nov 20)"/>
    <d v="2020-11-18T00:00:00"/>
    <n v="-1"/>
  </r>
  <r>
    <x v="519"/>
    <x v="32"/>
    <n v="32.049999999999997"/>
    <n v="32.4"/>
    <n v="29.5"/>
    <n v="29.5"/>
    <x v="2374"/>
    <n v="-2.2999999999999998"/>
    <n v="90969"/>
    <n v="850"/>
    <n v="110040"/>
    <x v="150"/>
    <n v="28"/>
    <s v="M (Jun 20)"/>
    <d v="2020-06-17T00:00:00"/>
    <n v="-1"/>
  </r>
  <r>
    <x v="519"/>
    <x v="29"/>
    <n v="31.7"/>
    <n v="31.7"/>
    <n v="30.2"/>
    <n v="30.5"/>
    <x v="2368"/>
    <n v="-1"/>
    <n v="4582"/>
    <n v="0"/>
    <n v="17287"/>
    <x v="115"/>
    <n v="119"/>
    <s v="U (Sep 20)"/>
    <d v="2020-09-16T00:00:00"/>
    <n v="-1"/>
  </r>
  <r>
    <x v="520"/>
    <x v="31"/>
    <n v="30.45"/>
    <n v="31.82"/>
    <n v="29.89"/>
    <n v="31.65"/>
    <x v="2434"/>
    <n v="1.375"/>
    <n v="15586"/>
    <n v="0"/>
    <n v="35444"/>
    <x v="159"/>
    <n v="64"/>
    <s v="N (Jul 20)"/>
    <d v="2020-07-22T00:00:00"/>
    <n v="-1"/>
  </r>
  <r>
    <x v="520"/>
    <x v="28"/>
    <n v="31.6"/>
    <n v="32.65"/>
    <n v="31.18"/>
    <n v="32.520000000000003"/>
    <x v="2472"/>
    <n v="1.05"/>
    <n v="2123"/>
    <n v="0"/>
    <n v="16023"/>
    <x v="162"/>
    <n v="155"/>
    <s v="V (Oct 20)"/>
    <d v="2020-10-21T00:00:00"/>
    <n v="-1"/>
  </r>
  <r>
    <x v="520"/>
    <x v="33"/>
    <n v="29.05"/>
    <n v="31.15"/>
    <n v="28.05"/>
    <n v="30.6"/>
    <x v="2459"/>
    <n v="1.825"/>
    <n v="46570"/>
    <n v="55"/>
    <n v="31324"/>
    <x v="156"/>
    <n v="1"/>
    <s v="K (May 20)"/>
    <d v="2020-05-20T00:00:00"/>
    <n v="-1"/>
  </r>
  <r>
    <x v="520"/>
    <x v="30"/>
    <n v="30.2"/>
    <n v="31.35"/>
    <n v="29.72"/>
    <n v="31.2"/>
    <x v="2420"/>
    <n v="1.05"/>
    <n v="6609"/>
    <n v="0"/>
    <n v="16264"/>
    <x v="164"/>
    <n v="92"/>
    <s v="Q (Aug 20)"/>
    <d v="2020-08-19T00:00:00"/>
    <n v="-1"/>
  </r>
  <r>
    <x v="520"/>
    <x v="27"/>
    <n v="29.6"/>
    <n v="30.75"/>
    <n v="29.27"/>
    <n v="30.67"/>
    <x v="2459"/>
    <n v="1.125"/>
    <n v="1647"/>
    <n v="0"/>
    <n v="10676"/>
    <x v="163"/>
    <n v="183"/>
    <s v="X (Nov 20)"/>
    <d v="2020-11-18T00:00:00"/>
    <n v="-1"/>
  </r>
  <r>
    <x v="520"/>
    <x v="32"/>
    <n v="30.2"/>
    <n v="32.15"/>
    <n v="29.55"/>
    <n v="32.049999999999997"/>
    <x v="2367"/>
    <n v="1.9750000000000001"/>
    <n v="69392"/>
    <n v="1333"/>
    <n v="113484"/>
    <x v="153"/>
    <n v="29"/>
    <s v="M (Jun 20)"/>
    <d v="2020-06-17T00:00:00"/>
    <n v="-1"/>
  </r>
  <r>
    <x v="520"/>
    <x v="29"/>
    <n v="30.7"/>
    <n v="31.6"/>
    <n v="30.06"/>
    <n v="31.49"/>
    <x v="2326"/>
    <n v="1.05"/>
    <n v="4548"/>
    <n v="0"/>
    <n v="17188"/>
    <x v="118"/>
    <n v="120"/>
    <s v="U (Sep 20)"/>
    <d v="2020-09-16T00:00:00"/>
    <n v="-1"/>
  </r>
  <r>
    <x v="520"/>
    <x v="26"/>
    <n v="28.85"/>
    <n v="29.65"/>
    <n v="28.5"/>
    <n v="29.61"/>
    <x v="2190"/>
    <n v="0.97499999999999998"/>
    <n v="412"/>
    <n v="0"/>
    <n v="1132"/>
    <x v="120"/>
    <n v="211"/>
    <s v="Z (Dec 20)"/>
    <d v="2020-12-16T00:00:00"/>
    <n v="-1"/>
  </r>
  <r>
    <x v="520"/>
    <x v="25"/>
    <n v="29.25"/>
    <n v="29.75"/>
    <n v="28.8"/>
    <n v="29.45"/>
    <x v="2182"/>
    <n v="0.97499999999999998"/>
    <n v="15"/>
    <n v="0"/>
    <n v="13"/>
    <x v="160"/>
    <n v="246"/>
    <s v="F (Jan 21)"/>
    <d v="2021-01-20T00:00:00"/>
    <n v="-1"/>
  </r>
  <r>
    <x v="521"/>
    <x v="26"/>
    <n v="29.55"/>
    <n v="29.8"/>
    <n v="28.4"/>
    <n v="28.65"/>
    <x v="88"/>
    <n v="-1.425"/>
    <n v="185"/>
    <n v="0"/>
    <n v="792"/>
    <x v="126"/>
    <n v="212"/>
    <s v="Z (Dec 20)"/>
    <d v="2020-12-16T00:00:00"/>
    <n v="-1"/>
  </r>
  <r>
    <x v="521"/>
    <x v="25"/>
    <n v="29.05"/>
    <n v="30.2"/>
    <n v="28.95"/>
    <n v="29"/>
    <x v="2357"/>
    <n v="-0.25"/>
    <n v="3"/>
    <n v="0"/>
    <n v="6"/>
    <x v="171"/>
    <n v="247"/>
    <s v="F (Jan 21)"/>
    <d v="2021-01-20T00:00:00"/>
    <n v="-1"/>
  </r>
  <r>
    <x v="521"/>
    <x v="31"/>
    <n v="32.31"/>
    <n v="32.56"/>
    <n v="30.23"/>
    <n v="30.47"/>
    <x v="2474"/>
    <n v="-2.1749999999999998"/>
    <n v="12467"/>
    <n v="0"/>
    <n v="34706"/>
    <x v="170"/>
    <n v="65"/>
    <s v="N (Jul 20)"/>
    <d v="2020-07-22T00:00:00"/>
    <n v="-1"/>
  </r>
  <r>
    <x v="521"/>
    <x v="28"/>
    <n v="33.200000000000003"/>
    <n v="33.25"/>
    <n v="31.4"/>
    <n v="31.61"/>
    <x v="2326"/>
    <n v="-1.75"/>
    <n v="2827"/>
    <n v="0"/>
    <n v="15959"/>
    <x v="172"/>
    <n v="156"/>
    <s v="V (Oct 20)"/>
    <d v="2020-10-21T00:00:00"/>
    <n v="-1"/>
  </r>
  <r>
    <x v="521"/>
    <x v="33"/>
    <n v="31.9"/>
    <n v="32.25"/>
    <n v="28.4"/>
    <n v="29.1"/>
    <x v="100"/>
    <n v="-3.2"/>
    <n v="39205"/>
    <n v="130"/>
    <n v="37361"/>
    <x v="161"/>
    <n v="2"/>
    <s v="K (May 20)"/>
    <d v="2020-05-20T00:00:00"/>
    <n v="-1"/>
  </r>
  <r>
    <x v="521"/>
    <x v="30"/>
    <n v="32"/>
    <n v="32.049999999999997"/>
    <n v="30"/>
    <n v="30.27"/>
    <x v="2356"/>
    <n v="-1.85"/>
    <n v="5596"/>
    <n v="0"/>
    <n v="15881"/>
    <x v="167"/>
    <n v="93"/>
    <s v="Q (Aug 20)"/>
    <d v="2020-08-19T00:00:00"/>
    <n v="-1"/>
  </r>
  <r>
    <x v="521"/>
    <x v="27"/>
    <n v="31.12"/>
    <n v="31.12"/>
    <n v="29.4"/>
    <n v="29.65"/>
    <x v="2330"/>
    <n v="-1.675"/>
    <n v="1919"/>
    <n v="0"/>
    <n v="10263"/>
    <x v="173"/>
    <n v="184"/>
    <s v="X (Nov 20)"/>
    <d v="2020-11-18T00:00:00"/>
    <n v="-1"/>
  </r>
  <r>
    <x v="521"/>
    <x v="32"/>
    <n v="32.67"/>
    <n v="32.75"/>
    <n v="29.77"/>
    <n v="30.21"/>
    <x v="2458"/>
    <n v="-2.625"/>
    <n v="60327"/>
    <n v="1496"/>
    <n v="105635"/>
    <x v="166"/>
    <n v="30"/>
    <s v="M (Jun 20)"/>
    <d v="2020-06-17T00:00:00"/>
    <n v="-1"/>
  </r>
  <r>
    <x v="521"/>
    <x v="29"/>
    <n v="32.270000000000003"/>
    <n v="32.33"/>
    <n v="30.39"/>
    <n v="30.55"/>
    <x v="2393"/>
    <n v="-1.85"/>
    <n v="3986"/>
    <n v="0"/>
    <n v="16601"/>
    <x v="132"/>
    <n v="121"/>
    <s v="U (Sep 20)"/>
    <d v="2020-09-16T00:00:00"/>
    <n v="-1"/>
  </r>
  <r>
    <x v="522"/>
    <x v="31"/>
    <n v="32.799999999999997"/>
    <n v="34.25"/>
    <n v="32.15"/>
    <n v="32.6"/>
    <x v="2342"/>
    <n v="-0.05"/>
    <n v="12562"/>
    <n v="0"/>
    <n v="34345"/>
    <x v="6"/>
    <n v="68"/>
    <s v="N (Jul 20)"/>
    <d v="2020-07-22T00:00:00"/>
    <n v="-1"/>
  </r>
  <r>
    <x v="522"/>
    <x v="28"/>
    <n v="33.1"/>
    <n v="34.15"/>
    <n v="32.93"/>
    <n v="33.22"/>
    <x v="2386"/>
    <n v="0.17499999999999999"/>
    <n v="2723"/>
    <n v="0"/>
    <n v="15982"/>
    <x v="0"/>
    <n v="159"/>
    <s v="V (Oct 20)"/>
    <d v="2020-10-21T00:00:00"/>
    <n v="-1"/>
  </r>
  <r>
    <x v="522"/>
    <x v="33"/>
    <n v="32.75"/>
    <n v="35.1"/>
    <n v="31.45"/>
    <n v="32.119999999999997"/>
    <x v="2415"/>
    <n v="-0.25"/>
    <n v="62016"/>
    <n v="1138"/>
    <n v="40471"/>
    <x v="8"/>
    <n v="5"/>
    <s v="K (May 20)"/>
    <d v="2020-05-20T00:00:00"/>
    <n v="-1"/>
  </r>
  <r>
    <x v="522"/>
    <x v="30"/>
    <n v="32.049999999999997"/>
    <n v="33.4"/>
    <n v="31.82"/>
    <n v="32.04"/>
    <x v="2367"/>
    <n v="2.5000000000000001E-2"/>
    <n v="8569"/>
    <n v="0"/>
    <n v="15892"/>
    <x v="175"/>
    <n v="96"/>
    <s v="Q (Aug 20)"/>
    <d v="2020-08-19T00:00:00"/>
    <n v="-1"/>
  </r>
  <r>
    <x v="522"/>
    <x v="27"/>
    <n v="30.88"/>
    <n v="31.8"/>
    <n v="30.65"/>
    <n v="31.15"/>
    <x v="2475"/>
    <n v="0.47499999999999998"/>
    <n v="1414"/>
    <n v="0"/>
    <n v="9917"/>
    <x v="174"/>
    <n v="187"/>
    <s v="X (Nov 20)"/>
    <d v="2020-11-18T00:00:00"/>
    <n v="-1"/>
  </r>
  <r>
    <x v="522"/>
    <x v="32"/>
    <n v="33.15"/>
    <n v="35.15"/>
    <n v="32.25"/>
    <n v="32.67"/>
    <x v="2476"/>
    <n v="-0.2"/>
    <n v="62382"/>
    <n v="1012"/>
    <n v="99688"/>
    <x v="169"/>
    <n v="33"/>
    <s v="M (Jun 20)"/>
    <d v="2020-06-17T00:00:00"/>
    <n v="-1"/>
  </r>
  <r>
    <x v="522"/>
    <x v="29"/>
    <n v="32.229999999999997"/>
    <n v="33.299999999999997"/>
    <n v="31.88"/>
    <n v="32.25"/>
    <x v="2347"/>
    <n v="0.25"/>
    <n v="5238"/>
    <n v="0"/>
    <n v="16733"/>
    <x v="135"/>
    <n v="124"/>
    <s v="U (Sep 20)"/>
    <d v="2020-09-16T00:00:00"/>
    <n v="-1"/>
  </r>
  <r>
    <x v="522"/>
    <x v="26"/>
    <n v="29.7"/>
    <n v="30.45"/>
    <n v="29.5"/>
    <n v="30.1"/>
    <x v="2412"/>
    <n v="0.4"/>
    <n v="115"/>
    <n v="0"/>
    <n v="706"/>
    <x v="137"/>
    <n v="215"/>
    <s v="Z (Dec 20)"/>
    <d v="2020-12-16T00:00:00"/>
    <n v="-1"/>
  </r>
  <r>
    <x v="523"/>
    <x v="26"/>
    <n v="29.9"/>
    <n v="31.55"/>
    <n v="29.55"/>
    <n v="29.67"/>
    <x v="2188"/>
    <n v="-0.45"/>
    <n v="261"/>
    <n v="0"/>
    <n v="757"/>
    <x v="142"/>
    <n v="216"/>
    <s v="Z (Dec 20)"/>
    <d v="2020-12-16T00:00:00"/>
    <n v="-1"/>
  </r>
  <r>
    <x v="523"/>
    <x v="31"/>
    <n v="33.299999999999997"/>
    <n v="35.9"/>
    <n v="32.5"/>
    <n v="32.75"/>
    <x v="2472"/>
    <n v="-1.2"/>
    <n v="16095"/>
    <n v="0"/>
    <n v="34062"/>
    <x v="9"/>
    <n v="69"/>
    <s v="N (Jul 20)"/>
    <d v="2020-07-22T00:00:00"/>
    <n v="-1"/>
  </r>
  <r>
    <x v="523"/>
    <x v="28"/>
    <n v="33.5"/>
    <n v="35.200000000000003"/>
    <n v="32.97"/>
    <n v="33.200000000000003"/>
    <x v="2477"/>
    <n v="-0.625"/>
    <n v="3586"/>
    <n v="0"/>
    <n v="15972"/>
    <x v="12"/>
    <n v="160"/>
    <s v="V (Oct 20)"/>
    <d v="2020-10-21T00:00:00"/>
    <n v="-1"/>
  </r>
  <r>
    <x v="523"/>
    <x v="33"/>
    <n v="34.450000000000003"/>
    <n v="38.35"/>
    <n v="32.29"/>
    <n v="32.76"/>
    <x v="2347"/>
    <n v="-2.7"/>
    <n v="77645"/>
    <n v="64"/>
    <n v="43879"/>
    <x v="11"/>
    <n v="6"/>
    <s v="K (May 20)"/>
    <d v="2020-05-20T00:00:00"/>
    <n v="-1"/>
  </r>
  <r>
    <x v="523"/>
    <x v="30"/>
    <n v="32.36"/>
    <n v="34.450000000000003"/>
    <n v="31.85"/>
    <n v="32.07"/>
    <x v="2478"/>
    <n v="-0.625"/>
    <n v="10321"/>
    <n v="0"/>
    <n v="16027"/>
    <x v="177"/>
    <n v="97"/>
    <s v="Q (Aug 20)"/>
    <d v="2020-08-19T00:00:00"/>
    <n v="-1"/>
  </r>
  <r>
    <x v="523"/>
    <x v="27"/>
    <n v="31.29"/>
    <n v="32.75"/>
    <n v="30.65"/>
    <n v="30.76"/>
    <x v="2332"/>
    <n v="-0.6"/>
    <n v="1785"/>
    <n v="0"/>
    <n v="9888"/>
    <x v="179"/>
    <n v="188"/>
    <s v="X (Nov 20)"/>
    <d v="2020-11-18T00:00:00"/>
    <n v="-1"/>
  </r>
  <r>
    <x v="523"/>
    <x v="32"/>
    <n v="34.25"/>
    <n v="37.57"/>
    <n v="32.79"/>
    <n v="33.17"/>
    <x v="2381"/>
    <n v="-2"/>
    <n v="76794"/>
    <n v="336"/>
    <n v="93015"/>
    <x v="176"/>
    <n v="34"/>
    <s v="M (Jun 20)"/>
    <d v="2020-06-17T00:00:00"/>
    <n v="-1"/>
  </r>
  <r>
    <x v="523"/>
    <x v="29"/>
    <n v="32.25"/>
    <n v="34.25"/>
    <n v="31.93"/>
    <n v="32.18"/>
    <x v="2415"/>
    <n v="-0.47499999999999998"/>
    <n v="5402"/>
    <n v="0"/>
    <n v="16770"/>
    <x v="149"/>
    <n v="125"/>
    <s v="U (Sep 20)"/>
    <d v="2020-09-16T00:00:00"/>
    <n v="-1"/>
  </r>
  <r>
    <x v="524"/>
    <x v="31"/>
    <n v="32.4"/>
    <n v="34.549999999999997"/>
    <n v="30.79"/>
    <n v="33.44"/>
    <x v="2479"/>
    <n v="1.5"/>
    <n v="23489"/>
    <n v="0"/>
    <n v="33926"/>
    <x v="24"/>
    <n v="70"/>
    <s v="N (Jul 20)"/>
    <d v="2020-07-22T00:00:00"/>
    <n v="-1"/>
  </r>
  <r>
    <x v="524"/>
    <x v="28"/>
    <n v="33"/>
    <n v="34.299999999999997"/>
    <n v="31.8"/>
    <n v="33.51"/>
    <x v="2480"/>
    <n v="1.05"/>
    <n v="2994"/>
    <n v="0"/>
    <n v="15888"/>
    <x v="18"/>
    <n v="161"/>
    <s v="V (Oct 20)"/>
    <d v="2020-10-21T00:00:00"/>
    <n v="-1"/>
  </r>
  <r>
    <x v="524"/>
    <x v="33"/>
    <n v="33.200000000000003"/>
    <n v="36.950000000000003"/>
    <n v="30.43"/>
    <n v="34.49"/>
    <x v="2462"/>
    <n v="2"/>
    <n v="97690"/>
    <n v="180"/>
    <n v="46406"/>
    <x v="26"/>
    <n v="7"/>
    <s v="K (May 20)"/>
    <d v="2020-05-20T00:00:00"/>
    <n v="-1"/>
  </r>
  <r>
    <x v="524"/>
    <x v="30"/>
    <n v="31.9"/>
    <n v="33.21"/>
    <n v="30.39"/>
    <n v="32.4"/>
    <x v="2395"/>
    <n v="0.97499999999999998"/>
    <n v="15592"/>
    <n v="0"/>
    <n v="15375"/>
    <x v="181"/>
    <n v="98"/>
    <s v="Q (Aug 20)"/>
    <d v="2020-08-19T00:00:00"/>
    <n v="-1"/>
  </r>
  <r>
    <x v="524"/>
    <x v="27"/>
    <n v="30.6"/>
    <n v="32.11"/>
    <n v="29.65"/>
    <n v="31.22"/>
    <x v="2329"/>
    <n v="0.95"/>
    <n v="1822"/>
    <n v="0"/>
    <n v="9905"/>
    <x v="180"/>
    <n v="189"/>
    <s v="X (Nov 20)"/>
    <d v="2020-11-18T00:00:00"/>
    <n v="-1"/>
  </r>
  <r>
    <x v="524"/>
    <x v="32"/>
    <n v="32.85"/>
    <n v="36.049999999999997"/>
    <n v="30.85"/>
    <n v="34.369999999999997"/>
    <x v="2481"/>
    <n v="2"/>
    <n v="108803"/>
    <n v="720"/>
    <n v="90491"/>
    <x v="178"/>
    <n v="35"/>
    <s v="M (Jun 20)"/>
    <d v="2020-06-17T00:00:00"/>
    <n v="-1"/>
  </r>
  <r>
    <x v="524"/>
    <x v="29"/>
    <n v="32.1"/>
    <n v="33.119999999999997"/>
    <n v="30.6"/>
    <n v="32.33"/>
    <x v="2482"/>
    <n v="0.95"/>
    <n v="6005"/>
    <n v="0"/>
    <n v="16778"/>
    <x v="152"/>
    <n v="126"/>
    <s v="U (Sep 20)"/>
    <d v="2020-09-16T00:00:00"/>
    <n v="-1"/>
  </r>
  <r>
    <x v="524"/>
    <x v="26"/>
    <n v="29.5"/>
    <n v="30.75"/>
    <n v="28.75"/>
    <n v="30.2"/>
    <x v="2458"/>
    <n v="0.8"/>
    <n v="375"/>
    <n v="0"/>
    <n v="694"/>
    <x v="3"/>
    <n v="217"/>
    <s v="Z (Dec 20)"/>
    <d v="2020-12-16T00:00:00"/>
    <n v="-1"/>
  </r>
  <r>
    <x v="525"/>
    <x v="26"/>
    <n v="27.6"/>
    <n v="29.4"/>
    <n v="27"/>
    <n v="29.35"/>
    <x v="180"/>
    <n v="1.85"/>
    <n v="160"/>
    <n v="0"/>
    <n v="497"/>
    <x v="15"/>
    <n v="218"/>
    <s v="Z (Dec 20)"/>
    <d v="2020-12-16T00:00:00"/>
    <n v="-1"/>
  </r>
  <r>
    <x v="525"/>
    <x v="31"/>
    <n v="29.55"/>
    <n v="32.65"/>
    <n v="28.62"/>
    <n v="32.549999999999997"/>
    <x v="2435"/>
    <n v="2.9"/>
    <n v="15840"/>
    <n v="0"/>
    <n v="32404"/>
    <x v="27"/>
    <n v="71"/>
    <s v="N (Jul 20)"/>
    <d v="2020-07-22T00:00:00"/>
    <n v="-1"/>
  </r>
  <r>
    <x v="525"/>
    <x v="28"/>
    <n v="30.64"/>
    <n v="32.97"/>
    <n v="29.95"/>
    <n v="32.950000000000003"/>
    <x v="2476"/>
    <n v="2.1749999999999998"/>
    <n v="2530"/>
    <n v="0"/>
    <n v="15946"/>
    <x v="35"/>
    <n v="162"/>
    <s v="V (Oct 20)"/>
    <d v="2020-10-21T00:00:00"/>
    <n v="-1"/>
  </r>
  <r>
    <x v="525"/>
    <x v="33"/>
    <n v="28"/>
    <n v="33.4"/>
    <n v="26.5"/>
    <n v="33.25"/>
    <x v="2447"/>
    <n v="5.25"/>
    <n v="58848"/>
    <n v="116"/>
    <n v="53220"/>
    <x v="29"/>
    <n v="8"/>
    <s v="K (May 20)"/>
    <d v="2020-05-20T00:00:00"/>
    <n v="-1"/>
  </r>
  <r>
    <x v="525"/>
    <x v="30"/>
    <n v="29.34"/>
    <n v="32.049999999999997"/>
    <n v="28.55"/>
    <n v="31.94"/>
    <x v="2461"/>
    <n v="2.4249999999999998"/>
    <n v="9491"/>
    <n v="0"/>
    <n v="14487"/>
    <x v="183"/>
    <n v="99"/>
    <s v="Q (Aug 20)"/>
    <d v="2020-08-19T00:00:00"/>
    <n v="-1"/>
  </r>
  <r>
    <x v="525"/>
    <x v="27"/>
    <n v="28.44"/>
    <n v="30.65"/>
    <n v="27.95"/>
    <n v="30.65"/>
    <x v="2375"/>
    <n v="2.0499999999999998"/>
    <n v="1634"/>
    <n v="0"/>
    <n v="9724"/>
    <x v="185"/>
    <n v="190"/>
    <s v="X (Nov 20)"/>
    <d v="2020-11-18T00:00:00"/>
    <n v="-1"/>
  </r>
  <r>
    <x v="525"/>
    <x v="32"/>
    <n v="29.25"/>
    <n v="33.119999999999997"/>
    <n v="27.95"/>
    <n v="33.04"/>
    <x v="2381"/>
    <n v="3.9"/>
    <n v="69408"/>
    <n v="368"/>
    <n v="89416"/>
    <x v="182"/>
    <n v="36"/>
    <s v="M (Jun 20)"/>
    <d v="2020-06-17T00:00:00"/>
    <n v="-1"/>
  </r>
  <r>
    <x v="525"/>
    <x v="29"/>
    <n v="29.46"/>
    <n v="31.97"/>
    <n v="28.79"/>
    <n v="31.92"/>
    <x v="2483"/>
    <n v="2.2749999999999999"/>
    <n v="5264"/>
    <n v="0"/>
    <n v="16019"/>
    <x v="165"/>
    <n v="127"/>
    <s v="U (Sep 20)"/>
    <d v="2020-09-16T00:00:00"/>
    <n v="-1"/>
  </r>
  <r>
    <x v="526"/>
    <x v="31"/>
    <n v="30.81"/>
    <n v="31.57"/>
    <n v="29.25"/>
    <n v="29.55"/>
    <x v="2394"/>
    <n v="-1.1499999999999999"/>
    <n v="10479"/>
    <n v="0"/>
    <n v="33553"/>
    <x v="42"/>
    <n v="72"/>
    <s v="N (Jul 20)"/>
    <d v="2020-07-22T00:00:00"/>
    <n v="-1"/>
  </r>
  <r>
    <x v="526"/>
    <x v="28"/>
    <n v="31.05"/>
    <n v="31.75"/>
    <n v="30.43"/>
    <n v="30.64"/>
    <x v="2439"/>
    <n v="-0.52500000000000002"/>
    <n v="2288"/>
    <n v="0"/>
    <n v="15853"/>
    <x v="41"/>
    <n v="163"/>
    <s v="V (Oct 20)"/>
    <d v="2020-10-21T00:00:00"/>
    <n v="-1"/>
  </r>
  <r>
    <x v="526"/>
    <x v="33"/>
    <n v="30"/>
    <n v="31.65"/>
    <n v="27.5"/>
    <n v="28.08"/>
    <x v="232"/>
    <n v="-1.5"/>
    <n v="51859"/>
    <n v="301"/>
    <n v="58194"/>
    <x v="44"/>
    <n v="9"/>
    <s v="K (May 20)"/>
    <d v="2020-05-20T00:00:00"/>
    <n v="-1"/>
  </r>
  <r>
    <x v="526"/>
    <x v="30"/>
    <n v="30.39"/>
    <n v="30.97"/>
    <n v="29.17"/>
    <n v="29.35"/>
    <x v="2352"/>
    <n v="-0.875"/>
    <n v="6686"/>
    <n v="0"/>
    <n v="14299"/>
    <x v="7"/>
    <n v="100"/>
    <s v="Q (Aug 20)"/>
    <d v="2020-08-19T00:00:00"/>
    <n v="-1"/>
  </r>
  <r>
    <x v="526"/>
    <x v="27"/>
    <n v="28.92"/>
    <n v="29.51"/>
    <n v="28.3"/>
    <n v="28.51"/>
    <x v="113"/>
    <n v="-0.52500000000000002"/>
    <n v="967"/>
    <n v="0"/>
    <n v="9609"/>
    <x v="1"/>
    <n v="191"/>
    <s v="X (Nov 20)"/>
    <d v="2020-11-18T00:00:00"/>
    <n v="-1"/>
  </r>
  <r>
    <x v="526"/>
    <x v="32"/>
    <n v="30.9"/>
    <n v="32.08"/>
    <n v="28.75"/>
    <n v="29.28"/>
    <x v="2176"/>
    <n v="-1.7"/>
    <n v="51211"/>
    <n v="780"/>
    <n v="80958"/>
    <x v="184"/>
    <n v="37"/>
    <s v="M (Jun 20)"/>
    <d v="2020-06-17T00:00:00"/>
    <n v="-1"/>
  </r>
  <r>
    <x v="526"/>
    <x v="29"/>
    <n v="30.1"/>
    <n v="30.75"/>
    <n v="29.25"/>
    <n v="29.46"/>
    <x v="135"/>
    <n v="-0.7"/>
    <n v="2761"/>
    <n v="0"/>
    <n v="16441"/>
    <x v="168"/>
    <n v="128"/>
    <s v="U (Sep 20)"/>
    <d v="2020-09-16T00:00:00"/>
    <n v="-1"/>
  </r>
  <r>
    <x v="526"/>
    <x v="26"/>
    <n v="27.65"/>
    <n v="28.4"/>
    <n v="27.4"/>
    <n v="27.52"/>
    <x v="262"/>
    <n v="-0.4"/>
    <n v="132"/>
    <n v="0"/>
    <n v="450"/>
    <x v="21"/>
    <n v="219"/>
    <s v="Z (Dec 20)"/>
    <d v="2020-12-16T00:00:00"/>
    <n v="-1"/>
  </r>
  <r>
    <x v="527"/>
    <x v="26"/>
    <n v="28.46"/>
    <n v="28.65"/>
    <n v="27.75"/>
    <n v="27.85"/>
    <x v="151"/>
    <n v="-0.82499999999999996"/>
    <n v="33"/>
    <n v="0"/>
    <n v="389"/>
    <x v="32"/>
    <n v="222"/>
    <s v="Z (Dec 20)"/>
    <d v="2020-12-16T00:00:00"/>
    <n v="-1"/>
  </r>
  <r>
    <x v="527"/>
    <x v="31"/>
    <n v="32.200000000000003"/>
    <n v="32.25"/>
    <n v="30.5"/>
    <n v="30.55"/>
    <x v="2368"/>
    <n v="-1.5"/>
    <n v="8161"/>
    <n v="0"/>
    <n v="32649"/>
    <x v="45"/>
    <n v="75"/>
    <s v="N (Jul 20)"/>
    <d v="2020-07-22T00:00:00"/>
    <n v="-1"/>
  </r>
  <r>
    <x v="527"/>
    <x v="28"/>
    <n v="31.92"/>
    <n v="32.049999999999997"/>
    <n v="31"/>
    <n v="31"/>
    <x v="2371"/>
    <n v="-0.85"/>
    <n v="1913"/>
    <n v="0"/>
    <n v="15425"/>
    <x v="53"/>
    <n v="166"/>
    <s v="V (Oct 20)"/>
    <d v="2020-10-21T00:00:00"/>
    <n v="-1"/>
  </r>
  <r>
    <x v="527"/>
    <x v="33"/>
    <n v="32.130000000000003"/>
    <n v="32.299999999999997"/>
    <n v="29.3"/>
    <n v="29.41"/>
    <x v="2334"/>
    <n v="-2.8"/>
    <n v="49499"/>
    <n v="484"/>
    <n v="61438"/>
    <x v="47"/>
    <n v="12"/>
    <s v="K (May 20)"/>
    <d v="2020-05-20T00:00:00"/>
    <n v="-1"/>
  </r>
  <r>
    <x v="527"/>
    <x v="30"/>
    <n v="31.5"/>
    <n v="31.5"/>
    <n v="30.05"/>
    <n v="30.05"/>
    <x v="2183"/>
    <n v="-1.2250000000000001"/>
    <n v="5577"/>
    <n v="0"/>
    <n v="14753"/>
    <x v="10"/>
    <n v="103"/>
    <s v="Q (Aug 20)"/>
    <d v="2020-08-19T00:00:00"/>
    <n v="-1"/>
  </r>
  <r>
    <x v="527"/>
    <x v="27"/>
    <n v="29.75"/>
    <n v="29.85"/>
    <n v="28.9"/>
    <n v="28.9"/>
    <x v="15"/>
    <n v="-0.82499999999999996"/>
    <n v="849"/>
    <n v="0"/>
    <n v="9549"/>
    <x v="13"/>
    <n v="194"/>
    <s v="X (Nov 20)"/>
    <d v="2020-11-18T00:00:00"/>
    <n v="-1"/>
  </r>
  <r>
    <x v="527"/>
    <x v="32"/>
    <n v="32.65"/>
    <n v="32.770000000000003"/>
    <n v="30.55"/>
    <n v="30.67"/>
    <x v="2445"/>
    <n v="-1.9"/>
    <n v="42889"/>
    <n v="1029"/>
    <n v="78566"/>
    <x v="2"/>
    <n v="40"/>
    <s v="M (Jun 20)"/>
    <d v="2020-06-17T00:00:00"/>
    <n v="-1"/>
  </r>
  <r>
    <x v="527"/>
    <x v="29"/>
    <n v="31.25"/>
    <n v="31.25"/>
    <n v="29.98"/>
    <n v="30.04"/>
    <x v="2366"/>
    <n v="-1"/>
    <n v="2892"/>
    <n v="0"/>
    <n v="16652"/>
    <x v="5"/>
    <n v="131"/>
    <s v="U (Sep 20)"/>
    <d v="2020-09-16T00:00:00"/>
    <n v="-1"/>
  </r>
  <r>
    <x v="528"/>
    <x v="31"/>
    <n v="33.450000000000003"/>
    <n v="33.619999999999997"/>
    <n v="32.049999999999997"/>
    <n v="32.15"/>
    <x v="2367"/>
    <n v="-1.5"/>
    <n v="8572"/>
    <n v="0"/>
    <n v="32681"/>
    <x v="60"/>
    <n v="76"/>
    <s v="N (Jul 20)"/>
    <d v="2020-07-22T00:00:00"/>
    <n v="-1"/>
  </r>
  <r>
    <x v="528"/>
    <x v="28"/>
    <n v="32.82"/>
    <n v="33.1"/>
    <n v="31.85"/>
    <n v="32"/>
    <x v="2416"/>
    <n v="-1.2"/>
    <n v="1925"/>
    <n v="0"/>
    <n v="15145"/>
    <x v="59"/>
    <n v="167"/>
    <s v="V (Oct 20)"/>
    <d v="2020-10-21T00:00:00"/>
    <n v="-1"/>
  </r>
  <r>
    <x v="528"/>
    <x v="33"/>
    <n v="34.799999999999997"/>
    <n v="35.049999999999997"/>
    <n v="32.049999999999997"/>
    <n v="32.200000000000003"/>
    <x v="2415"/>
    <n v="-2.65"/>
    <n v="50794"/>
    <n v="396"/>
    <n v="61849"/>
    <x v="62"/>
    <n v="13"/>
    <s v="K (May 20)"/>
    <d v="2020-05-20T00:00:00"/>
    <n v="-1"/>
  </r>
  <r>
    <x v="528"/>
    <x v="30"/>
    <n v="32.6"/>
    <n v="32.65"/>
    <n v="31.31"/>
    <n v="31.45"/>
    <x v="2388"/>
    <n v="-1.3"/>
    <n v="6713"/>
    <n v="0"/>
    <n v="14498"/>
    <x v="25"/>
    <n v="104"/>
    <s v="Q (Aug 20)"/>
    <d v="2020-08-19T00:00:00"/>
    <n v="-1"/>
  </r>
  <r>
    <x v="528"/>
    <x v="27"/>
    <n v="30.5"/>
    <n v="30.8"/>
    <n v="29.75"/>
    <n v="29.85"/>
    <x v="2374"/>
    <n v="-1.05"/>
    <n v="822"/>
    <n v="0"/>
    <n v="9408"/>
    <x v="19"/>
    <n v="195"/>
    <s v="X (Nov 20)"/>
    <d v="2020-11-18T00:00:00"/>
    <n v="-1"/>
  </r>
  <r>
    <x v="528"/>
    <x v="32"/>
    <n v="34.450000000000003"/>
    <n v="34.72"/>
    <n v="32.58"/>
    <n v="32.65"/>
    <x v="2472"/>
    <n v="-1.95"/>
    <n v="40105"/>
    <n v="744"/>
    <n v="73164"/>
    <x v="14"/>
    <n v="41"/>
    <s v="M (Jun 20)"/>
    <d v="2020-06-17T00:00:00"/>
    <n v="-1"/>
  </r>
  <r>
    <x v="528"/>
    <x v="29"/>
    <n v="32.450000000000003"/>
    <n v="32.450000000000003"/>
    <n v="30.97"/>
    <n v="31.17"/>
    <x v="2371"/>
    <n v="-1.35"/>
    <n v="5899"/>
    <n v="0"/>
    <n v="16639"/>
    <x v="17"/>
    <n v="132"/>
    <s v="U (Sep 20)"/>
    <d v="2020-09-16T00:00:00"/>
    <n v="-1"/>
  </r>
  <r>
    <x v="528"/>
    <x v="26"/>
    <n v="29.1"/>
    <n v="29.5"/>
    <n v="28.6"/>
    <n v="28.65"/>
    <x v="2283"/>
    <n v="-0.9"/>
    <n v="29"/>
    <n v="0"/>
    <n v="375"/>
    <x v="38"/>
    <n v="223"/>
    <s v="Z (Dec 20)"/>
    <d v="2020-12-16T00:00:00"/>
    <n v="-1"/>
  </r>
  <r>
    <x v="529"/>
    <x v="26"/>
    <n v="29"/>
    <n v="29.57"/>
    <n v="28.95"/>
    <n v="29.55"/>
    <x v="2288"/>
    <n v="0.3"/>
    <n v="29"/>
    <n v="0"/>
    <n v="365"/>
    <x v="50"/>
    <n v="224"/>
    <s v="Z (Dec 20)"/>
    <d v="2020-12-16T00:00:00"/>
    <n v="-1"/>
  </r>
  <r>
    <x v="529"/>
    <x v="31"/>
    <n v="32.9"/>
    <n v="33.57"/>
    <n v="32.21"/>
    <n v="33.549999999999997"/>
    <x v="2444"/>
    <n v="0.75"/>
    <n v="7779"/>
    <n v="0"/>
    <n v="32755"/>
    <x v="63"/>
    <n v="77"/>
    <s v="N (Jul 20)"/>
    <d v="2020-07-22T00:00:00"/>
    <n v="-1"/>
  </r>
  <r>
    <x v="529"/>
    <x v="28"/>
    <n v="32.71"/>
    <n v="33.15"/>
    <n v="32.15"/>
    <n v="33.049999999999997"/>
    <x v="2339"/>
    <n v="0.47499999999999998"/>
    <n v="1069"/>
    <n v="0"/>
    <n v="15158"/>
    <x v="71"/>
    <n v="168"/>
    <s v="V (Oct 20)"/>
    <d v="2020-10-21T00:00:00"/>
    <n v="-1"/>
  </r>
  <r>
    <x v="529"/>
    <x v="33"/>
    <n v="34.200000000000003"/>
    <n v="35.1"/>
    <n v="32.96"/>
    <n v="34.799999999999997"/>
    <x v="2484"/>
    <n v="0.75"/>
    <n v="44278"/>
    <n v="256"/>
    <n v="65442"/>
    <x v="65"/>
    <n v="14"/>
    <s v="K (May 20)"/>
    <d v="2020-05-20T00:00:00"/>
    <n v="-1"/>
  </r>
  <r>
    <x v="529"/>
    <x v="30"/>
    <n v="32.200000000000003"/>
    <n v="32.67"/>
    <n v="31.57"/>
    <n v="32.65"/>
    <x v="2395"/>
    <n v="0.55000000000000004"/>
    <n v="7689"/>
    <n v="0"/>
    <n v="14690"/>
    <x v="28"/>
    <n v="105"/>
    <s v="Q (Aug 20)"/>
    <d v="2020-08-19T00:00:00"/>
    <n v="-1"/>
  </r>
  <r>
    <x v="529"/>
    <x v="27"/>
    <n v="30.5"/>
    <n v="30.9"/>
    <n v="29.99"/>
    <n v="30.83"/>
    <x v="2332"/>
    <n v="0.42499999999999999"/>
    <n v="421"/>
    <n v="0"/>
    <n v="9362"/>
    <x v="30"/>
    <n v="196"/>
    <s v="X (Nov 20)"/>
    <d v="2020-11-18T00:00:00"/>
    <n v="-1"/>
  </r>
  <r>
    <x v="529"/>
    <x v="32"/>
    <n v="33.9"/>
    <n v="34.61"/>
    <n v="33.03"/>
    <n v="34.590000000000003"/>
    <x v="2485"/>
    <n v="0.8"/>
    <n v="34688"/>
    <n v="384"/>
    <n v="68866"/>
    <x v="20"/>
    <n v="42"/>
    <s v="M (Jun 20)"/>
    <d v="2020-06-17T00:00:00"/>
    <n v="-1"/>
  </r>
  <r>
    <x v="529"/>
    <x v="29"/>
    <n v="32.1"/>
    <n v="32.450000000000003"/>
    <n v="31.48"/>
    <n v="32.35"/>
    <x v="2422"/>
    <n v="0.45"/>
    <n v="1879"/>
    <n v="0"/>
    <n v="16701"/>
    <x v="23"/>
    <n v="133"/>
    <s v="U (Sep 20)"/>
    <d v="2020-09-16T00:00:00"/>
    <n v="-1"/>
  </r>
  <r>
    <x v="530"/>
    <x v="31"/>
    <n v="33.85"/>
    <n v="33.9"/>
    <n v="32.07"/>
    <n v="32.9"/>
    <x v="2437"/>
    <n v="-0.9"/>
    <n v="7819"/>
    <n v="0"/>
    <n v="31801"/>
    <x v="78"/>
    <n v="78"/>
    <s v="N (Jul 20)"/>
    <d v="2020-07-22T00:00:00"/>
    <n v="-1"/>
  </r>
  <r>
    <x v="530"/>
    <x v="28"/>
    <n v="33.39"/>
    <n v="33.450000000000003"/>
    <n v="32.15"/>
    <n v="32.700000000000003"/>
    <x v="2486"/>
    <n v="-0.7"/>
    <n v="2074"/>
    <n v="0"/>
    <n v="15174"/>
    <x v="77"/>
    <n v="169"/>
    <s v="V (Oct 20)"/>
    <d v="2020-10-21T00:00:00"/>
    <n v="-1"/>
  </r>
  <r>
    <x v="530"/>
    <x v="33"/>
    <n v="35.75"/>
    <n v="36.1"/>
    <n v="32.85"/>
    <n v="34.15"/>
    <x v="2436"/>
    <n v="-1.65"/>
    <n v="47509"/>
    <n v="0"/>
    <n v="67154"/>
    <x v="80"/>
    <n v="15"/>
    <s v="K (May 20)"/>
    <d v="2020-05-20T00:00:00"/>
    <n v="-1"/>
  </r>
  <r>
    <x v="530"/>
    <x v="30"/>
    <n v="33.1"/>
    <n v="33.15"/>
    <n v="31.5"/>
    <n v="32.15"/>
    <x v="2415"/>
    <n v="-0.95"/>
    <n v="6594"/>
    <n v="0"/>
    <n v="14527"/>
    <x v="43"/>
    <n v="106"/>
    <s v="Q (Aug 20)"/>
    <d v="2020-08-19T00:00:00"/>
    <n v="-1"/>
  </r>
  <r>
    <x v="530"/>
    <x v="27"/>
    <n v="31.2"/>
    <n v="31.21"/>
    <n v="29.97"/>
    <n v="30.45"/>
    <x v="2474"/>
    <n v="-0.67500000000000004"/>
    <n v="1063"/>
    <n v="0"/>
    <n v="9411"/>
    <x v="36"/>
    <n v="197"/>
    <s v="X (Nov 20)"/>
    <d v="2020-11-18T00:00:00"/>
    <n v="-1"/>
  </r>
  <r>
    <x v="530"/>
    <x v="32"/>
    <n v="35.049999999999997"/>
    <n v="35.22"/>
    <n v="32.93"/>
    <n v="33.85"/>
    <x v="2480"/>
    <n v="-1.2"/>
    <n v="36399"/>
    <n v="0"/>
    <n v="65527"/>
    <x v="31"/>
    <n v="43"/>
    <s v="M (Jun 20)"/>
    <d v="2020-06-17T00:00:00"/>
    <n v="-1"/>
  </r>
  <r>
    <x v="530"/>
    <x v="29"/>
    <n v="32.700000000000003"/>
    <n v="32.770000000000003"/>
    <n v="31.37"/>
    <n v="31.95"/>
    <x v="2469"/>
    <n v="-0.72499999999999998"/>
    <n v="3209"/>
    <n v="0"/>
    <n v="16495"/>
    <x v="34"/>
    <n v="134"/>
    <s v="U (Sep 20)"/>
    <d v="2020-09-16T00:00:00"/>
    <n v="-1"/>
  </r>
  <r>
    <x v="530"/>
    <x v="26"/>
    <n v="29.7"/>
    <n v="29.8"/>
    <n v="28.95"/>
    <n v="29.35"/>
    <x v="2352"/>
    <n v="-0.625"/>
    <n v="33"/>
    <n v="0"/>
    <n v="331"/>
    <x v="56"/>
    <n v="225"/>
    <s v="Z (Dec 20)"/>
    <d v="2020-12-16T00:00:00"/>
    <n v="-1"/>
  </r>
  <r>
    <x v="531"/>
    <x v="26"/>
    <n v="30.31"/>
    <n v="30.9"/>
    <n v="29.8"/>
    <n v="29.8"/>
    <x v="2187"/>
    <n v="-0.1"/>
    <n v="34"/>
    <n v="0"/>
    <n v="323"/>
    <x v="68"/>
    <n v="226"/>
    <s v="Z (Dec 20)"/>
    <d v="2020-12-16T00:00:00"/>
    <n v="-1"/>
  </r>
  <r>
    <x v="531"/>
    <x v="31"/>
    <n v="34.700000000000003"/>
    <n v="35.47"/>
    <n v="33.619999999999997"/>
    <n v="33.82"/>
    <x v="2487"/>
    <n v="-0.5"/>
    <n v="8757"/>
    <n v="0"/>
    <n v="31625"/>
    <x v="81"/>
    <n v="79"/>
    <s v="N (Jul 20)"/>
    <d v="2020-07-22T00:00:00"/>
    <n v="-1"/>
  </r>
  <r>
    <x v="531"/>
    <x v="28"/>
    <n v="33.9"/>
    <n v="34.47"/>
    <n v="33.25"/>
    <n v="33.380000000000003"/>
    <x v="2488"/>
    <n v="-0.27500000000000002"/>
    <n v="1613"/>
    <n v="0"/>
    <n v="15207"/>
    <x v="89"/>
    <n v="170"/>
    <s v="V (Oct 20)"/>
    <d v="2020-10-21T00:00:00"/>
    <n v="-1"/>
  </r>
  <r>
    <x v="531"/>
    <x v="25"/>
    <n v="32.5"/>
    <n v="32.5"/>
    <n v="30.1"/>
    <n v="30.1"/>
    <x v="2412"/>
    <n v="-0.2"/>
    <n v="2"/>
    <n v="0"/>
    <n v="3"/>
    <x v="87"/>
    <n v="261"/>
    <s v="F (Jan 21)"/>
    <d v="2021-01-20T00:00:00"/>
    <n v="-1"/>
  </r>
  <r>
    <x v="531"/>
    <x v="33"/>
    <n v="38"/>
    <n v="39.85"/>
    <n v="35.549999999999997"/>
    <n v="35.700000000000003"/>
    <x v="2489"/>
    <n v="-1.675"/>
    <n v="48280"/>
    <n v="0"/>
    <n v="70181"/>
    <x v="83"/>
    <n v="16"/>
    <s v="K (May 20)"/>
    <d v="2020-05-20T00:00:00"/>
    <n v="-1"/>
  </r>
  <r>
    <x v="531"/>
    <x v="30"/>
    <n v="33.97"/>
    <n v="34.450000000000003"/>
    <n v="32.950000000000003"/>
    <n v="33.1"/>
    <x v="2447"/>
    <n v="-0.3"/>
    <n v="4267"/>
    <n v="0"/>
    <n v="14030"/>
    <x v="46"/>
    <n v="107"/>
    <s v="Q (Aug 20)"/>
    <d v="2020-08-19T00:00:00"/>
    <n v="-1"/>
  </r>
  <r>
    <x v="531"/>
    <x v="27"/>
    <n v="31.45"/>
    <n v="32.1"/>
    <n v="31"/>
    <n v="31.1"/>
    <x v="2371"/>
    <n v="-0.2"/>
    <n v="945"/>
    <n v="0"/>
    <n v="9489"/>
    <x v="48"/>
    <n v="198"/>
    <s v="X (Nov 20)"/>
    <d v="2020-11-18T00:00:00"/>
    <n v="-1"/>
  </r>
  <r>
    <x v="531"/>
    <x v="32"/>
    <n v="36.549999999999997"/>
    <n v="37.5"/>
    <n v="34.85"/>
    <n v="35.049999999999997"/>
    <x v="2490"/>
    <n v="-1"/>
    <n v="34625"/>
    <n v="0"/>
    <n v="63155"/>
    <x v="37"/>
    <n v="44"/>
    <s v="M (Jun 20)"/>
    <d v="2020-06-17T00:00:00"/>
    <n v="-1"/>
  </r>
  <r>
    <x v="531"/>
    <x v="29"/>
    <n v="33.299999999999997"/>
    <n v="33.909999999999997"/>
    <n v="32.65"/>
    <n v="32.75"/>
    <x v="2491"/>
    <n v="-0.32500000000000001"/>
    <n v="2802"/>
    <n v="0"/>
    <n v="16401"/>
    <x v="40"/>
    <n v="135"/>
    <s v="U (Sep 20)"/>
    <d v="2020-09-16T00:00:00"/>
    <n v="-1"/>
  </r>
  <r>
    <x v="532"/>
    <x v="31"/>
    <n v="32.590000000000003"/>
    <n v="34.42"/>
    <n v="32.4"/>
    <n v="34.29"/>
    <x v="2441"/>
    <n v="2.15"/>
    <n v="13446"/>
    <n v="0"/>
    <n v="31654"/>
    <x v="96"/>
    <n v="82"/>
    <s v="N (Jul 20)"/>
    <d v="2020-07-22T00:00:00"/>
    <n v="-1"/>
  </r>
  <r>
    <x v="532"/>
    <x v="28"/>
    <n v="32.1"/>
    <n v="33.799999999999997"/>
    <n v="31.8"/>
    <n v="33.590000000000003"/>
    <x v="2405"/>
    <n v="2.125"/>
    <n v="2269"/>
    <n v="0"/>
    <n v="15309"/>
    <x v="95"/>
    <n v="173"/>
    <s v="V (Oct 20)"/>
    <d v="2020-10-21T00:00:00"/>
    <n v="-1"/>
  </r>
  <r>
    <x v="532"/>
    <x v="33"/>
    <n v="34.9"/>
    <n v="37.799999999999997"/>
    <n v="34.78"/>
    <n v="37.4"/>
    <x v="2492"/>
    <n v="3.375"/>
    <n v="50523"/>
    <n v="0"/>
    <n v="72885"/>
    <x v="98"/>
    <n v="19"/>
    <s v="K (May 20)"/>
    <d v="2020-05-20T00:00:00"/>
    <n v="-1"/>
  </r>
  <r>
    <x v="532"/>
    <x v="30"/>
    <n v="31.6"/>
    <n v="33.57"/>
    <n v="31.6"/>
    <n v="33.450000000000003"/>
    <x v="2331"/>
    <n v="2.0499999999999998"/>
    <n v="8900"/>
    <n v="0"/>
    <n v="14126"/>
    <x v="61"/>
    <n v="110"/>
    <s v="Q (Aug 20)"/>
    <d v="2020-08-19T00:00:00"/>
    <n v="-1"/>
  </r>
  <r>
    <x v="532"/>
    <x v="27"/>
    <n v="29.72"/>
    <n v="31.45"/>
    <n v="29.6"/>
    <n v="31.27"/>
    <x v="2420"/>
    <n v="1.95"/>
    <n v="948"/>
    <n v="0"/>
    <n v="9420"/>
    <x v="54"/>
    <n v="201"/>
    <s v="X (Nov 20)"/>
    <d v="2020-11-18T00:00:00"/>
    <n v="-1"/>
  </r>
  <r>
    <x v="532"/>
    <x v="32"/>
    <n v="33.869999999999997"/>
    <n v="36.17"/>
    <n v="33.74"/>
    <n v="36"/>
    <x v="2493"/>
    <n v="2.75"/>
    <n v="40369"/>
    <n v="0"/>
    <n v="61370"/>
    <x v="49"/>
    <n v="47"/>
    <s v="M (Jun 20)"/>
    <d v="2020-06-17T00:00:00"/>
    <n v="-1"/>
  </r>
  <r>
    <x v="532"/>
    <x v="29"/>
    <n v="31.25"/>
    <n v="33.25"/>
    <n v="31.09"/>
    <n v="33.03"/>
    <x v="2494"/>
    <n v="2.25"/>
    <n v="4650"/>
    <n v="0"/>
    <n v="16446"/>
    <x v="52"/>
    <n v="138"/>
    <s v="U (Sep 20)"/>
    <d v="2020-09-16T00:00:00"/>
    <n v="-1"/>
  </r>
  <r>
    <x v="532"/>
    <x v="26"/>
    <n v="28.5"/>
    <n v="30.09"/>
    <n v="28.3"/>
    <n v="30.09"/>
    <x v="2274"/>
    <n v="1.9750000000000001"/>
    <n v="80"/>
    <n v="0"/>
    <n v="317"/>
    <x v="74"/>
    <n v="229"/>
    <s v="Z (Dec 20)"/>
    <d v="2020-12-16T00:00:00"/>
    <n v="-1"/>
  </r>
  <r>
    <x v="533"/>
    <x v="26"/>
    <n v="27.4"/>
    <n v="28.3"/>
    <n v="27.33"/>
    <n v="28.1"/>
    <x v="236"/>
    <n v="0.65"/>
    <n v="199"/>
    <n v="0"/>
    <n v="299"/>
    <x v="86"/>
    <n v="230"/>
    <s v="Z (Dec 20)"/>
    <d v="2020-12-16T00:00:00"/>
    <n v="-1"/>
  </r>
  <r>
    <x v="533"/>
    <x v="31"/>
    <n v="30.9"/>
    <n v="32.75"/>
    <n v="30.75"/>
    <n v="32.299999999999997"/>
    <x v="2367"/>
    <n v="0.95"/>
    <n v="11733"/>
    <n v="0"/>
    <n v="28791"/>
    <x v="99"/>
    <n v="83"/>
    <s v="N (Jul 20)"/>
    <d v="2020-07-22T00:00:00"/>
    <n v="-1"/>
  </r>
  <r>
    <x v="533"/>
    <x v="28"/>
    <n v="30.63"/>
    <n v="31.9"/>
    <n v="30.55"/>
    <n v="31.64"/>
    <x v="2438"/>
    <n v="0.72499999999999998"/>
    <n v="1495"/>
    <n v="0"/>
    <n v="15297"/>
    <x v="107"/>
    <n v="174"/>
    <s v="V (Oct 20)"/>
    <d v="2020-10-21T00:00:00"/>
    <n v="-1"/>
  </r>
  <r>
    <x v="533"/>
    <x v="33"/>
    <n v="31.6"/>
    <n v="34.85"/>
    <n v="31.45"/>
    <n v="34.6"/>
    <x v="2495"/>
    <n v="2.0499999999999998"/>
    <n v="49769"/>
    <n v="267"/>
    <n v="74576"/>
    <x v="101"/>
    <n v="20"/>
    <s v="K (May 20)"/>
    <d v="2020-05-20T00:00:00"/>
    <n v="-1"/>
  </r>
  <r>
    <x v="533"/>
    <x v="30"/>
    <n v="30.4"/>
    <n v="31.9"/>
    <n v="30.29"/>
    <n v="31.55"/>
    <x v="2348"/>
    <n v="0.75"/>
    <n v="5258"/>
    <n v="0"/>
    <n v="14289"/>
    <x v="64"/>
    <n v="111"/>
    <s v="Q (Aug 20)"/>
    <d v="2020-08-19T00:00:00"/>
    <n v="-1"/>
  </r>
  <r>
    <x v="533"/>
    <x v="27"/>
    <n v="28.47"/>
    <n v="29.7"/>
    <n v="28.45"/>
    <n v="29.4"/>
    <x v="2334"/>
    <n v="0.77500000000000002"/>
    <n v="1133"/>
    <n v="0"/>
    <n v="9172"/>
    <x v="66"/>
    <n v="202"/>
    <s v="X (Nov 20)"/>
    <d v="2020-11-18T00:00:00"/>
    <n v="-1"/>
  </r>
  <r>
    <x v="533"/>
    <x v="32"/>
    <n v="31.45"/>
    <n v="34"/>
    <n v="31.35"/>
    <n v="33.6"/>
    <x v="2397"/>
    <n v="1.45"/>
    <n v="32635"/>
    <n v="210"/>
    <n v="57406"/>
    <x v="55"/>
    <n v="48"/>
    <s v="M (Jun 20)"/>
    <d v="2020-06-17T00:00:00"/>
    <n v="-1"/>
  </r>
  <r>
    <x v="533"/>
    <x v="29"/>
    <n v="29.87"/>
    <n v="31.25"/>
    <n v="29.75"/>
    <n v="30.95"/>
    <x v="2340"/>
    <n v="0.75"/>
    <n v="2743"/>
    <n v="0"/>
    <n v="15632"/>
    <x v="58"/>
    <n v="139"/>
    <s v="U (Sep 20)"/>
    <d v="2020-09-16T00:00:00"/>
    <n v="-1"/>
  </r>
  <r>
    <x v="534"/>
    <x v="31"/>
    <n v="32.799999999999997"/>
    <n v="32.869999999999997"/>
    <n v="30.97"/>
    <n v="30.97"/>
    <x v="2431"/>
    <n v="-1.65"/>
    <n v="9317"/>
    <n v="0"/>
    <n v="27044"/>
    <x v="114"/>
    <n v="84"/>
    <s v="N (Jul 20)"/>
    <d v="2020-07-22T00:00:00"/>
    <n v="-1"/>
  </r>
  <r>
    <x v="534"/>
    <x v="28"/>
    <n v="31.6"/>
    <n v="31.6"/>
    <n v="30.6"/>
    <n v="30.7"/>
    <x v="2340"/>
    <n v="-0.9"/>
    <n v="2575"/>
    <n v="0"/>
    <n v="15170"/>
    <x v="113"/>
    <n v="175"/>
    <s v="V (Oct 20)"/>
    <d v="2020-10-21T00:00:00"/>
    <n v="-1"/>
  </r>
  <r>
    <x v="534"/>
    <x v="25"/>
    <n v="28.1"/>
    <n v="28.1"/>
    <n v="28.1"/>
    <n v="28.1"/>
    <x v="2496"/>
    <n v="1"/>
    <n v="1"/>
    <n v="0"/>
    <n v="1"/>
    <x v="111"/>
    <n v="266"/>
    <s v="F (Jan 21)"/>
    <d v="2021-01-20T00:00:00"/>
    <n v="-1"/>
  </r>
  <r>
    <x v="534"/>
    <x v="33"/>
    <n v="34.1"/>
    <n v="34.270000000000003"/>
    <n v="31.45"/>
    <n v="31.75"/>
    <x v="2416"/>
    <n v="-2.25"/>
    <n v="54225"/>
    <n v="709"/>
    <n v="76950"/>
    <x v="116"/>
    <n v="21"/>
    <s v="K (May 20)"/>
    <d v="2020-05-20T00:00:00"/>
    <n v="-1"/>
  </r>
  <r>
    <x v="534"/>
    <x v="30"/>
    <n v="31.76"/>
    <n v="31.8"/>
    <n v="30.31"/>
    <n v="30.43"/>
    <x v="2368"/>
    <n v="-1.2"/>
    <n v="6058"/>
    <n v="0"/>
    <n v="14729"/>
    <x v="79"/>
    <n v="112"/>
    <s v="Q (Aug 20)"/>
    <d v="2020-08-19T00:00:00"/>
    <n v="-1"/>
  </r>
  <r>
    <x v="534"/>
    <x v="27"/>
    <n v="29.15"/>
    <n v="29.45"/>
    <n v="28.44"/>
    <n v="28.55"/>
    <x v="50"/>
    <n v="-0.9"/>
    <n v="1948"/>
    <n v="0"/>
    <n v="9143"/>
    <x v="72"/>
    <n v="203"/>
    <s v="X (Nov 20)"/>
    <d v="2020-11-18T00:00:00"/>
    <n v="-1"/>
  </r>
  <r>
    <x v="534"/>
    <x v="32"/>
    <n v="33.86"/>
    <n v="33.9"/>
    <n v="31.6"/>
    <n v="31.62"/>
    <x v="2434"/>
    <n v="-2.0499999999999998"/>
    <n v="36398"/>
    <n v="472"/>
    <n v="53301"/>
    <x v="67"/>
    <n v="49"/>
    <s v="M (Jun 20)"/>
    <d v="2020-06-17T00:00:00"/>
    <n v="-1"/>
  </r>
  <r>
    <x v="534"/>
    <x v="29"/>
    <n v="31.05"/>
    <n v="31.05"/>
    <n v="29.84"/>
    <n v="29.93"/>
    <x v="2360"/>
    <n v="-1.05"/>
    <n v="3512"/>
    <n v="0"/>
    <n v="15390"/>
    <x v="70"/>
    <n v="140"/>
    <s v="U (Sep 20)"/>
    <d v="2020-09-16T00:00:00"/>
    <n v="-1"/>
  </r>
  <r>
    <x v="534"/>
    <x v="26"/>
    <n v="27.6"/>
    <n v="27.95"/>
    <n v="27.3"/>
    <n v="27.45"/>
    <x v="488"/>
    <n v="-0.72499999999999998"/>
    <n v="169"/>
    <n v="0"/>
    <n v="200"/>
    <x v="92"/>
    <n v="231"/>
    <s v="Z (Dec 20)"/>
    <d v="2020-12-16T00:00:00"/>
    <n v="-1"/>
  </r>
  <r>
    <x v="535"/>
    <x v="26"/>
    <n v="28.33"/>
    <n v="28.33"/>
    <n v="27.6"/>
    <n v="28.2"/>
    <x v="18"/>
    <n v="2.5000000000000001E-2"/>
    <n v="59"/>
    <n v="0"/>
    <n v="172"/>
    <x v="104"/>
    <n v="232"/>
    <s v="Z (Dec 20)"/>
    <d v="2020-12-16T00:00:00"/>
    <n v="-1"/>
  </r>
  <r>
    <x v="535"/>
    <x v="31"/>
    <n v="32.65"/>
    <n v="33.130000000000003"/>
    <n v="31.7"/>
    <n v="32.9"/>
    <x v="2428"/>
    <n v="0.2"/>
    <n v="7462"/>
    <n v="0"/>
    <n v="26352"/>
    <x v="117"/>
    <n v="85"/>
    <s v="N (Jul 20)"/>
    <d v="2020-07-22T00:00:00"/>
    <n v="-1"/>
  </r>
  <r>
    <x v="535"/>
    <x v="28"/>
    <n v="31.55"/>
    <n v="31.85"/>
    <n v="30.84"/>
    <n v="31.8"/>
    <x v="2365"/>
    <n v="0.3"/>
    <n v="1737"/>
    <n v="0"/>
    <n v="15051"/>
    <x v="125"/>
    <n v="176"/>
    <s v="V (Oct 20)"/>
    <d v="2020-10-21T00:00:00"/>
    <n v="-1"/>
  </r>
  <r>
    <x v="535"/>
    <x v="33"/>
    <n v="34"/>
    <n v="35.07"/>
    <n v="32.549999999999997"/>
    <n v="34.4"/>
    <x v="2497"/>
    <n v="0.3"/>
    <n v="42651"/>
    <n v="530"/>
    <n v="77282"/>
    <x v="119"/>
    <n v="22"/>
    <s v="K (May 20)"/>
    <d v="2020-05-20T00:00:00"/>
    <n v="-1"/>
  </r>
  <r>
    <x v="535"/>
    <x v="30"/>
    <n v="31.55"/>
    <n v="31.95"/>
    <n v="30.85"/>
    <n v="31.9"/>
    <x v="2434"/>
    <n v="0.3"/>
    <n v="4519"/>
    <n v="0"/>
    <n v="13782"/>
    <x v="82"/>
    <n v="113"/>
    <s v="Q (Aug 20)"/>
    <d v="2020-08-19T00:00:00"/>
    <n v="-1"/>
  </r>
  <r>
    <x v="535"/>
    <x v="27"/>
    <n v="29.55"/>
    <n v="29.65"/>
    <n v="28.65"/>
    <n v="29.5"/>
    <x v="171"/>
    <n v="0.17499999999999999"/>
    <n v="895"/>
    <n v="0"/>
    <n v="8878"/>
    <x v="84"/>
    <n v="204"/>
    <s v="X (Nov 20)"/>
    <d v="2020-11-18T00:00:00"/>
    <n v="-1"/>
  </r>
  <r>
    <x v="535"/>
    <x v="32"/>
    <n v="33.520000000000003"/>
    <n v="34.200000000000003"/>
    <n v="32.369999999999997"/>
    <n v="33.97"/>
    <x v="2479"/>
    <n v="0.35"/>
    <n v="28128"/>
    <n v="298"/>
    <n v="53222"/>
    <x v="73"/>
    <n v="50"/>
    <s v="M (Jun 20)"/>
    <d v="2020-06-17T00:00:00"/>
    <n v="-1"/>
  </r>
  <r>
    <x v="535"/>
    <x v="29"/>
    <n v="30.5"/>
    <n v="31.25"/>
    <n v="30.2"/>
    <n v="31.15"/>
    <x v="2371"/>
    <n v="0.3"/>
    <n v="2479"/>
    <n v="0"/>
    <n v="16217"/>
    <x v="76"/>
    <n v="141"/>
    <s v="U (Sep 20)"/>
    <d v="2020-09-16T00:00:00"/>
    <n v="-1"/>
  </r>
  <r>
    <x v="536"/>
    <x v="31"/>
    <n v="34"/>
    <n v="34.229999999999997"/>
    <n v="32.4"/>
    <n v="32.6"/>
    <x v="2342"/>
    <n v="-1.6"/>
    <n v="11343"/>
    <n v="0"/>
    <n v="25959"/>
    <x v="131"/>
    <n v="86"/>
    <s v="N (Jul 20)"/>
    <d v="2020-07-22T00:00:00"/>
    <n v="-1"/>
  </r>
  <r>
    <x v="536"/>
    <x v="28"/>
    <n v="32.549999999999997"/>
    <n v="32.549999999999997"/>
    <n v="31.2"/>
    <n v="31.38"/>
    <x v="2388"/>
    <n v="-1.1000000000000001"/>
    <n v="2148"/>
    <n v="0"/>
    <n v="14693"/>
    <x v="130"/>
    <n v="177"/>
    <s v="V (Oct 20)"/>
    <d v="2020-10-21T00:00:00"/>
    <n v="-1"/>
  </r>
  <r>
    <x v="536"/>
    <x v="33"/>
    <n v="36.549999999999997"/>
    <n v="37.15"/>
    <n v="33.450000000000003"/>
    <n v="33.950000000000003"/>
    <x v="2401"/>
    <n v="-2.9"/>
    <n v="57307"/>
    <n v="2327"/>
    <n v="78360"/>
    <x v="133"/>
    <n v="23"/>
    <s v="K (May 20)"/>
    <d v="2020-05-20T00:00:00"/>
    <n v="-1"/>
  </r>
  <r>
    <x v="536"/>
    <x v="30"/>
    <n v="32.6"/>
    <n v="32.92"/>
    <n v="31.25"/>
    <n v="31.51"/>
    <x v="2419"/>
    <n v="-1.4"/>
    <n v="6916"/>
    <n v="0"/>
    <n v="13491"/>
    <x v="97"/>
    <n v="114"/>
    <s v="Q (Aug 20)"/>
    <d v="2020-08-19T00:00:00"/>
    <n v="-1"/>
  </r>
  <r>
    <x v="536"/>
    <x v="27"/>
    <n v="30.32"/>
    <n v="30.45"/>
    <n v="29.1"/>
    <n v="29.26"/>
    <x v="2352"/>
    <n v="-0.95"/>
    <n v="675"/>
    <n v="0"/>
    <n v="8752"/>
    <x v="90"/>
    <n v="205"/>
    <s v="X (Nov 20)"/>
    <d v="2020-11-18T00:00:00"/>
    <n v="-1"/>
  </r>
  <r>
    <x v="536"/>
    <x v="32"/>
    <n v="35.35"/>
    <n v="35.75"/>
    <n v="33.15"/>
    <n v="33.5"/>
    <x v="2446"/>
    <n v="-2.1"/>
    <n v="41861"/>
    <n v="1095"/>
    <n v="50316"/>
    <x v="85"/>
    <n v="51"/>
    <s v="M (Jun 20)"/>
    <d v="2020-06-17T00:00:00"/>
    <n v="-1"/>
  </r>
  <r>
    <x v="536"/>
    <x v="29"/>
    <n v="31.9"/>
    <n v="32.1"/>
    <n v="30.55"/>
    <n v="30.8"/>
    <x v="2340"/>
    <n v="-1.25"/>
    <n v="4351"/>
    <n v="0"/>
    <n v="15583"/>
    <x v="88"/>
    <n v="142"/>
    <s v="U (Sep 20)"/>
    <d v="2020-09-16T00:00:00"/>
    <n v="-1"/>
  </r>
  <r>
    <x v="536"/>
    <x v="26"/>
    <n v="29.2"/>
    <n v="29.2"/>
    <n v="27.95"/>
    <n v="28.02"/>
    <x v="2376"/>
    <n v="-0.92500000000000004"/>
    <n v="22"/>
    <n v="0"/>
    <n v="161"/>
    <x v="110"/>
    <n v="233"/>
    <s v="Z (Dec 20)"/>
    <d v="2020-12-16T00:00:00"/>
    <n v="-1"/>
  </r>
  <r>
    <x v="537"/>
    <x v="26"/>
    <n v="30.1"/>
    <n v="30.3"/>
    <n v="28.95"/>
    <n v="29.05"/>
    <x v="2421"/>
    <n v="-1.325"/>
    <n v="57"/>
    <n v="0"/>
    <n v="155"/>
    <x v="122"/>
    <n v="236"/>
    <s v="Z (Dec 20)"/>
    <d v="2020-12-16T00:00:00"/>
    <n v="-1"/>
  </r>
  <r>
    <x v="537"/>
    <x v="31"/>
    <n v="35.75"/>
    <n v="36.25"/>
    <n v="34.020000000000003"/>
    <n v="34.19"/>
    <x v="2497"/>
    <n v="-1.5"/>
    <n v="9061"/>
    <n v="0"/>
    <n v="25886"/>
    <x v="134"/>
    <n v="89"/>
    <s v="N (Jul 20)"/>
    <d v="2020-07-22T00:00:00"/>
    <n v="-1"/>
  </r>
  <r>
    <x v="537"/>
    <x v="28"/>
    <n v="33.78"/>
    <n v="33.9"/>
    <n v="32.369999999999997"/>
    <n v="32.549999999999997"/>
    <x v="2370"/>
    <n v="-1.25"/>
    <n v="2537"/>
    <n v="0"/>
    <n v="14320"/>
    <x v="141"/>
    <n v="180"/>
    <s v="V (Oct 20)"/>
    <d v="2020-10-21T00:00:00"/>
    <n v="-1"/>
  </r>
  <r>
    <x v="537"/>
    <x v="33"/>
    <n v="39.799999999999997"/>
    <n v="40.549999999999997"/>
    <n v="36.65"/>
    <n v="36.950000000000003"/>
    <x v="2465"/>
    <n v="-2.95"/>
    <n v="52270"/>
    <n v="0"/>
    <n v="83435"/>
    <x v="136"/>
    <n v="26"/>
    <s v="K (May 20)"/>
    <d v="2020-05-20T00:00:00"/>
    <n v="-1"/>
  </r>
  <r>
    <x v="537"/>
    <x v="30"/>
    <n v="34.049999999999997"/>
    <n v="34.29"/>
    <n v="32.700000000000003"/>
    <n v="32.85"/>
    <x v="2373"/>
    <n v="-1.1000000000000001"/>
    <n v="5291"/>
    <n v="0"/>
    <n v="13863"/>
    <x v="100"/>
    <n v="117"/>
    <s v="Q (Aug 20)"/>
    <d v="2020-08-19T00:00:00"/>
    <n v="-1"/>
  </r>
  <r>
    <x v="537"/>
    <x v="27"/>
    <n v="31.7"/>
    <n v="31.85"/>
    <n v="30.15"/>
    <n v="30.31"/>
    <x v="2356"/>
    <n v="-1.375"/>
    <n v="1196"/>
    <n v="0"/>
    <n v="8772"/>
    <x v="102"/>
    <n v="208"/>
    <s v="X (Nov 20)"/>
    <d v="2020-11-18T00:00:00"/>
    <n v="-1"/>
  </r>
  <r>
    <x v="537"/>
    <x v="32"/>
    <n v="37.9"/>
    <n v="38.450000000000003"/>
    <n v="35.450000000000003"/>
    <n v="35.700000000000003"/>
    <x v="2498"/>
    <n v="-2.15"/>
    <n v="31775"/>
    <n v="0"/>
    <n v="46557"/>
    <x v="91"/>
    <n v="54"/>
    <s v="M (Jun 20)"/>
    <d v="2020-06-17T00:00:00"/>
    <n v="-1"/>
  </r>
  <r>
    <x v="537"/>
    <x v="29"/>
    <n v="33.159999999999997"/>
    <n v="33.270000000000003"/>
    <n v="31.91"/>
    <n v="32.049999999999997"/>
    <x v="2382"/>
    <n v="-1.1499999999999999"/>
    <n v="3690"/>
    <n v="0"/>
    <n v="15343"/>
    <x v="94"/>
    <n v="145"/>
    <s v="U (Sep 20)"/>
    <d v="2020-09-16T00:00:00"/>
    <n v="-1"/>
  </r>
  <r>
    <x v="538"/>
    <x v="31"/>
    <n v="35.5"/>
    <n v="35.950000000000003"/>
    <n v="34.82"/>
    <n v="35.68"/>
    <x v="2489"/>
    <n v="0.25"/>
    <n v="6470"/>
    <n v="0"/>
    <n v="26877"/>
    <x v="148"/>
    <n v="90"/>
    <s v="N (Jul 20)"/>
    <d v="2020-07-22T00:00:00"/>
    <n v="-1"/>
  </r>
  <r>
    <x v="538"/>
    <x v="28"/>
    <n v="33.74"/>
    <n v="33.950000000000003"/>
    <n v="33.19"/>
    <n v="33.68"/>
    <x v="2487"/>
    <n v="0.05"/>
    <n v="1326"/>
    <n v="0"/>
    <n v="14587"/>
    <x v="147"/>
    <n v="181"/>
    <s v="V (Oct 20)"/>
    <d v="2020-10-21T00:00:00"/>
    <n v="-1"/>
  </r>
  <r>
    <x v="538"/>
    <x v="33"/>
    <n v="39.5"/>
    <n v="40.299999999999997"/>
    <n v="38.049999999999997"/>
    <n v="39.67"/>
    <x v="2499"/>
    <n v="0.1"/>
    <n v="49046"/>
    <n v="0"/>
    <n v="88162"/>
    <x v="150"/>
    <n v="27"/>
    <s v="K (May 20)"/>
    <d v="2020-05-20T00:00:00"/>
    <n v="-1"/>
  </r>
  <r>
    <x v="538"/>
    <x v="30"/>
    <n v="33.799999999999997"/>
    <n v="34.159999999999997"/>
    <n v="33.26"/>
    <n v="34"/>
    <x v="2495"/>
    <n v="0.15"/>
    <n v="4110"/>
    <n v="0"/>
    <n v="14513"/>
    <x v="115"/>
    <n v="118"/>
    <s v="Q (Aug 20)"/>
    <d v="2020-08-19T00:00:00"/>
    <n v="-1"/>
  </r>
  <r>
    <x v="538"/>
    <x v="27"/>
    <n v="31.6"/>
    <n v="31.75"/>
    <n v="31.12"/>
    <n v="31.55"/>
    <x v="2500"/>
    <n v="2.5000000000000001E-2"/>
    <n v="505"/>
    <n v="0"/>
    <n v="8667"/>
    <x v="108"/>
    <n v="209"/>
    <s v="X (Nov 20)"/>
    <d v="2020-11-18T00:00:00"/>
    <n v="-1"/>
  </r>
  <r>
    <x v="538"/>
    <x v="32"/>
    <n v="37.4"/>
    <n v="38.07"/>
    <n v="36.6"/>
    <n v="37.75"/>
    <x v="2501"/>
    <n v="0.35"/>
    <n v="27676"/>
    <n v="0"/>
    <n v="43162"/>
    <x v="103"/>
    <n v="55"/>
    <s v="M (Jun 20)"/>
    <d v="2020-06-17T00:00:00"/>
    <n v="-1"/>
  </r>
  <r>
    <x v="538"/>
    <x v="29"/>
    <n v="33.1"/>
    <n v="33.5"/>
    <n v="32.65"/>
    <n v="33.1"/>
    <x v="2333"/>
    <n v="-0.05"/>
    <n v="3015"/>
    <n v="0"/>
    <n v="15622"/>
    <x v="106"/>
    <n v="146"/>
    <s v="U (Sep 20)"/>
    <d v="2020-09-16T00:00:00"/>
    <n v="-1"/>
  </r>
  <r>
    <x v="538"/>
    <x v="26"/>
    <n v="30.2"/>
    <n v="30.5"/>
    <n v="29.93"/>
    <n v="30.3"/>
    <x v="2380"/>
    <n v="-0.125"/>
    <n v="77"/>
    <n v="0"/>
    <n v="127"/>
    <x v="128"/>
    <n v="237"/>
    <s v="Z (Dec 20)"/>
    <d v="2020-12-16T00:00:00"/>
    <n v="-1"/>
  </r>
  <r>
    <x v="539"/>
    <x v="26"/>
    <n v="30.4"/>
    <n v="30.75"/>
    <n v="30.19"/>
    <n v="30.3"/>
    <x v="2408"/>
    <n v="-0.17499999999999999"/>
    <n v="5"/>
    <n v="0"/>
    <n v="82"/>
    <x v="139"/>
    <n v="238"/>
    <s v="Z (Dec 20)"/>
    <d v="2020-12-16T00:00:00"/>
    <n v="-1"/>
  </r>
  <r>
    <x v="539"/>
    <x v="31"/>
    <n v="36.159999999999997"/>
    <n v="36.75"/>
    <n v="35.15"/>
    <n v="35.450000000000003"/>
    <x v="2502"/>
    <n v="-1"/>
    <n v="6683"/>
    <n v="0"/>
    <n v="26691"/>
    <x v="151"/>
    <n v="91"/>
    <s v="N (Jul 20)"/>
    <d v="2020-07-22T00:00:00"/>
    <n v="-1"/>
  </r>
  <r>
    <x v="539"/>
    <x v="28"/>
    <n v="34.01"/>
    <n v="34.1"/>
    <n v="33.19"/>
    <n v="33.729999999999997"/>
    <x v="2385"/>
    <n v="-0.3"/>
    <n v="1235"/>
    <n v="0"/>
    <n v="14414"/>
    <x v="158"/>
    <n v="182"/>
    <s v="V (Oct 20)"/>
    <d v="2020-10-21T00:00:00"/>
    <n v="-1"/>
  </r>
  <r>
    <x v="539"/>
    <x v="33"/>
    <n v="41.4"/>
    <n v="42.4"/>
    <n v="39.1"/>
    <n v="39.5"/>
    <x v="2503"/>
    <n v="-2.15"/>
    <n v="48047"/>
    <n v="1026"/>
    <n v="91376"/>
    <x v="153"/>
    <n v="28"/>
    <s v="K (May 20)"/>
    <d v="2020-05-20T00:00:00"/>
    <n v="-1"/>
  </r>
  <r>
    <x v="539"/>
    <x v="30"/>
    <n v="34.35"/>
    <n v="34.700000000000003"/>
    <n v="33.4"/>
    <n v="33.799999999999997"/>
    <x v="2479"/>
    <n v="-0.6"/>
    <n v="3534"/>
    <n v="0"/>
    <n v="14459"/>
    <x v="118"/>
    <n v="119"/>
    <s v="Q (Aug 20)"/>
    <d v="2020-08-19T00:00:00"/>
    <n v="-1"/>
  </r>
  <r>
    <x v="539"/>
    <x v="27"/>
    <n v="31.9"/>
    <n v="31.95"/>
    <n v="31.15"/>
    <n v="31.55"/>
    <x v="2326"/>
    <n v="-0.25"/>
    <n v="391"/>
    <n v="0"/>
    <n v="8582"/>
    <x v="120"/>
    <n v="210"/>
    <s v="X (Nov 20)"/>
    <d v="2020-11-18T00:00:00"/>
    <n v="-1"/>
  </r>
  <r>
    <x v="539"/>
    <x v="32"/>
    <n v="38.549999999999997"/>
    <n v="39.049999999999997"/>
    <n v="36.92"/>
    <n v="37.369999999999997"/>
    <x v="2504"/>
    <n v="-1.3"/>
    <n v="26079"/>
    <n v="256"/>
    <n v="40422"/>
    <x v="109"/>
    <n v="56"/>
    <s v="M (Jun 20)"/>
    <d v="2020-06-17T00:00:00"/>
    <n v="-1"/>
  </r>
  <r>
    <x v="539"/>
    <x v="29"/>
    <n v="33.549999999999997"/>
    <n v="33.770000000000003"/>
    <n v="32.75"/>
    <n v="33.22"/>
    <x v="2397"/>
    <n v="-0.35"/>
    <n v="1901"/>
    <n v="0"/>
    <n v="14767"/>
    <x v="112"/>
    <n v="147"/>
    <s v="U (Sep 20)"/>
    <d v="2020-09-16T00:00:00"/>
    <n v="-1"/>
  </r>
  <r>
    <x v="540"/>
    <x v="31"/>
    <n v="34.299999999999997"/>
    <n v="37.299999999999997"/>
    <n v="33.6"/>
    <n v="36.35"/>
    <x v="2505"/>
    <n v="2"/>
    <n v="10628"/>
    <n v="0"/>
    <n v="27790"/>
    <x v="164"/>
    <n v="92"/>
    <s v="N (Jul 20)"/>
    <d v="2020-07-22T00:00:00"/>
    <n v="-1"/>
  </r>
  <r>
    <x v="540"/>
    <x v="28"/>
    <n v="33.119999999999997"/>
    <n v="35.25"/>
    <n v="32.659999999999997"/>
    <n v="34"/>
    <x v="2495"/>
    <n v="0.95"/>
    <n v="2920"/>
    <n v="0"/>
    <n v="14402"/>
    <x v="163"/>
    <n v="183"/>
    <s v="V (Oct 20)"/>
    <d v="2020-10-21T00:00:00"/>
    <n v="-1"/>
  </r>
  <r>
    <x v="540"/>
    <x v="33"/>
    <n v="39"/>
    <n v="43.35"/>
    <n v="37.4"/>
    <n v="41.7"/>
    <x v="2506"/>
    <n v="2.7"/>
    <n v="75063"/>
    <n v="1291"/>
    <n v="94714"/>
    <x v="166"/>
    <n v="29"/>
    <s v="K (May 20)"/>
    <d v="2020-05-20T00:00:00"/>
    <n v="-1"/>
  </r>
  <r>
    <x v="540"/>
    <x v="30"/>
    <n v="32.869999999999997"/>
    <n v="35.31"/>
    <n v="32.18"/>
    <n v="34.409999999999997"/>
    <x v="2507"/>
    <n v="1.55"/>
    <n v="6418"/>
    <n v="0"/>
    <n v="15253"/>
    <x v="132"/>
    <n v="120"/>
    <s v="Q (Aug 20)"/>
    <d v="2020-08-19T00:00:00"/>
    <n v="-1"/>
  </r>
  <r>
    <x v="540"/>
    <x v="27"/>
    <n v="31.29"/>
    <n v="33.1"/>
    <n v="30.9"/>
    <n v="31.85"/>
    <x v="2338"/>
    <n v="0.625"/>
    <n v="1286"/>
    <n v="0"/>
    <n v="8541"/>
    <x v="126"/>
    <n v="211"/>
    <s v="X (Nov 20)"/>
    <d v="2020-11-18T00:00:00"/>
    <n v="-1"/>
  </r>
  <r>
    <x v="540"/>
    <x v="32"/>
    <n v="36.049999999999997"/>
    <n v="39.67"/>
    <n v="34.909999999999997"/>
    <n v="38.549999999999997"/>
    <x v="2508"/>
    <n v="2.4500000000000002"/>
    <n v="39375"/>
    <n v="246"/>
    <n v="36335"/>
    <x v="121"/>
    <n v="57"/>
    <s v="M (Jun 20)"/>
    <d v="2020-06-17T00:00:00"/>
    <n v="-1"/>
  </r>
  <r>
    <x v="540"/>
    <x v="29"/>
    <n v="32.299999999999997"/>
    <n v="34.65"/>
    <n v="31.67"/>
    <n v="33.6"/>
    <x v="2444"/>
    <n v="1.325"/>
    <n v="4276"/>
    <n v="0"/>
    <n v="15135"/>
    <x v="124"/>
    <n v="148"/>
    <s v="U (Sep 20)"/>
    <d v="2020-09-16T00:00:00"/>
    <n v="-1"/>
  </r>
  <r>
    <x v="540"/>
    <x v="26"/>
    <n v="30.3"/>
    <n v="30.95"/>
    <n v="29.5"/>
    <n v="30.6"/>
    <x v="2425"/>
    <n v="0.92500000000000004"/>
    <n v="48"/>
    <n v="0"/>
    <n v="80"/>
    <x v="144"/>
    <n v="239"/>
    <s v="Z (Dec 20)"/>
    <d v="2020-12-16T00:00:00"/>
    <n v="-1"/>
  </r>
  <r>
    <x v="541"/>
    <x v="26"/>
    <n v="29.25"/>
    <n v="29.65"/>
    <n v="28.5"/>
    <n v="29.55"/>
    <x v="3"/>
    <n v="1.2"/>
    <n v="30"/>
    <n v="0"/>
    <n v="58"/>
    <x v="155"/>
    <n v="240"/>
    <s v="Z (Dec 20)"/>
    <d v="2020-12-16T00:00:00"/>
    <n v="-1"/>
  </r>
  <r>
    <x v="541"/>
    <x v="31"/>
    <n v="32.229999999999997"/>
    <n v="34.5"/>
    <n v="32.200000000000003"/>
    <n v="34.4"/>
    <x v="2507"/>
    <n v="2.5"/>
    <n v="10624"/>
    <n v="0"/>
    <n v="27372"/>
    <x v="167"/>
    <n v="93"/>
    <s v="N (Jul 20)"/>
    <d v="2020-07-22T00:00:00"/>
    <n v="-1"/>
  </r>
  <r>
    <x v="541"/>
    <x v="28"/>
    <n v="31.47"/>
    <n v="33.15"/>
    <n v="31.47"/>
    <n v="33.130000000000003"/>
    <x v="2494"/>
    <n v="1.7749999999999999"/>
    <n v="1736"/>
    <n v="0"/>
    <n v="14362"/>
    <x v="173"/>
    <n v="184"/>
    <s v="V (Oct 20)"/>
    <d v="2020-10-21T00:00:00"/>
    <n v="-1"/>
  </r>
  <r>
    <x v="541"/>
    <x v="33"/>
    <n v="34.9"/>
    <n v="39.200000000000003"/>
    <n v="34.840000000000003"/>
    <n v="39"/>
    <x v="2509"/>
    <n v="4.5"/>
    <n v="49822"/>
    <n v="66"/>
    <n v="100876"/>
    <x v="169"/>
    <n v="30"/>
    <s v="K (May 20)"/>
    <d v="2020-05-20T00:00:00"/>
    <n v="-1"/>
  </r>
  <r>
    <x v="541"/>
    <x v="30"/>
    <n v="31.22"/>
    <n v="32.94"/>
    <n v="31.2"/>
    <n v="32.9"/>
    <x v="2373"/>
    <n v="2"/>
    <n v="5840"/>
    <n v="0"/>
    <n v="15029"/>
    <x v="135"/>
    <n v="121"/>
    <s v="Q (Aug 20)"/>
    <d v="2020-08-19T00:00:00"/>
    <n v="-1"/>
  </r>
  <r>
    <x v="541"/>
    <x v="27"/>
    <n v="29.78"/>
    <n v="31.3"/>
    <n v="29.75"/>
    <n v="31.3"/>
    <x v="2496"/>
    <n v="1.65"/>
    <n v="740"/>
    <n v="0"/>
    <n v="8494"/>
    <x v="137"/>
    <n v="212"/>
    <s v="X (Nov 20)"/>
    <d v="2020-11-18T00:00:00"/>
    <n v="-1"/>
  </r>
  <r>
    <x v="541"/>
    <x v="32"/>
    <n v="33.56"/>
    <n v="36.270000000000003"/>
    <n v="33.35"/>
    <n v="36.119999999999997"/>
    <x v="2510"/>
    <n v="3.15"/>
    <n v="31630"/>
    <n v="9"/>
    <n v="32428"/>
    <x v="127"/>
    <n v="58"/>
    <s v="M (Jun 20)"/>
    <d v="2020-06-17T00:00:00"/>
    <n v="-1"/>
  </r>
  <r>
    <x v="541"/>
    <x v="29"/>
    <n v="30.88"/>
    <n v="32.4"/>
    <n v="30.7"/>
    <n v="32.36"/>
    <x v="2511"/>
    <n v="1.85"/>
    <n v="2302"/>
    <n v="0"/>
    <n v="14761"/>
    <x v="129"/>
    <n v="149"/>
    <s v="U (Sep 20)"/>
    <d v="2020-09-16T00:00:00"/>
    <n v="-1"/>
  </r>
  <r>
    <x v="542"/>
    <x v="31"/>
    <n v="32.17"/>
    <n v="32.950000000000003"/>
    <n v="31.37"/>
    <n v="32.119999999999997"/>
    <x v="2416"/>
    <n v="-1.1499999999999999"/>
    <n v="5720"/>
    <n v="0"/>
    <n v="28658"/>
    <x v="175"/>
    <n v="96"/>
    <s v="N (Jul 20)"/>
    <d v="2020-07-22T00:00:00"/>
    <n v="-1"/>
  </r>
  <r>
    <x v="542"/>
    <x v="28"/>
    <n v="31.05"/>
    <n v="31.75"/>
    <n v="30.4"/>
    <n v="31.27"/>
    <x v="2418"/>
    <n v="-0.47499999999999998"/>
    <n v="1738"/>
    <n v="0"/>
    <n v="14383"/>
    <x v="174"/>
    <n v="187"/>
    <s v="V (Oct 20)"/>
    <d v="2020-10-21T00:00:00"/>
    <n v="-1"/>
  </r>
  <r>
    <x v="542"/>
    <x v="33"/>
    <n v="35.1"/>
    <n v="36.200000000000003"/>
    <n v="34.049999999999997"/>
    <n v="34.799999999999997"/>
    <x v="2485"/>
    <n v="-1.95"/>
    <n v="51593"/>
    <n v="0"/>
    <n v="104302"/>
    <x v="176"/>
    <n v="33"/>
    <s v="K (May 20)"/>
    <d v="2020-05-20T00:00:00"/>
    <n v="-1"/>
  </r>
  <r>
    <x v="542"/>
    <x v="30"/>
    <n v="31.03"/>
    <n v="31.85"/>
    <n v="30.35"/>
    <n v="31.05"/>
    <x v="2396"/>
    <n v="-0.97499999999999998"/>
    <n v="4295"/>
    <n v="0"/>
    <n v="14529"/>
    <x v="149"/>
    <n v="124"/>
    <s v="Q (Aug 20)"/>
    <d v="2020-08-19T00:00:00"/>
    <n v="-1"/>
  </r>
  <r>
    <x v="542"/>
    <x v="27"/>
    <n v="29.35"/>
    <n v="30"/>
    <n v="28.4"/>
    <n v="29.55"/>
    <x v="188"/>
    <n v="-0.35"/>
    <n v="816"/>
    <n v="0"/>
    <n v="7962"/>
    <x v="142"/>
    <n v="215"/>
    <s v="X (Nov 20)"/>
    <d v="2020-11-18T00:00:00"/>
    <n v="-1"/>
  </r>
  <r>
    <x v="542"/>
    <x v="32"/>
    <n v="33.049999999999997"/>
    <n v="34.29"/>
    <n v="32.4"/>
    <n v="33.299999999999997"/>
    <x v="2447"/>
    <n v="-1.35"/>
    <n v="28797"/>
    <n v="0"/>
    <n v="32947"/>
    <x v="138"/>
    <n v="61"/>
    <s v="M (Jun 20)"/>
    <d v="2020-06-17T00:00:00"/>
    <n v="-1"/>
  </r>
  <r>
    <x v="542"/>
    <x v="29"/>
    <n v="30.2"/>
    <n v="31.12"/>
    <n v="29.7"/>
    <n v="30.45"/>
    <x v="2474"/>
    <n v="-0.72499999999999998"/>
    <n v="2352"/>
    <n v="0"/>
    <n v="14917"/>
    <x v="140"/>
    <n v="152"/>
    <s v="U (Sep 20)"/>
    <d v="2020-09-16T00:00:00"/>
    <n v="-1"/>
  </r>
  <r>
    <x v="542"/>
    <x v="26"/>
    <n v="28.5"/>
    <n v="28.8"/>
    <n v="27.8"/>
    <n v="28.45"/>
    <x v="70"/>
    <n v="-0.27500000000000002"/>
    <n v="16"/>
    <n v="0"/>
    <n v="46"/>
    <x v="160"/>
    <n v="243"/>
    <s v="Z (Dec 20)"/>
    <d v="2020-12-16T00:00:00"/>
    <n v="-1"/>
  </r>
  <r>
    <x v="543"/>
    <x v="26"/>
    <n v="28.35"/>
    <n v="28.85"/>
    <n v="28.15"/>
    <n v="28.7"/>
    <x v="2150"/>
    <n v="0.22500000000000001"/>
    <n v="36"/>
    <n v="0"/>
    <n v="45"/>
    <x v="171"/>
    <n v="244"/>
    <s v="Z (Dec 20)"/>
    <d v="2020-12-16T00:00:00"/>
    <n v="-1"/>
  </r>
  <r>
    <x v="543"/>
    <x v="31"/>
    <n v="33.049999999999997"/>
    <n v="33.950000000000003"/>
    <n v="32.4"/>
    <n v="32.43"/>
    <x v="2447"/>
    <n v="0"/>
    <n v="8335"/>
    <n v="0"/>
    <n v="26045"/>
    <x v="177"/>
    <n v="97"/>
    <s v="N (Jul 20)"/>
    <d v="2020-07-22T00:00:00"/>
    <n v="-1"/>
  </r>
  <r>
    <x v="543"/>
    <x v="28"/>
    <n v="31.69"/>
    <n v="31.9"/>
    <n v="30.5"/>
    <n v="31.3"/>
    <x v="2362"/>
    <n v="0.4"/>
    <n v="1592"/>
    <n v="0"/>
    <n v="14271"/>
    <x v="179"/>
    <n v="188"/>
    <s v="V (Oct 20)"/>
    <d v="2020-10-21T00:00:00"/>
    <n v="-1"/>
  </r>
  <r>
    <x v="543"/>
    <x v="33"/>
    <n v="36.6"/>
    <n v="38"/>
    <n v="35.6"/>
    <n v="35.6"/>
    <x v="2512"/>
    <n v="-0.05"/>
    <n v="44431"/>
    <n v="0"/>
    <n v="105739"/>
    <x v="178"/>
    <n v="34"/>
    <s v="K (May 20)"/>
    <d v="2020-05-20T00:00:00"/>
    <n v="-1"/>
  </r>
  <r>
    <x v="543"/>
    <x v="30"/>
    <n v="31.65"/>
    <n v="32.299999999999997"/>
    <n v="31.02"/>
    <n v="31.25"/>
    <x v="2414"/>
    <n v="0.27500000000000002"/>
    <n v="4247"/>
    <n v="0"/>
    <n v="14246"/>
    <x v="152"/>
    <n v="125"/>
    <s v="Q (Aug 20)"/>
    <d v="2020-08-19T00:00:00"/>
    <n v="-1"/>
  </r>
  <r>
    <x v="543"/>
    <x v="27"/>
    <n v="29.97"/>
    <n v="30.1"/>
    <n v="28.7"/>
    <n v="29.77"/>
    <x v="2187"/>
    <n v="0.3"/>
    <n v="754"/>
    <n v="0"/>
    <n v="8021"/>
    <x v="3"/>
    <n v="216"/>
    <s v="X (Nov 20)"/>
    <d v="2020-11-18T00:00:00"/>
    <n v="-1"/>
  </r>
  <r>
    <x v="543"/>
    <x v="32"/>
    <n v="34.6"/>
    <n v="35.700000000000003"/>
    <n v="33.65"/>
    <n v="33.65"/>
    <x v="2507"/>
    <n v="-0.15"/>
    <n v="28030"/>
    <n v="0"/>
    <n v="28997"/>
    <x v="143"/>
    <n v="62"/>
    <s v="M (Jun 20)"/>
    <d v="2020-06-17T00:00:00"/>
    <n v="-1"/>
  </r>
  <r>
    <x v="543"/>
    <x v="29"/>
    <n v="31"/>
    <n v="31.42"/>
    <n v="30.1"/>
    <n v="30.69"/>
    <x v="2431"/>
    <n v="0.27500000000000002"/>
    <n v="1645"/>
    <n v="0"/>
    <n v="14661"/>
    <x v="146"/>
    <n v="153"/>
    <s v="U (Sep 20)"/>
    <d v="2020-09-16T00:00:00"/>
    <n v="-1"/>
  </r>
  <r>
    <x v="544"/>
    <x v="31"/>
    <n v="31"/>
    <n v="33.15"/>
    <n v="30.95"/>
    <n v="33.119999999999997"/>
    <x v="2447"/>
    <n v="2.0499999999999998"/>
    <n v="8480"/>
    <n v="0"/>
    <n v="26496"/>
    <x v="181"/>
    <n v="98"/>
    <s v="N (Jul 20)"/>
    <d v="2020-07-22T00:00:00"/>
    <n v="-1"/>
  </r>
  <r>
    <x v="544"/>
    <x v="28"/>
    <n v="29.89"/>
    <n v="31.45"/>
    <n v="29.6"/>
    <n v="31.45"/>
    <x v="2348"/>
    <n v="1.45"/>
    <n v="2790"/>
    <n v="0"/>
    <n v="14163"/>
    <x v="180"/>
    <n v="189"/>
    <s v="V (Oct 20)"/>
    <d v="2020-10-21T00:00:00"/>
    <n v="-1"/>
  </r>
  <r>
    <x v="544"/>
    <x v="33"/>
    <n v="33.22"/>
    <n v="37.1"/>
    <n v="33.1"/>
    <n v="36.6"/>
    <x v="2513"/>
    <n v="3.6"/>
    <n v="60395"/>
    <n v="175"/>
    <n v="109719"/>
    <x v="182"/>
    <n v="35"/>
    <s v="K (May 20)"/>
    <d v="2020-05-20T00:00:00"/>
    <n v="-1"/>
  </r>
  <r>
    <x v="544"/>
    <x v="30"/>
    <n v="29.91"/>
    <n v="31.7"/>
    <n v="29.85"/>
    <n v="31.7"/>
    <x v="2326"/>
    <n v="1.65"/>
    <n v="5612"/>
    <n v="0"/>
    <n v="14539"/>
    <x v="165"/>
    <n v="126"/>
    <s v="Q (Aug 20)"/>
    <d v="2020-08-19T00:00:00"/>
    <n v="-1"/>
  </r>
  <r>
    <x v="544"/>
    <x v="27"/>
    <n v="28.41"/>
    <n v="29.7"/>
    <n v="28"/>
    <n v="29.7"/>
    <x v="2190"/>
    <n v="1.25"/>
    <n v="955"/>
    <n v="0"/>
    <n v="7831"/>
    <x v="15"/>
    <n v="217"/>
    <s v="X (Nov 20)"/>
    <d v="2020-11-18T00:00:00"/>
    <n v="-1"/>
  </r>
  <r>
    <x v="544"/>
    <x v="32"/>
    <n v="32.1"/>
    <n v="34.96"/>
    <n v="32.049999999999997"/>
    <n v="34.67"/>
    <x v="2485"/>
    <n v="2.5249999999999999"/>
    <n v="27035"/>
    <n v="0"/>
    <n v="27624"/>
    <x v="154"/>
    <n v="63"/>
    <s v="M (Jun 20)"/>
    <d v="2020-06-17T00:00:00"/>
    <n v="-1"/>
  </r>
  <r>
    <x v="544"/>
    <x v="29"/>
    <n v="29.33"/>
    <n v="30.97"/>
    <n v="29.2"/>
    <n v="30.95"/>
    <x v="2514"/>
    <n v="1.5"/>
    <n v="3009"/>
    <n v="0"/>
    <n v="14696"/>
    <x v="157"/>
    <n v="154"/>
    <s v="U (Sep 20)"/>
    <d v="2020-09-16T00:00:00"/>
    <n v="-1"/>
  </r>
  <r>
    <x v="544"/>
    <x v="26"/>
    <n v="28.3"/>
    <n v="28.6"/>
    <n v="28.05"/>
    <n v="28.5"/>
    <x v="50"/>
    <n v="0.9"/>
    <n v="27"/>
    <n v="0"/>
    <n v="24"/>
    <x v="4"/>
    <n v="245"/>
    <s v="Z (Dec 20)"/>
    <d v="2020-12-16T00:00:00"/>
    <n v="-1"/>
  </r>
  <r>
    <x v="544"/>
    <x v="34"/>
    <n v="38.299999999999997"/>
    <n v="42.45"/>
    <n v="38"/>
    <n v="42.4"/>
    <x v="2515"/>
    <n v="4.6349999999999998"/>
    <n v="943"/>
    <n v="0"/>
    <n v="37451"/>
    <x v="145"/>
    <n v="0"/>
    <s v="J (Apr 20)"/>
    <d v="2020-04-15T00:00:00"/>
    <n v="-1"/>
  </r>
  <r>
    <x v="545"/>
    <x v="26"/>
    <n v="27.65"/>
    <n v="27.65"/>
    <n v="27.59"/>
    <n v="27.59"/>
    <x v="482"/>
    <n v="-0.27500000000000002"/>
    <n v="2"/>
    <n v="0"/>
    <n v="3"/>
    <x v="16"/>
    <n v="246"/>
    <s v="Z (Dec 20)"/>
    <d v="2020-12-16T00:00:00"/>
    <n v="-1"/>
  </r>
  <r>
    <x v="545"/>
    <x v="34"/>
    <n v="40.799999999999997"/>
    <n v="41.15"/>
    <n v="37.1"/>
    <n v="37.93"/>
    <x v="2516"/>
    <n v="-2.7"/>
    <n v="34835"/>
    <n v="0"/>
    <n v="43609"/>
    <x v="156"/>
    <n v="1"/>
    <s v="J (Apr 20)"/>
    <d v="2020-04-15T00:00:00"/>
    <n v="-1"/>
  </r>
  <r>
    <x v="545"/>
    <x v="31"/>
    <n v="32.200000000000003"/>
    <n v="32.299999999999997"/>
    <n v="30.82"/>
    <n v="31"/>
    <x v="2384"/>
    <n v="-1.075"/>
    <n v="8435"/>
    <n v="0"/>
    <n v="25669"/>
    <x v="183"/>
    <n v="99"/>
    <s v="N (Jul 20)"/>
    <d v="2020-07-22T00:00:00"/>
    <n v="-1"/>
  </r>
  <r>
    <x v="545"/>
    <x v="28"/>
    <n v="30.3"/>
    <n v="30.3"/>
    <n v="29.43"/>
    <n v="29.95"/>
    <x v="2372"/>
    <n v="-0.25"/>
    <n v="2680"/>
    <n v="0"/>
    <n v="14090"/>
    <x v="185"/>
    <n v="190"/>
    <s v="V (Oct 20)"/>
    <d v="2020-10-21T00:00:00"/>
    <n v="-1"/>
  </r>
  <r>
    <x v="545"/>
    <x v="33"/>
    <n v="36.200000000000003"/>
    <n v="36.450000000000003"/>
    <n v="32.99"/>
    <n v="33.200000000000003"/>
    <x v="2379"/>
    <n v="-3.15"/>
    <n v="61471"/>
    <n v="0"/>
    <n v="107907"/>
    <x v="184"/>
    <n v="36"/>
    <s v="K (May 20)"/>
    <d v="2020-05-20T00:00:00"/>
    <n v="-1"/>
  </r>
  <r>
    <x v="545"/>
    <x v="30"/>
    <n v="30.9"/>
    <n v="31"/>
    <n v="29.75"/>
    <n v="29.9"/>
    <x v="2378"/>
    <n v="-0.875"/>
    <n v="4372"/>
    <n v="0"/>
    <n v="13208"/>
    <x v="168"/>
    <n v="127"/>
    <s v="Q (Aug 20)"/>
    <d v="2020-08-19T00:00:00"/>
    <n v="-1"/>
  </r>
  <r>
    <x v="545"/>
    <x v="27"/>
    <n v="28.35"/>
    <n v="28.65"/>
    <n v="27.9"/>
    <n v="28.4"/>
    <x v="65"/>
    <n v="-0.22500000000000001"/>
    <n v="1323"/>
    <n v="0"/>
    <n v="7638"/>
    <x v="21"/>
    <n v="218"/>
    <s v="X (Nov 20)"/>
    <d v="2020-11-18T00:00:00"/>
    <n v="-1"/>
  </r>
  <r>
    <x v="545"/>
    <x v="32"/>
    <n v="34.049999999999997"/>
    <n v="34.1"/>
    <n v="31.95"/>
    <n v="32.1"/>
    <x v="2478"/>
    <n v="-1.7749999999999999"/>
    <n v="16872"/>
    <n v="0"/>
    <n v="26725"/>
    <x v="159"/>
    <n v="64"/>
    <s v="M (Jun 20)"/>
    <d v="2020-06-17T00:00:00"/>
    <n v="-1"/>
  </r>
  <r>
    <x v="545"/>
    <x v="29"/>
    <n v="30.11"/>
    <n v="30.2"/>
    <n v="29.2"/>
    <n v="29.32"/>
    <x v="2292"/>
    <n v="-0.7"/>
    <n v="3578"/>
    <n v="0"/>
    <n v="14489"/>
    <x v="162"/>
    <n v="155"/>
    <s v="U (Sep 20)"/>
    <d v="2020-09-16T00:00:00"/>
    <n v="-1"/>
  </r>
  <r>
    <x v="546"/>
    <x v="31"/>
    <n v="32.21"/>
    <n v="32.99"/>
    <n v="32"/>
    <n v="32.17"/>
    <x v="2517"/>
    <n v="-0.42499999999999999"/>
    <n v="4823"/>
    <n v="0"/>
    <n v="24544"/>
    <x v="7"/>
    <n v="100"/>
    <s v="N (Jul 20)"/>
    <d v="2020-07-22T00:00:00"/>
    <n v="-1"/>
  </r>
  <r>
    <x v="546"/>
    <x v="28"/>
    <n v="30.55"/>
    <n v="30.66"/>
    <n v="30.1"/>
    <n v="30.18"/>
    <x v="2343"/>
    <n v="-0.2"/>
    <n v="1286"/>
    <n v="0"/>
    <n v="13496"/>
    <x v="1"/>
    <n v="191"/>
    <s v="V (Oct 20)"/>
    <d v="2020-10-21T00:00:00"/>
    <n v="-1"/>
  </r>
  <r>
    <x v="546"/>
    <x v="33"/>
    <n v="36.75"/>
    <n v="38.4"/>
    <n v="36.07"/>
    <n v="36.22"/>
    <x v="2518"/>
    <n v="-0.8"/>
    <n v="37603"/>
    <n v="0"/>
    <n v="107305"/>
    <x v="2"/>
    <n v="37"/>
    <s v="K (May 20)"/>
    <d v="2020-05-20T00:00:00"/>
    <n v="-1"/>
  </r>
  <r>
    <x v="546"/>
    <x v="30"/>
    <n v="30.93"/>
    <n v="31.7"/>
    <n v="30.75"/>
    <n v="30.85"/>
    <x v="2471"/>
    <n v="-0.35"/>
    <n v="2035"/>
    <n v="0"/>
    <n v="12703"/>
    <x v="5"/>
    <n v="128"/>
    <s v="Q (Aug 20)"/>
    <d v="2020-08-19T00:00:00"/>
    <n v="-1"/>
  </r>
  <r>
    <x v="546"/>
    <x v="27"/>
    <n v="28.8"/>
    <n v="29.08"/>
    <n v="28.6"/>
    <n v="28.6"/>
    <x v="164"/>
    <n v="-0.2"/>
    <n v="458"/>
    <n v="0"/>
    <n v="7145"/>
    <x v="32"/>
    <n v="219"/>
    <s v="X (Nov 20)"/>
    <d v="2020-11-18T00:00:00"/>
    <n v="-1"/>
  </r>
  <r>
    <x v="546"/>
    <x v="32"/>
    <n v="34.4"/>
    <n v="35.520000000000003"/>
    <n v="33.840000000000003"/>
    <n v="33.950000000000003"/>
    <x v="2479"/>
    <n v="-0.82499999999999996"/>
    <n v="9555"/>
    <n v="0"/>
    <n v="27170"/>
    <x v="170"/>
    <n v="65"/>
    <s v="M (Jun 20)"/>
    <d v="2020-06-17T00:00:00"/>
    <n v="-1"/>
  </r>
  <r>
    <x v="546"/>
    <x v="29"/>
    <n v="30.46"/>
    <n v="30.7"/>
    <n v="30"/>
    <n v="30.1"/>
    <x v="2412"/>
    <n v="-0.32500000000000001"/>
    <n v="1454"/>
    <n v="0"/>
    <n v="14009"/>
    <x v="172"/>
    <n v="156"/>
    <s v="U (Sep 20)"/>
    <d v="2020-09-16T00:00:00"/>
    <n v="-1"/>
  </r>
  <r>
    <x v="546"/>
    <x v="34"/>
    <n v="41.05"/>
    <n v="43.65"/>
    <n v="40.549999999999997"/>
    <n v="40.799999999999997"/>
    <x v="2519"/>
    <n v="-0.7"/>
    <n v="26754"/>
    <n v="0"/>
    <n v="49779"/>
    <x v="161"/>
    <n v="2"/>
    <s v="J (Apr 20)"/>
    <d v="2020-04-15T00:00:00"/>
    <n v="-1"/>
  </r>
  <r>
    <x v="547"/>
    <x v="34"/>
    <n v="42.6"/>
    <n v="43.85"/>
    <n v="41.1"/>
    <n v="41.1"/>
    <x v="2520"/>
    <n v="-1.1000000000000001"/>
    <n v="47460"/>
    <n v="39"/>
    <n v="54417"/>
    <x v="11"/>
    <n v="6"/>
    <s v="J (Apr 20)"/>
    <d v="2020-04-15T00:00:00"/>
    <n v="-1"/>
  </r>
  <r>
    <x v="547"/>
    <x v="31"/>
    <n v="33.5"/>
    <n v="34"/>
    <n v="32.43"/>
    <n v="32.43"/>
    <x v="2417"/>
    <n v="-1.0249999999999999"/>
    <n v="3680"/>
    <n v="0"/>
    <n v="24161"/>
    <x v="25"/>
    <n v="104"/>
    <s v="N (Jul 20)"/>
    <d v="2020-07-22T00:00:00"/>
    <n v="-1"/>
  </r>
  <r>
    <x v="547"/>
    <x v="28"/>
    <n v="30.92"/>
    <n v="31.25"/>
    <n v="30.3"/>
    <n v="30.3"/>
    <x v="2380"/>
    <n v="-0.6"/>
    <n v="1273"/>
    <n v="0"/>
    <n v="13021"/>
    <x v="19"/>
    <n v="195"/>
    <s v="V (Oct 20)"/>
    <d v="2020-10-21T00:00:00"/>
    <n v="-1"/>
  </r>
  <r>
    <x v="547"/>
    <x v="33"/>
    <n v="38.35"/>
    <n v="39.36"/>
    <n v="36.840000000000003"/>
    <n v="36.840000000000003"/>
    <x v="2521"/>
    <n v="-1.375"/>
    <n v="49262"/>
    <n v="211"/>
    <n v="100869"/>
    <x v="20"/>
    <n v="41"/>
    <s v="K (May 20)"/>
    <d v="2020-05-20T00:00:00"/>
    <n v="-1"/>
  </r>
  <r>
    <x v="547"/>
    <x v="30"/>
    <n v="31.95"/>
    <n v="32.4"/>
    <n v="31.1"/>
    <n v="31.14"/>
    <x v="2522"/>
    <n v="-0.82499999999999996"/>
    <n v="2210"/>
    <n v="0"/>
    <n v="13005"/>
    <x v="23"/>
    <n v="132"/>
    <s v="Q (Aug 20)"/>
    <d v="2020-08-19T00:00:00"/>
    <n v="-1"/>
  </r>
  <r>
    <x v="547"/>
    <x v="27"/>
    <n v="29.29"/>
    <n v="29.52"/>
    <n v="28.75"/>
    <n v="28.84"/>
    <x v="2150"/>
    <n v="-0.55000000000000004"/>
    <n v="414"/>
    <n v="0"/>
    <n v="6977"/>
    <x v="50"/>
    <n v="223"/>
    <s v="X (Nov 20)"/>
    <d v="2020-11-18T00:00:00"/>
    <n v="-1"/>
  </r>
  <r>
    <x v="547"/>
    <x v="32"/>
    <n v="36.1"/>
    <n v="36.700000000000003"/>
    <n v="34.51"/>
    <n v="34.54"/>
    <x v="2523"/>
    <n v="-1.425"/>
    <n v="15328"/>
    <n v="0"/>
    <n v="27067"/>
    <x v="9"/>
    <n v="69"/>
    <s v="M (Jun 20)"/>
    <d v="2020-06-17T00:00:00"/>
    <n v="-1"/>
  </r>
  <r>
    <x v="547"/>
    <x v="29"/>
    <n v="31.19"/>
    <n v="31.4"/>
    <n v="30.35"/>
    <n v="30.37"/>
    <x v="2351"/>
    <n v="-0.72499999999999998"/>
    <n v="1908"/>
    <n v="0"/>
    <n v="13958"/>
    <x v="12"/>
    <n v="160"/>
    <s v="U (Sep 20)"/>
    <d v="2020-09-16T00:00:00"/>
    <n v="-1"/>
  </r>
  <r>
    <x v="548"/>
    <x v="31"/>
    <n v="34.020000000000003"/>
    <n v="34.299999999999997"/>
    <n v="32.9"/>
    <n v="33.57"/>
    <x v="2524"/>
    <n v="-0.55000000000000004"/>
    <n v="3334"/>
    <n v="11"/>
    <n v="24292"/>
    <x v="28"/>
    <n v="105"/>
    <s v="N (Jul 20)"/>
    <d v="2020-07-22T00:00:00"/>
    <n v="-1"/>
  </r>
  <r>
    <x v="548"/>
    <x v="28"/>
    <n v="31.52"/>
    <n v="31.52"/>
    <n v="30.54"/>
    <n v="30.85"/>
    <x v="2350"/>
    <n v="-0.45"/>
    <n v="1309"/>
    <n v="41"/>
    <n v="12826"/>
    <x v="30"/>
    <n v="196"/>
    <s v="V (Oct 20)"/>
    <d v="2020-10-21T00:00:00"/>
    <n v="-1"/>
  </r>
  <r>
    <x v="548"/>
    <x v="33"/>
    <n v="39.6"/>
    <n v="40.15"/>
    <n v="37.71"/>
    <n v="38.299999999999997"/>
    <x v="2525"/>
    <n v="-1.375"/>
    <n v="37862"/>
    <n v="0"/>
    <n v="96985"/>
    <x v="31"/>
    <n v="42"/>
    <s v="K (May 20)"/>
    <d v="2020-05-20T00:00:00"/>
    <n v="-1"/>
  </r>
  <r>
    <x v="548"/>
    <x v="30"/>
    <n v="32.49"/>
    <n v="32.700000000000003"/>
    <n v="31.45"/>
    <n v="32.020000000000003"/>
    <x v="2469"/>
    <n v="-0.55000000000000004"/>
    <n v="1806"/>
    <n v="52"/>
    <n v="13161"/>
    <x v="34"/>
    <n v="133"/>
    <s v="Q (Aug 20)"/>
    <d v="2020-08-19T00:00:00"/>
    <n v="-1"/>
  </r>
  <r>
    <x v="548"/>
    <x v="27"/>
    <n v="29.74"/>
    <n v="29.9"/>
    <n v="29"/>
    <n v="29.25"/>
    <x v="2334"/>
    <n v="-0.57499999999999996"/>
    <n v="759"/>
    <n v="0"/>
    <n v="6901"/>
    <x v="56"/>
    <n v="224"/>
    <s v="X (Nov 20)"/>
    <d v="2020-11-18T00:00:00"/>
    <n v="-1"/>
  </r>
  <r>
    <x v="548"/>
    <x v="32"/>
    <n v="36.700000000000003"/>
    <n v="37.049999999999997"/>
    <n v="35.270000000000003"/>
    <n v="36.1"/>
    <x v="2526"/>
    <n v="-0.6"/>
    <n v="7205"/>
    <n v="0"/>
    <n v="28190"/>
    <x v="24"/>
    <n v="70"/>
    <s v="M (Jun 20)"/>
    <d v="2020-06-17T00:00:00"/>
    <n v="-1"/>
  </r>
  <r>
    <x v="548"/>
    <x v="29"/>
    <n v="31.65"/>
    <n v="31.75"/>
    <n v="30.7"/>
    <n v="31.15"/>
    <x v="2440"/>
    <n v="-0.55000000000000004"/>
    <n v="1569"/>
    <n v="52"/>
    <n v="13648"/>
    <x v="18"/>
    <n v="161"/>
    <s v="U (Sep 20)"/>
    <d v="2020-09-16T00:00:00"/>
    <n v="-1"/>
  </r>
  <r>
    <x v="548"/>
    <x v="34"/>
    <n v="44.05"/>
    <n v="44.8"/>
    <n v="41.49"/>
    <n v="42.6"/>
    <x v="2527"/>
    <n v="-1.65"/>
    <n v="38616"/>
    <n v="0"/>
    <n v="56213"/>
    <x v="26"/>
    <n v="7"/>
    <s v="J (Apr 20)"/>
    <d v="2020-04-15T00:00:00"/>
    <n v="-1"/>
  </r>
  <r>
    <x v="549"/>
    <x v="34"/>
    <n v="42.15"/>
    <n v="44.37"/>
    <n v="40.200000000000003"/>
    <n v="44.15"/>
    <x v="2528"/>
    <n v="2.25"/>
    <n v="57324"/>
    <n v="468"/>
    <n v="57909"/>
    <x v="29"/>
    <n v="8"/>
    <s v="J (Apr 20)"/>
    <d v="2020-04-15T00:00:00"/>
    <n v="-1"/>
  </r>
  <r>
    <x v="549"/>
    <x v="26"/>
    <n v="28.5"/>
    <n v="28.5"/>
    <n v="28.5"/>
    <n v="28.5"/>
    <x v="82"/>
    <n v="-0.7"/>
    <n v="1"/>
    <n v="0"/>
    <n v="3"/>
    <x v="57"/>
    <n v="253"/>
    <s v="Z (Dec 20)"/>
    <d v="2020-12-16T00:00:00"/>
    <n v="-1"/>
  </r>
  <r>
    <x v="549"/>
    <x v="31"/>
    <n v="33.659999999999997"/>
    <n v="34.15"/>
    <n v="32.31"/>
    <n v="34.049999999999997"/>
    <x v="2337"/>
    <n v="0.625"/>
    <n v="8361"/>
    <n v="0"/>
    <n v="24262"/>
    <x v="43"/>
    <n v="106"/>
    <s v="N (Jul 20)"/>
    <d v="2020-07-22T00:00:00"/>
    <n v="-1"/>
  </r>
  <r>
    <x v="549"/>
    <x v="28"/>
    <n v="30.33"/>
    <n v="31.45"/>
    <n v="29.73"/>
    <n v="31.41"/>
    <x v="2388"/>
    <n v="1.1000000000000001"/>
    <n v="2401"/>
    <n v="0"/>
    <n v="12461"/>
    <x v="36"/>
    <n v="197"/>
    <s v="V (Oct 20)"/>
    <d v="2020-10-21T00:00:00"/>
    <n v="-1"/>
  </r>
  <r>
    <x v="549"/>
    <x v="33"/>
    <n v="38.200000000000003"/>
    <n v="39.85"/>
    <n v="36.4"/>
    <n v="39.619999999999997"/>
    <x v="2463"/>
    <n v="1.75"/>
    <n v="58709"/>
    <n v="1315"/>
    <n v="95368"/>
    <x v="37"/>
    <n v="43"/>
    <s v="K (May 20)"/>
    <d v="2020-05-20T00:00:00"/>
    <n v="-1"/>
  </r>
  <r>
    <x v="549"/>
    <x v="30"/>
    <n v="31.93"/>
    <n v="32.6"/>
    <n v="30.85"/>
    <n v="32.53"/>
    <x v="2417"/>
    <n v="0.8"/>
    <n v="4526"/>
    <n v="0"/>
    <n v="13163"/>
    <x v="40"/>
    <n v="134"/>
    <s v="Q (Aug 20)"/>
    <d v="2020-08-19T00:00:00"/>
    <n v="-1"/>
  </r>
  <r>
    <x v="549"/>
    <x v="27"/>
    <n v="28.9"/>
    <n v="29.9"/>
    <n v="28.55"/>
    <n v="29.9"/>
    <x v="2187"/>
    <n v="0.97499999999999998"/>
    <n v="806"/>
    <n v="0"/>
    <n v="6441"/>
    <x v="68"/>
    <n v="225"/>
    <s v="X (Nov 20)"/>
    <d v="2020-11-18T00:00:00"/>
    <n v="-1"/>
  </r>
  <r>
    <x v="549"/>
    <x v="32"/>
    <n v="36.15"/>
    <n v="36.85"/>
    <n v="34.299999999999997"/>
    <n v="36.65"/>
    <x v="2529"/>
    <n v="0.8"/>
    <n v="12951"/>
    <n v="0"/>
    <n v="27559"/>
    <x v="27"/>
    <n v="71"/>
    <s v="M (Jun 20)"/>
    <d v="2020-06-17T00:00:00"/>
    <n v="-1"/>
  </r>
  <r>
    <x v="549"/>
    <x v="29"/>
    <n v="30.5"/>
    <n v="31.68"/>
    <n v="29.65"/>
    <n v="31.66"/>
    <x v="2483"/>
    <n v="1.325"/>
    <n v="6114"/>
    <n v="0"/>
    <n v="13556"/>
    <x v="35"/>
    <n v="162"/>
    <s v="U (Sep 20)"/>
    <d v="2020-09-16T00:00:00"/>
    <n v="-1"/>
  </r>
  <r>
    <x v="550"/>
    <x v="26"/>
    <n v="30"/>
    <n v="30.05"/>
    <n v="28.79"/>
    <n v="28.79"/>
    <x v="2421"/>
    <n v="-3.0750000000000002"/>
    <n v="2"/>
    <n v="0"/>
    <n v="2"/>
    <x v="69"/>
    <n v="254"/>
    <s v="Z (Dec 20)"/>
    <d v="2020-12-16T00:00:00"/>
    <n v="-1"/>
  </r>
  <r>
    <x v="550"/>
    <x v="31"/>
    <n v="34.5"/>
    <n v="34.85"/>
    <n v="33.01"/>
    <n v="33.65"/>
    <x v="2446"/>
    <n v="-1.55"/>
    <n v="4006"/>
    <n v="25"/>
    <n v="25157"/>
    <x v="46"/>
    <n v="107"/>
    <s v="N (Jul 20)"/>
    <d v="2020-07-22T00:00:00"/>
    <n v="-1"/>
  </r>
  <r>
    <x v="550"/>
    <x v="28"/>
    <n v="31"/>
    <n v="31.25"/>
    <n v="30"/>
    <n v="30.37"/>
    <x v="2390"/>
    <n v="-1"/>
    <n v="1326"/>
    <n v="0"/>
    <n v="11877"/>
    <x v="48"/>
    <n v="198"/>
    <s v="V (Oct 20)"/>
    <d v="2020-10-21T00:00:00"/>
    <n v="-1"/>
  </r>
  <r>
    <x v="550"/>
    <x v="33"/>
    <n v="40.700000000000003"/>
    <n v="40.700000000000003"/>
    <n v="36.9"/>
    <n v="38.270000000000003"/>
    <x v="2530"/>
    <n v="-2.9750000000000001"/>
    <n v="47409"/>
    <n v="518"/>
    <n v="87086"/>
    <x v="49"/>
    <n v="44"/>
    <s v="K (May 20)"/>
    <d v="2020-05-20T00:00:00"/>
    <n v="-1"/>
  </r>
  <r>
    <x v="550"/>
    <x v="30"/>
    <n v="32.450000000000003"/>
    <n v="32.950000000000003"/>
    <n v="31.4"/>
    <n v="31.87"/>
    <x v="2362"/>
    <n v="-1.35"/>
    <n v="2965"/>
    <n v="0"/>
    <n v="13332"/>
    <x v="52"/>
    <n v="135"/>
    <s v="Q (Aug 20)"/>
    <d v="2020-08-19T00:00:00"/>
    <n v="-1"/>
  </r>
  <r>
    <x v="550"/>
    <x v="27"/>
    <n v="29.91"/>
    <n v="29.91"/>
    <n v="28.8"/>
    <n v="29"/>
    <x v="100"/>
    <n v="-1.05"/>
    <n v="697"/>
    <n v="0"/>
    <n v="6186"/>
    <x v="74"/>
    <n v="226"/>
    <s v="X (Nov 20)"/>
    <d v="2020-11-18T00:00:00"/>
    <n v="-1"/>
  </r>
  <r>
    <x v="550"/>
    <x v="32"/>
    <n v="37.6"/>
    <n v="37.75"/>
    <n v="35.15"/>
    <n v="36.1"/>
    <x v="2531"/>
    <n v="-2.0499999999999998"/>
    <n v="8438"/>
    <n v="75"/>
    <n v="26303"/>
    <x v="42"/>
    <n v="72"/>
    <s v="M (Jun 20)"/>
    <d v="2020-06-17T00:00:00"/>
    <n v="-1"/>
  </r>
  <r>
    <x v="550"/>
    <x v="29"/>
    <n v="31.1"/>
    <n v="31.2"/>
    <n v="30.08"/>
    <n v="30.44"/>
    <x v="2380"/>
    <n v="-1.175"/>
    <n v="2042"/>
    <n v="0"/>
    <n v="12222"/>
    <x v="41"/>
    <n v="163"/>
    <s v="U (Sep 20)"/>
    <d v="2020-09-16T00:00:00"/>
    <n v="-1"/>
  </r>
  <r>
    <x v="550"/>
    <x v="34"/>
    <n v="45"/>
    <n v="45"/>
    <n v="40.299999999999997"/>
    <n v="42.25"/>
    <x v="2506"/>
    <n v="-3.15"/>
    <n v="49740"/>
    <n v="237"/>
    <n v="60103"/>
    <x v="44"/>
    <n v="9"/>
    <s v="J (Apr 20)"/>
    <d v="2020-04-15T00:00:00"/>
    <n v="-1"/>
  </r>
  <r>
    <x v="551"/>
    <x v="34"/>
    <n v="47.55"/>
    <n v="49.05"/>
    <n v="44.15"/>
    <n v="45.1"/>
    <x v="2532"/>
    <n v="-2.25"/>
    <n v="59191"/>
    <n v="668"/>
    <n v="62647"/>
    <x v="47"/>
    <n v="12"/>
    <s v="J (Apr 20)"/>
    <d v="2020-04-15T00:00:00"/>
    <n v="-1"/>
  </r>
  <r>
    <x v="551"/>
    <x v="31"/>
    <n v="35.65"/>
    <n v="36.159999999999997"/>
    <n v="34.92"/>
    <n v="35.200000000000003"/>
    <x v="2533"/>
    <n v="-0.4"/>
    <n v="5063"/>
    <n v="0"/>
    <n v="24747"/>
    <x v="61"/>
    <n v="110"/>
    <s v="N (Jul 20)"/>
    <d v="2020-07-22T00:00:00"/>
    <n v="-1"/>
  </r>
  <r>
    <x v="551"/>
    <x v="28"/>
    <n v="31.25"/>
    <n v="32.049999999999997"/>
    <n v="31.2"/>
    <n v="31.4"/>
    <x v="2420"/>
    <n v="0.05"/>
    <n v="1548"/>
    <n v="0"/>
    <n v="11620"/>
    <x v="54"/>
    <n v="201"/>
    <s v="V (Oct 20)"/>
    <d v="2020-10-21T00:00:00"/>
    <n v="-1"/>
  </r>
  <r>
    <x v="551"/>
    <x v="33"/>
    <n v="42.35"/>
    <n v="43.2"/>
    <n v="40.549999999999997"/>
    <n v="41.1"/>
    <x v="2534"/>
    <n v="-1.125"/>
    <n v="43306"/>
    <n v="1146"/>
    <n v="84659"/>
    <x v="55"/>
    <n v="47"/>
    <s v="K (May 20)"/>
    <d v="2020-05-20T00:00:00"/>
    <n v="-1"/>
  </r>
  <r>
    <x v="551"/>
    <x v="30"/>
    <n v="33.49"/>
    <n v="34.049999999999997"/>
    <n v="32.97"/>
    <n v="33.21"/>
    <x v="2447"/>
    <n v="-0.35"/>
    <n v="2896"/>
    <n v="0"/>
    <n v="12929"/>
    <x v="58"/>
    <n v="138"/>
    <s v="Q (Aug 20)"/>
    <d v="2020-08-19T00:00:00"/>
    <n v="-1"/>
  </r>
  <r>
    <x v="551"/>
    <x v="27"/>
    <n v="30.3"/>
    <n v="30.8"/>
    <n v="29.98"/>
    <n v="30.25"/>
    <x v="2355"/>
    <n v="-0.125"/>
    <n v="457"/>
    <n v="0"/>
    <n v="5901"/>
    <x v="86"/>
    <n v="229"/>
    <s v="X (Nov 20)"/>
    <d v="2020-11-18T00:00:00"/>
    <n v="-1"/>
  </r>
  <r>
    <x v="551"/>
    <x v="32"/>
    <n v="38.75"/>
    <n v="39.25"/>
    <n v="37.85"/>
    <n v="38.049999999999997"/>
    <x v="2530"/>
    <n v="-0.42499999999999999"/>
    <n v="12083"/>
    <n v="0"/>
    <n v="25765"/>
    <x v="45"/>
    <n v="75"/>
    <s v="M (Jun 20)"/>
    <d v="2020-06-17T00:00:00"/>
    <n v="-1"/>
  </r>
  <r>
    <x v="551"/>
    <x v="29"/>
    <n v="31.7"/>
    <n v="32.4"/>
    <n v="31.5"/>
    <n v="31.67"/>
    <x v="2438"/>
    <n v="-0.17499999999999999"/>
    <n v="2302"/>
    <n v="0"/>
    <n v="11742"/>
    <x v="53"/>
    <n v="166"/>
    <s v="U (Sep 20)"/>
    <d v="2020-09-16T00:00:00"/>
    <n v="-1"/>
  </r>
  <r>
    <x v="552"/>
    <x v="31"/>
    <n v="36.200000000000003"/>
    <n v="36.5"/>
    <n v="35"/>
    <n v="35.75"/>
    <x v="2502"/>
    <n v="-1.35"/>
    <n v="5728"/>
    <n v="0"/>
    <n v="24507"/>
    <x v="64"/>
    <n v="111"/>
    <s v="N (Jul 20)"/>
    <d v="2020-07-22T00:00:00"/>
    <n v="-1"/>
  </r>
  <r>
    <x v="552"/>
    <x v="28"/>
    <n v="31.49"/>
    <n v="31.9"/>
    <n v="30.65"/>
    <n v="31.29"/>
    <x v="2363"/>
    <n v="-0.72499999999999998"/>
    <n v="1598"/>
    <n v="0"/>
    <n v="11459"/>
    <x v="66"/>
    <n v="202"/>
    <s v="V (Oct 20)"/>
    <d v="2020-10-21T00:00:00"/>
    <n v="-1"/>
  </r>
  <r>
    <x v="552"/>
    <x v="33"/>
    <n v="43.9"/>
    <n v="44.51"/>
    <n v="41.95"/>
    <n v="42.5"/>
    <x v="2535"/>
    <n v="-2.6"/>
    <n v="43031"/>
    <n v="0"/>
    <n v="78905"/>
    <x v="67"/>
    <n v="48"/>
    <s v="K (May 20)"/>
    <d v="2020-05-20T00:00:00"/>
    <n v="-1"/>
  </r>
  <r>
    <x v="552"/>
    <x v="30"/>
    <n v="34"/>
    <n v="34.08"/>
    <n v="32.85"/>
    <n v="33.6"/>
    <x v="2536"/>
    <n v="-0.95"/>
    <n v="3833"/>
    <n v="0"/>
    <n v="12703"/>
    <x v="70"/>
    <n v="139"/>
    <s v="Q (Aug 20)"/>
    <d v="2020-08-19T00:00:00"/>
    <n v="-1"/>
  </r>
  <r>
    <x v="552"/>
    <x v="27"/>
    <n v="30.5"/>
    <n v="30.7"/>
    <n v="29.77"/>
    <n v="30.05"/>
    <x v="2458"/>
    <n v="-0.65"/>
    <n v="372"/>
    <n v="0"/>
    <n v="5864"/>
    <x v="92"/>
    <n v="230"/>
    <s v="X (Nov 20)"/>
    <d v="2020-11-18T00:00:00"/>
    <n v="-1"/>
  </r>
  <r>
    <x v="552"/>
    <x v="32"/>
    <n v="39.65"/>
    <n v="40.06"/>
    <n v="38.25"/>
    <n v="38.770000000000003"/>
    <x v="2537"/>
    <n v="-2.0249999999999999"/>
    <n v="13533"/>
    <n v="0"/>
    <n v="27339"/>
    <x v="60"/>
    <n v="76"/>
    <s v="M (Jun 20)"/>
    <d v="2020-06-17T00:00:00"/>
    <n v="-1"/>
  </r>
  <r>
    <x v="552"/>
    <x v="29"/>
    <n v="32.15"/>
    <n v="32.25"/>
    <n v="31.15"/>
    <n v="31.87"/>
    <x v="2365"/>
    <n v="-0.85"/>
    <n v="2839"/>
    <n v="0"/>
    <n v="11296"/>
    <x v="59"/>
    <n v="167"/>
    <s v="U (Sep 20)"/>
    <d v="2020-09-16T00:00:00"/>
    <n v="-1"/>
  </r>
  <r>
    <x v="552"/>
    <x v="34"/>
    <n v="50.5"/>
    <n v="51.05"/>
    <n v="47.05"/>
    <n v="47.8"/>
    <x v="2538"/>
    <n v="-4.1500000000000004"/>
    <n v="53582"/>
    <n v="0"/>
    <n v="68279"/>
    <x v="62"/>
    <n v="13"/>
    <s v="J (Apr 20)"/>
    <d v="2020-04-15T00:00:00"/>
    <n v="-1"/>
  </r>
  <r>
    <x v="553"/>
    <x v="34"/>
    <n v="48.85"/>
    <n v="51.75"/>
    <n v="47.45"/>
    <n v="50.47"/>
    <x v="2539"/>
    <n v="4.55"/>
    <n v="57465"/>
    <n v="0"/>
    <n v="72102"/>
    <x v="65"/>
    <n v="14"/>
    <s v="J (Apr 20)"/>
    <d v="2020-04-15T00:00:00"/>
    <n v="-1"/>
  </r>
  <r>
    <x v="553"/>
    <x v="31"/>
    <n v="34.15"/>
    <n v="36.909999999999997"/>
    <n v="33.85"/>
    <n v="36.31"/>
    <x v="2465"/>
    <n v="2.85"/>
    <n v="6128"/>
    <n v="0"/>
    <n v="24023"/>
    <x v="79"/>
    <n v="112"/>
    <s v="N (Jul 20)"/>
    <d v="2020-07-22T00:00:00"/>
    <n v="-1"/>
  </r>
  <r>
    <x v="553"/>
    <x v="28"/>
    <n v="30.15"/>
    <n v="32.049999999999997"/>
    <n v="29.2"/>
    <n v="31.8"/>
    <x v="2540"/>
    <n v="2.0249999999999999"/>
    <n v="3904"/>
    <n v="0"/>
    <n v="10949"/>
    <x v="72"/>
    <n v="203"/>
    <s v="V (Oct 20)"/>
    <d v="2020-10-21T00:00:00"/>
    <n v="-1"/>
  </r>
  <r>
    <x v="553"/>
    <x v="33"/>
    <n v="41.48"/>
    <n v="44.95"/>
    <n v="41.36"/>
    <n v="43.95"/>
    <x v="2541"/>
    <n v="3.7"/>
    <n v="46422"/>
    <n v="0"/>
    <n v="75754"/>
    <x v="73"/>
    <n v="49"/>
    <s v="K (May 20)"/>
    <d v="2020-05-20T00:00:00"/>
    <n v="-1"/>
  </r>
  <r>
    <x v="553"/>
    <x v="30"/>
    <n v="32"/>
    <n v="34.49"/>
    <n v="31.2"/>
    <n v="34.020000000000003"/>
    <x v="2542"/>
    <n v="2.7"/>
    <n v="3293"/>
    <n v="0"/>
    <n v="12353"/>
    <x v="76"/>
    <n v="140"/>
    <s v="Q (Aug 20)"/>
    <d v="2020-08-19T00:00:00"/>
    <n v="-1"/>
  </r>
  <r>
    <x v="553"/>
    <x v="27"/>
    <n v="28.55"/>
    <n v="31.01"/>
    <n v="27.75"/>
    <n v="30.7"/>
    <x v="2459"/>
    <n v="2.0499999999999998"/>
    <n v="2182"/>
    <n v="0"/>
    <n v="5910"/>
    <x v="104"/>
    <n v="231"/>
    <s v="X (Nov 20)"/>
    <d v="2020-11-18T00:00:00"/>
    <n v="-1"/>
  </r>
  <r>
    <x v="553"/>
    <x v="32"/>
    <n v="37.6"/>
    <n v="40.69"/>
    <n v="37.549999999999997"/>
    <n v="39.81"/>
    <x v="2543"/>
    <n v="3.15"/>
    <n v="10653"/>
    <n v="0"/>
    <n v="28291"/>
    <x v="63"/>
    <n v="77"/>
    <s v="M (Jun 20)"/>
    <d v="2020-06-17T00:00:00"/>
    <n v="-1"/>
  </r>
  <r>
    <x v="553"/>
    <x v="29"/>
    <n v="30.4"/>
    <n v="32.619999999999997"/>
    <n v="29.55"/>
    <n v="32.21"/>
    <x v="2417"/>
    <n v="2.4249999999999998"/>
    <n v="3559"/>
    <n v="0"/>
    <n v="10991"/>
    <x v="71"/>
    <n v="168"/>
    <s v="U (Sep 20)"/>
    <d v="2020-09-16T00:00:00"/>
    <n v="-1"/>
  </r>
  <r>
    <x v="554"/>
    <x v="31"/>
    <n v="34.270000000000003"/>
    <n v="34.85"/>
    <n v="33.04"/>
    <n v="33.950000000000003"/>
    <x v="2544"/>
    <n v="-0.375"/>
    <n v="7034"/>
    <n v="0"/>
    <n v="23298"/>
    <x v="82"/>
    <n v="113"/>
    <s v="N (Jul 20)"/>
    <d v="2020-07-22T00:00:00"/>
    <n v="-1"/>
  </r>
  <r>
    <x v="554"/>
    <x v="28"/>
    <n v="30"/>
    <n v="30.07"/>
    <n v="29.2"/>
    <n v="29.95"/>
    <x v="2378"/>
    <n v="0.15"/>
    <n v="1450"/>
    <n v="0"/>
    <n v="11356"/>
    <x v="84"/>
    <n v="204"/>
    <s v="V (Oct 20)"/>
    <d v="2020-10-21T00:00:00"/>
    <n v="-1"/>
  </r>
  <r>
    <x v="554"/>
    <x v="33"/>
    <n v="42.72"/>
    <n v="44.05"/>
    <n v="40.17"/>
    <n v="41.2"/>
    <x v="2545"/>
    <n v="-1.825"/>
    <n v="46890"/>
    <n v="0"/>
    <n v="68864"/>
    <x v="85"/>
    <n v="50"/>
    <s v="K (May 20)"/>
    <d v="2020-05-20T00:00:00"/>
    <n v="-1"/>
  </r>
  <r>
    <x v="554"/>
    <x v="30"/>
    <n v="31.45"/>
    <n v="31.8"/>
    <n v="30.6"/>
    <n v="31.65"/>
    <x v="2365"/>
    <n v="0.25"/>
    <n v="3554"/>
    <n v="0"/>
    <n v="12126"/>
    <x v="88"/>
    <n v="141"/>
    <s v="Q (Aug 20)"/>
    <d v="2020-08-19T00:00:00"/>
    <n v="-1"/>
  </r>
  <r>
    <x v="554"/>
    <x v="27"/>
    <n v="28.64"/>
    <n v="28.8"/>
    <n v="28"/>
    <n v="28.7"/>
    <x v="71"/>
    <n v="0.1"/>
    <n v="401"/>
    <n v="0"/>
    <n v="5722"/>
    <x v="110"/>
    <n v="232"/>
    <s v="X (Nov 20)"/>
    <d v="2020-11-18T00:00:00"/>
    <n v="-1"/>
  </r>
  <r>
    <x v="554"/>
    <x v="32"/>
    <n v="38.229999999999997"/>
    <n v="39"/>
    <n v="36.049999999999997"/>
    <n v="37.4"/>
    <x v="2546"/>
    <n v="-0.95"/>
    <n v="15202"/>
    <n v="0"/>
    <n v="28491"/>
    <x v="78"/>
    <n v="78"/>
    <s v="M (Jun 20)"/>
    <d v="2020-06-17T00:00:00"/>
    <n v="-1"/>
  </r>
  <r>
    <x v="554"/>
    <x v="29"/>
    <n v="30.1"/>
    <n v="30.2"/>
    <n v="29.15"/>
    <n v="30.1"/>
    <x v="2458"/>
    <n v="0.17499999999999999"/>
    <n v="2760"/>
    <n v="0"/>
    <n v="10652"/>
    <x v="77"/>
    <n v="169"/>
    <s v="U (Sep 20)"/>
    <d v="2020-09-16T00:00:00"/>
    <n v="-1"/>
  </r>
  <r>
    <x v="554"/>
    <x v="34"/>
    <n v="49.6"/>
    <n v="51.3"/>
    <n v="45.9"/>
    <n v="47.25"/>
    <x v="2547"/>
    <n v="-3"/>
    <n v="65552"/>
    <n v="0"/>
    <n v="74363"/>
    <x v="80"/>
    <n v="15"/>
    <s v="J (Apr 20)"/>
    <d v="2020-04-15T00:00:00"/>
    <n v="-1"/>
  </r>
  <r>
    <x v="555"/>
    <x v="34"/>
    <n v="55.45"/>
    <n v="56.65"/>
    <n v="49.55"/>
    <n v="49.65"/>
    <x v="2548"/>
    <n v="-3.65"/>
    <n v="56924"/>
    <n v="0"/>
    <n v="80178"/>
    <x v="83"/>
    <n v="16"/>
    <s v="J (Apr 20)"/>
    <d v="2020-04-15T00:00:00"/>
    <n v="-1"/>
  </r>
  <r>
    <x v="555"/>
    <x v="31"/>
    <n v="35.46"/>
    <n v="36.25"/>
    <n v="33.75"/>
    <n v="34.299999999999997"/>
    <x v="2549"/>
    <n v="-1.05"/>
    <n v="4258"/>
    <n v="0"/>
    <n v="22301"/>
    <x v="97"/>
    <n v="114"/>
    <s v="N (Jul 20)"/>
    <d v="2020-07-22T00:00:00"/>
    <n v="-1"/>
  </r>
  <r>
    <x v="555"/>
    <x v="28"/>
    <n v="31.4"/>
    <n v="31.4"/>
    <n v="29.5"/>
    <n v="29.7"/>
    <x v="2374"/>
    <n v="-0.875"/>
    <n v="1917"/>
    <n v="700"/>
    <n v="11363"/>
    <x v="90"/>
    <n v="205"/>
    <s v="V (Oct 20)"/>
    <d v="2020-10-21T00:00:00"/>
    <n v="-1"/>
  </r>
  <r>
    <x v="555"/>
    <x v="33"/>
    <n v="46.45"/>
    <n v="46.7"/>
    <n v="42.05"/>
    <n v="42.54"/>
    <x v="2550"/>
    <n v="-2.0750000000000002"/>
    <n v="34568"/>
    <n v="0"/>
    <n v="68489"/>
    <x v="91"/>
    <n v="51"/>
    <s v="K (May 20)"/>
    <d v="2020-05-20T00:00:00"/>
    <n v="-1"/>
  </r>
  <r>
    <x v="555"/>
    <x v="30"/>
    <n v="32.700000000000003"/>
    <n v="32.950000000000003"/>
    <n v="30.88"/>
    <n v="31.45"/>
    <x v="2329"/>
    <n v="-0.82499999999999996"/>
    <n v="1776"/>
    <n v="0"/>
    <n v="12188"/>
    <x v="94"/>
    <n v="142"/>
    <s v="Q (Aug 20)"/>
    <d v="2020-08-19T00:00:00"/>
    <n v="-1"/>
  </r>
  <r>
    <x v="555"/>
    <x v="27"/>
    <n v="29.85"/>
    <n v="30.15"/>
    <n v="28.4"/>
    <n v="28.6"/>
    <x v="99"/>
    <n v="-0.72499999999999998"/>
    <n v="272"/>
    <n v="0"/>
    <n v="5718"/>
    <x v="122"/>
    <n v="233"/>
    <s v="X (Nov 20)"/>
    <d v="2020-11-18T00:00:00"/>
    <n v="-1"/>
  </r>
  <r>
    <x v="555"/>
    <x v="32"/>
    <n v="39.61"/>
    <n v="40.98"/>
    <n v="37.25"/>
    <n v="38.15"/>
    <x v="2551"/>
    <n v="-1.2749999999999999"/>
    <n v="7049"/>
    <n v="0"/>
    <n v="27659"/>
    <x v="81"/>
    <n v="79"/>
    <s v="M (Jun 20)"/>
    <d v="2020-06-17T00:00:00"/>
    <n v="-1"/>
  </r>
  <r>
    <x v="555"/>
    <x v="29"/>
    <n v="31.29"/>
    <n v="31.51"/>
    <n v="29.52"/>
    <n v="29.9"/>
    <x v="2378"/>
    <n v="-0.92500000000000004"/>
    <n v="1372"/>
    <n v="0"/>
    <n v="10377"/>
    <x v="89"/>
    <n v="170"/>
    <s v="U (Sep 20)"/>
    <d v="2020-09-16T00:00:00"/>
    <n v="-1"/>
  </r>
  <r>
    <x v="556"/>
    <x v="31"/>
    <n v="32.409999999999997"/>
    <n v="35.6"/>
    <n v="32.270000000000003"/>
    <n v="35.35"/>
    <x v="2552"/>
    <n v="3.0249999999999999"/>
    <n v="4291"/>
    <n v="0"/>
    <n v="22054"/>
    <x v="100"/>
    <n v="117"/>
    <s v="N (Jul 20)"/>
    <d v="2020-07-22T00:00:00"/>
    <n v="-1"/>
  </r>
  <r>
    <x v="556"/>
    <x v="28"/>
    <n v="29.2"/>
    <n v="31.2"/>
    <n v="29.2"/>
    <n v="30.72"/>
    <x v="2426"/>
    <n v="1.7749999999999999"/>
    <n v="1683"/>
    <n v="0"/>
    <n v="11562"/>
    <x v="102"/>
    <n v="208"/>
    <s v="V (Oct 20)"/>
    <d v="2020-10-21T00:00:00"/>
    <n v="-1"/>
  </r>
  <r>
    <x v="556"/>
    <x v="33"/>
    <n v="39.65"/>
    <n v="44.9"/>
    <n v="39.35"/>
    <n v="44.75"/>
    <x v="2553"/>
    <n v="5.1749999999999998"/>
    <n v="45238"/>
    <n v="1035"/>
    <n v="67021"/>
    <x v="103"/>
    <n v="54"/>
    <s v="K (May 20)"/>
    <d v="2020-05-20T00:00:00"/>
    <n v="-1"/>
  </r>
  <r>
    <x v="556"/>
    <x v="30"/>
    <n v="30.02"/>
    <n v="32.67"/>
    <n v="29.85"/>
    <n v="32.35"/>
    <x v="2511"/>
    <n v="2.4249999999999998"/>
    <n v="2634"/>
    <n v="0"/>
    <n v="12317"/>
    <x v="106"/>
    <n v="145"/>
    <s v="Q (Aug 20)"/>
    <d v="2020-08-19T00:00:00"/>
    <n v="-1"/>
  </r>
  <r>
    <x v="556"/>
    <x v="27"/>
    <n v="28.35"/>
    <n v="30.05"/>
    <n v="28"/>
    <n v="29.35"/>
    <x v="2334"/>
    <n v="1.4750000000000001"/>
    <n v="620"/>
    <n v="0"/>
    <n v="5709"/>
    <x v="128"/>
    <n v="236"/>
    <s v="X (Nov 20)"/>
    <d v="2020-11-18T00:00:00"/>
    <n v="-1"/>
  </r>
  <r>
    <x v="556"/>
    <x v="32"/>
    <n v="35.590000000000003"/>
    <n v="39.549999999999997"/>
    <n v="35.299999999999997"/>
    <n v="39.5"/>
    <x v="2554"/>
    <n v="3.9249999999999998"/>
    <n v="7764"/>
    <n v="0"/>
    <n v="27617"/>
    <x v="96"/>
    <n v="82"/>
    <s v="M (Jun 20)"/>
    <d v="2020-06-17T00:00:00"/>
    <n v="-1"/>
  </r>
  <r>
    <x v="556"/>
    <x v="29"/>
    <n v="28.8"/>
    <n v="31.06"/>
    <n v="28.8"/>
    <n v="30.86"/>
    <x v="2514"/>
    <n v="2.2000000000000002"/>
    <n v="1937"/>
    <n v="0"/>
    <n v="10305"/>
    <x v="95"/>
    <n v="173"/>
    <s v="U (Sep 20)"/>
    <d v="2020-09-16T00:00:00"/>
    <n v="-1"/>
  </r>
  <r>
    <x v="556"/>
    <x v="26"/>
    <n v="29.25"/>
    <n v="29.25"/>
    <n v="29.25"/>
    <n v="29.25"/>
    <x v="2382"/>
    <n v="2.5750000000000002"/>
    <n v="1"/>
    <n v="0"/>
    <n v="1"/>
    <x v="123"/>
    <n v="264"/>
    <s v="Z (Dec 20)"/>
    <d v="2020-12-16T00:00:00"/>
    <n v="-1"/>
  </r>
  <r>
    <x v="556"/>
    <x v="34"/>
    <n v="46.35"/>
    <n v="53.65"/>
    <n v="45.65"/>
    <n v="53.4"/>
    <x v="2555"/>
    <n v="7.55"/>
    <n v="63962"/>
    <n v="60"/>
    <n v="86700"/>
    <x v="98"/>
    <n v="19"/>
    <s v="J (Apr 20)"/>
    <d v="2020-04-15T00:00:00"/>
    <n v="-1"/>
  </r>
  <r>
    <x v="557"/>
    <x v="34"/>
    <n v="51.5"/>
    <n v="56"/>
    <n v="45.7"/>
    <n v="46.35"/>
    <x v="2556"/>
    <n v="-5.4"/>
    <n v="98487"/>
    <n v="3979"/>
    <n v="88871"/>
    <x v="101"/>
    <n v="20"/>
    <s v="J (Apr 20)"/>
    <d v="2020-04-15T00:00:00"/>
    <n v="-1"/>
  </r>
  <r>
    <x v="557"/>
    <x v="31"/>
    <n v="35.049999999999997"/>
    <n v="36.450000000000003"/>
    <n v="31.81"/>
    <n v="32.35"/>
    <x v="2435"/>
    <n v="-2.4750000000000001"/>
    <n v="7176"/>
    <n v="0"/>
    <n v="21682"/>
    <x v="115"/>
    <n v="118"/>
    <s v="N (Jul 20)"/>
    <d v="2020-07-22T00:00:00"/>
    <n v="-1"/>
  </r>
  <r>
    <x v="557"/>
    <x v="28"/>
    <n v="30.75"/>
    <n v="31.4"/>
    <n v="28.65"/>
    <n v="28.86"/>
    <x v="2357"/>
    <n v="-1.7749999999999999"/>
    <n v="2243"/>
    <n v="0"/>
    <n v="11729"/>
    <x v="108"/>
    <n v="209"/>
    <s v="V (Oct 20)"/>
    <d v="2020-10-21T00:00:00"/>
    <n v="-1"/>
  </r>
  <r>
    <x v="557"/>
    <x v="33"/>
    <n v="44.2"/>
    <n v="47.6"/>
    <n v="39.549999999999997"/>
    <n v="39.799999999999997"/>
    <x v="2557"/>
    <n v="-4.875"/>
    <n v="47833"/>
    <n v="2914"/>
    <n v="62509"/>
    <x v="109"/>
    <n v="55"/>
    <s v="K (May 20)"/>
    <d v="2020-05-20T00:00:00"/>
    <n v="-1"/>
  </r>
  <r>
    <x v="557"/>
    <x v="30"/>
    <n v="31.71"/>
    <n v="32.840000000000003"/>
    <n v="29.35"/>
    <n v="29.88"/>
    <x v="2391"/>
    <n v="-1.85"/>
    <n v="4871"/>
    <n v="0"/>
    <n v="12556"/>
    <x v="112"/>
    <n v="146"/>
    <s v="Q (Aug 20)"/>
    <d v="2020-08-19T00:00:00"/>
    <n v="-1"/>
  </r>
  <r>
    <x v="557"/>
    <x v="27"/>
    <n v="29.6"/>
    <n v="29.7"/>
    <n v="27.6"/>
    <n v="27.7"/>
    <x v="151"/>
    <n v="-1.35"/>
    <n v="769"/>
    <n v="0"/>
    <n v="5851"/>
    <x v="139"/>
    <n v="237"/>
    <s v="X (Nov 20)"/>
    <d v="2020-11-18T00:00:00"/>
    <n v="-1"/>
  </r>
  <r>
    <x v="557"/>
    <x v="32"/>
    <n v="39.450000000000003"/>
    <n v="41.8"/>
    <n v="35.25"/>
    <n v="35.630000000000003"/>
    <x v="2558"/>
    <n v="-3.7250000000000001"/>
    <n v="9332"/>
    <n v="0"/>
    <n v="27360"/>
    <x v="99"/>
    <n v="83"/>
    <s v="M (Jun 20)"/>
    <d v="2020-06-17T00:00:00"/>
    <n v="-1"/>
  </r>
  <r>
    <x v="557"/>
    <x v="29"/>
    <n v="30.8"/>
    <n v="31.25"/>
    <n v="28.28"/>
    <n v="28.81"/>
    <x v="87"/>
    <n v="-2.0499999999999998"/>
    <n v="3814"/>
    <n v="0"/>
    <n v="10506"/>
    <x v="107"/>
    <n v="174"/>
    <s v="U (Sep 20)"/>
    <d v="2020-09-16T00:00:00"/>
    <n v="-1"/>
  </r>
  <r>
    <x v="558"/>
    <x v="31"/>
    <n v="30.3"/>
    <n v="36.11"/>
    <n v="30.1"/>
    <n v="35.04"/>
    <x v="2559"/>
    <n v="3.9"/>
    <n v="11536"/>
    <n v="0"/>
    <n v="20605"/>
    <x v="118"/>
    <n v="119"/>
    <s v="N (Jul 20)"/>
    <d v="2020-07-22T00:00:00"/>
    <n v="-1"/>
  </r>
  <r>
    <x v="558"/>
    <x v="28"/>
    <n v="26.75"/>
    <n v="32.15"/>
    <n v="26.39"/>
    <n v="30.92"/>
    <x v="2426"/>
    <n v="3.65"/>
    <n v="3121"/>
    <n v="0"/>
    <n v="11665"/>
    <x v="120"/>
    <n v="210"/>
    <s v="V (Oct 20)"/>
    <d v="2020-10-21T00:00:00"/>
    <n v="-1"/>
  </r>
  <r>
    <x v="558"/>
    <x v="33"/>
    <n v="39.950000000000003"/>
    <n v="45.75"/>
    <n v="37.9"/>
    <n v="44.52"/>
    <x v="2560"/>
    <n v="4.375"/>
    <n v="67087"/>
    <n v="1400"/>
    <n v="61764"/>
    <x v="121"/>
    <n v="56"/>
    <s v="K (May 20)"/>
    <d v="2020-05-20T00:00:00"/>
    <n v="-1"/>
  </r>
  <r>
    <x v="558"/>
    <x v="30"/>
    <n v="27.35"/>
    <n v="33"/>
    <n v="27.1"/>
    <n v="31.94"/>
    <x v="2365"/>
    <n v="3.9249999999999998"/>
    <n v="7669"/>
    <n v="0"/>
    <n v="13132"/>
    <x v="124"/>
    <n v="147"/>
    <s v="Q (Aug 20)"/>
    <d v="2020-08-19T00:00:00"/>
    <n v="-1"/>
  </r>
  <r>
    <x v="558"/>
    <x v="27"/>
    <n v="25.27"/>
    <n v="30.4"/>
    <n v="25.27"/>
    <n v="29.45"/>
    <x v="2153"/>
    <n v="3.375"/>
    <n v="863"/>
    <n v="0"/>
    <n v="5903"/>
    <x v="144"/>
    <n v="238"/>
    <s v="X (Nov 20)"/>
    <d v="2020-11-18T00:00:00"/>
    <n v="-1"/>
  </r>
  <r>
    <x v="558"/>
    <x v="32"/>
    <n v="35.33"/>
    <n v="40.65"/>
    <n v="34"/>
    <n v="39.549999999999997"/>
    <x v="2561"/>
    <n v="3.55"/>
    <n v="20338"/>
    <n v="0"/>
    <n v="27955"/>
    <x v="114"/>
    <n v="84"/>
    <s v="M (Jun 20)"/>
    <d v="2020-06-17T00:00:00"/>
    <n v="-1"/>
  </r>
  <r>
    <x v="558"/>
    <x v="29"/>
    <n v="26.53"/>
    <n v="31.9"/>
    <n v="26.11"/>
    <n v="30.9"/>
    <x v="2562"/>
    <n v="3.9"/>
    <n v="5842"/>
    <n v="0"/>
    <n v="10244"/>
    <x v="113"/>
    <n v="175"/>
    <s v="U (Sep 20)"/>
    <d v="2020-09-16T00:00:00"/>
    <n v="-1"/>
  </r>
  <r>
    <x v="558"/>
    <x v="34"/>
    <n v="47"/>
    <n v="54.15"/>
    <n v="44.2"/>
    <n v="51.31"/>
    <x v="2563"/>
    <n v="3.0249999999999999"/>
    <n v="91253"/>
    <n v="2000"/>
    <n v="94135"/>
    <x v="116"/>
    <n v="21"/>
    <s v="J (Apr 20)"/>
    <d v="2020-04-15T00:00:00"/>
    <n v="-1"/>
  </r>
  <r>
    <x v="559"/>
    <x v="34"/>
    <n v="48.55"/>
    <n v="48.98"/>
    <n v="40.15"/>
    <n v="46.75"/>
    <x v="2564"/>
    <n v="-1.2"/>
    <n v="119303"/>
    <n v="5213"/>
    <n v="144865"/>
    <x v="119"/>
    <n v="22"/>
    <s v="J (Apr 20)"/>
    <d v="2020-04-15T00:00:00"/>
    <n v="-1"/>
  </r>
  <r>
    <x v="559"/>
    <x v="31"/>
    <n v="33.57"/>
    <n v="33.950000000000003"/>
    <n v="28.8"/>
    <n v="30.37"/>
    <x v="2565"/>
    <n v="-3.5750000000000002"/>
    <n v="11391"/>
    <n v="0"/>
    <n v="27198"/>
    <x v="132"/>
    <n v="120"/>
    <s v="N (Jul 20)"/>
    <d v="2020-07-22T00:00:00"/>
    <n v="-1"/>
  </r>
  <r>
    <x v="559"/>
    <x v="28"/>
    <n v="29.03"/>
    <n v="29.35"/>
    <n v="26.39"/>
    <n v="26.7"/>
    <x v="280"/>
    <n v="-2.5750000000000002"/>
    <n v="2747"/>
    <n v="0"/>
    <n v="13042"/>
    <x v="126"/>
    <n v="211"/>
    <s v="V (Oct 20)"/>
    <d v="2020-10-21T00:00:00"/>
    <n v="-1"/>
  </r>
  <r>
    <x v="559"/>
    <x v="33"/>
    <n v="43.35"/>
    <n v="44.58"/>
    <n v="35.9"/>
    <n v="39.6"/>
    <x v="2566"/>
    <n v="-5.1749999999999998"/>
    <n v="73319"/>
    <n v="4057"/>
    <n v="87932"/>
    <x v="127"/>
    <n v="57"/>
    <s v="K (May 20)"/>
    <d v="2020-05-20T00:00:00"/>
    <n v="-1"/>
  </r>
  <r>
    <x v="559"/>
    <x v="30"/>
    <n v="29.35"/>
    <n v="30.2"/>
    <n v="26.7"/>
    <n v="27.3"/>
    <x v="264"/>
    <n v="-2.95"/>
    <n v="6468"/>
    <n v="0"/>
    <n v="16596"/>
    <x v="129"/>
    <n v="148"/>
    <s v="Q (Aug 20)"/>
    <d v="2020-08-19T00:00:00"/>
    <n v="-1"/>
  </r>
  <r>
    <x v="559"/>
    <x v="27"/>
    <n v="28"/>
    <n v="28.1"/>
    <n v="25.35"/>
    <n v="25.65"/>
    <x v="358"/>
    <n v="-2.7"/>
    <n v="575"/>
    <n v="0"/>
    <n v="6272"/>
    <x v="155"/>
    <n v="239"/>
    <s v="X (Nov 20)"/>
    <d v="2020-11-18T00:00:00"/>
    <n v="-1"/>
  </r>
  <r>
    <x v="559"/>
    <x v="32"/>
    <n v="39.4"/>
    <n v="40.1"/>
    <n v="32.1"/>
    <n v="34.99"/>
    <x v="2567"/>
    <n v="-4.6500000000000004"/>
    <n v="15923"/>
    <n v="0"/>
    <n v="33846"/>
    <x v="117"/>
    <n v="85"/>
    <s v="M (Jun 20)"/>
    <d v="2020-06-17T00:00:00"/>
    <n v="-1"/>
  </r>
  <r>
    <x v="559"/>
    <x v="29"/>
    <n v="27.79"/>
    <n v="28.31"/>
    <n v="25.6"/>
    <n v="26.32"/>
    <x v="396"/>
    <n v="-1.7749999999999999"/>
    <n v="5714"/>
    <n v="0"/>
    <n v="13316"/>
    <x v="125"/>
    <n v="176"/>
    <s v="U (Sep 20)"/>
    <d v="2020-09-16T00:00:00"/>
    <n v="-1"/>
  </r>
  <r>
    <x v="560"/>
    <x v="31"/>
    <n v="44.45"/>
    <n v="47.26"/>
    <n v="33.6"/>
    <n v="34.25"/>
    <x v="2443"/>
    <n v="-7.6"/>
    <n v="11400"/>
    <n v="0"/>
    <n v="22928"/>
    <x v="135"/>
    <n v="121"/>
    <s v="N (Jul 20)"/>
    <d v="2020-07-22T00:00:00"/>
    <n v="-1"/>
  </r>
  <r>
    <x v="560"/>
    <x v="28"/>
    <n v="34.25"/>
    <n v="36.200000000000003"/>
    <n v="29.2"/>
    <n v="29.2"/>
    <x v="2288"/>
    <n v="-3.55"/>
    <n v="3979"/>
    <n v="0"/>
    <n v="12831"/>
    <x v="137"/>
    <n v="212"/>
    <s v="V (Oct 20)"/>
    <d v="2020-10-21T00:00:00"/>
    <n v="-1"/>
  </r>
  <r>
    <x v="560"/>
    <x v="33"/>
    <n v="57.85"/>
    <n v="63.75"/>
    <n v="43.8"/>
    <n v="44.6"/>
    <x v="2568"/>
    <n v="-11.3"/>
    <n v="69249"/>
    <n v="607"/>
    <n v="58635"/>
    <x v="138"/>
    <n v="58"/>
    <s v="K (May 20)"/>
    <d v="2020-05-20T00:00:00"/>
    <n v="-1"/>
  </r>
  <r>
    <x v="560"/>
    <x v="30"/>
    <n v="38.1"/>
    <n v="40.799999999999997"/>
    <n v="29.81"/>
    <n v="30.3"/>
    <x v="2562"/>
    <n v="-5.7249999999999996"/>
    <n v="6172"/>
    <n v="0"/>
    <n v="14919"/>
    <x v="140"/>
    <n v="149"/>
    <s v="Q (Aug 20)"/>
    <d v="2020-08-19T00:00:00"/>
    <n v="-1"/>
  </r>
  <r>
    <x v="560"/>
    <x v="27"/>
    <n v="34.35"/>
    <n v="34.450000000000003"/>
    <n v="28.2"/>
    <n v="28.2"/>
    <x v="520"/>
    <n v="-2.9249999999999998"/>
    <n v="1136"/>
    <n v="0"/>
    <n v="6216"/>
    <x v="160"/>
    <n v="240"/>
    <s v="X (Nov 20)"/>
    <d v="2020-11-18T00:00:00"/>
    <n v="-1"/>
  </r>
  <r>
    <x v="560"/>
    <x v="32"/>
    <n v="52.35"/>
    <n v="55.76"/>
    <n v="39.24"/>
    <n v="39.83"/>
    <x v="2569"/>
    <n v="-9.375"/>
    <n v="25991"/>
    <n v="2500"/>
    <n v="29151"/>
    <x v="131"/>
    <n v="86"/>
    <s v="M (Jun 20)"/>
    <d v="2020-06-17T00:00:00"/>
    <n v="-1"/>
  </r>
  <r>
    <x v="560"/>
    <x v="29"/>
    <n v="34.4"/>
    <n v="36.950000000000003"/>
    <n v="28.04"/>
    <n v="28.15"/>
    <x v="164"/>
    <n v="-4.4000000000000004"/>
    <n v="5437"/>
    <n v="0"/>
    <n v="12380"/>
    <x v="130"/>
    <n v="177"/>
    <s v="U (Sep 20)"/>
    <d v="2020-09-16T00:00:00"/>
    <n v="-1"/>
  </r>
  <r>
    <x v="560"/>
    <x v="34"/>
    <n v="63.05"/>
    <n v="72.5"/>
    <n v="48.75"/>
    <n v="49.4"/>
    <x v="2570"/>
    <n v="-12.074999999999999"/>
    <n v="151186"/>
    <n v="3251"/>
    <n v="114797"/>
    <x v="133"/>
    <n v="23"/>
    <s v="J (Apr 20)"/>
    <d v="2020-04-15T00:00:00"/>
    <n v="-1"/>
  </r>
  <r>
    <x v="561"/>
    <x v="34"/>
    <n v="68"/>
    <n v="68.95"/>
    <n v="53.05"/>
    <n v="62"/>
    <x v="2571"/>
    <n v="-4.7750000000000004"/>
    <n v="181252"/>
    <n v="11265"/>
    <n v="125724"/>
    <x v="136"/>
    <n v="26"/>
    <s v="J (Apr 20)"/>
    <d v="2020-04-15T00:00:00"/>
    <n v="-1"/>
  </r>
  <r>
    <x v="561"/>
    <x v="30"/>
    <n v="37.93"/>
    <n v="37.93"/>
    <n v="32.799999999999997"/>
    <n v="36.57"/>
    <x v="2505"/>
    <n v="-0.57499999999999996"/>
    <n v="5206"/>
    <n v="0"/>
    <n v="14826"/>
    <x v="146"/>
    <n v="152"/>
    <s v="Q (Aug 20)"/>
    <d v="2020-08-19T00:00:00"/>
    <n v="-1"/>
  </r>
  <r>
    <x v="561"/>
    <x v="31"/>
    <n v="43.99"/>
    <n v="44.36"/>
    <n v="37.590000000000003"/>
    <n v="42.65"/>
    <x v="2572"/>
    <n v="-0.9"/>
    <n v="9846"/>
    <n v="0"/>
    <n v="22372"/>
    <x v="149"/>
    <n v="124"/>
    <s v="N (Jul 20)"/>
    <d v="2020-07-22T00:00:00"/>
    <n v="-1"/>
  </r>
  <r>
    <x v="561"/>
    <x v="28"/>
    <n v="34.200000000000003"/>
    <n v="34.26"/>
    <n v="30.05"/>
    <n v="33.049999999999997"/>
    <x v="2339"/>
    <n v="-0.92500000000000004"/>
    <n v="2840"/>
    <n v="0"/>
    <n v="11812"/>
    <x v="142"/>
    <n v="215"/>
    <s v="V (Oct 20)"/>
    <d v="2020-10-21T00:00:00"/>
    <n v="-1"/>
  </r>
  <r>
    <x v="561"/>
    <x v="33"/>
    <n v="58.85"/>
    <n v="60.8"/>
    <n v="48.3"/>
    <n v="56.95"/>
    <x v="2573"/>
    <n v="-2.35"/>
    <n v="73543"/>
    <n v="1328"/>
    <n v="56177"/>
    <x v="143"/>
    <n v="61"/>
    <s v="K (May 20)"/>
    <d v="2020-05-20T00:00:00"/>
    <n v="-1"/>
  </r>
  <r>
    <x v="561"/>
    <x v="27"/>
    <n v="32.1"/>
    <n v="32.200000000000003"/>
    <n v="28.05"/>
    <n v="31.6"/>
    <x v="2574"/>
    <n v="-1.125"/>
    <n v="1320"/>
    <n v="0"/>
    <n v="6246"/>
    <x v="171"/>
    <n v="243"/>
    <s v="X (Nov 20)"/>
    <d v="2020-11-18T00:00:00"/>
    <n v="-1"/>
  </r>
  <r>
    <x v="561"/>
    <x v="32"/>
    <n v="51.3"/>
    <n v="52.12"/>
    <n v="42.8"/>
    <n v="49.95"/>
    <x v="2575"/>
    <n v="-0.67500000000000004"/>
    <n v="17590"/>
    <n v="0"/>
    <n v="30823"/>
    <x v="134"/>
    <n v="89"/>
    <s v="M (Jun 20)"/>
    <d v="2020-06-17T00:00:00"/>
    <n v="-1"/>
  </r>
  <r>
    <x v="561"/>
    <x v="29"/>
    <n v="34.049999999999997"/>
    <n v="34.299999999999997"/>
    <n v="30.4"/>
    <n v="33"/>
    <x v="2379"/>
    <n v="-0.75"/>
    <n v="4572"/>
    <n v="0"/>
    <n v="11638"/>
    <x v="141"/>
    <n v="180"/>
    <s v="U (Sep 20)"/>
    <d v="2020-09-16T00:00:00"/>
    <n v="-1"/>
  </r>
  <r>
    <x v="562"/>
    <x v="31"/>
    <n v="44.16"/>
    <n v="47.79"/>
    <n v="40.200000000000003"/>
    <n v="44.36"/>
    <x v="2576"/>
    <n v="-1.325"/>
    <n v="12128"/>
    <n v="0"/>
    <n v="21873"/>
    <x v="152"/>
    <n v="125"/>
    <s v="N (Jul 20)"/>
    <d v="2020-07-22T00:00:00"/>
    <n v="-1"/>
  </r>
  <r>
    <x v="562"/>
    <x v="28"/>
    <n v="33.94"/>
    <n v="36.950000000000003"/>
    <n v="32.15"/>
    <n v="34.4"/>
    <x v="2577"/>
    <n v="-7.4999999999999997E-2"/>
    <n v="2845"/>
    <n v="0"/>
    <n v="11537"/>
    <x v="3"/>
    <n v="216"/>
    <s v="V (Oct 20)"/>
    <d v="2020-10-21T00:00:00"/>
    <n v="-1"/>
  </r>
  <r>
    <x v="562"/>
    <x v="33"/>
    <n v="60"/>
    <n v="66.45"/>
    <n v="50.83"/>
    <n v="59.83"/>
    <x v="2578"/>
    <n v="-0.95"/>
    <n v="75577"/>
    <n v="410"/>
    <n v="56647"/>
    <x v="154"/>
    <n v="62"/>
    <s v="K (May 20)"/>
    <d v="2020-05-20T00:00:00"/>
    <n v="-1"/>
  </r>
  <r>
    <x v="562"/>
    <x v="27"/>
    <n v="34.299999999999997"/>
    <n v="35"/>
    <n v="30.93"/>
    <n v="32.549999999999997"/>
    <x v="2342"/>
    <n v="0.35"/>
    <n v="1212"/>
    <n v="0"/>
    <n v="6365"/>
    <x v="4"/>
    <n v="244"/>
    <s v="X (Nov 20)"/>
    <d v="2020-11-18T00:00:00"/>
    <n v="-1"/>
  </r>
  <r>
    <x v="562"/>
    <x v="32"/>
    <n v="50.75"/>
    <n v="56.55"/>
    <n v="45.65"/>
    <n v="52.05"/>
    <x v="2579"/>
    <n v="-1.1000000000000001"/>
    <n v="26752"/>
    <n v="0"/>
    <n v="29865"/>
    <x v="148"/>
    <n v="90"/>
    <s v="M (Jun 20)"/>
    <d v="2020-06-17T00:00:00"/>
    <n v="-1"/>
  </r>
  <r>
    <x v="562"/>
    <x v="29"/>
    <n v="34.590000000000003"/>
    <n v="37.6"/>
    <n v="31.94"/>
    <n v="34.33"/>
    <x v="2487"/>
    <n v="-0.875"/>
    <n v="4517"/>
    <n v="0"/>
    <n v="11269"/>
    <x v="147"/>
    <n v="181"/>
    <s v="U (Sep 20)"/>
    <d v="2020-09-16T00:00:00"/>
    <n v="-1"/>
  </r>
  <r>
    <x v="562"/>
    <x v="34"/>
    <n v="71.45"/>
    <n v="79.95"/>
    <n v="56.7"/>
    <n v="68.2"/>
    <x v="2580"/>
    <n v="-4.1749999999999998"/>
    <n v="241977"/>
    <n v="7424"/>
    <n v="157519"/>
    <x v="150"/>
    <n v="27"/>
    <s v="J (Apr 20)"/>
    <d v="2020-04-15T00:00:00"/>
    <n v="-1"/>
  </r>
  <r>
    <x v="562"/>
    <x v="30"/>
    <n v="37.5"/>
    <n v="41"/>
    <n v="35"/>
    <n v="37.840000000000003"/>
    <x v="2581"/>
    <n v="-0.47499999999999998"/>
    <n v="7531"/>
    <n v="0"/>
    <n v="14733"/>
    <x v="157"/>
    <n v="153"/>
    <s v="Q (Aug 20)"/>
    <d v="2020-08-19T00:00:00"/>
    <n v="-1"/>
  </r>
  <r>
    <x v="563"/>
    <x v="34"/>
    <n v="60.7"/>
    <n v="80.849999999999994"/>
    <n v="60.1"/>
    <n v="71.150000000000006"/>
    <x v="2582"/>
    <n v="9.0500000000000007"/>
    <n v="226502"/>
    <n v="1581"/>
    <n v="199773"/>
    <x v="153"/>
    <n v="28"/>
    <s v="J (Apr 20)"/>
    <d v="2020-04-15T00:00:00"/>
    <n v="-1"/>
  </r>
  <r>
    <x v="563"/>
    <x v="30"/>
    <n v="32.9"/>
    <n v="39.700000000000003"/>
    <n v="32.799999999999997"/>
    <n v="37.840000000000003"/>
    <x v="2583"/>
    <n v="4.625"/>
    <n v="7378"/>
    <n v="0"/>
    <n v="14648"/>
    <x v="162"/>
    <n v="154"/>
    <s v="Q (Aug 20)"/>
    <d v="2020-08-19T00:00:00"/>
    <n v="-1"/>
  </r>
  <r>
    <x v="563"/>
    <x v="35"/>
    <n v="70.55"/>
    <n v="82"/>
    <n v="70.25"/>
    <n v="81.95"/>
    <x v="2584"/>
    <n v="0.93500000000000005"/>
    <n v="902"/>
    <n v="0"/>
    <n v="61878"/>
    <x v="145"/>
    <n v="0"/>
    <s v="H (Mar 20)"/>
    <d v="2020-03-18T00:00:00"/>
    <n v="-1"/>
  </r>
  <r>
    <x v="563"/>
    <x v="31"/>
    <n v="36.75"/>
    <n v="46.75"/>
    <n v="36.549999999999997"/>
    <n v="44.25"/>
    <x v="2585"/>
    <n v="7.6"/>
    <n v="14732"/>
    <n v="0"/>
    <n v="22032"/>
    <x v="165"/>
    <n v="126"/>
    <s v="N (Jul 20)"/>
    <d v="2020-07-22T00:00:00"/>
    <n v="-1"/>
  </r>
  <r>
    <x v="563"/>
    <x v="28"/>
    <n v="31.4"/>
    <n v="35.270000000000003"/>
    <n v="31.25"/>
    <n v="34.119999999999997"/>
    <x v="2586"/>
    <n v="2.9249999999999998"/>
    <n v="3091"/>
    <n v="0"/>
    <n v="12287"/>
    <x v="15"/>
    <n v="217"/>
    <s v="V (Oct 20)"/>
    <d v="2020-10-21T00:00:00"/>
    <n v="-1"/>
  </r>
  <r>
    <x v="563"/>
    <x v="33"/>
    <n v="48.4"/>
    <n v="65.349999999999994"/>
    <n v="48.1"/>
    <n v="60.1"/>
    <x v="2587"/>
    <n v="11.225"/>
    <n v="91302"/>
    <n v="0"/>
    <n v="52485"/>
    <x v="159"/>
    <n v="63"/>
    <s v="K (May 20)"/>
    <d v="2020-05-20T00:00:00"/>
    <n v="-1"/>
  </r>
  <r>
    <x v="563"/>
    <x v="27"/>
    <n v="30.15"/>
    <n v="33.299999999999997"/>
    <n v="29.89"/>
    <n v="32.299999999999997"/>
    <x v="2364"/>
    <n v="2.2250000000000001"/>
    <n v="1306"/>
    <n v="0"/>
    <n v="6424"/>
    <x v="16"/>
    <n v="245"/>
    <s v="X (Nov 20)"/>
    <d v="2020-11-18T00:00:00"/>
    <n v="-1"/>
  </r>
  <r>
    <x v="563"/>
    <x v="32"/>
    <n v="41.8"/>
    <n v="56"/>
    <n v="41.65"/>
    <n v="51.77"/>
    <x v="2588"/>
    <n v="9.4250000000000007"/>
    <n v="33195"/>
    <n v="0"/>
    <n v="29008"/>
    <x v="151"/>
    <n v="91"/>
    <s v="M (Jun 20)"/>
    <d v="2020-06-17T00:00:00"/>
    <n v="-1"/>
  </r>
  <r>
    <x v="563"/>
    <x v="29"/>
    <n v="31.65"/>
    <n v="35.75"/>
    <n v="31.2"/>
    <n v="34.82"/>
    <x v="2589"/>
    <n v="3.375"/>
    <n v="5591"/>
    <n v="0"/>
    <n v="11122"/>
    <x v="158"/>
    <n v="182"/>
    <s v="U (Sep 20)"/>
    <d v="2020-09-16T00:00:00"/>
    <n v="-1"/>
  </r>
  <r>
    <x v="564"/>
    <x v="31"/>
    <n v="34.549999999999997"/>
    <n v="36.799999999999997"/>
    <n v="31.95"/>
    <n v="36.51"/>
    <x v="2590"/>
    <n v="1.7250000000000001"/>
    <n v="14692"/>
    <n v="0"/>
    <n v="21470"/>
    <x v="168"/>
    <n v="127"/>
    <s v="N (Jul 20)"/>
    <d v="2020-07-22T00:00:00"/>
    <n v="-1"/>
  </r>
  <r>
    <x v="564"/>
    <x v="28"/>
    <n v="30.4"/>
    <n v="31.25"/>
    <n v="29"/>
    <n v="31"/>
    <x v="2496"/>
    <n v="0.52500000000000002"/>
    <n v="1405"/>
    <n v="0"/>
    <n v="11124"/>
    <x v="21"/>
    <n v="218"/>
    <s v="V (Oct 20)"/>
    <d v="2020-10-21T00:00:00"/>
    <n v="-1"/>
  </r>
  <r>
    <x v="564"/>
    <x v="33"/>
    <n v="44.85"/>
    <n v="48.85"/>
    <n v="39.799999999999997"/>
    <n v="48.3"/>
    <x v="2591"/>
    <n v="3.8250000000000002"/>
    <n v="51191"/>
    <n v="0"/>
    <n v="48259"/>
    <x v="170"/>
    <n v="64"/>
    <s v="K (May 20)"/>
    <d v="2020-05-20T00:00:00"/>
    <n v="-1"/>
  </r>
  <r>
    <x v="564"/>
    <x v="27"/>
    <n v="28"/>
    <n v="29.95"/>
    <n v="27.6"/>
    <n v="29.8"/>
    <x v="2274"/>
    <n v="1.2"/>
    <n v="470"/>
    <n v="0"/>
    <n v="6089"/>
    <x v="22"/>
    <n v="246"/>
    <s v="X (Nov 20)"/>
    <d v="2020-11-18T00:00:00"/>
    <n v="-1"/>
  </r>
  <r>
    <x v="564"/>
    <x v="32"/>
    <n v="38.99"/>
    <n v="42.1"/>
    <n v="35.200000000000003"/>
    <n v="41.74"/>
    <x v="2572"/>
    <n v="3.125"/>
    <n v="32943"/>
    <n v="0"/>
    <n v="26925"/>
    <x v="164"/>
    <n v="92"/>
    <s v="M (Jun 20)"/>
    <d v="2020-06-17T00:00:00"/>
    <n v="-1"/>
  </r>
  <r>
    <x v="564"/>
    <x v="29"/>
    <n v="30.82"/>
    <n v="31.25"/>
    <n v="28.8"/>
    <n v="31.25"/>
    <x v="2363"/>
    <n v="0.35"/>
    <n v="5331"/>
    <n v="0"/>
    <n v="11262"/>
    <x v="163"/>
    <n v="183"/>
    <s v="U (Sep 20)"/>
    <d v="2020-09-16T00:00:00"/>
    <n v="-1"/>
  </r>
  <r>
    <x v="564"/>
    <x v="34"/>
    <n v="59.15"/>
    <n v="63.1"/>
    <n v="50"/>
    <n v="60.7"/>
    <x v="2592"/>
    <n v="2.2749999999999999"/>
    <n v="189050"/>
    <n v="332"/>
    <n v="229347"/>
    <x v="166"/>
    <n v="29"/>
    <s v="J (Apr 20)"/>
    <d v="2020-04-15T00:00:00"/>
    <n v="-1"/>
  </r>
  <r>
    <x v="564"/>
    <x v="30"/>
    <n v="32"/>
    <n v="32.9"/>
    <n v="29.25"/>
    <n v="32.799999999999997"/>
    <x v="2454"/>
    <n v="0.67500000000000004"/>
    <n v="6428"/>
    <n v="0"/>
    <n v="14939"/>
    <x v="172"/>
    <n v="155"/>
    <s v="Q (Aug 20)"/>
    <d v="2020-08-19T00:00:00"/>
    <n v="-1"/>
  </r>
  <r>
    <x v="564"/>
    <x v="35"/>
    <n v="72.5"/>
    <n v="79.05"/>
    <n v="64.900000000000006"/>
    <n v="70.55"/>
    <x v="2593"/>
    <n v="-3.8"/>
    <n v="72592"/>
    <n v="18"/>
    <n v="65191"/>
    <x v="156"/>
    <n v="1"/>
    <s v="H (Mar 20)"/>
    <d v="2020-03-18T00:00:00"/>
    <n v="-1"/>
  </r>
  <r>
    <x v="565"/>
    <x v="34"/>
    <n v="43.55"/>
    <n v="63"/>
    <n v="43.55"/>
    <n v="58.85"/>
    <x v="2594"/>
    <n v="15.25"/>
    <n v="191841"/>
    <n v="1618"/>
    <n v="234727"/>
    <x v="169"/>
    <n v="30"/>
    <s v="J (Apr 20)"/>
    <d v="2020-04-15T00:00:00"/>
    <n v="-1"/>
  </r>
  <r>
    <x v="565"/>
    <x v="30"/>
    <n v="28.3"/>
    <n v="32.950000000000003"/>
    <n v="28.05"/>
    <n v="32.049999999999997"/>
    <x v="2389"/>
    <n v="5.0999999999999996"/>
    <n v="7239"/>
    <n v="0"/>
    <n v="15056"/>
    <x v="0"/>
    <n v="156"/>
    <s v="Q (Aug 20)"/>
    <d v="2020-08-19T00:00:00"/>
    <n v="-1"/>
  </r>
  <r>
    <x v="565"/>
    <x v="35"/>
    <n v="54"/>
    <n v="76.25"/>
    <n v="54"/>
    <n v="72.05"/>
    <x v="2595"/>
    <n v="19.2"/>
    <n v="73205"/>
    <n v="178"/>
    <n v="75724"/>
    <x v="161"/>
    <n v="2"/>
    <s v="H (Mar 20)"/>
    <d v="2020-03-18T00:00:00"/>
    <n v="-1"/>
  </r>
  <r>
    <x v="565"/>
    <x v="31"/>
    <n v="29.6"/>
    <n v="35.700000000000003"/>
    <n v="29.55"/>
    <n v="34.450000000000003"/>
    <x v="2490"/>
    <n v="6.5"/>
    <n v="9415"/>
    <n v="0"/>
    <n v="18310"/>
    <x v="5"/>
    <n v="128"/>
    <s v="N (Jul 20)"/>
    <d v="2020-07-22T00:00:00"/>
    <n v="-1"/>
  </r>
  <r>
    <x v="565"/>
    <x v="28"/>
    <n v="27.9"/>
    <n v="31.16"/>
    <n v="27.9"/>
    <n v="31"/>
    <x v="2369"/>
    <n v="3.9750000000000001"/>
    <n v="2560"/>
    <n v="0"/>
    <n v="11274"/>
    <x v="32"/>
    <n v="219"/>
    <s v="V (Oct 20)"/>
    <d v="2020-10-21T00:00:00"/>
    <n v="-1"/>
  </r>
  <r>
    <x v="565"/>
    <x v="33"/>
    <n v="34.5"/>
    <n v="47.78"/>
    <n v="34.5"/>
    <n v="44.85"/>
    <x v="2596"/>
    <n v="10.35"/>
    <n v="38782"/>
    <n v="0"/>
    <n v="45662"/>
    <x v="6"/>
    <n v="65"/>
    <s v="K (May 20)"/>
    <d v="2020-05-20T00:00:00"/>
    <n v="-1"/>
  </r>
  <r>
    <x v="565"/>
    <x v="27"/>
    <n v="26.45"/>
    <n v="30"/>
    <n v="26.45"/>
    <n v="28.85"/>
    <x v="16"/>
    <n v="3.15"/>
    <n v="496"/>
    <n v="0"/>
    <n v="6123"/>
    <x v="33"/>
    <n v="247"/>
    <s v="X (Nov 20)"/>
    <d v="2020-11-18T00:00:00"/>
    <n v="-1"/>
  </r>
  <r>
    <x v="565"/>
    <x v="32"/>
    <n v="32"/>
    <n v="40.75"/>
    <n v="31.85"/>
    <n v="38.700000000000003"/>
    <x v="2597"/>
    <n v="8.3000000000000007"/>
    <n v="19487"/>
    <n v="0"/>
    <n v="27865"/>
    <x v="167"/>
    <n v="93"/>
    <s v="M (Jun 20)"/>
    <d v="2020-06-17T00:00:00"/>
    <n v="-1"/>
  </r>
  <r>
    <x v="565"/>
    <x v="29"/>
    <n v="27.85"/>
    <n v="31.45"/>
    <n v="27.67"/>
    <n v="30.86"/>
    <x v="2396"/>
    <n v="4.3499999999999996"/>
    <n v="5276"/>
    <n v="0"/>
    <n v="11685"/>
    <x v="173"/>
    <n v="184"/>
    <s v="U (Sep 20)"/>
    <d v="2020-09-16T00:00:00"/>
    <n v="-1"/>
  </r>
  <r>
    <x v="566"/>
    <x v="31"/>
    <n v="31.41"/>
    <n v="31.45"/>
    <n v="28.25"/>
    <n v="28.95"/>
    <x v="214"/>
    <n v="-2.4500000000000002"/>
    <n v="12177"/>
    <n v="0"/>
    <n v="19064"/>
    <x v="17"/>
    <n v="131"/>
    <s v="N (Jul 20)"/>
    <d v="2020-07-22T00:00:00"/>
    <n v="-1"/>
  </r>
  <r>
    <x v="566"/>
    <x v="28"/>
    <n v="28.65"/>
    <n v="28.9"/>
    <n v="26.6"/>
    <n v="26.9"/>
    <x v="304"/>
    <n v="-1.875"/>
    <n v="1509"/>
    <n v="0"/>
    <n v="11296"/>
    <x v="38"/>
    <n v="222"/>
    <s v="V (Oct 20)"/>
    <d v="2020-10-21T00:00:00"/>
    <n v="-1"/>
  </r>
  <r>
    <x v="566"/>
    <x v="33"/>
    <n v="38.15"/>
    <n v="39.049999999999997"/>
    <n v="33.229999999999997"/>
    <n v="35.5"/>
    <x v="2442"/>
    <n v="-2.0499999999999998"/>
    <n v="43827"/>
    <n v="1100"/>
    <n v="46832"/>
    <x v="9"/>
    <n v="68"/>
    <s v="K (May 20)"/>
    <d v="2020-05-20T00:00:00"/>
    <n v="-1"/>
  </r>
  <r>
    <x v="566"/>
    <x v="27"/>
    <n v="27"/>
    <n v="27.5"/>
    <n v="25.3"/>
    <n v="25.65"/>
    <x v="370"/>
    <n v="-1.175"/>
    <n v="273"/>
    <n v="0"/>
    <n v="6087"/>
    <x v="39"/>
    <n v="250"/>
    <s v="X (Nov 20)"/>
    <d v="2020-11-18T00:00:00"/>
    <n v="-1"/>
  </r>
  <r>
    <x v="566"/>
    <x v="32"/>
    <n v="33.85"/>
    <n v="34.1"/>
    <n v="30.25"/>
    <n v="31.4"/>
    <x v="2426"/>
    <n v="-2.375"/>
    <n v="25216"/>
    <n v="0"/>
    <n v="29866"/>
    <x v="175"/>
    <n v="96"/>
    <s v="M (Jun 20)"/>
    <d v="2020-06-17T00:00:00"/>
    <n v="-1"/>
  </r>
  <r>
    <x v="566"/>
    <x v="29"/>
    <n v="28.85"/>
    <n v="28.85"/>
    <n v="26.4"/>
    <n v="26.55"/>
    <x v="295"/>
    <n v="-2"/>
    <n v="3792"/>
    <n v="0"/>
    <n v="11916"/>
    <x v="174"/>
    <n v="187"/>
    <s v="U (Sep 20)"/>
    <d v="2020-09-16T00:00:00"/>
    <n v="-1"/>
  </r>
  <r>
    <x v="566"/>
    <x v="34"/>
    <n v="49.1"/>
    <n v="51"/>
    <n v="40"/>
    <n v="44.8"/>
    <x v="2598"/>
    <n v="-1.925"/>
    <n v="175096"/>
    <n v="1908"/>
    <n v="203625"/>
    <x v="176"/>
    <n v="33"/>
    <s v="J (Apr 20)"/>
    <d v="2020-04-15T00:00:00"/>
    <n v="-1"/>
  </r>
  <r>
    <x v="566"/>
    <x v="30"/>
    <n v="29.9"/>
    <n v="30"/>
    <n v="26.95"/>
    <n v="27.2"/>
    <x v="645"/>
    <n v="-2.4"/>
    <n v="7395"/>
    <n v="0"/>
    <n v="15131"/>
    <x v="12"/>
    <n v="159"/>
    <s v="Q (Aug 20)"/>
    <d v="2020-08-19T00:00:00"/>
    <n v="-1"/>
  </r>
  <r>
    <x v="566"/>
    <x v="35"/>
    <n v="60.4"/>
    <n v="65"/>
    <n v="50.9"/>
    <n v="54.45"/>
    <x v="2555"/>
    <n v="-4.875"/>
    <n v="119572"/>
    <n v="1000"/>
    <n v="87710"/>
    <x v="8"/>
    <n v="5"/>
    <s v="H (Mar 20)"/>
    <d v="2020-03-18T00:00:00"/>
    <n v="-1"/>
  </r>
  <r>
    <x v="567"/>
    <x v="34"/>
    <n v="38.799999999999997"/>
    <n v="49.6"/>
    <n v="37.92"/>
    <n v="47.35"/>
    <x v="2599"/>
    <n v="7.25"/>
    <n v="221597"/>
    <n v="302"/>
    <n v="206210"/>
    <x v="178"/>
    <n v="34"/>
    <s v="J (Apr 20)"/>
    <d v="2020-04-15T00:00:00"/>
    <n v="-1"/>
  </r>
  <r>
    <x v="567"/>
    <x v="30"/>
    <n v="26.73"/>
    <n v="29.75"/>
    <n v="26.4"/>
    <n v="29.52"/>
    <x v="2409"/>
    <n v="2.65"/>
    <n v="8255"/>
    <n v="0"/>
    <n v="14356"/>
    <x v="18"/>
    <n v="160"/>
    <s v="Q (Aug 20)"/>
    <d v="2020-08-19T00:00:00"/>
    <n v="-1"/>
  </r>
  <r>
    <x v="567"/>
    <x v="35"/>
    <n v="48.1"/>
    <n v="60.45"/>
    <n v="45.25"/>
    <n v="59.95"/>
    <x v="2600"/>
    <n v="11.95"/>
    <n v="148170"/>
    <n v="75"/>
    <n v="96501"/>
    <x v="11"/>
    <n v="6"/>
    <s v="H (Mar 20)"/>
    <d v="2020-03-18T00:00:00"/>
    <n v="-1"/>
  </r>
  <r>
    <x v="567"/>
    <x v="31"/>
    <n v="27.85"/>
    <n v="31.25"/>
    <n v="27.45"/>
    <n v="31"/>
    <x v="2350"/>
    <n v="3.0750000000000002"/>
    <n v="14807"/>
    <n v="0"/>
    <n v="20933"/>
    <x v="23"/>
    <n v="132"/>
    <s v="N (Jul 20)"/>
    <d v="2020-07-22T00:00:00"/>
    <n v="-1"/>
  </r>
  <r>
    <x v="567"/>
    <x v="28"/>
    <n v="26.59"/>
    <n v="28.7"/>
    <n v="26.45"/>
    <n v="28.5"/>
    <x v="164"/>
    <n v="1.925"/>
    <n v="2145"/>
    <n v="0"/>
    <n v="11613"/>
    <x v="50"/>
    <n v="223"/>
    <s v="V (Oct 20)"/>
    <d v="2020-10-21T00:00:00"/>
    <n v="-1"/>
  </r>
  <r>
    <x v="567"/>
    <x v="33"/>
    <n v="32.200000000000003"/>
    <n v="38.47"/>
    <n v="31.75"/>
    <n v="37.14"/>
    <x v="2513"/>
    <n v="4.3499999999999996"/>
    <n v="57000"/>
    <n v="0"/>
    <n v="48663"/>
    <x v="24"/>
    <n v="69"/>
    <s v="K (May 20)"/>
    <d v="2020-05-20T00:00:00"/>
    <n v="-1"/>
  </r>
  <r>
    <x v="567"/>
    <x v="27"/>
    <n v="26.7"/>
    <n v="27.6"/>
    <n v="25"/>
    <n v="27.12"/>
    <x v="550"/>
    <n v="1.675"/>
    <n v="217"/>
    <n v="0"/>
    <n v="6085"/>
    <x v="51"/>
    <n v="251"/>
    <s v="X (Nov 20)"/>
    <d v="2020-11-18T00:00:00"/>
    <n v="-1"/>
  </r>
  <r>
    <x v="567"/>
    <x v="32"/>
    <n v="29.25"/>
    <n v="33.450000000000003"/>
    <n v="28.8"/>
    <n v="33.17"/>
    <x v="2494"/>
    <n v="3.75"/>
    <n v="30158"/>
    <n v="0"/>
    <n v="30878"/>
    <x v="177"/>
    <n v="97"/>
    <s v="M (Jun 20)"/>
    <d v="2020-06-17T00:00:00"/>
    <n v="-1"/>
  </r>
  <r>
    <x v="567"/>
    <x v="29"/>
    <n v="25.77"/>
    <n v="28.65"/>
    <n v="25.6"/>
    <n v="28.47"/>
    <x v="520"/>
    <n v="2.625"/>
    <n v="5038"/>
    <n v="0"/>
    <n v="11344"/>
    <x v="179"/>
    <n v="188"/>
    <s v="U (Sep 20)"/>
    <d v="2020-09-16T00:00:00"/>
    <n v="-1"/>
  </r>
  <r>
    <x v="568"/>
    <x v="31"/>
    <n v="26.04"/>
    <n v="28.3"/>
    <n v="26"/>
    <n v="27.95"/>
    <x v="151"/>
    <n v="1.875"/>
    <n v="9282"/>
    <n v="0"/>
    <n v="22070"/>
    <x v="34"/>
    <n v="133"/>
    <s v="N (Jul 20)"/>
    <d v="2020-07-22T00:00:00"/>
    <n v="-1"/>
  </r>
  <r>
    <x v="568"/>
    <x v="28"/>
    <n v="25.7"/>
    <n v="27.05"/>
    <n v="25.7"/>
    <n v="26.7"/>
    <x v="635"/>
    <n v="1.05"/>
    <n v="1005"/>
    <n v="0"/>
    <n v="11562"/>
    <x v="56"/>
    <n v="224"/>
    <s v="V (Oct 20)"/>
    <d v="2020-10-21T00:00:00"/>
    <n v="-1"/>
  </r>
  <r>
    <x v="568"/>
    <x v="33"/>
    <n v="29.6"/>
    <n v="33.14"/>
    <n v="29.5"/>
    <n v="32.49"/>
    <x v="2364"/>
    <n v="2.7"/>
    <n v="38117"/>
    <n v="0"/>
    <n v="56118"/>
    <x v="27"/>
    <n v="70"/>
    <s v="K (May 20)"/>
    <d v="2020-05-20T00:00:00"/>
    <n v="-1"/>
  </r>
  <r>
    <x v="568"/>
    <x v="27"/>
    <n v="23.9"/>
    <n v="25.7"/>
    <n v="23.9"/>
    <n v="25.16"/>
    <x v="1080"/>
    <n v="1.3"/>
    <n v="328"/>
    <n v="0"/>
    <n v="6103"/>
    <x v="57"/>
    <n v="252"/>
    <s v="X (Nov 20)"/>
    <d v="2020-11-18T00:00:00"/>
    <n v="-1"/>
  </r>
  <r>
    <x v="568"/>
    <x v="32"/>
    <n v="27.3"/>
    <n v="29.92"/>
    <n v="27.25"/>
    <n v="29.42"/>
    <x v="2352"/>
    <n v="2.0499999999999998"/>
    <n v="18765"/>
    <n v="0"/>
    <n v="28647"/>
    <x v="181"/>
    <n v="98"/>
    <s v="M (Jun 20)"/>
    <d v="2020-06-17T00:00:00"/>
    <n v="-1"/>
  </r>
  <r>
    <x v="568"/>
    <x v="29"/>
    <n v="24.77"/>
    <n v="26.12"/>
    <n v="24.75"/>
    <n v="25.92"/>
    <x v="375"/>
    <n v="1.125"/>
    <n v="4425"/>
    <n v="0"/>
    <n v="11411"/>
    <x v="180"/>
    <n v="189"/>
    <s v="U (Sep 20)"/>
    <d v="2020-09-16T00:00:00"/>
    <n v="-1"/>
  </r>
  <r>
    <x v="568"/>
    <x v="34"/>
    <n v="34.799999999999997"/>
    <n v="39.9"/>
    <n v="34.700000000000003"/>
    <n v="39.049999999999997"/>
    <x v="2601"/>
    <n v="3.8"/>
    <n v="138646"/>
    <n v="0"/>
    <n v="185569"/>
    <x v="182"/>
    <n v="35"/>
    <s v="J (Apr 20)"/>
    <d v="2020-04-15T00:00:00"/>
    <n v="-1"/>
  </r>
  <r>
    <x v="568"/>
    <x v="30"/>
    <n v="25.22"/>
    <n v="27.1"/>
    <n v="25.22"/>
    <n v="26.86"/>
    <x v="550"/>
    <n v="1.55"/>
    <n v="6864"/>
    <n v="0"/>
    <n v="15618"/>
    <x v="35"/>
    <n v="161"/>
    <s v="Q (Aug 20)"/>
    <d v="2020-08-19T00:00:00"/>
    <n v="-1"/>
  </r>
  <r>
    <x v="568"/>
    <x v="35"/>
    <n v="42.05"/>
    <n v="48.8"/>
    <n v="41.95"/>
    <n v="46.95"/>
    <x v="2602"/>
    <n v="4.5250000000000004"/>
    <n v="137401"/>
    <n v="0"/>
    <n v="116779"/>
    <x v="26"/>
    <n v="7"/>
    <s v="H (Mar 20)"/>
    <d v="2020-03-18T00:00:00"/>
    <n v="-1"/>
  </r>
  <r>
    <x v="569"/>
    <x v="34"/>
    <n v="37.299999999999997"/>
    <n v="38.15"/>
    <n v="30.85"/>
    <n v="34.549999999999997"/>
    <x v="2484"/>
    <n v="-1.45"/>
    <n v="134850"/>
    <n v="1768"/>
    <n v="177065"/>
    <x v="184"/>
    <n v="36"/>
    <s v="J (Apr 20)"/>
    <d v="2020-04-15T00:00:00"/>
    <n v="-1"/>
  </r>
  <r>
    <x v="569"/>
    <x v="30"/>
    <n v="26.31"/>
    <n v="26.5"/>
    <n v="23.85"/>
    <n v="25.17"/>
    <x v="1090"/>
    <n v="-0.65"/>
    <n v="6191"/>
    <n v="0"/>
    <n v="16187"/>
    <x v="41"/>
    <n v="162"/>
    <s v="Q (Aug 20)"/>
    <d v="2020-08-19T00:00:00"/>
    <n v="-1"/>
  </r>
  <r>
    <x v="569"/>
    <x v="35"/>
    <n v="45.8"/>
    <n v="47.65"/>
    <n v="37.25"/>
    <n v="41.56"/>
    <x v="2603"/>
    <n v="-2.5499999999999998"/>
    <n v="150382"/>
    <n v="210"/>
    <n v="123831"/>
    <x v="29"/>
    <n v="8"/>
    <s v="H (Mar 20)"/>
    <d v="2020-03-18T00:00:00"/>
    <n v="-1"/>
  </r>
  <r>
    <x v="569"/>
    <x v="31"/>
    <n v="27.15"/>
    <n v="27.2"/>
    <n v="24.23"/>
    <n v="25.8"/>
    <x v="841"/>
    <n v="-0.6"/>
    <n v="8413"/>
    <n v="0"/>
    <n v="21929"/>
    <x v="40"/>
    <n v="134"/>
    <s v="N (Jul 20)"/>
    <d v="2020-07-22T00:00:00"/>
    <n v="-1"/>
  </r>
  <r>
    <x v="569"/>
    <x v="28"/>
    <n v="26.58"/>
    <n v="27.05"/>
    <n v="25.2"/>
    <n v="25.55"/>
    <x v="694"/>
    <n v="-0.85"/>
    <n v="986"/>
    <n v="0"/>
    <n v="11865"/>
    <x v="68"/>
    <n v="225"/>
    <s v="V (Oct 20)"/>
    <d v="2020-10-21T00:00:00"/>
    <n v="-1"/>
  </r>
  <r>
    <x v="569"/>
    <x v="33"/>
    <n v="30.95"/>
    <n v="31.45"/>
    <n v="26.55"/>
    <n v="29.31"/>
    <x v="4"/>
    <n v="-0.55000000000000004"/>
    <n v="41000"/>
    <n v="0"/>
    <n v="54694"/>
    <x v="42"/>
    <n v="71"/>
    <s v="K (May 20)"/>
    <d v="2020-05-20T00:00:00"/>
    <n v="-1"/>
  </r>
  <r>
    <x v="569"/>
    <x v="27"/>
    <n v="24.4"/>
    <n v="25.04"/>
    <n v="23.5"/>
    <n v="23.5"/>
    <x v="1343"/>
    <n v="-0.92500000000000004"/>
    <n v="293"/>
    <n v="0"/>
    <n v="6246"/>
    <x v="69"/>
    <n v="253"/>
    <s v="X (Nov 20)"/>
    <d v="2020-11-18T00:00:00"/>
    <n v="-1"/>
  </r>
  <r>
    <x v="569"/>
    <x v="32"/>
    <n v="28.45"/>
    <n v="28.65"/>
    <n v="25"/>
    <n v="27.05"/>
    <x v="717"/>
    <n v="-0.55000000000000004"/>
    <n v="14721"/>
    <n v="0"/>
    <n v="28539"/>
    <x v="183"/>
    <n v="99"/>
    <s v="M (Jun 20)"/>
    <d v="2020-06-17T00:00:00"/>
    <n v="-1"/>
  </r>
  <r>
    <x v="569"/>
    <x v="29"/>
    <n v="25.81"/>
    <n v="25.9"/>
    <n v="23.84"/>
    <n v="24.7"/>
    <x v="1115"/>
    <n v="-0.72499999999999998"/>
    <n v="3940"/>
    <n v="0"/>
    <n v="11279"/>
    <x v="185"/>
    <n v="190"/>
    <s v="U (Sep 20)"/>
    <d v="2020-09-16T00:00:00"/>
    <n v="-1"/>
  </r>
  <r>
    <x v="570"/>
    <x v="31"/>
    <n v="24.3"/>
    <n v="28.91"/>
    <n v="24.3"/>
    <n v="27.05"/>
    <x v="366"/>
    <n v="2.75"/>
    <n v="10294"/>
    <n v="0"/>
    <n v="21074"/>
    <x v="52"/>
    <n v="135"/>
    <s v="N (Jul 20)"/>
    <d v="2020-07-22T00:00:00"/>
    <n v="-1"/>
  </r>
  <r>
    <x v="570"/>
    <x v="28"/>
    <n v="26.5"/>
    <n v="28.5"/>
    <n v="25.7"/>
    <n v="26.7"/>
    <x v="606"/>
    <n v="1.625"/>
    <n v="2509"/>
    <n v="0"/>
    <n v="12102"/>
    <x v="74"/>
    <n v="226"/>
    <s v="V (Oct 20)"/>
    <d v="2020-10-21T00:00:00"/>
    <n v="-1"/>
  </r>
  <r>
    <x v="570"/>
    <x v="33"/>
    <n v="27.62"/>
    <n v="34.25"/>
    <n v="27.37"/>
    <n v="30.74"/>
    <x v="2366"/>
    <n v="3.8"/>
    <n v="51970"/>
    <n v="0"/>
    <n v="52497"/>
    <x v="45"/>
    <n v="72"/>
    <s v="K (May 20)"/>
    <d v="2020-05-20T00:00:00"/>
    <n v="-1"/>
  </r>
  <r>
    <x v="570"/>
    <x v="27"/>
    <n v="24.85"/>
    <n v="26.45"/>
    <n v="24"/>
    <n v="24.55"/>
    <x v="1115"/>
    <n v="1.9"/>
    <n v="650"/>
    <n v="0"/>
    <n v="6316"/>
    <x v="75"/>
    <n v="254"/>
    <s v="X (Nov 20)"/>
    <d v="2020-11-18T00:00:00"/>
    <n v="-1"/>
  </r>
  <r>
    <x v="570"/>
    <x v="32"/>
    <n v="26.55"/>
    <n v="30.75"/>
    <n v="25.8"/>
    <n v="28.35"/>
    <x v="2134"/>
    <n v="3.1"/>
    <n v="19042"/>
    <n v="0"/>
    <n v="28336"/>
    <x v="7"/>
    <n v="100"/>
    <s v="M (Jun 20)"/>
    <d v="2020-06-17T00:00:00"/>
    <n v="-1"/>
  </r>
  <r>
    <x v="570"/>
    <x v="29"/>
    <n v="23.4"/>
    <n v="26.95"/>
    <n v="23.4"/>
    <n v="25.75"/>
    <x v="426"/>
    <n v="2.4"/>
    <n v="6268"/>
    <n v="0"/>
    <n v="10330"/>
    <x v="1"/>
    <n v="191"/>
    <s v="U (Sep 20)"/>
    <d v="2020-09-16T00:00:00"/>
    <n v="-1"/>
  </r>
  <r>
    <x v="570"/>
    <x v="34"/>
    <n v="32.299999999999997"/>
    <n v="41.96"/>
    <n v="32.07"/>
    <n v="37.200000000000003"/>
    <x v="2510"/>
    <n v="5.9"/>
    <n v="168782"/>
    <n v="32"/>
    <n v="177993"/>
    <x v="2"/>
    <n v="37"/>
    <s v="J (Apr 20)"/>
    <d v="2020-04-15T00:00:00"/>
    <n v="-1"/>
  </r>
  <r>
    <x v="570"/>
    <x v="30"/>
    <n v="24.39"/>
    <n v="27.95"/>
    <n v="24.25"/>
    <n v="26.31"/>
    <x v="622"/>
    <n v="2.5499999999999998"/>
    <n v="6347"/>
    <n v="0"/>
    <n v="15745"/>
    <x v="53"/>
    <n v="163"/>
    <s v="Q (Aug 20)"/>
    <d v="2020-08-19T00:00:00"/>
    <n v="-1"/>
  </r>
  <r>
    <x v="570"/>
    <x v="35"/>
    <n v="38.9"/>
    <n v="53.15"/>
    <n v="38.75"/>
    <n v="45.65"/>
    <x v="2604"/>
    <n v="8.6"/>
    <n v="188225"/>
    <n v="18"/>
    <n v="134442"/>
    <x v="44"/>
    <n v="9"/>
    <s v="H (Mar 20)"/>
    <d v="2020-03-18T00:00:00"/>
    <n v="-1"/>
  </r>
  <r>
    <x v="571"/>
    <x v="34"/>
    <n v="27.5"/>
    <n v="33.049999999999997"/>
    <n v="27.17"/>
    <n v="30.65"/>
    <x v="2380"/>
    <n v="2.8"/>
    <n v="218204"/>
    <n v="3117"/>
    <n v="163972"/>
    <x v="14"/>
    <n v="40"/>
    <s v="J (Apr 20)"/>
    <d v="2020-04-15T00:00:00"/>
    <n v="-1"/>
  </r>
  <r>
    <x v="571"/>
    <x v="30"/>
    <n v="21.85"/>
    <n v="24.5"/>
    <n v="21.72"/>
    <n v="23.5"/>
    <x v="2605"/>
    <n v="1.45"/>
    <n v="9413"/>
    <n v="0"/>
    <n v="16062"/>
    <x v="59"/>
    <n v="166"/>
    <s v="Q (Aug 20)"/>
    <d v="2020-08-19T00:00:00"/>
    <n v="-1"/>
  </r>
  <r>
    <x v="571"/>
    <x v="35"/>
    <n v="31.85"/>
    <n v="40.15"/>
    <n v="31.2"/>
    <n v="36.17"/>
    <x v="2606"/>
    <n v="3.9"/>
    <n v="253940"/>
    <n v="2078"/>
    <n v="145767"/>
    <x v="47"/>
    <n v="12"/>
    <s v="H (Mar 20)"/>
    <d v="2020-03-18T00:00:00"/>
    <n v="-1"/>
  </r>
  <r>
    <x v="571"/>
    <x v="31"/>
    <n v="22.27"/>
    <n v="25.07"/>
    <n v="22.05"/>
    <n v="23.95"/>
    <x v="1656"/>
    <n v="1.55"/>
    <n v="18384"/>
    <n v="0"/>
    <n v="21062"/>
    <x v="58"/>
    <n v="138"/>
    <s v="N (Jul 20)"/>
    <d v="2020-07-22T00:00:00"/>
    <n v="-1"/>
  </r>
  <r>
    <x v="571"/>
    <x v="28"/>
    <n v="23.45"/>
    <n v="25.61"/>
    <n v="23.4"/>
    <n v="24.85"/>
    <x v="1425"/>
    <n v="1.375"/>
    <n v="1177"/>
    <n v="0"/>
    <n v="12646"/>
    <x v="86"/>
    <n v="229"/>
    <s v="V (Oct 20)"/>
    <d v="2020-10-21T00:00:00"/>
    <n v="-1"/>
  </r>
  <r>
    <x v="571"/>
    <x v="33"/>
    <n v="24.68"/>
    <n v="28.35"/>
    <n v="24.42"/>
    <n v="26.5"/>
    <x v="461"/>
    <n v="1.6"/>
    <n v="78078"/>
    <n v="0"/>
    <n v="55815"/>
    <x v="60"/>
    <n v="75"/>
    <s v="K (May 20)"/>
    <d v="2020-05-20T00:00:00"/>
    <n v="-1"/>
  </r>
  <r>
    <x v="571"/>
    <x v="27"/>
    <n v="22.17"/>
    <n v="23.59"/>
    <n v="21.85"/>
    <n v="22.95"/>
    <x v="2607"/>
    <n v="1.425"/>
    <n v="343"/>
    <n v="0"/>
    <n v="6295"/>
    <x v="87"/>
    <n v="257"/>
    <s v="X (Nov 20)"/>
    <d v="2020-11-18T00:00:00"/>
    <n v="-1"/>
  </r>
  <r>
    <x v="571"/>
    <x v="32"/>
    <n v="23.2"/>
    <n v="26.32"/>
    <n v="22.97"/>
    <n v="24.89"/>
    <x v="1311"/>
    <n v="1.45"/>
    <n v="32715"/>
    <n v="0"/>
    <n v="28669"/>
    <x v="10"/>
    <n v="103"/>
    <s v="M (Jun 20)"/>
    <d v="2020-06-17T00:00:00"/>
    <n v="-1"/>
  </r>
  <r>
    <x v="571"/>
    <x v="29"/>
    <n v="21.6"/>
    <n v="24.05"/>
    <n v="21.5"/>
    <n v="23.23"/>
    <x v="1762"/>
    <n v="1.4750000000000001"/>
    <n v="6377"/>
    <n v="0"/>
    <n v="9969"/>
    <x v="13"/>
    <n v="194"/>
    <s v="U (Sep 20)"/>
    <d v="2020-09-16T00:00:00"/>
    <n v="-1"/>
  </r>
  <r>
    <x v="572"/>
    <x v="31"/>
    <n v="20.62"/>
    <n v="22.66"/>
    <n v="20.62"/>
    <n v="22.25"/>
    <x v="2608"/>
    <n v="1.65"/>
    <n v="13096"/>
    <n v="0"/>
    <n v="21735"/>
    <x v="70"/>
    <n v="139"/>
    <s v="N (Jul 20)"/>
    <d v="2020-07-22T00:00:00"/>
    <n v="-1"/>
  </r>
  <r>
    <x v="572"/>
    <x v="28"/>
    <n v="22.32"/>
    <n v="23.65"/>
    <n v="22.3"/>
    <n v="23.45"/>
    <x v="1305"/>
    <n v="1.2250000000000001"/>
    <n v="917"/>
    <n v="0"/>
    <n v="12935"/>
    <x v="92"/>
    <n v="230"/>
    <s v="V (Oct 20)"/>
    <d v="2020-10-21T00:00:00"/>
    <n v="-1"/>
  </r>
  <r>
    <x v="572"/>
    <x v="33"/>
    <n v="22.4"/>
    <n v="25.3"/>
    <n v="22.37"/>
    <n v="24.66"/>
    <x v="1311"/>
    <n v="2.2999999999999998"/>
    <n v="46081"/>
    <n v="0"/>
    <n v="52704"/>
    <x v="63"/>
    <n v="76"/>
    <s v="K (May 20)"/>
    <d v="2020-05-20T00:00:00"/>
    <n v="-1"/>
  </r>
  <r>
    <x v="572"/>
    <x v="27"/>
    <n v="20.47"/>
    <n v="21.5"/>
    <n v="20.47"/>
    <n v="21.45"/>
    <x v="2609"/>
    <n v="1.2250000000000001"/>
    <n v="375"/>
    <n v="0"/>
    <n v="6349"/>
    <x v="93"/>
    <n v="258"/>
    <s v="X (Nov 20)"/>
    <d v="2020-11-18T00:00:00"/>
    <n v="-1"/>
  </r>
  <r>
    <x v="572"/>
    <x v="32"/>
    <n v="21.4"/>
    <n v="23.67"/>
    <n v="21.35"/>
    <n v="23.22"/>
    <x v="2310"/>
    <n v="1.85"/>
    <n v="21276"/>
    <n v="0"/>
    <n v="28530"/>
    <x v="25"/>
    <n v="104"/>
    <s v="M (Jun 20)"/>
    <d v="2020-06-17T00:00:00"/>
    <n v="-1"/>
  </r>
  <r>
    <x v="572"/>
    <x v="29"/>
    <n v="20.399999999999999"/>
    <n v="21.9"/>
    <n v="20.350000000000001"/>
    <n v="21.57"/>
    <x v="2610"/>
    <n v="1.35"/>
    <n v="2743"/>
    <n v="0"/>
    <n v="10059"/>
    <x v="19"/>
    <n v="195"/>
    <s v="U (Sep 20)"/>
    <d v="2020-09-16T00:00:00"/>
    <n v="-1"/>
  </r>
  <r>
    <x v="572"/>
    <x v="34"/>
    <n v="24.65"/>
    <n v="28.45"/>
    <n v="24.6"/>
    <n v="27.52"/>
    <x v="2354"/>
    <n v="2.9"/>
    <n v="154150"/>
    <n v="737"/>
    <n v="151361"/>
    <x v="20"/>
    <n v="41"/>
    <s v="J (Apr 20)"/>
    <d v="2020-04-15T00:00:00"/>
    <n v="-1"/>
  </r>
  <r>
    <x v="572"/>
    <x v="30"/>
    <n v="20.399999999999999"/>
    <n v="22.22"/>
    <n v="20.399999999999999"/>
    <n v="21.87"/>
    <x v="2611"/>
    <n v="1.55"/>
    <n v="6318"/>
    <n v="0"/>
    <n v="16685"/>
    <x v="71"/>
    <n v="167"/>
    <s v="Q (Aug 20)"/>
    <d v="2020-08-19T00:00:00"/>
    <n v="-1"/>
  </r>
  <r>
    <x v="572"/>
    <x v="35"/>
    <n v="27.4"/>
    <n v="33.25"/>
    <n v="27.3"/>
    <n v="31.7"/>
    <x v="2387"/>
    <n v="4.45"/>
    <n v="210107"/>
    <n v="528"/>
    <n v="154911"/>
    <x v="62"/>
    <n v="13"/>
    <s v="H (Mar 20)"/>
    <d v="2020-03-18T00:00:00"/>
    <n v="-1"/>
  </r>
  <r>
    <x v="573"/>
    <x v="34"/>
    <n v="25.55"/>
    <n v="25.82"/>
    <n v="24"/>
    <n v="24.7"/>
    <x v="1217"/>
    <n v="-0.9"/>
    <n v="98466"/>
    <n v="845"/>
    <n v="134964"/>
    <x v="31"/>
    <n v="42"/>
    <s v="J (Apr 20)"/>
    <d v="2020-04-15T00:00:00"/>
    <n v="-1"/>
  </r>
  <r>
    <x v="573"/>
    <x v="30"/>
    <n v="20.52"/>
    <n v="20.67"/>
    <n v="20.02"/>
    <n v="20.399999999999999"/>
    <x v="2612"/>
    <n v="-0.1"/>
    <n v="6047"/>
    <n v="0"/>
    <n v="16307"/>
    <x v="77"/>
    <n v="168"/>
    <s v="Q (Aug 20)"/>
    <d v="2020-08-19T00:00:00"/>
    <n v="-1"/>
  </r>
  <r>
    <x v="573"/>
    <x v="35"/>
    <n v="29.3"/>
    <n v="29.7"/>
    <n v="26.6"/>
    <n v="27.5"/>
    <x v="2324"/>
    <n v="-1.75"/>
    <n v="156139"/>
    <n v="845"/>
    <n v="158520"/>
    <x v="65"/>
    <n v="14"/>
    <s v="H (Mar 20)"/>
    <d v="2020-03-18T00:00:00"/>
    <n v="-1"/>
  </r>
  <r>
    <x v="573"/>
    <x v="31"/>
    <n v="20.75"/>
    <n v="20.92"/>
    <n v="20.2"/>
    <n v="20.65"/>
    <x v="2613"/>
    <n v="-7.4999999999999997E-2"/>
    <n v="7141"/>
    <n v="0"/>
    <n v="22748"/>
    <x v="76"/>
    <n v="140"/>
    <s v="N (Jul 20)"/>
    <d v="2020-07-22T00:00:00"/>
    <n v="-1"/>
  </r>
  <r>
    <x v="573"/>
    <x v="28"/>
    <n v="22.9"/>
    <n v="23.05"/>
    <n v="22.1"/>
    <n v="22.25"/>
    <x v="2614"/>
    <n v="-0.67500000000000004"/>
    <n v="3073"/>
    <n v="0"/>
    <n v="12760"/>
    <x v="104"/>
    <n v="231"/>
    <s v="V (Oct 20)"/>
    <d v="2020-10-21T00:00:00"/>
    <n v="-1"/>
  </r>
  <r>
    <x v="573"/>
    <x v="33"/>
    <n v="22.85"/>
    <n v="23.07"/>
    <n v="21.75"/>
    <n v="22.4"/>
    <x v="2320"/>
    <n v="-0.45"/>
    <n v="25030"/>
    <n v="0"/>
    <n v="50576"/>
    <x v="78"/>
    <n v="77"/>
    <s v="K (May 20)"/>
    <d v="2020-05-20T00:00:00"/>
    <n v="-1"/>
  </r>
  <r>
    <x v="573"/>
    <x v="27"/>
    <n v="20.329999999999998"/>
    <n v="20.5"/>
    <n v="20.2"/>
    <n v="20.3"/>
    <x v="2615"/>
    <n v="-0.4"/>
    <n v="1162"/>
    <n v="0"/>
    <n v="6259"/>
    <x v="105"/>
    <n v="259"/>
    <s v="X (Nov 20)"/>
    <d v="2020-11-18T00:00:00"/>
    <n v="-1"/>
  </r>
  <r>
    <x v="573"/>
    <x v="32"/>
    <n v="21.6"/>
    <n v="21.82"/>
    <n v="20.87"/>
    <n v="21.4"/>
    <x v="2616"/>
    <n v="-0.2"/>
    <n v="11665"/>
    <n v="0"/>
    <n v="27447"/>
    <x v="28"/>
    <n v="105"/>
    <s v="M (Jun 20)"/>
    <d v="2020-06-17T00:00:00"/>
    <n v="-1"/>
  </r>
  <r>
    <x v="573"/>
    <x v="29"/>
    <n v="20.6"/>
    <n v="20.65"/>
    <n v="20.05"/>
    <n v="20.3"/>
    <x v="2617"/>
    <n v="-0.22500000000000001"/>
    <n v="4109"/>
    <n v="0"/>
    <n v="9853"/>
    <x v="30"/>
    <n v="196"/>
    <s v="U (Sep 20)"/>
    <d v="2020-09-16T00:00:00"/>
    <n v="-1"/>
  </r>
  <r>
    <x v="574"/>
    <x v="31"/>
    <n v="19.75"/>
    <n v="20.95"/>
    <n v="19.350000000000001"/>
    <n v="20.72"/>
    <x v="2618"/>
    <n v="0.875"/>
    <n v="14753"/>
    <n v="0"/>
    <n v="23092"/>
    <x v="88"/>
    <n v="141"/>
    <s v="N (Jul 20)"/>
    <d v="2020-07-22T00:00:00"/>
    <n v="-1"/>
  </r>
  <r>
    <x v="574"/>
    <x v="28"/>
    <n v="22.63"/>
    <n v="23.25"/>
    <n v="22.3"/>
    <n v="22.9"/>
    <x v="1116"/>
    <n v="0.27500000000000002"/>
    <n v="1883"/>
    <n v="0"/>
    <n v="12215"/>
    <x v="110"/>
    <n v="232"/>
    <s v="V (Oct 20)"/>
    <d v="2020-10-21T00:00:00"/>
    <n v="-1"/>
  </r>
  <r>
    <x v="574"/>
    <x v="33"/>
    <n v="21.3"/>
    <n v="23"/>
    <n v="20.6"/>
    <n v="22.82"/>
    <x v="2319"/>
    <n v="1.55"/>
    <n v="46836"/>
    <n v="0"/>
    <n v="49756"/>
    <x v="81"/>
    <n v="78"/>
    <s v="K (May 20)"/>
    <d v="2020-05-20T00:00:00"/>
    <n v="-1"/>
  </r>
  <r>
    <x v="574"/>
    <x v="27"/>
    <n v="20.38"/>
    <n v="20.8"/>
    <n v="20.100000000000001"/>
    <n v="20.350000000000001"/>
    <x v="2613"/>
    <n v="0.27500000000000002"/>
    <n v="602"/>
    <n v="0"/>
    <n v="6301"/>
    <x v="111"/>
    <n v="260"/>
    <s v="X (Nov 20)"/>
    <d v="2020-11-18T00:00:00"/>
    <n v="-1"/>
  </r>
  <r>
    <x v="574"/>
    <x v="32"/>
    <n v="20.350000000000001"/>
    <n v="21.75"/>
    <n v="19.8"/>
    <n v="21.6"/>
    <x v="2619"/>
    <n v="1.25"/>
    <n v="20118"/>
    <n v="0"/>
    <n v="28038"/>
    <x v="43"/>
    <n v="106"/>
    <s v="M (Jun 20)"/>
    <d v="2020-06-17T00:00:00"/>
    <n v="-1"/>
  </r>
  <r>
    <x v="574"/>
    <x v="29"/>
    <n v="19.739999999999998"/>
    <n v="20.67"/>
    <n v="19.5"/>
    <n v="20.51"/>
    <x v="1754"/>
    <n v="0.67500000000000004"/>
    <n v="3758"/>
    <n v="0"/>
    <n v="9994"/>
    <x v="36"/>
    <n v="197"/>
    <s v="U (Sep 20)"/>
    <d v="2020-09-16T00:00:00"/>
    <n v="-1"/>
  </r>
  <r>
    <x v="574"/>
    <x v="34"/>
    <n v="23.25"/>
    <n v="25.82"/>
    <n v="22.41"/>
    <n v="25.5"/>
    <x v="655"/>
    <n v="2.2000000000000002"/>
    <n v="170154"/>
    <n v="1302"/>
    <n v="136495"/>
    <x v="37"/>
    <n v="43"/>
    <s v="J (Apr 20)"/>
    <d v="2020-04-15T00:00:00"/>
    <n v="-1"/>
  </r>
  <r>
    <x v="574"/>
    <x v="30"/>
    <n v="19.600000000000001"/>
    <n v="20.67"/>
    <n v="19.25"/>
    <n v="20.5"/>
    <x v="2620"/>
    <n v="0.85"/>
    <n v="6963"/>
    <n v="0"/>
    <n v="15185"/>
    <x v="89"/>
    <n v="169"/>
    <s v="Q (Aug 20)"/>
    <d v="2020-08-19T00:00:00"/>
    <n v="-1"/>
  </r>
  <r>
    <x v="574"/>
    <x v="35"/>
    <n v="26.05"/>
    <n v="29.95"/>
    <n v="24.6"/>
    <n v="29.3"/>
    <x v="2325"/>
    <n v="2.9"/>
    <n v="249564"/>
    <n v="930"/>
    <n v="169220"/>
    <x v="80"/>
    <n v="15"/>
    <s v="H (Mar 20)"/>
    <d v="2020-03-18T00:00:00"/>
    <n v="-1"/>
  </r>
  <r>
    <x v="575"/>
    <x v="34"/>
    <n v="24.35"/>
    <n v="25.25"/>
    <n v="22.05"/>
    <n v="23.3"/>
    <x v="2314"/>
    <n v="0.3"/>
    <n v="163740"/>
    <n v="177"/>
    <n v="122974"/>
    <x v="49"/>
    <n v="44"/>
    <s v="J (Apr 20)"/>
    <d v="2020-04-15T00:00:00"/>
    <n v="-1"/>
  </r>
  <r>
    <x v="575"/>
    <x v="30"/>
    <n v="19.850000000000001"/>
    <n v="20.25"/>
    <n v="19.100000000000001"/>
    <n v="19.66"/>
    <x v="2621"/>
    <n v="0"/>
    <n v="8321"/>
    <n v="0"/>
    <n v="14378"/>
    <x v="95"/>
    <n v="170"/>
    <s v="Q (Aug 20)"/>
    <d v="2020-08-19T00:00:00"/>
    <n v="-1"/>
  </r>
  <r>
    <x v="575"/>
    <x v="35"/>
    <n v="29.05"/>
    <n v="30.2"/>
    <n v="24.8"/>
    <n v="26.15"/>
    <x v="461"/>
    <n v="-0.05"/>
    <n v="261145"/>
    <n v="266"/>
    <n v="171998"/>
    <x v="83"/>
    <n v="16"/>
    <s v="H (Mar 20)"/>
    <d v="2020-03-18T00:00:00"/>
    <n v="-1"/>
  </r>
  <r>
    <x v="575"/>
    <x v="31"/>
    <n v="20.05"/>
    <n v="20.65"/>
    <n v="19.3"/>
    <n v="19.88"/>
    <x v="2622"/>
    <n v="0"/>
    <n v="15705"/>
    <n v="0"/>
    <n v="19032"/>
    <x v="94"/>
    <n v="142"/>
    <s v="N (Jul 20)"/>
    <d v="2020-07-22T00:00:00"/>
    <n v="-1"/>
  </r>
  <r>
    <x v="575"/>
    <x v="28"/>
    <n v="22.85"/>
    <n v="23.07"/>
    <n v="22.15"/>
    <n v="22.6"/>
    <x v="2321"/>
    <n v="7.4999999999999997E-2"/>
    <n v="1439"/>
    <n v="0"/>
    <n v="12129"/>
    <x v="122"/>
    <n v="233"/>
    <s v="V (Oct 20)"/>
    <d v="2020-10-21T00:00:00"/>
    <n v="-1"/>
  </r>
  <r>
    <x v="575"/>
    <x v="33"/>
    <n v="21.4"/>
    <n v="22.68"/>
    <n v="20.45"/>
    <n v="21.32"/>
    <x v="2623"/>
    <n v="0"/>
    <n v="55693"/>
    <n v="0"/>
    <n v="46619"/>
    <x v="96"/>
    <n v="79"/>
    <s v="K (May 20)"/>
    <d v="2020-05-20T00:00:00"/>
    <n v="-1"/>
  </r>
  <r>
    <x v="575"/>
    <x v="27"/>
    <n v="20.8"/>
    <n v="20.8"/>
    <n v="20.100000000000001"/>
    <n v="20.45"/>
    <x v="2624"/>
    <n v="-0.125"/>
    <n v="61"/>
    <n v="0"/>
    <n v="6104"/>
    <x v="123"/>
    <n v="261"/>
    <s v="X (Nov 20)"/>
    <d v="2020-11-18T00:00:00"/>
    <n v="-1"/>
  </r>
  <r>
    <x v="575"/>
    <x v="32"/>
    <n v="20.7"/>
    <n v="21.39"/>
    <n v="19.64"/>
    <n v="20.37"/>
    <x v="2625"/>
    <n v="-0.05"/>
    <n v="23085"/>
    <n v="0"/>
    <n v="26556"/>
    <x v="46"/>
    <n v="107"/>
    <s v="M (Jun 20)"/>
    <d v="2020-06-17T00:00:00"/>
    <n v="-1"/>
  </r>
  <r>
    <x v="575"/>
    <x v="29"/>
    <n v="20.079999999999998"/>
    <n v="20.2"/>
    <n v="19.170000000000002"/>
    <n v="19.82"/>
    <x v="2622"/>
    <n v="0.2"/>
    <n v="3807"/>
    <n v="0"/>
    <n v="9559"/>
    <x v="48"/>
    <n v="198"/>
    <s v="U (Sep 20)"/>
    <d v="2020-09-16T00:00:00"/>
    <n v="-1"/>
  </r>
  <r>
    <x v="576"/>
    <x v="31"/>
    <n v="20.45"/>
    <n v="21.42"/>
    <n v="19.7"/>
    <n v="19.75"/>
    <x v="2622"/>
    <n v="-0.45"/>
    <n v="26599"/>
    <n v="0"/>
    <n v="20175"/>
    <x v="106"/>
    <n v="145"/>
    <s v="N (Jul 20)"/>
    <d v="2020-07-22T00:00:00"/>
    <n v="-1"/>
  </r>
  <r>
    <x v="576"/>
    <x v="28"/>
    <n v="22.9"/>
    <n v="23.75"/>
    <n v="22.45"/>
    <n v="22.52"/>
    <x v="798"/>
    <n v="-0.2"/>
    <n v="1585"/>
    <n v="0"/>
    <n v="11807"/>
    <x v="128"/>
    <n v="236"/>
    <s v="V (Oct 20)"/>
    <d v="2020-10-21T00:00:00"/>
    <n v="-1"/>
  </r>
  <r>
    <x v="576"/>
    <x v="33"/>
    <n v="22"/>
    <n v="23.55"/>
    <n v="21.14"/>
    <n v="21.2"/>
    <x v="2623"/>
    <n v="-0.5"/>
    <n v="95567"/>
    <n v="0"/>
    <n v="47615"/>
    <x v="99"/>
    <n v="82"/>
    <s v="K (May 20)"/>
    <d v="2020-05-20T00:00:00"/>
    <n v="-1"/>
  </r>
  <r>
    <x v="576"/>
    <x v="27"/>
    <n v="20.57"/>
    <n v="21.16"/>
    <n v="20.2"/>
    <n v="20.260000000000002"/>
    <x v="2620"/>
    <n v="0.05"/>
    <n v="414"/>
    <n v="0"/>
    <n v="6094"/>
    <x v="186"/>
    <n v="264"/>
    <s v="X (Nov 20)"/>
    <d v="2020-11-18T00:00:00"/>
    <n v="-1"/>
  </r>
  <r>
    <x v="576"/>
    <x v="32"/>
    <n v="21.15"/>
    <n v="22.3"/>
    <n v="20.27"/>
    <n v="20.350000000000001"/>
    <x v="2612"/>
    <n v="-0.55000000000000004"/>
    <n v="43406"/>
    <n v="0"/>
    <n v="28076"/>
    <x v="61"/>
    <n v="110"/>
    <s v="M (Jun 20)"/>
    <d v="2020-06-17T00:00:00"/>
    <n v="-1"/>
  </r>
  <r>
    <x v="576"/>
    <x v="29"/>
    <n v="20"/>
    <n v="20.8"/>
    <n v="19.489999999999998"/>
    <n v="19.52"/>
    <x v="2621"/>
    <n v="-0.17499999999999999"/>
    <n v="5252"/>
    <n v="0"/>
    <n v="8989"/>
    <x v="54"/>
    <n v="201"/>
    <s v="U (Sep 20)"/>
    <d v="2020-09-16T00:00:00"/>
    <n v="-1"/>
  </r>
  <r>
    <x v="576"/>
    <x v="34"/>
    <n v="23.75"/>
    <n v="25.7"/>
    <n v="22.9"/>
    <n v="23"/>
    <x v="2626"/>
    <n v="-0.5"/>
    <n v="252493"/>
    <n v="2985"/>
    <n v="121789"/>
    <x v="55"/>
    <n v="47"/>
    <s v="J (Apr 20)"/>
    <d v="2020-04-15T00:00:00"/>
    <n v="-1"/>
  </r>
  <r>
    <x v="576"/>
    <x v="30"/>
    <n v="19.920000000000002"/>
    <n v="20.95"/>
    <n v="19.5"/>
    <n v="19.53"/>
    <x v="2621"/>
    <n v="-0.22500000000000001"/>
    <n v="14920"/>
    <n v="0"/>
    <n v="15380"/>
    <x v="107"/>
    <n v="173"/>
    <s v="Q (Aug 20)"/>
    <d v="2020-08-19T00:00:00"/>
    <n v="-1"/>
  </r>
  <r>
    <x v="576"/>
    <x v="35"/>
    <n v="26.65"/>
    <n v="30.05"/>
    <n v="25.69"/>
    <n v="26.1"/>
    <x v="445"/>
    <n v="0.05"/>
    <n v="407721"/>
    <n v="5574"/>
    <n v="192263"/>
    <x v="98"/>
    <n v="19"/>
    <s v="H (Mar 20)"/>
    <d v="2020-03-18T00:00:00"/>
    <n v="-1"/>
  </r>
  <r>
    <x v="577"/>
    <x v="34"/>
    <n v="21"/>
    <n v="23.72"/>
    <n v="20.77"/>
    <n v="23.62"/>
    <x v="1483"/>
    <n v="2.5499999999999998"/>
    <n v="211311"/>
    <n v="4177"/>
    <n v="112875"/>
    <x v="67"/>
    <n v="48"/>
    <s v="J (Apr 20)"/>
    <d v="2020-04-15T00:00:00"/>
    <n v="-1"/>
  </r>
  <r>
    <x v="577"/>
    <x v="30"/>
    <n v="19.149999999999999"/>
    <n v="20.12"/>
    <n v="18.98"/>
    <n v="20"/>
    <x v="2627"/>
    <n v="0.77500000000000002"/>
    <n v="9174"/>
    <n v="0"/>
    <n v="15439"/>
    <x v="113"/>
    <n v="174"/>
    <s v="Q (Aug 20)"/>
    <d v="2020-08-19T00:00:00"/>
    <n v="-1"/>
  </r>
  <r>
    <x v="577"/>
    <x v="35"/>
    <n v="22.5"/>
    <n v="26.75"/>
    <n v="22.05"/>
    <n v="26.6"/>
    <x v="461"/>
    <n v="3.95"/>
    <n v="404373"/>
    <n v="9753"/>
    <n v="202794"/>
    <x v="101"/>
    <n v="20"/>
    <s v="H (Mar 20)"/>
    <d v="2020-03-18T00:00:00"/>
    <n v="-1"/>
  </r>
  <r>
    <x v="577"/>
    <x v="31"/>
    <n v="19.3"/>
    <n v="20.45"/>
    <n v="19.100000000000001"/>
    <n v="20.39"/>
    <x v="2617"/>
    <n v="1.1000000000000001"/>
    <n v="13322"/>
    <n v="0"/>
    <n v="19554"/>
    <x v="112"/>
    <n v="146"/>
    <s v="N (Jul 20)"/>
    <d v="2020-07-22T00:00:00"/>
    <n v="-1"/>
  </r>
  <r>
    <x v="577"/>
    <x v="28"/>
    <n v="22.28"/>
    <n v="22.9"/>
    <n v="22.18"/>
    <n v="22.9"/>
    <x v="2628"/>
    <n v="0.55000000000000004"/>
    <n v="829"/>
    <n v="0"/>
    <n v="11742"/>
    <x v="139"/>
    <n v="237"/>
    <s v="V (Oct 20)"/>
    <d v="2020-10-21T00:00:00"/>
    <n v="-1"/>
  </r>
  <r>
    <x v="577"/>
    <x v="33"/>
    <n v="19.850000000000001"/>
    <n v="21.97"/>
    <n v="19.57"/>
    <n v="21.91"/>
    <x v="2411"/>
    <n v="2.0499999999999998"/>
    <n v="73070"/>
    <n v="0"/>
    <n v="48755"/>
    <x v="114"/>
    <n v="83"/>
    <s v="K (May 20)"/>
    <d v="2020-05-20T00:00:00"/>
    <n v="-1"/>
  </r>
  <r>
    <x v="577"/>
    <x v="27"/>
    <n v="20"/>
    <n v="20.57"/>
    <n v="19.850000000000001"/>
    <n v="20.52"/>
    <x v="2629"/>
    <n v="0.6"/>
    <n v="199"/>
    <n v="0"/>
    <n v="6069"/>
    <x v="187"/>
    <n v="265"/>
    <s v="X (Nov 20)"/>
    <d v="2020-11-18T00:00:00"/>
    <n v="-1"/>
  </r>
  <r>
    <x v="577"/>
    <x v="32"/>
    <n v="19.5"/>
    <n v="21.15"/>
    <n v="19.3"/>
    <n v="21.07"/>
    <x v="2630"/>
    <n v="1.5"/>
    <n v="26750"/>
    <n v="0"/>
    <n v="26233"/>
    <x v="64"/>
    <n v="111"/>
    <s v="M (Jun 20)"/>
    <d v="2020-06-17T00:00:00"/>
    <n v="-1"/>
  </r>
  <r>
    <x v="577"/>
    <x v="29"/>
    <n v="19.29"/>
    <n v="20.05"/>
    <n v="19.12"/>
    <n v="19.91"/>
    <x v="2631"/>
    <n v="0.57499999999999996"/>
    <n v="3269"/>
    <n v="0"/>
    <n v="8181"/>
    <x v="66"/>
    <n v="202"/>
    <s v="U (Sep 20)"/>
    <d v="2020-09-16T00:00:00"/>
    <n v="-1"/>
  </r>
  <r>
    <x v="578"/>
    <x v="31"/>
    <n v="19"/>
    <n v="19.37"/>
    <n v="18.63"/>
    <n v="19.22"/>
    <x v="2632"/>
    <n v="0.1"/>
    <n v="12736"/>
    <n v="0"/>
    <n v="18905"/>
    <x v="124"/>
    <n v="147"/>
    <s v="N (Jul 20)"/>
    <d v="2020-07-22T00:00:00"/>
    <n v="-1"/>
  </r>
  <r>
    <x v="578"/>
    <x v="28"/>
    <n v="21.85"/>
    <n v="22.3"/>
    <n v="21.64"/>
    <n v="22.2"/>
    <x v="1173"/>
    <n v="0.17499999999999999"/>
    <n v="1132"/>
    <n v="0"/>
    <n v="11718"/>
    <x v="144"/>
    <n v="238"/>
    <s v="V (Oct 20)"/>
    <d v="2020-10-21T00:00:00"/>
    <n v="-1"/>
  </r>
  <r>
    <x v="578"/>
    <x v="33"/>
    <n v="19.45"/>
    <n v="20"/>
    <n v="18.95"/>
    <n v="19.77"/>
    <x v="2633"/>
    <n v="0.15"/>
    <n v="54232"/>
    <n v="0"/>
    <n v="36954"/>
    <x v="117"/>
    <n v="84"/>
    <s v="K (May 20)"/>
    <d v="2020-05-20T00:00:00"/>
    <n v="-1"/>
  </r>
  <r>
    <x v="578"/>
    <x v="27"/>
    <n v="19.45"/>
    <n v="19.899999999999999"/>
    <n v="19.440000000000001"/>
    <n v="19.850000000000001"/>
    <x v="2622"/>
    <n v="7.4999999999999997E-2"/>
    <n v="219"/>
    <n v="0"/>
    <n v="6040"/>
    <x v="188"/>
    <n v="266"/>
    <s v="X (Nov 20)"/>
    <d v="2020-11-18T00:00:00"/>
    <n v="-1"/>
  </r>
  <r>
    <x v="578"/>
    <x v="32"/>
    <n v="19.149999999999999"/>
    <n v="19.649999999999999"/>
    <n v="18.77"/>
    <n v="19.47"/>
    <x v="2634"/>
    <n v="0.15"/>
    <n v="27392"/>
    <n v="0"/>
    <n v="24479"/>
    <x v="79"/>
    <n v="112"/>
    <s v="M (Jun 20)"/>
    <d v="2020-06-17T00:00:00"/>
    <n v="-1"/>
  </r>
  <r>
    <x v="578"/>
    <x v="29"/>
    <n v="19.02"/>
    <n v="19.3"/>
    <n v="18.68"/>
    <n v="19.2"/>
    <x v="2635"/>
    <n v="0.15"/>
    <n v="2683"/>
    <n v="0"/>
    <n v="8134"/>
    <x v="72"/>
    <n v="203"/>
    <s v="U (Sep 20)"/>
    <d v="2020-09-16T00:00:00"/>
    <n v="-1"/>
  </r>
  <r>
    <x v="578"/>
    <x v="34"/>
    <n v="20.75"/>
    <n v="21.46"/>
    <n v="19.98"/>
    <n v="21.03"/>
    <x v="2636"/>
    <n v="0.1"/>
    <n v="149257"/>
    <n v="305"/>
    <n v="101495"/>
    <x v="73"/>
    <n v="49"/>
    <s v="J (Apr 20)"/>
    <d v="2020-04-15T00:00:00"/>
    <n v="-1"/>
  </r>
  <r>
    <x v="578"/>
    <x v="30"/>
    <n v="18.899999999999999"/>
    <n v="19.2"/>
    <n v="18.55"/>
    <n v="19.11"/>
    <x v="2637"/>
    <n v="0.1"/>
    <n v="6073"/>
    <n v="0"/>
    <n v="14746"/>
    <x v="125"/>
    <n v="175"/>
    <s v="Q (Aug 20)"/>
    <d v="2020-08-19T00:00:00"/>
    <n v="-1"/>
  </r>
  <r>
    <x v="578"/>
    <x v="35"/>
    <n v="22"/>
    <n v="23.25"/>
    <n v="20.88"/>
    <n v="22.45"/>
    <x v="2638"/>
    <n v="0.1"/>
    <n v="311932"/>
    <n v="917"/>
    <n v="192883"/>
    <x v="116"/>
    <n v="21"/>
    <s v="H (Mar 20)"/>
    <d v="2020-03-18T00:00:00"/>
    <n v="-1"/>
  </r>
  <r>
    <x v="579"/>
    <x v="34"/>
    <n v="19.5"/>
    <n v="21.35"/>
    <n v="18.5"/>
    <n v="20.67"/>
    <x v="2639"/>
    <n v="1.5"/>
    <n v="203553"/>
    <n v="2562"/>
    <n v="98514"/>
    <x v="85"/>
    <n v="50"/>
    <s v="J (Apr 20)"/>
    <d v="2020-04-15T00:00:00"/>
    <n v="-1"/>
  </r>
  <r>
    <x v="579"/>
    <x v="30"/>
    <n v="18.350000000000001"/>
    <n v="19.239999999999998"/>
    <n v="17.95"/>
    <n v="18.899999999999999"/>
    <x v="2640"/>
    <n v="0.65"/>
    <n v="9294"/>
    <n v="0"/>
    <n v="15070"/>
    <x v="130"/>
    <n v="176"/>
    <s v="Q (Aug 20)"/>
    <d v="2020-08-19T00:00:00"/>
    <n v="-1"/>
  </r>
  <r>
    <x v="579"/>
    <x v="35"/>
    <n v="20.3"/>
    <n v="23.15"/>
    <n v="18.850000000000001"/>
    <n v="21.95"/>
    <x v="2614"/>
    <n v="2.15"/>
    <n v="419935"/>
    <n v="10268"/>
    <n v="210503"/>
    <x v="119"/>
    <n v="22"/>
    <s v="H (Mar 20)"/>
    <d v="2020-03-18T00:00:00"/>
    <n v="-1"/>
  </r>
  <r>
    <x v="579"/>
    <x v="31"/>
    <n v="18.399999999999999"/>
    <n v="19.37"/>
    <n v="17.93"/>
    <n v="19.02"/>
    <x v="2637"/>
    <n v="0.7"/>
    <n v="11535"/>
    <n v="0"/>
    <n v="17943"/>
    <x v="129"/>
    <n v="148"/>
    <s v="N (Jul 20)"/>
    <d v="2020-07-22T00:00:00"/>
    <n v="-1"/>
  </r>
  <r>
    <x v="579"/>
    <x v="28"/>
    <n v="21.15"/>
    <n v="22.27"/>
    <n v="21"/>
    <n v="21.9"/>
    <x v="2641"/>
    <n v="0.7"/>
    <n v="1438"/>
    <n v="0"/>
    <n v="11452"/>
    <x v="155"/>
    <n v="239"/>
    <s v="V (Oct 20)"/>
    <d v="2020-10-21T00:00:00"/>
    <n v="-1"/>
  </r>
  <r>
    <x v="579"/>
    <x v="33"/>
    <n v="18.45"/>
    <n v="20"/>
    <n v="17.77"/>
    <n v="19.45"/>
    <x v="2642"/>
    <n v="1.1499999999999999"/>
    <n v="89305"/>
    <n v="0"/>
    <n v="38177"/>
    <x v="131"/>
    <n v="85"/>
    <s v="K (May 20)"/>
    <d v="2020-05-20T00:00:00"/>
    <n v="-1"/>
  </r>
  <r>
    <x v="579"/>
    <x v="27"/>
    <n v="18.8"/>
    <n v="19.899999999999999"/>
    <n v="18.8"/>
    <n v="19.8"/>
    <x v="2643"/>
    <n v="0.6"/>
    <n v="449"/>
    <n v="0"/>
    <n v="5982"/>
    <x v="189"/>
    <n v="267"/>
    <s v="X (Nov 20)"/>
    <d v="2020-11-18T00:00:00"/>
    <n v="-1"/>
  </r>
  <r>
    <x v="579"/>
    <x v="32"/>
    <n v="18.399999999999999"/>
    <n v="19.649999999999999"/>
    <n v="17.87"/>
    <n v="19.18"/>
    <x v="2644"/>
    <n v="0.9"/>
    <n v="28722"/>
    <n v="0"/>
    <n v="26414"/>
    <x v="82"/>
    <n v="113"/>
    <s v="M (Jun 20)"/>
    <d v="2020-06-17T00:00:00"/>
    <n v="-1"/>
  </r>
  <r>
    <x v="579"/>
    <x v="29"/>
    <n v="18.5"/>
    <n v="19.309999999999999"/>
    <n v="18.149999999999999"/>
    <n v="18.97"/>
    <x v="2637"/>
    <n v="0.625"/>
    <n v="3114"/>
    <n v="0"/>
    <n v="7999"/>
    <x v="84"/>
    <n v="204"/>
    <s v="U (Sep 20)"/>
    <d v="2020-09-16T00:00:00"/>
    <n v="-1"/>
  </r>
  <r>
    <x v="580"/>
    <x v="31"/>
    <n v="17.600000000000001"/>
    <n v="18.72"/>
    <n v="17.5"/>
    <n v="18.3"/>
    <x v="2645"/>
    <n v="0.85"/>
    <n v="12363"/>
    <n v="0"/>
    <n v="16516"/>
    <x v="140"/>
    <n v="149"/>
    <s v="N (Jul 20)"/>
    <d v="2020-07-22T00:00:00"/>
    <n v="-1"/>
  </r>
  <r>
    <x v="580"/>
    <x v="28"/>
    <n v="20.75"/>
    <n v="21.58"/>
    <n v="20.6"/>
    <n v="21.37"/>
    <x v="2646"/>
    <n v="0.72499999999999998"/>
    <n v="1357"/>
    <n v="0"/>
    <n v="11096"/>
    <x v="160"/>
    <n v="240"/>
    <s v="V (Oct 20)"/>
    <d v="2020-10-21T00:00:00"/>
    <n v="-1"/>
  </r>
  <r>
    <x v="580"/>
    <x v="33"/>
    <n v="17.5"/>
    <n v="18.71"/>
    <n v="17.38"/>
    <n v="18.399999999999999"/>
    <x v="2647"/>
    <n v="1.25"/>
    <n v="43430"/>
    <n v="0"/>
    <n v="37034"/>
    <x v="134"/>
    <n v="86"/>
    <s v="K (May 20)"/>
    <d v="2020-05-20T00:00:00"/>
    <n v="-1"/>
  </r>
  <r>
    <x v="580"/>
    <x v="27"/>
    <n v="18.809999999999999"/>
    <n v="19.350000000000001"/>
    <n v="18.8"/>
    <n v="19.2"/>
    <x v="2648"/>
    <n v="0.67500000000000004"/>
    <n v="236"/>
    <n v="0"/>
    <n v="5790"/>
    <x v="190"/>
    <n v="268"/>
    <s v="X (Nov 20)"/>
    <d v="2020-11-18T00:00:00"/>
    <n v="-1"/>
  </r>
  <r>
    <x v="580"/>
    <x v="32"/>
    <n v="17.600000000000001"/>
    <n v="18.72"/>
    <n v="17.52"/>
    <n v="18.37"/>
    <x v="2645"/>
    <n v="1"/>
    <n v="25746"/>
    <n v="0"/>
    <n v="24562"/>
    <x v="97"/>
    <n v="114"/>
    <s v="M (Jun 20)"/>
    <d v="2020-06-17T00:00:00"/>
    <n v="-1"/>
  </r>
  <r>
    <x v="580"/>
    <x v="29"/>
    <n v="17.8"/>
    <n v="18.8"/>
    <n v="17.8"/>
    <n v="18.45"/>
    <x v="2649"/>
    <n v="0.67500000000000004"/>
    <n v="2565"/>
    <n v="0"/>
    <n v="7572"/>
    <x v="90"/>
    <n v="205"/>
    <s v="U (Sep 20)"/>
    <d v="2020-09-16T00:00:00"/>
    <n v="-1"/>
  </r>
  <r>
    <x v="580"/>
    <x v="34"/>
    <n v="17.75"/>
    <n v="19.71"/>
    <n v="17.75"/>
    <n v="19.399999999999999"/>
    <x v="2650"/>
    <n v="2.0499999999999998"/>
    <n v="157264"/>
    <n v="1327"/>
    <n v="90463"/>
    <x v="91"/>
    <n v="51"/>
    <s v="J (Apr 20)"/>
    <d v="2020-04-15T00:00:00"/>
    <n v="-1"/>
  </r>
  <r>
    <x v="580"/>
    <x v="30"/>
    <n v="17.7"/>
    <n v="18.670000000000002"/>
    <n v="17.55"/>
    <n v="18.3"/>
    <x v="2651"/>
    <n v="0.75"/>
    <n v="9075"/>
    <n v="0"/>
    <n v="13701"/>
    <x v="141"/>
    <n v="177"/>
    <s v="Q (Aug 20)"/>
    <d v="2020-08-19T00:00:00"/>
    <n v="-1"/>
  </r>
  <r>
    <x v="580"/>
    <x v="35"/>
    <n v="17.899999999999999"/>
    <n v="20.7"/>
    <n v="17.850000000000001"/>
    <n v="20.149999999999999"/>
    <x v="2652"/>
    <n v="3.15"/>
    <n v="386934"/>
    <n v="7533"/>
    <n v="233328"/>
    <x v="133"/>
    <n v="23"/>
    <s v="H (Mar 20)"/>
    <d v="2020-03-18T00:00:00"/>
    <n v="-1"/>
  </r>
  <r>
    <x v="581"/>
    <x v="34"/>
    <n v="16.850000000000001"/>
    <n v="17.75"/>
    <n v="16.82"/>
    <n v="17.329999999999998"/>
    <x v="2653"/>
    <n v="0.5"/>
    <n v="91594"/>
    <n v="380"/>
    <n v="80557"/>
    <x v="103"/>
    <n v="54"/>
    <s v="J (Apr 20)"/>
    <d v="2020-04-15T00:00:00"/>
    <n v="-1"/>
  </r>
  <r>
    <x v="581"/>
    <x v="30"/>
    <n v="17.41"/>
    <n v="17.75"/>
    <n v="17.399999999999999"/>
    <n v="17.52"/>
    <x v="2654"/>
    <n v="0.2"/>
    <n v="3372"/>
    <n v="0"/>
    <n v="11420"/>
    <x v="147"/>
    <n v="180"/>
    <s v="Q (Aug 20)"/>
    <d v="2020-08-19T00:00:00"/>
    <n v="-1"/>
  </r>
  <r>
    <x v="581"/>
    <x v="35"/>
    <n v="16.2"/>
    <n v="17.55"/>
    <n v="16.13"/>
    <n v="17.05"/>
    <x v="2655"/>
    <n v="0.85"/>
    <n v="217234"/>
    <n v="3424"/>
    <n v="217530"/>
    <x v="136"/>
    <n v="26"/>
    <s v="H (Mar 20)"/>
    <d v="2020-03-18T00:00:00"/>
    <n v="-1"/>
  </r>
  <r>
    <x v="581"/>
    <x v="31"/>
    <n v="17.399999999999999"/>
    <n v="17.73"/>
    <n v="17.350000000000001"/>
    <n v="17.48"/>
    <x v="2656"/>
    <n v="0.2"/>
    <n v="7009"/>
    <n v="0"/>
    <n v="15451"/>
    <x v="146"/>
    <n v="152"/>
    <s v="N (Jul 20)"/>
    <d v="2020-07-22T00:00:00"/>
    <n v="-1"/>
  </r>
  <r>
    <x v="581"/>
    <x v="28"/>
    <n v="20.2"/>
    <n v="20.68"/>
    <n v="20.14"/>
    <n v="20.55"/>
    <x v="2657"/>
    <n v="0.47499999999999998"/>
    <n v="2028"/>
    <n v="0"/>
    <n v="10740"/>
    <x v="171"/>
    <n v="243"/>
    <s v="V (Oct 20)"/>
    <d v="2020-10-21T00:00:00"/>
    <n v="-1"/>
  </r>
  <r>
    <x v="581"/>
    <x v="33"/>
    <n v="16.850000000000001"/>
    <n v="17.45"/>
    <n v="16.850000000000001"/>
    <n v="17.09"/>
    <x v="2658"/>
    <n v="0.35"/>
    <n v="31355"/>
    <n v="5000"/>
    <n v="35202"/>
    <x v="148"/>
    <n v="89"/>
    <s v="K (May 20)"/>
    <d v="2020-05-20T00:00:00"/>
    <n v="-1"/>
  </r>
  <r>
    <x v="581"/>
    <x v="27"/>
    <n v="18.05"/>
    <n v="18.600000000000001"/>
    <n v="18.05"/>
    <n v="18.489999999999998"/>
    <x v="2659"/>
    <n v="0.35"/>
    <n v="534"/>
    <n v="0"/>
    <n v="5712"/>
    <x v="191"/>
    <n v="271"/>
    <s v="X (Nov 20)"/>
    <d v="2020-11-18T00:00:00"/>
    <n v="-1"/>
  </r>
  <r>
    <x v="581"/>
    <x v="32"/>
    <n v="17.170000000000002"/>
    <n v="17.61"/>
    <n v="17.170000000000002"/>
    <n v="17.309999999999999"/>
    <x v="2660"/>
    <n v="0.2"/>
    <n v="9645"/>
    <n v="0"/>
    <n v="23731"/>
    <x v="100"/>
    <n v="117"/>
    <s v="M (Jun 20)"/>
    <d v="2020-06-17T00:00:00"/>
    <n v="-1"/>
  </r>
  <r>
    <x v="581"/>
    <x v="29"/>
    <n v="17.649999999999999"/>
    <n v="17.95"/>
    <n v="17.55"/>
    <n v="17.75"/>
    <x v="2661"/>
    <n v="0.2"/>
    <n v="2211"/>
    <n v="0"/>
    <n v="7254"/>
    <x v="102"/>
    <n v="208"/>
    <s v="U (Sep 20)"/>
    <d v="2020-09-16T00:00:00"/>
    <n v="-1"/>
  </r>
  <r>
    <x v="582"/>
    <x v="31"/>
    <n v="17.100000000000001"/>
    <n v="17.55"/>
    <n v="17.05"/>
    <n v="17.38"/>
    <x v="2653"/>
    <n v="0.2"/>
    <n v="4493"/>
    <n v="0"/>
    <n v="14571"/>
    <x v="157"/>
    <n v="153"/>
    <s v="N (Jul 20)"/>
    <d v="2020-07-22T00:00:00"/>
    <n v="-1"/>
  </r>
  <r>
    <x v="582"/>
    <x v="28"/>
    <n v="19.899999999999999"/>
    <n v="20.25"/>
    <n v="19.850000000000001"/>
    <n v="20.079999999999998"/>
    <x v="2662"/>
    <n v="0.25"/>
    <n v="732"/>
    <n v="0"/>
    <n v="9881"/>
    <x v="4"/>
    <n v="244"/>
    <s v="V (Oct 20)"/>
    <d v="2020-10-21T00:00:00"/>
    <n v="-1"/>
  </r>
  <r>
    <x v="582"/>
    <x v="33"/>
    <n v="16.45"/>
    <n v="17.079999999999998"/>
    <n v="16.399999999999999"/>
    <n v="16.86"/>
    <x v="2663"/>
    <n v="0.3"/>
    <n v="23712"/>
    <n v="0"/>
    <n v="34396"/>
    <x v="151"/>
    <n v="90"/>
    <s v="K (May 20)"/>
    <d v="2020-05-20T00:00:00"/>
    <n v="-1"/>
  </r>
  <r>
    <x v="582"/>
    <x v="27"/>
    <n v="18.07"/>
    <n v="18.16"/>
    <n v="18"/>
    <n v="18.100000000000001"/>
    <x v="2664"/>
    <n v="0.15"/>
    <n v="212"/>
    <n v="0"/>
    <n v="5489"/>
    <x v="192"/>
    <n v="272"/>
    <s v="X (Nov 20)"/>
    <d v="2020-11-18T00:00:00"/>
    <n v="-1"/>
  </r>
  <r>
    <x v="582"/>
    <x v="32"/>
    <n v="16.87"/>
    <n v="17.38"/>
    <n v="16.809999999999999"/>
    <n v="17.170000000000002"/>
    <x v="2658"/>
    <n v="0.25"/>
    <n v="9048"/>
    <n v="0"/>
    <n v="24225"/>
    <x v="115"/>
    <n v="118"/>
    <s v="M (Jun 20)"/>
    <d v="2020-06-17T00:00:00"/>
    <n v="-1"/>
  </r>
  <r>
    <x v="582"/>
    <x v="29"/>
    <n v="17.350000000000001"/>
    <n v="17.71"/>
    <n v="17.3"/>
    <n v="17.600000000000001"/>
    <x v="2654"/>
    <n v="0.2"/>
    <n v="1251"/>
    <n v="0"/>
    <n v="7051"/>
    <x v="108"/>
    <n v="209"/>
    <s v="U (Sep 20)"/>
    <d v="2020-09-16T00:00:00"/>
    <n v="-1"/>
  </r>
  <r>
    <x v="582"/>
    <x v="34"/>
    <n v="16.25"/>
    <n v="17.07"/>
    <n v="16.100000000000001"/>
    <n v="16.899999999999999"/>
    <x v="2663"/>
    <n v="0.5"/>
    <n v="83633"/>
    <n v="25"/>
    <n v="73621"/>
    <x v="109"/>
    <n v="55"/>
    <s v="J (Apr 20)"/>
    <d v="2020-04-15T00:00:00"/>
    <n v="-1"/>
  </r>
  <r>
    <x v="582"/>
    <x v="30"/>
    <n v="17.14"/>
    <n v="17.559999999999999"/>
    <n v="17.11"/>
    <n v="17.38"/>
    <x v="2660"/>
    <n v="0.15"/>
    <n v="2893"/>
    <n v="0"/>
    <n v="11224"/>
    <x v="158"/>
    <n v="181"/>
    <s v="Q (Aug 20)"/>
    <d v="2020-08-19T00:00:00"/>
    <n v="-1"/>
  </r>
  <r>
    <x v="582"/>
    <x v="35"/>
    <n v="15.35"/>
    <n v="16.600000000000001"/>
    <n v="15.25"/>
    <n v="16.2"/>
    <x v="2665"/>
    <n v="0.7"/>
    <n v="182698"/>
    <n v="475"/>
    <n v="218534"/>
    <x v="150"/>
    <n v="27"/>
    <s v="H (Mar 20)"/>
    <d v="2020-03-18T00:00:00"/>
    <n v="-1"/>
  </r>
  <r>
    <x v="583"/>
    <x v="34"/>
    <n v="16.55"/>
    <n v="16.55"/>
    <n v="16.2"/>
    <n v="16.27"/>
    <x v="2666"/>
    <n v="-0.2"/>
    <n v="61761"/>
    <n v="0"/>
    <n v="65658"/>
    <x v="121"/>
    <n v="56"/>
    <s v="J (Apr 20)"/>
    <d v="2020-04-15T00:00:00"/>
    <n v="-1"/>
  </r>
  <r>
    <x v="583"/>
    <x v="30"/>
    <n v="17.260000000000002"/>
    <n v="17.260000000000002"/>
    <n v="17.07"/>
    <n v="17.170000000000002"/>
    <x v="2667"/>
    <n v="-0.05"/>
    <n v="1876"/>
    <n v="0"/>
    <n v="11483"/>
    <x v="163"/>
    <n v="182"/>
    <s v="Q (Aug 20)"/>
    <d v="2020-08-19T00:00:00"/>
    <n v="-1"/>
  </r>
  <r>
    <x v="583"/>
    <x v="35"/>
    <n v="15.8"/>
    <n v="15.8"/>
    <n v="15.3"/>
    <n v="15.39"/>
    <x v="2668"/>
    <n v="-0.45"/>
    <n v="95573"/>
    <n v="1614"/>
    <n v="224565"/>
    <x v="153"/>
    <n v="28"/>
    <s v="H (Mar 20)"/>
    <d v="2020-03-18T00:00:00"/>
    <n v="-1"/>
  </r>
  <r>
    <x v="583"/>
    <x v="31"/>
    <n v="17.2"/>
    <n v="17.22"/>
    <n v="17.03"/>
    <n v="17.11"/>
    <x v="2669"/>
    <n v="-0.1"/>
    <n v="2553"/>
    <n v="0"/>
    <n v="15208"/>
    <x v="162"/>
    <n v="154"/>
    <s v="N (Jul 20)"/>
    <d v="2020-07-22T00:00:00"/>
    <n v="-1"/>
  </r>
  <r>
    <x v="583"/>
    <x v="28"/>
    <n v="19.86"/>
    <n v="19.899999999999999"/>
    <n v="19.8"/>
    <n v="19.86"/>
    <x v="2670"/>
    <n v="-2.5000000000000001E-2"/>
    <n v="389"/>
    <n v="0"/>
    <n v="9590"/>
    <x v="16"/>
    <n v="245"/>
    <s v="V (Oct 20)"/>
    <d v="2020-10-21T00:00:00"/>
    <n v="-1"/>
  </r>
  <r>
    <x v="583"/>
    <x v="33"/>
    <n v="16.649999999999999"/>
    <n v="16.7"/>
    <n v="16.41"/>
    <n v="16.52"/>
    <x v="2671"/>
    <n v="-0.15"/>
    <n v="18822"/>
    <n v="0"/>
    <n v="35847"/>
    <x v="164"/>
    <n v="91"/>
    <s v="K (May 20)"/>
    <d v="2020-05-20T00:00:00"/>
    <n v="-1"/>
  </r>
  <r>
    <x v="583"/>
    <x v="27"/>
    <n v="17.95"/>
    <n v="18.05"/>
    <n v="17.95"/>
    <n v="18"/>
    <x v="2672"/>
    <n v="0"/>
    <n v="134"/>
    <n v="0"/>
    <n v="5384"/>
    <x v="193"/>
    <n v="273"/>
    <s v="X (Nov 20)"/>
    <d v="2020-11-18T00:00:00"/>
    <n v="-1"/>
  </r>
  <r>
    <x v="583"/>
    <x v="32"/>
    <n v="17.02"/>
    <n v="17.05"/>
    <n v="16.82"/>
    <n v="16.88"/>
    <x v="2655"/>
    <n v="-0.1"/>
    <n v="6648"/>
    <n v="0"/>
    <n v="24212"/>
    <x v="118"/>
    <n v="119"/>
    <s v="M (Jun 20)"/>
    <d v="2020-06-17T00:00:00"/>
    <n v="-1"/>
  </r>
  <r>
    <x v="583"/>
    <x v="29"/>
    <n v="17.440000000000001"/>
    <n v="17.440000000000001"/>
    <n v="17.27"/>
    <n v="17.37"/>
    <x v="2660"/>
    <n v="-0.05"/>
    <n v="1061"/>
    <n v="0"/>
    <n v="6995"/>
    <x v="120"/>
    <n v="210"/>
    <s v="U (Sep 20)"/>
    <d v="2020-09-16T00:00:00"/>
    <n v="-1"/>
  </r>
  <r>
    <x v="584"/>
    <x v="31"/>
    <n v="16.940000000000001"/>
    <n v="17.29"/>
    <n v="16.8"/>
    <n v="17.239999999999998"/>
    <x v="2667"/>
    <n v="0.25"/>
    <n v="4772"/>
    <n v="0"/>
    <n v="15140"/>
    <x v="172"/>
    <n v="155"/>
    <s v="N (Jul 20)"/>
    <d v="2020-07-22T00:00:00"/>
    <n v="-1"/>
  </r>
  <r>
    <x v="584"/>
    <x v="28"/>
    <n v="19.600000000000001"/>
    <n v="19.95"/>
    <n v="19.579999999999998"/>
    <n v="19.899999999999999"/>
    <x v="2673"/>
    <n v="0.27500000000000002"/>
    <n v="1170"/>
    <n v="0"/>
    <n v="9399"/>
    <x v="22"/>
    <n v="246"/>
    <s v="V (Oct 20)"/>
    <d v="2020-10-21T00:00:00"/>
    <n v="-1"/>
  </r>
  <r>
    <x v="584"/>
    <x v="33"/>
    <n v="16.25"/>
    <n v="16.75"/>
    <n v="16.100000000000001"/>
    <n v="16.71"/>
    <x v="2674"/>
    <n v="0.35"/>
    <n v="18551"/>
    <n v="0"/>
    <n v="31876"/>
    <x v="167"/>
    <n v="92"/>
    <s v="K (May 20)"/>
    <d v="2020-05-20T00:00:00"/>
    <n v="-1"/>
  </r>
  <r>
    <x v="584"/>
    <x v="27"/>
    <n v="17.95"/>
    <n v="18"/>
    <n v="17.850000000000001"/>
    <n v="17.95"/>
    <x v="2672"/>
    <n v="0.125"/>
    <n v="589"/>
    <n v="0"/>
    <n v="5262"/>
    <x v="195"/>
    <n v="274"/>
    <s v="X (Nov 20)"/>
    <d v="2020-11-18T00:00:00"/>
    <n v="-1"/>
  </r>
  <r>
    <x v="584"/>
    <x v="32"/>
    <n v="16.690000000000001"/>
    <n v="17.100000000000001"/>
    <n v="16.52"/>
    <n v="17.100000000000001"/>
    <x v="2675"/>
    <n v="0.3"/>
    <n v="9337"/>
    <n v="0"/>
    <n v="24210"/>
    <x v="132"/>
    <n v="120"/>
    <s v="M (Jun 20)"/>
    <d v="2020-06-17T00:00:00"/>
    <n v="-1"/>
  </r>
  <r>
    <x v="584"/>
    <x v="29"/>
    <n v="17.2"/>
    <n v="17.46"/>
    <n v="17.100000000000001"/>
    <n v="17.41"/>
    <x v="2676"/>
    <n v="0.2"/>
    <n v="1848"/>
    <n v="0"/>
    <n v="6735"/>
    <x v="126"/>
    <n v="211"/>
    <s v="U (Sep 20)"/>
    <d v="2020-09-16T00:00:00"/>
    <n v="-1"/>
  </r>
  <r>
    <x v="584"/>
    <x v="34"/>
    <n v="16.100000000000001"/>
    <n v="16.600000000000001"/>
    <n v="15.85"/>
    <n v="16.55"/>
    <x v="2671"/>
    <n v="0.4"/>
    <n v="40937"/>
    <n v="0"/>
    <n v="63149"/>
    <x v="127"/>
    <n v="57"/>
    <s v="J (Apr 20)"/>
    <d v="2020-04-15T00:00:00"/>
    <n v="-1"/>
  </r>
  <r>
    <x v="584"/>
    <x v="30"/>
    <n v="16.97"/>
    <n v="17.3"/>
    <n v="16.850000000000001"/>
    <n v="17.27"/>
    <x v="2677"/>
    <n v="0.3"/>
    <n v="4383"/>
    <n v="0"/>
    <n v="11278"/>
    <x v="173"/>
    <n v="183"/>
    <s v="Q (Aug 20)"/>
    <d v="2020-08-19T00:00:00"/>
    <n v="-1"/>
  </r>
  <r>
    <x v="584"/>
    <x v="35"/>
    <n v="15.4"/>
    <n v="16"/>
    <n v="15"/>
    <n v="15.8"/>
    <x v="2678"/>
    <n v="0.4"/>
    <n v="150658"/>
    <n v="31"/>
    <n v="232971"/>
    <x v="166"/>
    <n v="29"/>
    <s v="H (Mar 20)"/>
    <d v="2020-03-18T00:00:00"/>
    <n v="-1"/>
  </r>
  <r>
    <x v="585"/>
    <x v="34"/>
    <n v="16.3"/>
    <n v="16.45"/>
    <n v="16.079999999999998"/>
    <n v="16.11"/>
    <x v="2679"/>
    <n v="-0.2"/>
    <n v="22333"/>
    <n v="0"/>
    <n v="61268"/>
    <x v="138"/>
    <n v="61"/>
    <s v="J (Apr 20)"/>
    <d v="2020-04-15T00:00:00"/>
    <n v="-1"/>
  </r>
  <r>
    <x v="585"/>
    <x v="30"/>
    <n v="17.100000000000001"/>
    <n v="17.18"/>
    <n v="16.95"/>
    <n v="16.97"/>
    <x v="2680"/>
    <n v="-0.1"/>
    <n v="1799"/>
    <n v="0"/>
    <n v="9657"/>
    <x v="174"/>
    <n v="187"/>
    <s v="Q (Aug 20)"/>
    <d v="2020-08-19T00:00:00"/>
    <n v="-1"/>
  </r>
  <r>
    <x v="585"/>
    <x v="35"/>
    <n v="15.55"/>
    <n v="15.75"/>
    <n v="15.35"/>
    <n v="15.4"/>
    <x v="2681"/>
    <n v="-0.15"/>
    <n v="75728"/>
    <n v="1447"/>
    <n v="219580"/>
    <x v="169"/>
    <n v="33"/>
    <s v="H (Mar 20)"/>
    <d v="2020-03-18T00:00:00"/>
    <n v="-1"/>
  </r>
  <r>
    <x v="585"/>
    <x v="31"/>
    <n v="17.100000000000001"/>
    <n v="17.16"/>
    <n v="16.899999999999999"/>
    <n v="16.95"/>
    <x v="2680"/>
    <n v="-0.05"/>
    <n v="2060"/>
    <n v="0"/>
    <n v="14456"/>
    <x v="0"/>
    <n v="159"/>
    <s v="N (Jul 20)"/>
    <d v="2020-07-22T00:00:00"/>
    <n v="-1"/>
  </r>
  <r>
    <x v="585"/>
    <x v="28"/>
    <n v="19.7"/>
    <n v="19.79"/>
    <n v="19.600000000000001"/>
    <n v="19.600000000000001"/>
    <x v="2621"/>
    <n v="-0.05"/>
    <n v="1124"/>
    <n v="0"/>
    <n v="8782"/>
    <x v="33"/>
    <n v="250"/>
    <s v="V (Oct 20)"/>
    <d v="2020-10-21T00:00:00"/>
    <n v="-1"/>
  </r>
  <r>
    <x v="585"/>
    <x v="33"/>
    <n v="16.45"/>
    <n v="16.57"/>
    <n v="16.260000000000002"/>
    <n v="16.3"/>
    <x v="2666"/>
    <n v="-0.15"/>
    <n v="7679"/>
    <n v="0"/>
    <n v="28962"/>
    <x v="175"/>
    <n v="96"/>
    <s v="K (May 20)"/>
    <d v="2020-05-20T00:00:00"/>
    <n v="-1"/>
  </r>
  <r>
    <x v="585"/>
    <x v="27"/>
    <n v="17.84"/>
    <n v="17.95"/>
    <n v="17.829999999999998"/>
    <n v="17.95"/>
    <x v="2682"/>
    <n v="-0.05"/>
    <n v="464"/>
    <n v="0"/>
    <n v="4742"/>
    <x v="196"/>
    <n v="278"/>
    <s v="X (Nov 20)"/>
    <d v="2020-11-18T00:00:00"/>
    <n v="-1"/>
  </r>
  <r>
    <x v="585"/>
    <x v="32"/>
    <n v="16.850000000000001"/>
    <n v="16.95"/>
    <n v="16.7"/>
    <n v="16.7"/>
    <x v="2683"/>
    <n v="-0.1"/>
    <n v="8198"/>
    <n v="0"/>
    <n v="22798"/>
    <x v="135"/>
    <n v="124"/>
    <s v="M (Jun 20)"/>
    <d v="2020-06-17T00:00:00"/>
    <n v="-1"/>
  </r>
  <r>
    <x v="585"/>
    <x v="29"/>
    <n v="17.3"/>
    <n v="17.38"/>
    <n v="17.2"/>
    <n v="17.22"/>
    <x v="2667"/>
    <n v="-0.05"/>
    <n v="868"/>
    <n v="0"/>
    <n v="5890"/>
    <x v="137"/>
    <n v="215"/>
    <s v="U (Sep 20)"/>
    <d v="2020-09-16T00:00:00"/>
    <n v="-1"/>
  </r>
  <r>
    <x v="586"/>
    <x v="31"/>
    <n v="16.95"/>
    <n v="17.43"/>
    <n v="16.920000000000002"/>
    <n v="17.059999999999999"/>
    <x v="2675"/>
    <n v="0.1"/>
    <n v="2886"/>
    <n v="0"/>
    <n v="14112"/>
    <x v="12"/>
    <n v="160"/>
    <s v="N (Jul 20)"/>
    <d v="2020-07-22T00:00:00"/>
    <n v="-1"/>
  </r>
  <r>
    <x v="586"/>
    <x v="28"/>
    <n v="19.59"/>
    <n v="19.850000000000001"/>
    <n v="19.55"/>
    <n v="19.649999999999999"/>
    <x v="2684"/>
    <n v="0.1"/>
    <n v="372"/>
    <n v="0"/>
    <n v="8708"/>
    <x v="39"/>
    <n v="251"/>
    <s v="V (Oct 20)"/>
    <d v="2020-10-21T00:00:00"/>
    <n v="-1"/>
  </r>
  <r>
    <x v="586"/>
    <x v="33"/>
    <n v="16.3"/>
    <n v="16.91"/>
    <n v="16.3"/>
    <n v="16.45"/>
    <x v="2685"/>
    <n v="0.2"/>
    <n v="13622"/>
    <n v="0"/>
    <n v="29269"/>
    <x v="177"/>
    <n v="97"/>
    <s v="K (May 20)"/>
    <d v="2020-05-20T00:00:00"/>
    <n v="-1"/>
  </r>
  <r>
    <x v="586"/>
    <x v="27"/>
    <n v="18"/>
    <n v="18"/>
    <n v="17.75"/>
    <n v="18"/>
    <x v="2686"/>
    <n v="0.05"/>
    <n v="396"/>
    <n v="0"/>
    <n v="4716"/>
    <x v="197"/>
    <n v="279"/>
    <s v="X (Nov 20)"/>
    <d v="2020-11-18T00:00:00"/>
    <n v="-1"/>
  </r>
  <r>
    <x v="586"/>
    <x v="32"/>
    <n v="16.73"/>
    <n v="17.27"/>
    <n v="16.7"/>
    <n v="16.850000000000001"/>
    <x v="2663"/>
    <n v="0.15"/>
    <n v="7341"/>
    <n v="0"/>
    <n v="21690"/>
    <x v="149"/>
    <n v="125"/>
    <s v="M (Jun 20)"/>
    <d v="2020-06-17T00:00:00"/>
    <n v="-1"/>
  </r>
  <r>
    <x v="586"/>
    <x v="29"/>
    <n v="17.2"/>
    <n v="17.559999999999999"/>
    <n v="17.149999999999999"/>
    <n v="17.239999999999998"/>
    <x v="2677"/>
    <n v="0.125"/>
    <n v="1149"/>
    <n v="0"/>
    <n v="5859"/>
    <x v="142"/>
    <n v="216"/>
    <s v="U (Sep 20)"/>
    <d v="2020-09-16T00:00:00"/>
    <n v="-1"/>
  </r>
  <r>
    <x v="586"/>
    <x v="34"/>
    <n v="16.12"/>
    <n v="16.84"/>
    <n v="16.100000000000001"/>
    <n v="16.3"/>
    <x v="2666"/>
    <n v="0.2"/>
    <n v="24682"/>
    <n v="0"/>
    <n v="57698"/>
    <x v="143"/>
    <n v="62"/>
    <s v="J (Apr 20)"/>
    <d v="2020-04-15T00:00:00"/>
    <n v="-1"/>
  </r>
  <r>
    <x v="586"/>
    <x v="30"/>
    <n v="17"/>
    <n v="17.41"/>
    <n v="16.95"/>
    <n v="17.100000000000001"/>
    <x v="2687"/>
    <n v="0.1"/>
    <n v="2028"/>
    <n v="0"/>
    <n v="9286"/>
    <x v="179"/>
    <n v="188"/>
    <s v="Q (Aug 20)"/>
    <d v="2020-08-19T00:00:00"/>
    <n v="-1"/>
  </r>
  <r>
    <x v="586"/>
    <x v="35"/>
    <n v="15.3"/>
    <n v="16.2"/>
    <n v="15.25"/>
    <n v="15.56"/>
    <x v="2688"/>
    <n v="0.25"/>
    <n v="91210"/>
    <n v="0"/>
    <n v="209570"/>
    <x v="176"/>
    <n v="34"/>
    <s v="H (Mar 20)"/>
    <d v="2020-03-18T00:00:00"/>
    <n v="-1"/>
  </r>
  <r>
    <x v="587"/>
    <x v="34"/>
    <n v="16.5"/>
    <n v="16.52"/>
    <n v="16.05"/>
    <n v="16.11"/>
    <x v="2679"/>
    <n v="-0.35"/>
    <n v="25211"/>
    <n v="0"/>
    <n v="57988"/>
    <x v="154"/>
    <n v="63"/>
    <s v="J (Apr 20)"/>
    <d v="2020-04-15T00:00:00"/>
    <n v="-1"/>
  </r>
  <r>
    <x v="587"/>
    <x v="30"/>
    <n v="17.149999999999999"/>
    <n v="17.149999999999999"/>
    <n v="16.91"/>
    <n v="16.97"/>
    <x v="2680"/>
    <n v="-0.2"/>
    <n v="2248"/>
    <n v="0"/>
    <n v="8561"/>
    <x v="180"/>
    <n v="189"/>
    <s v="Q (Aug 20)"/>
    <d v="2020-08-19T00:00:00"/>
    <n v="-1"/>
  </r>
  <r>
    <x v="587"/>
    <x v="35"/>
    <n v="15.95"/>
    <n v="15.98"/>
    <n v="15.2"/>
    <n v="15.27"/>
    <x v="2689"/>
    <n v="-0.6"/>
    <n v="103254"/>
    <n v="473"/>
    <n v="198777"/>
    <x v="178"/>
    <n v="35"/>
    <s v="H (Mar 20)"/>
    <d v="2020-03-18T00:00:00"/>
    <n v="-1"/>
  </r>
  <r>
    <x v="587"/>
    <x v="31"/>
    <n v="17.12"/>
    <n v="17.12"/>
    <n v="16.850000000000001"/>
    <n v="16.920000000000002"/>
    <x v="2655"/>
    <n v="-0.2"/>
    <n v="3109"/>
    <n v="0"/>
    <n v="13267"/>
    <x v="18"/>
    <n v="161"/>
    <s v="N (Jul 20)"/>
    <d v="2020-07-22T00:00:00"/>
    <n v="-1"/>
  </r>
  <r>
    <x v="587"/>
    <x v="28"/>
    <n v="19.7"/>
    <n v="19.75"/>
    <n v="19.55"/>
    <n v="19.600000000000001"/>
    <x v="2642"/>
    <n v="-0.15"/>
    <n v="331"/>
    <n v="0"/>
    <n v="8522"/>
    <x v="51"/>
    <n v="252"/>
    <s v="V (Oct 20)"/>
    <d v="2020-10-21T00:00:00"/>
    <n v="-1"/>
  </r>
  <r>
    <x v="587"/>
    <x v="33"/>
    <n v="16.559999999999999"/>
    <n v="16.57"/>
    <n v="16.2"/>
    <n v="16.3"/>
    <x v="2690"/>
    <n v="-0.3"/>
    <n v="10022"/>
    <n v="0"/>
    <n v="28669"/>
    <x v="181"/>
    <n v="98"/>
    <s v="K (May 20)"/>
    <d v="2020-05-20T00:00:00"/>
    <n v="-1"/>
  </r>
  <r>
    <x v="587"/>
    <x v="27"/>
    <n v="18.05"/>
    <n v="18.05"/>
    <n v="17.850000000000001"/>
    <n v="17.850000000000001"/>
    <x v="2682"/>
    <n v="-7.4999999999999997E-2"/>
    <n v="331"/>
    <n v="0"/>
    <n v="4429"/>
    <x v="198"/>
    <n v="280"/>
    <s v="X (Nov 20)"/>
    <d v="2020-11-18T00:00:00"/>
    <n v="-1"/>
  </r>
  <r>
    <x v="587"/>
    <x v="32"/>
    <n v="16.95"/>
    <n v="16.95"/>
    <n v="16.600000000000001"/>
    <n v="16.68"/>
    <x v="2674"/>
    <n v="-0.25"/>
    <n v="6978"/>
    <n v="0"/>
    <n v="20412"/>
    <x v="152"/>
    <n v="126"/>
    <s v="M (Jun 20)"/>
    <d v="2020-06-17T00:00:00"/>
    <n v="-1"/>
  </r>
  <r>
    <x v="587"/>
    <x v="29"/>
    <n v="17.350000000000001"/>
    <n v="17.350000000000001"/>
    <n v="17.14"/>
    <n v="17.170000000000002"/>
    <x v="2691"/>
    <n v="-0.22500000000000001"/>
    <n v="2184"/>
    <n v="0"/>
    <n v="5578"/>
    <x v="3"/>
    <n v="217"/>
    <s v="U (Sep 20)"/>
    <d v="2020-09-16T00:00:00"/>
    <n v="-1"/>
  </r>
  <r>
    <x v="588"/>
    <x v="31"/>
    <n v="17.100000000000001"/>
    <n v="17.149999999999999"/>
    <n v="16.920000000000002"/>
    <n v="17.12"/>
    <x v="2669"/>
    <n v="0.05"/>
    <n v="1607"/>
    <n v="0"/>
    <n v="12867"/>
    <x v="35"/>
    <n v="162"/>
    <s v="N (Jul 20)"/>
    <d v="2020-07-22T00:00:00"/>
    <n v="-1"/>
  </r>
  <r>
    <x v="588"/>
    <x v="28"/>
    <n v="19.649999999999999"/>
    <n v="19.8"/>
    <n v="19.600000000000001"/>
    <n v="19.78"/>
    <x v="2633"/>
    <n v="0.1"/>
    <n v="408"/>
    <n v="0"/>
    <n v="8342"/>
    <x v="57"/>
    <n v="253"/>
    <s v="V (Oct 20)"/>
    <d v="2020-10-21T00:00:00"/>
    <n v="-1"/>
  </r>
  <r>
    <x v="588"/>
    <x v="33"/>
    <n v="16.55"/>
    <n v="16.600000000000001"/>
    <n v="16.3"/>
    <n v="16.55"/>
    <x v="2692"/>
    <n v="0.05"/>
    <n v="9380"/>
    <n v="0"/>
    <n v="27662"/>
    <x v="183"/>
    <n v="99"/>
    <s v="K (May 20)"/>
    <d v="2020-05-20T00:00:00"/>
    <n v="-1"/>
  </r>
  <r>
    <x v="588"/>
    <x v="27"/>
    <n v="17.850000000000001"/>
    <n v="17.95"/>
    <n v="17.78"/>
    <n v="17.95"/>
    <x v="2693"/>
    <n v="0.125"/>
    <n v="146"/>
    <n v="0"/>
    <n v="4163"/>
    <x v="199"/>
    <n v="281"/>
    <s v="X (Nov 20)"/>
    <d v="2020-11-18T00:00:00"/>
    <n v="-1"/>
  </r>
  <r>
    <x v="588"/>
    <x v="32"/>
    <n v="16.899999999999999"/>
    <n v="16.95"/>
    <n v="16.7"/>
    <n v="16.95"/>
    <x v="2655"/>
    <n v="0.05"/>
    <n v="4198"/>
    <n v="0"/>
    <n v="18726"/>
    <x v="165"/>
    <n v="127"/>
    <s v="M (Jun 20)"/>
    <d v="2020-06-17T00:00:00"/>
    <n v="-1"/>
  </r>
  <r>
    <x v="588"/>
    <x v="29"/>
    <n v="17.37"/>
    <n v="17.41"/>
    <n v="17.22"/>
    <n v="17.41"/>
    <x v="2660"/>
    <n v="0.05"/>
    <n v="720"/>
    <n v="0"/>
    <n v="5090"/>
    <x v="15"/>
    <n v="218"/>
    <s v="U (Sep 20)"/>
    <d v="2020-09-16T00:00:00"/>
    <n v="-1"/>
  </r>
  <r>
    <x v="588"/>
    <x v="34"/>
    <n v="16.55"/>
    <n v="16.600000000000001"/>
    <n v="16.2"/>
    <n v="16.45"/>
    <x v="2685"/>
    <n v="0"/>
    <n v="21736"/>
    <n v="0"/>
    <n v="59161"/>
    <x v="159"/>
    <n v="64"/>
    <s v="J (Apr 20)"/>
    <d v="2020-04-15T00:00:00"/>
    <n v="-1"/>
  </r>
  <r>
    <x v="588"/>
    <x v="30"/>
    <n v="17.13"/>
    <n v="17.2"/>
    <n v="16.98"/>
    <n v="17.2"/>
    <x v="2658"/>
    <n v="0.05"/>
    <n v="1508"/>
    <n v="0"/>
    <n v="7899"/>
    <x v="185"/>
    <n v="190"/>
    <s v="Q (Aug 20)"/>
    <d v="2020-08-19T00:00:00"/>
    <n v="-1"/>
  </r>
  <r>
    <x v="588"/>
    <x v="35"/>
    <n v="16"/>
    <n v="16.07"/>
    <n v="15.65"/>
    <n v="15.9"/>
    <x v="2694"/>
    <n v="-0.05"/>
    <n v="88066"/>
    <n v="74"/>
    <n v="194201"/>
    <x v="182"/>
    <n v="36"/>
    <s v="H (Mar 20)"/>
    <d v="2020-03-18T00:00:00"/>
    <n v="-1"/>
  </r>
  <r>
    <x v="589"/>
    <x v="34"/>
    <n v="16.7"/>
    <n v="16.98"/>
    <n v="16.399999999999999"/>
    <n v="16.48"/>
    <x v="2685"/>
    <n v="-0.25"/>
    <n v="19178"/>
    <n v="0"/>
    <n v="58772"/>
    <x v="170"/>
    <n v="65"/>
    <s v="J (Apr 20)"/>
    <d v="2020-04-15T00:00:00"/>
    <n v="-1"/>
  </r>
  <r>
    <x v="589"/>
    <x v="30"/>
    <n v="17.36"/>
    <n v="17.399999999999999"/>
    <n v="17.02"/>
    <n v="17.149999999999999"/>
    <x v="2669"/>
    <n v="-0.125"/>
    <n v="1218"/>
    <n v="0"/>
    <n v="7732"/>
    <x v="1"/>
    <n v="191"/>
    <s v="Q (Aug 20)"/>
    <d v="2020-08-19T00:00:00"/>
    <n v="-1"/>
  </r>
  <r>
    <x v="589"/>
    <x v="35"/>
    <n v="16.25"/>
    <n v="16.62"/>
    <n v="15.85"/>
    <n v="15.98"/>
    <x v="2695"/>
    <n v="-0.25"/>
    <n v="79949"/>
    <n v="171"/>
    <n v="188058"/>
    <x v="184"/>
    <n v="37"/>
    <s v="H (Mar 20)"/>
    <d v="2020-03-18T00:00:00"/>
    <n v="-1"/>
  </r>
  <r>
    <x v="589"/>
    <x v="31"/>
    <n v="17.25"/>
    <n v="17.37"/>
    <n v="16.97"/>
    <n v="17.07"/>
    <x v="2687"/>
    <n v="-0.15"/>
    <n v="1526"/>
    <n v="0"/>
    <n v="12767"/>
    <x v="41"/>
    <n v="163"/>
    <s v="N (Jul 20)"/>
    <d v="2020-07-22T00:00:00"/>
    <n v="-1"/>
  </r>
  <r>
    <x v="589"/>
    <x v="28"/>
    <n v="19.899999999999999"/>
    <n v="19.899999999999999"/>
    <n v="19.579999999999998"/>
    <n v="19.61"/>
    <x v="2621"/>
    <n v="-0.2"/>
    <n v="295"/>
    <n v="0"/>
    <n v="8118"/>
    <x v="69"/>
    <n v="254"/>
    <s v="V (Oct 20)"/>
    <d v="2020-10-21T00:00:00"/>
    <n v="-1"/>
  </r>
  <r>
    <x v="589"/>
    <x v="33"/>
    <n v="16.7"/>
    <n v="16.88"/>
    <n v="16.420000000000002"/>
    <n v="16.53"/>
    <x v="2671"/>
    <n v="-0.15"/>
    <n v="8300"/>
    <n v="0"/>
    <n v="27445"/>
    <x v="7"/>
    <n v="100"/>
    <s v="K (May 20)"/>
    <d v="2020-05-20T00:00:00"/>
    <n v="-1"/>
  </r>
  <r>
    <x v="589"/>
    <x v="27"/>
    <n v="18"/>
    <n v="18"/>
    <n v="17.8"/>
    <n v="17.82"/>
    <x v="2696"/>
    <n v="-0.125"/>
    <n v="215"/>
    <n v="0"/>
    <n v="4051"/>
    <x v="200"/>
    <n v="282"/>
    <s v="X (Nov 20)"/>
    <d v="2020-11-18T00:00:00"/>
    <n v="-1"/>
  </r>
  <r>
    <x v="589"/>
    <x v="32"/>
    <n v="17"/>
    <n v="17.170000000000002"/>
    <n v="16.77"/>
    <n v="16.87"/>
    <x v="2697"/>
    <n v="-0.15"/>
    <n v="3781"/>
    <n v="0"/>
    <n v="17802"/>
    <x v="168"/>
    <n v="128"/>
    <s v="M (Jun 20)"/>
    <d v="2020-06-17T00:00:00"/>
    <n v="-1"/>
  </r>
  <r>
    <x v="589"/>
    <x v="29"/>
    <n v="17.55"/>
    <n v="17.600000000000001"/>
    <n v="17.239999999999998"/>
    <n v="17.37"/>
    <x v="2653"/>
    <n v="-0.125"/>
    <n v="703"/>
    <n v="0"/>
    <n v="4974"/>
    <x v="21"/>
    <n v="219"/>
    <s v="U (Sep 20)"/>
    <d v="2020-09-16T00:00:00"/>
    <n v="-1"/>
  </r>
  <r>
    <x v="590"/>
    <x v="31"/>
    <n v="17"/>
    <n v="17.350000000000001"/>
    <n v="17"/>
    <n v="17.22"/>
    <x v="2667"/>
    <n v="0.2"/>
    <n v="2708"/>
    <n v="0"/>
    <n v="12363"/>
    <x v="53"/>
    <n v="166"/>
    <s v="N (Jul 20)"/>
    <d v="2020-07-22T00:00:00"/>
    <n v="-1"/>
  </r>
  <r>
    <x v="590"/>
    <x v="28"/>
    <n v="19.8"/>
    <n v="19.93"/>
    <n v="19.75"/>
    <n v="19.78"/>
    <x v="2622"/>
    <n v="0"/>
    <n v="247"/>
    <n v="0"/>
    <n v="7926"/>
    <x v="75"/>
    <n v="257"/>
    <s v="V (Oct 20)"/>
    <d v="2020-10-21T00:00:00"/>
    <n v="-1"/>
  </r>
  <r>
    <x v="590"/>
    <x v="33"/>
    <n v="16.350000000000001"/>
    <n v="16.78"/>
    <n v="16.34"/>
    <n v="16.68"/>
    <x v="2674"/>
    <n v="0.27500000000000002"/>
    <n v="7375"/>
    <n v="0"/>
    <n v="26843"/>
    <x v="10"/>
    <n v="103"/>
    <s v="K (May 20)"/>
    <d v="2020-05-20T00:00:00"/>
    <n v="-1"/>
  </r>
  <r>
    <x v="590"/>
    <x v="27"/>
    <n v="17.87"/>
    <n v="18"/>
    <n v="17.87"/>
    <n v="18"/>
    <x v="2693"/>
    <n v="0.1"/>
    <n v="194"/>
    <n v="0"/>
    <n v="3921"/>
    <x v="201"/>
    <n v="285"/>
    <s v="X (Nov 20)"/>
    <d v="2020-11-18T00:00:00"/>
    <n v="-1"/>
  </r>
  <r>
    <x v="590"/>
    <x v="32"/>
    <n v="16.72"/>
    <n v="17.11"/>
    <n v="16.71"/>
    <n v="17.010000000000002"/>
    <x v="2675"/>
    <n v="0.25"/>
    <n v="4671"/>
    <n v="0"/>
    <n v="17133"/>
    <x v="5"/>
    <n v="131"/>
    <s v="M (Jun 20)"/>
    <d v="2020-06-17T00:00:00"/>
    <n v="-1"/>
  </r>
  <r>
    <x v="590"/>
    <x v="29"/>
    <n v="17.350000000000001"/>
    <n v="17.600000000000001"/>
    <n v="17.329999999999998"/>
    <n v="17.47"/>
    <x v="2698"/>
    <n v="7.4999999999999997E-2"/>
    <n v="447"/>
    <n v="0"/>
    <n v="4862"/>
    <x v="32"/>
    <n v="222"/>
    <s v="U (Sep 20)"/>
    <d v="2020-09-16T00:00:00"/>
    <n v="-1"/>
  </r>
  <r>
    <x v="590"/>
    <x v="34"/>
    <n v="16.350000000000001"/>
    <n v="16.86"/>
    <n v="16.3"/>
    <n v="16.7"/>
    <x v="2683"/>
    <n v="0.35"/>
    <n v="19812"/>
    <n v="0"/>
    <n v="56984"/>
    <x v="6"/>
    <n v="68"/>
    <s v="J (Apr 20)"/>
    <d v="2020-04-15T00:00:00"/>
    <n v="-1"/>
  </r>
  <r>
    <x v="590"/>
    <x v="30"/>
    <n v="17.100000000000001"/>
    <n v="17.399999999999999"/>
    <n v="17.09"/>
    <n v="17.29"/>
    <x v="2699"/>
    <n v="0.15"/>
    <n v="2268"/>
    <n v="0"/>
    <n v="7468"/>
    <x v="13"/>
    <n v="194"/>
    <s v="Q (Aug 20)"/>
    <d v="2020-08-19T00:00:00"/>
    <n v="-1"/>
  </r>
  <r>
    <x v="590"/>
    <x v="35"/>
    <n v="15.95"/>
    <n v="16.55"/>
    <n v="15.9"/>
    <n v="16.27"/>
    <x v="2700"/>
    <n v="0.25"/>
    <n v="90198"/>
    <n v="240"/>
    <n v="180584"/>
    <x v="2"/>
    <n v="40"/>
    <s v="H (Mar 20)"/>
    <d v="2020-03-18T00:00:00"/>
    <n v="-1"/>
  </r>
  <r>
    <x v="591"/>
    <x v="34"/>
    <n v="16.45"/>
    <n v="16.62"/>
    <n v="16.3"/>
    <n v="16.350000000000001"/>
    <x v="2701"/>
    <n v="-0.15"/>
    <n v="15287"/>
    <n v="0"/>
    <n v="55064"/>
    <x v="9"/>
    <n v="69"/>
    <s v="J (Apr 20)"/>
    <d v="2020-04-15T00:00:00"/>
    <n v="-1"/>
  </r>
  <r>
    <x v="591"/>
    <x v="30"/>
    <n v="17.100000000000001"/>
    <n v="17.21"/>
    <n v="17.02"/>
    <n v="17.09"/>
    <x v="2702"/>
    <n v="-7.4999999999999997E-2"/>
    <n v="1639"/>
    <n v="0"/>
    <n v="6775"/>
    <x v="19"/>
    <n v="195"/>
    <s v="Q (Aug 20)"/>
    <d v="2020-08-19T00:00:00"/>
    <n v="-1"/>
  </r>
  <r>
    <x v="591"/>
    <x v="35"/>
    <n v="16.079999999999998"/>
    <n v="16.25"/>
    <n v="15.81"/>
    <n v="15.9"/>
    <x v="2695"/>
    <n v="-0.15"/>
    <n v="86983"/>
    <n v="0"/>
    <n v="173088"/>
    <x v="14"/>
    <n v="41"/>
    <s v="H (Mar 20)"/>
    <d v="2020-03-18T00:00:00"/>
    <n v="-1"/>
  </r>
  <r>
    <x v="591"/>
    <x v="31"/>
    <n v="17.05"/>
    <n v="17.149999999999999"/>
    <n v="16.95"/>
    <n v="17"/>
    <x v="2675"/>
    <n v="-0.1"/>
    <n v="2571"/>
    <n v="0"/>
    <n v="11528"/>
    <x v="59"/>
    <n v="167"/>
    <s v="N (Jul 20)"/>
    <d v="2020-07-22T00:00:00"/>
    <n v="-1"/>
  </r>
  <r>
    <x v="591"/>
    <x v="28"/>
    <n v="19.75"/>
    <n v="19.84"/>
    <n v="19.75"/>
    <n v="19.8"/>
    <x v="2622"/>
    <n v="0"/>
    <n v="181"/>
    <n v="0"/>
    <n v="7804"/>
    <x v="87"/>
    <n v="258"/>
    <s v="V (Oct 20)"/>
    <d v="2020-10-21T00:00:00"/>
    <n v="-1"/>
  </r>
  <r>
    <x v="591"/>
    <x v="33"/>
    <n v="16.45"/>
    <n v="16.62"/>
    <n v="16.32"/>
    <n v="16.350000000000001"/>
    <x v="2703"/>
    <n v="-0.125"/>
    <n v="5970"/>
    <n v="0"/>
    <n v="27035"/>
    <x v="25"/>
    <n v="104"/>
    <s v="K (May 20)"/>
    <d v="2020-05-20T00:00:00"/>
    <n v="-1"/>
  </r>
  <r>
    <x v="591"/>
    <x v="27"/>
    <n v="17.850000000000001"/>
    <n v="17.920000000000002"/>
    <n v="17.8"/>
    <n v="17.899999999999999"/>
    <x v="2704"/>
    <n v="-0.1"/>
    <n v="72"/>
    <n v="0"/>
    <n v="3776"/>
    <x v="202"/>
    <n v="286"/>
    <s v="X (Nov 20)"/>
    <d v="2020-11-18T00:00:00"/>
    <n v="-1"/>
  </r>
  <r>
    <x v="591"/>
    <x v="32"/>
    <n v="16.8"/>
    <n v="16.920000000000002"/>
    <n v="16.68"/>
    <n v="16.7"/>
    <x v="2705"/>
    <n v="-0.1"/>
    <n v="3917"/>
    <n v="0"/>
    <n v="16994"/>
    <x v="17"/>
    <n v="132"/>
    <s v="M (Jun 20)"/>
    <d v="2020-06-17T00:00:00"/>
    <n v="-1"/>
  </r>
  <r>
    <x v="591"/>
    <x v="29"/>
    <n v="17.3"/>
    <n v="17.47"/>
    <n v="17.25"/>
    <n v="17.350000000000001"/>
    <x v="2660"/>
    <n v="-2.5000000000000001E-2"/>
    <n v="368"/>
    <n v="0"/>
    <n v="4750"/>
    <x v="38"/>
    <n v="223"/>
    <s v="U (Sep 20)"/>
    <d v="2020-09-16T00:00:00"/>
    <n v="-1"/>
  </r>
  <r>
    <x v="592"/>
    <x v="31"/>
    <n v="17.149999999999999"/>
    <n v="17.25"/>
    <n v="16.899999999999999"/>
    <n v="17.05"/>
    <x v="2669"/>
    <n v="0"/>
    <n v="2663"/>
    <n v="0"/>
    <n v="10376"/>
    <x v="71"/>
    <n v="168"/>
    <s v="N (Jul 20)"/>
    <d v="2020-07-22T00:00:00"/>
    <n v="-1"/>
  </r>
  <r>
    <x v="592"/>
    <x v="28"/>
    <n v="19.850000000000001"/>
    <n v="19.899999999999999"/>
    <n v="19.75"/>
    <n v="19.79"/>
    <x v="2622"/>
    <n v="-0.1"/>
    <n v="525"/>
    <n v="0"/>
    <n v="7643"/>
    <x v="93"/>
    <n v="259"/>
    <s v="V (Oct 20)"/>
    <d v="2020-10-21T00:00:00"/>
    <n v="-1"/>
  </r>
  <r>
    <x v="592"/>
    <x v="33"/>
    <n v="16.7"/>
    <n v="16.850000000000001"/>
    <n v="16.37"/>
    <n v="16.48"/>
    <x v="2671"/>
    <n v="-0.15"/>
    <n v="6903"/>
    <n v="0"/>
    <n v="25763"/>
    <x v="28"/>
    <n v="105"/>
    <s v="K (May 20)"/>
    <d v="2020-05-20T00:00:00"/>
    <n v="-1"/>
  </r>
  <r>
    <x v="592"/>
    <x v="27"/>
    <n v="17.899999999999999"/>
    <n v="17.899999999999999"/>
    <n v="17.850000000000001"/>
    <n v="17.87"/>
    <x v="2693"/>
    <n v="-0.05"/>
    <n v="76"/>
    <n v="0"/>
    <n v="3723"/>
    <x v="203"/>
    <n v="287"/>
    <s v="X (Nov 20)"/>
    <d v="2020-11-18T00:00:00"/>
    <n v="-1"/>
  </r>
  <r>
    <x v="592"/>
    <x v="32"/>
    <n v="16.98"/>
    <n v="17.07"/>
    <n v="16.670000000000002"/>
    <n v="16.82"/>
    <x v="2697"/>
    <n v="-0.05"/>
    <n v="3441"/>
    <n v="0"/>
    <n v="16252"/>
    <x v="23"/>
    <n v="133"/>
    <s v="M (Jun 20)"/>
    <d v="2020-06-17T00:00:00"/>
    <n v="-1"/>
  </r>
  <r>
    <x v="592"/>
    <x v="29"/>
    <n v="17.399999999999999"/>
    <n v="17.48"/>
    <n v="17.28"/>
    <n v="17.399999999999999"/>
    <x v="2706"/>
    <n v="0.05"/>
    <n v="977"/>
    <n v="0"/>
    <n v="4837"/>
    <x v="50"/>
    <n v="224"/>
    <s v="U (Sep 20)"/>
    <d v="2020-09-16T00:00:00"/>
    <n v="-1"/>
  </r>
  <r>
    <x v="592"/>
    <x v="34"/>
    <n v="16.82"/>
    <n v="16.96"/>
    <n v="16.36"/>
    <n v="16.46"/>
    <x v="2671"/>
    <n v="-0.25"/>
    <n v="16447"/>
    <n v="0"/>
    <n v="53349"/>
    <x v="24"/>
    <n v="70"/>
    <s v="J (Apr 20)"/>
    <d v="2020-04-15T00:00:00"/>
    <n v="-1"/>
  </r>
  <r>
    <x v="592"/>
    <x v="30"/>
    <n v="17.2"/>
    <n v="17.3"/>
    <n v="17.010000000000002"/>
    <n v="17.13"/>
    <x v="2658"/>
    <n v="0"/>
    <n v="1085"/>
    <n v="0"/>
    <n v="6219"/>
    <x v="30"/>
    <n v="196"/>
    <s v="Q (Aug 20)"/>
    <d v="2020-08-19T00:00:00"/>
    <n v="-1"/>
  </r>
  <r>
    <x v="592"/>
    <x v="35"/>
    <n v="16.55"/>
    <n v="16.8"/>
    <n v="15.97"/>
    <n v="16.100000000000001"/>
    <x v="2679"/>
    <n v="-0.4"/>
    <n v="90853"/>
    <n v="1382"/>
    <n v="157465"/>
    <x v="20"/>
    <n v="42"/>
    <s v="H (Mar 20)"/>
    <d v="2020-03-18T00:00:00"/>
    <n v="-1"/>
  </r>
  <r>
    <x v="593"/>
    <x v="34"/>
    <n v="17.55"/>
    <n v="17.63"/>
    <n v="16.649999999999999"/>
    <n v="16.79"/>
    <x v="2705"/>
    <n v="-0.7"/>
    <n v="17286"/>
    <n v="0"/>
    <n v="53931"/>
    <x v="27"/>
    <n v="71"/>
    <s v="J (Apr 20)"/>
    <d v="2020-04-15T00:00:00"/>
    <n v="-1"/>
  </r>
  <r>
    <x v="593"/>
    <x v="30"/>
    <n v="17.77"/>
    <n v="17.8"/>
    <n v="17.149999999999999"/>
    <n v="17.2"/>
    <x v="2658"/>
    <n v="-0.55000000000000004"/>
    <n v="1289"/>
    <n v="0"/>
    <n v="5925"/>
    <x v="36"/>
    <n v="197"/>
    <s v="Q (Aug 20)"/>
    <d v="2020-08-19T00:00:00"/>
    <n v="-1"/>
  </r>
  <r>
    <x v="593"/>
    <x v="35"/>
    <n v="17.420000000000002"/>
    <n v="17.57"/>
    <n v="16.350000000000001"/>
    <n v="16.55"/>
    <x v="2671"/>
    <n v="-0.9"/>
    <n v="90688"/>
    <n v="71"/>
    <n v="151475"/>
    <x v="31"/>
    <n v="43"/>
    <s v="H (Mar 20)"/>
    <d v="2020-03-18T00:00:00"/>
    <n v="-1"/>
  </r>
  <r>
    <x v="593"/>
    <x v="31"/>
    <n v="17.75"/>
    <n v="17.8"/>
    <n v="17.100000000000001"/>
    <n v="17.12"/>
    <x v="2669"/>
    <n v="-0.6"/>
    <n v="2947"/>
    <n v="0"/>
    <n v="10324"/>
    <x v="77"/>
    <n v="169"/>
    <s v="N (Jul 20)"/>
    <d v="2020-07-22T00:00:00"/>
    <n v="-1"/>
  </r>
  <r>
    <x v="593"/>
    <x v="28"/>
    <n v="20"/>
    <n v="20.010000000000002"/>
    <n v="19.850000000000001"/>
    <n v="19.899999999999999"/>
    <x v="2707"/>
    <n v="-0.15"/>
    <n v="395"/>
    <n v="0"/>
    <n v="7283"/>
    <x v="105"/>
    <n v="260"/>
    <s v="V (Oct 20)"/>
    <d v="2020-10-21T00:00:00"/>
    <n v="-1"/>
  </r>
  <r>
    <x v="593"/>
    <x v="33"/>
    <n v="17.3"/>
    <n v="17.39"/>
    <n v="16.600000000000001"/>
    <n v="16.670000000000002"/>
    <x v="2674"/>
    <n v="-0.6"/>
    <n v="7768"/>
    <n v="0"/>
    <n v="26154"/>
    <x v="43"/>
    <n v="106"/>
    <s v="K (May 20)"/>
    <d v="2020-05-20T00:00:00"/>
    <n v="-1"/>
  </r>
  <r>
    <x v="593"/>
    <x v="27"/>
    <n v="18.100000000000001"/>
    <n v="18.14"/>
    <n v="17.899999999999999"/>
    <n v="17.95"/>
    <x v="2672"/>
    <n v="-0.17499999999999999"/>
    <n v="185"/>
    <n v="0"/>
    <n v="3678"/>
    <x v="204"/>
    <n v="288"/>
    <s v="X (Nov 20)"/>
    <d v="2020-11-18T00:00:00"/>
    <n v="-1"/>
  </r>
  <r>
    <x v="593"/>
    <x v="32"/>
    <n v="17.600000000000001"/>
    <n v="17.63"/>
    <n v="16.899999999999999"/>
    <n v="16.940000000000001"/>
    <x v="2655"/>
    <n v="-0.6"/>
    <n v="3213"/>
    <n v="0"/>
    <n v="17094"/>
    <x v="34"/>
    <n v="134"/>
    <s v="M (Jun 20)"/>
    <d v="2020-06-17T00:00:00"/>
    <n v="-1"/>
  </r>
  <r>
    <x v="593"/>
    <x v="29"/>
    <n v="17.850000000000001"/>
    <n v="17.95"/>
    <n v="17.329999999999998"/>
    <n v="17.37"/>
    <x v="2708"/>
    <n v="-0.55000000000000004"/>
    <n v="760"/>
    <n v="0"/>
    <n v="4594"/>
    <x v="56"/>
    <n v="225"/>
    <s v="U (Sep 20)"/>
    <d v="2020-09-16T00:00:00"/>
    <n v="-1"/>
  </r>
  <r>
    <x v="594"/>
    <x v="31"/>
    <n v="17.989999999999998"/>
    <n v="17.989999999999998"/>
    <n v="17.600000000000001"/>
    <n v="17.75"/>
    <x v="2709"/>
    <n v="-0.25"/>
    <n v="2418"/>
    <n v="0"/>
    <n v="10424"/>
    <x v="89"/>
    <n v="170"/>
    <s v="N (Jul 20)"/>
    <d v="2020-07-22T00:00:00"/>
    <n v="-1"/>
  </r>
  <r>
    <x v="594"/>
    <x v="28"/>
    <n v="20.100000000000001"/>
    <n v="20.149999999999999"/>
    <n v="19.989999999999998"/>
    <n v="20.07"/>
    <x v="2652"/>
    <n v="-0.1"/>
    <n v="169"/>
    <n v="0"/>
    <n v="6979"/>
    <x v="111"/>
    <n v="261"/>
    <s v="V (Oct 20)"/>
    <d v="2020-10-21T00:00:00"/>
    <n v="-1"/>
  </r>
  <r>
    <x v="594"/>
    <x v="33"/>
    <n v="17.600000000000001"/>
    <n v="17.649999999999999"/>
    <n v="17.16"/>
    <n v="17.32"/>
    <x v="2677"/>
    <n v="-0.3"/>
    <n v="9963"/>
    <n v="0"/>
    <n v="25925"/>
    <x v="46"/>
    <n v="107"/>
    <s v="K (May 20)"/>
    <d v="2020-05-20T00:00:00"/>
    <n v="-1"/>
  </r>
  <r>
    <x v="594"/>
    <x v="27"/>
    <n v="18.2"/>
    <n v="18.2"/>
    <n v="18.12"/>
    <n v="18.149999999999999"/>
    <x v="2710"/>
    <n v="-0.05"/>
    <n v="233"/>
    <n v="0"/>
    <n v="3524"/>
    <x v="205"/>
    <n v="289"/>
    <s v="X (Nov 20)"/>
    <d v="2020-11-18T00:00:00"/>
    <n v="-1"/>
  </r>
  <r>
    <x v="594"/>
    <x v="32"/>
    <n v="17.899999999999999"/>
    <n v="17.899999999999999"/>
    <n v="17.45"/>
    <n v="17.559999999999999"/>
    <x v="2656"/>
    <n v="-0.32500000000000001"/>
    <n v="5653"/>
    <n v="0"/>
    <n v="17002"/>
    <x v="40"/>
    <n v="135"/>
    <s v="M (Jun 20)"/>
    <d v="2020-06-17T00:00:00"/>
    <n v="-1"/>
  </r>
  <r>
    <x v="594"/>
    <x v="29"/>
    <n v="18.100000000000001"/>
    <n v="18.100000000000001"/>
    <n v="17.84"/>
    <n v="17.899999999999999"/>
    <x v="2686"/>
    <n v="-0.22500000000000001"/>
    <n v="795"/>
    <n v="0"/>
    <n v="4553"/>
    <x v="68"/>
    <n v="226"/>
    <s v="U (Sep 20)"/>
    <d v="2020-09-16T00:00:00"/>
    <n v="-1"/>
  </r>
  <r>
    <x v="594"/>
    <x v="34"/>
    <n v="17.899999999999999"/>
    <n v="17.920000000000002"/>
    <n v="17.239999999999998"/>
    <n v="17.53"/>
    <x v="2711"/>
    <n v="-0.35"/>
    <n v="21370"/>
    <n v="0"/>
    <n v="53607"/>
    <x v="42"/>
    <n v="72"/>
    <s v="J (Apr 20)"/>
    <d v="2020-04-15T00:00:00"/>
    <n v="-1"/>
  </r>
  <r>
    <x v="594"/>
    <x v="30"/>
    <n v="18"/>
    <n v="18"/>
    <n v="17.649999999999999"/>
    <n v="17.760000000000002"/>
    <x v="2709"/>
    <n v="-0.25"/>
    <n v="1343"/>
    <n v="0"/>
    <n v="5860"/>
    <x v="48"/>
    <n v="198"/>
    <s v="Q (Aug 20)"/>
    <d v="2020-08-19T00:00:00"/>
    <n v="-1"/>
  </r>
  <r>
    <x v="594"/>
    <x v="35"/>
    <n v="17.850000000000001"/>
    <n v="17.850000000000001"/>
    <n v="17"/>
    <n v="17.41"/>
    <x v="2676"/>
    <n v="-0.3"/>
    <n v="114742"/>
    <n v="707"/>
    <n v="151056"/>
    <x v="37"/>
    <n v="44"/>
    <s v="H (Mar 20)"/>
    <d v="2020-03-18T00:00:00"/>
    <n v="-1"/>
  </r>
  <r>
    <x v="595"/>
    <x v="34"/>
    <n v="16.75"/>
    <n v="18.16"/>
    <n v="16.649999999999999"/>
    <n v="17.829999999999998"/>
    <x v="2704"/>
    <n v="1.1000000000000001"/>
    <n v="35392"/>
    <n v="0"/>
    <n v="53361"/>
    <x v="45"/>
    <n v="75"/>
    <s v="J (Apr 20)"/>
    <d v="2020-04-15T00:00:00"/>
    <n v="-1"/>
  </r>
  <r>
    <x v="595"/>
    <x v="30"/>
    <n v="17.399999999999999"/>
    <n v="18.07"/>
    <n v="17.3"/>
    <n v="18"/>
    <x v="2672"/>
    <n v="0.6"/>
    <n v="1823"/>
    <n v="0"/>
    <n v="5795"/>
    <x v="54"/>
    <n v="201"/>
    <s v="Q (Aug 20)"/>
    <d v="2020-08-19T00:00:00"/>
    <n v="-1"/>
  </r>
  <r>
    <x v="595"/>
    <x v="35"/>
    <n v="16.399999999999999"/>
    <n v="18.350000000000001"/>
    <n v="16.260000000000002"/>
    <n v="17.8"/>
    <x v="2709"/>
    <n v="1.3"/>
    <n v="140711"/>
    <n v="1178"/>
    <n v="135742"/>
    <x v="49"/>
    <n v="47"/>
    <s v="H (Mar 20)"/>
    <d v="2020-03-18T00:00:00"/>
    <n v="-1"/>
  </r>
  <r>
    <x v="595"/>
    <x v="31"/>
    <n v="17.3"/>
    <n v="18.100000000000001"/>
    <n v="17.2"/>
    <n v="17.97"/>
    <x v="2672"/>
    <n v="0.65"/>
    <n v="4703"/>
    <n v="0"/>
    <n v="10448"/>
    <x v="95"/>
    <n v="173"/>
    <s v="N (Jul 20)"/>
    <d v="2020-07-22T00:00:00"/>
    <n v="-1"/>
  </r>
  <r>
    <x v="595"/>
    <x v="28"/>
    <n v="19.8"/>
    <n v="20.25"/>
    <n v="19.79"/>
    <n v="20.25"/>
    <x v="2712"/>
    <n v="0.45"/>
    <n v="150"/>
    <n v="0"/>
    <n v="6874"/>
    <x v="123"/>
    <n v="264"/>
    <s v="V (Oct 20)"/>
    <d v="2020-10-21T00:00:00"/>
    <n v="-1"/>
  </r>
  <r>
    <x v="595"/>
    <x v="33"/>
    <n v="16.75"/>
    <n v="17.82"/>
    <n v="16.66"/>
    <n v="17.600000000000001"/>
    <x v="2654"/>
    <n v="0.85"/>
    <n v="13264"/>
    <n v="0"/>
    <n v="26068"/>
    <x v="61"/>
    <n v="110"/>
    <s v="K (May 20)"/>
    <d v="2020-05-20T00:00:00"/>
    <n v="-1"/>
  </r>
  <r>
    <x v="595"/>
    <x v="27"/>
    <n v="18.100000000000001"/>
    <n v="18.3"/>
    <n v="18.05"/>
    <n v="18.2"/>
    <x v="2713"/>
    <n v="0.25"/>
    <n v="64"/>
    <n v="0"/>
    <n v="3316"/>
    <x v="206"/>
    <n v="292"/>
    <s v="X (Nov 20)"/>
    <d v="2020-11-18T00:00:00"/>
    <n v="-1"/>
  </r>
  <r>
    <x v="595"/>
    <x v="32"/>
    <n v="17.07"/>
    <n v="18"/>
    <n v="17.03"/>
    <n v="17.82"/>
    <x v="2682"/>
    <n v="0.77500000000000002"/>
    <n v="8167"/>
    <n v="0"/>
    <n v="17066"/>
    <x v="52"/>
    <n v="138"/>
    <s v="M (Jun 20)"/>
    <d v="2020-06-17T00:00:00"/>
    <n v="-1"/>
  </r>
  <r>
    <x v="595"/>
    <x v="29"/>
    <n v="17.600000000000001"/>
    <n v="18.2"/>
    <n v="17.55"/>
    <n v="18.11"/>
    <x v="2664"/>
    <n v="0.52500000000000002"/>
    <n v="699"/>
    <n v="0"/>
    <n v="4222"/>
    <x v="74"/>
    <n v="229"/>
    <s v="U (Sep 20)"/>
    <d v="2020-09-16T00:00:00"/>
    <n v="-1"/>
  </r>
  <r>
    <x v="596"/>
    <x v="31"/>
    <n v="17.55"/>
    <n v="17.88"/>
    <n v="17.25"/>
    <n v="17.28"/>
    <x v="2653"/>
    <n v="-0.25"/>
    <n v="2920"/>
    <n v="0"/>
    <n v="10073"/>
    <x v="107"/>
    <n v="174"/>
    <s v="N (Jul 20)"/>
    <d v="2020-07-22T00:00:00"/>
    <n v="-1"/>
  </r>
  <r>
    <x v="596"/>
    <x v="28"/>
    <n v="20"/>
    <n v="20.149999999999999"/>
    <n v="19.7"/>
    <n v="19.7"/>
    <x v="2633"/>
    <n v="-0.27500000000000002"/>
    <n v="162"/>
    <n v="0"/>
    <n v="6836"/>
    <x v="186"/>
    <n v="265"/>
    <s v="V (Oct 20)"/>
    <d v="2020-10-21T00:00:00"/>
    <n v="-1"/>
  </r>
  <r>
    <x v="596"/>
    <x v="33"/>
    <n v="17.05"/>
    <n v="17.5"/>
    <n v="16.7"/>
    <n v="16.71"/>
    <x v="2683"/>
    <n v="-0.3"/>
    <n v="9536"/>
    <n v="0"/>
    <n v="26140"/>
    <x v="64"/>
    <n v="111"/>
    <s v="K (May 20)"/>
    <d v="2020-05-20T00:00:00"/>
    <n v="-1"/>
  </r>
  <r>
    <x v="596"/>
    <x v="27"/>
    <n v="18.2"/>
    <n v="18.25"/>
    <n v="17.989999999999998"/>
    <n v="17.989999999999998"/>
    <x v="2714"/>
    <n v="-0.2"/>
    <n v="81"/>
    <n v="0"/>
    <n v="3274"/>
    <x v="207"/>
    <n v="293"/>
    <s v="X (Nov 20)"/>
    <d v="2020-11-18T00:00:00"/>
    <n v="-1"/>
  </r>
  <r>
    <x v="596"/>
    <x v="32"/>
    <n v="17.32"/>
    <n v="17.72"/>
    <n v="17.05"/>
    <n v="17.05"/>
    <x v="2687"/>
    <n v="-0.3"/>
    <n v="5610"/>
    <n v="0"/>
    <n v="16176"/>
    <x v="58"/>
    <n v="139"/>
    <s v="M (Jun 20)"/>
    <d v="2020-06-17T00:00:00"/>
    <n v="-1"/>
  </r>
  <r>
    <x v="596"/>
    <x v="29"/>
    <n v="17.97"/>
    <n v="18.100000000000001"/>
    <n v="17.59"/>
    <n v="17.600000000000001"/>
    <x v="2715"/>
    <n v="-0.27500000000000002"/>
    <n v="506"/>
    <n v="0"/>
    <n v="4005"/>
    <x v="86"/>
    <n v="230"/>
    <s v="U (Sep 20)"/>
    <d v="2020-09-16T00:00:00"/>
    <n v="-1"/>
  </r>
  <r>
    <x v="596"/>
    <x v="34"/>
    <n v="17.149999999999999"/>
    <n v="17.62"/>
    <n v="16.670000000000002"/>
    <n v="16.72"/>
    <x v="2683"/>
    <n v="-0.35"/>
    <n v="25378"/>
    <n v="0"/>
    <n v="49401"/>
    <x v="60"/>
    <n v="76"/>
    <s v="J (Apr 20)"/>
    <d v="2020-04-15T00:00:00"/>
    <n v="-1"/>
  </r>
  <r>
    <x v="596"/>
    <x v="30"/>
    <n v="17.62"/>
    <n v="17.920000000000002"/>
    <n v="17.350000000000001"/>
    <n v="17.350000000000001"/>
    <x v="2660"/>
    <n v="-0.3"/>
    <n v="1179"/>
    <n v="0"/>
    <n v="5204"/>
    <x v="66"/>
    <n v="202"/>
    <s v="Q (Aug 20)"/>
    <d v="2020-08-19T00:00:00"/>
    <n v="-1"/>
  </r>
  <r>
    <x v="596"/>
    <x v="35"/>
    <n v="16.75"/>
    <n v="17.5"/>
    <n v="16.32"/>
    <n v="16.37"/>
    <x v="2716"/>
    <n v="-0.35"/>
    <n v="98383"/>
    <n v="32"/>
    <n v="121571"/>
    <x v="55"/>
    <n v="48"/>
    <s v="H (Mar 20)"/>
    <d v="2020-03-18T00:00:00"/>
    <n v="-1"/>
  </r>
  <r>
    <x v="597"/>
    <x v="34"/>
    <n v="16.95"/>
    <n v="17.18"/>
    <n v="16.78"/>
    <n v="17.11"/>
    <x v="2687"/>
    <n v="0"/>
    <n v="17132"/>
    <n v="0"/>
    <n v="47262"/>
    <x v="63"/>
    <n v="77"/>
    <s v="J (Apr 20)"/>
    <d v="2020-04-15T00:00:00"/>
    <n v="-1"/>
  </r>
  <r>
    <x v="597"/>
    <x v="30"/>
    <n v="17.61"/>
    <n v="17.75"/>
    <n v="17.46"/>
    <n v="17.71"/>
    <x v="2717"/>
    <n v="0.05"/>
    <n v="1192"/>
    <n v="0"/>
    <n v="5140"/>
    <x v="72"/>
    <n v="203"/>
    <s v="Q (Aug 20)"/>
    <d v="2020-08-19T00:00:00"/>
    <n v="-1"/>
  </r>
  <r>
    <x v="597"/>
    <x v="35"/>
    <n v="16.649999999999999"/>
    <n v="16.899999999999999"/>
    <n v="16.39"/>
    <n v="16.8"/>
    <x v="2705"/>
    <n v="-0.05"/>
    <n v="85580"/>
    <n v="0"/>
    <n v="113065"/>
    <x v="67"/>
    <n v="49"/>
    <s v="H (Mar 20)"/>
    <d v="2020-03-18T00:00:00"/>
    <n v="-1"/>
  </r>
  <r>
    <x v="597"/>
    <x v="31"/>
    <n v="17.45"/>
    <n v="17.649999999999999"/>
    <n v="17.329999999999998"/>
    <n v="17.579999999999998"/>
    <x v="2654"/>
    <n v="0.05"/>
    <n v="2718"/>
    <n v="0"/>
    <n v="10122"/>
    <x v="113"/>
    <n v="175"/>
    <s v="N (Jul 20)"/>
    <d v="2020-07-22T00:00:00"/>
    <n v="-1"/>
  </r>
  <r>
    <x v="597"/>
    <x v="28"/>
    <n v="19.899999999999999"/>
    <n v="20.05"/>
    <n v="19.89"/>
    <n v="20"/>
    <x v="2718"/>
    <n v="2.5000000000000001E-2"/>
    <n v="216"/>
    <n v="0"/>
    <n v="6772"/>
    <x v="187"/>
    <n v="266"/>
    <s v="V (Oct 20)"/>
    <d v="2020-10-21T00:00:00"/>
    <n v="-1"/>
  </r>
  <r>
    <x v="597"/>
    <x v="33"/>
    <n v="16.899999999999999"/>
    <n v="17.12"/>
    <n v="16.77"/>
    <n v="17.07"/>
    <x v="2675"/>
    <n v="0.05"/>
    <n v="9342"/>
    <n v="0"/>
    <n v="25946"/>
    <x v="79"/>
    <n v="112"/>
    <s v="K (May 20)"/>
    <d v="2020-05-20T00:00:00"/>
    <n v="-1"/>
  </r>
  <r>
    <x v="597"/>
    <x v="27"/>
    <n v="18.02"/>
    <n v="18.100000000000001"/>
    <n v="17.989999999999998"/>
    <n v="18.100000000000001"/>
    <x v="2710"/>
    <n v="7.4999999999999997E-2"/>
    <n v="182"/>
    <n v="0"/>
    <n v="3228"/>
    <x v="208"/>
    <n v="294"/>
    <s v="X (Nov 20)"/>
    <d v="2020-11-18T00:00:00"/>
    <n v="-1"/>
  </r>
  <r>
    <x v="597"/>
    <x v="32"/>
    <n v="17.22"/>
    <n v="17.45"/>
    <n v="17.100000000000001"/>
    <n v="17.399999999999999"/>
    <x v="2660"/>
    <n v="0.1"/>
    <n v="3722"/>
    <n v="0"/>
    <n v="15853"/>
    <x v="70"/>
    <n v="140"/>
    <s v="M (Jun 20)"/>
    <d v="2020-06-17T00:00:00"/>
    <n v="-1"/>
  </r>
  <r>
    <x v="597"/>
    <x v="29"/>
    <n v="17.71"/>
    <n v="17.95"/>
    <n v="17.670000000000002"/>
    <n v="17.899999999999999"/>
    <x v="2719"/>
    <n v="7.4999999999999997E-2"/>
    <n v="490"/>
    <n v="0"/>
    <n v="3848"/>
    <x v="92"/>
    <n v="231"/>
    <s v="U (Sep 20)"/>
    <d v="2020-09-16T00:00:00"/>
    <n v="-1"/>
  </r>
  <r>
    <x v="598"/>
    <x v="31"/>
    <n v="17.82"/>
    <n v="17.899999999999999"/>
    <n v="17.45"/>
    <n v="17.45"/>
    <x v="2656"/>
    <n v="-0.45"/>
    <n v="4628"/>
    <n v="0"/>
    <n v="9886"/>
    <x v="125"/>
    <n v="176"/>
    <s v="N (Jul 20)"/>
    <d v="2020-07-22T00:00:00"/>
    <n v="-1"/>
  </r>
  <r>
    <x v="598"/>
    <x v="28"/>
    <n v="20.05"/>
    <n v="20.05"/>
    <n v="19.899999999999999"/>
    <n v="19.920000000000002"/>
    <x v="2720"/>
    <n v="-0.15"/>
    <n v="304"/>
    <n v="0"/>
    <n v="6522"/>
    <x v="188"/>
    <n v="267"/>
    <s v="V (Oct 20)"/>
    <d v="2020-10-21T00:00:00"/>
    <n v="-1"/>
  </r>
  <r>
    <x v="598"/>
    <x v="33"/>
    <n v="17.25"/>
    <n v="17.260000000000002"/>
    <n v="16.87"/>
    <n v="16.89"/>
    <x v="2680"/>
    <n v="-0.45"/>
    <n v="13714"/>
    <n v="0"/>
    <n v="25629"/>
    <x v="82"/>
    <n v="113"/>
    <s v="K (May 20)"/>
    <d v="2020-05-20T00:00:00"/>
    <n v="-1"/>
  </r>
  <r>
    <x v="598"/>
    <x v="27"/>
    <n v="18.25"/>
    <n v="18.25"/>
    <n v="18"/>
    <n v="18.05"/>
    <x v="2721"/>
    <n v="-7.4999999999999997E-2"/>
    <n v="130"/>
    <n v="0"/>
    <n v="3077"/>
    <x v="209"/>
    <n v="295"/>
    <s v="X (Nov 20)"/>
    <d v="2020-11-18T00:00:00"/>
    <n v="-1"/>
  </r>
  <r>
    <x v="598"/>
    <x v="32"/>
    <n v="17.63"/>
    <n v="17.649999999999999"/>
    <n v="17.2"/>
    <n v="17.2"/>
    <x v="2677"/>
    <n v="-0.5"/>
    <n v="7174"/>
    <n v="0"/>
    <n v="16059"/>
    <x v="76"/>
    <n v="141"/>
    <s v="M (Jun 20)"/>
    <d v="2020-06-17T00:00:00"/>
    <n v="-1"/>
  </r>
  <r>
    <x v="598"/>
    <x v="29"/>
    <n v="17.95"/>
    <n v="18"/>
    <n v="17.8"/>
    <n v="17.829999999999998"/>
    <x v="2696"/>
    <n v="-0.32500000000000001"/>
    <n v="178"/>
    <n v="0"/>
    <n v="3758"/>
    <x v="104"/>
    <n v="232"/>
    <s v="U (Sep 20)"/>
    <d v="2020-09-16T00:00:00"/>
    <n v="-1"/>
  </r>
  <r>
    <x v="598"/>
    <x v="34"/>
    <n v="17.420000000000002"/>
    <n v="17.43"/>
    <n v="16.920000000000002"/>
    <n v="16.940000000000001"/>
    <x v="2687"/>
    <n v="-0.45"/>
    <n v="23827"/>
    <n v="0"/>
    <n v="45186"/>
    <x v="78"/>
    <n v="78"/>
    <s v="J (Apr 20)"/>
    <d v="2020-04-15T00:00:00"/>
    <n v="-1"/>
  </r>
  <r>
    <x v="598"/>
    <x v="30"/>
    <n v="17.899999999999999"/>
    <n v="17.899999999999999"/>
    <n v="17.57"/>
    <n v="17.57"/>
    <x v="2722"/>
    <n v="-0.45"/>
    <n v="1304"/>
    <n v="0"/>
    <n v="4879"/>
    <x v="84"/>
    <n v="204"/>
    <s v="Q (Aug 20)"/>
    <d v="2020-08-19T00:00:00"/>
    <n v="-1"/>
  </r>
  <r>
    <x v="598"/>
    <x v="35"/>
    <n v="17.32"/>
    <n v="17.32"/>
    <n v="16.59"/>
    <n v="16.63"/>
    <x v="2663"/>
    <n v="-0.5"/>
    <n v="104875"/>
    <n v="211"/>
    <n v="107508"/>
    <x v="73"/>
    <n v="50"/>
    <s v="H (Mar 20)"/>
    <d v="2020-03-18T00:00:00"/>
    <n v="-1"/>
  </r>
  <r>
    <x v="599"/>
    <x v="34"/>
    <n v="16.95"/>
    <n v="17.52"/>
    <n v="16.899999999999999"/>
    <n v="17.39"/>
    <x v="2656"/>
    <n v="0.85"/>
    <n v="37578"/>
    <n v="0"/>
    <n v="43480"/>
    <x v="81"/>
    <n v="79"/>
    <s v="J (Apr 20)"/>
    <d v="2020-04-15T00:00:00"/>
    <n v="-1"/>
  </r>
  <r>
    <x v="599"/>
    <x v="30"/>
    <n v="17.55"/>
    <n v="18.100000000000001"/>
    <n v="17.55"/>
    <n v="17.89"/>
    <x v="2721"/>
    <n v="0.6"/>
    <n v="2582"/>
    <n v="0"/>
    <n v="5489"/>
    <x v="90"/>
    <n v="205"/>
    <s v="Q (Aug 20)"/>
    <d v="2020-08-19T00:00:00"/>
    <n v="-1"/>
  </r>
  <r>
    <x v="599"/>
    <x v="35"/>
    <n v="16.600000000000001"/>
    <n v="17.350000000000001"/>
    <n v="16.5"/>
    <n v="17.3"/>
    <x v="2653"/>
    <n v="1.1000000000000001"/>
    <n v="121186"/>
    <n v="651"/>
    <n v="100027"/>
    <x v="85"/>
    <n v="51"/>
    <s v="H (Mar 20)"/>
    <d v="2020-03-18T00:00:00"/>
    <n v="-1"/>
  </r>
  <r>
    <x v="599"/>
    <x v="31"/>
    <n v="17.45"/>
    <n v="18"/>
    <n v="17.45"/>
    <n v="17.8"/>
    <x v="2672"/>
    <n v="0.65"/>
    <n v="6650"/>
    <n v="0"/>
    <n v="9693"/>
    <x v="130"/>
    <n v="177"/>
    <s v="N (Jul 20)"/>
    <d v="2020-07-22T00:00:00"/>
    <n v="-1"/>
  </r>
  <r>
    <x v="599"/>
    <x v="28"/>
    <n v="20"/>
    <n v="20.2"/>
    <n v="19.899999999999999"/>
    <n v="20.2"/>
    <x v="2662"/>
    <n v="0.2"/>
    <n v="175"/>
    <n v="0"/>
    <n v="6437"/>
    <x v="189"/>
    <n v="268"/>
    <s v="V (Oct 20)"/>
    <d v="2020-10-21T00:00:00"/>
    <n v="-1"/>
  </r>
  <r>
    <x v="599"/>
    <x v="33"/>
    <n v="16.899999999999999"/>
    <n v="17.45"/>
    <n v="16.899999999999999"/>
    <n v="17.22"/>
    <x v="2676"/>
    <n v="0.7"/>
    <n v="19133"/>
    <n v="0"/>
    <n v="26466"/>
    <x v="97"/>
    <n v="114"/>
    <s v="K (May 20)"/>
    <d v="2020-05-20T00:00:00"/>
    <n v="-1"/>
  </r>
  <r>
    <x v="599"/>
    <x v="27"/>
    <n v="18.22"/>
    <n v="18.22"/>
    <n v="18.079999999999998"/>
    <n v="18.149999999999999"/>
    <x v="2710"/>
    <n v="0.25"/>
    <n v="59"/>
    <n v="0"/>
    <n v="2958"/>
    <x v="210"/>
    <n v="296"/>
    <s v="X (Nov 20)"/>
    <d v="2020-11-18T00:00:00"/>
    <n v="-1"/>
  </r>
  <r>
    <x v="599"/>
    <x v="32"/>
    <n v="17.25"/>
    <n v="17.78"/>
    <n v="17.25"/>
    <n v="17.600000000000001"/>
    <x v="2661"/>
    <n v="0.65"/>
    <n v="7728"/>
    <n v="0"/>
    <n v="15159"/>
    <x v="88"/>
    <n v="142"/>
    <s v="M (Jun 20)"/>
    <d v="2020-06-17T00:00:00"/>
    <n v="-1"/>
  </r>
  <r>
    <x v="599"/>
    <x v="29"/>
    <n v="17.899999999999999"/>
    <n v="18.13"/>
    <n v="17.850000000000001"/>
    <n v="18"/>
    <x v="2664"/>
    <n v="0.4"/>
    <n v="901"/>
    <n v="0"/>
    <n v="3720"/>
    <x v="110"/>
    <n v="233"/>
    <s v="U (Sep 20)"/>
    <d v="2020-09-16T00:00:00"/>
    <n v="-1"/>
  </r>
  <r>
    <x v="600"/>
    <x v="31"/>
    <n v="17.100000000000001"/>
    <n v="17.45"/>
    <n v="16.98"/>
    <n v="17.350000000000001"/>
    <x v="2653"/>
    <n v="0.25"/>
    <n v="2669"/>
    <n v="0"/>
    <n v="9515"/>
    <x v="141"/>
    <n v="180"/>
    <s v="N (Jul 20)"/>
    <d v="2020-07-22T00:00:00"/>
    <n v="-1"/>
  </r>
  <r>
    <x v="600"/>
    <x v="28"/>
    <n v="19.7"/>
    <n v="19.95"/>
    <n v="19.670000000000002"/>
    <n v="19.95"/>
    <x v="2707"/>
    <n v="0.22500000000000001"/>
    <n v="213"/>
    <n v="0"/>
    <n v="6247"/>
    <x v="190"/>
    <n v="271"/>
    <s v="V (Oct 20)"/>
    <d v="2020-10-21T00:00:00"/>
    <n v="-1"/>
  </r>
  <r>
    <x v="600"/>
    <x v="33"/>
    <n v="16.48"/>
    <n v="16.95"/>
    <n v="16.329999999999998"/>
    <n v="16.75"/>
    <x v="2683"/>
    <n v="0.25"/>
    <n v="17336"/>
    <n v="0"/>
    <n v="28895"/>
    <x v="100"/>
    <n v="117"/>
    <s v="K (May 20)"/>
    <d v="2020-05-20T00:00:00"/>
    <n v="-1"/>
  </r>
  <r>
    <x v="600"/>
    <x v="27"/>
    <n v="17.84"/>
    <n v="18"/>
    <n v="17.77"/>
    <n v="18"/>
    <x v="2686"/>
    <n v="0.1"/>
    <n v="73"/>
    <n v="0"/>
    <n v="2924"/>
    <x v="211"/>
    <n v="299"/>
    <s v="X (Nov 20)"/>
    <d v="2020-11-18T00:00:00"/>
    <n v="-1"/>
  </r>
  <r>
    <x v="600"/>
    <x v="32"/>
    <n v="16.850000000000001"/>
    <n v="17.260000000000002"/>
    <n v="16.75"/>
    <n v="17.13"/>
    <x v="2669"/>
    <n v="0.3"/>
    <n v="8839"/>
    <n v="0"/>
    <n v="15053"/>
    <x v="94"/>
    <n v="145"/>
    <s v="M (Jun 20)"/>
    <d v="2020-06-17T00:00:00"/>
    <n v="-1"/>
  </r>
  <r>
    <x v="600"/>
    <x v="29"/>
    <n v="17.5"/>
    <n v="17.8"/>
    <n v="17.440000000000001"/>
    <n v="17.7"/>
    <x v="2709"/>
    <n v="0.22500000000000001"/>
    <n v="456"/>
    <n v="0"/>
    <n v="3263"/>
    <x v="122"/>
    <n v="236"/>
    <s v="U (Sep 20)"/>
    <d v="2020-09-16T00:00:00"/>
    <n v="-1"/>
  </r>
  <r>
    <x v="600"/>
    <x v="34"/>
    <n v="16.3"/>
    <n v="16.899999999999999"/>
    <n v="16.100000000000001"/>
    <n v="16.72"/>
    <x v="2674"/>
    <n v="0.4"/>
    <n v="25569"/>
    <n v="0"/>
    <n v="40690"/>
    <x v="96"/>
    <n v="82"/>
    <s v="J (Apr 20)"/>
    <d v="2020-04-15T00:00:00"/>
    <n v="-1"/>
  </r>
  <r>
    <x v="600"/>
    <x v="30"/>
    <n v="17.2"/>
    <n v="17.579999999999998"/>
    <n v="17.149999999999999"/>
    <n v="17.45"/>
    <x v="2711"/>
    <n v="0.25"/>
    <n v="820"/>
    <n v="0"/>
    <n v="5290"/>
    <x v="102"/>
    <n v="208"/>
    <s v="Q (Aug 20)"/>
    <d v="2020-08-19T00:00:00"/>
    <n v="-1"/>
  </r>
  <r>
    <x v="600"/>
    <x v="35"/>
    <n v="15.62"/>
    <n v="16.5"/>
    <n v="15.4"/>
    <n v="16.260000000000002"/>
    <x v="2700"/>
    <n v="0.55000000000000004"/>
    <n v="113654"/>
    <n v="85"/>
    <n v="89929"/>
    <x v="91"/>
    <n v="54"/>
    <s v="H (Mar 20)"/>
    <d v="2020-03-18T00:00:00"/>
    <n v="-1"/>
  </r>
  <r>
    <x v="601"/>
    <x v="34"/>
    <n v="16.3"/>
    <n v="16.61"/>
    <n v="16.149999999999999"/>
    <n v="16.27"/>
    <x v="2690"/>
    <n v="0"/>
    <n v="19586"/>
    <n v="0"/>
    <n v="40557"/>
    <x v="99"/>
    <n v="83"/>
    <s v="J (Apr 20)"/>
    <d v="2020-04-15T00:00:00"/>
    <n v="-1"/>
  </r>
  <r>
    <x v="601"/>
    <x v="30"/>
    <n v="17.37"/>
    <n v="17.53"/>
    <n v="17.170000000000002"/>
    <n v="17.22"/>
    <x v="2667"/>
    <n v="-0.1"/>
    <n v="715"/>
    <n v="0"/>
    <n v="5232"/>
    <x v="108"/>
    <n v="209"/>
    <s v="Q (Aug 20)"/>
    <d v="2020-08-19T00:00:00"/>
    <n v="-1"/>
  </r>
  <r>
    <x v="601"/>
    <x v="35"/>
    <n v="15.75"/>
    <n v="16.059999999999999"/>
    <n v="15.55"/>
    <n v="15.63"/>
    <x v="2723"/>
    <n v="-0.05"/>
    <n v="64009"/>
    <n v="13"/>
    <n v="85637"/>
    <x v="103"/>
    <n v="55"/>
    <s v="H (Mar 20)"/>
    <d v="2020-03-18T00:00:00"/>
    <n v="-1"/>
  </r>
  <r>
    <x v="601"/>
    <x v="31"/>
    <n v="17.149999999999999"/>
    <n v="17.38"/>
    <n v="17.010000000000002"/>
    <n v="17.12"/>
    <x v="2687"/>
    <n v="-0.05"/>
    <n v="3057"/>
    <n v="0"/>
    <n v="8949"/>
    <x v="147"/>
    <n v="181"/>
    <s v="N (Jul 20)"/>
    <d v="2020-07-22T00:00:00"/>
    <n v="-1"/>
  </r>
  <r>
    <x v="601"/>
    <x v="28"/>
    <n v="19.95"/>
    <n v="20"/>
    <n v="19.690000000000001"/>
    <n v="19.71"/>
    <x v="2724"/>
    <n v="-0.2"/>
    <n v="303"/>
    <n v="0"/>
    <n v="6191"/>
    <x v="191"/>
    <n v="272"/>
    <s v="V (Oct 20)"/>
    <d v="2020-10-21T00:00:00"/>
    <n v="-1"/>
  </r>
  <r>
    <x v="601"/>
    <x v="33"/>
    <n v="16.55"/>
    <n v="16.8"/>
    <n v="16.37"/>
    <n v="16.47"/>
    <x v="2685"/>
    <n v="-0.05"/>
    <n v="7388"/>
    <n v="0"/>
    <n v="31208"/>
    <x v="115"/>
    <n v="118"/>
    <s v="K (May 20)"/>
    <d v="2020-05-20T00:00:00"/>
    <n v="-1"/>
  </r>
  <r>
    <x v="601"/>
    <x v="27"/>
    <n v="17.88"/>
    <n v="17.989999999999998"/>
    <n v="17.7"/>
    <n v="17.8"/>
    <x v="2696"/>
    <n v="7.4999999999999997E-2"/>
    <n v="167"/>
    <n v="0"/>
    <n v="2889"/>
    <x v="212"/>
    <n v="300"/>
    <s v="X (Nov 20)"/>
    <d v="2020-11-18T00:00:00"/>
    <n v="-1"/>
  </r>
  <r>
    <x v="601"/>
    <x v="32"/>
    <n v="16.89"/>
    <n v="17.149999999999999"/>
    <n v="16.75"/>
    <n v="16.86"/>
    <x v="2663"/>
    <n v="-0.05"/>
    <n v="5845"/>
    <n v="0"/>
    <n v="15048"/>
    <x v="106"/>
    <n v="146"/>
    <s v="M (Jun 20)"/>
    <d v="2020-06-17T00:00:00"/>
    <n v="-1"/>
  </r>
  <r>
    <x v="601"/>
    <x v="29"/>
    <n v="17.7"/>
    <n v="17.8"/>
    <n v="17.47"/>
    <n v="17.5"/>
    <x v="2725"/>
    <n v="-7.4999999999999997E-2"/>
    <n v="305"/>
    <n v="0"/>
    <n v="3095"/>
    <x v="128"/>
    <n v="237"/>
    <s v="U (Sep 20)"/>
    <d v="2020-09-16T00:00:00"/>
    <n v="-1"/>
  </r>
  <r>
    <x v="602"/>
    <x v="31"/>
    <n v="16.97"/>
    <n v="17.18"/>
    <n v="16.850000000000001"/>
    <n v="17.18"/>
    <x v="2669"/>
    <n v="0.125"/>
    <n v="2658"/>
    <n v="0"/>
    <n v="8404"/>
    <x v="158"/>
    <n v="182"/>
    <s v="N (Jul 20)"/>
    <d v="2020-07-22T00:00:00"/>
    <n v="-1"/>
  </r>
  <r>
    <x v="602"/>
    <x v="28"/>
    <n v="20"/>
    <n v="20"/>
    <n v="19.850000000000001"/>
    <n v="19.899999999999999"/>
    <x v="2673"/>
    <n v="-0.05"/>
    <n v="288"/>
    <n v="0"/>
    <n v="6006"/>
    <x v="192"/>
    <n v="273"/>
    <s v="V (Oct 20)"/>
    <d v="2020-10-21T00:00:00"/>
    <n v="-1"/>
  </r>
  <r>
    <x v="602"/>
    <x v="33"/>
    <n v="16.25"/>
    <n v="16.55"/>
    <n v="16.059999999999999"/>
    <n v="16.5"/>
    <x v="2671"/>
    <n v="0.27500000000000002"/>
    <n v="9974"/>
    <n v="0"/>
    <n v="30565"/>
    <x v="118"/>
    <n v="119"/>
    <s v="K (May 20)"/>
    <d v="2020-05-20T00:00:00"/>
    <n v="-1"/>
  </r>
  <r>
    <x v="602"/>
    <x v="27"/>
    <n v="17.7"/>
    <n v="17.75"/>
    <n v="17.649999999999999"/>
    <n v="17.75"/>
    <x v="2709"/>
    <n v="-7.4999999999999997E-2"/>
    <n v="64"/>
    <n v="0"/>
    <n v="2751"/>
    <x v="213"/>
    <n v="301"/>
    <s v="X (Nov 20)"/>
    <d v="2020-11-18T00:00:00"/>
    <n v="-1"/>
  </r>
  <r>
    <x v="602"/>
    <x v="32"/>
    <n v="16.68"/>
    <n v="16.899999999999999"/>
    <n v="16.5"/>
    <n v="16.88"/>
    <x v="2697"/>
    <n v="0.2"/>
    <n v="5228"/>
    <n v="0"/>
    <n v="14094"/>
    <x v="112"/>
    <n v="147"/>
    <s v="M (Jun 20)"/>
    <d v="2020-06-17T00:00:00"/>
    <n v="-1"/>
  </r>
  <r>
    <x v="602"/>
    <x v="29"/>
    <n v="17.45"/>
    <n v="17.600000000000001"/>
    <n v="17.38"/>
    <n v="17.600000000000001"/>
    <x v="2654"/>
    <n v="7.4999999999999997E-2"/>
    <n v="367"/>
    <n v="0"/>
    <n v="2988"/>
    <x v="139"/>
    <n v="238"/>
    <s v="U (Sep 20)"/>
    <d v="2020-09-16T00:00:00"/>
    <n v="-1"/>
  </r>
  <r>
    <x v="602"/>
    <x v="34"/>
    <n v="16.04"/>
    <n v="16.350000000000001"/>
    <n v="15.77"/>
    <n v="16.3"/>
    <x v="2690"/>
    <n v="0.25"/>
    <n v="21832"/>
    <n v="0"/>
    <n v="38650"/>
    <x v="114"/>
    <n v="84"/>
    <s v="J (Apr 20)"/>
    <d v="2020-04-15T00:00:00"/>
    <n v="-1"/>
  </r>
  <r>
    <x v="602"/>
    <x v="30"/>
    <n v="17.149999999999999"/>
    <n v="17.350000000000001"/>
    <n v="17.05"/>
    <n v="17.350000000000001"/>
    <x v="2653"/>
    <n v="0.15"/>
    <n v="990"/>
    <n v="0"/>
    <n v="4881"/>
    <x v="120"/>
    <n v="210"/>
    <s v="Q (Aug 20)"/>
    <d v="2020-08-19T00:00:00"/>
    <n v="-1"/>
  </r>
  <r>
    <x v="602"/>
    <x v="35"/>
    <n v="15.5"/>
    <n v="15.8"/>
    <n v="15.22"/>
    <n v="15.75"/>
    <x v="2726"/>
    <n v="0.2"/>
    <n v="92710"/>
    <n v="0"/>
    <n v="82155"/>
    <x v="109"/>
    <n v="56"/>
    <s v="H (Mar 20)"/>
    <d v="2020-03-18T00:00:00"/>
    <n v="-1"/>
  </r>
  <r>
    <x v="603"/>
    <x v="34"/>
    <n v="16.05"/>
    <n v="16.29"/>
    <n v="15.9"/>
    <n v="16.05"/>
    <x v="2727"/>
    <n v="0"/>
    <n v="15978"/>
    <n v="0"/>
    <n v="38910"/>
    <x v="117"/>
    <n v="85"/>
    <s v="J (Apr 20)"/>
    <d v="2020-04-15T00:00:00"/>
    <n v="-1"/>
  </r>
  <r>
    <x v="603"/>
    <x v="30"/>
    <n v="17.2"/>
    <n v="17.32"/>
    <n v="17.13"/>
    <n v="17.2"/>
    <x v="2658"/>
    <n v="0"/>
    <n v="984"/>
    <n v="0"/>
    <n v="4533"/>
    <x v="126"/>
    <n v="211"/>
    <s v="Q (Aug 20)"/>
    <d v="2020-08-19T00:00:00"/>
    <n v="-1"/>
  </r>
  <r>
    <x v="603"/>
    <x v="35"/>
    <n v="15.37"/>
    <n v="15.65"/>
    <n v="15.24"/>
    <n v="15.55"/>
    <x v="2728"/>
    <n v="0.15"/>
    <n v="44065"/>
    <n v="0"/>
    <n v="75029"/>
    <x v="121"/>
    <n v="57"/>
    <s v="H (Mar 20)"/>
    <d v="2020-03-18T00:00:00"/>
    <n v="-1"/>
  </r>
  <r>
    <x v="603"/>
    <x v="31"/>
    <n v="17.05"/>
    <n v="17.170000000000002"/>
    <n v="16.95"/>
    <n v="17"/>
    <x v="2729"/>
    <n v="-2.5000000000000001E-2"/>
    <n v="1455"/>
    <n v="0"/>
    <n v="8140"/>
    <x v="163"/>
    <n v="183"/>
    <s v="N (Jul 20)"/>
    <d v="2020-07-22T00:00:00"/>
    <n v="-1"/>
  </r>
  <r>
    <x v="603"/>
    <x v="28"/>
    <n v="19.899999999999999"/>
    <n v="20"/>
    <n v="19.829999999999998"/>
    <n v="19.940000000000001"/>
    <x v="2730"/>
    <n v="2.5000000000000001E-2"/>
    <n v="201"/>
    <n v="0"/>
    <n v="5866"/>
    <x v="193"/>
    <n v="274"/>
    <s v="V (Oct 20)"/>
    <d v="2020-10-21T00:00:00"/>
    <n v="-1"/>
  </r>
  <r>
    <x v="603"/>
    <x v="33"/>
    <n v="16.329999999999998"/>
    <n v="16.559999999999999"/>
    <n v="16.2"/>
    <n v="16.25"/>
    <x v="2731"/>
    <n v="-7.4999999999999997E-2"/>
    <n v="11050"/>
    <n v="0"/>
    <n v="31704"/>
    <x v="132"/>
    <n v="120"/>
    <s v="K (May 20)"/>
    <d v="2020-05-20T00:00:00"/>
    <n v="-1"/>
  </r>
  <r>
    <x v="603"/>
    <x v="27"/>
    <n v="17.8"/>
    <n v="17.899999999999999"/>
    <n v="17.7"/>
    <n v="17.760000000000002"/>
    <x v="2696"/>
    <n v="-2.5000000000000001E-2"/>
    <n v="69"/>
    <n v="0"/>
    <n v="2708"/>
    <x v="214"/>
    <n v="302"/>
    <s v="X (Nov 20)"/>
    <d v="2020-11-18T00:00:00"/>
    <n v="-1"/>
  </r>
  <r>
    <x v="603"/>
    <x v="32"/>
    <n v="16.760000000000002"/>
    <n v="16.95"/>
    <n v="16.649999999999999"/>
    <n v="16.670000000000002"/>
    <x v="2674"/>
    <n v="-0.05"/>
    <n v="4136"/>
    <n v="0"/>
    <n v="14292"/>
    <x v="124"/>
    <n v="148"/>
    <s v="M (Jun 20)"/>
    <d v="2020-06-17T00:00:00"/>
    <n v="-1"/>
  </r>
  <r>
    <x v="603"/>
    <x v="29"/>
    <n v="17.5"/>
    <n v="17.600000000000001"/>
    <n v="17.399999999999999"/>
    <n v="17.55"/>
    <x v="2725"/>
    <n v="2.5000000000000001E-2"/>
    <n v="186"/>
    <n v="0"/>
    <n v="2815"/>
    <x v="144"/>
    <n v="239"/>
    <s v="U (Sep 20)"/>
    <d v="2020-09-16T00:00:00"/>
    <n v="-1"/>
  </r>
  <r>
    <x v="604"/>
    <x v="31"/>
    <n v="16.95"/>
    <n v="17.100000000000001"/>
    <n v="16.920000000000002"/>
    <n v="17.010000000000002"/>
    <x v="2675"/>
    <n v="0.05"/>
    <n v="1427"/>
    <n v="0"/>
    <n v="7943"/>
    <x v="173"/>
    <n v="187"/>
    <s v="N (Jul 20)"/>
    <d v="2020-07-22T00:00:00"/>
    <n v="-1"/>
  </r>
  <r>
    <x v="604"/>
    <x v="28"/>
    <n v="19.899999999999999"/>
    <n v="19.95"/>
    <n v="19.850000000000001"/>
    <n v="19.899999999999999"/>
    <x v="2707"/>
    <n v="0.1"/>
    <n v="129"/>
    <n v="0"/>
    <n v="5771"/>
    <x v="195"/>
    <n v="278"/>
    <s v="V (Oct 20)"/>
    <d v="2020-10-21T00:00:00"/>
    <n v="-1"/>
  </r>
  <r>
    <x v="604"/>
    <x v="33"/>
    <n v="16.2"/>
    <n v="16.399999999999999"/>
    <n v="16.149999999999999"/>
    <n v="16.329999999999998"/>
    <x v="2666"/>
    <n v="0.1"/>
    <n v="11020"/>
    <n v="0"/>
    <n v="30878"/>
    <x v="135"/>
    <n v="124"/>
    <s v="K (May 20)"/>
    <d v="2020-05-20T00:00:00"/>
    <n v="-1"/>
  </r>
  <r>
    <x v="604"/>
    <x v="27"/>
    <n v="18"/>
    <n v="18"/>
    <n v="17.8"/>
    <n v="17.850000000000001"/>
    <x v="2704"/>
    <n v="-0.15"/>
    <n v="87"/>
    <n v="0"/>
    <n v="2716"/>
    <x v="215"/>
    <n v="306"/>
    <s v="X (Nov 20)"/>
    <d v="2020-11-18T00:00:00"/>
    <n v="-1"/>
  </r>
  <r>
    <x v="604"/>
    <x v="32"/>
    <n v="16.63"/>
    <n v="16.8"/>
    <n v="16.600000000000001"/>
    <n v="16.75"/>
    <x v="2683"/>
    <n v="0.1"/>
    <n v="3081"/>
    <n v="0"/>
    <n v="14461"/>
    <x v="129"/>
    <n v="152"/>
    <s v="M (Jun 20)"/>
    <d v="2020-06-17T00:00:00"/>
    <n v="-1"/>
  </r>
  <r>
    <x v="604"/>
    <x v="29"/>
    <n v="17.5"/>
    <n v="17.55"/>
    <n v="17.43"/>
    <n v="17.55"/>
    <x v="2711"/>
    <n v="0"/>
    <n v="115"/>
    <n v="0"/>
    <n v="2723"/>
    <x v="155"/>
    <n v="243"/>
    <s v="U (Sep 20)"/>
    <d v="2020-09-16T00:00:00"/>
    <n v="-1"/>
  </r>
  <r>
    <x v="604"/>
    <x v="34"/>
    <n v="15.95"/>
    <n v="16.149999999999999"/>
    <n v="15.9"/>
    <n v="16.05"/>
    <x v="2727"/>
    <n v="0.05"/>
    <n v="12487"/>
    <n v="0"/>
    <n v="37393"/>
    <x v="131"/>
    <n v="89"/>
    <s v="J (Apr 20)"/>
    <d v="2020-04-15T00:00:00"/>
    <n v="-1"/>
  </r>
  <r>
    <x v="604"/>
    <x v="30"/>
    <n v="17.100000000000001"/>
    <n v="17.22"/>
    <n v="17.100000000000001"/>
    <n v="17.18"/>
    <x v="2658"/>
    <n v="0.05"/>
    <n v="608"/>
    <n v="0"/>
    <n v="3811"/>
    <x v="137"/>
    <n v="215"/>
    <s v="Q (Aug 20)"/>
    <d v="2020-08-19T00:00:00"/>
    <n v="-1"/>
  </r>
  <r>
    <x v="604"/>
    <x v="35"/>
    <n v="15.32"/>
    <n v="15.6"/>
    <n v="15.28"/>
    <n v="15.37"/>
    <x v="2668"/>
    <n v="0"/>
    <n v="36006"/>
    <n v="0"/>
    <n v="69755"/>
    <x v="127"/>
    <n v="61"/>
    <s v="H (Mar 20)"/>
    <d v="2020-03-18T00:00:00"/>
    <n v="-1"/>
  </r>
  <r>
    <x v="605"/>
    <x v="34"/>
    <n v="16.170000000000002"/>
    <n v="16.2"/>
    <n v="15.9"/>
    <n v="15.97"/>
    <x v="2695"/>
    <n v="-0.2"/>
    <n v="12258"/>
    <n v="0"/>
    <n v="37135"/>
    <x v="134"/>
    <n v="90"/>
    <s v="J (Apr 20)"/>
    <d v="2020-04-15T00:00:00"/>
    <n v="-1"/>
  </r>
  <r>
    <x v="605"/>
    <x v="30"/>
    <n v="17.2"/>
    <n v="17.25"/>
    <n v="17.100000000000001"/>
    <n v="17.13"/>
    <x v="2669"/>
    <n v="-0.15"/>
    <n v="341"/>
    <n v="0"/>
    <n v="3351"/>
    <x v="142"/>
    <n v="216"/>
    <s v="Q (Aug 20)"/>
    <d v="2020-08-19T00:00:00"/>
    <n v="-1"/>
  </r>
  <r>
    <x v="605"/>
    <x v="35"/>
    <n v="15.57"/>
    <n v="15.6"/>
    <n v="15.26"/>
    <n v="15.37"/>
    <x v="2668"/>
    <n v="-0.2"/>
    <n v="23150"/>
    <n v="0"/>
    <n v="64586"/>
    <x v="138"/>
    <n v="62"/>
    <s v="H (Mar 20)"/>
    <d v="2020-03-18T00:00:00"/>
    <n v="-1"/>
  </r>
  <r>
    <x v="605"/>
    <x v="31"/>
    <n v="17.12"/>
    <n v="17.12"/>
    <n v="16.920000000000002"/>
    <n v="16.920000000000002"/>
    <x v="2680"/>
    <n v="-0.15"/>
    <n v="1168"/>
    <n v="0"/>
    <n v="7345"/>
    <x v="174"/>
    <n v="188"/>
    <s v="N (Jul 20)"/>
    <d v="2020-07-22T00:00:00"/>
    <n v="-1"/>
  </r>
  <r>
    <x v="605"/>
    <x v="28"/>
    <n v="19.95"/>
    <n v="19.95"/>
    <n v="19.75"/>
    <n v="19.75"/>
    <x v="2622"/>
    <n v="-2.5000000000000001E-2"/>
    <n v="282"/>
    <n v="0"/>
    <n v="5674"/>
    <x v="196"/>
    <n v="279"/>
    <s v="V (Oct 20)"/>
    <d v="2020-10-21T00:00:00"/>
    <n v="-1"/>
  </r>
  <r>
    <x v="605"/>
    <x v="33"/>
    <n v="16.399999999999999"/>
    <n v="16.420000000000002"/>
    <n v="16.149999999999999"/>
    <n v="16.22"/>
    <x v="2700"/>
    <n v="-0.2"/>
    <n v="4462"/>
    <n v="0"/>
    <n v="28592"/>
    <x v="149"/>
    <n v="125"/>
    <s v="K (May 20)"/>
    <d v="2020-05-20T00:00:00"/>
    <n v="-1"/>
  </r>
  <r>
    <x v="605"/>
    <x v="27"/>
    <n v="18.25"/>
    <n v="18.25"/>
    <n v="18"/>
    <n v="18.12"/>
    <x v="2672"/>
    <n v="-0.125"/>
    <n v="67"/>
    <n v="0"/>
    <n v="2664"/>
    <x v="216"/>
    <n v="307"/>
    <s v="X (Nov 20)"/>
    <d v="2020-11-18T00:00:00"/>
    <n v="-1"/>
  </r>
  <r>
    <x v="605"/>
    <x v="32"/>
    <n v="16.809999999999999"/>
    <n v="16.82"/>
    <n v="16.600000000000001"/>
    <n v="16.63"/>
    <x v="2732"/>
    <n v="-0.2"/>
    <n v="2726"/>
    <n v="0"/>
    <n v="14248"/>
    <x v="140"/>
    <n v="153"/>
    <s v="M (Jun 20)"/>
    <d v="2020-06-17T00:00:00"/>
    <n v="-1"/>
  </r>
  <r>
    <x v="605"/>
    <x v="29"/>
    <n v="17.54"/>
    <n v="17.7"/>
    <n v="17.48"/>
    <n v="17.48"/>
    <x v="2711"/>
    <n v="-0.125"/>
    <n v="189"/>
    <n v="0"/>
    <n v="2685"/>
    <x v="160"/>
    <n v="244"/>
    <s v="U (Sep 20)"/>
    <d v="2020-09-16T00:00:00"/>
    <n v="-1"/>
  </r>
  <r>
    <x v="606"/>
    <x v="31"/>
    <n v="17.27"/>
    <n v="17.3"/>
    <n v="17.12"/>
    <n v="17.13"/>
    <x v="2669"/>
    <n v="-0.125"/>
    <n v="1164"/>
    <n v="0"/>
    <n v="7285"/>
    <x v="179"/>
    <n v="189"/>
    <s v="N (Jul 20)"/>
    <d v="2020-07-22T00:00:00"/>
    <n v="-1"/>
  </r>
  <r>
    <x v="606"/>
    <x v="28"/>
    <n v="19.899999999999999"/>
    <n v="20"/>
    <n v="19.850000000000001"/>
    <n v="19.850000000000001"/>
    <x v="2627"/>
    <n v="0"/>
    <n v="386"/>
    <n v="0"/>
    <n v="5576"/>
    <x v="197"/>
    <n v="280"/>
    <s v="V (Oct 20)"/>
    <d v="2020-10-21T00:00:00"/>
    <n v="-1"/>
  </r>
  <r>
    <x v="606"/>
    <x v="33"/>
    <n v="16.55"/>
    <n v="16.600000000000001"/>
    <n v="16.399999999999999"/>
    <n v="16.41"/>
    <x v="2716"/>
    <n v="-0.15"/>
    <n v="4764"/>
    <n v="0"/>
    <n v="28192"/>
    <x v="152"/>
    <n v="126"/>
    <s v="K (May 20)"/>
    <d v="2020-05-20T00:00:00"/>
    <n v="-1"/>
  </r>
  <r>
    <x v="606"/>
    <x v="27"/>
    <n v="18.3"/>
    <n v="18.350000000000001"/>
    <n v="18.100000000000001"/>
    <n v="18.12"/>
    <x v="2733"/>
    <n v="-7.4999999999999997E-2"/>
    <n v="69"/>
    <n v="0"/>
    <n v="2637"/>
    <x v="217"/>
    <n v="308"/>
    <s v="X (Nov 20)"/>
    <d v="2020-11-18T00:00:00"/>
    <n v="-1"/>
  </r>
  <r>
    <x v="606"/>
    <x v="32"/>
    <n v="16.95"/>
    <n v="17"/>
    <n v="16.75"/>
    <n v="16.8"/>
    <x v="2663"/>
    <n v="-0.15"/>
    <n v="2634"/>
    <n v="0"/>
    <n v="14999"/>
    <x v="146"/>
    <n v="154"/>
    <s v="M (Jun 20)"/>
    <d v="2020-06-17T00:00:00"/>
    <n v="-1"/>
  </r>
  <r>
    <x v="606"/>
    <x v="29"/>
    <n v="17.649999999999999"/>
    <n v="17.75"/>
    <n v="17.600000000000001"/>
    <n v="17.670000000000002"/>
    <x v="2715"/>
    <n v="-7.4999999999999997E-2"/>
    <n v="113"/>
    <n v="0"/>
    <n v="2621"/>
    <x v="171"/>
    <n v="245"/>
    <s v="U (Sep 20)"/>
    <d v="2020-09-16T00:00:00"/>
    <n v="-1"/>
  </r>
  <r>
    <x v="606"/>
    <x v="34"/>
    <n v="16.3"/>
    <n v="16.350000000000001"/>
    <n v="16.100000000000001"/>
    <n v="16.170000000000002"/>
    <x v="2734"/>
    <n v="-0.125"/>
    <n v="9703"/>
    <n v="0"/>
    <n v="37377"/>
    <x v="148"/>
    <n v="91"/>
    <s v="J (Apr 20)"/>
    <d v="2020-04-15T00:00:00"/>
    <n v="-1"/>
  </r>
  <r>
    <x v="606"/>
    <x v="30"/>
    <n v="17.350000000000001"/>
    <n v="17.38"/>
    <n v="17.25"/>
    <n v="17.260000000000002"/>
    <x v="2677"/>
    <n v="-0.1"/>
    <n v="545"/>
    <n v="0"/>
    <n v="3401"/>
    <x v="3"/>
    <n v="217"/>
    <s v="Q (Aug 20)"/>
    <d v="2020-08-19T00:00:00"/>
    <n v="-1"/>
  </r>
  <r>
    <x v="606"/>
    <x v="35"/>
    <n v="15.65"/>
    <n v="15.75"/>
    <n v="15.5"/>
    <n v="15.55"/>
    <x v="2688"/>
    <n v="-0.1"/>
    <n v="24106"/>
    <n v="0"/>
    <n v="61971"/>
    <x v="143"/>
    <n v="63"/>
    <s v="H (Mar 20)"/>
    <d v="2020-03-18T00:00:00"/>
    <n v="-1"/>
  </r>
  <r>
    <x v="607"/>
    <x v="34"/>
    <n v="16.350000000000001"/>
    <n v="16.52"/>
    <n v="16.25"/>
    <n v="16.28"/>
    <x v="2735"/>
    <n v="-7.4999999999999997E-2"/>
    <n v="7460"/>
    <n v="0"/>
    <n v="36717"/>
    <x v="151"/>
    <n v="92"/>
    <s v="J (Apr 20)"/>
    <d v="2020-04-15T00:00:00"/>
    <n v="-1"/>
  </r>
  <r>
    <x v="607"/>
    <x v="30"/>
    <n v="17.350000000000001"/>
    <n v="17.45"/>
    <n v="17.32"/>
    <n v="17.36"/>
    <x v="2660"/>
    <n v="0"/>
    <n v="431"/>
    <n v="0"/>
    <n v="3239"/>
    <x v="15"/>
    <n v="218"/>
    <s v="Q (Aug 20)"/>
    <d v="2020-08-19T00:00:00"/>
    <n v="-1"/>
  </r>
  <r>
    <x v="607"/>
    <x v="35"/>
    <n v="15.75"/>
    <n v="15.92"/>
    <n v="15.6"/>
    <n v="15.66"/>
    <x v="2723"/>
    <n v="-0.1"/>
    <n v="26455"/>
    <n v="0"/>
    <n v="57499"/>
    <x v="154"/>
    <n v="64"/>
    <s v="H (Mar 20)"/>
    <d v="2020-03-18T00:00:00"/>
    <n v="-1"/>
  </r>
  <r>
    <x v="607"/>
    <x v="31"/>
    <n v="17.239999999999998"/>
    <n v="17.36"/>
    <n v="17.16"/>
    <n v="17.239999999999998"/>
    <x v="2699"/>
    <n v="2.5000000000000001E-2"/>
    <n v="1634"/>
    <n v="0"/>
    <n v="7287"/>
    <x v="180"/>
    <n v="190"/>
    <s v="N (Jul 20)"/>
    <d v="2020-07-22T00:00:00"/>
    <n v="-1"/>
  </r>
  <r>
    <x v="607"/>
    <x v="28"/>
    <n v="20"/>
    <n v="20.05"/>
    <n v="19.8"/>
    <n v="19.8"/>
    <x v="2627"/>
    <n v="0"/>
    <n v="232"/>
    <n v="0"/>
    <n v="5298"/>
    <x v="198"/>
    <n v="281"/>
    <s v="V (Oct 20)"/>
    <d v="2020-10-21T00:00:00"/>
    <n v="-1"/>
  </r>
  <r>
    <x v="607"/>
    <x v="33"/>
    <n v="16.600000000000001"/>
    <n v="16.77"/>
    <n v="16.5"/>
    <n v="16.559999999999999"/>
    <x v="2692"/>
    <n v="-0.05"/>
    <n v="4946"/>
    <n v="0"/>
    <n v="27055"/>
    <x v="165"/>
    <n v="127"/>
    <s v="K (May 20)"/>
    <d v="2020-05-20T00:00:00"/>
    <n v="-1"/>
  </r>
  <r>
    <x v="607"/>
    <x v="27"/>
    <n v="18.350000000000001"/>
    <n v="18.399999999999999"/>
    <n v="18.149999999999999"/>
    <n v="18.2"/>
    <x v="2736"/>
    <n v="-0.15"/>
    <n v="47"/>
    <n v="0"/>
    <n v="2546"/>
    <x v="218"/>
    <n v="309"/>
    <s v="X (Nov 20)"/>
    <d v="2020-11-18T00:00:00"/>
    <n v="-1"/>
  </r>
  <r>
    <x v="607"/>
    <x v="32"/>
    <n v="16.97"/>
    <n v="17.100000000000001"/>
    <n v="16.899999999999999"/>
    <n v="16.97"/>
    <x v="2680"/>
    <n v="0"/>
    <n v="2764"/>
    <n v="0"/>
    <n v="14619"/>
    <x v="157"/>
    <n v="155"/>
    <s v="M (Jun 20)"/>
    <d v="2020-06-17T00:00:00"/>
    <n v="-1"/>
  </r>
  <r>
    <x v="607"/>
    <x v="29"/>
    <n v="17.8"/>
    <n v="17.84"/>
    <n v="17.649999999999999"/>
    <n v="17.68"/>
    <x v="2717"/>
    <n v="-2.5000000000000001E-2"/>
    <n v="214"/>
    <n v="0"/>
    <n v="2567"/>
    <x v="4"/>
    <n v="246"/>
    <s v="U (Sep 20)"/>
    <d v="2020-09-16T00:00:00"/>
    <n v="-1"/>
  </r>
  <r>
    <x v="608"/>
    <x v="31"/>
    <n v="17.350000000000001"/>
    <n v="17.350000000000001"/>
    <n v="17.22"/>
    <n v="17.239999999999998"/>
    <x v="2667"/>
    <n v="-0.15"/>
    <n v="729"/>
    <n v="0"/>
    <n v="7158"/>
    <x v="185"/>
    <n v="191"/>
    <s v="N (Jul 20)"/>
    <d v="2020-07-22T00:00:00"/>
    <n v="-1"/>
  </r>
  <r>
    <x v="608"/>
    <x v="28"/>
    <n v="19.989999999999998"/>
    <n v="19.989999999999998"/>
    <n v="19.8"/>
    <n v="19.88"/>
    <x v="2627"/>
    <n v="-0.2"/>
    <n v="311"/>
    <n v="0"/>
    <n v="5878"/>
    <x v="199"/>
    <n v="282"/>
    <s v="V (Oct 20)"/>
    <d v="2020-10-21T00:00:00"/>
    <n v="-1"/>
  </r>
  <r>
    <x v="608"/>
    <x v="33"/>
    <n v="16.75"/>
    <n v="16.8"/>
    <n v="16.600000000000001"/>
    <n v="16.62"/>
    <x v="2732"/>
    <n v="-0.2"/>
    <n v="3462"/>
    <n v="0"/>
    <n v="27301"/>
    <x v="168"/>
    <n v="128"/>
    <s v="K (May 20)"/>
    <d v="2020-05-20T00:00:00"/>
    <n v="-1"/>
  </r>
  <r>
    <x v="608"/>
    <x v="27"/>
    <n v="18.420000000000002"/>
    <n v="18.5"/>
    <n v="18.3"/>
    <n v="18.3"/>
    <x v="2651"/>
    <n v="-0.22500000000000001"/>
    <n v="113"/>
    <n v="0"/>
    <n v="2513"/>
    <x v="219"/>
    <n v="310"/>
    <s v="X (Nov 20)"/>
    <d v="2020-11-18T00:00:00"/>
    <n v="-1"/>
  </r>
  <r>
    <x v="608"/>
    <x v="32"/>
    <n v="17.100000000000001"/>
    <n v="17.100000000000001"/>
    <n v="16.95"/>
    <n v="16.95"/>
    <x v="2680"/>
    <n v="-0.15"/>
    <n v="2745"/>
    <n v="0"/>
    <n v="14749"/>
    <x v="162"/>
    <n v="156"/>
    <s v="M (Jun 20)"/>
    <d v="2020-06-17T00:00:00"/>
    <n v="-1"/>
  </r>
  <r>
    <x v="608"/>
    <x v="29"/>
    <n v="17.899999999999999"/>
    <n v="17.91"/>
    <n v="17.7"/>
    <n v="17.72"/>
    <x v="2737"/>
    <n v="-0.25"/>
    <n v="329"/>
    <n v="0"/>
    <n v="2622"/>
    <x v="16"/>
    <n v="247"/>
    <s v="U (Sep 20)"/>
    <d v="2020-09-16T00:00:00"/>
    <n v="-1"/>
  </r>
  <r>
    <x v="608"/>
    <x v="34"/>
    <n v="16.52"/>
    <n v="16.55"/>
    <n v="16.34"/>
    <n v="16.36"/>
    <x v="2701"/>
    <n v="-0.2"/>
    <n v="7101"/>
    <n v="0"/>
    <n v="37428"/>
    <x v="164"/>
    <n v="93"/>
    <s v="J (Apr 20)"/>
    <d v="2020-04-15T00:00:00"/>
    <n v="-1"/>
  </r>
  <r>
    <x v="608"/>
    <x v="30"/>
    <n v="17.46"/>
    <n v="17.489999999999998"/>
    <n v="17.350000000000001"/>
    <n v="17.350000000000001"/>
    <x v="2660"/>
    <n v="-0.15"/>
    <n v="503"/>
    <n v="0"/>
    <n v="3296"/>
    <x v="21"/>
    <n v="219"/>
    <s v="Q (Aug 20)"/>
    <d v="2020-08-19T00:00:00"/>
    <n v="-1"/>
  </r>
  <r>
    <x v="608"/>
    <x v="35"/>
    <n v="16.010000000000002"/>
    <n v="16.010000000000002"/>
    <n v="15.73"/>
    <n v="15.8"/>
    <x v="2738"/>
    <n v="-0.3"/>
    <n v="20720"/>
    <n v="0"/>
    <n v="58591"/>
    <x v="159"/>
    <n v="65"/>
    <s v="H (Mar 20)"/>
    <d v="2020-03-18T00:00:00"/>
    <n v="-1"/>
  </r>
  <r>
    <x v="609"/>
    <x v="34"/>
    <n v="16.66"/>
    <n v="16.73"/>
    <n v="16.5"/>
    <n v="16.559999999999999"/>
    <x v="2692"/>
    <n v="-0.1"/>
    <n v="7809"/>
    <n v="0"/>
    <n v="34915"/>
    <x v="167"/>
    <n v="96"/>
    <s v="J (Apr 20)"/>
    <d v="2020-04-15T00:00:00"/>
    <n v="-1"/>
  </r>
  <r>
    <x v="609"/>
    <x v="30"/>
    <n v="17.55"/>
    <n v="17.600000000000001"/>
    <n v="17.399999999999999"/>
    <n v="17.510000000000002"/>
    <x v="2656"/>
    <n v="0"/>
    <n v="179"/>
    <n v="0"/>
    <n v="3067"/>
    <x v="32"/>
    <n v="222"/>
    <s v="Q (Aug 20)"/>
    <d v="2020-08-19T00:00:00"/>
    <n v="-1"/>
  </r>
  <r>
    <x v="609"/>
    <x v="35"/>
    <n v="16.149999999999999"/>
    <n v="16.2"/>
    <n v="15.9"/>
    <n v="16.04"/>
    <x v="2665"/>
    <n v="-0.05"/>
    <n v="27138"/>
    <n v="0"/>
    <n v="54792"/>
    <x v="170"/>
    <n v="68"/>
    <s v="H (Mar 20)"/>
    <d v="2020-03-18T00:00:00"/>
    <n v="-1"/>
  </r>
  <r>
    <x v="609"/>
    <x v="31"/>
    <n v="17.420000000000002"/>
    <n v="17.5"/>
    <n v="17.32"/>
    <n v="17.38"/>
    <x v="2660"/>
    <n v="-0.05"/>
    <n v="440"/>
    <n v="0"/>
    <n v="7026"/>
    <x v="1"/>
    <n v="194"/>
    <s v="N (Jul 20)"/>
    <d v="2020-07-22T00:00:00"/>
    <n v="-1"/>
  </r>
  <r>
    <x v="609"/>
    <x v="28"/>
    <n v="19.920000000000002"/>
    <n v="20.100000000000001"/>
    <n v="19.89"/>
    <n v="20.100000000000001"/>
    <x v="2739"/>
    <n v="-2.5000000000000001E-2"/>
    <n v="330"/>
    <n v="0"/>
    <n v="5675"/>
    <x v="200"/>
    <n v="285"/>
    <s v="V (Oct 20)"/>
    <d v="2020-10-21T00:00:00"/>
    <n v="-1"/>
  </r>
  <r>
    <x v="609"/>
    <x v="33"/>
    <n v="16.86"/>
    <n v="16.95"/>
    <n v="16.7"/>
    <n v="16.8"/>
    <x v="2663"/>
    <n v="-0.05"/>
    <n v="4053"/>
    <n v="0"/>
    <n v="26291"/>
    <x v="5"/>
    <n v="131"/>
    <s v="K (May 20)"/>
    <d v="2020-05-20T00:00:00"/>
    <n v="-1"/>
  </r>
  <r>
    <x v="609"/>
    <x v="27"/>
    <n v="18.420000000000002"/>
    <n v="18.600000000000001"/>
    <n v="18.39"/>
    <n v="18.52"/>
    <x v="2740"/>
    <n v="2.5000000000000001E-2"/>
    <n v="117"/>
    <n v="0"/>
    <n v="2406"/>
    <x v="220"/>
    <n v="313"/>
    <s v="X (Nov 20)"/>
    <d v="2020-11-18T00:00:00"/>
    <n v="-1"/>
  </r>
  <r>
    <x v="609"/>
    <x v="32"/>
    <n v="17.170000000000002"/>
    <n v="17.27"/>
    <n v="17.05"/>
    <n v="17.13"/>
    <x v="2669"/>
    <n v="-0.05"/>
    <n v="1449"/>
    <n v="0"/>
    <n v="14214"/>
    <x v="172"/>
    <n v="159"/>
    <s v="M (Jun 20)"/>
    <d v="2020-06-17T00:00:00"/>
    <n v="-1"/>
  </r>
  <r>
    <x v="609"/>
    <x v="29"/>
    <n v="17.87"/>
    <n v="18.05"/>
    <n v="17.78"/>
    <n v="17.940000000000001"/>
    <x v="2714"/>
    <n v="-2.5000000000000001E-2"/>
    <n v="250"/>
    <n v="0"/>
    <n v="2215"/>
    <x v="22"/>
    <n v="250"/>
    <s v="U (Sep 20)"/>
    <d v="2020-09-16T00:00:00"/>
    <n v="-1"/>
  </r>
  <r>
    <x v="610"/>
    <x v="31"/>
    <n v="17.649999999999999"/>
    <n v="17.649999999999999"/>
    <n v="17.399999999999999"/>
    <n v="17.420000000000002"/>
    <x v="2676"/>
    <n v="-0.2"/>
    <n v="769"/>
    <n v="0"/>
    <n v="6950"/>
    <x v="13"/>
    <n v="195"/>
    <s v="N (Jul 20)"/>
    <d v="2020-07-22T00:00:00"/>
    <n v="-1"/>
  </r>
  <r>
    <x v="610"/>
    <x v="28"/>
    <n v="19.899999999999999"/>
    <n v="20.22"/>
    <n v="19.899999999999999"/>
    <n v="20.05"/>
    <x v="2652"/>
    <n v="0.1"/>
    <n v="1518"/>
    <n v="0"/>
    <n v="4606"/>
    <x v="201"/>
    <n v="286"/>
    <s v="V (Oct 20)"/>
    <d v="2020-10-21T00:00:00"/>
    <n v="-1"/>
  </r>
  <r>
    <x v="610"/>
    <x v="33"/>
    <n v="17.059999999999999"/>
    <n v="17.100000000000001"/>
    <n v="16.809999999999999"/>
    <n v="16.87"/>
    <x v="2697"/>
    <n v="-0.2"/>
    <n v="4155"/>
    <n v="0"/>
    <n v="26274"/>
    <x v="17"/>
    <n v="132"/>
    <s v="K (May 20)"/>
    <d v="2020-05-20T00:00:00"/>
    <n v="-1"/>
  </r>
  <r>
    <x v="610"/>
    <x v="27"/>
    <n v="18.739999999999998"/>
    <n v="18.739999999999998"/>
    <n v="18.5"/>
    <n v="18.5"/>
    <x v="2741"/>
    <n v="-0.05"/>
    <n v="494"/>
    <n v="0"/>
    <n v="2294"/>
    <x v="221"/>
    <n v="314"/>
    <s v="X (Nov 20)"/>
    <d v="2020-11-18T00:00:00"/>
    <n v="-1"/>
  </r>
  <r>
    <x v="610"/>
    <x v="32"/>
    <n v="17.38"/>
    <n v="17.399999999999999"/>
    <n v="17.149999999999999"/>
    <n v="17.170000000000002"/>
    <x v="2658"/>
    <n v="-0.2"/>
    <n v="1795"/>
    <n v="0"/>
    <n v="13962"/>
    <x v="0"/>
    <n v="160"/>
    <s v="M (Jun 20)"/>
    <d v="2020-06-17T00:00:00"/>
    <n v="-1"/>
  </r>
  <r>
    <x v="610"/>
    <x v="29"/>
    <n v="18.100000000000001"/>
    <n v="18.18"/>
    <n v="17.96"/>
    <n v="18"/>
    <x v="2672"/>
    <n v="-0.125"/>
    <n v="559"/>
    <n v="0"/>
    <n v="2048"/>
    <x v="33"/>
    <n v="251"/>
    <s v="U (Sep 20)"/>
    <d v="2020-09-16T00:00:00"/>
    <n v="-1"/>
  </r>
  <r>
    <x v="610"/>
    <x v="34"/>
    <n v="16.89"/>
    <n v="16.95"/>
    <n v="16.63"/>
    <n v="16.66"/>
    <x v="2674"/>
    <n v="-0.25"/>
    <n v="8297"/>
    <n v="0"/>
    <n v="33887"/>
    <x v="175"/>
    <n v="97"/>
    <s v="J (Apr 20)"/>
    <d v="2020-04-15T00:00:00"/>
    <n v="-1"/>
  </r>
  <r>
    <x v="610"/>
    <x v="30"/>
    <n v="17.739999999999998"/>
    <n v="17.75"/>
    <n v="17.52"/>
    <n v="17.55"/>
    <x v="2656"/>
    <n v="-0.22500000000000001"/>
    <n v="252"/>
    <n v="0"/>
    <n v="3024"/>
    <x v="38"/>
    <n v="223"/>
    <s v="Q (Aug 20)"/>
    <d v="2020-08-19T00:00:00"/>
    <n v="-1"/>
  </r>
  <r>
    <x v="610"/>
    <x v="35"/>
    <n v="16.43"/>
    <n v="16.45"/>
    <n v="16.100000000000001"/>
    <n v="16.14"/>
    <x v="2679"/>
    <n v="-0.3"/>
    <n v="23241"/>
    <n v="0"/>
    <n v="52957"/>
    <x v="6"/>
    <n v="69"/>
    <s v="H (Mar 20)"/>
    <d v="2020-03-18T00:00:00"/>
    <n v="-1"/>
  </r>
  <r>
    <x v="611"/>
    <x v="34"/>
    <n v="17.399999999999999"/>
    <n v="18.28"/>
    <n v="16.84"/>
    <n v="16.93"/>
    <x v="2655"/>
    <n v="-0.3"/>
    <n v="14095"/>
    <n v="0"/>
    <n v="33702"/>
    <x v="177"/>
    <n v="98"/>
    <s v="J (Apr 20)"/>
    <d v="2020-04-15T00:00:00"/>
    <n v="-1"/>
  </r>
  <r>
    <x v="611"/>
    <x v="30"/>
    <n v="18.05"/>
    <n v="18.5"/>
    <n v="17.7"/>
    <n v="17.75"/>
    <x v="2742"/>
    <n v="-0.15"/>
    <n v="2146"/>
    <n v="0"/>
    <n v="2957"/>
    <x v="50"/>
    <n v="224"/>
    <s v="Q (Aug 20)"/>
    <d v="2020-08-19T00:00:00"/>
    <n v="-1"/>
  </r>
  <r>
    <x v="611"/>
    <x v="35"/>
    <n v="17"/>
    <n v="18.100000000000001"/>
    <n v="16.32"/>
    <n v="16.45"/>
    <x v="2716"/>
    <n v="-0.4"/>
    <n v="35989"/>
    <n v="0"/>
    <n v="53752"/>
    <x v="9"/>
    <n v="70"/>
    <s v="H (Mar 20)"/>
    <d v="2020-03-18T00:00:00"/>
    <n v="-1"/>
  </r>
  <r>
    <x v="611"/>
    <x v="31"/>
    <n v="17.96"/>
    <n v="18.5"/>
    <n v="17.55"/>
    <n v="17.66"/>
    <x v="2722"/>
    <n v="-0.2"/>
    <n v="3695"/>
    <n v="0"/>
    <n v="7047"/>
    <x v="19"/>
    <n v="196"/>
    <s v="N (Jul 20)"/>
    <d v="2020-07-22T00:00:00"/>
    <n v="-1"/>
  </r>
  <r>
    <x v="611"/>
    <x v="28"/>
    <n v="20"/>
    <n v="20.25"/>
    <n v="19.8"/>
    <n v="19.95"/>
    <x v="2720"/>
    <n v="-0.05"/>
    <n v="2261"/>
    <n v="0"/>
    <n v="3389"/>
    <x v="202"/>
    <n v="287"/>
    <s v="V (Oct 20)"/>
    <d v="2020-10-21T00:00:00"/>
    <n v="-1"/>
  </r>
  <r>
    <x v="611"/>
    <x v="33"/>
    <n v="17.5"/>
    <n v="18.25"/>
    <n v="17"/>
    <n v="17.07"/>
    <x v="2687"/>
    <n v="-0.3"/>
    <n v="7279"/>
    <n v="0"/>
    <n v="26375"/>
    <x v="23"/>
    <n v="133"/>
    <s v="K (May 20)"/>
    <d v="2020-05-20T00:00:00"/>
    <n v="-1"/>
  </r>
  <r>
    <x v="611"/>
    <x v="27"/>
    <n v="19.100000000000001"/>
    <n v="19.149999999999999"/>
    <n v="18.600000000000001"/>
    <n v="18.61"/>
    <x v="2743"/>
    <n v="-0.27500000000000002"/>
    <n v="1120"/>
    <n v="0"/>
    <n v="1863"/>
    <x v="222"/>
    <n v="315"/>
    <s v="X (Nov 20)"/>
    <d v="2020-11-18T00:00:00"/>
    <n v="-1"/>
  </r>
  <r>
    <x v="611"/>
    <x v="32"/>
    <n v="17.75"/>
    <n v="18.399999999999999"/>
    <n v="17.32"/>
    <n v="17.399999999999999"/>
    <x v="2660"/>
    <n v="-0.25"/>
    <n v="5147"/>
    <n v="0"/>
    <n v="14100"/>
    <x v="12"/>
    <n v="161"/>
    <s v="M (Jun 20)"/>
    <d v="2020-06-17T00:00:00"/>
    <n v="-1"/>
  </r>
  <r>
    <x v="611"/>
    <x v="29"/>
    <n v="18.350000000000001"/>
    <n v="18.7"/>
    <n v="18.05"/>
    <n v="18.149999999999999"/>
    <x v="2733"/>
    <n v="-0.15"/>
    <n v="1133"/>
    <n v="0"/>
    <n v="1603"/>
    <x v="39"/>
    <n v="252"/>
    <s v="U (Sep 20)"/>
    <d v="2020-09-16T00:00:00"/>
    <n v="-1"/>
  </r>
  <r>
    <x v="612"/>
    <x v="31"/>
    <n v="17.97"/>
    <n v="18.05"/>
    <n v="17.75"/>
    <n v="17.920000000000002"/>
    <x v="2704"/>
    <n v="-0.15"/>
    <n v="1940"/>
    <n v="0"/>
    <n v="6505"/>
    <x v="30"/>
    <n v="197"/>
    <s v="N (Jul 20)"/>
    <d v="2020-07-22T00:00:00"/>
    <n v="-1"/>
  </r>
  <r>
    <x v="612"/>
    <x v="28"/>
    <n v="19.850000000000001"/>
    <n v="20.02"/>
    <n v="19.850000000000001"/>
    <n v="20"/>
    <x v="2744"/>
    <n v="2.5000000000000001E-2"/>
    <n v="68"/>
    <n v="0"/>
    <n v="1226"/>
    <x v="203"/>
    <n v="288"/>
    <s v="V (Oct 20)"/>
    <d v="2020-10-21T00:00:00"/>
    <n v="-1"/>
  </r>
  <r>
    <x v="612"/>
    <x v="33"/>
    <n v="17.47"/>
    <n v="17.559999999999999"/>
    <n v="17.3"/>
    <n v="17.46"/>
    <x v="2660"/>
    <n v="-0.05"/>
    <n v="3933"/>
    <n v="0"/>
    <n v="26091"/>
    <x v="34"/>
    <n v="134"/>
    <s v="K (May 20)"/>
    <d v="2020-05-20T00:00:00"/>
    <n v="-1"/>
  </r>
  <r>
    <x v="612"/>
    <x v="27"/>
    <n v="18.82"/>
    <n v="18.87"/>
    <n v="18.649999999999999"/>
    <n v="18.86"/>
    <x v="2745"/>
    <n v="0.15"/>
    <n v="23"/>
    <n v="0"/>
    <n v="792"/>
    <x v="223"/>
    <n v="316"/>
    <s v="X (Nov 20)"/>
    <d v="2020-11-18T00:00:00"/>
    <n v="-1"/>
  </r>
  <r>
    <x v="612"/>
    <x v="32"/>
    <n v="17.75"/>
    <n v="17.850000000000001"/>
    <n v="17.57"/>
    <n v="17.75"/>
    <x v="2722"/>
    <n v="-0.1"/>
    <n v="2405"/>
    <n v="0"/>
    <n v="13732"/>
    <x v="18"/>
    <n v="162"/>
    <s v="M (Jun 20)"/>
    <d v="2020-06-17T00:00:00"/>
    <n v="-1"/>
  </r>
  <r>
    <x v="612"/>
    <x v="29"/>
    <n v="18.37"/>
    <n v="18.37"/>
    <n v="18.190000000000001"/>
    <n v="18.2"/>
    <x v="2746"/>
    <n v="-0.05"/>
    <n v="38"/>
    <n v="0"/>
    <n v="560"/>
    <x v="51"/>
    <n v="253"/>
    <s v="U (Sep 20)"/>
    <d v="2020-09-16T00:00:00"/>
    <n v="-1"/>
  </r>
  <r>
    <x v="612"/>
    <x v="34"/>
    <n v="17.350000000000001"/>
    <n v="17.45"/>
    <n v="17.149999999999999"/>
    <n v="17.36"/>
    <x v="2667"/>
    <n v="-0.05"/>
    <n v="5298"/>
    <n v="0"/>
    <n v="32144"/>
    <x v="181"/>
    <n v="99"/>
    <s v="J (Apr 20)"/>
    <d v="2020-04-15T00:00:00"/>
    <n v="-1"/>
  </r>
  <r>
    <x v="612"/>
    <x v="30"/>
    <n v="18.07"/>
    <n v="18.149999999999999"/>
    <n v="17.829999999999998"/>
    <n v="18"/>
    <x v="2686"/>
    <n v="-0.17499999999999999"/>
    <n v="665"/>
    <n v="0"/>
    <n v="2650"/>
    <x v="56"/>
    <n v="225"/>
    <s v="Q (Aug 20)"/>
    <d v="2020-08-19T00:00:00"/>
    <n v="-1"/>
  </r>
  <r>
    <x v="612"/>
    <x v="35"/>
    <n v="16.899999999999999"/>
    <n v="17.03"/>
    <n v="16.7"/>
    <n v="16.95"/>
    <x v="2663"/>
    <n v="-0.05"/>
    <n v="18365"/>
    <n v="0"/>
    <n v="53318"/>
    <x v="24"/>
    <n v="71"/>
    <s v="H (Mar 20)"/>
    <d v="2020-03-18T00:00:00"/>
    <n v="-1"/>
  </r>
  <r>
    <x v="613"/>
    <x v="34"/>
    <n v="17.45"/>
    <n v="17.7"/>
    <n v="17.2"/>
    <n v="17.350000000000001"/>
    <x v="2677"/>
    <n v="-0.05"/>
    <n v="6795"/>
    <n v="0"/>
    <n v="32043"/>
    <x v="183"/>
    <n v="100"/>
    <s v="J (Apr 20)"/>
    <d v="2020-04-15T00:00:00"/>
    <n v="-1"/>
  </r>
  <r>
    <x v="613"/>
    <x v="30"/>
    <n v="18.149999999999999"/>
    <n v="18.350000000000001"/>
    <n v="18.03"/>
    <n v="18.05"/>
    <x v="2721"/>
    <n v="0"/>
    <n v="341"/>
    <n v="0"/>
    <n v="2269"/>
    <x v="68"/>
    <n v="226"/>
    <s v="Q (Aug 20)"/>
    <d v="2020-08-19T00:00:00"/>
    <n v="-1"/>
  </r>
  <r>
    <x v="613"/>
    <x v="35"/>
    <n v="17.05"/>
    <n v="17.329999999999998"/>
    <n v="16.760000000000002"/>
    <n v="16.899999999999999"/>
    <x v="2697"/>
    <n v="0"/>
    <n v="22026"/>
    <n v="0"/>
    <n v="53321"/>
    <x v="27"/>
    <n v="72"/>
    <s v="H (Mar 20)"/>
    <d v="2020-03-18T00:00:00"/>
    <n v="-1"/>
  </r>
  <r>
    <x v="613"/>
    <x v="31"/>
    <n v="18.100000000000001"/>
    <n v="18.260000000000002"/>
    <n v="17.899999999999999"/>
    <n v="17.97"/>
    <x v="2672"/>
    <n v="-0.05"/>
    <n v="823"/>
    <n v="0"/>
    <n v="6217"/>
    <x v="36"/>
    <n v="198"/>
    <s v="N (Jul 20)"/>
    <d v="2020-07-22T00:00:00"/>
    <n v="-1"/>
  </r>
  <r>
    <x v="613"/>
    <x v="28"/>
    <n v="19.920000000000002"/>
    <n v="20.03"/>
    <n v="19.920000000000002"/>
    <n v="20"/>
    <x v="2718"/>
    <n v="7.4999999999999997E-2"/>
    <n v="69"/>
    <n v="0"/>
    <n v="1196"/>
    <x v="204"/>
    <n v="289"/>
    <s v="V (Oct 20)"/>
    <d v="2020-10-21T00:00:00"/>
    <n v="-1"/>
  </r>
  <r>
    <x v="613"/>
    <x v="33"/>
    <n v="17.600000000000001"/>
    <n v="17.82"/>
    <n v="17.350000000000001"/>
    <n v="17.47"/>
    <x v="2676"/>
    <n v="-0.05"/>
    <n v="5180"/>
    <n v="0"/>
    <n v="25200"/>
    <x v="40"/>
    <n v="135"/>
    <s v="K (May 20)"/>
    <d v="2020-05-20T00:00:00"/>
    <n v="-1"/>
  </r>
  <r>
    <x v="613"/>
    <x v="27"/>
    <n v="19"/>
    <n v="19"/>
    <n v="18.7"/>
    <n v="18.7"/>
    <x v="2747"/>
    <n v="-7.4999999999999997E-2"/>
    <n v="44"/>
    <n v="0"/>
    <n v="775"/>
    <x v="224"/>
    <n v="317"/>
    <s v="X (Nov 20)"/>
    <d v="2020-11-18T00:00:00"/>
    <n v="-1"/>
  </r>
  <r>
    <x v="613"/>
    <x v="32"/>
    <n v="17.899999999999999"/>
    <n v="18.05"/>
    <n v="17.68"/>
    <n v="17.75"/>
    <x v="2709"/>
    <n v="-0.05"/>
    <n v="2006"/>
    <n v="0"/>
    <n v="13750"/>
    <x v="35"/>
    <n v="163"/>
    <s v="M (Jun 20)"/>
    <d v="2020-06-17T00:00:00"/>
    <n v="-1"/>
  </r>
  <r>
    <x v="613"/>
    <x v="29"/>
    <n v="18.45"/>
    <n v="18.55"/>
    <n v="18.25"/>
    <n v="18.260000000000002"/>
    <x v="2748"/>
    <n v="-7.4999999999999997E-2"/>
    <n v="65"/>
    <n v="0"/>
    <n v="565"/>
    <x v="57"/>
    <n v="254"/>
    <s v="U (Sep 20)"/>
    <d v="2020-09-16T00:00:00"/>
    <n v="-1"/>
  </r>
  <r>
    <x v="614"/>
    <x v="31"/>
    <n v="17.75"/>
    <n v="18.27"/>
    <n v="17.7"/>
    <n v="18"/>
    <x v="2749"/>
    <n v="0.3"/>
    <n v="1455"/>
    <n v="0"/>
    <n v="6187"/>
    <x v="48"/>
    <n v="201"/>
    <s v="N (Jul 20)"/>
    <d v="2020-07-22T00:00:00"/>
    <n v="-1"/>
  </r>
  <r>
    <x v="614"/>
    <x v="28"/>
    <n v="19.95"/>
    <n v="19.96"/>
    <n v="19.8"/>
    <n v="19.899999999999999"/>
    <x v="2707"/>
    <n v="7.4999999999999997E-2"/>
    <n v="41"/>
    <n v="0"/>
    <n v="1153"/>
    <x v="205"/>
    <n v="292"/>
    <s v="V (Oct 20)"/>
    <d v="2020-10-21T00:00:00"/>
    <n v="-1"/>
  </r>
  <r>
    <x v="614"/>
    <x v="33"/>
    <n v="17.170000000000002"/>
    <n v="17.850000000000001"/>
    <n v="17.149999999999999"/>
    <n v="17.5"/>
    <x v="2711"/>
    <n v="0.3"/>
    <n v="7979"/>
    <n v="0"/>
    <n v="24391"/>
    <x v="52"/>
    <n v="138"/>
    <s v="K (May 20)"/>
    <d v="2020-05-20T00:00:00"/>
    <n v="-1"/>
  </r>
  <r>
    <x v="614"/>
    <x v="27"/>
    <n v="18.850000000000001"/>
    <n v="18.850000000000001"/>
    <n v="18.77"/>
    <n v="18.84"/>
    <x v="2750"/>
    <n v="0.1"/>
    <n v="8"/>
    <n v="0"/>
    <n v="748"/>
    <x v="225"/>
    <n v="320"/>
    <s v="X (Nov 20)"/>
    <d v="2020-11-18T00:00:00"/>
    <n v="-1"/>
  </r>
  <r>
    <x v="614"/>
    <x v="32"/>
    <n v="17.43"/>
    <n v="18.100000000000001"/>
    <n v="17.43"/>
    <n v="17.77"/>
    <x v="2661"/>
    <n v="0.3"/>
    <n v="5413"/>
    <n v="0"/>
    <n v="13259"/>
    <x v="41"/>
    <n v="166"/>
    <s v="M (Jun 20)"/>
    <d v="2020-06-17T00:00:00"/>
    <n v="-1"/>
  </r>
  <r>
    <x v="614"/>
    <x v="29"/>
    <n v="18.399999999999999"/>
    <n v="18.559999999999999"/>
    <n v="18.309999999999999"/>
    <n v="18.37"/>
    <x v="2645"/>
    <n v="0.15"/>
    <n v="63"/>
    <n v="0"/>
    <n v="550"/>
    <x v="69"/>
    <n v="257"/>
    <s v="U (Sep 20)"/>
    <d v="2020-09-16T00:00:00"/>
    <n v="-1"/>
  </r>
  <r>
    <x v="614"/>
    <x v="34"/>
    <n v="17.02"/>
    <n v="17.78"/>
    <n v="17"/>
    <n v="17.32"/>
    <x v="2653"/>
    <n v="0.3"/>
    <n v="14285"/>
    <n v="0"/>
    <n v="31124"/>
    <x v="7"/>
    <n v="103"/>
    <s v="J (Apr 20)"/>
    <d v="2020-04-15T00:00:00"/>
    <n v="-1"/>
  </r>
  <r>
    <x v="614"/>
    <x v="30"/>
    <n v="17.850000000000001"/>
    <n v="18.350000000000001"/>
    <n v="17.850000000000001"/>
    <n v="18.079999999999998"/>
    <x v="2721"/>
    <n v="0.25"/>
    <n v="339"/>
    <n v="0"/>
    <n v="2271"/>
    <x v="74"/>
    <n v="229"/>
    <s v="Q (Aug 20)"/>
    <d v="2020-08-19T00:00:00"/>
    <n v="-1"/>
  </r>
  <r>
    <x v="614"/>
    <x v="35"/>
    <n v="16.489999999999998"/>
    <n v="17.41"/>
    <n v="16.45"/>
    <n v="16.87"/>
    <x v="2697"/>
    <n v="0.35"/>
    <n v="34879"/>
    <n v="0"/>
    <n v="54147"/>
    <x v="42"/>
    <n v="75"/>
    <s v="H (Mar 20)"/>
    <d v="2020-03-18T00:00:00"/>
    <n v="-1"/>
  </r>
  <r>
    <x v="615"/>
    <x v="34"/>
    <n v="17.45"/>
    <n v="17.45"/>
    <n v="16.899999999999999"/>
    <n v="17.02"/>
    <x v="2675"/>
    <n v="-0.4"/>
    <n v="11064"/>
    <n v="0"/>
    <n v="30907"/>
    <x v="10"/>
    <n v="104"/>
    <s v="J (Apr 20)"/>
    <d v="2020-04-15T00:00:00"/>
    <n v="-1"/>
  </r>
  <r>
    <x v="615"/>
    <x v="30"/>
    <n v="18.149999999999999"/>
    <n v="18.149999999999999"/>
    <n v="17.739999999999998"/>
    <n v="17.79"/>
    <x v="2704"/>
    <n v="-0.35"/>
    <n v="412"/>
    <n v="0"/>
    <n v="2263"/>
    <x v="86"/>
    <n v="230"/>
    <s v="Q (Aug 20)"/>
    <d v="2020-08-19T00:00:00"/>
    <n v="-1"/>
  </r>
  <r>
    <x v="615"/>
    <x v="35"/>
    <n v="16.95"/>
    <n v="17"/>
    <n v="16.36"/>
    <n v="16.5"/>
    <x v="2671"/>
    <n v="-0.4"/>
    <n v="32614"/>
    <n v="0"/>
    <n v="50689"/>
    <x v="45"/>
    <n v="76"/>
    <s v="H (Mar 20)"/>
    <d v="2020-03-18T00:00:00"/>
    <n v="-1"/>
  </r>
  <r>
    <x v="615"/>
    <x v="31"/>
    <n v="18.02"/>
    <n v="18.100000000000001"/>
    <n v="17.62"/>
    <n v="17.68"/>
    <x v="2709"/>
    <n v="-0.4"/>
    <n v="1035"/>
    <n v="0"/>
    <n v="5930"/>
    <x v="54"/>
    <n v="202"/>
    <s v="N (Jul 20)"/>
    <d v="2020-07-22T00:00:00"/>
    <n v="-1"/>
  </r>
  <r>
    <x v="615"/>
    <x v="28"/>
    <n v="19.809999999999999"/>
    <n v="19.850000000000001"/>
    <n v="19.7"/>
    <n v="19.8"/>
    <x v="2627"/>
    <n v="0.1"/>
    <n v="242"/>
    <n v="0"/>
    <n v="1140"/>
    <x v="206"/>
    <n v="293"/>
    <s v="V (Oct 20)"/>
    <d v="2020-10-21T00:00:00"/>
    <n v="-1"/>
  </r>
  <r>
    <x v="615"/>
    <x v="33"/>
    <n v="17.55"/>
    <n v="17.600000000000001"/>
    <n v="17.05"/>
    <n v="17.149999999999999"/>
    <x v="2658"/>
    <n v="-0.4"/>
    <n v="9126"/>
    <n v="0"/>
    <n v="23437"/>
    <x v="58"/>
    <n v="139"/>
    <s v="K (May 20)"/>
    <d v="2020-05-20T00:00:00"/>
    <n v="-1"/>
  </r>
  <r>
    <x v="615"/>
    <x v="27"/>
    <n v="18.96"/>
    <n v="18.96"/>
    <n v="18.649999999999999"/>
    <n v="18.649999999999999"/>
    <x v="2751"/>
    <n v="-0.125"/>
    <n v="82"/>
    <n v="0"/>
    <n v="745"/>
    <x v="226"/>
    <n v="321"/>
    <s v="X (Nov 20)"/>
    <d v="2020-11-18T00:00:00"/>
    <n v="-1"/>
  </r>
  <r>
    <x v="615"/>
    <x v="32"/>
    <n v="17.809999999999999"/>
    <n v="17.899999999999999"/>
    <n v="17.36"/>
    <n v="17.43"/>
    <x v="2711"/>
    <n v="-0.4"/>
    <n v="4012"/>
    <n v="0"/>
    <n v="11670"/>
    <x v="53"/>
    <n v="167"/>
    <s v="M (Jun 20)"/>
    <d v="2020-06-17T00:00:00"/>
    <n v="-1"/>
  </r>
  <r>
    <x v="615"/>
    <x v="29"/>
    <n v="18.37"/>
    <n v="18.440000000000001"/>
    <n v="18.170000000000002"/>
    <n v="18.2"/>
    <x v="2752"/>
    <n v="-0.27500000000000002"/>
    <n v="155"/>
    <n v="0"/>
    <n v="524"/>
    <x v="75"/>
    <n v="258"/>
    <s v="U (Sep 20)"/>
    <d v="2020-09-16T00:00:00"/>
    <n v="-1"/>
  </r>
  <r>
    <x v="616"/>
    <x v="31"/>
    <n v="18.47"/>
    <n v="18.55"/>
    <n v="18.100000000000001"/>
    <n v="18.100000000000001"/>
    <x v="2664"/>
    <n v="-0.35"/>
    <n v="594"/>
    <n v="0"/>
    <n v="5826"/>
    <x v="66"/>
    <n v="204"/>
    <s v="N (Jul 20)"/>
    <d v="2020-07-22T00:00:00"/>
    <n v="-1"/>
  </r>
  <r>
    <x v="616"/>
    <x v="28"/>
    <n v="19.850000000000001"/>
    <n v="20"/>
    <n v="19.75"/>
    <n v="19.760000000000002"/>
    <x v="2643"/>
    <n v="-0.125"/>
    <n v="84"/>
    <n v="0"/>
    <n v="995"/>
    <x v="207"/>
    <n v="295"/>
    <s v="V (Oct 20)"/>
    <d v="2020-10-21T00:00:00"/>
    <n v="-1"/>
  </r>
  <r>
    <x v="616"/>
    <x v="33"/>
    <n v="18.02"/>
    <n v="18.100000000000001"/>
    <n v="17.559999999999999"/>
    <n v="17.57"/>
    <x v="2654"/>
    <n v="-0.45"/>
    <n v="3060"/>
    <n v="0"/>
    <n v="21107"/>
    <x v="70"/>
    <n v="141"/>
    <s v="K (May 20)"/>
    <d v="2020-05-20T00:00:00"/>
    <n v="-1"/>
  </r>
  <r>
    <x v="616"/>
    <x v="27"/>
    <n v="18.89"/>
    <n v="19.100000000000001"/>
    <n v="18.8"/>
    <n v="18.8"/>
    <x v="2753"/>
    <n v="-0.15"/>
    <n v="131"/>
    <n v="0"/>
    <n v="682"/>
    <x v="227"/>
    <n v="323"/>
    <s v="X (Nov 20)"/>
    <d v="2020-11-18T00:00:00"/>
    <n v="-1"/>
  </r>
  <r>
    <x v="616"/>
    <x v="32"/>
    <n v="18.3"/>
    <n v="18.37"/>
    <n v="17.86"/>
    <n v="17.89"/>
    <x v="2719"/>
    <n v="-0.45"/>
    <n v="2343"/>
    <n v="0"/>
    <n v="11325"/>
    <x v="59"/>
    <n v="169"/>
    <s v="M (Jun 20)"/>
    <d v="2020-06-17T00:00:00"/>
    <n v="-1"/>
  </r>
  <r>
    <x v="616"/>
    <x v="29"/>
    <n v="18.61"/>
    <n v="18.8"/>
    <n v="18.48"/>
    <n v="18.489999999999998"/>
    <x v="2754"/>
    <n v="-0.15"/>
    <n v="117"/>
    <n v="0"/>
    <n v="467"/>
    <x v="87"/>
    <n v="260"/>
    <s v="U (Sep 20)"/>
    <d v="2020-09-16T00:00:00"/>
    <n v="-1"/>
  </r>
  <r>
    <x v="616"/>
    <x v="34"/>
    <n v="17.87"/>
    <n v="17.97"/>
    <n v="17.399999999999999"/>
    <n v="17.43"/>
    <x v="2676"/>
    <n v="-0.47499999999999998"/>
    <n v="7028"/>
    <n v="0"/>
    <n v="28088"/>
    <x v="25"/>
    <n v="106"/>
    <s v="J (Apr 20)"/>
    <d v="2020-04-15T00:00:00"/>
    <n v="-1"/>
  </r>
  <r>
    <x v="616"/>
    <x v="30"/>
    <n v="18.5"/>
    <n v="18.61"/>
    <n v="18.18"/>
    <n v="18.18"/>
    <x v="2736"/>
    <n v="-0.35"/>
    <n v="200"/>
    <n v="0"/>
    <n v="2326"/>
    <x v="92"/>
    <n v="232"/>
    <s v="Q (Aug 20)"/>
    <d v="2020-08-19T00:00:00"/>
    <n v="-1"/>
  </r>
  <r>
    <x v="616"/>
    <x v="35"/>
    <n v="17.45"/>
    <n v="17.62"/>
    <n v="16.899999999999999"/>
    <n v="16.91"/>
    <x v="2655"/>
    <n v="-0.6"/>
    <n v="14096"/>
    <n v="0"/>
    <n v="47402"/>
    <x v="60"/>
    <n v="78"/>
    <s v="H (Mar 20)"/>
    <d v="2020-03-18T00:00:00"/>
    <n v="-1"/>
  </r>
  <r>
    <x v="617"/>
    <x v="34"/>
    <n v="17.55"/>
    <n v="17.95"/>
    <n v="17.489999999999998"/>
    <n v="17.850000000000001"/>
    <x v="2686"/>
    <n v="0.27500000000000002"/>
    <n v="6493"/>
    <n v="0"/>
    <n v="28058"/>
    <x v="28"/>
    <n v="107"/>
    <s v="J (Apr 20)"/>
    <d v="2020-04-15T00:00:00"/>
    <n v="-1"/>
  </r>
  <r>
    <x v="617"/>
    <x v="30"/>
    <n v="18.27"/>
    <n v="18.55"/>
    <n v="18.22"/>
    <n v="18.52"/>
    <x v="2741"/>
    <n v="0.25"/>
    <n v="417"/>
    <n v="0"/>
    <n v="2322"/>
    <x v="104"/>
    <n v="233"/>
    <s v="Q (Aug 20)"/>
    <d v="2020-08-19T00:00:00"/>
    <n v="-1"/>
  </r>
  <r>
    <x v="617"/>
    <x v="35"/>
    <n v="17.100000000000001"/>
    <n v="17.55"/>
    <n v="17"/>
    <n v="17.45"/>
    <x v="2656"/>
    <n v="0.35"/>
    <n v="12943"/>
    <n v="0"/>
    <n v="47327"/>
    <x v="63"/>
    <n v="79"/>
    <s v="H (Mar 20)"/>
    <d v="2020-03-18T00:00:00"/>
    <n v="-1"/>
  </r>
  <r>
    <x v="617"/>
    <x v="31"/>
    <n v="18.16"/>
    <n v="18.52"/>
    <n v="18.149999999999999"/>
    <n v="18.46"/>
    <x v="2659"/>
    <n v="0.25"/>
    <n v="1031"/>
    <n v="0"/>
    <n v="5868"/>
    <x v="72"/>
    <n v="205"/>
    <s v="N (Jul 20)"/>
    <d v="2020-07-22T00:00:00"/>
    <n v="-1"/>
  </r>
  <r>
    <x v="617"/>
    <x v="28"/>
    <n v="19.68"/>
    <n v="19.95"/>
    <n v="19.579999999999998"/>
    <n v="19.95"/>
    <x v="2670"/>
    <n v="-0.05"/>
    <n v="202"/>
    <n v="0"/>
    <n v="949"/>
    <x v="208"/>
    <n v="296"/>
    <s v="V (Oct 20)"/>
    <d v="2020-10-21T00:00:00"/>
    <n v="-1"/>
  </r>
  <r>
    <x v="617"/>
    <x v="33"/>
    <n v="17.75"/>
    <n v="18.07"/>
    <n v="17.649999999999999"/>
    <n v="18"/>
    <x v="2749"/>
    <n v="0.25"/>
    <n v="3692"/>
    <n v="0"/>
    <n v="21094"/>
    <x v="76"/>
    <n v="142"/>
    <s v="K (May 20)"/>
    <d v="2020-05-20T00:00:00"/>
    <n v="-1"/>
  </r>
  <r>
    <x v="617"/>
    <x v="27"/>
    <n v="18.8"/>
    <n v="19"/>
    <n v="18.71"/>
    <n v="18.95"/>
    <x v="2755"/>
    <n v="0.2"/>
    <n v="254"/>
    <n v="0"/>
    <n v="638"/>
    <x v="228"/>
    <n v="324"/>
    <s v="X (Nov 20)"/>
    <d v="2020-11-18T00:00:00"/>
    <n v="-1"/>
  </r>
  <r>
    <x v="617"/>
    <x v="32"/>
    <n v="17.97"/>
    <n v="18.329999999999998"/>
    <n v="17.899999999999999"/>
    <n v="18.3"/>
    <x v="2651"/>
    <n v="0.3"/>
    <n v="1627"/>
    <n v="0"/>
    <n v="10981"/>
    <x v="71"/>
    <n v="170"/>
    <s v="M (Jun 20)"/>
    <d v="2020-06-17T00:00:00"/>
    <n v="-1"/>
  </r>
  <r>
    <x v="617"/>
    <x v="29"/>
    <n v="18.5"/>
    <n v="18.75"/>
    <n v="18.41"/>
    <n v="18.72"/>
    <x v="2756"/>
    <n v="0.1"/>
    <n v="286"/>
    <n v="0"/>
    <n v="422"/>
    <x v="93"/>
    <n v="261"/>
    <s v="U (Sep 20)"/>
    <d v="2020-09-16T00:00:00"/>
    <n v="-1"/>
  </r>
  <r>
    <x v="618"/>
    <x v="31"/>
    <n v="18"/>
    <n v="18.3"/>
    <n v="17.97"/>
    <n v="18.2"/>
    <x v="2752"/>
    <n v="0.25"/>
    <n v="1485"/>
    <n v="0"/>
    <n v="5610"/>
    <x v="84"/>
    <n v="208"/>
    <s v="N (Jul 20)"/>
    <d v="2020-07-22T00:00:00"/>
    <n v="-1"/>
  </r>
  <r>
    <x v="618"/>
    <x v="28"/>
    <n v="19.52"/>
    <n v="19.649999999999999"/>
    <n v="19.45"/>
    <n v="19.649999999999999"/>
    <x v="2707"/>
    <n v="0.35"/>
    <n v="40"/>
    <n v="0"/>
    <n v="839"/>
    <x v="209"/>
    <n v="299"/>
    <s v="V (Oct 20)"/>
    <d v="2020-10-21T00:00:00"/>
    <n v="-1"/>
  </r>
  <r>
    <x v="618"/>
    <x v="33"/>
    <n v="17.45"/>
    <n v="17.850000000000001"/>
    <n v="17.350000000000001"/>
    <n v="17.75"/>
    <x v="2661"/>
    <n v="0.4"/>
    <n v="6182"/>
    <n v="0"/>
    <n v="21143"/>
    <x v="88"/>
    <n v="145"/>
    <s v="K (May 20)"/>
    <d v="2020-05-20T00:00:00"/>
    <n v="-1"/>
  </r>
  <r>
    <x v="618"/>
    <x v="27"/>
    <n v="18.760000000000002"/>
    <n v="18.850000000000001"/>
    <n v="18.7"/>
    <n v="18.850000000000001"/>
    <x v="2757"/>
    <n v="0.05"/>
    <n v="37"/>
    <n v="0"/>
    <n v="488"/>
    <x v="229"/>
    <n v="327"/>
    <s v="X (Nov 20)"/>
    <d v="2020-11-18T00:00:00"/>
    <n v="-1"/>
  </r>
  <r>
    <x v="618"/>
    <x v="32"/>
    <n v="17.75"/>
    <n v="18.100000000000001"/>
    <n v="17.66"/>
    <n v="18"/>
    <x v="2749"/>
    <n v="0.35"/>
    <n v="4627"/>
    <n v="0"/>
    <n v="10547"/>
    <x v="77"/>
    <n v="173"/>
    <s v="M (Jun 20)"/>
    <d v="2020-06-17T00:00:00"/>
    <n v="-1"/>
  </r>
  <r>
    <x v="618"/>
    <x v="29"/>
    <n v="18.39"/>
    <n v="18.600000000000001"/>
    <n v="18.39"/>
    <n v="18.600000000000001"/>
    <x v="2740"/>
    <n v="0.15"/>
    <n v="65"/>
    <n v="0"/>
    <n v="301"/>
    <x v="105"/>
    <n v="264"/>
    <s v="U (Sep 20)"/>
    <d v="2020-09-16T00:00:00"/>
    <n v="-1"/>
  </r>
  <r>
    <x v="618"/>
    <x v="34"/>
    <n v="17.329999999999998"/>
    <n v="17.670000000000002"/>
    <n v="17.22"/>
    <n v="17.559999999999999"/>
    <x v="2722"/>
    <n v="0.4"/>
    <n v="6946"/>
    <n v="0"/>
    <n v="28982"/>
    <x v="43"/>
    <n v="110"/>
    <s v="J (Apr 20)"/>
    <d v="2020-04-15T00:00:00"/>
    <n v="-1"/>
  </r>
  <r>
    <x v="618"/>
    <x v="30"/>
    <n v="18.149999999999999"/>
    <n v="18.329999999999998"/>
    <n v="18.05"/>
    <n v="18.25"/>
    <x v="2758"/>
    <n v="0.22500000000000001"/>
    <n v="534"/>
    <n v="0"/>
    <n v="2228"/>
    <x v="110"/>
    <n v="236"/>
    <s v="Q (Aug 20)"/>
    <d v="2020-08-19T00:00:00"/>
    <n v="-1"/>
  </r>
  <r>
    <x v="618"/>
    <x v="35"/>
    <n v="16.850000000000001"/>
    <n v="17.23"/>
    <n v="16.7"/>
    <n v="17.13"/>
    <x v="2658"/>
    <n v="0.4"/>
    <n v="13554"/>
    <n v="0"/>
    <n v="46500"/>
    <x v="78"/>
    <n v="82"/>
    <s v="H (Mar 20)"/>
    <d v="2020-03-18T00:00:00"/>
    <n v="-1"/>
  </r>
  <r>
    <x v="619"/>
    <x v="34"/>
    <n v="17.25"/>
    <n v="17.350000000000001"/>
    <n v="17.149999999999999"/>
    <n v="17.29"/>
    <x v="2667"/>
    <n v="0"/>
    <n v="3730"/>
    <n v="0"/>
    <n v="29113"/>
    <x v="46"/>
    <n v="111"/>
    <s v="J (Apr 20)"/>
    <d v="2020-04-15T00:00:00"/>
    <n v="-1"/>
  </r>
  <r>
    <x v="619"/>
    <x v="30"/>
    <n v="18.100000000000001"/>
    <n v="18.149999999999999"/>
    <n v="18.02"/>
    <n v="18.05"/>
    <x v="2759"/>
    <n v="-0.1"/>
    <n v="361"/>
    <n v="0"/>
    <n v="2052"/>
    <x v="122"/>
    <n v="237"/>
    <s v="Q (Aug 20)"/>
    <d v="2020-08-19T00:00:00"/>
    <n v="-1"/>
  </r>
  <r>
    <x v="619"/>
    <x v="35"/>
    <n v="16.8"/>
    <n v="16.850000000000001"/>
    <n v="16.670000000000002"/>
    <n v="16.82"/>
    <x v="2705"/>
    <n v="0.05"/>
    <n v="7103"/>
    <n v="0"/>
    <n v="44888"/>
    <x v="81"/>
    <n v="83"/>
    <s v="H (Mar 20)"/>
    <d v="2020-03-18T00:00:00"/>
    <n v="-1"/>
  </r>
  <r>
    <x v="619"/>
    <x v="31"/>
    <n v="18.03"/>
    <n v="18.03"/>
    <n v="17.91"/>
    <n v="17.97"/>
    <x v="2672"/>
    <n v="-0.05"/>
    <n v="899"/>
    <n v="0"/>
    <n v="5309"/>
    <x v="90"/>
    <n v="209"/>
    <s v="N (Jul 20)"/>
    <d v="2020-07-22T00:00:00"/>
    <n v="-1"/>
  </r>
  <r>
    <x v="619"/>
    <x v="28"/>
    <n v="19.55"/>
    <n v="19.649999999999999"/>
    <n v="19.5"/>
    <n v="19.55"/>
    <x v="2642"/>
    <n v="-2.5000000000000001E-2"/>
    <n v="143"/>
    <n v="0"/>
    <n v="812"/>
    <x v="210"/>
    <n v="300"/>
    <s v="V (Oct 20)"/>
    <d v="2020-10-21T00:00:00"/>
    <n v="-1"/>
  </r>
  <r>
    <x v="619"/>
    <x v="33"/>
    <n v="17.45"/>
    <n v="17.45"/>
    <n v="17.3"/>
    <n v="17.420000000000002"/>
    <x v="2660"/>
    <n v="0"/>
    <n v="3270"/>
    <n v="0"/>
    <n v="19840"/>
    <x v="94"/>
    <n v="146"/>
    <s v="K (May 20)"/>
    <d v="2020-05-20T00:00:00"/>
    <n v="-1"/>
  </r>
  <r>
    <x v="619"/>
    <x v="27"/>
    <n v="18.829999999999998"/>
    <n v="18.88"/>
    <n v="18.71"/>
    <n v="18.75"/>
    <x v="2747"/>
    <n v="-2.5000000000000001E-2"/>
    <n v="121"/>
    <n v="0"/>
    <n v="465"/>
    <x v="230"/>
    <n v="328"/>
    <s v="X (Nov 20)"/>
    <d v="2020-11-18T00:00:00"/>
    <n v="-1"/>
  </r>
  <r>
    <x v="619"/>
    <x v="32"/>
    <n v="17.739999999999998"/>
    <n v="17.75"/>
    <n v="17.62"/>
    <n v="17.73"/>
    <x v="2717"/>
    <n v="-0.05"/>
    <n v="1784"/>
    <n v="0"/>
    <n v="11161"/>
    <x v="89"/>
    <n v="174"/>
    <s v="M (Jun 20)"/>
    <d v="2020-06-17T00:00:00"/>
    <n v="-1"/>
  </r>
  <r>
    <x v="619"/>
    <x v="29"/>
    <n v="18.55"/>
    <n v="18.55"/>
    <n v="18.399999999999999"/>
    <n v="18.41"/>
    <x v="2760"/>
    <n v="-7.4999999999999997E-2"/>
    <n v="48"/>
    <n v="0"/>
    <n v="267"/>
    <x v="111"/>
    <n v="265"/>
    <s v="U (Sep 20)"/>
    <d v="2020-09-16T00:00:00"/>
    <n v="-1"/>
  </r>
  <r>
    <x v="620"/>
    <x v="31"/>
    <n v="18"/>
    <n v="18.079999999999998"/>
    <n v="17.96"/>
    <n v="18.05"/>
    <x v="2749"/>
    <n v="0"/>
    <n v="373"/>
    <n v="0"/>
    <n v="5250"/>
    <x v="102"/>
    <n v="211"/>
    <s v="N (Jul 20)"/>
    <d v="2020-07-22T00:00:00"/>
    <n v="-1"/>
  </r>
  <r>
    <x v="620"/>
    <x v="28"/>
    <n v="19.510000000000002"/>
    <n v="19.63"/>
    <n v="19.45"/>
    <n v="19.59"/>
    <x v="2761"/>
    <n v="2.5000000000000001E-2"/>
    <n v="70"/>
    <n v="0"/>
    <n v="699"/>
    <x v="211"/>
    <n v="302"/>
    <s v="V (Oct 20)"/>
    <d v="2020-10-21T00:00:00"/>
    <n v="-1"/>
  </r>
  <r>
    <x v="620"/>
    <x v="33"/>
    <n v="17.399999999999999"/>
    <n v="17.48"/>
    <n v="17.350000000000001"/>
    <n v="17.399999999999999"/>
    <x v="2660"/>
    <n v="-0.05"/>
    <n v="1793"/>
    <n v="0"/>
    <n v="19310"/>
    <x v="106"/>
    <n v="148"/>
    <s v="K (May 20)"/>
    <d v="2020-05-20T00:00:00"/>
    <n v="-1"/>
  </r>
  <r>
    <x v="620"/>
    <x v="27"/>
    <n v="18.809999999999999"/>
    <n v="18.940000000000001"/>
    <n v="18.7"/>
    <n v="18.77"/>
    <x v="2762"/>
    <n v="-2.5000000000000001E-2"/>
    <n v="60"/>
    <n v="0"/>
    <n v="377"/>
    <x v="231"/>
    <n v="330"/>
    <s v="X (Nov 20)"/>
    <d v="2020-11-18T00:00:00"/>
    <n v="-1"/>
  </r>
  <r>
    <x v="620"/>
    <x v="32"/>
    <n v="17.7"/>
    <n v="17.8"/>
    <n v="17.66"/>
    <n v="17.739999999999998"/>
    <x v="2709"/>
    <n v="0"/>
    <n v="653"/>
    <n v="0"/>
    <n v="10995"/>
    <x v="95"/>
    <n v="176"/>
    <s v="M (Jun 20)"/>
    <d v="2020-06-17T00:00:00"/>
    <n v="-1"/>
  </r>
  <r>
    <x v="620"/>
    <x v="29"/>
    <n v="18.5"/>
    <n v="18.559999999999999"/>
    <n v="18.48"/>
    <n v="18.489999999999998"/>
    <x v="2659"/>
    <n v="2.5000000000000001E-2"/>
    <n v="25"/>
    <n v="0"/>
    <n v="232"/>
    <x v="123"/>
    <n v="267"/>
    <s v="U (Sep 20)"/>
    <d v="2020-09-16T00:00:00"/>
    <n v="-1"/>
  </r>
  <r>
    <x v="620"/>
    <x v="34"/>
    <n v="17.25"/>
    <n v="17.37"/>
    <n v="17.2"/>
    <n v="17.25"/>
    <x v="2667"/>
    <n v="-0.05"/>
    <n v="1291"/>
    <n v="0"/>
    <n v="29048"/>
    <x v="61"/>
    <n v="113"/>
    <s v="J (Apr 20)"/>
    <d v="2020-04-15T00:00:00"/>
    <n v="-1"/>
  </r>
  <r>
    <x v="620"/>
    <x v="30"/>
    <n v="18.16"/>
    <n v="18.22"/>
    <n v="18.100000000000001"/>
    <n v="18.100000000000001"/>
    <x v="2710"/>
    <n v="2.5000000000000001E-2"/>
    <n v="92"/>
    <n v="0"/>
    <n v="1937"/>
    <x v="128"/>
    <n v="239"/>
    <s v="Q (Aug 20)"/>
    <d v="2020-08-19T00:00:00"/>
    <n v="-1"/>
  </r>
  <r>
    <x v="620"/>
    <x v="35"/>
    <n v="16.73"/>
    <n v="16.88"/>
    <n v="16.7"/>
    <n v="16.75"/>
    <x v="2683"/>
    <n v="-0.05"/>
    <n v="8183"/>
    <n v="0"/>
    <n v="43821"/>
    <x v="96"/>
    <n v="85"/>
    <s v="H (Mar 20)"/>
    <d v="2020-03-18T00:00:00"/>
    <n v="-1"/>
  </r>
  <r>
    <x v="621"/>
    <x v="34"/>
    <n v="17.260000000000002"/>
    <n v="17.350000000000001"/>
    <n v="17.149999999999999"/>
    <n v="17.2"/>
    <x v="2677"/>
    <n v="0"/>
    <n v="5418"/>
    <n v="0"/>
    <n v="29594"/>
    <x v="64"/>
    <n v="114"/>
    <s v="J (Apr 20)"/>
    <d v="2020-04-15T00:00:00"/>
    <n v="-1"/>
  </r>
  <r>
    <x v="621"/>
    <x v="30"/>
    <n v="18"/>
    <n v="18.149999999999999"/>
    <n v="18"/>
    <n v="18.12"/>
    <x v="2664"/>
    <n v="-2.5000000000000001E-2"/>
    <n v="160"/>
    <n v="0"/>
    <n v="1896"/>
    <x v="139"/>
    <n v="240"/>
    <s v="Q (Aug 20)"/>
    <d v="2020-08-19T00:00:00"/>
    <n v="-1"/>
  </r>
  <r>
    <x v="621"/>
    <x v="35"/>
    <n v="16.7"/>
    <n v="16.899999999999999"/>
    <n v="16.62"/>
    <n v="16.75"/>
    <x v="2705"/>
    <n v="0.05"/>
    <n v="16089"/>
    <n v="0"/>
    <n v="43966"/>
    <x v="99"/>
    <n v="86"/>
    <s v="H (Mar 20)"/>
    <d v="2020-03-18T00:00:00"/>
    <n v="-1"/>
  </r>
  <r>
    <x v="621"/>
    <x v="31"/>
    <n v="17.95"/>
    <n v="18.05"/>
    <n v="17.93"/>
    <n v="17.989999999999998"/>
    <x v="2749"/>
    <n v="0.05"/>
    <n v="808"/>
    <n v="0"/>
    <n v="5118"/>
    <x v="108"/>
    <n v="212"/>
    <s v="N (Jul 20)"/>
    <d v="2020-07-22T00:00:00"/>
    <n v="-1"/>
  </r>
  <r>
    <x v="621"/>
    <x v="28"/>
    <n v="19.45"/>
    <n v="19.66"/>
    <n v="19.2"/>
    <n v="19.57"/>
    <x v="2642"/>
    <n v="2.5000000000000001E-2"/>
    <n v="94"/>
    <n v="0"/>
    <n v="646"/>
    <x v="212"/>
    <n v="303"/>
    <s v="V (Oct 20)"/>
    <d v="2020-10-21T00:00:00"/>
    <n v="-1"/>
  </r>
  <r>
    <x v="621"/>
    <x v="33"/>
    <n v="17.37"/>
    <n v="17.45"/>
    <n v="17.3"/>
    <n v="17.36"/>
    <x v="2676"/>
    <n v="0"/>
    <n v="3588"/>
    <n v="0"/>
    <n v="19260"/>
    <x v="112"/>
    <n v="149"/>
    <s v="K (May 20)"/>
    <d v="2020-05-20T00:00:00"/>
    <n v="-1"/>
  </r>
  <r>
    <x v="621"/>
    <x v="27"/>
    <n v="18.920000000000002"/>
    <n v="18.920000000000002"/>
    <n v="18.760000000000002"/>
    <n v="18.850000000000001"/>
    <x v="2757"/>
    <n v="0"/>
    <n v="57"/>
    <n v="0"/>
    <n v="335"/>
    <x v="232"/>
    <n v="331"/>
    <s v="X (Nov 20)"/>
    <d v="2020-11-18T00:00:00"/>
    <n v="-1"/>
  </r>
  <r>
    <x v="621"/>
    <x v="32"/>
    <n v="17.7"/>
    <n v="17.77"/>
    <n v="17.649999999999999"/>
    <n v="17.68"/>
    <x v="2709"/>
    <n v="2.5000000000000001E-2"/>
    <n v="1350"/>
    <n v="0"/>
    <n v="10964"/>
    <x v="107"/>
    <n v="177"/>
    <s v="M (Jun 20)"/>
    <d v="2020-06-17T00:00:00"/>
    <n v="-1"/>
  </r>
  <r>
    <x v="621"/>
    <x v="29"/>
    <n v="18"/>
    <n v="18.55"/>
    <n v="18"/>
    <n v="18.48"/>
    <x v="2649"/>
    <n v="2.5000000000000001E-2"/>
    <n v="35"/>
    <n v="0"/>
    <n v="217"/>
    <x v="186"/>
    <n v="268"/>
    <s v="U (Sep 20)"/>
    <d v="2020-09-16T00:00:00"/>
    <n v="-1"/>
  </r>
  <r>
    <x v="622"/>
    <x v="31"/>
    <n v="17.989999999999998"/>
    <n v="18.02"/>
    <n v="17.899999999999999"/>
    <n v="18"/>
    <x v="2672"/>
    <n v="0"/>
    <n v="643"/>
    <n v="0"/>
    <n v="4991"/>
    <x v="120"/>
    <n v="215"/>
    <s v="N (Jul 20)"/>
    <d v="2020-07-22T00:00:00"/>
    <n v="-1"/>
  </r>
  <r>
    <x v="622"/>
    <x v="28"/>
    <n v="19.45"/>
    <n v="19.55"/>
    <n v="19.45"/>
    <n v="19.5"/>
    <x v="2763"/>
    <n v="-2.5000000000000001E-2"/>
    <n v="26"/>
    <n v="0"/>
    <n v="570"/>
    <x v="213"/>
    <n v="306"/>
    <s v="V (Oct 20)"/>
    <d v="2020-10-21T00:00:00"/>
    <n v="-1"/>
  </r>
  <r>
    <x v="622"/>
    <x v="33"/>
    <n v="17.350000000000001"/>
    <n v="17.420000000000002"/>
    <n v="17.25"/>
    <n v="17.41"/>
    <x v="2676"/>
    <n v="0.05"/>
    <n v="4185"/>
    <n v="0"/>
    <n v="19044"/>
    <x v="124"/>
    <n v="152"/>
    <s v="K (May 20)"/>
    <d v="2020-05-20T00:00:00"/>
    <n v="-1"/>
  </r>
  <r>
    <x v="622"/>
    <x v="27"/>
    <n v="18.87"/>
    <n v="18.87"/>
    <n v="18.75"/>
    <n v="18.8"/>
    <x v="2757"/>
    <n v="0"/>
    <n v="13"/>
    <n v="0"/>
    <n v="280"/>
    <x v="233"/>
    <n v="334"/>
    <s v="X (Nov 20)"/>
    <d v="2020-11-18T00:00:00"/>
    <n v="-1"/>
  </r>
  <r>
    <x v="622"/>
    <x v="32"/>
    <n v="17.72"/>
    <n v="17.75"/>
    <n v="17.600000000000001"/>
    <n v="17.72"/>
    <x v="2737"/>
    <n v="-2.5000000000000001E-2"/>
    <n v="1428"/>
    <n v="0"/>
    <n v="11110"/>
    <x v="113"/>
    <n v="180"/>
    <s v="M (Jun 20)"/>
    <d v="2020-06-17T00:00:00"/>
    <n v="-1"/>
  </r>
  <r>
    <x v="622"/>
    <x v="29"/>
    <n v="18.55"/>
    <n v="18.55"/>
    <n v="18.399999999999999"/>
    <n v="18.489999999999998"/>
    <x v="2647"/>
    <n v="-0.05"/>
    <n v="15"/>
    <n v="0"/>
    <n v="197"/>
    <x v="187"/>
    <n v="271"/>
    <s v="U (Sep 20)"/>
    <d v="2020-09-16T00:00:00"/>
    <n v="-1"/>
  </r>
  <r>
    <x v="622"/>
    <x v="34"/>
    <n v="17.22"/>
    <n v="17.3"/>
    <n v="17.07"/>
    <n v="17.27"/>
    <x v="2677"/>
    <n v="0.05"/>
    <n v="5617"/>
    <n v="0"/>
    <n v="28691"/>
    <x v="79"/>
    <n v="117"/>
    <s v="J (Apr 20)"/>
    <d v="2020-04-15T00:00:00"/>
    <n v="-1"/>
  </r>
  <r>
    <x v="622"/>
    <x v="30"/>
    <n v="18.100000000000001"/>
    <n v="18.2"/>
    <n v="18.05"/>
    <n v="18.13"/>
    <x v="2710"/>
    <n v="2.5000000000000001E-2"/>
    <n v="102"/>
    <n v="0"/>
    <n v="1804"/>
    <x v="144"/>
    <n v="243"/>
    <s v="Q (Aug 20)"/>
    <d v="2020-08-19T00:00:00"/>
    <n v="-1"/>
  </r>
  <r>
    <x v="622"/>
    <x v="35"/>
    <n v="16.600000000000001"/>
    <n v="16.75"/>
    <n v="16.5"/>
    <n v="16.73"/>
    <x v="2683"/>
    <n v="0.1"/>
    <n v="14800"/>
    <n v="0"/>
    <n v="44079"/>
    <x v="114"/>
    <n v="89"/>
    <s v="H (Mar 20)"/>
    <d v="2020-03-18T00:00:00"/>
    <n v="-1"/>
  </r>
  <r>
    <x v="623"/>
    <x v="34"/>
    <n v="17.45"/>
    <n v="17.48"/>
    <n v="17.18"/>
    <n v="17.22"/>
    <x v="2667"/>
    <n v="-0.2"/>
    <n v="9877"/>
    <n v="0"/>
    <n v="29230"/>
    <x v="82"/>
    <n v="118"/>
    <s v="J (Apr 20)"/>
    <d v="2020-04-15T00:00:00"/>
    <n v="-1"/>
  </r>
  <r>
    <x v="623"/>
    <x v="30"/>
    <n v="18.25"/>
    <n v="18.25"/>
    <n v="18.079999999999998"/>
    <n v="18.100000000000001"/>
    <x v="2664"/>
    <n v="-0.125"/>
    <n v="201"/>
    <n v="0"/>
    <n v="1795"/>
    <x v="155"/>
    <n v="244"/>
    <s v="Q (Aug 20)"/>
    <d v="2020-08-19T00:00:00"/>
    <n v="-1"/>
  </r>
  <r>
    <x v="623"/>
    <x v="35"/>
    <n v="16.87"/>
    <n v="16.91"/>
    <n v="16.600000000000001"/>
    <n v="16.62"/>
    <x v="2732"/>
    <n v="-0.2"/>
    <n v="17108"/>
    <n v="0"/>
    <n v="44518"/>
    <x v="117"/>
    <n v="90"/>
    <s v="H (Mar 20)"/>
    <d v="2020-03-18T00:00:00"/>
    <n v="-1"/>
  </r>
  <r>
    <x v="623"/>
    <x v="31"/>
    <n v="18.12"/>
    <n v="18.149999999999999"/>
    <n v="17.95"/>
    <n v="17.989999999999998"/>
    <x v="2672"/>
    <n v="-0.15"/>
    <n v="820"/>
    <n v="0"/>
    <n v="4863"/>
    <x v="126"/>
    <n v="216"/>
    <s v="N (Jul 20)"/>
    <d v="2020-07-22T00:00:00"/>
    <n v="-1"/>
  </r>
  <r>
    <x v="623"/>
    <x v="28"/>
    <n v="19.3"/>
    <n v="19.600000000000001"/>
    <n v="19.3"/>
    <n v="19.55"/>
    <x v="2642"/>
    <n v="0.22500000000000001"/>
    <n v="48"/>
    <n v="0"/>
    <n v="549"/>
    <x v="214"/>
    <n v="307"/>
    <s v="V (Oct 20)"/>
    <d v="2020-10-21T00:00:00"/>
    <n v="-1"/>
  </r>
  <r>
    <x v="623"/>
    <x v="33"/>
    <n v="17.579999999999998"/>
    <n v="17.63"/>
    <n v="17.350000000000001"/>
    <n v="17.37"/>
    <x v="2660"/>
    <n v="-0.2"/>
    <n v="5157"/>
    <n v="0"/>
    <n v="18818"/>
    <x v="129"/>
    <n v="153"/>
    <s v="K (May 20)"/>
    <d v="2020-05-20T00:00:00"/>
    <n v="-1"/>
  </r>
  <r>
    <x v="623"/>
    <x v="27"/>
    <n v="18.93"/>
    <n v="19.05"/>
    <n v="18.75"/>
    <n v="18.8"/>
    <x v="2757"/>
    <n v="0"/>
    <n v="34"/>
    <n v="0"/>
    <n v="267"/>
    <x v="234"/>
    <n v="335"/>
    <s v="X (Nov 20)"/>
    <d v="2020-11-18T00:00:00"/>
    <n v="-1"/>
  </r>
  <r>
    <x v="623"/>
    <x v="32"/>
    <n v="17.850000000000001"/>
    <n v="17.920000000000002"/>
    <n v="17.649999999999999"/>
    <n v="17.7"/>
    <x v="2709"/>
    <n v="-0.15"/>
    <n v="3224"/>
    <n v="0"/>
    <n v="10884"/>
    <x v="125"/>
    <n v="181"/>
    <s v="M (Jun 20)"/>
    <d v="2020-06-17T00:00:00"/>
    <n v="-1"/>
  </r>
  <r>
    <x v="623"/>
    <x v="29"/>
    <n v="18.510000000000002"/>
    <n v="18.600000000000001"/>
    <n v="18.510000000000002"/>
    <n v="18.52"/>
    <x v="2659"/>
    <n v="-0.1"/>
    <n v="4"/>
    <n v="0"/>
    <n v="190"/>
    <x v="188"/>
    <n v="272"/>
    <s v="U (Sep 20)"/>
    <d v="2020-09-16T00:00:00"/>
    <n v="-1"/>
  </r>
  <r>
    <x v="624"/>
    <x v="31"/>
    <n v="18.149999999999999"/>
    <n v="18.170000000000002"/>
    <n v="18.02"/>
    <n v="18.12"/>
    <x v="2664"/>
    <n v="-2.5000000000000001E-2"/>
    <n v="987"/>
    <n v="0"/>
    <n v="4921"/>
    <x v="137"/>
    <n v="217"/>
    <s v="N (Jul 20)"/>
    <d v="2020-07-22T00:00:00"/>
    <n v="-1"/>
  </r>
  <r>
    <x v="624"/>
    <x v="28"/>
    <n v="19.149999999999999"/>
    <n v="19.45"/>
    <n v="18.899999999999999"/>
    <n v="19.3"/>
    <x v="2764"/>
    <n v="0.05"/>
    <n v="380"/>
    <n v="0"/>
    <n v="507"/>
    <x v="215"/>
    <n v="308"/>
    <s v="V (Oct 20)"/>
    <d v="2020-10-21T00:00:00"/>
    <n v="-1"/>
  </r>
  <r>
    <x v="624"/>
    <x v="33"/>
    <n v="17.64"/>
    <n v="17.649999999999999"/>
    <n v="17.45"/>
    <n v="17.579999999999998"/>
    <x v="2654"/>
    <n v="-0.05"/>
    <n v="6919"/>
    <n v="0"/>
    <n v="19213"/>
    <x v="140"/>
    <n v="154"/>
    <s v="K (May 20)"/>
    <d v="2020-05-20T00:00:00"/>
    <n v="-1"/>
  </r>
  <r>
    <x v="624"/>
    <x v="27"/>
    <n v="18.95"/>
    <n v="19.149999999999999"/>
    <n v="18.79"/>
    <n v="18.809999999999999"/>
    <x v="2757"/>
    <n v="-7.4999999999999997E-2"/>
    <n v="182"/>
    <n v="0"/>
    <n v="234"/>
    <x v="235"/>
    <n v="336"/>
    <s v="X (Nov 20)"/>
    <d v="2020-11-18T00:00:00"/>
    <n v="-1"/>
  </r>
  <r>
    <x v="624"/>
    <x v="32"/>
    <n v="17.899999999999999"/>
    <n v="17.920000000000002"/>
    <n v="17.75"/>
    <n v="17.87"/>
    <x v="2719"/>
    <n v="-0.05"/>
    <n v="1835"/>
    <n v="0"/>
    <n v="11264"/>
    <x v="130"/>
    <n v="182"/>
    <s v="M (Jun 20)"/>
    <d v="2020-06-17T00:00:00"/>
    <n v="-1"/>
  </r>
  <r>
    <x v="624"/>
    <x v="29"/>
    <n v="18.84"/>
    <n v="18.88"/>
    <n v="18.5"/>
    <n v="18.600000000000001"/>
    <x v="2743"/>
    <n v="-7.4999999999999997E-2"/>
    <n v="157"/>
    <n v="0"/>
    <n v="186"/>
    <x v="189"/>
    <n v="273"/>
    <s v="U (Sep 20)"/>
    <d v="2020-09-16T00:00:00"/>
    <n v="-1"/>
  </r>
  <r>
    <x v="624"/>
    <x v="34"/>
    <n v="17.5"/>
    <n v="17.52"/>
    <n v="17.3"/>
    <n v="17.399999999999999"/>
    <x v="2676"/>
    <n v="-0.05"/>
    <n v="8934"/>
    <n v="0"/>
    <n v="28661"/>
    <x v="97"/>
    <n v="119"/>
    <s v="J (Apr 20)"/>
    <d v="2020-04-15T00:00:00"/>
    <n v="-1"/>
  </r>
  <r>
    <x v="624"/>
    <x v="30"/>
    <n v="18.25"/>
    <n v="18.260000000000002"/>
    <n v="18.149999999999999"/>
    <n v="18.25"/>
    <x v="2746"/>
    <n v="2.5000000000000001E-2"/>
    <n v="876"/>
    <n v="0"/>
    <n v="1731"/>
    <x v="160"/>
    <n v="245"/>
    <s v="Q (Aug 20)"/>
    <d v="2020-08-19T00:00:00"/>
    <n v="-1"/>
  </r>
  <r>
    <x v="624"/>
    <x v="35"/>
    <n v="16.899999999999999"/>
    <n v="16.95"/>
    <n v="16.73"/>
    <n v="16.8"/>
    <x v="2663"/>
    <n v="-0.05"/>
    <n v="13005"/>
    <n v="0"/>
    <n v="42784"/>
    <x v="131"/>
    <n v="91"/>
    <s v="H (Mar 20)"/>
    <d v="2020-03-18T00:00:00"/>
    <n v="-1"/>
  </r>
  <r>
    <x v="625"/>
    <x v="34"/>
    <n v="17.350000000000001"/>
    <n v="17.57"/>
    <n v="17.3"/>
    <n v="17.48"/>
    <x v="2711"/>
    <n v="0.15"/>
    <n v="10196"/>
    <n v="0"/>
    <n v="29485"/>
    <x v="100"/>
    <n v="120"/>
    <s v="J (Apr 20)"/>
    <d v="2020-04-15T00:00:00"/>
    <n v="-1"/>
  </r>
  <r>
    <x v="625"/>
    <x v="30"/>
    <n v="18.149999999999999"/>
    <n v="18.32"/>
    <n v="18.13"/>
    <n v="18.239999999999998"/>
    <x v="2752"/>
    <n v="0.15"/>
    <n v="432"/>
    <n v="0"/>
    <n v="1169"/>
    <x v="171"/>
    <n v="246"/>
    <s v="Q (Aug 20)"/>
    <d v="2020-08-19T00:00:00"/>
    <n v="-1"/>
  </r>
  <r>
    <x v="625"/>
    <x v="35"/>
    <n v="16.8"/>
    <n v="17"/>
    <n v="16.72"/>
    <n v="16.899999999999999"/>
    <x v="2697"/>
    <n v="0.1"/>
    <n v="15930"/>
    <n v="0"/>
    <n v="43314"/>
    <x v="134"/>
    <n v="92"/>
    <s v="H (Mar 20)"/>
    <d v="2020-03-18T00:00:00"/>
    <n v="-1"/>
  </r>
  <r>
    <x v="625"/>
    <x v="31"/>
    <n v="17.95"/>
    <n v="18.25"/>
    <n v="17.95"/>
    <n v="18.14"/>
    <x v="2710"/>
    <n v="0.17499999999999999"/>
    <n v="1809"/>
    <n v="0"/>
    <n v="4387"/>
    <x v="142"/>
    <n v="218"/>
    <s v="N (Jul 20)"/>
    <d v="2020-07-22T00:00:00"/>
    <n v="-1"/>
  </r>
  <r>
    <x v="625"/>
    <x v="28"/>
    <n v="19.329999999999998"/>
    <n v="19.37"/>
    <n v="19.09"/>
    <n v="19.21"/>
    <x v="2765"/>
    <n v="0.22500000000000001"/>
    <n v="59"/>
    <n v="0"/>
    <n v="135"/>
    <x v="216"/>
    <n v="309"/>
    <s v="V (Oct 20)"/>
    <d v="2020-10-21T00:00:00"/>
    <n v="-1"/>
  </r>
  <r>
    <x v="625"/>
    <x v="33"/>
    <n v="17.45"/>
    <n v="17.72"/>
    <n v="17.43"/>
    <n v="17.600000000000001"/>
    <x v="2722"/>
    <n v="0.2"/>
    <n v="7553"/>
    <n v="0"/>
    <n v="19299"/>
    <x v="146"/>
    <n v="155"/>
    <s v="K (May 20)"/>
    <d v="2020-05-20T00:00:00"/>
    <n v="-1"/>
  </r>
  <r>
    <x v="625"/>
    <x v="27"/>
    <n v="18.989999999999998"/>
    <n v="19.07"/>
    <n v="18.8"/>
    <n v="18.899999999999999"/>
    <x v="2766"/>
    <n v="0.15"/>
    <n v="36"/>
    <n v="0"/>
    <n v="54"/>
    <x v="236"/>
    <n v="337"/>
    <s v="X (Nov 20)"/>
    <d v="2020-11-18T00:00:00"/>
    <n v="-1"/>
  </r>
  <r>
    <x v="625"/>
    <x v="32"/>
    <n v="17.649999999999999"/>
    <n v="17.95"/>
    <n v="17.61"/>
    <n v="17.899999999999999"/>
    <x v="2693"/>
    <n v="0.3"/>
    <n v="6031"/>
    <n v="0"/>
    <n v="11548"/>
    <x v="141"/>
    <n v="183"/>
    <s v="M (Jun 20)"/>
    <d v="2020-06-17T00:00:00"/>
    <n v="-1"/>
  </r>
  <r>
    <x v="625"/>
    <x v="29"/>
    <n v="18.53"/>
    <n v="18.53"/>
    <n v="18.53"/>
    <n v="18.53"/>
    <x v="2756"/>
    <n v="0.1"/>
    <n v="20"/>
    <n v="0"/>
    <n v="32"/>
    <x v="190"/>
    <n v="274"/>
    <s v="U (Sep 20)"/>
    <d v="2020-09-16T00:00:00"/>
    <n v="-1"/>
  </r>
  <r>
    <x v="626"/>
    <x v="31"/>
    <n v="18.149999999999999"/>
    <n v="18.149999999999999"/>
    <n v="17.920000000000002"/>
    <n v="17.95"/>
    <x v="2672"/>
    <n v="-0.15"/>
    <n v="594"/>
    <n v="0"/>
    <n v="4335"/>
    <x v="3"/>
    <n v="219"/>
    <s v="N (Jul 20)"/>
    <d v="2020-07-22T00:00:00"/>
    <n v="-1"/>
  </r>
  <r>
    <x v="626"/>
    <x v="28"/>
    <n v="18.850000000000001"/>
    <n v="19.100000000000001"/>
    <n v="18.850000000000001"/>
    <n v="19.100000000000001"/>
    <x v="2637"/>
    <n v="-0.15"/>
    <n v="23"/>
    <n v="0"/>
    <n v="78"/>
    <x v="217"/>
    <n v="310"/>
    <s v="V (Oct 20)"/>
    <d v="2020-10-21T00:00:00"/>
    <n v="-1"/>
  </r>
  <r>
    <x v="626"/>
    <x v="33"/>
    <n v="17.66"/>
    <n v="17.670000000000002"/>
    <n v="17.399999999999999"/>
    <n v="17.420000000000002"/>
    <x v="2676"/>
    <n v="-0.2"/>
    <n v="4568"/>
    <n v="0"/>
    <n v="19737"/>
    <x v="157"/>
    <n v="156"/>
    <s v="K (May 20)"/>
    <d v="2020-05-20T00:00:00"/>
    <n v="-1"/>
  </r>
  <r>
    <x v="626"/>
    <x v="32"/>
    <n v="17.850000000000001"/>
    <n v="17.850000000000001"/>
    <n v="17.600000000000001"/>
    <n v="17.62"/>
    <x v="2722"/>
    <n v="-0.2"/>
    <n v="2749"/>
    <n v="0"/>
    <n v="10782"/>
    <x v="147"/>
    <n v="184"/>
    <s v="M (Jun 20)"/>
    <d v="2020-06-17T00:00:00"/>
    <n v="-1"/>
  </r>
  <r>
    <x v="626"/>
    <x v="34"/>
    <n v="17.55"/>
    <n v="17.600000000000001"/>
    <n v="17.25"/>
    <n v="17.32"/>
    <x v="2653"/>
    <n v="-0.25"/>
    <n v="9803"/>
    <n v="0"/>
    <n v="28605"/>
    <x v="115"/>
    <n v="121"/>
    <s v="J (Apr 20)"/>
    <d v="2020-04-15T00:00:00"/>
    <n v="-1"/>
  </r>
  <r>
    <x v="626"/>
    <x v="30"/>
    <n v="18.079999999999998"/>
    <n v="18.2"/>
    <n v="18.04"/>
    <n v="18.100000000000001"/>
    <x v="2721"/>
    <n v="-0.17499999999999999"/>
    <n v="236"/>
    <n v="0"/>
    <n v="846"/>
    <x v="4"/>
    <n v="247"/>
    <s v="Q (Aug 20)"/>
    <d v="2020-08-19T00:00:00"/>
    <n v="-1"/>
  </r>
  <r>
    <x v="626"/>
    <x v="35"/>
    <n v="17"/>
    <n v="17.02"/>
    <n v="16.7"/>
    <n v="16.760000000000002"/>
    <x v="2705"/>
    <n v="-0.2"/>
    <n v="14492"/>
    <n v="0"/>
    <n v="40596"/>
    <x v="148"/>
    <n v="93"/>
    <s v="H (Mar 20)"/>
    <d v="2020-03-18T00:00:00"/>
    <n v="-1"/>
  </r>
  <r>
    <x v="627"/>
    <x v="34"/>
    <n v="17.850000000000001"/>
    <n v="18.100000000000001"/>
    <n v="17.5"/>
    <n v="17.600000000000001"/>
    <x v="2654"/>
    <n v="-0.35"/>
    <n v="8671"/>
    <n v="0"/>
    <n v="25781"/>
    <x v="118"/>
    <n v="124"/>
    <s v="J (Apr 20)"/>
    <d v="2020-04-15T00:00:00"/>
    <n v="-1"/>
  </r>
  <r>
    <x v="627"/>
    <x v="30"/>
    <n v="18.5"/>
    <n v="18.62"/>
    <n v="18.22"/>
    <n v="18.239999999999998"/>
    <x v="2746"/>
    <n v="-0.35"/>
    <n v="52"/>
    <n v="0"/>
    <n v="683"/>
    <x v="16"/>
    <n v="250"/>
    <s v="Q (Aug 20)"/>
    <d v="2020-08-19T00:00:00"/>
    <n v="-1"/>
  </r>
  <r>
    <x v="627"/>
    <x v="27"/>
    <n v="19.399999999999999"/>
    <n v="19.399999999999999"/>
    <n v="19.07"/>
    <n v="19.13"/>
    <x v="2640"/>
    <n v="-0.15"/>
    <n v="16"/>
    <n v="0"/>
    <n v="20"/>
    <x v="237"/>
    <n v="341"/>
    <s v="X (Nov 20)"/>
    <d v="2020-11-18T00:00:00"/>
    <n v="-1"/>
  </r>
  <r>
    <x v="627"/>
    <x v="35"/>
    <n v="17.399999999999999"/>
    <n v="17.600000000000001"/>
    <n v="16.899999999999999"/>
    <n v="17.07"/>
    <x v="2680"/>
    <n v="-0.4"/>
    <n v="17223"/>
    <n v="0"/>
    <n v="38499"/>
    <x v="151"/>
    <n v="96"/>
    <s v="H (Mar 20)"/>
    <d v="2020-03-18T00:00:00"/>
    <n v="-1"/>
  </r>
  <r>
    <x v="627"/>
    <x v="29"/>
    <n v="18.7"/>
    <n v="19.13"/>
    <n v="18.7"/>
    <n v="18.7"/>
    <x v="2757"/>
    <n v="-0.35"/>
    <n v="16"/>
    <n v="0"/>
    <n v="12"/>
    <x v="192"/>
    <n v="278"/>
    <s v="U (Sep 20)"/>
    <d v="2020-09-16T00:00:00"/>
    <n v="-1"/>
  </r>
  <r>
    <x v="627"/>
    <x v="31"/>
    <n v="18.38"/>
    <n v="18.55"/>
    <n v="18.100000000000001"/>
    <n v="18.14"/>
    <x v="2664"/>
    <n v="-0.35"/>
    <n v="519"/>
    <n v="0"/>
    <n v="4064"/>
    <x v="15"/>
    <n v="222"/>
    <s v="N (Jul 20)"/>
    <d v="2020-07-22T00:00:00"/>
    <n v="-1"/>
  </r>
  <r>
    <x v="627"/>
    <x v="28"/>
    <n v="19.41"/>
    <n v="19.45"/>
    <n v="19.05"/>
    <n v="19.149999999999999"/>
    <x v="2635"/>
    <n v="-0.25"/>
    <n v="39"/>
    <n v="0"/>
    <n v="56"/>
    <x v="218"/>
    <n v="313"/>
    <s v="V (Oct 20)"/>
    <d v="2020-10-21T00:00:00"/>
    <n v="-1"/>
  </r>
  <r>
    <x v="627"/>
    <x v="33"/>
    <n v="17.96"/>
    <n v="18.149999999999999"/>
    <n v="17.600000000000001"/>
    <n v="17.7"/>
    <x v="2722"/>
    <n v="-0.4"/>
    <n v="4624"/>
    <n v="0"/>
    <n v="19020"/>
    <x v="162"/>
    <n v="159"/>
    <s v="K (May 20)"/>
    <d v="2020-05-20T00:00:00"/>
    <n v="-1"/>
  </r>
  <r>
    <x v="627"/>
    <x v="32"/>
    <n v="18.100000000000001"/>
    <n v="18.3"/>
    <n v="17.8"/>
    <n v="17.86"/>
    <x v="2704"/>
    <n v="-0.375"/>
    <n v="1619"/>
    <n v="0"/>
    <n v="10828"/>
    <x v="158"/>
    <n v="187"/>
    <s v="M (Jun 20)"/>
    <d v="2020-06-17T00:00:00"/>
    <n v="-1"/>
  </r>
  <r>
    <x v="628"/>
    <x v="31"/>
    <n v="18.75"/>
    <n v="18.850000000000001"/>
    <n v="18.43"/>
    <n v="18.45"/>
    <x v="2659"/>
    <n v="-0.3"/>
    <n v="543"/>
    <n v="0"/>
    <n v="4042"/>
    <x v="21"/>
    <n v="223"/>
    <s v="N (Jul 20)"/>
    <d v="2020-07-22T00:00:00"/>
    <n v="-1"/>
  </r>
  <r>
    <x v="628"/>
    <x v="28"/>
    <n v="19.05"/>
    <n v="19.05"/>
    <n v="19.05"/>
    <n v="19.05"/>
    <x v="2767"/>
    <n v="-0.125"/>
    <n v="15"/>
    <n v="0"/>
    <n v="18"/>
    <x v="219"/>
    <n v="314"/>
    <s v="V (Oct 20)"/>
    <d v="2020-10-21T00:00:00"/>
    <n v="-1"/>
  </r>
  <r>
    <x v="628"/>
    <x v="33"/>
    <n v="18.420000000000002"/>
    <n v="18.52"/>
    <n v="17.97"/>
    <n v="18.02"/>
    <x v="2749"/>
    <n v="-0.35"/>
    <n v="4234"/>
    <n v="0"/>
    <n v="19257"/>
    <x v="172"/>
    <n v="160"/>
    <s v="K (May 20)"/>
    <d v="2020-05-20T00:00:00"/>
    <n v="-1"/>
  </r>
  <r>
    <x v="628"/>
    <x v="32"/>
    <n v="18.55"/>
    <n v="18.649999999999999"/>
    <n v="18.149999999999999"/>
    <n v="18.2"/>
    <x v="2713"/>
    <n v="-0.32500000000000001"/>
    <n v="1105"/>
    <n v="0"/>
    <n v="10779"/>
    <x v="163"/>
    <n v="188"/>
    <s v="M (Jun 20)"/>
    <d v="2020-06-17T00:00:00"/>
    <n v="-1"/>
  </r>
  <r>
    <x v="628"/>
    <x v="34"/>
    <n v="18.32"/>
    <n v="18.47"/>
    <n v="17.850000000000001"/>
    <n v="17.95"/>
    <x v="2693"/>
    <n v="-0.4"/>
    <n v="7058"/>
    <n v="0"/>
    <n v="24861"/>
    <x v="132"/>
    <n v="125"/>
    <s v="J (Apr 20)"/>
    <d v="2020-04-15T00:00:00"/>
    <n v="-1"/>
  </r>
  <r>
    <x v="628"/>
    <x v="30"/>
    <n v="18.63"/>
    <n v="18.850000000000001"/>
    <n v="18.600000000000001"/>
    <n v="18.62"/>
    <x v="2768"/>
    <n v="-0.25"/>
    <n v="62"/>
    <n v="0"/>
    <n v="649"/>
    <x v="22"/>
    <n v="251"/>
    <s v="Q (Aug 20)"/>
    <d v="2020-08-19T00:00:00"/>
    <n v="-1"/>
  </r>
  <r>
    <x v="628"/>
    <x v="27"/>
    <n v="19"/>
    <n v="19.2"/>
    <n v="19"/>
    <n v="19.2"/>
    <x v="2769"/>
    <n v="-0.35"/>
    <n v="4"/>
    <n v="0"/>
    <n v="4"/>
    <x v="238"/>
    <n v="342"/>
    <s v="X (Nov 20)"/>
    <d v="2020-11-18T00:00:00"/>
    <n v="-1"/>
  </r>
  <r>
    <x v="628"/>
    <x v="35"/>
    <n v="17.82"/>
    <n v="18"/>
    <n v="17.3"/>
    <n v="17.45"/>
    <x v="2660"/>
    <n v="-0.45"/>
    <n v="14902"/>
    <n v="0"/>
    <n v="34985"/>
    <x v="164"/>
    <n v="97"/>
    <s v="H (Mar 20)"/>
    <d v="2020-03-18T00:00:00"/>
    <n v="-1"/>
  </r>
  <r>
    <x v="628"/>
    <x v="29"/>
    <n v="18.850000000000001"/>
    <n v="18.850000000000001"/>
    <n v="18.850000000000001"/>
    <n v="18.850000000000001"/>
    <x v="2770"/>
    <n v="-0.27500000000000002"/>
    <n v="1"/>
    <n v="0"/>
    <n v="1"/>
    <x v="193"/>
    <n v="279"/>
    <s v="U (Sep 20)"/>
    <d v="2020-09-16T00:00:00"/>
    <n v="-1"/>
  </r>
  <r>
    <x v="629"/>
    <x v="34"/>
    <n v="18.559999999999999"/>
    <n v="18.649999999999999"/>
    <n v="18.27"/>
    <n v="18.32"/>
    <x v="2651"/>
    <n v="-0.2"/>
    <n v="6157"/>
    <n v="0"/>
    <n v="24403"/>
    <x v="135"/>
    <n v="126"/>
    <s v="J (Apr 20)"/>
    <d v="2020-04-15T00:00:00"/>
    <n v="-1"/>
  </r>
  <r>
    <x v="629"/>
    <x v="30"/>
    <n v="19.14"/>
    <n v="19.14"/>
    <n v="18.87"/>
    <n v="18.87"/>
    <x v="2745"/>
    <n v="-0.2"/>
    <n v="82"/>
    <n v="0"/>
    <n v="595"/>
    <x v="33"/>
    <n v="252"/>
    <s v="Q (Aug 20)"/>
    <d v="2020-08-19T00:00:00"/>
    <n v="-1"/>
  </r>
  <r>
    <x v="629"/>
    <x v="35"/>
    <n v="18.100000000000001"/>
    <n v="18.2"/>
    <n v="17.75"/>
    <n v="17.82"/>
    <x v="2704"/>
    <n v="-0.2"/>
    <n v="7347"/>
    <n v="0"/>
    <n v="32743"/>
    <x v="167"/>
    <n v="98"/>
    <s v="H (Mar 20)"/>
    <d v="2020-03-18T00:00:00"/>
    <n v="-1"/>
  </r>
  <r>
    <x v="629"/>
    <x v="31"/>
    <n v="19"/>
    <n v="19.05"/>
    <n v="18.75"/>
    <n v="18.75"/>
    <x v="2750"/>
    <n v="-0.15"/>
    <n v="424"/>
    <n v="0"/>
    <n v="3958"/>
    <x v="32"/>
    <n v="224"/>
    <s v="N (Jul 20)"/>
    <d v="2020-07-22T00:00:00"/>
    <n v="-1"/>
  </r>
  <r>
    <x v="629"/>
    <x v="33"/>
    <n v="18.62"/>
    <n v="18.72"/>
    <n v="18.350000000000001"/>
    <n v="18.399999999999999"/>
    <x v="2645"/>
    <n v="-0.2"/>
    <n v="3026"/>
    <n v="0"/>
    <n v="19458"/>
    <x v="0"/>
    <n v="161"/>
    <s v="K (May 20)"/>
    <d v="2020-05-20T00:00:00"/>
    <n v="-1"/>
  </r>
  <r>
    <x v="629"/>
    <x v="32"/>
    <n v="18.75"/>
    <n v="18.82"/>
    <n v="18.5"/>
    <n v="18.52"/>
    <x v="2741"/>
    <n v="-0.15"/>
    <n v="738"/>
    <n v="0"/>
    <n v="10644"/>
    <x v="173"/>
    <n v="189"/>
    <s v="M (Jun 20)"/>
    <d v="2020-06-17T00:00:00"/>
    <n v="-1"/>
  </r>
  <r>
    <x v="630"/>
    <x v="31"/>
    <n v="19.010000000000002"/>
    <n v="19.100000000000001"/>
    <n v="18.850000000000001"/>
    <n v="18.95"/>
    <x v="2771"/>
    <n v="-0.05"/>
    <n v="322"/>
    <n v="0"/>
    <n v="3840"/>
    <x v="38"/>
    <n v="225"/>
    <s v="N (Jul 20)"/>
    <d v="2020-07-22T00:00:00"/>
    <n v="-1"/>
  </r>
  <r>
    <x v="630"/>
    <x v="33"/>
    <n v="18.649999999999999"/>
    <n v="18.82"/>
    <n v="18.47"/>
    <n v="18.61"/>
    <x v="2743"/>
    <n v="-0.1"/>
    <n v="2890"/>
    <n v="0"/>
    <n v="19731"/>
    <x v="12"/>
    <n v="162"/>
    <s v="K (May 20)"/>
    <d v="2020-05-20T00:00:00"/>
    <n v="-1"/>
  </r>
  <r>
    <x v="630"/>
    <x v="27"/>
    <n v="19.899999999999999"/>
    <n v="19.899999999999999"/>
    <n v="19.850000000000001"/>
    <n v="19.899999999999999"/>
    <x v="2772"/>
    <n v="0.32500000000000001"/>
    <n v="1"/>
    <n v="0"/>
    <n v="1"/>
    <x v="239"/>
    <n v="344"/>
    <s v="X (Nov 20)"/>
    <d v="2020-11-18T00:00:00"/>
    <n v="-1"/>
  </r>
  <r>
    <x v="630"/>
    <x v="32"/>
    <n v="18.8"/>
    <n v="18.91"/>
    <n v="18.61"/>
    <n v="18.72"/>
    <x v="2751"/>
    <n v="-0.1"/>
    <n v="871"/>
    <n v="0"/>
    <n v="10421"/>
    <x v="174"/>
    <n v="190"/>
    <s v="M (Jun 20)"/>
    <d v="2020-06-17T00:00:00"/>
    <n v="-1"/>
  </r>
  <r>
    <x v="630"/>
    <x v="34"/>
    <n v="18.579999999999998"/>
    <n v="18.73"/>
    <n v="18.36"/>
    <n v="18.55"/>
    <x v="2741"/>
    <n v="-0.05"/>
    <n v="6533"/>
    <n v="0"/>
    <n v="23059"/>
    <x v="149"/>
    <n v="127"/>
    <s v="J (Apr 20)"/>
    <d v="2020-04-15T00:00:00"/>
    <n v="-1"/>
  </r>
  <r>
    <x v="630"/>
    <x v="28"/>
    <n v="20.05"/>
    <n v="20.05"/>
    <n v="19.2"/>
    <n v="19.7"/>
    <x v="2684"/>
    <n v="-0.6"/>
    <n v="3"/>
    <n v="0"/>
    <n v="3"/>
    <x v="221"/>
    <n v="316"/>
    <s v="V (Oct 20)"/>
    <d v="2020-10-21T00:00:00"/>
    <n v="-1"/>
  </r>
  <r>
    <x v="630"/>
    <x v="30"/>
    <n v="19.079999999999998"/>
    <n v="19.16"/>
    <n v="18.97"/>
    <n v="19.100000000000001"/>
    <x v="2773"/>
    <n v="-2.5000000000000001E-2"/>
    <n v="208"/>
    <n v="0"/>
    <n v="519"/>
    <x v="39"/>
    <n v="253"/>
    <s v="Q (Aug 20)"/>
    <d v="2020-08-19T00:00:00"/>
    <n v="-1"/>
  </r>
  <r>
    <x v="630"/>
    <x v="35"/>
    <n v="18.05"/>
    <n v="18.25"/>
    <n v="17.850000000000001"/>
    <n v="18.07"/>
    <x v="2749"/>
    <n v="-0.05"/>
    <n v="11431"/>
    <n v="0"/>
    <n v="32106"/>
    <x v="175"/>
    <n v="99"/>
    <s v="H (Mar 20)"/>
    <d v="2020-03-18T00:00:00"/>
    <n v="-1"/>
  </r>
  <r>
    <x v="631"/>
    <x v="34"/>
    <n v="18.190000000000001"/>
    <n v="18.600000000000001"/>
    <n v="18.18"/>
    <n v="18.55"/>
    <x v="2743"/>
    <n v="0.35"/>
    <n v="4245"/>
    <n v="0"/>
    <n v="21815"/>
    <x v="152"/>
    <n v="128"/>
    <s v="J (Apr 20)"/>
    <d v="2020-04-15T00:00:00"/>
    <n v="-1"/>
  </r>
  <r>
    <x v="631"/>
    <x v="28"/>
    <n v="19.5"/>
    <n v="19.55"/>
    <n v="19.5"/>
    <n v="19.5"/>
    <x v="2617"/>
    <n v="0"/>
    <n v="1"/>
    <n v="0"/>
    <n v="1"/>
    <x v="222"/>
    <n v="317"/>
    <s v="V (Oct 20)"/>
    <d v="2020-10-21T00:00:00"/>
    <n v="-1"/>
  </r>
  <r>
    <x v="631"/>
    <x v="30"/>
    <n v="18.899999999999999"/>
    <n v="19.05"/>
    <n v="18.899999999999999"/>
    <n v="18.98"/>
    <x v="2637"/>
    <n v="0.22500000000000001"/>
    <n v="117"/>
    <n v="0"/>
    <n v="401"/>
    <x v="51"/>
    <n v="254"/>
    <s v="Q (Aug 20)"/>
    <d v="2020-08-19T00:00:00"/>
    <n v="-1"/>
  </r>
  <r>
    <x v="631"/>
    <x v="35"/>
    <n v="17.63"/>
    <n v="18.100000000000001"/>
    <n v="17.63"/>
    <n v="18.07"/>
    <x v="2721"/>
    <n v="0.4"/>
    <n v="8804"/>
    <n v="0"/>
    <n v="33629"/>
    <x v="177"/>
    <n v="100"/>
    <s v="H (Mar 20)"/>
    <d v="2020-03-18T00:00:00"/>
    <n v="-1"/>
  </r>
  <r>
    <x v="631"/>
    <x v="31"/>
    <n v="18.8"/>
    <n v="19.02"/>
    <n v="18.77"/>
    <n v="19.02"/>
    <x v="2640"/>
    <n v="0.17499999999999999"/>
    <n v="681"/>
    <n v="0"/>
    <n v="3746"/>
    <x v="50"/>
    <n v="226"/>
    <s v="N (Jul 20)"/>
    <d v="2020-07-22T00:00:00"/>
    <n v="-1"/>
  </r>
  <r>
    <x v="631"/>
    <x v="33"/>
    <n v="18.420000000000002"/>
    <n v="18.7"/>
    <n v="18.37"/>
    <n v="18.68"/>
    <x v="2751"/>
    <n v="0.25"/>
    <n v="1969"/>
    <n v="0"/>
    <n v="20058"/>
    <x v="18"/>
    <n v="163"/>
    <s v="K (May 20)"/>
    <d v="2020-05-20T00:00:00"/>
    <n v="-1"/>
  </r>
  <r>
    <x v="631"/>
    <x v="27"/>
    <n v="19"/>
    <n v="19"/>
    <n v="19"/>
    <n v="19"/>
    <x v="2769"/>
    <n v="0"/>
    <n v="1"/>
    <n v="0"/>
    <n v="1"/>
    <x v="240"/>
    <n v="345"/>
    <s v="X (Nov 20)"/>
    <d v="2020-11-18T00:00:00"/>
    <n v="-1"/>
  </r>
  <r>
    <x v="631"/>
    <x v="32"/>
    <n v="18.579999999999998"/>
    <n v="18.829999999999998"/>
    <n v="18.5"/>
    <n v="18.79"/>
    <x v="2750"/>
    <n v="0.25"/>
    <n v="963"/>
    <n v="0"/>
    <n v="10208"/>
    <x v="179"/>
    <n v="191"/>
    <s v="M (Jun 20)"/>
    <d v="2020-06-17T00:00:00"/>
    <n v="-1"/>
  </r>
  <r>
    <x v="632"/>
    <x v="31"/>
    <n v="19.03"/>
    <n v="19.100000000000001"/>
    <n v="18.71"/>
    <n v="18.79"/>
    <x v="2753"/>
    <n v="-0.2"/>
    <n v="277"/>
    <n v="0"/>
    <n v="3386"/>
    <x v="56"/>
    <n v="229"/>
    <s v="N (Jul 20)"/>
    <d v="2020-07-22T00:00:00"/>
    <n v="-1"/>
  </r>
  <r>
    <x v="632"/>
    <x v="33"/>
    <n v="18.649999999999999"/>
    <n v="18.7"/>
    <n v="18.3"/>
    <n v="18.38"/>
    <x v="2647"/>
    <n v="-0.25"/>
    <n v="2807"/>
    <n v="0"/>
    <n v="20612"/>
    <x v="35"/>
    <n v="166"/>
    <s v="K (May 20)"/>
    <d v="2020-05-20T00:00:00"/>
    <n v="-1"/>
  </r>
  <r>
    <x v="632"/>
    <x v="32"/>
    <n v="18.8"/>
    <n v="18.850000000000001"/>
    <n v="18.43"/>
    <n v="18.52"/>
    <x v="2741"/>
    <n v="-0.25"/>
    <n v="1023"/>
    <n v="0"/>
    <n v="9924"/>
    <x v="180"/>
    <n v="194"/>
    <s v="M (Jun 20)"/>
    <d v="2020-06-17T00:00:00"/>
    <n v="-1"/>
  </r>
  <r>
    <x v="632"/>
    <x v="34"/>
    <n v="18.510000000000002"/>
    <n v="18.53"/>
    <n v="18.12"/>
    <n v="18.190000000000001"/>
    <x v="2752"/>
    <n v="-0.3"/>
    <n v="6861"/>
    <n v="0"/>
    <n v="21639"/>
    <x v="165"/>
    <n v="131"/>
    <s v="J (Apr 20)"/>
    <d v="2020-04-15T00:00:00"/>
    <n v="-1"/>
  </r>
  <r>
    <x v="632"/>
    <x v="30"/>
    <n v="19.04"/>
    <n v="19.04"/>
    <n v="18.87"/>
    <n v="18.87"/>
    <x v="2745"/>
    <n v="-0.27500000000000002"/>
    <n v="28"/>
    <n v="0"/>
    <n v="321"/>
    <x v="57"/>
    <n v="257"/>
    <s v="Q (Aug 20)"/>
    <d v="2020-08-19T00:00:00"/>
    <n v="-1"/>
  </r>
  <r>
    <x v="632"/>
    <x v="35"/>
    <n v="18.059999999999999"/>
    <n v="18.059999999999999"/>
    <n v="17.600000000000001"/>
    <n v="17.63"/>
    <x v="2717"/>
    <n v="-0.4"/>
    <n v="7594"/>
    <n v="0"/>
    <n v="33787"/>
    <x v="181"/>
    <n v="103"/>
    <s v="H (Mar 20)"/>
    <d v="2020-03-18T00:00:00"/>
    <n v="-1"/>
  </r>
  <r>
    <x v="633"/>
    <x v="34"/>
    <n v="18.61"/>
    <n v="18.7"/>
    <n v="18.5"/>
    <n v="18.55"/>
    <x v="2741"/>
    <n v="-0.1"/>
    <n v="4874"/>
    <n v="0"/>
    <n v="20826"/>
    <x v="168"/>
    <n v="132"/>
    <s v="J (Apr 20)"/>
    <d v="2020-04-15T00:00:00"/>
    <n v="-1"/>
  </r>
  <r>
    <x v="633"/>
    <x v="30"/>
    <n v="19.07"/>
    <n v="19.07"/>
    <n v="19.07"/>
    <n v="19.07"/>
    <x v="2769"/>
    <n v="-0.05"/>
    <n v="1"/>
    <n v="0"/>
    <n v="300"/>
    <x v="69"/>
    <n v="258"/>
    <s v="Q (Aug 20)"/>
    <d v="2020-08-19T00:00:00"/>
    <n v="-1"/>
  </r>
  <r>
    <x v="633"/>
    <x v="35"/>
    <n v="18.22"/>
    <n v="18.309999999999999"/>
    <n v="18"/>
    <n v="18.07"/>
    <x v="2721"/>
    <n v="-0.15"/>
    <n v="8799"/>
    <n v="0"/>
    <n v="32956"/>
    <x v="183"/>
    <n v="104"/>
    <s v="H (Mar 20)"/>
    <d v="2020-03-18T00:00:00"/>
    <n v="-1"/>
  </r>
  <r>
    <x v="633"/>
    <x v="31"/>
    <n v="19.059999999999999"/>
    <n v="19.149999999999999"/>
    <n v="18.95"/>
    <n v="18.95"/>
    <x v="2774"/>
    <n v="-0.125"/>
    <n v="109"/>
    <n v="0"/>
    <n v="3307"/>
    <x v="68"/>
    <n v="230"/>
    <s v="N (Jul 20)"/>
    <d v="2020-07-22T00:00:00"/>
    <n v="-1"/>
  </r>
  <r>
    <x v="633"/>
    <x v="33"/>
    <n v="18.8"/>
    <n v="18.829999999999998"/>
    <n v="18.649999999999999"/>
    <n v="18.71"/>
    <x v="2751"/>
    <n v="-0.125"/>
    <n v="1681"/>
    <n v="0"/>
    <n v="20809"/>
    <x v="41"/>
    <n v="167"/>
    <s v="K (May 20)"/>
    <d v="2020-05-20T00:00:00"/>
    <n v="-1"/>
  </r>
  <r>
    <x v="633"/>
    <x v="32"/>
    <n v="18.89"/>
    <n v="18.940000000000001"/>
    <n v="18.77"/>
    <n v="18.829999999999998"/>
    <x v="2750"/>
    <n v="-0.1"/>
    <n v="785"/>
    <n v="0"/>
    <n v="9867"/>
    <x v="185"/>
    <n v="195"/>
    <s v="M (Jun 20)"/>
    <d v="2020-06-17T00:00:00"/>
    <n v="-1"/>
  </r>
  <r>
    <x v="634"/>
    <x v="31"/>
    <n v="19.350000000000001"/>
    <n v="19.420000000000002"/>
    <n v="19.05"/>
    <n v="19.100000000000001"/>
    <x v="2769"/>
    <n v="-0.2"/>
    <n v="320"/>
    <n v="0"/>
    <n v="3271"/>
    <x v="74"/>
    <n v="231"/>
    <s v="N (Jul 20)"/>
    <d v="2020-07-22T00:00:00"/>
    <n v="-1"/>
  </r>
  <r>
    <x v="634"/>
    <x v="33"/>
    <n v="19.059999999999999"/>
    <n v="19.149999999999999"/>
    <n v="18.71"/>
    <n v="18.78"/>
    <x v="2753"/>
    <n v="-0.22500000000000001"/>
    <n v="3236"/>
    <n v="0"/>
    <n v="20545"/>
    <x v="53"/>
    <n v="168"/>
    <s v="K (May 20)"/>
    <d v="2020-05-20T00:00:00"/>
    <n v="-1"/>
  </r>
  <r>
    <x v="634"/>
    <x v="32"/>
    <n v="19.149999999999999"/>
    <n v="19.2"/>
    <n v="18.829999999999998"/>
    <n v="18.920000000000002"/>
    <x v="2775"/>
    <n v="-0.25"/>
    <n v="1409"/>
    <n v="0"/>
    <n v="9745"/>
    <x v="1"/>
    <n v="196"/>
    <s v="M (Jun 20)"/>
    <d v="2020-06-17T00:00:00"/>
    <n v="-1"/>
  </r>
  <r>
    <x v="634"/>
    <x v="34"/>
    <n v="18.91"/>
    <n v="19"/>
    <n v="18.5"/>
    <n v="18.61"/>
    <x v="2776"/>
    <n v="-0.25"/>
    <n v="5388"/>
    <n v="0"/>
    <n v="19212"/>
    <x v="5"/>
    <n v="133"/>
    <s v="J (Apr 20)"/>
    <d v="2020-04-15T00:00:00"/>
    <n v="-1"/>
  </r>
  <r>
    <x v="634"/>
    <x v="30"/>
    <n v="19.260000000000002"/>
    <n v="19.3"/>
    <n v="19.170000000000002"/>
    <n v="19.18"/>
    <x v="2632"/>
    <n v="-0.2"/>
    <n v="32"/>
    <n v="0"/>
    <n v="299"/>
    <x v="75"/>
    <n v="259"/>
    <s v="Q (Aug 20)"/>
    <d v="2020-08-19T00:00:00"/>
    <n v="-1"/>
  </r>
  <r>
    <x v="634"/>
    <x v="35"/>
    <n v="18.52"/>
    <n v="18.649999999999999"/>
    <n v="18.07"/>
    <n v="18.2"/>
    <x v="2752"/>
    <n v="-0.3"/>
    <n v="14120"/>
    <n v="0"/>
    <n v="31594"/>
    <x v="7"/>
    <n v="105"/>
    <s v="H (Mar 20)"/>
    <d v="2020-03-18T00:00:00"/>
    <n v="-1"/>
  </r>
  <r>
    <x v="635"/>
    <x v="34"/>
    <n v="18.61"/>
    <n v="19.170000000000002"/>
    <n v="18.510000000000002"/>
    <n v="18.899999999999999"/>
    <x v="2775"/>
    <n v="0.15"/>
    <n v="9587"/>
    <n v="0"/>
    <n v="19247"/>
    <x v="17"/>
    <n v="134"/>
    <s v="J (Apr 20)"/>
    <d v="2020-04-15T00:00:00"/>
    <n v="-1"/>
  </r>
  <r>
    <x v="635"/>
    <x v="30"/>
    <n v="19"/>
    <n v="19.5"/>
    <n v="19"/>
    <n v="19.440000000000001"/>
    <x v="2650"/>
    <n v="0.32500000000000001"/>
    <n v="49"/>
    <n v="0"/>
    <n v="270"/>
    <x v="87"/>
    <n v="260"/>
    <s v="Q (Aug 20)"/>
    <d v="2020-08-19T00:00:00"/>
    <n v="-1"/>
  </r>
  <r>
    <x v="635"/>
    <x v="35"/>
    <n v="18.190000000000001"/>
    <n v="18.8"/>
    <n v="18.100000000000001"/>
    <n v="18.5"/>
    <x v="2741"/>
    <n v="0.25"/>
    <n v="19741"/>
    <n v="0"/>
    <n v="30872"/>
    <x v="10"/>
    <n v="106"/>
    <s v="H (Mar 20)"/>
    <d v="2020-03-18T00:00:00"/>
    <n v="-1"/>
  </r>
  <r>
    <x v="635"/>
    <x v="31"/>
    <n v="19"/>
    <n v="19.5"/>
    <n v="18.98"/>
    <n v="19.350000000000001"/>
    <x v="2777"/>
    <n v="0.27500000000000002"/>
    <n v="816"/>
    <n v="0"/>
    <n v="3170"/>
    <x v="86"/>
    <n v="232"/>
    <s v="N (Jul 20)"/>
    <d v="2020-07-22T00:00:00"/>
    <n v="-1"/>
  </r>
  <r>
    <x v="635"/>
    <x v="33"/>
    <n v="18.760000000000002"/>
    <n v="19.3"/>
    <n v="18.670000000000002"/>
    <n v="19.07"/>
    <x v="2778"/>
    <n v="0.2"/>
    <n v="5563"/>
    <n v="0"/>
    <n v="19761"/>
    <x v="59"/>
    <n v="169"/>
    <s v="K (May 20)"/>
    <d v="2020-05-20T00:00:00"/>
    <n v="-1"/>
  </r>
  <r>
    <x v="635"/>
    <x v="32"/>
    <n v="18.87"/>
    <n v="19.37"/>
    <n v="18.8"/>
    <n v="19.170000000000002"/>
    <x v="2769"/>
    <n v="0.2"/>
    <n v="1820"/>
    <n v="0"/>
    <n v="9152"/>
    <x v="13"/>
    <n v="197"/>
    <s v="M (Jun 20)"/>
    <d v="2020-06-17T00:00:00"/>
    <n v="-1"/>
  </r>
  <r>
    <x v="636"/>
    <x v="31"/>
    <n v="18.649999999999999"/>
    <n v="19.05"/>
    <n v="18.55"/>
    <n v="19.05"/>
    <x v="2773"/>
    <n v="0.4"/>
    <n v="594"/>
    <n v="0"/>
    <n v="2795"/>
    <x v="92"/>
    <n v="233"/>
    <s v="N (Jul 20)"/>
    <d v="2020-07-22T00:00:00"/>
    <n v="-1"/>
  </r>
  <r>
    <x v="636"/>
    <x v="33"/>
    <n v="18.37"/>
    <n v="18.86"/>
    <n v="18.25"/>
    <n v="18.82"/>
    <x v="2766"/>
    <n v="0.45"/>
    <n v="6354"/>
    <n v="0"/>
    <n v="18140"/>
    <x v="71"/>
    <n v="170"/>
    <s v="K (May 20)"/>
    <d v="2020-05-20T00:00:00"/>
    <n v="-1"/>
  </r>
  <r>
    <x v="636"/>
    <x v="32"/>
    <n v="18.45"/>
    <n v="18.95"/>
    <n v="18.39"/>
    <n v="18.91"/>
    <x v="2771"/>
    <n v="0.42499999999999999"/>
    <n v="1694"/>
    <n v="0"/>
    <n v="8589"/>
    <x v="19"/>
    <n v="198"/>
    <s v="M (Jun 20)"/>
    <d v="2020-06-17T00:00:00"/>
    <n v="-1"/>
  </r>
  <r>
    <x v="636"/>
    <x v="34"/>
    <n v="18.22"/>
    <n v="18.71"/>
    <n v="18.05"/>
    <n v="18.63"/>
    <x v="2762"/>
    <n v="0.5"/>
    <n v="9903"/>
    <n v="0"/>
    <n v="20241"/>
    <x v="23"/>
    <n v="135"/>
    <s v="J (Apr 20)"/>
    <d v="2020-04-15T00:00:00"/>
    <n v="-1"/>
  </r>
  <r>
    <x v="636"/>
    <x v="30"/>
    <n v="18.8"/>
    <n v="19.100000000000001"/>
    <n v="18.77"/>
    <n v="19.100000000000001"/>
    <x v="2773"/>
    <n v="0.42499999999999999"/>
    <n v="129"/>
    <n v="0"/>
    <n v="230"/>
    <x v="93"/>
    <n v="261"/>
    <s v="Q (Aug 20)"/>
    <d v="2020-08-19T00:00:00"/>
    <n v="-1"/>
  </r>
  <r>
    <x v="636"/>
    <x v="35"/>
    <n v="17.82"/>
    <n v="18.3"/>
    <n v="17.649999999999999"/>
    <n v="18.21"/>
    <x v="2758"/>
    <n v="0.4"/>
    <n v="19151"/>
    <n v="0"/>
    <n v="33015"/>
    <x v="25"/>
    <n v="107"/>
    <s v="H (Mar 20)"/>
    <d v="2020-03-18T00:00:00"/>
    <n v="-1"/>
  </r>
  <r>
    <x v="637"/>
    <x v="34"/>
    <n v="17.95"/>
    <n v="18.25"/>
    <n v="17.95"/>
    <n v="18.25"/>
    <x v="2752"/>
    <n v="0.2"/>
    <n v="3169"/>
    <n v="0"/>
    <n v="18555"/>
    <x v="34"/>
    <n v="138"/>
    <s v="J (Apr 20)"/>
    <d v="2020-04-15T00:00:00"/>
    <n v="-1"/>
  </r>
  <r>
    <x v="637"/>
    <x v="30"/>
    <n v="18.73"/>
    <n v="18.8"/>
    <n v="18.66"/>
    <n v="18.66"/>
    <x v="2776"/>
    <n v="7.4999999999999997E-2"/>
    <n v="39"/>
    <n v="0"/>
    <n v="135"/>
    <x v="105"/>
    <n v="264"/>
    <s v="Q (Aug 20)"/>
    <d v="2020-08-19T00:00:00"/>
    <n v="-1"/>
  </r>
  <r>
    <x v="637"/>
    <x v="35"/>
    <n v="17.600000000000001"/>
    <n v="17.87"/>
    <n v="17.600000000000001"/>
    <n v="17.86"/>
    <x v="2719"/>
    <n v="0.3"/>
    <n v="4411"/>
    <n v="0"/>
    <n v="34261"/>
    <x v="28"/>
    <n v="110"/>
    <s v="H (Mar 20)"/>
    <d v="2020-03-18T00:00:00"/>
    <n v="-1"/>
  </r>
  <r>
    <x v="637"/>
    <x v="31"/>
    <n v="18.600000000000001"/>
    <n v="18.7"/>
    <n v="18.55"/>
    <n v="18.649999999999999"/>
    <x v="2756"/>
    <n v="0.1"/>
    <n v="193"/>
    <n v="0"/>
    <n v="2562"/>
    <x v="104"/>
    <n v="236"/>
    <s v="N (Jul 20)"/>
    <d v="2020-07-22T00:00:00"/>
    <n v="-1"/>
  </r>
  <r>
    <x v="637"/>
    <x v="33"/>
    <n v="18.3"/>
    <n v="18.399999999999999"/>
    <n v="18.25"/>
    <n v="18.399999999999999"/>
    <x v="2645"/>
    <n v="0.15"/>
    <n v="1412"/>
    <n v="0"/>
    <n v="16652"/>
    <x v="77"/>
    <n v="173"/>
    <s v="K (May 20)"/>
    <d v="2020-05-20T00:00:00"/>
    <n v="-1"/>
  </r>
  <r>
    <x v="637"/>
    <x v="32"/>
    <n v="18.399999999999999"/>
    <n v="18.5"/>
    <n v="18.350000000000001"/>
    <n v="18.5"/>
    <x v="2754"/>
    <n v="0.17499999999999999"/>
    <n v="708"/>
    <n v="0"/>
    <n v="7908"/>
    <x v="30"/>
    <n v="201"/>
    <s v="M (Jun 20)"/>
    <d v="2020-06-17T00:00:00"/>
    <n v="-1"/>
  </r>
  <r>
    <x v="638"/>
    <x v="31"/>
    <n v="18.5"/>
    <n v="18.559999999999999"/>
    <n v="18.45"/>
    <n v="18.54"/>
    <x v="2740"/>
    <n v="2.5000000000000001E-2"/>
    <n v="689"/>
    <n v="0"/>
    <n v="2498"/>
    <x v="110"/>
    <n v="238"/>
    <s v="N (Jul 20)"/>
    <d v="2020-07-22T00:00:00"/>
    <n v="-1"/>
  </r>
  <r>
    <x v="638"/>
    <x v="33"/>
    <n v="18.2"/>
    <n v="18.25"/>
    <n v="18.12"/>
    <n v="18.2"/>
    <x v="2752"/>
    <n v="0.05"/>
    <n v="2168"/>
    <n v="0"/>
    <n v="16469"/>
    <x v="89"/>
    <n v="175"/>
    <s v="K (May 20)"/>
    <d v="2020-05-20T00:00:00"/>
    <n v="-1"/>
  </r>
  <r>
    <x v="638"/>
    <x v="32"/>
    <n v="18.3"/>
    <n v="18.36"/>
    <n v="18.25"/>
    <n v="18.350000000000001"/>
    <x v="2651"/>
    <n v="0"/>
    <n v="1395"/>
    <n v="0"/>
    <n v="7906"/>
    <x v="36"/>
    <n v="203"/>
    <s v="M (Jun 20)"/>
    <d v="2020-06-17T00:00:00"/>
    <n v="-1"/>
  </r>
  <r>
    <x v="638"/>
    <x v="34"/>
    <n v="17.97"/>
    <n v="18.02"/>
    <n v="17.899999999999999"/>
    <n v="17.989999999999998"/>
    <x v="2749"/>
    <n v="0.05"/>
    <n v="3158"/>
    <n v="0"/>
    <n v="18404"/>
    <x v="40"/>
    <n v="140"/>
    <s v="J (Apr 20)"/>
    <d v="2020-04-15T00:00:00"/>
    <n v="-1"/>
  </r>
  <r>
    <x v="638"/>
    <x v="30"/>
    <n v="18.600000000000001"/>
    <n v="18.649999999999999"/>
    <n v="18.55"/>
    <n v="18.61"/>
    <x v="2740"/>
    <n v="0"/>
    <n v="108"/>
    <n v="0"/>
    <n v="105"/>
    <x v="111"/>
    <n v="266"/>
    <s v="Q (Aug 20)"/>
    <d v="2020-08-19T00:00:00"/>
    <n v="-1"/>
  </r>
  <r>
    <x v="638"/>
    <x v="35"/>
    <n v="17.559999999999999"/>
    <n v="17.63"/>
    <n v="17.5"/>
    <n v="17.57"/>
    <x v="2654"/>
    <n v="0"/>
    <n v="3996"/>
    <n v="0"/>
    <n v="34616"/>
    <x v="43"/>
    <n v="112"/>
    <s v="H (Mar 20)"/>
    <d v="2020-03-18T00:00:00"/>
    <n v="-1"/>
  </r>
  <r>
    <x v="639"/>
    <x v="34"/>
    <n v="18.100000000000001"/>
    <n v="18.149999999999999"/>
    <n v="17.95"/>
    <n v="17.96"/>
    <x v="2672"/>
    <n v="-0.1"/>
    <n v="4545"/>
    <n v="0"/>
    <n v="18008"/>
    <x v="52"/>
    <n v="141"/>
    <s v="J (Apr 20)"/>
    <d v="2020-04-15T00:00:00"/>
    <n v="-1"/>
  </r>
  <r>
    <x v="639"/>
    <x v="30"/>
    <n v="18.649999999999999"/>
    <n v="18.7"/>
    <n v="18.61"/>
    <n v="18.649999999999999"/>
    <x v="2740"/>
    <n v="-0.2"/>
    <n v="25"/>
    <n v="0"/>
    <n v="19"/>
    <x v="123"/>
    <n v="267"/>
    <s v="Q (Aug 20)"/>
    <d v="2020-08-19T00:00:00"/>
    <n v="-1"/>
  </r>
  <r>
    <x v="639"/>
    <x v="35"/>
    <n v="17.71"/>
    <n v="17.75"/>
    <n v="17.53"/>
    <n v="17.600000000000001"/>
    <x v="2654"/>
    <n v="-0.15"/>
    <n v="5791"/>
    <n v="0"/>
    <n v="34755"/>
    <x v="46"/>
    <n v="113"/>
    <s v="H (Mar 20)"/>
    <d v="2020-03-18T00:00:00"/>
    <n v="-1"/>
  </r>
  <r>
    <x v="639"/>
    <x v="31"/>
    <n v="18.55"/>
    <n v="18.649999999999999"/>
    <n v="18.48"/>
    <n v="18.55"/>
    <x v="2741"/>
    <n v="-0.1"/>
    <n v="1010"/>
    <n v="0"/>
    <n v="2170"/>
    <x v="122"/>
    <n v="239"/>
    <s v="N (Jul 20)"/>
    <d v="2020-07-22T00:00:00"/>
    <n v="-1"/>
  </r>
  <r>
    <x v="639"/>
    <x v="33"/>
    <n v="18.28"/>
    <n v="18.34"/>
    <n v="18.16"/>
    <n v="18.18"/>
    <x v="2736"/>
    <n v="-0.15"/>
    <n v="2109"/>
    <n v="0"/>
    <n v="16145"/>
    <x v="95"/>
    <n v="176"/>
    <s v="K (May 20)"/>
    <d v="2020-05-20T00:00:00"/>
    <n v="-1"/>
  </r>
  <r>
    <x v="639"/>
    <x v="32"/>
    <n v="18.45"/>
    <n v="18.45"/>
    <n v="18.28"/>
    <n v="18.350000000000001"/>
    <x v="2651"/>
    <n v="-0.1"/>
    <n v="1552"/>
    <n v="0"/>
    <n v="7447"/>
    <x v="48"/>
    <n v="204"/>
    <s v="M (Jun 20)"/>
    <d v="2020-06-17T00:00:00"/>
    <n v="-1"/>
  </r>
  <r>
    <x v="640"/>
    <x v="31"/>
    <n v="18.8"/>
    <n v="18.8"/>
    <n v="18.600000000000001"/>
    <n v="18.600000000000001"/>
    <x v="2776"/>
    <n v="-0.27500000000000002"/>
    <n v="300"/>
    <n v="0"/>
    <n v="1624"/>
    <x v="128"/>
    <n v="240"/>
    <s v="N (Jul 20)"/>
    <d v="2020-07-22T00:00:00"/>
    <n v="-1"/>
  </r>
  <r>
    <x v="640"/>
    <x v="33"/>
    <n v="18.59"/>
    <n v="18.59"/>
    <n v="18.260000000000002"/>
    <n v="18.309999999999999"/>
    <x v="2651"/>
    <n v="-0.3"/>
    <n v="2728"/>
    <n v="0"/>
    <n v="15687"/>
    <x v="107"/>
    <n v="177"/>
    <s v="K (May 20)"/>
    <d v="2020-05-20T00:00:00"/>
    <n v="-1"/>
  </r>
  <r>
    <x v="640"/>
    <x v="32"/>
    <n v="18.71"/>
    <n v="18.71"/>
    <n v="18.399999999999999"/>
    <n v="18.41"/>
    <x v="2647"/>
    <n v="-0.32500000000000001"/>
    <n v="1024"/>
    <n v="0"/>
    <n v="6828"/>
    <x v="54"/>
    <n v="205"/>
    <s v="M (Jun 20)"/>
    <d v="2020-06-17T00:00:00"/>
    <n v="-1"/>
  </r>
  <r>
    <x v="640"/>
    <x v="34"/>
    <n v="18.399999999999999"/>
    <n v="18.399999999999999"/>
    <n v="18.05"/>
    <n v="18.09"/>
    <x v="2721"/>
    <n v="-0.35"/>
    <n v="5535"/>
    <n v="0"/>
    <n v="17723"/>
    <x v="58"/>
    <n v="142"/>
    <s v="J (Apr 20)"/>
    <d v="2020-04-15T00:00:00"/>
    <n v="-1"/>
  </r>
  <r>
    <x v="640"/>
    <x v="30"/>
    <n v="19"/>
    <n v="19"/>
    <n v="18.899999999999999"/>
    <n v="19"/>
    <x v="2757"/>
    <n v="0"/>
    <n v="1"/>
    <n v="0"/>
    <n v="1"/>
    <x v="186"/>
    <n v="268"/>
    <s v="Q (Aug 20)"/>
    <d v="2020-08-19T00:00:00"/>
    <n v="-1"/>
  </r>
  <r>
    <x v="640"/>
    <x v="35"/>
    <n v="18.03"/>
    <n v="18.03"/>
    <n v="17.670000000000002"/>
    <n v="17.72"/>
    <x v="2709"/>
    <n v="-0.35"/>
    <n v="7798"/>
    <n v="0"/>
    <n v="34110"/>
    <x v="61"/>
    <n v="114"/>
    <s v="H (Mar 20)"/>
    <d v="2020-03-18T00:00:00"/>
    <n v="-1"/>
  </r>
  <r>
    <x v="641"/>
    <x v="34"/>
    <n v="18.649999999999999"/>
    <n v="18.670000000000002"/>
    <n v="18.399999999999999"/>
    <n v="18.399999999999999"/>
    <x v="2647"/>
    <n v="-0.2"/>
    <n v="6890"/>
    <n v="0"/>
    <n v="17248"/>
    <x v="70"/>
    <n v="145"/>
    <s v="J (Apr 20)"/>
    <d v="2020-04-15T00:00:00"/>
    <n v="-1"/>
  </r>
  <r>
    <x v="641"/>
    <x v="35"/>
    <n v="18.3"/>
    <n v="18.32"/>
    <n v="18.05"/>
    <n v="18.05"/>
    <x v="2721"/>
    <n v="-0.2"/>
    <n v="9104"/>
    <n v="0"/>
    <n v="32559"/>
    <x v="64"/>
    <n v="117"/>
    <s v="H (Mar 20)"/>
    <d v="2020-03-18T00:00:00"/>
    <n v="-1"/>
  </r>
  <r>
    <x v="641"/>
    <x v="31"/>
    <n v="18.95"/>
    <n v="19"/>
    <n v="18.850000000000001"/>
    <n v="18.86"/>
    <x v="1576"/>
    <n v="-7.4999999999999997E-2"/>
    <n v="644"/>
    <n v="0"/>
    <n v="1442"/>
    <x v="139"/>
    <n v="243"/>
    <s v="N (Jul 20)"/>
    <d v="2020-07-22T00:00:00"/>
    <n v="-1"/>
  </r>
  <r>
    <x v="641"/>
    <x v="33"/>
    <n v="18.8"/>
    <n v="18.809999999999999"/>
    <n v="18.59"/>
    <n v="18.59"/>
    <x v="2776"/>
    <n v="-0.15"/>
    <n v="1993"/>
    <n v="0"/>
    <n v="15993"/>
    <x v="113"/>
    <n v="180"/>
    <s v="K (May 20)"/>
    <d v="2020-05-20T00:00:00"/>
    <n v="-1"/>
  </r>
  <r>
    <x v="641"/>
    <x v="32"/>
    <n v="18.850000000000001"/>
    <n v="18.91"/>
    <n v="18.71"/>
    <n v="18.72"/>
    <x v="2757"/>
    <n v="-0.125"/>
    <n v="1187"/>
    <n v="0"/>
    <n v="6735"/>
    <x v="66"/>
    <n v="208"/>
    <s v="M (Jun 20)"/>
    <d v="2020-06-17T00:00:00"/>
    <n v="-1"/>
  </r>
  <r>
    <x v="642"/>
    <x v="31"/>
    <n v="18.82"/>
    <n v="19.05"/>
    <n v="18.82"/>
    <n v="19"/>
    <x v="2640"/>
    <n v="0.17499999999999999"/>
    <n v="244"/>
    <n v="0"/>
    <n v="1156"/>
    <x v="144"/>
    <n v="244"/>
    <s v="N (Jul 20)"/>
    <d v="2020-07-22T00:00:00"/>
    <n v="-1"/>
  </r>
  <r>
    <x v="642"/>
    <x v="33"/>
    <n v="18.600000000000001"/>
    <n v="18.829999999999998"/>
    <n v="18.57"/>
    <n v="18.8"/>
    <x v="2750"/>
    <n v="0.2"/>
    <n v="2293"/>
    <n v="0"/>
    <n v="15539"/>
    <x v="125"/>
    <n v="181"/>
    <s v="K (May 20)"/>
    <d v="2020-05-20T00:00:00"/>
    <n v="-1"/>
  </r>
  <r>
    <x v="642"/>
    <x v="32"/>
    <n v="18.7"/>
    <n v="18.93"/>
    <n v="18.66"/>
    <n v="18.899999999999999"/>
    <x v="2775"/>
    <n v="0.2"/>
    <n v="1090"/>
    <n v="0"/>
    <n v="6274"/>
    <x v="72"/>
    <n v="209"/>
    <s v="M (Jun 20)"/>
    <d v="2020-06-17T00:00:00"/>
    <n v="-1"/>
  </r>
  <r>
    <x v="642"/>
    <x v="34"/>
    <n v="18.5"/>
    <n v="18.7"/>
    <n v="18.399999999999999"/>
    <n v="18.670000000000002"/>
    <x v="2776"/>
    <n v="0.2"/>
    <n v="4355"/>
    <n v="0"/>
    <n v="16512"/>
    <x v="76"/>
    <n v="146"/>
    <s v="J (Apr 20)"/>
    <d v="2020-04-15T00:00:00"/>
    <n v="-1"/>
  </r>
  <r>
    <x v="642"/>
    <x v="35"/>
    <n v="18.100000000000001"/>
    <n v="18.37"/>
    <n v="18.05"/>
    <n v="18.3"/>
    <x v="2758"/>
    <n v="0.2"/>
    <n v="7676"/>
    <n v="0"/>
    <n v="29237"/>
    <x v="79"/>
    <n v="118"/>
    <s v="H (Mar 20)"/>
    <d v="2020-03-18T00:00:00"/>
    <n v="-1"/>
  </r>
  <r>
    <x v="643"/>
    <x v="34"/>
    <n v="18.260000000000002"/>
    <n v="18.7"/>
    <n v="18.2"/>
    <n v="18.399999999999999"/>
    <x v="2647"/>
    <n v="0.2"/>
    <n v="7634"/>
    <n v="0"/>
    <n v="16722"/>
    <x v="88"/>
    <n v="147"/>
    <s v="J (Apr 20)"/>
    <d v="2020-04-15T00:00:00"/>
    <n v="-1"/>
  </r>
  <r>
    <x v="643"/>
    <x v="35"/>
    <n v="17.899999999999999"/>
    <n v="18.37"/>
    <n v="17.850000000000001"/>
    <n v="18.02"/>
    <x v="2721"/>
    <n v="0.2"/>
    <n v="10848"/>
    <n v="0"/>
    <n v="28320"/>
    <x v="82"/>
    <n v="119"/>
    <s v="H (Mar 20)"/>
    <d v="2020-03-18T00:00:00"/>
    <n v="-1"/>
  </r>
  <r>
    <x v="643"/>
    <x v="31"/>
    <n v="18.600000000000001"/>
    <n v="18.95"/>
    <n v="18.579999999999998"/>
    <n v="18.8"/>
    <x v="2753"/>
    <n v="0.25"/>
    <n v="471"/>
    <n v="0"/>
    <n v="979"/>
    <x v="155"/>
    <n v="245"/>
    <s v="N (Jul 20)"/>
    <d v="2020-07-22T00:00:00"/>
    <n v="-1"/>
  </r>
  <r>
    <x v="643"/>
    <x v="33"/>
    <n v="18.38"/>
    <n v="18.8"/>
    <n v="18.350000000000001"/>
    <n v="18.52"/>
    <x v="2743"/>
    <n v="0.2"/>
    <n v="4598"/>
    <n v="0"/>
    <n v="15097"/>
    <x v="130"/>
    <n v="182"/>
    <s v="K (May 20)"/>
    <d v="2020-05-20T00:00:00"/>
    <n v="-1"/>
  </r>
  <r>
    <x v="643"/>
    <x v="32"/>
    <n v="18.510000000000002"/>
    <n v="18.88"/>
    <n v="18.47"/>
    <n v="18.649999999999999"/>
    <x v="2751"/>
    <n v="0.2"/>
    <n v="1198"/>
    <n v="0"/>
    <n v="5933"/>
    <x v="84"/>
    <n v="210"/>
    <s v="M (Jun 20)"/>
    <d v="2020-06-17T00:00:00"/>
    <n v="-1"/>
  </r>
  <r>
    <x v="644"/>
    <x v="31"/>
    <n v="18.48"/>
    <n v="18.649999999999999"/>
    <n v="18.34"/>
    <n v="18.559999999999999"/>
    <x v="2740"/>
    <n v="0.1"/>
    <n v="702"/>
    <n v="0"/>
    <n v="695"/>
    <x v="160"/>
    <n v="246"/>
    <s v="N (Jul 20)"/>
    <d v="2020-07-22T00:00:00"/>
    <n v="-1"/>
  </r>
  <r>
    <x v="644"/>
    <x v="33"/>
    <n v="18.25"/>
    <n v="18.43"/>
    <n v="18.11"/>
    <n v="18.36"/>
    <x v="2645"/>
    <n v="0.15"/>
    <n v="3063"/>
    <n v="0"/>
    <n v="13754"/>
    <x v="141"/>
    <n v="183"/>
    <s v="K (May 20)"/>
    <d v="2020-05-20T00:00:00"/>
    <n v="-1"/>
  </r>
  <r>
    <x v="644"/>
    <x v="32"/>
    <n v="18.399999999999999"/>
    <n v="18.559999999999999"/>
    <n v="18.2"/>
    <n v="18.45"/>
    <x v="2659"/>
    <n v="0.125"/>
    <n v="1262"/>
    <n v="0"/>
    <n v="5463"/>
    <x v="90"/>
    <n v="211"/>
    <s v="M (Jun 20)"/>
    <d v="2020-06-17T00:00:00"/>
    <n v="-1"/>
  </r>
  <r>
    <x v="644"/>
    <x v="34"/>
    <n v="18.149999999999999"/>
    <n v="18.3"/>
    <n v="17.96"/>
    <n v="18.2"/>
    <x v="2752"/>
    <n v="0.15"/>
    <n v="6781"/>
    <n v="0"/>
    <n v="15970"/>
    <x v="94"/>
    <n v="148"/>
    <s v="J (Apr 20)"/>
    <d v="2020-04-15T00:00:00"/>
    <n v="-1"/>
  </r>
  <r>
    <x v="644"/>
    <x v="35"/>
    <n v="17.78"/>
    <n v="17.95"/>
    <n v="17.61"/>
    <n v="17.850000000000001"/>
    <x v="2719"/>
    <n v="0.15"/>
    <n v="6813"/>
    <n v="0"/>
    <n v="28681"/>
    <x v="97"/>
    <n v="120"/>
    <s v="H (Mar 20)"/>
    <d v="2020-03-18T00:00:00"/>
    <n v="-1"/>
  </r>
  <r>
    <x v="645"/>
    <x v="34"/>
    <n v="18.190000000000001"/>
    <n v="18.32"/>
    <n v="18.02"/>
    <n v="18.11"/>
    <x v="2721"/>
    <n v="-0.05"/>
    <n v="4150"/>
    <n v="0"/>
    <n v="15721"/>
    <x v="106"/>
    <n v="149"/>
    <s v="J (Apr 20)"/>
    <d v="2020-04-15T00:00:00"/>
    <n v="-1"/>
  </r>
  <r>
    <x v="645"/>
    <x v="35"/>
    <n v="17.899999999999999"/>
    <n v="18"/>
    <n v="17.68"/>
    <n v="17.8"/>
    <x v="2709"/>
    <n v="-0.1"/>
    <n v="7809"/>
    <n v="0"/>
    <n v="27763"/>
    <x v="100"/>
    <n v="121"/>
    <s v="H (Mar 20)"/>
    <d v="2020-03-18T00:00:00"/>
    <n v="-1"/>
  </r>
  <r>
    <x v="645"/>
    <x v="31"/>
    <n v="18.510000000000002"/>
    <n v="18.600000000000001"/>
    <n v="18.420000000000002"/>
    <n v="18.45"/>
    <x v="2649"/>
    <n v="-0.05"/>
    <n v="77"/>
    <n v="0"/>
    <n v="309"/>
    <x v="171"/>
    <n v="247"/>
    <s v="N (Jul 20)"/>
    <d v="2020-07-22T00:00:00"/>
    <n v="-1"/>
  </r>
  <r>
    <x v="645"/>
    <x v="33"/>
    <n v="18.3"/>
    <n v="18.399999999999999"/>
    <n v="18.149999999999999"/>
    <n v="18.23"/>
    <x v="2752"/>
    <n v="-2.5000000000000001E-2"/>
    <n v="1486"/>
    <n v="0"/>
    <n v="12748"/>
    <x v="147"/>
    <n v="184"/>
    <s v="K (May 20)"/>
    <d v="2020-05-20T00:00:00"/>
    <n v="-1"/>
  </r>
  <r>
    <x v="645"/>
    <x v="32"/>
    <n v="18.399999999999999"/>
    <n v="18.510000000000002"/>
    <n v="18.28"/>
    <n v="18.37"/>
    <x v="2779"/>
    <n v="-0.05"/>
    <n v="367"/>
    <n v="0"/>
    <n v="4905"/>
    <x v="102"/>
    <n v="212"/>
    <s v="M (Jun 20)"/>
    <d v="2020-06-17T00:00:00"/>
    <n v="-1"/>
  </r>
  <r>
    <x v="646"/>
    <x v="31"/>
    <n v="18.55"/>
    <n v="18.600000000000001"/>
    <n v="18.399999999999999"/>
    <n v="18.5"/>
    <x v="2754"/>
    <n v="-0.15"/>
    <n v="26"/>
    <n v="0"/>
    <n v="275"/>
    <x v="4"/>
    <n v="250"/>
    <s v="N (Jul 20)"/>
    <d v="2020-07-22T00:00:00"/>
    <n v="-1"/>
  </r>
  <r>
    <x v="646"/>
    <x v="33"/>
    <n v="18.45"/>
    <n v="18.45"/>
    <n v="18.2"/>
    <n v="18.27"/>
    <x v="2746"/>
    <n v="-0.17499999999999999"/>
    <n v="2126"/>
    <n v="0"/>
    <n v="12543"/>
    <x v="158"/>
    <n v="187"/>
    <s v="K (May 20)"/>
    <d v="2020-05-20T00:00:00"/>
    <n v="-1"/>
  </r>
  <r>
    <x v="646"/>
    <x v="32"/>
    <n v="18.54"/>
    <n v="18.54"/>
    <n v="18.309999999999999"/>
    <n v="18.350000000000001"/>
    <x v="2760"/>
    <n v="-0.15"/>
    <n v="263"/>
    <n v="0"/>
    <n v="4756"/>
    <x v="108"/>
    <n v="215"/>
    <s v="M (Jun 20)"/>
    <d v="2020-06-17T00:00:00"/>
    <n v="-1"/>
  </r>
  <r>
    <x v="646"/>
    <x v="34"/>
    <n v="18.3"/>
    <n v="18.3"/>
    <n v="18.059999999999999"/>
    <n v="18.149999999999999"/>
    <x v="2664"/>
    <n v="-0.2"/>
    <n v="4167"/>
    <n v="0"/>
    <n v="15423"/>
    <x v="112"/>
    <n v="152"/>
    <s v="J (Apr 20)"/>
    <d v="2020-04-15T00:00:00"/>
    <n v="-1"/>
  </r>
  <r>
    <x v="646"/>
    <x v="35"/>
    <n v="17.98"/>
    <n v="18"/>
    <n v="17.7"/>
    <n v="17.809999999999999"/>
    <x v="2704"/>
    <n v="-0.15"/>
    <n v="11616"/>
    <n v="0"/>
    <n v="26729"/>
    <x v="115"/>
    <n v="124"/>
    <s v="H (Mar 20)"/>
    <d v="2020-03-18T00:00:00"/>
    <n v="-1"/>
  </r>
  <r>
    <x v="647"/>
    <x v="34"/>
    <n v="18.45"/>
    <n v="18.55"/>
    <n v="18.3"/>
    <n v="18.3"/>
    <x v="2651"/>
    <n v="-0.1"/>
    <n v="2348"/>
    <n v="0"/>
    <n v="14914"/>
    <x v="124"/>
    <n v="153"/>
    <s v="J (Apr 20)"/>
    <d v="2020-04-15T00:00:00"/>
    <n v="-1"/>
  </r>
  <r>
    <x v="647"/>
    <x v="35"/>
    <n v="18.12"/>
    <n v="18.27"/>
    <n v="17.95"/>
    <n v="17.98"/>
    <x v="2672"/>
    <n v="-0.15"/>
    <n v="4996"/>
    <n v="0"/>
    <n v="24082"/>
    <x v="118"/>
    <n v="125"/>
    <s v="H (Mar 20)"/>
    <d v="2020-03-18T00:00:00"/>
    <n v="-1"/>
  </r>
  <r>
    <x v="647"/>
    <x v="31"/>
    <n v="18.760000000000002"/>
    <n v="18.8"/>
    <n v="18.649999999999999"/>
    <n v="18.73"/>
    <x v="2756"/>
    <n v="-7.4999999999999997E-2"/>
    <n v="49"/>
    <n v="0"/>
    <n v="262"/>
    <x v="16"/>
    <n v="251"/>
    <s v="N (Jul 20)"/>
    <d v="2020-07-22T00:00:00"/>
    <n v="-1"/>
  </r>
  <r>
    <x v="647"/>
    <x v="33"/>
    <n v="18.510000000000002"/>
    <n v="18.63"/>
    <n v="18.41"/>
    <n v="18.420000000000002"/>
    <x v="2647"/>
    <n v="-0.1"/>
    <n v="1348"/>
    <n v="0"/>
    <n v="12752"/>
    <x v="163"/>
    <n v="188"/>
    <s v="K (May 20)"/>
    <d v="2020-05-20T00:00:00"/>
    <n v="-1"/>
  </r>
  <r>
    <x v="647"/>
    <x v="32"/>
    <n v="18.649999999999999"/>
    <n v="18.75"/>
    <n v="18.52"/>
    <n v="18.55"/>
    <x v="2740"/>
    <n v="-7.4999999999999997E-2"/>
    <n v="255"/>
    <n v="0"/>
    <n v="4663"/>
    <x v="120"/>
    <n v="216"/>
    <s v="M (Jun 20)"/>
    <d v="2020-06-17T00:00:00"/>
    <n v="-1"/>
  </r>
  <r>
    <x v="648"/>
    <x v="31"/>
    <n v="18.78"/>
    <n v="18.93"/>
    <n v="18.649999999999999"/>
    <n v="18.7"/>
    <x v="2762"/>
    <n v="-0.05"/>
    <n v="103"/>
    <n v="0"/>
    <n v="239"/>
    <x v="22"/>
    <n v="252"/>
    <s v="N (Jul 20)"/>
    <d v="2020-07-22T00:00:00"/>
    <n v="-1"/>
  </r>
  <r>
    <x v="648"/>
    <x v="33"/>
    <n v="18.559999999999999"/>
    <n v="18.649999999999999"/>
    <n v="18.399999999999999"/>
    <n v="18.55"/>
    <x v="2741"/>
    <n v="0"/>
    <n v="986"/>
    <n v="0"/>
    <n v="12510"/>
    <x v="173"/>
    <n v="189"/>
    <s v="K (May 20)"/>
    <d v="2020-05-20T00:00:00"/>
    <n v="-1"/>
  </r>
  <r>
    <x v="648"/>
    <x v="32"/>
    <n v="18.649999999999999"/>
    <n v="18.75"/>
    <n v="18.5"/>
    <n v="18.649999999999999"/>
    <x v="2776"/>
    <n v="0"/>
    <n v="454"/>
    <n v="0"/>
    <n v="4562"/>
    <x v="126"/>
    <n v="217"/>
    <s v="M (Jun 20)"/>
    <d v="2020-06-17T00:00:00"/>
    <n v="-1"/>
  </r>
  <r>
    <x v="648"/>
    <x v="34"/>
    <n v="18.47"/>
    <n v="18.600000000000001"/>
    <n v="18.309999999999999"/>
    <n v="18.420000000000002"/>
    <x v="2647"/>
    <n v="0"/>
    <n v="2094"/>
    <n v="0"/>
    <n v="15428"/>
    <x v="129"/>
    <n v="154"/>
    <s v="J (Apr 20)"/>
    <d v="2020-04-15T00:00:00"/>
    <n v="-1"/>
  </r>
  <r>
    <x v="648"/>
    <x v="35"/>
    <n v="18.2"/>
    <n v="18.350000000000001"/>
    <n v="18.010000000000002"/>
    <n v="18.12"/>
    <x v="2664"/>
    <n v="-0.05"/>
    <n v="6105"/>
    <n v="0"/>
    <n v="24886"/>
    <x v="132"/>
    <n v="126"/>
    <s v="H (Mar 20)"/>
    <d v="2020-03-18T00:00:00"/>
    <n v="-1"/>
  </r>
  <r>
    <x v="649"/>
    <x v="34"/>
    <n v="18.420000000000002"/>
    <n v="18.52"/>
    <n v="18.32"/>
    <n v="18.46"/>
    <x v="2647"/>
    <n v="0.05"/>
    <n v="1783"/>
    <n v="0"/>
    <n v="15027"/>
    <x v="140"/>
    <n v="155"/>
    <s v="J (Apr 20)"/>
    <d v="2020-04-15T00:00:00"/>
    <n v="-1"/>
  </r>
  <r>
    <x v="649"/>
    <x v="35"/>
    <n v="18.149999999999999"/>
    <n v="18.25"/>
    <n v="18"/>
    <n v="18.170000000000002"/>
    <x v="2736"/>
    <n v="0.1"/>
    <n v="6104"/>
    <n v="0"/>
    <n v="24625"/>
    <x v="135"/>
    <n v="127"/>
    <s v="H (Mar 20)"/>
    <d v="2020-03-18T00:00:00"/>
    <n v="-1"/>
  </r>
  <r>
    <x v="649"/>
    <x v="31"/>
    <n v="18.7"/>
    <n v="18.8"/>
    <n v="18.68"/>
    <n v="18.79"/>
    <x v="2750"/>
    <n v="7.4999999999999997E-2"/>
    <n v="59"/>
    <n v="0"/>
    <n v="204"/>
    <x v="33"/>
    <n v="253"/>
    <s v="N (Jul 20)"/>
    <d v="2020-07-22T00:00:00"/>
    <n v="-1"/>
  </r>
  <r>
    <x v="649"/>
    <x v="33"/>
    <n v="18.5"/>
    <n v="18.600000000000001"/>
    <n v="18.39"/>
    <n v="18.53"/>
    <x v="2741"/>
    <n v="0.05"/>
    <n v="2130"/>
    <n v="0"/>
    <n v="12191"/>
    <x v="174"/>
    <n v="190"/>
    <s v="K (May 20)"/>
    <d v="2020-05-20T00:00:00"/>
    <n v="-1"/>
  </r>
  <r>
    <x v="649"/>
    <x v="32"/>
    <n v="18.55"/>
    <n v="18.75"/>
    <n v="18.55"/>
    <n v="18.66"/>
    <x v="2776"/>
    <n v="2.5000000000000001E-2"/>
    <n v="787"/>
    <n v="0"/>
    <n v="4313"/>
    <x v="137"/>
    <n v="218"/>
    <s v="M (Jun 20)"/>
    <d v="2020-06-17T00:00:00"/>
    <n v="-1"/>
  </r>
  <r>
    <x v="650"/>
    <x v="31"/>
    <n v="18.95"/>
    <n v="18.95"/>
    <n v="18.739999999999998"/>
    <n v="18.75"/>
    <x v="2747"/>
    <n v="-0.15"/>
    <n v="27"/>
    <n v="0"/>
    <n v="174"/>
    <x v="39"/>
    <n v="254"/>
    <s v="N (Jul 20)"/>
    <d v="2020-07-22T00:00:00"/>
    <n v="-1"/>
  </r>
  <r>
    <x v="650"/>
    <x v="33"/>
    <n v="18.600000000000001"/>
    <n v="18.75"/>
    <n v="18.45"/>
    <n v="18.47"/>
    <x v="2659"/>
    <n v="-0.1"/>
    <n v="1035"/>
    <n v="0"/>
    <n v="11628"/>
    <x v="179"/>
    <n v="191"/>
    <s v="K (May 20)"/>
    <d v="2020-05-20T00:00:00"/>
    <n v="-1"/>
  </r>
  <r>
    <x v="650"/>
    <x v="32"/>
    <n v="18.8"/>
    <n v="18.850000000000001"/>
    <n v="18.59"/>
    <n v="18.59"/>
    <x v="2768"/>
    <n v="-0.1"/>
    <n v="235"/>
    <n v="0"/>
    <n v="3805"/>
    <x v="142"/>
    <n v="219"/>
    <s v="M (Jun 20)"/>
    <d v="2020-06-17T00:00:00"/>
    <n v="-1"/>
  </r>
  <r>
    <x v="650"/>
    <x v="34"/>
    <n v="18.55"/>
    <n v="18.7"/>
    <n v="18.350000000000001"/>
    <n v="18.38"/>
    <x v="2645"/>
    <n v="-0.125"/>
    <n v="2303"/>
    <n v="0"/>
    <n v="15227"/>
    <x v="146"/>
    <n v="156"/>
    <s v="J (Apr 20)"/>
    <d v="2020-04-15T00:00:00"/>
    <n v="-1"/>
  </r>
  <r>
    <x v="650"/>
    <x v="35"/>
    <n v="18.3"/>
    <n v="18.45"/>
    <n v="18.05"/>
    <n v="18.100000000000001"/>
    <x v="2721"/>
    <n v="-0.15"/>
    <n v="4043"/>
    <n v="0"/>
    <n v="24449"/>
    <x v="149"/>
    <n v="128"/>
    <s v="H (Mar 20)"/>
    <d v="2020-03-18T00:00:00"/>
    <n v="-1"/>
  </r>
  <r>
    <x v="651"/>
    <x v="34"/>
    <n v="18.55"/>
    <n v="18.68"/>
    <n v="18.45"/>
    <n v="18.52"/>
    <x v="2754"/>
    <n v="-2.5000000000000001E-2"/>
    <n v="1205"/>
    <n v="0"/>
    <n v="15125"/>
    <x v="157"/>
    <n v="159"/>
    <s v="J (Apr 20)"/>
    <d v="2020-04-15T00:00:00"/>
    <n v="-1"/>
  </r>
  <r>
    <x v="651"/>
    <x v="35"/>
    <n v="18.3"/>
    <n v="18.45"/>
    <n v="18.149999999999999"/>
    <n v="18.239999999999998"/>
    <x v="2752"/>
    <n v="-0.05"/>
    <n v="4787"/>
    <n v="0"/>
    <n v="24049"/>
    <x v="152"/>
    <n v="131"/>
    <s v="H (Mar 20)"/>
    <d v="2020-03-18T00:00:00"/>
    <n v="-1"/>
  </r>
  <r>
    <x v="651"/>
    <x v="33"/>
    <n v="18.55"/>
    <n v="18.72"/>
    <n v="18.5"/>
    <n v="18.579999999999998"/>
    <x v="2743"/>
    <n v="0"/>
    <n v="609"/>
    <n v="0"/>
    <n v="11458"/>
    <x v="180"/>
    <n v="194"/>
    <s v="K (May 20)"/>
    <d v="2020-05-20T00:00:00"/>
    <n v="-1"/>
  </r>
  <r>
    <x v="651"/>
    <x v="32"/>
    <n v="18.760000000000002"/>
    <n v="18.8"/>
    <n v="18.62"/>
    <n v="18.75"/>
    <x v="2747"/>
    <n v="0"/>
    <n v="89"/>
    <n v="0"/>
    <n v="3747"/>
    <x v="3"/>
    <n v="222"/>
    <s v="M (Jun 20)"/>
    <d v="2020-06-17T00:00:00"/>
    <n v="-1"/>
  </r>
  <r>
    <x v="652"/>
    <x v="33"/>
    <n v="18.600000000000001"/>
    <n v="18.7"/>
    <n v="18.48"/>
    <n v="18.57"/>
    <x v="2743"/>
    <n v="-0.05"/>
    <n v="1240"/>
    <n v="0"/>
    <n v="11349"/>
    <x v="185"/>
    <n v="195"/>
    <s v="K (May 20)"/>
    <d v="2020-05-20T00:00:00"/>
    <n v="-1"/>
  </r>
  <r>
    <x v="652"/>
    <x v="32"/>
    <n v="18.72"/>
    <n v="18.82"/>
    <n v="18.600000000000001"/>
    <n v="18.690000000000001"/>
    <x v="2747"/>
    <n v="0"/>
    <n v="211"/>
    <n v="0"/>
    <n v="3743"/>
    <x v="15"/>
    <n v="223"/>
    <s v="M (Jun 20)"/>
    <d v="2020-06-17T00:00:00"/>
    <n v="-1"/>
  </r>
  <r>
    <x v="652"/>
    <x v="31"/>
    <n v="18.899999999999999"/>
    <n v="18.899999999999999"/>
    <n v="18.850000000000001"/>
    <n v="18.850000000000001"/>
    <x v="2757"/>
    <n v="-0.05"/>
    <n v="6"/>
    <n v="0"/>
    <n v="161"/>
    <x v="57"/>
    <n v="258"/>
    <s v="N (Jul 20)"/>
    <d v="2020-07-22T00:00:00"/>
    <n v="-1"/>
  </r>
  <r>
    <x v="652"/>
    <x v="34"/>
    <n v="18.57"/>
    <n v="18.66"/>
    <n v="18.399999999999999"/>
    <n v="18.55"/>
    <x v="2741"/>
    <n v="-0.05"/>
    <n v="1788"/>
    <n v="0"/>
    <n v="15013"/>
    <x v="162"/>
    <n v="160"/>
    <s v="J (Apr 20)"/>
    <d v="2020-04-15T00:00:00"/>
    <n v="-1"/>
  </r>
  <r>
    <x v="652"/>
    <x v="35"/>
    <n v="18.38"/>
    <n v="18.47"/>
    <n v="18.2"/>
    <n v="18.3"/>
    <x v="2758"/>
    <n v="-0.1"/>
    <n v="6200"/>
    <n v="0"/>
    <n v="23965"/>
    <x v="165"/>
    <n v="132"/>
    <s v="H (Mar 20)"/>
    <d v="2020-03-18T00:00:00"/>
    <n v="-1"/>
  </r>
  <r>
    <x v="653"/>
    <x v="31"/>
    <n v="18.899999999999999"/>
    <n v="18.899999999999999"/>
    <n v="18.850000000000001"/>
    <n v="18.899999999999999"/>
    <x v="2753"/>
    <n v="0.2"/>
    <n v="13"/>
    <n v="0"/>
    <n v="157"/>
    <x v="69"/>
    <n v="259"/>
    <s v="N (Jul 20)"/>
    <d v="2020-07-22T00:00:00"/>
    <n v="-1"/>
  </r>
  <r>
    <x v="653"/>
    <x v="34"/>
    <n v="18.600000000000001"/>
    <n v="18.72"/>
    <n v="18.5"/>
    <n v="18.559999999999999"/>
    <x v="2743"/>
    <n v="0.05"/>
    <n v="1658"/>
    <n v="0"/>
    <n v="14604"/>
    <x v="172"/>
    <n v="161"/>
    <s v="J (Apr 20)"/>
    <d v="2020-04-15T00:00:00"/>
    <n v="-1"/>
  </r>
  <r>
    <x v="653"/>
    <x v="35"/>
    <n v="18.37"/>
    <n v="18.53"/>
    <n v="18.3"/>
    <n v="18.34"/>
    <x v="2645"/>
    <n v="0.05"/>
    <n v="6004"/>
    <n v="0"/>
    <n v="23287"/>
    <x v="168"/>
    <n v="133"/>
    <s v="H (Mar 20)"/>
    <d v="2020-03-18T00:00:00"/>
    <n v="-1"/>
  </r>
  <r>
    <x v="653"/>
    <x v="33"/>
    <n v="18.62"/>
    <n v="18.75"/>
    <n v="18.53"/>
    <n v="18.600000000000001"/>
    <x v="2776"/>
    <n v="0.1"/>
    <n v="1018"/>
    <n v="0"/>
    <n v="11008"/>
    <x v="1"/>
    <n v="196"/>
    <s v="K (May 20)"/>
    <d v="2020-05-20T00:00:00"/>
    <n v="-1"/>
  </r>
  <r>
    <x v="653"/>
    <x v="32"/>
    <n v="18.7"/>
    <n v="18.82"/>
    <n v="18.649999999999999"/>
    <n v="18.7"/>
    <x v="2747"/>
    <n v="7.4999999999999997E-2"/>
    <n v="571"/>
    <n v="0"/>
    <n v="3641"/>
    <x v="21"/>
    <n v="224"/>
    <s v="M (Jun 20)"/>
    <d v="2020-06-17T00:00:00"/>
    <n v="-1"/>
  </r>
  <r>
    <x v="654"/>
    <x v="33"/>
    <n v="18.28"/>
    <n v="18.579999999999998"/>
    <n v="18.239999999999998"/>
    <n v="18.57"/>
    <x v="2741"/>
    <n v="0.2"/>
    <n v="1349"/>
    <n v="0"/>
    <n v="10962"/>
    <x v="13"/>
    <n v="197"/>
    <s v="K (May 20)"/>
    <d v="2020-05-20T00:00:00"/>
    <n v="-1"/>
  </r>
  <r>
    <x v="654"/>
    <x v="32"/>
    <n v="18.399999999999999"/>
    <n v="18.7"/>
    <n v="18.38"/>
    <n v="18.7"/>
    <x v="2776"/>
    <n v="0.22500000000000001"/>
    <n v="778"/>
    <n v="0"/>
    <n v="3759"/>
    <x v="32"/>
    <n v="225"/>
    <s v="M (Jun 20)"/>
    <d v="2020-06-17T00:00:00"/>
    <n v="-1"/>
  </r>
  <r>
    <x v="654"/>
    <x v="34"/>
    <n v="18.25"/>
    <n v="18.57"/>
    <n v="18.2"/>
    <n v="18.559999999999999"/>
    <x v="2741"/>
    <n v="0.25"/>
    <n v="2813"/>
    <n v="0"/>
    <n v="14253"/>
    <x v="0"/>
    <n v="162"/>
    <s v="J (Apr 20)"/>
    <d v="2020-04-15T00:00:00"/>
    <n v="-1"/>
  </r>
  <r>
    <x v="654"/>
    <x v="35"/>
    <n v="18.02"/>
    <n v="18.399999999999999"/>
    <n v="17.95"/>
    <n v="18.36"/>
    <x v="2651"/>
    <n v="0.25"/>
    <n v="6264"/>
    <n v="0"/>
    <n v="22631"/>
    <x v="5"/>
    <n v="134"/>
    <s v="H (Mar 20)"/>
    <d v="2020-03-18T00:00:00"/>
    <n v="-1"/>
  </r>
  <r>
    <x v="654"/>
    <x v="31"/>
    <n v="18.559999999999999"/>
    <n v="18.7"/>
    <n v="18.559999999999999"/>
    <n v="18.649999999999999"/>
    <x v="2768"/>
    <n v="0.1"/>
    <n v="36"/>
    <n v="0"/>
    <n v="149"/>
    <x v="75"/>
    <n v="260"/>
    <s v="N (Jul 20)"/>
    <d v="2020-07-22T00:00:00"/>
    <n v="-1"/>
  </r>
  <r>
    <x v="655"/>
    <x v="34"/>
    <n v="18.32"/>
    <n v="18.350000000000001"/>
    <n v="18.21"/>
    <n v="18.27"/>
    <x v="2758"/>
    <n v="-0.05"/>
    <n v="1761"/>
    <n v="0"/>
    <n v="14167"/>
    <x v="12"/>
    <n v="163"/>
    <s v="J (Apr 20)"/>
    <d v="2020-04-15T00:00:00"/>
    <n v="-1"/>
  </r>
  <r>
    <x v="655"/>
    <x v="35"/>
    <n v="18.05"/>
    <n v="18.149999999999999"/>
    <n v="17.95"/>
    <n v="18.059999999999999"/>
    <x v="2721"/>
    <n v="-0.05"/>
    <n v="4875"/>
    <n v="0"/>
    <n v="21219"/>
    <x v="17"/>
    <n v="135"/>
    <s v="H (Mar 20)"/>
    <d v="2020-03-18T00:00:00"/>
    <n v="-1"/>
  </r>
  <r>
    <x v="655"/>
    <x v="31"/>
    <n v="18.46"/>
    <n v="18.55"/>
    <n v="18.46"/>
    <n v="18.53"/>
    <x v="2754"/>
    <n v="-0.2"/>
    <n v="24"/>
    <n v="0"/>
    <n v="134"/>
    <x v="87"/>
    <n v="261"/>
    <s v="N (Jul 20)"/>
    <d v="2020-07-22T00:00:00"/>
    <n v="-1"/>
  </r>
  <r>
    <x v="655"/>
    <x v="33"/>
    <n v="18.34"/>
    <n v="18.399999999999999"/>
    <n v="18.25"/>
    <n v="18.3"/>
    <x v="2651"/>
    <n v="-0.05"/>
    <n v="1065"/>
    <n v="0"/>
    <n v="10781"/>
    <x v="19"/>
    <n v="198"/>
    <s v="K (May 20)"/>
    <d v="2020-05-20T00:00:00"/>
    <n v="-1"/>
  </r>
  <r>
    <x v="655"/>
    <x v="32"/>
    <n v="18.45"/>
    <n v="18.489999999999998"/>
    <n v="18.350000000000001"/>
    <n v="18.41"/>
    <x v="2760"/>
    <n v="-0.1"/>
    <n v="356"/>
    <n v="0"/>
    <n v="3319"/>
    <x v="38"/>
    <n v="226"/>
    <s v="M (Jun 20)"/>
    <d v="2020-06-17T00:00:00"/>
    <n v="-1"/>
  </r>
  <r>
    <x v="656"/>
    <x v="33"/>
    <n v="18.55"/>
    <n v="18.600000000000001"/>
    <n v="18.28"/>
    <n v="18.37"/>
    <x v="2645"/>
    <n v="-0.22500000000000001"/>
    <n v="1879"/>
    <n v="0"/>
    <n v="10646"/>
    <x v="30"/>
    <n v="201"/>
    <s v="K (May 20)"/>
    <d v="2020-05-20T00:00:00"/>
    <n v="-1"/>
  </r>
  <r>
    <x v="656"/>
    <x v="32"/>
    <n v="18.7"/>
    <n v="18.7"/>
    <n v="18.399999999999999"/>
    <n v="18.5"/>
    <x v="2754"/>
    <n v="-0.17499999999999999"/>
    <n v="751"/>
    <n v="0"/>
    <n v="3343"/>
    <x v="50"/>
    <n v="229"/>
    <s v="M (Jun 20)"/>
    <d v="2020-06-17T00:00:00"/>
    <n v="-1"/>
  </r>
  <r>
    <x v="656"/>
    <x v="34"/>
    <n v="18.57"/>
    <n v="18.57"/>
    <n v="18.260000000000002"/>
    <n v="18.350000000000001"/>
    <x v="2651"/>
    <n v="-0.25"/>
    <n v="2163"/>
    <n v="0"/>
    <n v="14085"/>
    <x v="18"/>
    <n v="166"/>
    <s v="J (Apr 20)"/>
    <d v="2020-04-15T00:00:00"/>
    <n v="-1"/>
  </r>
  <r>
    <x v="656"/>
    <x v="35"/>
    <n v="18.38"/>
    <n v="18.38"/>
    <n v="18.05"/>
    <n v="18.11"/>
    <x v="2664"/>
    <n v="-0.25"/>
    <n v="8016"/>
    <n v="0"/>
    <n v="21173"/>
    <x v="23"/>
    <n v="138"/>
    <s v="H (Mar 20)"/>
    <d v="2020-03-18T00:00:00"/>
    <n v="-1"/>
  </r>
  <r>
    <x v="656"/>
    <x v="31"/>
    <n v="18.62"/>
    <n v="18.7"/>
    <n v="18.62"/>
    <n v="18.62"/>
    <x v="2747"/>
    <n v="-0.125"/>
    <n v="15"/>
    <n v="0"/>
    <n v="116"/>
    <x v="93"/>
    <n v="264"/>
    <s v="N (Jul 20)"/>
    <d v="2020-07-22T00:00:00"/>
    <n v="-1"/>
  </r>
  <r>
    <x v="657"/>
    <x v="34"/>
    <n v="18.46"/>
    <n v="18.77"/>
    <n v="18.45"/>
    <n v="18.579999999999998"/>
    <x v="2743"/>
    <n v="0.1"/>
    <n v="2603"/>
    <n v="0"/>
    <n v="13729"/>
    <x v="35"/>
    <n v="167"/>
    <s v="J (Apr 20)"/>
    <d v="2020-04-15T00:00:00"/>
    <n v="-1"/>
  </r>
  <r>
    <x v="657"/>
    <x v="35"/>
    <n v="18.25"/>
    <n v="18.600000000000001"/>
    <n v="18.22"/>
    <n v="18.38"/>
    <x v="2645"/>
    <n v="0.15"/>
    <n v="8492"/>
    <n v="0"/>
    <n v="22125"/>
    <x v="34"/>
    <n v="139"/>
    <s v="H (Mar 20)"/>
    <d v="2020-03-18T00:00:00"/>
    <n v="-1"/>
  </r>
  <r>
    <x v="657"/>
    <x v="31"/>
    <n v="18.899999999999999"/>
    <n v="18.899999999999999"/>
    <n v="18.899999999999999"/>
    <n v="18.899999999999999"/>
    <x v="2766"/>
    <n v="2.5000000000000001E-2"/>
    <n v="1"/>
    <n v="0"/>
    <n v="116"/>
    <x v="105"/>
    <n v="265"/>
    <s v="N (Jul 20)"/>
    <d v="2020-07-22T00:00:00"/>
    <n v="-1"/>
  </r>
  <r>
    <x v="657"/>
    <x v="33"/>
    <n v="18.510000000000002"/>
    <n v="18.8"/>
    <n v="18.510000000000002"/>
    <n v="18.600000000000001"/>
    <x v="2768"/>
    <n v="0.125"/>
    <n v="1491"/>
    <n v="0"/>
    <n v="10084"/>
    <x v="36"/>
    <n v="202"/>
    <s v="K (May 20)"/>
    <d v="2020-05-20T00:00:00"/>
    <n v="-1"/>
  </r>
  <r>
    <x v="657"/>
    <x v="32"/>
    <n v="18.649999999999999"/>
    <n v="18.850000000000001"/>
    <n v="18.649999999999999"/>
    <n v="18.7"/>
    <x v="2751"/>
    <n v="7.4999999999999997E-2"/>
    <n v="307"/>
    <n v="0"/>
    <n v="3030"/>
    <x v="56"/>
    <n v="230"/>
    <s v="M (Jun 20)"/>
    <d v="2020-06-17T00:00:00"/>
    <n v="-1"/>
  </r>
  <r>
    <x v="658"/>
    <x v="33"/>
    <n v="18.75"/>
    <n v="18.86"/>
    <n v="18.489999999999998"/>
    <n v="18.5"/>
    <x v="2659"/>
    <n v="-0.25"/>
    <n v="1558"/>
    <n v="0"/>
    <n v="9624"/>
    <x v="48"/>
    <n v="203"/>
    <s v="K (May 20)"/>
    <d v="2020-05-20T00:00:00"/>
    <n v="-1"/>
  </r>
  <r>
    <x v="658"/>
    <x v="32"/>
    <n v="18.899999999999999"/>
    <n v="18.899999999999999"/>
    <n v="18.649999999999999"/>
    <n v="18.7"/>
    <x v="2768"/>
    <n v="-0.25"/>
    <n v="340"/>
    <n v="0"/>
    <n v="2912"/>
    <x v="68"/>
    <n v="231"/>
    <s v="M (Jun 20)"/>
    <d v="2020-06-17T00:00:00"/>
    <n v="-1"/>
  </r>
  <r>
    <x v="658"/>
    <x v="34"/>
    <n v="18.690000000000001"/>
    <n v="18.87"/>
    <n v="18.45"/>
    <n v="18.5"/>
    <x v="2659"/>
    <n v="-0.2"/>
    <n v="3715"/>
    <n v="0"/>
    <n v="13256"/>
    <x v="41"/>
    <n v="168"/>
    <s v="J (Apr 20)"/>
    <d v="2020-04-15T00:00:00"/>
    <n v="-1"/>
  </r>
  <r>
    <x v="658"/>
    <x v="35"/>
    <n v="18.5"/>
    <n v="18.670000000000002"/>
    <n v="18.2"/>
    <n v="18.239999999999998"/>
    <x v="2752"/>
    <n v="-0.25"/>
    <n v="5065"/>
    <n v="0"/>
    <n v="22013"/>
    <x v="40"/>
    <n v="140"/>
    <s v="H (Mar 20)"/>
    <d v="2020-03-18T00:00:00"/>
    <n v="-1"/>
  </r>
  <r>
    <x v="658"/>
    <x v="31"/>
    <n v="18.8"/>
    <n v="19"/>
    <n v="18.8"/>
    <n v="18.850000000000001"/>
    <x v="2753"/>
    <n v="-7.4999999999999997E-2"/>
    <n v="111"/>
    <n v="0"/>
    <n v="115"/>
    <x v="111"/>
    <n v="266"/>
    <s v="N (Jul 20)"/>
    <d v="2020-07-22T00:00:00"/>
    <n v="-1"/>
  </r>
  <r>
    <x v="659"/>
    <x v="34"/>
    <n v="18.63"/>
    <n v="18.75"/>
    <n v="18.510000000000002"/>
    <n v="18.7"/>
    <x v="2751"/>
    <n v="0.05"/>
    <n v="2643"/>
    <n v="0"/>
    <n v="13172"/>
    <x v="53"/>
    <n v="169"/>
    <s v="J (Apr 20)"/>
    <d v="2020-04-15T00:00:00"/>
    <n v="-1"/>
  </r>
  <r>
    <x v="659"/>
    <x v="35"/>
    <n v="18.399999999999999"/>
    <n v="18.55"/>
    <n v="18.32"/>
    <n v="18.5"/>
    <x v="2659"/>
    <n v="0.05"/>
    <n v="4273"/>
    <n v="0"/>
    <n v="21595"/>
    <x v="52"/>
    <n v="141"/>
    <s v="H (Mar 20)"/>
    <d v="2020-03-18T00:00:00"/>
    <n v="-1"/>
  </r>
  <r>
    <x v="659"/>
    <x v="31"/>
    <n v="18.899999999999999"/>
    <n v="18.95"/>
    <n v="18.86"/>
    <n v="18.899999999999999"/>
    <x v="2775"/>
    <n v="-0.05"/>
    <n v="65"/>
    <n v="0"/>
    <n v="47"/>
    <x v="123"/>
    <n v="267"/>
    <s v="N (Jul 20)"/>
    <d v="2020-07-22T00:00:00"/>
    <n v="-1"/>
  </r>
  <r>
    <x v="659"/>
    <x v="33"/>
    <n v="18.649999999999999"/>
    <n v="18.78"/>
    <n v="18.559999999999999"/>
    <n v="18.73"/>
    <x v="2762"/>
    <n v="0.05"/>
    <n v="1362"/>
    <n v="0"/>
    <n v="9302"/>
    <x v="54"/>
    <n v="204"/>
    <s v="K (May 20)"/>
    <d v="2020-05-20T00:00:00"/>
    <n v="-1"/>
  </r>
  <r>
    <x v="659"/>
    <x v="32"/>
    <n v="18.75"/>
    <n v="18.88"/>
    <n v="18.72"/>
    <n v="18.84"/>
    <x v="2745"/>
    <n v="7.4999999999999997E-2"/>
    <n v="470"/>
    <n v="0"/>
    <n v="2835"/>
    <x v="74"/>
    <n v="232"/>
    <s v="M (Jun 20)"/>
    <d v="2020-06-17T00:00:00"/>
    <n v="-1"/>
  </r>
  <r>
    <x v="660"/>
    <x v="33"/>
    <n v="18.61"/>
    <n v="18.7"/>
    <n v="18.52"/>
    <n v="18.68"/>
    <x v="2751"/>
    <n v="2.5000000000000001E-2"/>
    <n v="1306"/>
    <n v="0"/>
    <n v="8876"/>
    <x v="66"/>
    <n v="205"/>
    <s v="K (May 20)"/>
    <d v="2020-05-20T00:00:00"/>
    <n v="-1"/>
  </r>
  <r>
    <x v="660"/>
    <x v="32"/>
    <n v="18.760000000000002"/>
    <n v="18.8"/>
    <n v="18.68"/>
    <n v="18.77"/>
    <x v="2750"/>
    <n v="2.5000000000000001E-2"/>
    <n v="170"/>
    <n v="0"/>
    <n v="2524"/>
    <x v="86"/>
    <n v="233"/>
    <s v="M (Jun 20)"/>
    <d v="2020-06-17T00:00:00"/>
    <n v="-1"/>
  </r>
  <r>
    <x v="660"/>
    <x v="34"/>
    <n v="18.53"/>
    <n v="18.649999999999999"/>
    <n v="18.45"/>
    <n v="18.64"/>
    <x v="2776"/>
    <n v="0.05"/>
    <n v="2145"/>
    <n v="0"/>
    <n v="12975"/>
    <x v="59"/>
    <n v="170"/>
    <s v="J (Apr 20)"/>
    <d v="2020-04-15T00:00:00"/>
    <n v="-1"/>
  </r>
  <r>
    <x v="660"/>
    <x v="35"/>
    <n v="18.25"/>
    <n v="18.45"/>
    <n v="18.22"/>
    <n v="18.41"/>
    <x v="2647"/>
    <n v="0.1"/>
    <n v="4053"/>
    <n v="0"/>
    <n v="20989"/>
    <x v="58"/>
    <n v="142"/>
    <s v="H (Mar 20)"/>
    <d v="2020-03-18T00:00:00"/>
    <n v="-1"/>
  </r>
  <r>
    <x v="661"/>
    <x v="34"/>
    <n v="18.8"/>
    <n v="18.850000000000001"/>
    <n v="18.5"/>
    <n v="18.53"/>
    <x v="2743"/>
    <n v="-0.2"/>
    <n v="2506"/>
    <n v="0"/>
    <n v="12942"/>
    <x v="71"/>
    <n v="173"/>
    <s v="J (Apr 20)"/>
    <d v="2020-04-15T00:00:00"/>
    <n v="-1"/>
  </r>
  <r>
    <x v="661"/>
    <x v="35"/>
    <n v="18.600000000000001"/>
    <n v="18.649999999999999"/>
    <n v="18.25"/>
    <n v="18.309999999999999"/>
    <x v="2651"/>
    <n v="-0.25"/>
    <n v="3142"/>
    <n v="0"/>
    <n v="20579"/>
    <x v="70"/>
    <n v="145"/>
    <s v="H (Mar 20)"/>
    <d v="2020-03-18T00:00:00"/>
    <n v="-1"/>
  </r>
  <r>
    <x v="661"/>
    <x v="33"/>
    <n v="18.899999999999999"/>
    <n v="18.899999999999999"/>
    <n v="18.600000000000001"/>
    <n v="18.62"/>
    <x v="2756"/>
    <n v="-0.17499999999999999"/>
    <n v="693"/>
    <n v="0"/>
    <n v="8835"/>
    <x v="72"/>
    <n v="208"/>
    <s v="K (May 20)"/>
    <d v="2020-05-20T00:00:00"/>
    <n v="-1"/>
  </r>
  <r>
    <x v="661"/>
    <x v="32"/>
    <n v="18.95"/>
    <n v="18.95"/>
    <n v="18.739999999999998"/>
    <n v="18.760000000000002"/>
    <x v="2757"/>
    <n v="-0.2"/>
    <n v="138"/>
    <n v="0"/>
    <n v="2406"/>
    <x v="92"/>
    <n v="236"/>
    <s v="M (Jun 20)"/>
    <d v="2020-06-17T00:00:00"/>
    <n v="-1"/>
  </r>
  <r>
    <x v="661"/>
    <x v="31"/>
    <n v="18.899999999999999"/>
    <n v="18.93"/>
    <n v="18.899999999999999"/>
    <n v="18.93"/>
    <x v="1576"/>
    <n v="-0.125"/>
    <n v="2"/>
    <n v="0"/>
    <n v="1"/>
    <x v="187"/>
    <n v="271"/>
    <s v="N (Jul 20)"/>
    <d v="2020-07-22T00:00:00"/>
    <n v="-1"/>
  </r>
  <r>
    <x v="662"/>
    <x v="33"/>
    <n v="18.77"/>
    <n v="18.899999999999999"/>
    <n v="18.7"/>
    <n v="18.84"/>
    <x v="2766"/>
    <n v="0.05"/>
    <n v="933"/>
    <n v="0"/>
    <n v="8930"/>
    <x v="84"/>
    <n v="209"/>
    <s v="K (May 20)"/>
    <d v="2020-05-20T00:00:00"/>
    <n v="-1"/>
  </r>
  <r>
    <x v="662"/>
    <x v="32"/>
    <n v="18.850000000000001"/>
    <n v="18.97"/>
    <n v="18.8"/>
    <n v="18.920000000000002"/>
    <x v="2755"/>
    <n v="0.1"/>
    <n v="221"/>
    <n v="0"/>
    <n v="2370"/>
    <x v="104"/>
    <n v="237"/>
    <s v="M (Jun 20)"/>
    <d v="2020-06-17T00:00:00"/>
    <n v="-1"/>
  </r>
  <r>
    <x v="662"/>
    <x v="34"/>
    <n v="18.7"/>
    <n v="18.87"/>
    <n v="18.66"/>
    <n v="18.78"/>
    <x v="2750"/>
    <n v="0.05"/>
    <n v="2094"/>
    <n v="0"/>
    <n v="13272"/>
    <x v="77"/>
    <n v="174"/>
    <s v="J (Apr 20)"/>
    <d v="2020-04-15T00:00:00"/>
    <n v="-1"/>
  </r>
  <r>
    <x v="662"/>
    <x v="35"/>
    <n v="18.54"/>
    <n v="18.690000000000001"/>
    <n v="18.45"/>
    <n v="18.57"/>
    <x v="2743"/>
    <n v="0.05"/>
    <n v="3825"/>
    <n v="0"/>
    <n v="20701"/>
    <x v="76"/>
    <n v="146"/>
    <s v="H (Mar 20)"/>
    <d v="2020-03-18T00:00:00"/>
    <n v="-1"/>
  </r>
  <r>
    <x v="663"/>
    <x v="34"/>
    <n v="18.96"/>
    <n v="19"/>
    <n v="18.7"/>
    <n v="18.75"/>
    <x v="2762"/>
    <n v="-0.2"/>
    <n v="1443"/>
    <n v="0"/>
    <n v="13122"/>
    <x v="89"/>
    <n v="175"/>
    <s v="J (Apr 20)"/>
    <d v="2020-04-15T00:00:00"/>
    <n v="-1"/>
  </r>
  <r>
    <x v="663"/>
    <x v="35"/>
    <n v="18.78"/>
    <n v="18.850000000000001"/>
    <n v="18.5"/>
    <n v="18.579999999999998"/>
    <x v="2741"/>
    <n v="-0.2"/>
    <n v="5463"/>
    <n v="0"/>
    <n v="19396"/>
    <x v="88"/>
    <n v="147"/>
    <s v="H (Mar 20)"/>
    <d v="2020-03-18T00:00:00"/>
    <n v="-1"/>
  </r>
  <r>
    <x v="663"/>
    <x v="33"/>
    <n v="18.989999999999998"/>
    <n v="19.05"/>
    <n v="18.7"/>
    <n v="18.77"/>
    <x v="2750"/>
    <n v="-0.15"/>
    <n v="609"/>
    <n v="0"/>
    <n v="8790"/>
    <x v="90"/>
    <n v="210"/>
    <s v="K (May 20)"/>
    <d v="2020-05-20T00:00:00"/>
    <n v="-1"/>
  </r>
  <r>
    <x v="663"/>
    <x v="32"/>
    <n v="19.05"/>
    <n v="19.100000000000001"/>
    <n v="18.850000000000001"/>
    <n v="18.850000000000001"/>
    <x v="2745"/>
    <n v="-0.15"/>
    <n v="428"/>
    <n v="0"/>
    <n v="2250"/>
    <x v="110"/>
    <n v="238"/>
    <s v="M (Jun 20)"/>
    <d v="2020-06-17T00:00:00"/>
    <n v="-1"/>
  </r>
  <r>
    <x v="664"/>
    <x v="33"/>
    <n v="18.73"/>
    <n v="19.010000000000002"/>
    <n v="18.64"/>
    <n v="19.010000000000002"/>
    <x v="2771"/>
    <n v="0.2"/>
    <n v="1287"/>
    <n v="0"/>
    <n v="8703"/>
    <x v="102"/>
    <n v="211"/>
    <s v="K (May 20)"/>
    <d v="2020-05-20T00:00:00"/>
    <n v="-1"/>
  </r>
  <r>
    <x v="664"/>
    <x v="32"/>
    <n v="18.86"/>
    <n v="19.05"/>
    <n v="18.75"/>
    <n v="19"/>
    <x v="2774"/>
    <n v="0.15"/>
    <n v="545"/>
    <n v="0"/>
    <n v="2285"/>
    <x v="122"/>
    <n v="239"/>
    <s v="M (Jun 20)"/>
    <d v="2020-06-17T00:00:00"/>
    <n v="-1"/>
  </r>
  <r>
    <x v="664"/>
    <x v="34"/>
    <n v="18.690000000000001"/>
    <n v="18.98"/>
    <n v="18.600000000000001"/>
    <n v="18.97"/>
    <x v="2771"/>
    <n v="0.25"/>
    <n v="2354"/>
    <n v="0"/>
    <n v="13069"/>
    <x v="95"/>
    <n v="176"/>
    <s v="J (Apr 20)"/>
    <d v="2020-04-15T00:00:00"/>
    <n v="-1"/>
  </r>
  <r>
    <x v="664"/>
    <x v="35"/>
    <n v="18.510000000000002"/>
    <n v="18.8"/>
    <n v="18.399999999999999"/>
    <n v="18.8"/>
    <x v="2762"/>
    <n v="0.2"/>
    <n v="4457"/>
    <n v="0"/>
    <n v="18516"/>
    <x v="94"/>
    <n v="148"/>
    <s v="H (Mar 20)"/>
    <d v="2020-03-18T00:00:00"/>
    <n v="-1"/>
  </r>
  <r>
    <x v="665"/>
    <x v="34"/>
    <n v="18.95"/>
    <n v="19"/>
    <n v="18.670000000000002"/>
    <n v="18.7"/>
    <x v="2751"/>
    <n v="-0.3"/>
    <n v="1920"/>
    <n v="0"/>
    <n v="12894"/>
    <x v="107"/>
    <n v="177"/>
    <s v="J (Apr 20)"/>
    <d v="2020-04-15T00:00:00"/>
    <n v="-1"/>
  </r>
  <r>
    <x v="665"/>
    <x v="35"/>
    <n v="18.8"/>
    <n v="18.850000000000001"/>
    <n v="18.48"/>
    <n v="18.5"/>
    <x v="2741"/>
    <n v="-0.3"/>
    <n v="4273"/>
    <n v="0"/>
    <n v="17956"/>
    <x v="106"/>
    <n v="149"/>
    <s v="H (Mar 20)"/>
    <d v="2020-03-18T00:00:00"/>
    <n v="-1"/>
  </r>
  <r>
    <x v="665"/>
    <x v="33"/>
    <n v="18.899999999999999"/>
    <n v="19.05"/>
    <n v="18.72"/>
    <n v="18.75"/>
    <x v="2762"/>
    <n v="-0.3"/>
    <n v="931"/>
    <n v="0"/>
    <n v="8635"/>
    <x v="108"/>
    <n v="212"/>
    <s v="K (May 20)"/>
    <d v="2020-05-20T00:00:00"/>
    <n v="-1"/>
  </r>
  <r>
    <x v="665"/>
    <x v="32"/>
    <n v="19.100000000000001"/>
    <n v="19.100000000000001"/>
    <n v="18.84"/>
    <n v="18.88"/>
    <x v="2745"/>
    <n v="-0.27500000000000002"/>
    <n v="901"/>
    <n v="0"/>
    <n v="2005"/>
    <x v="128"/>
    <n v="240"/>
    <s v="M (Jun 20)"/>
    <d v="2020-06-17T00:00:00"/>
    <n v="-1"/>
  </r>
  <r>
    <x v="666"/>
    <x v="33"/>
    <n v="18.739999999999998"/>
    <n v="19.05"/>
    <n v="18.7"/>
    <n v="19.010000000000002"/>
    <x v="2778"/>
    <n v="0.3"/>
    <n v="1658"/>
    <n v="0"/>
    <n v="8095"/>
    <x v="120"/>
    <n v="215"/>
    <s v="K (May 20)"/>
    <d v="2020-05-20T00:00:00"/>
    <n v="-1"/>
  </r>
  <r>
    <x v="666"/>
    <x v="32"/>
    <n v="18.829999999999998"/>
    <n v="19.16"/>
    <n v="18.8"/>
    <n v="19.12"/>
    <x v="2769"/>
    <n v="0.27500000000000002"/>
    <n v="676"/>
    <n v="0"/>
    <n v="1553"/>
    <x v="139"/>
    <n v="243"/>
    <s v="M (Jun 20)"/>
    <d v="2020-06-17T00:00:00"/>
    <n v="-1"/>
  </r>
  <r>
    <x v="666"/>
    <x v="34"/>
    <n v="18.739999999999998"/>
    <n v="19.03"/>
    <n v="18.670000000000002"/>
    <n v="19"/>
    <x v="2640"/>
    <n v="0.25"/>
    <n v="3432"/>
    <n v="0"/>
    <n v="12913"/>
    <x v="113"/>
    <n v="180"/>
    <s v="J (Apr 20)"/>
    <d v="2020-04-15T00:00:00"/>
    <n v="-1"/>
  </r>
  <r>
    <x v="666"/>
    <x v="35"/>
    <n v="18.600000000000001"/>
    <n v="18.87"/>
    <n v="18.5"/>
    <n v="18.8"/>
    <x v="2766"/>
    <n v="0.25"/>
    <n v="6587"/>
    <n v="0"/>
    <n v="16980"/>
    <x v="112"/>
    <n v="152"/>
    <s v="H (Mar 20)"/>
    <d v="2020-03-18T00:00:00"/>
    <n v="-1"/>
  </r>
  <r>
    <x v="667"/>
    <x v="34"/>
    <n v="18.899999999999999"/>
    <n v="18.95"/>
    <n v="18.690000000000001"/>
    <n v="18.75"/>
    <x v="2762"/>
    <n v="-0.15"/>
    <n v="1710"/>
    <n v="0"/>
    <n v="11889"/>
    <x v="125"/>
    <n v="181"/>
    <s v="J (Apr 20)"/>
    <d v="2020-04-15T00:00:00"/>
    <n v="-1"/>
  </r>
  <r>
    <x v="667"/>
    <x v="35"/>
    <n v="18.760000000000002"/>
    <n v="18.809999999999999"/>
    <n v="18.55"/>
    <n v="18.57"/>
    <x v="2743"/>
    <n v="-0.2"/>
    <n v="3606"/>
    <n v="0"/>
    <n v="17246"/>
    <x v="124"/>
    <n v="153"/>
    <s v="H (Mar 20)"/>
    <d v="2020-03-18T00:00:00"/>
    <n v="-1"/>
  </r>
  <r>
    <x v="667"/>
    <x v="33"/>
    <n v="18.850000000000001"/>
    <n v="18.91"/>
    <n v="18.7"/>
    <n v="18.72"/>
    <x v="2762"/>
    <n v="-0.15"/>
    <n v="729"/>
    <n v="0"/>
    <n v="7379"/>
    <x v="126"/>
    <n v="216"/>
    <s v="K (May 20)"/>
    <d v="2020-05-20T00:00:00"/>
    <n v="-1"/>
  </r>
  <r>
    <x v="667"/>
    <x v="32"/>
    <n v="19"/>
    <n v="19.02"/>
    <n v="18.82"/>
    <n v="18.850000000000001"/>
    <x v="2745"/>
    <n v="-0.1"/>
    <n v="192"/>
    <n v="0"/>
    <n v="1060"/>
    <x v="144"/>
    <n v="244"/>
    <s v="M (Jun 20)"/>
    <d v="2020-06-17T00:00:00"/>
    <n v="-1"/>
  </r>
  <r>
    <x v="668"/>
    <x v="33"/>
    <n v="19"/>
    <n v="19.05"/>
    <n v="18.850000000000001"/>
    <n v="18.86"/>
    <x v="2775"/>
    <n v="-0.1"/>
    <n v="1048"/>
    <n v="0"/>
    <n v="7201"/>
    <x v="137"/>
    <n v="217"/>
    <s v="K (May 20)"/>
    <d v="2020-05-20T00:00:00"/>
    <n v="-1"/>
  </r>
  <r>
    <x v="668"/>
    <x v="32"/>
    <n v="19.11"/>
    <n v="19.16"/>
    <n v="18.95"/>
    <n v="19"/>
    <x v="2755"/>
    <n v="-0.1"/>
    <n v="75"/>
    <n v="0"/>
    <n v="965"/>
    <x v="155"/>
    <n v="245"/>
    <s v="M (Jun 20)"/>
    <d v="2020-06-17T00:00:00"/>
    <n v="-1"/>
  </r>
  <r>
    <x v="668"/>
    <x v="34"/>
    <n v="19.02"/>
    <n v="19.13"/>
    <n v="18.850000000000001"/>
    <n v="18.88"/>
    <x v="2775"/>
    <n v="-0.1"/>
    <n v="4486"/>
    <n v="0"/>
    <n v="11642"/>
    <x v="130"/>
    <n v="182"/>
    <s v="J (Apr 20)"/>
    <d v="2020-04-15T00:00:00"/>
    <n v="-1"/>
  </r>
  <r>
    <x v="668"/>
    <x v="35"/>
    <n v="18.850000000000001"/>
    <n v="18.97"/>
    <n v="18.7"/>
    <n v="18.760000000000002"/>
    <x v="2750"/>
    <n v="-2.5000000000000001E-2"/>
    <n v="7204"/>
    <n v="0"/>
    <n v="17168"/>
    <x v="129"/>
    <n v="154"/>
    <s v="H (Mar 20)"/>
    <d v="2020-03-18T00:00:00"/>
    <n v="-1"/>
  </r>
  <r>
    <x v="669"/>
    <x v="34"/>
    <n v="19.16"/>
    <n v="19.16"/>
    <n v="18.8"/>
    <n v="19"/>
    <x v="2640"/>
    <n v="-0.15"/>
    <n v="2756"/>
    <n v="0"/>
    <n v="11614"/>
    <x v="141"/>
    <n v="183"/>
    <s v="J (Apr 20)"/>
    <d v="2020-04-15T00:00:00"/>
    <n v="-1"/>
  </r>
  <r>
    <x v="669"/>
    <x v="35"/>
    <n v="19.02"/>
    <n v="19.02"/>
    <n v="18.649999999999999"/>
    <n v="18.829999999999998"/>
    <x v="2753"/>
    <n v="-0.17499999999999999"/>
    <n v="4201"/>
    <n v="0"/>
    <n v="16485"/>
    <x v="140"/>
    <n v="155"/>
    <s v="H (Mar 20)"/>
    <d v="2020-03-18T00:00:00"/>
    <n v="-1"/>
  </r>
  <r>
    <x v="669"/>
    <x v="33"/>
    <n v="19"/>
    <n v="19.05"/>
    <n v="18.79"/>
    <n v="18.95"/>
    <x v="2640"/>
    <n v="-7.4999999999999997E-2"/>
    <n v="949"/>
    <n v="0"/>
    <n v="7002"/>
    <x v="142"/>
    <n v="218"/>
    <s v="K (May 20)"/>
    <d v="2020-05-20T00:00:00"/>
    <n v="-1"/>
  </r>
  <r>
    <x v="669"/>
    <x v="32"/>
    <n v="19.02"/>
    <n v="19.100000000000001"/>
    <n v="18.899999999999999"/>
    <n v="19.03"/>
    <x v="2773"/>
    <n v="-7.4999999999999997E-2"/>
    <n v="92"/>
    <n v="0"/>
    <n v="914"/>
    <x v="160"/>
    <n v="246"/>
    <s v="M (Jun 20)"/>
    <d v="2020-06-17T00:00:00"/>
    <n v="-1"/>
  </r>
  <r>
    <x v="670"/>
    <x v="33"/>
    <n v="19.2"/>
    <n v="19.29"/>
    <n v="19.02"/>
    <n v="19.05"/>
    <x v="2773"/>
    <n v="-0.2"/>
    <n v="610"/>
    <n v="0"/>
    <n v="6710"/>
    <x v="3"/>
    <n v="219"/>
    <s v="K (May 20)"/>
    <d v="2020-05-20T00:00:00"/>
    <n v="-1"/>
  </r>
  <r>
    <x v="670"/>
    <x v="32"/>
    <n v="19.23"/>
    <n v="19.38"/>
    <n v="19.100000000000001"/>
    <n v="19.149999999999999"/>
    <x v="2769"/>
    <n v="-0.22500000000000001"/>
    <n v="71"/>
    <n v="0"/>
    <n v="864"/>
    <x v="171"/>
    <n v="247"/>
    <s v="M (Jun 20)"/>
    <d v="2020-06-17T00:00:00"/>
    <n v="-1"/>
  </r>
  <r>
    <x v="670"/>
    <x v="34"/>
    <n v="19.350000000000001"/>
    <n v="19.350000000000001"/>
    <n v="19.079999999999998"/>
    <n v="19.100000000000001"/>
    <x v="2769"/>
    <n v="-0.22500000000000001"/>
    <n v="1277"/>
    <n v="0"/>
    <n v="10658"/>
    <x v="147"/>
    <n v="184"/>
    <s v="J (Apr 20)"/>
    <d v="2020-04-15T00:00:00"/>
    <n v="-1"/>
  </r>
  <r>
    <x v="670"/>
    <x v="35"/>
    <n v="19.100000000000001"/>
    <n v="19.3"/>
    <n v="18.940000000000001"/>
    <n v="18.97"/>
    <x v="2640"/>
    <n v="-0.25"/>
    <n v="2977"/>
    <n v="0"/>
    <n v="15968"/>
    <x v="146"/>
    <n v="156"/>
    <s v="H (Mar 20)"/>
    <d v="2020-03-18T00:00:00"/>
    <n v="-1"/>
  </r>
  <r>
    <x v="671"/>
    <x v="34"/>
    <n v="19.45"/>
    <n v="19.52"/>
    <n v="19.079999999999998"/>
    <n v="19.32"/>
    <x v="2764"/>
    <n v="-0.27500000000000002"/>
    <n v="2377"/>
    <n v="0"/>
    <n v="10573"/>
    <x v="158"/>
    <n v="187"/>
    <s v="J (Apr 20)"/>
    <d v="2020-04-15T00:00:00"/>
    <n v="-1"/>
  </r>
  <r>
    <x v="671"/>
    <x v="35"/>
    <n v="19.47"/>
    <n v="19.48"/>
    <n v="18.95"/>
    <n v="19.22"/>
    <x v="2635"/>
    <n v="-0.3"/>
    <n v="4044"/>
    <n v="0"/>
    <n v="15492"/>
    <x v="157"/>
    <n v="159"/>
    <s v="H (Mar 20)"/>
    <d v="2020-03-18T00:00:00"/>
    <n v="-1"/>
  </r>
  <r>
    <x v="671"/>
    <x v="33"/>
    <n v="19.399999999999999"/>
    <n v="19.45"/>
    <n v="19.05"/>
    <n v="19.239999999999998"/>
    <x v="2780"/>
    <n v="-0.27500000000000002"/>
    <n v="529"/>
    <n v="0"/>
    <n v="6593"/>
    <x v="15"/>
    <n v="222"/>
    <s v="K (May 20)"/>
    <d v="2020-05-20T00:00:00"/>
    <n v="-1"/>
  </r>
  <r>
    <x v="671"/>
    <x v="32"/>
    <n v="19.27"/>
    <n v="19.45"/>
    <n v="19.14"/>
    <n v="19.329999999999998"/>
    <x v="2764"/>
    <n v="-0.2"/>
    <n v="57"/>
    <n v="0"/>
    <n v="802"/>
    <x v="4"/>
    <n v="250"/>
    <s v="M (Jun 20)"/>
    <d v="2020-06-17T00:00:00"/>
    <n v="-1"/>
  </r>
  <r>
    <x v="672"/>
    <x v="33"/>
    <n v="20"/>
    <n v="20.149999999999999"/>
    <n v="19.420000000000002"/>
    <n v="19.420000000000002"/>
    <x v="2781"/>
    <n v="-0.3"/>
    <n v="1163"/>
    <n v="0"/>
    <n v="6514"/>
    <x v="21"/>
    <n v="223"/>
    <s v="K (May 20)"/>
    <d v="2020-05-20T00:00:00"/>
    <n v="-1"/>
  </r>
  <r>
    <x v="672"/>
    <x v="32"/>
    <n v="20.16"/>
    <n v="20.2"/>
    <n v="19.45"/>
    <n v="19.45"/>
    <x v="2763"/>
    <n v="-0.35"/>
    <n v="168"/>
    <n v="0"/>
    <n v="750"/>
    <x v="16"/>
    <n v="251"/>
    <s v="M (Jun 20)"/>
    <d v="2020-06-17T00:00:00"/>
    <n v="-1"/>
  </r>
  <r>
    <x v="672"/>
    <x v="34"/>
    <n v="20.12"/>
    <n v="20.32"/>
    <n v="19.47"/>
    <n v="19.55"/>
    <x v="2621"/>
    <n v="-0.3"/>
    <n v="1936"/>
    <n v="88"/>
    <n v="10151"/>
    <x v="163"/>
    <n v="188"/>
    <s v="J (Apr 20)"/>
    <d v="2020-04-15T00:00:00"/>
    <n v="-1"/>
  </r>
  <r>
    <x v="672"/>
    <x v="35"/>
    <n v="19.899999999999999"/>
    <n v="20.309999999999999"/>
    <n v="19.37"/>
    <n v="19.45"/>
    <x v="2781"/>
    <n v="-0.35"/>
    <n v="4333"/>
    <n v="110"/>
    <n v="15233"/>
    <x v="162"/>
    <n v="160"/>
    <s v="H (Mar 20)"/>
    <d v="2020-03-18T00:00:00"/>
    <n v="-1"/>
  </r>
  <r>
    <x v="673"/>
    <x v="34"/>
    <n v="20.2"/>
    <n v="20.2"/>
    <n v="19.72"/>
    <n v="19.87"/>
    <x v="2707"/>
    <n v="-0.25"/>
    <n v="1821"/>
    <n v="0"/>
    <n v="9721"/>
    <x v="173"/>
    <n v="189"/>
    <s v="J (Apr 20)"/>
    <d v="2020-04-15T00:00:00"/>
    <n v="-1"/>
  </r>
  <r>
    <x v="673"/>
    <x v="35"/>
    <n v="20.05"/>
    <n v="20.13"/>
    <n v="19.649999999999999"/>
    <n v="19.850000000000001"/>
    <x v="2670"/>
    <n v="-0.25"/>
    <n v="4157"/>
    <n v="0"/>
    <n v="15157"/>
    <x v="172"/>
    <n v="161"/>
    <s v="H (Mar 20)"/>
    <d v="2020-03-18T00:00:00"/>
    <n v="-1"/>
  </r>
  <r>
    <x v="673"/>
    <x v="33"/>
    <n v="20.059999999999999"/>
    <n v="20.059999999999999"/>
    <n v="19.62"/>
    <n v="19.78"/>
    <x v="2622"/>
    <n v="-0.22500000000000001"/>
    <n v="1715"/>
    <n v="0"/>
    <n v="6262"/>
    <x v="32"/>
    <n v="224"/>
    <s v="K (May 20)"/>
    <d v="2020-05-20T00:00:00"/>
    <n v="-1"/>
  </r>
  <r>
    <x v="673"/>
    <x v="32"/>
    <n v="20.07"/>
    <n v="20.079999999999998"/>
    <n v="19.739999999999998"/>
    <n v="19.850000000000001"/>
    <x v="2673"/>
    <n v="-0.15"/>
    <n v="144"/>
    <n v="0"/>
    <n v="723"/>
    <x v="22"/>
    <n v="252"/>
    <s v="M (Jun 20)"/>
    <d v="2020-06-17T00:00:00"/>
    <n v="-1"/>
  </r>
  <r>
    <x v="674"/>
    <x v="33"/>
    <n v="19.5"/>
    <n v="20.12"/>
    <n v="19.37"/>
    <n v="20.03"/>
    <x v="2739"/>
    <n v="0.57499999999999996"/>
    <n v="1124"/>
    <n v="0"/>
    <n v="5428"/>
    <x v="38"/>
    <n v="225"/>
    <s v="K (May 20)"/>
    <d v="2020-05-20T00:00:00"/>
    <n v="-1"/>
  </r>
  <r>
    <x v="674"/>
    <x v="32"/>
    <n v="19.46"/>
    <n v="20.13"/>
    <n v="19.45"/>
    <n v="20.059999999999999"/>
    <x v="2739"/>
    <n v="0.55000000000000004"/>
    <n v="310"/>
    <n v="0"/>
    <n v="618"/>
    <x v="33"/>
    <n v="253"/>
    <s v="M (Jun 20)"/>
    <d v="2020-06-17T00:00:00"/>
    <n v="-1"/>
  </r>
  <r>
    <x v="674"/>
    <x v="34"/>
    <n v="19.600000000000001"/>
    <n v="20.22"/>
    <n v="19.420000000000002"/>
    <n v="20.18"/>
    <x v="2712"/>
    <n v="0.625"/>
    <n v="1048"/>
    <n v="0"/>
    <n v="9339"/>
    <x v="174"/>
    <n v="190"/>
    <s v="J (Apr 20)"/>
    <d v="2020-04-15T00:00:00"/>
    <n v="-1"/>
  </r>
  <r>
    <x v="674"/>
    <x v="35"/>
    <n v="19.5"/>
    <n v="20.149999999999999"/>
    <n v="19.3"/>
    <n v="20.12"/>
    <x v="2662"/>
    <n v="0.7"/>
    <n v="4488"/>
    <n v="0"/>
    <n v="14734"/>
    <x v="0"/>
    <n v="162"/>
    <s v="H (Mar 20)"/>
    <d v="2020-03-18T00:00:00"/>
    <n v="-1"/>
  </r>
  <r>
    <x v="675"/>
    <x v="34"/>
    <n v="19.649999999999999"/>
    <n v="19.649999999999999"/>
    <n v="19.350000000000001"/>
    <n v="19.55"/>
    <x v="2763"/>
    <n v="7.4999999999999997E-2"/>
    <n v="1631"/>
    <n v="0"/>
    <n v="9031"/>
    <x v="179"/>
    <n v="191"/>
    <s v="J (Apr 20)"/>
    <d v="2020-04-15T00:00:00"/>
    <n v="-1"/>
  </r>
  <r>
    <x v="675"/>
    <x v="35"/>
    <n v="19.57"/>
    <n v="19.579999999999998"/>
    <n v="19.25"/>
    <n v="19.45"/>
    <x v="2634"/>
    <n v="0.05"/>
    <n v="2766"/>
    <n v="0"/>
    <n v="15073"/>
    <x v="12"/>
    <n v="163"/>
    <s v="H (Mar 20)"/>
    <d v="2020-03-18T00:00:00"/>
    <n v="-1"/>
  </r>
  <r>
    <x v="675"/>
    <x v="33"/>
    <n v="19.59"/>
    <n v="19.59"/>
    <n v="19.27"/>
    <n v="19.47"/>
    <x v="2767"/>
    <n v="2.5000000000000001E-2"/>
    <n v="635"/>
    <n v="0"/>
    <n v="4828"/>
    <x v="50"/>
    <n v="226"/>
    <s v="K (May 20)"/>
    <d v="2020-05-20T00:00:00"/>
    <n v="-1"/>
  </r>
  <r>
    <x v="675"/>
    <x v="32"/>
    <n v="19.62"/>
    <n v="19.62"/>
    <n v="19.309999999999999"/>
    <n v="19.45"/>
    <x v="2782"/>
    <n v="-2.5000000000000001E-2"/>
    <n v="98"/>
    <n v="0"/>
    <n v="379"/>
    <x v="39"/>
    <n v="254"/>
    <s v="M (Jun 20)"/>
    <d v="2020-06-17T00:00:00"/>
    <n v="-1"/>
  </r>
  <r>
    <x v="676"/>
    <x v="33"/>
    <n v="19.8"/>
    <n v="19.850000000000001"/>
    <n v="19.420000000000002"/>
    <n v="19.45"/>
    <x v="2772"/>
    <n v="-0.3"/>
    <n v="425"/>
    <n v="0"/>
    <n v="4681"/>
    <x v="56"/>
    <n v="229"/>
    <s v="K (May 20)"/>
    <d v="2020-05-20T00:00:00"/>
    <n v="-1"/>
  </r>
  <r>
    <x v="676"/>
    <x v="32"/>
    <n v="19.75"/>
    <n v="19.75"/>
    <n v="19.510000000000002"/>
    <n v="19.510000000000002"/>
    <x v="2781"/>
    <n v="-0.35"/>
    <n v="25"/>
    <n v="0"/>
    <n v="308"/>
    <x v="51"/>
    <n v="257"/>
    <s v="M (Jun 20)"/>
    <d v="2020-06-17T00:00:00"/>
    <n v="-1"/>
  </r>
  <r>
    <x v="676"/>
    <x v="34"/>
    <n v="19.850000000000001"/>
    <n v="20"/>
    <n v="19.45"/>
    <n v="19.52"/>
    <x v="2767"/>
    <n v="-0.375"/>
    <n v="1095"/>
    <n v="0"/>
    <n v="8953"/>
    <x v="180"/>
    <n v="194"/>
    <s v="J (Apr 20)"/>
    <d v="2020-04-15T00:00:00"/>
    <n v="-1"/>
  </r>
  <r>
    <x v="676"/>
    <x v="35"/>
    <n v="19.77"/>
    <n v="19.920000000000002"/>
    <n v="19.3"/>
    <n v="19.399999999999999"/>
    <x v="2650"/>
    <n v="-0.4"/>
    <n v="2214"/>
    <n v="0"/>
    <n v="14482"/>
    <x v="18"/>
    <n v="166"/>
    <s v="H (Mar 20)"/>
    <d v="2020-03-18T00:00:00"/>
    <n v="-1"/>
  </r>
  <r>
    <x v="677"/>
    <x v="34"/>
    <n v="20.12"/>
    <n v="20.420000000000002"/>
    <n v="19.850000000000001"/>
    <n v="19.86"/>
    <x v="2627"/>
    <n v="-0.27500000000000002"/>
    <n v="1833"/>
    <n v="0"/>
    <n v="8971"/>
    <x v="185"/>
    <n v="195"/>
    <s v="J (Apr 20)"/>
    <d v="2020-04-15T00:00:00"/>
    <n v="-1"/>
  </r>
  <r>
    <x v="677"/>
    <x v="35"/>
    <n v="20.05"/>
    <n v="20.399999999999999"/>
    <n v="19.75"/>
    <n v="19.75"/>
    <x v="2783"/>
    <n v="-0.35"/>
    <n v="3276"/>
    <n v="0"/>
    <n v="14424"/>
    <x v="35"/>
    <n v="167"/>
    <s v="H (Mar 20)"/>
    <d v="2020-03-18T00:00:00"/>
    <n v="-1"/>
  </r>
  <r>
    <x v="677"/>
    <x v="33"/>
    <n v="19.899999999999999"/>
    <n v="20.25"/>
    <n v="19.79"/>
    <n v="19.8"/>
    <x v="2643"/>
    <n v="-0.22500000000000001"/>
    <n v="662"/>
    <n v="0"/>
    <n v="4653"/>
    <x v="68"/>
    <n v="230"/>
    <s v="K (May 20)"/>
    <d v="2020-05-20T00:00:00"/>
    <n v="-1"/>
  </r>
  <r>
    <x v="677"/>
    <x v="32"/>
    <n v="19.96"/>
    <n v="20.05"/>
    <n v="19.84"/>
    <n v="19.84"/>
    <x v="2670"/>
    <n v="-0.125"/>
    <n v="45"/>
    <n v="0"/>
    <n v="283"/>
    <x v="57"/>
    <n v="258"/>
    <s v="M (Jun 20)"/>
    <d v="2020-06-17T00:00:00"/>
    <n v="-1"/>
  </r>
  <r>
    <x v="678"/>
    <x v="33"/>
    <n v="19.559999999999999"/>
    <n v="20"/>
    <n v="19.5"/>
    <n v="19.98"/>
    <x v="2720"/>
    <n v="0.35"/>
    <n v="1172"/>
    <n v="0"/>
    <n v="4462"/>
    <x v="74"/>
    <n v="231"/>
    <s v="K (May 20)"/>
    <d v="2020-05-20T00:00:00"/>
    <n v="-1"/>
  </r>
  <r>
    <x v="678"/>
    <x v="32"/>
    <n v="19.95"/>
    <n v="20"/>
    <n v="19.850000000000001"/>
    <n v="19.97"/>
    <x v="2718"/>
    <n v="0.42499999999999999"/>
    <n v="153"/>
    <n v="0"/>
    <n v="238"/>
    <x v="69"/>
    <n v="259"/>
    <s v="M (Jun 20)"/>
    <d v="2020-06-17T00:00:00"/>
    <n v="-1"/>
  </r>
  <r>
    <x v="678"/>
    <x v="34"/>
    <n v="19.649999999999999"/>
    <n v="20.170000000000002"/>
    <n v="19.559999999999999"/>
    <n v="20.12"/>
    <x v="2662"/>
    <n v="0.4"/>
    <n v="3013"/>
    <n v="0"/>
    <n v="8583"/>
    <x v="1"/>
    <n v="196"/>
    <s v="J (Apr 20)"/>
    <d v="2020-04-15T00:00:00"/>
    <n v="-1"/>
  </r>
  <r>
    <x v="678"/>
    <x v="35"/>
    <n v="19.55"/>
    <n v="20.149999999999999"/>
    <n v="19.440000000000001"/>
    <n v="20.07"/>
    <x v="2662"/>
    <n v="0.5"/>
    <n v="7288"/>
    <n v="0"/>
    <n v="14519"/>
    <x v="41"/>
    <n v="168"/>
    <s v="H (Mar 20)"/>
    <d v="2020-03-18T00:00:00"/>
    <n v="-1"/>
  </r>
  <r>
    <x v="679"/>
    <x v="34"/>
    <n v="19.25"/>
    <n v="19.72"/>
    <n v="19.09"/>
    <n v="19.670000000000002"/>
    <x v="2633"/>
    <n v="0.5"/>
    <n v="1435"/>
    <n v="0"/>
    <n v="7676"/>
    <x v="13"/>
    <n v="197"/>
    <s v="J (Apr 20)"/>
    <d v="2020-04-15T00:00:00"/>
    <n v="-1"/>
  </r>
  <r>
    <x v="679"/>
    <x v="35"/>
    <n v="19.100000000000001"/>
    <n v="19.649999999999999"/>
    <n v="18.95"/>
    <n v="19.57"/>
    <x v="2621"/>
    <n v="0.55000000000000004"/>
    <n v="4874"/>
    <n v="0"/>
    <n v="13773"/>
    <x v="53"/>
    <n v="169"/>
    <s v="H (Mar 20)"/>
    <d v="2020-03-18T00:00:00"/>
    <n v="-1"/>
  </r>
  <r>
    <x v="679"/>
    <x v="33"/>
    <n v="19.149999999999999"/>
    <n v="19.600000000000001"/>
    <n v="19.05"/>
    <n v="19.600000000000001"/>
    <x v="2621"/>
    <n v="0.42499999999999999"/>
    <n v="554"/>
    <n v="0"/>
    <n v="3883"/>
    <x v="86"/>
    <n v="232"/>
    <s v="K (May 20)"/>
    <d v="2020-05-20T00:00:00"/>
    <n v="-1"/>
  </r>
  <r>
    <x v="679"/>
    <x v="32"/>
    <n v="19.2"/>
    <n v="19.649999999999999"/>
    <n v="19.16"/>
    <n v="19.64"/>
    <x v="2642"/>
    <n v="0.375"/>
    <n v="38"/>
    <n v="0"/>
    <n v="97"/>
    <x v="75"/>
    <n v="260"/>
    <s v="M (Jun 20)"/>
    <d v="2020-06-17T00:00:00"/>
    <n v="-1"/>
  </r>
  <r>
    <x v="680"/>
    <x v="33"/>
    <n v="19.350000000000001"/>
    <n v="19.39"/>
    <n v="19.12"/>
    <n v="19.2"/>
    <x v="2784"/>
    <n v="-0.22500000000000001"/>
    <n v="206"/>
    <n v="0"/>
    <n v="4633"/>
    <x v="92"/>
    <n v="233"/>
    <s v="K (May 20)"/>
    <d v="2020-05-20T00:00:00"/>
    <n v="-1"/>
  </r>
  <r>
    <x v="680"/>
    <x v="32"/>
    <n v="19.28"/>
    <n v="19.3"/>
    <n v="19.190000000000001"/>
    <n v="19.25"/>
    <x v="2784"/>
    <n v="-0.1"/>
    <n v="48"/>
    <n v="0"/>
    <n v="66"/>
    <x v="87"/>
    <n v="261"/>
    <s v="M (Jun 20)"/>
    <d v="2020-06-17T00:00:00"/>
    <n v="-1"/>
  </r>
  <r>
    <x v="680"/>
    <x v="35"/>
    <n v="19.36"/>
    <n v="19.399999999999999"/>
    <n v="19.05"/>
    <n v="19.100000000000001"/>
    <x v="2637"/>
    <n v="-0.35"/>
    <n v="2403"/>
    <n v="0"/>
    <n v="12733"/>
    <x v="59"/>
    <n v="170"/>
    <s v="H (Mar 20)"/>
    <d v="2020-03-18T00:00:00"/>
    <n v="-1"/>
  </r>
  <r>
    <x v="680"/>
    <x v="34"/>
    <n v="19.350000000000001"/>
    <n v="19.45"/>
    <n v="19.16"/>
    <n v="19.21"/>
    <x v="2635"/>
    <n v="-0.27500000000000002"/>
    <n v="1678"/>
    <n v="0"/>
    <n v="7492"/>
    <x v="19"/>
    <n v="198"/>
    <s v="J (Apr 20)"/>
    <d v="2020-04-15T00:00:00"/>
    <n v="-1"/>
  </r>
  <r>
    <x v="681"/>
    <x v="35"/>
    <n v="19.149999999999999"/>
    <n v="19.600000000000001"/>
    <n v="19"/>
    <n v="19.350000000000001"/>
    <x v="2634"/>
    <n v="0.25"/>
    <n v="4445"/>
    <n v="0"/>
    <n v="12313"/>
    <x v="71"/>
    <n v="173"/>
    <s v="H (Mar 20)"/>
    <d v="2020-03-18T00:00:00"/>
    <n v="-1"/>
  </r>
  <r>
    <x v="681"/>
    <x v="34"/>
    <n v="19.23"/>
    <n v="19.649999999999999"/>
    <n v="19.100000000000001"/>
    <n v="19.46"/>
    <x v="2782"/>
    <n v="0.22500000000000001"/>
    <n v="1935"/>
    <n v="0"/>
    <n v="7214"/>
    <x v="30"/>
    <n v="201"/>
    <s v="J (Apr 20)"/>
    <d v="2020-04-15T00:00:00"/>
    <n v="-1"/>
  </r>
  <r>
    <x v="681"/>
    <x v="33"/>
    <n v="19.2"/>
    <n v="19.55"/>
    <n v="19.02"/>
    <n v="19.37"/>
    <x v="2634"/>
    <n v="0.22500000000000001"/>
    <n v="585"/>
    <n v="0"/>
    <n v="4589"/>
    <x v="104"/>
    <n v="236"/>
    <s v="K (May 20)"/>
    <d v="2020-05-20T00:00:00"/>
    <n v="-1"/>
  </r>
  <r>
    <x v="681"/>
    <x v="32"/>
    <n v="19.39"/>
    <n v="19.600000000000001"/>
    <n v="19.39"/>
    <n v="19.59"/>
    <x v="2765"/>
    <n v="0.625"/>
    <n v="7"/>
    <n v="0"/>
    <n v="22"/>
    <x v="93"/>
    <n v="264"/>
    <s v="M (Jun 20)"/>
    <d v="2020-06-17T00:00:00"/>
    <n v="-1"/>
  </r>
  <r>
    <x v="682"/>
    <x v="33"/>
    <n v="19.3"/>
    <n v="19.350000000000001"/>
    <n v="19.100000000000001"/>
    <n v="19.2"/>
    <x v="2784"/>
    <n v="-0.1"/>
    <n v="1598"/>
    <n v="0"/>
    <n v="4359"/>
    <x v="110"/>
    <n v="237"/>
    <s v="K (May 20)"/>
    <d v="2020-05-20T00:00:00"/>
    <n v="-1"/>
  </r>
  <r>
    <x v="682"/>
    <x v="32"/>
    <n v="19.399999999999999"/>
    <n v="19.399999999999999"/>
    <n v="19.399999999999999"/>
    <n v="19.399999999999999"/>
    <x v="2751"/>
    <n v="-0.8"/>
    <n v="1"/>
    <n v="0"/>
    <n v="16"/>
    <x v="105"/>
    <n v="265"/>
    <s v="M (Jun 20)"/>
    <d v="2020-06-17T00:00:00"/>
    <n v="-1"/>
  </r>
  <r>
    <x v="682"/>
    <x v="35"/>
    <n v="19.149999999999999"/>
    <n v="19.3"/>
    <n v="18.95"/>
    <n v="19.2"/>
    <x v="2632"/>
    <n v="0.1"/>
    <n v="4842"/>
    <n v="0"/>
    <n v="11520"/>
    <x v="77"/>
    <n v="174"/>
    <s v="H (Mar 20)"/>
    <d v="2020-03-18T00:00:00"/>
    <n v="-1"/>
  </r>
  <r>
    <x v="682"/>
    <x v="34"/>
    <n v="19.3"/>
    <n v="19.38"/>
    <n v="19.170000000000002"/>
    <n v="19.25"/>
    <x v="2644"/>
    <n v="0"/>
    <n v="4355"/>
    <n v="0"/>
    <n v="6425"/>
    <x v="36"/>
    <n v="202"/>
    <s v="J (Apr 20)"/>
    <d v="2020-04-15T00:00:00"/>
    <n v="-1"/>
  </r>
  <r>
    <x v="683"/>
    <x v="35"/>
    <n v="19.22"/>
    <n v="19.41"/>
    <n v="19.05"/>
    <n v="19.100000000000001"/>
    <x v="2637"/>
    <n v="-0.17499999999999999"/>
    <n v="2806"/>
    <n v="0"/>
    <n v="11239"/>
    <x v="89"/>
    <n v="175"/>
    <s v="H (Mar 20)"/>
    <d v="2020-03-18T00:00:00"/>
    <n v="-1"/>
  </r>
  <r>
    <x v="683"/>
    <x v="34"/>
    <n v="19.43"/>
    <n v="19.57"/>
    <n v="19.22"/>
    <n v="19.27"/>
    <x v="2644"/>
    <n v="-0.15"/>
    <n v="828"/>
    <n v="0"/>
    <n v="4874"/>
    <x v="48"/>
    <n v="203"/>
    <s v="J (Apr 20)"/>
    <d v="2020-04-15T00:00:00"/>
    <n v="-1"/>
  </r>
  <r>
    <x v="683"/>
    <x v="33"/>
    <n v="19.48"/>
    <n v="19.61"/>
    <n v="19.25"/>
    <n v="19.3"/>
    <x v="2765"/>
    <n v="-0.17499999999999999"/>
    <n v="740"/>
    <n v="0"/>
    <n v="2412"/>
    <x v="122"/>
    <n v="238"/>
    <s v="K (May 20)"/>
    <d v="2020-05-20T00:00:00"/>
    <n v="-1"/>
  </r>
  <r>
    <x v="683"/>
    <x v="32"/>
    <n v="19.55"/>
    <n v="19.600000000000001"/>
    <n v="19.55"/>
    <n v="19.600000000000001"/>
    <x v="2767"/>
    <n v="0.1"/>
    <n v="6"/>
    <n v="0"/>
    <n v="16"/>
    <x v="111"/>
    <n v="266"/>
    <s v="M (Jun 20)"/>
    <d v="2020-06-17T00:00:00"/>
    <n v="-1"/>
  </r>
  <r>
    <x v="684"/>
    <x v="33"/>
    <n v="19"/>
    <n v="19.55"/>
    <n v="18.940000000000001"/>
    <n v="19.47"/>
    <x v="2767"/>
    <n v="0.42499999999999999"/>
    <n v="1670"/>
    <n v="0"/>
    <n v="2071"/>
    <x v="128"/>
    <n v="239"/>
    <s v="K (May 20)"/>
    <d v="2020-05-20T00:00:00"/>
    <n v="-1"/>
  </r>
  <r>
    <x v="684"/>
    <x v="32"/>
    <n v="19.399999999999999"/>
    <n v="19.600000000000001"/>
    <n v="19.399999999999999"/>
    <n v="19.600000000000001"/>
    <x v="2650"/>
    <n v="0.3"/>
    <n v="11"/>
    <n v="0"/>
    <n v="10"/>
    <x v="123"/>
    <n v="267"/>
    <s v="M (Jun 20)"/>
    <d v="2020-06-17T00:00:00"/>
    <n v="-1"/>
  </r>
  <r>
    <x v="684"/>
    <x v="35"/>
    <n v="18.850000000000001"/>
    <n v="19.329999999999998"/>
    <n v="18.77"/>
    <n v="19.25"/>
    <x v="2780"/>
    <n v="0.32500000000000001"/>
    <n v="3836"/>
    <n v="0"/>
    <n v="10866"/>
    <x v="95"/>
    <n v="176"/>
    <s v="H (Mar 20)"/>
    <d v="2020-03-18T00:00:00"/>
    <n v="-1"/>
  </r>
  <r>
    <x v="684"/>
    <x v="34"/>
    <n v="19"/>
    <n v="19.5"/>
    <n v="18.95"/>
    <n v="19.43"/>
    <x v="2634"/>
    <n v="0.3"/>
    <n v="1308"/>
    <n v="0"/>
    <n v="4699"/>
    <x v="54"/>
    <n v="204"/>
    <s v="J (Apr 20)"/>
    <d v="2020-04-15T00:00:00"/>
    <n v="-1"/>
  </r>
  <r>
    <x v="685"/>
    <x v="35"/>
    <n v="19.05"/>
    <n v="19.100000000000001"/>
    <n v="18.850000000000001"/>
    <n v="18.899999999999999"/>
    <x v="2771"/>
    <n v="-0.15"/>
    <n v="1853"/>
    <n v="0"/>
    <n v="10655"/>
    <x v="107"/>
    <n v="177"/>
    <s v="H (Mar 20)"/>
    <d v="2020-03-18T00:00:00"/>
    <n v="-1"/>
  </r>
  <r>
    <x v="685"/>
    <x v="34"/>
    <n v="19.16"/>
    <n v="19.22"/>
    <n v="19"/>
    <n v="19.07"/>
    <x v="2769"/>
    <n v="-0.1"/>
    <n v="1307"/>
    <n v="0"/>
    <n v="4641"/>
    <x v="66"/>
    <n v="205"/>
    <s v="J (Apr 20)"/>
    <d v="2020-04-15T00:00:00"/>
    <n v="-1"/>
  </r>
  <r>
    <x v="685"/>
    <x v="33"/>
    <n v="19.2"/>
    <n v="19.2"/>
    <n v="19"/>
    <n v="19.059999999999999"/>
    <x v="2773"/>
    <n v="-0.15"/>
    <n v="107"/>
    <n v="0"/>
    <n v="1221"/>
    <x v="139"/>
    <n v="240"/>
    <s v="K (May 20)"/>
    <d v="2020-05-20T00:00:00"/>
    <n v="-1"/>
  </r>
  <r>
    <x v="686"/>
    <x v="33"/>
    <n v="18.600000000000001"/>
    <n v="19.25"/>
    <n v="18.53"/>
    <n v="19.2"/>
    <x v="2784"/>
    <n v="0.55000000000000004"/>
    <n v="819"/>
    <n v="0"/>
    <n v="1158"/>
    <x v="144"/>
    <n v="243"/>
    <s v="K (May 20)"/>
    <d v="2020-05-20T00:00:00"/>
    <n v="-1"/>
  </r>
  <r>
    <x v="686"/>
    <x v="35"/>
    <n v="18.57"/>
    <n v="19.100000000000001"/>
    <n v="18.41"/>
    <n v="19.079999999999998"/>
    <x v="2637"/>
    <n v="0.5"/>
    <n v="3317"/>
    <n v="0"/>
    <n v="10290"/>
    <x v="113"/>
    <n v="180"/>
    <s v="H (Mar 20)"/>
    <d v="2020-03-18T00:00:00"/>
    <n v="-1"/>
  </r>
  <r>
    <x v="686"/>
    <x v="34"/>
    <n v="18.71"/>
    <n v="19.27"/>
    <n v="18.57"/>
    <n v="19.22"/>
    <x v="2635"/>
    <n v="0.5"/>
    <n v="1415"/>
    <n v="0"/>
    <n v="4357"/>
    <x v="72"/>
    <n v="208"/>
    <s v="J (Apr 20)"/>
    <d v="2020-04-15T00:00:00"/>
    <n v="-1"/>
  </r>
  <r>
    <x v="687"/>
    <x v="35"/>
    <n v="18.55"/>
    <n v="18.75"/>
    <n v="18.32"/>
    <n v="18.559999999999999"/>
    <x v="2743"/>
    <n v="0"/>
    <n v="2844"/>
    <n v="0"/>
    <n v="9468"/>
    <x v="125"/>
    <n v="181"/>
    <s v="H (Mar 20)"/>
    <d v="2020-03-18T00:00:00"/>
    <n v="-1"/>
  </r>
  <r>
    <x v="687"/>
    <x v="34"/>
    <n v="18.75"/>
    <n v="18.899999999999999"/>
    <n v="18.5"/>
    <n v="18.73"/>
    <x v="2762"/>
    <n v="-2.5000000000000001E-2"/>
    <n v="492"/>
    <n v="0"/>
    <n v="4311"/>
    <x v="84"/>
    <n v="209"/>
    <s v="J (Apr 20)"/>
    <d v="2020-04-15T00:00:00"/>
    <n v="-1"/>
  </r>
  <r>
    <x v="687"/>
    <x v="33"/>
    <n v="18.75"/>
    <n v="18.8"/>
    <n v="18.45"/>
    <n v="18.68"/>
    <x v="2756"/>
    <n v="-0.05"/>
    <n v="388"/>
    <n v="0"/>
    <n v="936"/>
    <x v="155"/>
    <n v="244"/>
    <s v="K (May 20)"/>
    <d v="2020-05-20T00:00:00"/>
    <n v="-1"/>
  </r>
  <r>
    <x v="688"/>
    <x v="33"/>
    <n v="18.8"/>
    <n v="18.98"/>
    <n v="18.7"/>
    <n v="18.7"/>
    <x v="2747"/>
    <n v="-0.1"/>
    <n v="464"/>
    <n v="0"/>
    <n v="892"/>
    <x v="160"/>
    <n v="245"/>
    <s v="K (May 20)"/>
    <d v="2020-05-20T00:00:00"/>
    <n v="-1"/>
  </r>
  <r>
    <x v="688"/>
    <x v="35"/>
    <n v="18.77"/>
    <n v="18.87"/>
    <n v="18.52"/>
    <n v="18.55"/>
    <x v="2743"/>
    <n v="-0.2"/>
    <n v="3611"/>
    <n v="0"/>
    <n v="8895"/>
    <x v="130"/>
    <n v="182"/>
    <s v="H (Mar 20)"/>
    <d v="2020-03-18T00:00:00"/>
    <n v="-1"/>
  </r>
  <r>
    <x v="688"/>
    <x v="34"/>
    <n v="18.95"/>
    <n v="19"/>
    <n v="18.7"/>
    <n v="18.7"/>
    <x v="2757"/>
    <n v="-0.15"/>
    <n v="1150"/>
    <n v="0"/>
    <n v="4284"/>
    <x v="90"/>
    <n v="210"/>
    <s v="J (Apr 20)"/>
    <d v="2020-04-15T00:00:00"/>
    <n v="-1"/>
  </r>
  <r>
    <x v="689"/>
    <x v="35"/>
    <n v="18.57"/>
    <n v="18.809999999999999"/>
    <n v="18.55"/>
    <n v="18.760000000000002"/>
    <x v="2750"/>
    <n v="0.15"/>
    <n v="2099"/>
    <n v="0"/>
    <n v="8728"/>
    <x v="141"/>
    <n v="183"/>
    <s v="H (Mar 20)"/>
    <d v="2020-03-18T00:00:00"/>
    <n v="-1"/>
  </r>
  <r>
    <x v="689"/>
    <x v="34"/>
    <n v="18.7"/>
    <n v="18.95"/>
    <n v="18.7"/>
    <n v="18.920000000000002"/>
    <x v="1576"/>
    <n v="0.17499999999999999"/>
    <n v="1071"/>
    <n v="0"/>
    <n v="4161"/>
    <x v="102"/>
    <n v="211"/>
    <s v="J (Apr 20)"/>
    <d v="2020-04-15T00:00:00"/>
    <n v="-1"/>
  </r>
  <r>
    <x v="689"/>
    <x v="33"/>
    <n v="18.62"/>
    <n v="18.850000000000001"/>
    <n v="18.62"/>
    <n v="18.850000000000001"/>
    <x v="2753"/>
    <n v="0.17499999999999999"/>
    <n v="274"/>
    <n v="0"/>
    <n v="755"/>
    <x v="171"/>
    <n v="246"/>
    <s v="K (May 20)"/>
    <d v="2020-05-20T00:00:00"/>
    <n v="-1"/>
  </r>
  <r>
    <x v="690"/>
    <x v="33"/>
    <n v="18.57"/>
    <n v="18.61"/>
    <n v="18.41"/>
    <n v="18.61"/>
    <x v="2776"/>
    <n v="0.17499999999999999"/>
    <n v="187"/>
    <n v="0"/>
    <n v="658"/>
    <x v="4"/>
    <n v="247"/>
    <s v="K (May 20)"/>
    <d v="2020-05-20T00:00:00"/>
    <n v="-1"/>
  </r>
  <r>
    <x v="690"/>
    <x v="35"/>
    <n v="18.45"/>
    <n v="18.649999999999999"/>
    <n v="18.309999999999999"/>
    <n v="18.61"/>
    <x v="2776"/>
    <n v="0.25"/>
    <n v="1771"/>
    <n v="0"/>
    <n v="8022"/>
    <x v="147"/>
    <n v="184"/>
    <s v="H (Mar 20)"/>
    <d v="2020-03-18T00:00:00"/>
    <n v="-1"/>
  </r>
  <r>
    <x v="690"/>
    <x v="34"/>
    <n v="18.55"/>
    <n v="18.75"/>
    <n v="18.489999999999998"/>
    <n v="18.72"/>
    <x v="2762"/>
    <n v="0.25"/>
    <n v="570"/>
    <n v="0"/>
    <n v="3793"/>
    <x v="108"/>
    <n v="212"/>
    <s v="J (Apr 20)"/>
    <d v="2020-04-15T00:00:00"/>
    <n v="-1"/>
  </r>
  <r>
    <x v="691"/>
    <x v="35"/>
    <n v="18.34"/>
    <n v="18.399999999999999"/>
    <n v="18.16"/>
    <n v="18.350000000000001"/>
    <x v="2645"/>
    <n v="0"/>
    <n v="2074"/>
    <n v="0"/>
    <n v="7284"/>
    <x v="158"/>
    <n v="187"/>
    <s v="H (Mar 20)"/>
    <d v="2020-03-18T00:00:00"/>
    <n v="-1"/>
  </r>
  <r>
    <x v="691"/>
    <x v="34"/>
    <n v="18.45"/>
    <n v="18.5"/>
    <n v="18.329999999999998"/>
    <n v="18.48"/>
    <x v="2659"/>
    <n v="0"/>
    <n v="827"/>
    <n v="0"/>
    <n v="3720"/>
    <x v="120"/>
    <n v="215"/>
    <s v="J (Apr 20)"/>
    <d v="2020-04-15T00:00:00"/>
    <n v="-1"/>
  </r>
  <r>
    <x v="691"/>
    <x v="33"/>
    <n v="18.32"/>
    <n v="18.47"/>
    <n v="18.29"/>
    <n v="18.45"/>
    <x v="2649"/>
    <n v="0.05"/>
    <n v="215"/>
    <n v="0"/>
    <n v="633"/>
    <x v="16"/>
    <n v="250"/>
    <s v="K (May 20)"/>
    <d v="2020-05-20T00:00:00"/>
    <n v="-1"/>
  </r>
  <r>
    <x v="692"/>
    <x v="33"/>
    <n v="18.399999999999999"/>
    <n v="18.5"/>
    <n v="18.32"/>
    <n v="18.399999999999999"/>
    <x v="2760"/>
    <n v="-7.4999999999999997E-2"/>
    <n v="297"/>
    <n v="0"/>
    <n v="555"/>
    <x v="22"/>
    <n v="251"/>
    <s v="K (May 20)"/>
    <d v="2020-05-20T00:00:00"/>
    <n v="-1"/>
  </r>
  <r>
    <x v="692"/>
    <x v="35"/>
    <n v="18.45"/>
    <n v="18.46"/>
    <n v="18.25"/>
    <n v="18.32"/>
    <x v="2645"/>
    <n v="-0.05"/>
    <n v="1974"/>
    <n v="0"/>
    <n v="6976"/>
    <x v="163"/>
    <n v="188"/>
    <s v="H (Mar 20)"/>
    <d v="2020-03-18T00:00:00"/>
    <n v="-1"/>
  </r>
  <r>
    <x v="692"/>
    <x v="34"/>
    <n v="18.5"/>
    <n v="18.55"/>
    <n v="18.37"/>
    <n v="18.48"/>
    <x v="2659"/>
    <n v="-0.05"/>
    <n v="1175"/>
    <n v="0"/>
    <n v="3598"/>
    <x v="126"/>
    <n v="216"/>
    <s v="J (Apr 20)"/>
    <d v="2020-04-15T00:00:00"/>
    <n v="-1"/>
  </r>
  <r>
    <x v="693"/>
    <x v="35"/>
    <n v="18.57"/>
    <n v="18.600000000000001"/>
    <n v="18.329999999999998"/>
    <n v="18.420000000000002"/>
    <x v="2647"/>
    <n v="-0.15"/>
    <n v="1716"/>
    <n v="0"/>
    <n v="6156"/>
    <x v="173"/>
    <n v="189"/>
    <s v="H (Mar 20)"/>
    <d v="2020-03-18T00:00:00"/>
    <n v="-1"/>
  </r>
  <r>
    <x v="693"/>
    <x v="34"/>
    <n v="18.649999999999999"/>
    <n v="18.649999999999999"/>
    <n v="18.43"/>
    <n v="18.52"/>
    <x v="2741"/>
    <n v="-0.125"/>
    <n v="843"/>
    <n v="0"/>
    <n v="3157"/>
    <x v="137"/>
    <n v="217"/>
    <s v="J (Apr 20)"/>
    <d v="2020-04-15T00:00:00"/>
    <n v="-1"/>
  </r>
  <r>
    <x v="693"/>
    <x v="33"/>
    <n v="18.600000000000001"/>
    <n v="18.600000000000001"/>
    <n v="18.350000000000001"/>
    <n v="18.47"/>
    <x v="2659"/>
    <n v="-0.15"/>
    <n v="352"/>
    <n v="0"/>
    <n v="432"/>
    <x v="33"/>
    <n v="252"/>
    <s v="K (May 20)"/>
    <d v="2020-05-20T00:00:00"/>
    <n v="-1"/>
  </r>
  <r>
    <x v="694"/>
    <x v="33"/>
    <n v="18.649999999999999"/>
    <n v="18.68"/>
    <n v="18.55"/>
    <n v="18.649999999999999"/>
    <x v="2776"/>
    <n v="7.4999999999999997E-2"/>
    <n v="85"/>
    <n v="0"/>
    <n v="196"/>
    <x v="39"/>
    <n v="253"/>
    <s v="K (May 20)"/>
    <d v="2020-05-20T00:00:00"/>
    <n v="-1"/>
  </r>
  <r>
    <x v="694"/>
    <x v="35"/>
    <n v="18.420000000000002"/>
    <n v="18.649999999999999"/>
    <n v="18.399999999999999"/>
    <n v="18.55"/>
    <x v="2743"/>
    <n v="0.15"/>
    <n v="1270"/>
    <n v="0"/>
    <n v="5933"/>
    <x v="174"/>
    <n v="190"/>
    <s v="H (Mar 20)"/>
    <d v="2020-03-18T00:00:00"/>
    <n v="-1"/>
  </r>
  <r>
    <x v="694"/>
    <x v="34"/>
    <n v="18.55"/>
    <n v="18.71"/>
    <n v="18.55"/>
    <n v="18.649999999999999"/>
    <x v="2756"/>
    <n v="0.1"/>
    <n v="272"/>
    <n v="0"/>
    <n v="3055"/>
    <x v="142"/>
    <n v="218"/>
    <s v="J (Apr 20)"/>
    <d v="2020-04-15T00:00:00"/>
    <n v="-1"/>
  </r>
  <r>
    <x v="695"/>
    <x v="35"/>
    <n v="18.350000000000001"/>
    <n v="18.600000000000001"/>
    <n v="18.27"/>
    <n v="18.420000000000002"/>
    <x v="2647"/>
    <n v="0"/>
    <n v="1208"/>
    <n v="0"/>
    <n v="5677"/>
    <x v="179"/>
    <n v="191"/>
    <s v="H (Mar 20)"/>
    <d v="2020-03-18T00:00:00"/>
    <n v="-1"/>
  </r>
  <r>
    <x v="695"/>
    <x v="34"/>
    <n v="18.420000000000002"/>
    <n v="18.7"/>
    <n v="18.399999999999999"/>
    <n v="18.53"/>
    <x v="2740"/>
    <n v="7.4999999999999997E-2"/>
    <n v="317"/>
    <n v="0"/>
    <n v="2980"/>
    <x v="3"/>
    <n v="219"/>
    <s v="J (Apr 20)"/>
    <d v="2020-04-15T00:00:00"/>
    <n v="-1"/>
  </r>
  <r>
    <x v="695"/>
    <x v="33"/>
    <n v="18.43"/>
    <n v="18.649999999999999"/>
    <n v="18.420000000000002"/>
    <n v="18.55"/>
    <x v="2740"/>
    <n v="0.05"/>
    <n v="57"/>
    <n v="0"/>
    <n v="133"/>
    <x v="51"/>
    <n v="254"/>
    <s v="K (May 20)"/>
    <d v="2020-05-20T00:00:00"/>
    <n v="-1"/>
  </r>
  <r>
    <x v="696"/>
    <x v="33"/>
    <n v="18.61"/>
    <n v="18.61"/>
    <n v="18.53"/>
    <n v="18.53"/>
    <x v="2754"/>
    <n v="-0.15"/>
    <n v="21"/>
    <n v="0"/>
    <n v="90"/>
    <x v="57"/>
    <n v="257"/>
    <s v="K (May 20)"/>
    <d v="2020-05-20T00:00:00"/>
    <n v="-1"/>
  </r>
  <r>
    <x v="696"/>
    <x v="35"/>
    <n v="18.649999999999999"/>
    <n v="18.649999999999999"/>
    <n v="18.37"/>
    <n v="18.399999999999999"/>
    <x v="2647"/>
    <n v="-0.17499999999999999"/>
    <n v="1357"/>
    <n v="0"/>
    <n v="5597"/>
    <x v="180"/>
    <n v="194"/>
    <s v="H (Mar 20)"/>
    <d v="2020-03-18T00:00:00"/>
    <n v="-1"/>
  </r>
  <r>
    <x v="696"/>
    <x v="34"/>
    <n v="18.600000000000001"/>
    <n v="18.649999999999999"/>
    <n v="18.399999999999999"/>
    <n v="18.5"/>
    <x v="2659"/>
    <n v="-0.22500000000000001"/>
    <n v="274"/>
    <n v="0"/>
    <n v="2889"/>
    <x v="15"/>
    <n v="222"/>
    <s v="J (Apr 20)"/>
    <d v="2020-04-15T00:00:00"/>
    <n v="-1"/>
  </r>
  <r>
    <x v="697"/>
    <x v="35"/>
    <n v="18.850000000000001"/>
    <n v="18.850000000000001"/>
    <n v="18.43"/>
    <n v="18.649999999999999"/>
    <x v="2768"/>
    <n v="-0.22500000000000001"/>
    <n v="1548"/>
    <n v="0"/>
    <n v="5682"/>
    <x v="185"/>
    <n v="195"/>
    <s v="H (Mar 20)"/>
    <d v="2020-03-18T00:00:00"/>
    <n v="-1"/>
  </r>
  <r>
    <x v="697"/>
    <x v="34"/>
    <n v="18.91"/>
    <n v="18.95"/>
    <n v="18.55"/>
    <n v="18.72"/>
    <x v="2747"/>
    <n v="-0.22500000000000001"/>
    <n v="380"/>
    <n v="0"/>
    <n v="2874"/>
    <x v="21"/>
    <n v="223"/>
    <s v="J (Apr 20)"/>
    <d v="2020-04-15T00:00:00"/>
    <n v="-1"/>
  </r>
  <r>
    <x v="697"/>
    <x v="33"/>
    <n v="18.95"/>
    <n v="18.98"/>
    <n v="18.57"/>
    <n v="18.57"/>
    <x v="2756"/>
    <n v="-0.32500000000000001"/>
    <n v="31"/>
    <n v="0"/>
    <n v="71"/>
    <x v="69"/>
    <n v="258"/>
    <s v="K (May 20)"/>
    <d v="2020-05-20T00:00:00"/>
    <n v="-1"/>
  </r>
  <r>
    <x v="698"/>
    <x v="33"/>
    <n v="19.14"/>
    <n v="19.14"/>
    <n v="18.86"/>
    <n v="18.86"/>
    <x v="2640"/>
    <n v="-0.375"/>
    <n v="32"/>
    <n v="0"/>
    <n v="42"/>
    <x v="75"/>
    <n v="259"/>
    <s v="K (May 20)"/>
    <d v="2020-05-20T00:00:00"/>
    <n v="-1"/>
  </r>
  <r>
    <x v="698"/>
    <x v="35"/>
    <n v="19.37"/>
    <n v="19.37"/>
    <n v="18.84"/>
    <n v="18.86"/>
    <x v="2766"/>
    <n v="-0.52500000000000002"/>
    <n v="1040"/>
    <n v="0"/>
    <n v="5786"/>
    <x v="1"/>
    <n v="196"/>
    <s v="H (Mar 20)"/>
    <d v="2020-03-18T00:00:00"/>
    <n v="-1"/>
  </r>
  <r>
    <x v="698"/>
    <x v="34"/>
    <n v="19.420000000000002"/>
    <n v="19.420000000000002"/>
    <n v="18.87"/>
    <n v="18.920000000000002"/>
    <x v="2771"/>
    <n v="-0.45"/>
    <n v="275"/>
    <n v="0"/>
    <n v="2871"/>
    <x v="32"/>
    <n v="224"/>
    <s v="J (Apr 20)"/>
    <d v="2020-04-15T00:00:00"/>
    <n v="-1"/>
  </r>
  <r>
    <x v="699"/>
    <x v="35"/>
    <n v="19.149999999999999"/>
    <n v="19.46"/>
    <n v="18.93"/>
    <n v="19.37"/>
    <x v="2764"/>
    <n v="0.375"/>
    <n v="2039"/>
    <n v="0"/>
    <n v="5749"/>
    <x v="13"/>
    <n v="197"/>
    <s v="H (Mar 20)"/>
    <d v="2020-03-18T00:00:00"/>
    <n v="-1"/>
  </r>
  <r>
    <x v="699"/>
    <x v="34"/>
    <n v="19.149999999999999"/>
    <n v="19.5"/>
    <n v="19.05"/>
    <n v="19.420000000000002"/>
    <x v="2650"/>
    <n v="0.3"/>
    <n v="350"/>
    <n v="0"/>
    <n v="2805"/>
    <x v="38"/>
    <n v="225"/>
    <s v="J (Apr 20)"/>
    <d v="2020-04-15T00:00:00"/>
    <n v="-1"/>
  </r>
  <r>
    <x v="699"/>
    <x v="33"/>
    <n v="19.18"/>
    <n v="19.45"/>
    <n v="19.18"/>
    <n v="19.45"/>
    <x v="2764"/>
    <n v="0.35"/>
    <n v="6"/>
    <n v="0"/>
    <n v="18"/>
    <x v="87"/>
    <n v="260"/>
    <s v="K (May 20)"/>
    <d v="2020-05-20T00:00:00"/>
    <n v="-1"/>
  </r>
  <r>
    <x v="700"/>
    <x v="35"/>
    <n v="18.899999999999999"/>
    <n v="19.100000000000001"/>
    <n v="18.7"/>
    <n v="18.989999999999998"/>
    <x v="2640"/>
    <n v="0.1"/>
    <n v="1073"/>
    <n v="0"/>
    <n v="6106"/>
    <x v="19"/>
    <n v="201"/>
    <s v="H (Mar 20)"/>
    <d v="2020-03-18T00:00:00"/>
    <n v="-1"/>
  </r>
  <r>
    <x v="700"/>
    <x v="34"/>
    <n v="18.899999999999999"/>
    <n v="19.149999999999999"/>
    <n v="18.8"/>
    <n v="19.100000000000001"/>
    <x v="2637"/>
    <n v="0.15"/>
    <n v="342"/>
    <n v="0"/>
    <n v="2789"/>
    <x v="50"/>
    <n v="229"/>
    <s v="J (Apr 20)"/>
    <d v="2020-04-15T00:00:00"/>
    <n v="-1"/>
  </r>
  <r>
    <x v="701"/>
    <x v="33"/>
    <n v="18.850000000000001"/>
    <n v="18.850000000000001"/>
    <n v="18.850000000000001"/>
    <n v="18.850000000000001"/>
    <x v="2753"/>
    <n v="-0.6"/>
    <n v="1"/>
    <n v="0"/>
    <n v="12"/>
    <x v="105"/>
    <n v="265"/>
    <s v="K (May 20)"/>
    <d v="2020-05-20T00:00:00"/>
    <n v="-1"/>
  </r>
  <r>
    <x v="701"/>
    <x v="35"/>
    <n v="19.2"/>
    <n v="19.350000000000001"/>
    <n v="18.8"/>
    <n v="18.87"/>
    <x v="2775"/>
    <n v="-0.3"/>
    <n v="1440"/>
    <n v="0"/>
    <n v="5767"/>
    <x v="30"/>
    <n v="202"/>
    <s v="H (Mar 20)"/>
    <d v="2020-03-18T00:00:00"/>
    <n v="-1"/>
  </r>
  <r>
    <x v="701"/>
    <x v="34"/>
    <n v="19.3"/>
    <n v="19.350000000000001"/>
    <n v="18.850000000000001"/>
    <n v="18.95"/>
    <x v="2771"/>
    <n v="-0.35"/>
    <n v="211"/>
    <n v="0"/>
    <n v="2763"/>
    <x v="56"/>
    <n v="230"/>
    <s v="J (Apr 20)"/>
    <d v="2020-04-15T00:00:00"/>
    <n v="-1"/>
  </r>
  <r>
    <x v="702"/>
    <x v="35"/>
    <n v="19.350000000000001"/>
    <n v="19.68"/>
    <n v="19.170000000000002"/>
    <n v="19.25"/>
    <x v="2632"/>
    <n v="-0.25"/>
    <n v="1237"/>
    <n v="0"/>
    <n v="5494"/>
    <x v="36"/>
    <n v="203"/>
    <s v="H (Mar 20)"/>
    <d v="2020-03-18T00:00:00"/>
    <n v="-1"/>
  </r>
  <r>
    <x v="702"/>
    <x v="34"/>
    <n v="19.399999999999999"/>
    <n v="19.75"/>
    <n v="19.25"/>
    <n v="19.25"/>
    <x v="2644"/>
    <n v="-0.22500000000000001"/>
    <n v="656"/>
    <n v="0"/>
    <n v="2711"/>
    <x v="68"/>
    <n v="231"/>
    <s v="J (Apr 20)"/>
    <d v="2020-04-15T00:00:00"/>
    <n v="-1"/>
  </r>
  <r>
    <x v="703"/>
    <x v="35"/>
    <n v="19.149999999999999"/>
    <n v="19.55"/>
    <n v="18.989999999999998"/>
    <n v="19.350000000000001"/>
    <x v="2634"/>
    <n v="0.3"/>
    <n v="1627"/>
    <n v="0"/>
    <n v="5312"/>
    <x v="48"/>
    <n v="204"/>
    <s v="H (Mar 20)"/>
    <d v="2020-03-18T00:00:00"/>
    <n v="-1"/>
  </r>
  <r>
    <x v="703"/>
    <x v="34"/>
    <n v="19.23"/>
    <n v="19.600000000000001"/>
    <n v="19.100000000000001"/>
    <n v="19.45"/>
    <x v="2782"/>
    <n v="0.25"/>
    <n v="445"/>
    <n v="0"/>
    <n v="2425"/>
    <x v="74"/>
    <n v="232"/>
    <s v="J (Apr 20)"/>
    <d v="2020-04-15T00:00:00"/>
    <n v="-1"/>
  </r>
  <r>
    <x v="703"/>
    <x v="33"/>
    <n v="19.5"/>
    <n v="19.52"/>
    <n v="19.46"/>
    <n v="19.52"/>
    <x v="2782"/>
    <n v="0.25"/>
    <n v="10"/>
    <n v="0"/>
    <n v="11"/>
    <x v="123"/>
    <n v="267"/>
    <s v="K (May 20)"/>
    <d v="2020-05-20T00:00:00"/>
    <n v="-1"/>
  </r>
  <r>
    <x v="704"/>
    <x v="33"/>
    <n v="19.28"/>
    <n v="19.3"/>
    <n v="19.22"/>
    <n v="19.23"/>
    <x v="2780"/>
    <n v="0"/>
    <n v="10"/>
    <n v="0"/>
    <n v="6"/>
    <x v="186"/>
    <n v="268"/>
    <s v="K (May 20)"/>
    <d v="2020-05-20T00:00:00"/>
    <n v="-1"/>
  </r>
  <r>
    <x v="704"/>
    <x v="35"/>
    <n v="19.399999999999999"/>
    <n v="19.63"/>
    <n v="18.899999999999999"/>
    <n v="19.149999999999999"/>
    <x v="2769"/>
    <n v="-0.1"/>
    <n v="2273"/>
    <n v="0"/>
    <n v="5200"/>
    <x v="54"/>
    <n v="205"/>
    <s v="H (Mar 20)"/>
    <d v="2020-03-18T00:00:00"/>
    <n v="-1"/>
  </r>
  <r>
    <x v="704"/>
    <x v="34"/>
    <n v="19.48"/>
    <n v="19.72"/>
    <n v="19"/>
    <n v="19.25"/>
    <x v="2780"/>
    <n v="-0.05"/>
    <n v="1290"/>
    <n v="0"/>
    <n v="2265"/>
    <x v="86"/>
    <n v="233"/>
    <s v="J (Apr 20)"/>
    <d v="2020-04-15T00:00:00"/>
    <n v="-1"/>
  </r>
  <r>
    <x v="705"/>
    <x v="35"/>
    <n v="18.3"/>
    <n v="19.5"/>
    <n v="18.27"/>
    <n v="19.2"/>
    <x v="2635"/>
    <n v="0.8"/>
    <n v="1983"/>
    <n v="0"/>
    <n v="4830"/>
    <x v="66"/>
    <n v="208"/>
    <s v="H (Mar 20)"/>
    <d v="2020-03-18T00:00:00"/>
    <n v="-1"/>
  </r>
  <r>
    <x v="705"/>
    <x v="34"/>
    <n v="18.45"/>
    <n v="19.579999999999998"/>
    <n v="18.399999999999999"/>
    <n v="19.29"/>
    <x v="2765"/>
    <n v="0.75"/>
    <n v="735"/>
    <n v="0"/>
    <n v="1791"/>
    <x v="92"/>
    <n v="236"/>
    <s v="J (Apr 20)"/>
    <d v="2020-04-15T00:00:00"/>
    <n v="-1"/>
  </r>
  <r>
    <x v="706"/>
    <x v="35"/>
    <n v="18.25"/>
    <n v="18.52"/>
    <n v="18.170000000000002"/>
    <n v="18.37"/>
    <x v="2647"/>
    <n v="0.125"/>
    <n v="1436"/>
    <n v="0"/>
    <n v="4198"/>
    <x v="72"/>
    <n v="209"/>
    <s v="H (Mar 20)"/>
    <d v="2020-03-18T00:00:00"/>
    <n v="-1"/>
  </r>
  <r>
    <x v="706"/>
    <x v="34"/>
    <n v="18.350000000000001"/>
    <n v="18.649999999999999"/>
    <n v="18.3"/>
    <n v="18.5"/>
    <x v="2740"/>
    <n v="0.125"/>
    <n v="860"/>
    <n v="0"/>
    <n v="1514"/>
    <x v="104"/>
    <n v="237"/>
    <s v="J (Apr 20)"/>
    <d v="2020-04-15T00:00:00"/>
    <n v="-1"/>
  </r>
  <r>
    <x v="707"/>
    <x v="35"/>
    <n v="18.55"/>
    <n v="18.55"/>
    <n v="18.190000000000001"/>
    <n v="18.25"/>
    <x v="2748"/>
    <n v="-0.25"/>
    <n v="974"/>
    <n v="0"/>
    <n v="3856"/>
    <x v="84"/>
    <n v="210"/>
    <s v="H (Mar 20)"/>
    <d v="2020-03-18T00:00:00"/>
    <n v="-1"/>
  </r>
  <r>
    <x v="707"/>
    <x v="34"/>
    <n v="18.5"/>
    <n v="18.649999999999999"/>
    <n v="18.34"/>
    <n v="18.38"/>
    <x v="2647"/>
    <n v="-0.3"/>
    <n v="360"/>
    <n v="0"/>
    <n v="1236"/>
    <x v="110"/>
    <n v="238"/>
    <s v="J (Apr 20)"/>
    <d v="2020-04-15T00:00:00"/>
    <n v="-1"/>
  </r>
  <r>
    <x v="708"/>
    <x v="35"/>
    <n v="18.12"/>
    <n v="18.55"/>
    <n v="18.07"/>
    <n v="18.55"/>
    <x v="2740"/>
    <n v="0.42499999999999999"/>
    <n v="726"/>
    <n v="0"/>
    <n v="3551"/>
    <x v="90"/>
    <n v="211"/>
    <s v="H (Mar 20)"/>
    <d v="2020-03-18T00:00:00"/>
    <n v="-1"/>
  </r>
  <r>
    <x v="708"/>
    <x v="34"/>
    <n v="18.3"/>
    <n v="18.649999999999999"/>
    <n v="18.25"/>
    <n v="18.62"/>
    <x v="2762"/>
    <n v="0.5"/>
    <n v="226"/>
    <n v="0"/>
    <n v="1026"/>
    <x v="122"/>
    <n v="239"/>
    <s v="J (Apr 20)"/>
    <d v="2020-04-15T00:00:00"/>
    <n v="-1"/>
  </r>
  <r>
    <x v="709"/>
    <x v="35"/>
    <n v="18.399999999999999"/>
    <n v="18.399999999999999"/>
    <n v="18.07"/>
    <n v="18.12"/>
    <x v="2664"/>
    <n v="-0.375"/>
    <n v="971"/>
    <n v="0"/>
    <n v="3381"/>
    <x v="102"/>
    <n v="212"/>
    <s v="H (Mar 20)"/>
    <d v="2020-03-18T00:00:00"/>
    <n v="-1"/>
  </r>
  <r>
    <x v="709"/>
    <x v="34"/>
    <n v="18.55"/>
    <n v="18.55"/>
    <n v="18.2"/>
    <n v="18.2"/>
    <x v="2752"/>
    <n v="-0.4"/>
    <n v="441"/>
    <n v="0"/>
    <n v="980"/>
    <x v="128"/>
    <n v="240"/>
    <s v="J (Apr 20)"/>
    <d v="2020-04-15T00:00:00"/>
    <n v="-1"/>
  </r>
  <r>
    <x v="710"/>
    <x v="35"/>
    <n v="18.8"/>
    <n v="18.8"/>
    <n v="18.45"/>
    <n v="18.45"/>
    <x v="2754"/>
    <n v="-0.375"/>
    <n v="336"/>
    <n v="0"/>
    <n v="3404"/>
    <x v="108"/>
    <n v="215"/>
    <s v="H (Mar 20)"/>
    <d v="2020-03-18T00:00:00"/>
    <n v="-1"/>
  </r>
  <r>
    <x v="710"/>
    <x v="34"/>
    <n v="18.78"/>
    <n v="18.850000000000001"/>
    <n v="18.62"/>
    <n v="18.62"/>
    <x v="2776"/>
    <n v="-0.3"/>
    <n v="168"/>
    <n v="0"/>
    <n v="651"/>
    <x v="139"/>
    <n v="243"/>
    <s v="J (Apr 20)"/>
    <d v="2020-04-15T00:00:00"/>
    <n v="-1"/>
  </r>
  <r>
    <x v="711"/>
    <x v="35"/>
    <n v="18.91"/>
    <n v="19.25"/>
    <n v="18.77"/>
    <n v="18.84"/>
    <x v="2775"/>
    <n v="-0.1"/>
    <n v="975"/>
    <n v="0"/>
    <n v="3467"/>
    <x v="120"/>
    <n v="216"/>
    <s v="H (Mar 20)"/>
    <d v="2020-03-18T00:00:00"/>
    <n v="-1"/>
  </r>
  <r>
    <x v="711"/>
    <x v="34"/>
    <n v="19.059999999999999"/>
    <n v="19.350000000000001"/>
    <n v="18.88"/>
    <n v="18.91"/>
    <x v="2771"/>
    <n v="-0.15"/>
    <n v="347"/>
    <n v="0"/>
    <n v="588"/>
    <x v="144"/>
    <n v="244"/>
    <s v="J (Apr 20)"/>
    <d v="2020-04-15T00:00:00"/>
    <n v="-1"/>
  </r>
  <r>
    <x v="712"/>
    <x v="35"/>
    <n v="18.100000000000001"/>
    <n v="19.18"/>
    <n v="18.05"/>
    <n v="18.95"/>
    <x v="2640"/>
    <n v="0.95"/>
    <n v="686"/>
    <n v="0"/>
    <n v="3187"/>
    <x v="126"/>
    <n v="217"/>
    <s v="H (Mar 20)"/>
    <d v="2020-03-18T00:00:00"/>
    <n v="-1"/>
  </r>
  <r>
    <x v="712"/>
    <x v="34"/>
    <n v="18.72"/>
    <n v="19.32"/>
    <n v="18.25"/>
    <n v="19.21"/>
    <x v="2637"/>
    <n v="0.9"/>
    <n v="19"/>
    <n v="0"/>
    <n v="458"/>
    <x v="155"/>
    <n v="245"/>
    <s v="J (Apr 20)"/>
    <d v="2020-04-15T00:00:00"/>
    <n v="-1"/>
  </r>
  <r>
    <x v="713"/>
    <x v="35"/>
    <n v="18.55"/>
    <n v="18.7"/>
    <n v="18.02"/>
    <n v="18.05"/>
    <x v="2749"/>
    <n v="-0.57499999999999996"/>
    <n v="616"/>
    <n v="0"/>
    <n v="3022"/>
    <x v="137"/>
    <n v="218"/>
    <s v="H (Mar 20)"/>
    <d v="2020-03-18T00:00:00"/>
    <n v="-1"/>
  </r>
  <r>
    <x v="713"/>
    <x v="34"/>
    <n v="18.82"/>
    <n v="18.829999999999998"/>
    <n v="18.18"/>
    <n v="18.18"/>
    <x v="2736"/>
    <n v="-0.55000000000000004"/>
    <n v="31"/>
    <n v="0"/>
    <n v="447"/>
    <x v="160"/>
    <n v="246"/>
    <s v="J (Apr 20)"/>
    <d v="2020-04-15T00:00:00"/>
    <n v="-1"/>
  </r>
  <r>
    <x v="714"/>
    <x v="35"/>
    <n v="17.95"/>
    <n v="18.62"/>
    <n v="17.850000000000001"/>
    <n v="18.62"/>
    <x v="2768"/>
    <n v="0.65"/>
    <n v="498"/>
    <n v="0"/>
    <n v="3012"/>
    <x v="142"/>
    <n v="219"/>
    <s v="H (Mar 20)"/>
    <d v="2020-03-18T00:00:00"/>
    <n v="-1"/>
  </r>
  <r>
    <x v="714"/>
    <x v="34"/>
    <n v="18.170000000000002"/>
    <n v="18.7"/>
    <n v="18.05"/>
    <n v="18.32"/>
    <x v="2762"/>
    <n v="0.625"/>
    <n v="11"/>
    <n v="0"/>
    <n v="429"/>
    <x v="171"/>
    <n v="247"/>
    <s v="J (Apr 20)"/>
    <d v="2020-04-15T00:00:00"/>
    <n v="-1"/>
  </r>
  <r>
    <x v="715"/>
    <x v="35"/>
    <n v="17.850000000000001"/>
    <n v="18.100000000000001"/>
    <n v="17.75"/>
    <n v="17.95"/>
    <x v="2714"/>
    <n v="0.17499999999999999"/>
    <n v="282"/>
    <n v="0"/>
    <n v="2786"/>
    <x v="3"/>
    <n v="222"/>
    <s v="H (Mar 20)"/>
    <d v="2020-03-18T00:00:00"/>
    <n v="-1"/>
  </r>
  <r>
    <x v="715"/>
    <x v="34"/>
    <n v="18.149999999999999"/>
    <n v="18.149999999999999"/>
    <n v="18"/>
    <n v="18.149999999999999"/>
    <x v="2733"/>
    <n v="0.15"/>
    <n v="1"/>
    <n v="0"/>
    <n v="420"/>
    <x v="4"/>
    <n v="250"/>
    <s v="J (Apr 20)"/>
    <d v="2020-04-15T00:00:00"/>
    <n v="-1"/>
  </r>
  <r>
    <x v="716"/>
    <x v="35"/>
    <n v="18.350000000000001"/>
    <n v="18.350000000000001"/>
    <n v="17.72"/>
    <n v="17.75"/>
    <x v="2661"/>
    <n v="-0.52500000000000002"/>
    <n v="523"/>
    <n v="0"/>
    <n v="2841"/>
    <x v="15"/>
    <n v="223"/>
    <s v="H (Mar 20)"/>
    <d v="2020-03-18T00:00:00"/>
    <n v="-1"/>
  </r>
  <r>
    <x v="716"/>
    <x v="34"/>
    <n v="18.39"/>
    <n v="18.39"/>
    <n v="17.93"/>
    <n v="17.93"/>
    <x v="2714"/>
    <n v="-0.375"/>
    <n v="50"/>
    <n v="0"/>
    <n v="419"/>
    <x v="16"/>
    <n v="251"/>
    <s v="J (Apr 20)"/>
    <d v="2020-04-15T00:00:00"/>
    <n v="-1"/>
  </r>
  <r>
    <x v="717"/>
    <x v="35"/>
    <n v="18.45"/>
    <n v="18.75"/>
    <n v="18.21"/>
    <n v="18.29"/>
    <x v="2748"/>
    <n v="-7.4999999999999997E-2"/>
    <n v="1121"/>
    <n v="0"/>
    <n v="2579"/>
    <x v="21"/>
    <n v="224"/>
    <s v="H (Mar 20)"/>
    <d v="2020-03-18T00:00:00"/>
    <n v="-1"/>
  </r>
  <r>
    <x v="717"/>
    <x v="34"/>
    <n v="18.45"/>
    <n v="18.649999999999999"/>
    <n v="18.37"/>
    <n v="18.37"/>
    <x v="2651"/>
    <n v="0.35"/>
    <n v="82"/>
    <n v="0"/>
    <n v="369"/>
    <x v="22"/>
    <n v="252"/>
    <s v="J (Apr 20)"/>
    <d v="2020-04-15T00:00:00"/>
    <n v="-1"/>
  </r>
  <r>
    <x v="718"/>
    <x v="35"/>
    <n v="18.75"/>
    <n v="19.05"/>
    <n v="18.079999999999998"/>
    <n v="18.399999999999999"/>
    <x v="2645"/>
    <n v="-0.17499999999999999"/>
    <n v="1243"/>
    <n v="0"/>
    <n v="2397"/>
    <x v="32"/>
    <n v="225"/>
    <s v="H (Mar 20)"/>
    <d v="2020-03-18T00:00:00"/>
    <n v="-1"/>
  </r>
  <r>
    <x v="718"/>
    <x v="34"/>
    <n v="18.899999999999999"/>
    <n v="19.3"/>
    <n v="18.100000000000001"/>
    <n v="18.100000000000001"/>
    <x v="2672"/>
    <n v="-0.17499999999999999"/>
    <n v="148"/>
    <n v="0"/>
    <n v="295"/>
    <x v="33"/>
    <n v="253"/>
    <s v="J (Apr 20)"/>
    <d v="2020-04-15T00:00:00"/>
    <n v="-1"/>
  </r>
  <r>
    <x v="719"/>
    <x v="35"/>
    <n v="17.899999999999999"/>
    <n v="18.649999999999999"/>
    <n v="17.850000000000001"/>
    <n v="18.649999999999999"/>
    <x v="2740"/>
    <n v="0.67500000000000004"/>
    <n v="661"/>
    <n v="0"/>
    <n v="2263"/>
    <x v="38"/>
    <n v="226"/>
    <s v="H (Mar 20)"/>
    <d v="2020-03-18T00:00:00"/>
    <n v="-1"/>
  </r>
  <r>
    <x v="719"/>
    <x v="34"/>
    <n v="18.25"/>
    <n v="18.850000000000001"/>
    <n v="18.21"/>
    <n v="18.850000000000001"/>
    <x v="2710"/>
    <n v="0.25"/>
    <n v="73"/>
    <n v="0"/>
    <n v="295"/>
    <x v="39"/>
    <n v="254"/>
    <s v="J (Apr 20)"/>
    <d v="2020-04-15T00:00:00"/>
    <n v="-1"/>
  </r>
  <r>
    <x v="720"/>
    <x v="35"/>
    <n v="17.899999999999999"/>
    <n v="18.100000000000001"/>
    <n v="17.75"/>
    <n v="17.82"/>
    <x v="2719"/>
    <n v="-7.4999999999999997E-2"/>
    <n v="944"/>
    <n v="0"/>
    <n v="1872"/>
    <x v="50"/>
    <n v="229"/>
    <s v="H (Mar 20)"/>
    <d v="2020-03-18T00:00:00"/>
    <n v="-1"/>
  </r>
  <r>
    <x v="720"/>
    <x v="34"/>
    <n v="17.95"/>
    <n v="18.149999999999999"/>
    <n v="17.95"/>
    <n v="18.14"/>
    <x v="2686"/>
    <n v="0.1"/>
    <n v="7"/>
    <n v="0"/>
    <n v="273"/>
    <x v="51"/>
    <n v="257"/>
    <s v="J (Apr 20)"/>
    <d v="2020-04-15T00:00:00"/>
    <n v="-1"/>
  </r>
  <r>
    <x v="721"/>
    <x v="35"/>
    <n v="17.73"/>
    <n v="17.96"/>
    <n v="17.3"/>
    <n v="17.920000000000002"/>
    <x v="2714"/>
    <n v="0.27500000000000002"/>
    <n v="1168"/>
    <n v="0"/>
    <n v="1659"/>
    <x v="56"/>
    <n v="230"/>
    <s v="H (Mar 20)"/>
    <d v="2020-03-18T00:00:00"/>
    <n v="-1"/>
  </r>
  <r>
    <x v="721"/>
    <x v="34"/>
    <n v="17.600000000000001"/>
    <n v="18"/>
    <n v="17.579999999999998"/>
    <n v="17.940000000000001"/>
    <x v="2696"/>
    <n v="0.375"/>
    <n v="32"/>
    <n v="0"/>
    <n v="267"/>
    <x v="57"/>
    <n v="258"/>
    <s v="J (Apr 20)"/>
    <d v="2020-04-15T00:00:00"/>
    <n v="-1"/>
  </r>
  <r>
    <x v="722"/>
    <x v="35"/>
    <n v="17.3"/>
    <n v="17.75"/>
    <n v="17.170000000000002"/>
    <n v="17.7"/>
    <x v="2717"/>
    <n v="0.32500000000000001"/>
    <n v="540"/>
    <n v="0"/>
    <n v="1663"/>
    <x v="68"/>
    <n v="231"/>
    <s v="H (Mar 20)"/>
    <d v="2020-03-18T00:00:00"/>
    <n v="-1"/>
  </r>
  <r>
    <x v="722"/>
    <x v="34"/>
    <n v="17.600000000000001"/>
    <n v="17.899999999999999"/>
    <n v="17.55"/>
    <n v="17.829999999999998"/>
    <x v="2676"/>
    <n v="0.1"/>
    <n v="37"/>
    <n v="0"/>
    <n v="246"/>
    <x v="69"/>
    <n v="259"/>
    <s v="J (Apr 20)"/>
    <d v="2020-04-15T00:00:00"/>
    <n v="-1"/>
  </r>
  <r>
    <x v="723"/>
    <x v="35"/>
    <n v="17.100000000000001"/>
    <n v="17.45"/>
    <n v="17.100000000000001"/>
    <n v="17.350000000000001"/>
    <x v="2708"/>
    <n v="0.22500000000000001"/>
    <n v="476"/>
    <n v="0"/>
    <n v="1433"/>
    <x v="74"/>
    <n v="232"/>
    <s v="H (Mar 20)"/>
    <d v="2020-03-18T00:00:00"/>
    <n v="-1"/>
  </r>
  <r>
    <x v="723"/>
    <x v="34"/>
    <n v="17.5"/>
    <n v="17.5"/>
    <n v="17.36"/>
    <n v="17.47"/>
    <x v="2653"/>
    <n v="0.17499999999999999"/>
    <n v="197"/>
    <n v="0"/>
    <n v="221"/>
    <x v="75"/>
    <n v="260"/>
    <s v="J (Apr 20)"/>
    <d v="2020-04-15T00:00:00"/>
    <n v="-1"/>
  </r>
  <r>
    <x v="724"/>
    <x v="35"/>
    <n v="17.2"/>
    <n v="17.22"/>
    <n v="17.100000000000001"/>
    <n v="17.11"/>
    <x v="2669"/>
    <n v="0"/>
    <n v="89"/>
    <n v="0"/>
    <n v="1110"/>
    <x v="86"/>
    <n v="233"/>
    <s v="H (Mar 20)"/>
    <d v="2020-03-18T00:00:00"/>
    <n v="-1"/>
  </r>
  <r>
    <x v="724"/>
    <x v="34"/>
    <n v="17.350000000000001"/>
    <n v="17.350000000000001"/>
    <n v="17.350000000000001"/>
    <n v="17.350000000000001"/>
    <x v="2691"/>
    <n v="-0.2"/>
    <n v="5"/>
    <n v="0"/>
    <n v="25"/>
    <x v="87"/>
    <n v="261"/>
    <s v="J (Apr 20)"/>
    <d v="2020-04-15T00:00:00"/>
    <n v="-1"/>
  </r>
  <r>
    <x v="725"/>
    <x v="35"/>
    <n v="17.3"/>
    <n v="17.3"/>
    <n v="17"/>
    <n v="17.149999999999999"/>
    <x v="2669"/>
    <n v="-0.15"/>
    <n v="355"/>
    <n v="0"/>
    <n v="1077"/>
    <x v="92"/>
    <n v="236"/>
    <s v="H (Mar 20)"/>
    <d v="2020-03-18T00:00:00"/>
    <n v="-1"/>
  </r>
  <r>
    <x v="725"/>
    <x v="34"/>
    <n v="17.34"/>
    <n v="17.34"/>
    <n v="17.25"/>
    <n v="17.3"/>
    <x v="2708"/>
    <n v="-2.5000000000000001E-2"/>
    <n v="15"/>
    <n v="0"/>
    <n v="20"/>
    <x v="93"/>
    <n v="264"/>
    <s v="J (Apr 20)"/>
    <d v="2020-04-15T00:00:00"/>
    <n v="-1"/>
  </r>
  <r>
    <x v="726"/>
    <x v="35"/>
    <n v="17.05"/>
    <n v="17.3"/>
    <n v="17"/>
    <n v="17.27"/>
    <x v="2677"/>
    <n v="0.22500000000000001"/>
    <n v="266"/>
    <n v="0"/>
    <n v="973"/>
    <x v="104"/>
    <n v="237"/>
    <s v="H (Mar 20)"/>
    <d v="2020-03-18T00:00:00"/>
    <n v="-1"/>
  </r>
  <r>
    <x v="726"/>
    <x v="34"/>
    <n v="17.38"/>
    <n v="17.38"/>
    <n v="17.38"/>
    <n v="17.38"/>
    <x v="2660"/>
    <n v="-7.4999999999999997E-2"/>
    <n v="5"/>
    <n v="0"/>
    <n v="5"/>
    <x v="105"/>
    <n v="265"/>
    <s v="J (Apr 20)"/>
    <d v="2020-04-15T00:00:00"/>
    <n v="-1"/>
  </r>
  <r>
    <x v="727"/>
    <x v="35"/>
    <n v="17.309999999999999"/>
    <n v="17.309999999999999"/>
    <n v="17.02"/>
    <n v="17.05"/>
    <x v="2785"/>
    <n v="-0.22500000000000001"/>
    <n v="330"/>
    <n v="0"/>
    <n v="938"/>
    <x v="110"/>
    <n v="238"/>
    <s v="H (Mar 20)"/>
    <d v="2020-03-18T00:00:00"/>
    <n v="-1"/>
  </r>
  <r>
    <x v="728"/>
    <x v="35"/>
    <n v="17.5"/>
    <n v="17.5"/>
    <n v="17.25"/>
    <n v="17.3"/>
    <x v="2677"/>
    <n v="-0.25"/>
    <n v="192"/>
    <n v="0"/>
    <n v="769"/>
    <x v="122"/>
    <n v="239"/>
    <s v="H (Mar 20)"/>
    <d v="2020-03-18T00:00:00"/>
    <n v="-1"/>
  </r>
  <r>
    <x v="729"/>
    <x v="35"/>
    <n v="17.600000000000001"/>
    <n v="17.68"/>
    <n v="17.46"/>
    <n v="17.54"/>
    <x v="2656"/>
    <n v="-0.05"/>
    <n v="62"/>
    <n v="0"/>
    <n v="722"/>
    <x v="128"/>
    <n v="240"/>
    <s v="H (Mar 20)"/>
    <d v="2020-03-18T00:00:00"/>
    <n v="-1"/>
  </r>
  <r>
    <x v="730"/>
    <x v="35"/>
    <n v="17.399999999999999"/>
    <n v="17.649999999999999"/>
    <n v="17.399999999999999"/>
    <n v="17.649999999999999"/>
    <x v="2654"/>
    <n v="0.125"/>
    <n v="200"/>
    <n v="0"/>
    <n v="710"/>
    <x v="139"/>
    <n v="243"/>
    <s v="H (Mar 20)"/>
    <d v="2020-03-18T00:00:00"/>
    <n v="-1"/>
  </r>
  <r>
    <x v="731"/>
    <x v="35"/>
    <n v="17.649999999999999"/>
    <n v="17.649999999999999"/>
    <n v="17.350000000000001"/>
    <n v="17.41"/>
    <x v="2698"/>
    <n v="-0.125"/>
    <n v="206"/>
    <n v="0"/>
    <n v="657"/>
    <x v="144"/>
    <n v="244"/>
    <s v="H (Mar 20)"/>
    <d v="2020-03-18T00:00:00"/>
    <n v="-1"/>
  </r>
  <r>
    <x v="732"/>
    <x v="35"/>
    <n v="17.45"/>
    <n v="17.600000000000001"/>
    <n v="17.25"/>
    <n v="17.600000000000001"/>
    <x v="2654"/>
    <n v="0.15"/>
    <n v="341"/>
    <n v="0"/>
    <n v="548"/>
    <x v="155"/>
    <n v="245"/>
    <s v="H (Mar 20)"/>
    <d v="2020-03-18T00:00:00"/>
    <n v="-1"/>
  </r>
  <r>
    <x v="733"/>
    <x v="35"/>
    <n v="17.23"/>
    <n v="17.45"/>
    <n v="17.23"/>
    <n v="17.43"/>
    <x v="2676"/>
    <n v="0.17499999999999999"/>
    <n v="168"/>
    <n v="0"/>
    <n v="279"/>
    <x v="160"/>
    <n v="246"/>
    <s v="H (Mar 20)"/>
    <d v="2020-03-18T00:00:00"/>
    <n v="-1"/>
  </r>
  <r>
    <x v="734"/>
    <x v="35"/>
    <n v="17.29"/>
    <n v="17.29"/>
    <n v="17.170000000000002"/>
    <n v="17.2"/>
    <x v="2699"/>
    <n v="0"/>
    <n v="33"/>
    <n v="0"/>
    <n v="118"/>
    <x v="171"/>
    <n v="247"/>
    <s v="H (Mar 20)"/>
    <d v="2020-03-18T00:00:00"/>
    <n v="-1"/>
  </r>
  <r>
    <x v="735"/>
    <x v="35"/>
    <n v="17.25"/>
    <n v="17.260000000000002"/>
    <n v="17.2"/>
    <n v="17.2"/>
    <x v="2699"/>
    <n v="0"/>
    <n v="13"/>
    <n v="0"/>
    <n v="95"/>
    <x v="4"/>
    <n v="250"/>
    <s v="H (Mar 20)"/>
    <d v="2020-03-18T00:00:00"/>
    <n v="-1"/>
  </r>
  <r>
    <x v="736"/>
    <x v="35"/>
    <n v="17.25"/>
    <n v="17.32"/>
    <n v="17.149999999999999"/>
    <n v="17.2"/>
    <x v="2699"/>
    <n v="-2.5000000000000001E-2"/>
    <n v="17"/>
    <n v="0"/>
    <n v="90"/>
    <x v="16"/>
    <n v="251"/>
    <s v="H (Mar 20)"/>
    <d v="2020-03-18T00:00:00"/>
    <n v="-1"/>
  </r>
  <r>
    <x v="737"/>
    <x v="35"/>
    <n v="17.27"/>
    <n v="17.37"/>
    <n v="17.239999999999998"/>
    <n v="17.329999999999998"/>
    <x v="2677"/>
    <n v="-0.1"/>
    <n v="38"/>
    <n v="0"/>
    <n v="78"/>
    <x v="22"/>
    <n v="252"/>
    <s v="H (Mar 20)"/>
    <d v="2020-03-18T00:00:00"/>
    <n v="-1"/>
  </r>
  <r>
    <x v="738"/>
    <x v="35"/>
    <n v="17.420000000000002"/>
    <n v="17.45"/>
    <n v="17.37"/>
    <n v="17.399999999999999"/>
    <x v="2660"/>
    <n v="2.5000000000000001E-2"/>
    <n v="29"/>
    <n v="0"/>
    <n v="46"/>
    <x v="33"/>
    <n v="253"/>
    <s v="H (Mar 20)"/>
    <d v="2020-03-18T00:00:00"/>
    <n v="-1"/>
  </r>
  <r>
    <x v="739"/>
    <x v="35"/>
    <n v="17.32"/>
    <n v="17.399999999999999"/>
    <n v="17.260000000000002"/>
    <n v="17.260000000000002"/>
    <x v="2708"/>
    <n v="0.05"/>
    <n v="24"/>
    <n v="0"/>
    <n v="19"/>
    <x v="39"/>
    <n v="254"/>
    <s v="H (Mar 20)"/>
    <d v="2020-03-18T00:00:0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A7792-0507-3444-9917-61CD71AD4D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S2:V5813" firstHeaderRow="1" firstDataRow="1" firstDataCol="3"/>
  <pivotFields count="16">
    <pivotField axis="axisRow" compact="0" numFmtId="14" outline="0" showAll="0" defaultSubtotal="0">
      <items count="740"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36">
        <item x="25"/>
        <item x="13"/>
        <item x="3"/>
        <item x="24"/>
        <item x="12"/>
        <item x="4"/>
        <item x="35"/>
        <item x="23"/>
        <item x="11"/>
        <item x="34"/>
        <item x="22"/>
        <item x="10"/>
        <item x="33"/>
        <item x="21"/>
        <item x="9"/>
        <item x="32"/>
        <item x="20"/>
        <item x="8"/>
        <item x="31"/>
        <item x="19"/>
        <item x="2"/>
        <item x="30"/>
        <item x="18"/>
        <item x="6"/>
        <item x="29"/>
        <item x="17"/>
        <item x="7"/>
        <item x="28"/>
        <item x="16"/>
        <item x="5"/>
        <item x="27"/>
        <item x="15"/>
        <item x="0"/>
        <item x="26"/>
        <item x="14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787">
        <item x="2689"/>
        <item x="1188"/>
        <item x="2668"/>
        <item x="2681"/>
        <item x="2728"/>
        <item x="2688"/>
        <item x="2723"/>
        <item x="2726"/>
        <item x="2738"/>
        <item x="2678"/>
        <item x="2694"/>
        <item x="1199"/>
        <item x="2695"/>
        <item x="2727"/>
        <item x="2665"/>
        <item x="2679"/>
        <item x="2734"/>
        <item x="2700"/>
        <item x="2731"/>
        <item x="2690"/>
        <item x="2735"/>
        <item x="2666"/>
        <item x="1047"/>
        <item x="2701"/>
        <item x="1742"/>
        <item x="2703"/>
        <item x="2716"/>
        <item x="1757"/>
        <item x="2685"/>
        <item x="1465"/>
        <item x="2671"/>
        <item x="1767"/>
        <item x="2692"/>
        <item x="1202"/>
        <item x="2732"/>
        <item x="1475"/>
        <item x="2674"/>
        <item x="2683"/>
        <item x="2705"/>
        <item x="1050"/>
        <item x="2663"/>
        <item x="2697"/>
        <item x="1772"/>
        <item x="2655"/>
        <item x="2680"/>
        <item x="2729"/>
        <item x="1061"/>
        <item x="1981"/>
        <item x="1480"/>
        <item x="2675"/>
        <item x="1612"/>
        <item x="2785"/>
        <item x="2687"/>
        <item x="2702"/>
        <item x="1752"/>
        <item x="1122"/>
        <item x="2669"/>
        <item x="2691"/>
        <item x="1985"/>
        <item x="1211"/>
        <item x="2658"/>
        <item x="2667"/>
        <item x="2699"/>
        <item x="2677"/>
        <item x="2653"/>
        <item x="2708"/>
        <item x="1624"/>
        <item x="2660"/>
        <item x="2706"/>
        <item x="1111"/>
        <item x="1064"/>
        <item x="2676"/>
        <item x="1489"/>
        <item x="2698"/>
        <item x="1658"/>
        <item x="1668"/>
        <item x="2711"/>
        <item x="2725"/>
        <item x="1603"/>
        <item x="2656"/>
        <item x="2654"/>
        <item x="1461"/>
        <item x="2715"/>
        <item x="1214"/>
        <item x="2722"/>
        <item x="1792"/>
        <item x="1976"/>
        <item x="2717"/>
        <item x="1996"/>
        <item x="2737"/>
        <item x="1696"/>
        <item x="1685"/>
        <item x="2709"/>
        <item x="1617"/>
        <item x="2742"/>
        <item x="2661"/>
        <item x="1629"/>
        <item x="2696"/>
        <item x="2704"/>
        <item x="2682"/>
        <item x="1127"/>
        <item x="2719"/>
        <item x="2686"/>
        <item x="1785"/>
        <item x="1672"/>
        <item x="2693"/>
        <item x="2714"/>
        <item x="2672"/>
        <item x="1493"/>
        <item x="1653"/>
        <item x="2002"/>
        <item x="2749"/>
        <item x="1645"/>
        <item x="2759"/>
        <item x="2721"/>
        <item x="1989"/>
        <item x="2733"/>
        <item x="1797"/>
        <item x="2664"/>
        <item x="1681"/>
        <item x="2710"/>
        <item x="2007"/>
        <item x="1700"/>
        <item x="2736"/>
        <item x="2713"/>
        <item x="2752"/>
        <item x="2746"/>
        <item x="2758"/>
        <item x="1906"/>
        <item x="2748"/>
        <item x="2651"/>
        <item x="2779"/>
        <item x="2645"/>
        <item x="1780"/>
        <item x="1137"/>
        <item x="2760"/>
        <item x="1502"/>
        <item x="2647"/>
        <item x="1107"/>
        <item x="1709"/>
        <item x="2649"/>
        <item x="2659"/>
        <item x="2011"/>
        <item x="1097"/>
        <item x="2754"/>
        <item x="2741"/>
        <item x="2740"/>
        <item x="1168"/>
        <item x="1829"/>
        <item x="2743"/>
        <item x="1450"/>
        <item x="794"/>
        <item x="2768"/>
        <item x="1598"/>
        <item x="2776"/>
        <item x="2756"/>
        <item x="1150"/>
        <item x="1969"/>
        <item x="2751"/>
        <item x="1180"/>
        <item x="2747"/>
        <item x="1507"/>
        <item x="2762"/>
        <item x="2757"/>
        <item x="1077"/>
        <item x="2750"/>
        <item x="1141"/>
        <item x="2753"/>
        <item x="2766"/>
        <item x="1712"/>
        <item x="2745"/>
        <item x="1763"/>
        <item x="844"/>
        <item x="833"/>
        <item x="2775"/>
        <item x="1576"/>
        <item x="1093"/>
        <item x="1164"/>
        <item x="1810"/>
        <item x="2771"/>
        <item x="2755"/>
        <item x="803"/>
        <item x="2640"/>
        <item x="2015"/>
        <item x="2774"/>
        <item x="2778"/>
        <item x="2773"/>
        <item x="2637"/>
        <item x="921"/>
        <item x="1753"/>
        <item x="2770"/>
        <item x="1177"/>
        <item x="2769"/>
        <item x="1876"/>
        <item x="1822"/>
        <item x="2648"/>
        <item x="1224"/>
        <item x="2632"/>
        <item x="2784"/>
        <item x="2635"/>
        <item x="1433"/>
        <item x="2780"/>
        <item x="2644"/>
        <item x="1964"/>
        <item x="1804"/>
        <item x="2765"/>
        <item x="1513"/>
        <item x="1190"/>
        <item x="2777"/>
        <item x="1153"/>
        <item x="2764"/>
        <item x="2650"/>
        <item x="1482"/>
        <item x="2634"/>
        <item x="1769"/>
        <item x="2772"/>
        <item x="2767"/>
        <item x="1900"/>
        <item x="1478"/>
        <item x="1659"/>
        <item x="2782"/>
        <item x="1734"/>
        <item x="1686"/>
        <item x="2781"/>
        <item x="1081"/>
        <item x="1193"/>
        <item x="2024"/>
        <item x="1669"/>
        <item x="1640"/>
        <item x="2763"/>
        <item x="1817"/>
        <item x="2019"/>
        <item x="1748"/>
        <item x="1935"/>
        <item x="2642"/>
        <item x="2761"/>
        <item x="1613"/>
        <item x="1739"/>
        <item x="1834"/>
        <item x="1467"/>
        <item x="2621"/>
        <item x="1697"/>
        <item x="1941"/>
        <item x="779"/>
        <item x="848"/>
        <item x="2684"/>
        <item x="1911"/>
        <item x="1204"/>
        <item x="2724"/>
        <item x="1538"/>
        <item x="1946"/>
        <item x="1228"/>
        <item x="2633"/>
        <item x="1491"/>
        <item x="1926"/>
        <item x="1673"/>
        <item x="1124"/>
        <item x="2643"/>
        <item x="2783"/>
        <item x="937"/>
        <item x="2631"/>
        <item x="1604"/>
        <item x="1304"/>
        <item x="2622"/>
        <item x="1625"/>
        <item x="1630"/>
        <item x="1517"/>
        <item x="2627"/>
        <item x="1654"/>
        <item x="1525"/>
        <item x="1701"/>
        <item x="2670"/>
        <item x="1058"/>
        <item x="2673"/>
        <item x="808"/>
        <item x="1870"/>
        <item x="1720"/>
        <item x="2095"/>
        <item x="2707"/>
        <item x="855"/>
        <item x="1646"/>
        <item x="2730"/>
        <item x="1682"/>
        <item x="1982"/>
        <item x="1584"/>
        <item x="2720"/>
        <item x="1915"/>
        <item x="1965"/>
        <item x="2718"/>
        <item x="1054"/>
        <item x="1788"/>
        <item x="1216"/>
        <item x="859"/>
        <item x="1618"/>
        <item x="2744"/>
        <item x="2739"/>
        <item x="2652"/>
        <item x="2029"/>
        <item x="1113"/>
        <item x="1207"/>
        <item x="2097"/>
        <item x="1246"/>
        <item x="1069"/>
        <item x="1577"/>
        <item x="1300"/>
        <item x="1549"/>
        <item x="1429"/>
        <item x="2662"/>
        <item x="1562"/>
        <item x="1234"/>
        <item x="1463"/>
        <item x="2712"/>
        <item x="1710"/>
        <item x="1951"/>
        <item x="2615"/>
        <item x="1782"/>
        <item x="1535"/>
        <item x="1043"/>
        <item x="2617"/>
        <item x="1986"/>
        <item x="305"/>
        <item x="2625"/>
        <item x="1764"/>
        <item x="1794"/>
        <item x="1494"/>
        <item x="1015"/>
        <item x="2624"/>
        <item x="1129"/>
        <item x="1566"/>
        <item x="2612"/>
        <item x="818"/>
        <item x="789"/>
        <item x="913"/>
        <item x="2629"/>
        <item x="1955"/>
        <item x="1930"/>
        <item x="1400"/>
        <item x="1402"/>
        <item x="1997"/>
        <item x="2620"/>
        <item x="1776"/>
        <item x="1169"/>
        <item x="1039"/>
        <item x="1754"/>
        <item x="1099"/>
        <item x="1109"/>
        <item x="1441"/>
        <item x="1713"/>
        <item x="868"/>
        <item x="1907"/>
        <item x="1918"/>
        <item x="1342"/>
        <item x="1389"/>
        <item x="1020"/>
        <item x="2003"/>
        <item x="1573"/>
        <item x="933"/>
        <item x="1315"/>
        <item x="2657"/>
        <item x="2613"/>
        <item x="1599"/>
        <item x="1825"/>
        <item x="1182"/>
        <item x="1505"/>
        <item x="2618"/>
        <item x="1977"/>
        <item x="1837"/>
        <item x="1553"/>
        <item x="1770"/>
        <item x="2037"/>
        <item x="1689"/>
        <item x="1509"/>
        <item x="1485"/>
        <item x="1840"/>
        <item x="829"/>
        <item x="1661"/>
        <item x="1073"/>
        <item x="1032"/>
        <item x="2087"/>
        <item x="1139"/>
        <item x="1166"/>
        <item x="2012"/>
        <item x="1472"/>
        <item x="2008"/>
        <item x="950"/>
        <item x="1094"/>
        <item x="884"/>
        <item x="1351"/>
        <item x="1152"/>
        <item x="821"/>
        <item x="1699"/>
        <item x="1818"/>
        <item x="1749"/>
        <item x="2639"/>
        <item x="1385"/>
        <item x="1735"/>
        <item x="1409"/>
        <item x="2630"/>
        <item x="1377"/>
        <item x="1990"/>
        <item x="1412"/>
        <item x="1704"/>
        <item x="386"/>
        <item x="791"/>
        <item x="2636"/>
        <item x="800"/>
        <item x="1641"/>
        <item x="1470"/>
        <item x="1083"/>
        <item x="872"/>
        <item x="1675"/>
        <item x="2040"/>
        <item x="1806"/>
        <item x="1740"/>
        <item x="1191"/>
        <item x="1970"/>
        <item x="1143"/>
        <item x="2016"/>
        <item x="908"/>
        <item x="894"/>
        <item x="1633"/>
        <item x="1178"/>
        <item x="1684"/>
        <item x="1220"/>
        <item x="1422"/>
        <item x="1862"/>
        <item x="309"/>
        <item x="1528"/>
        <item x="1615"/>
        <item x="1028"/>
        <item x="654"/>
        <item x="1959"/>
        <item x="1648"/>
        <item x="1721"/>
        <item x="1486"/>
        <item x="1606"/>
        <item x="1249"/>
        <item x="1896"/>
        <item x="2206"/>
        <item x="1627"/>
        <item x="1711"/>
        <item x="2623"/>
        <item x="926"/>
        <item x="1515"/>
        <item x="1435"/>
        <item x="1155"/>
        <item x="1218"/>
        <item x="1789"/>
        <item x="1205"/>
        <item x="1194"/>
        <item x="830"/>
        <item x="2646"/>
        <item x="1362"/>
        <item x="1725"/>
        <item x="1901"/>
        <item x="1374"/>
        <item x="2216"/>
        <item x="1877"/>
        <item x="1813"/>
        <item x="2616"/>
        <item x="2051"/>
        <item x="1801"/>
        <item x="1766"/>
        <item x="1783"/>
        <item x="1620"/>
        <item x="840"/>
        <item x="2609"/>
        <item x="1229"/>
        <item x="1585"/>
        <item x="2020"/>
        <item x="1756"/>
        <item x="2025"/>
        <item x="1121"/>
        <item x="1403"/>
        <item x="1795"/>
        <item x="1541"/>
        <item x="1479"/>
        <item x="1394"/>
        <item x="1927"/>
        <item x="1474"/>
        <item x="1354"/>
        <item x="945"/>
        <item x="2619"/>
        <item x="1208"/>
        <item x="1936"/>
        <item x="1692"/>
        <item x="1715"/>
        <item x="1983"/>
        <item x="1771"/>
        <item x="1239"/>
        <item x="1912"/>
        <item x="2610"/>
        <item x="1579"/>
        <item x="1306"/>
        <item x="1664"/>
        <item x="1568"/>
        <item x="882"/>
        <item x="1496"/>
        <item x="1830"/>
        <item x="1916"/>
        <item x="1296"/>
        <item x="1458"/>
        <item x="1564"/>
        <item x="1947"/>
        <item x="1666"/>
        <item x="1942"/>
        <item x="805"/>
        <item x="1453"/>
        <item x="2410"/>
        <item x="1464"/>
        <item x="1694"/>
        <item x="1391"/>
        <item x="2073"/>
        <item x="1826"/>
        <item x="775"/>
        <item x="1601"/>
        <item x="1777"/>
        <item x="419"/>
        <item x="1260"/>
        <item x="1519"/>
        <item x="2411"/>
        <item x="1551"/>
        <item x="887"/>
        <item x="1751"/>
        <item x="1737"/>
        <item x="1966"/>
        <item x="1651"/>
        <item x="1819"/>
        <item x="1499"/>
        <item x="1510"/>
        <item x="1527"/>
        <item x="1846"/>
        <item x="1118"/>
        <item x="1677"/>
        <item x="1232"/>
        <item x="1679"/>
        <item x="1406"/>
        <item x="1414"/>
        <item x="2611"/>
        <item x="1488"/>
        <item x="1338"/>
        <item x="1417"/>
        <item x="1690"/>
        <item x="1705"/>
        <item x="1426"/>
        <item x="1635"/>
        <item x="1649"/>
        <item x="1060"/>
        <item x="1405"/>
        <item x="845"/>
        <item x="924"/>
        <item x="2107"/>
        <item x="1741"/>
        <item x="1761"/>
        <item x="1274"/>
        <item x="1987"/>
        <item x="1643"/>
        <item x="1396"/>
        <item x="1344"/>
        <item x="2046"/>
        <item x="1133"/>
        <item x="1687"/>
        <item x="815"/>
        <item x="2641"/>
        <item x="693"/>
        <item x="2030"/>
        <item x="1381"/>
        <item x="1056"/>
        <item x="1071"/>
        <item x="853"/>
        <item x="2004"/>
        <item x="1481"/>
        <item x="1698"/>
        <item x="1476"/>
        <item x="415"/>
        <item x="1537"/>
        <item x="1702"/>
        <item x="1723"/>
        <item x="1242"/>
        <item x="1807"/>
        <item x="786"/>
        <item x="1662"/>
        <item x="1319"/>
        <item x="1952"/>
        <item x="1759"/>
        <item x="1850"/>
        <item x="856"/>
        <item x="1871"/>
        <item x="1998"/>
        <item x="1221"/>
        <item x="1671"/>
        <item x="1392"/>
        <item x="1774"/>
        <item x="1366"/>
        <item x="1436"/>
        <item x="2013"/>
        <item x="1768"/>
        <item x="1814"/>
        <item x="1956"/>
        <item x="1379"/>
        <item x="1430"/>
        <item x="1173"/>
        <item x="1466"/>
        <item x="1309"/>
        <item x="1607"/>
        <item x="1001"/>
        <item x="1904"/>
        <item x="1102"/>
        <item x="2614"/>
        <item x="2009"/>
        <item x="1657"/>
        <item x="1919"/>
        <item x="1931"/>
        <item x="1418"/>
        <item x="1765"/>
        <item x="1717"/>
        <item x="1609"/>
        <item x="1758"/>
        <item x="1791"/>
        <item x="1676"/>
        <item x="1660"/>
        <item x="1726"/>
        <item x="1978"/>
        <item x="940"/>
        <item x="2608"/>
        <item x="1683"/>
        <item x="2017"/>
        <item x="1670"/>
        <item x="1346"/>
        <item x="1415"/>
        <item x="1407"/>
        <item x="1644"/>
        <item x="2057"/>
        <item x="1746"/>
        <item x="665"/>
        <item x="1460"/>
        <item x="1733"/>
        <item x="2638"/>
        <item x="1149"/>
        <item x="1106"/>
        <item x="398"/>
        <item x="1512"/>
        <item x="1448"/>
        <item x="1755"/>
        <item x="1185"/>
        <item x="1621"/>
        <item x="1773"/>
        <item x="1490"/>
        <item x="1628"/>
        <item x="1991"/>
        <item x="2320"/>
        <item x="1674"/>
        <item x="1863"/>
        <item x="1738"/>
        <item x="1358"/>
        <item x="1163"/>
        <item x="1230"/>
        <item x="1736"/>
        <item x="1716"/>
        <item x="1492"/>
        <item x="1802"/>
        <item x="1307"/>
        <item x="1655"/>
        <item x="2322"/>
        <item x="1569"/>
        <item x="1750"/>
        <item x="1046"/>
        <item x="1371"/>
        <item x="1543"/>
        <item x="1297"/>
        <item x="1382"/>
        <item x="1136"/>
        <item x="1714"/>
        <item x="1647"/>
        <item x="1018"/>
        <item x="1838"/>
        <item x="1744"/>
        <item x="1432"/>
        <item x="1506"/>
        <item x="1559"/>
        <item x="1291"/>
        <item x="1076"/>
        <item x="1571"/>
        <item x="2021"/>
        <item x="1831"/>
        <item x="795"/>
        <item x="958"/>
        <item x="1580"/>
        <item x="798"/>
        <item x="1501"/>
        <item x="1637"/>
        <item x="1119"/>
        <item x="1092"/>
        <item x="1147"/>
        <item x="1718"/>
        <item x="1623"/>
        <item x="1631"/>
        <item x="1779"/>
        <item x="1595"/>
        <item x="1828"/>
        <item x="1743"/>
        <item x="2309"/>
        <item x="1240"/>
        <item x="2026"/>
        <item x="1587"/>
        <item x="1427"/>
        <item x="1380"/>
        <item x="826"/>
        <item x="773"/>
        <item x="1462"/>
        <item x="2321"/>
        <item x="1546"/>
        <item x="865"/>
        <item x="1041"/>
        <item x="1835"/>
        <item x="1251"/>
        <item x="1602"/>
        <item x="1724"/>
        <item x="1821"/>
        <item x="1023"/>
        <item x="660"/>
        <item x="1356"/>
        <item x="1722"/>
        <item x="2313"/>
        <item x="2038"/>
        <item x="1264"/>
        <item x="337"/>
        <item x="1884"/>
        <item x="1626"/>
        <item x="1611"/>
        <item x="1189"/>
        <item x="1565"/>
        <item x="1971"/>
        <item x="2219"/>
        <item x="1088"/>
        <item x="1530"/>
        <item x="1176"/>
        <item x="1589"/>
        <item x="1310"/>
        <item x="698"/>
        <item x="1438"/>
        <item x="1034"/>
        <item x="2628"/>
        <item x="1616"/>
        <item x="1508"/>
        <item x="2315"/>
        <item x="1639"/>
        <item x="762"/>
        <item x="1521"/>
        <item x="1345"/>
        <item x="1898"/>
        <item x="1215"/>
        <item x="1160"/>
        <item x="1567"/>
        <item x="1960"/>
        <item x="1873"/>
        <item x="2041"/>
        <item x="899"/>
        <item x="1243"/>
        <item x="2202"/>
        <item x="915"/>
        <item x="1605"/>
        <item x="2319"/>
        <item x="1523"/>
        <item x="2068"/>
        <item x="1561"/>
        <item x="1368"/>
        <item x="355"/>
        <item x="1642"/>
        <item x="1897"/>
        <item x="819"/>
        <item x="1787"/>
        <item x="1816"/>
        <item x="1428"/>
        <item x="1278"/>
        <item x="2607"/>
        <item x="1503"/>
        <item x="2111"/>
        <item x="1572"/>
        <item x="1372"/>
        <item x="1614"/>
        <item x="1116"/>
        <item x="1539"/>
        <item x="1905"/>
        <item x="1556"/>
        <item x="1619"/>
        <item x="1574"/>
        <item x="1728"/>
        <item x="1809"/>
        <item x="2323"/>
        <item x="1922"/>
        <item x="1455"/>
        <item x="1548"/>
        <item x="1439"/>
        <item x="1563"/>
        <item x="1575"/>
        <item x="1335"/>
        <item x="1532"/>
        <item x="321"/>
        <item x="1909"/>
        <item x="2318"/>
        <item x="367"/>
        <item x="2062"/>
        <item x="1359"/>
        <item x="1287"/>
        <item x="302"/>
        <item x="431"/>
        <item x="1514"/>
        <item x="1934"/>
        <item x="1913"/>
        <item x="1200"/>
        <item x="2088"/>
        <item x="1212"/>
        <item x="1786"/>
        <item x="1578"/>
        <item x="2005"/>
        <item x="781"/>
        <item x="1550"/>
        <item x="835"/>
        <item x="1597"/>
        <item x="952"/>
        <item x="2626"/>
        <item x="1255"/>
        <item x="1799"/>
        <item x="869"/>
        <item x="1131"/>
        <item x="1348"/>
        <item x="1943"/>
        <item x="1172"/>
        <item x="1784"/>
        <item x="1203"/>
        <item x="1473"/>
        <item x="1693"/>
        <item x="1824"/>
        <item x="1793"/>
        <item x="1938"/>
        <item x="810"/>
        <item x="838"/>
        <item x="1030"/>
        <item x="1762"/>
        <item x="1839"/>
        <item x="1790"/>
        <item x="1827"/>
        <item x="1600"/>
        <item x="1775"/>
        <item x="2031"/>
        <item x="1057"/>
        <item x="1321"/>
        <item x="392"/>
        <item x="1803"/>
        <item x="1695"/>
        <item x="1988"/>
        <item x="935"/>
        <item x="897"/>
        <item x="2010"/>
        <item x="1727"/>
        <item x="1552"/>
        <item x="2312"/>
        <item x="1068"/>
        <item x="1443"/>
        <item x="1524"/>
        <item x="1730"/>
        <item x="1999"/>
        <item x="1967"/>
        <item x="1516"/>
        <item x="1148"/>
        <item x="1369"/>
        <item x="1796"/>
        <item x="1053"/>
        <item x="1781"/>
        <item x="1707"/>
        <item x="1269"/>
        <item x="1103"/>
        <item x="1729"/>
        <item x="2310"/>
        <item x="1798"/>
        <item x="1526"/>
        <item x="1554"/>
        <item x="1534"/>
        <item x="1101"/>
        <item x="1161"/>
        <item x="2022"/>
        <item x="382"/>
        <item x="1665"/>
        <item x="1823"/>
        <item x="1253"/>
        <item x="1778"/>
        <item x="1833"/>
        <item x="1536"/>
        <item x="1760"/>
        <item x="1843"/>
        <item x="1518"/>
        <item x="1667"/>
        <item x="2000"/>
        <item x="1820"/>
        <item x="1357"/>
        <item x="1680"/>
        <item x="2052"/>
        <item x="2078"/>
        <item x="1423"/>
        <item x="2314"/>
        <item x="1487"/>
        <item x="1874"/>
        <item x="1449"/>
        <item x="1812"/>
        <item x="1980"/>
        <item x="1134"/>
        <item x="1691"/>
        <item x="1390"/>
        <item x="920"/>
        <item x="2605"/>
        <item x="1678"/>
        <item x="1446"/>
        <item x="1857"/>
        <item x="1072"/>
        <item x="770"/>
        <item x="813"/>
        <item x="1949"/>
        <item x="1581"/>
        <item x="1917"/>
        <item x="879"/>
        <item x="1688"/>
        <item x="1225"/>
        <item x="1992"/>
        <item x="663"/>
        <item x="784"/>
        <item x="1652"/>
        <item x="1410"/>
        <item x="324"/>
        <item x="2006"/>
        <item x="1706"/>
        <item x="1445"/>
        <item x="1327"/>
        <item x="1451"/>
        <item x="1867"/>
        <item x="1413"/>
        <item x="1336"/>
        <item x="1301"/>
        <item x="1293"/>
        <item x="1815"/>
        <item x="1213"/>
        <item x="1305"/>
        <item x="1531"/>
        <item x="1979"/>
        <item x="1186"/>
        <item x="435"/>
        <item x="850"/>
        <item x="402"/>
        <item x="2018"/>
        <item x="1703"/>
        <item x="1145"/>
        <item x="1650"/>
        <item x="928"/>
        <item x="1923"/>
        <item x="1954"/>
        <item x="1174"/>
        <item x="1663"/>
        <item x="1459"/>
        <item x="1832"/>
        <item x="2121"/>
        <item x="1747"/>
        <item x="936"/>
        <item x="1125"/>
        <item x="1483"/>
        <item x="852"/>
        <item x="1471"/>
        <item x="1256"/>
        <item x="1322"/>
        <item x="1636"/>
        <item x="315"/>
        <item x="1994"/>
        <item x="883"/>
        <item x="861"/>
        <item x="1708"/>
        <item x="1944"/>
        <item x="2023"/>
        <item x="948"/>
        <item x="911"/>
        <item x="1014"/>
        <item x="1808"/>
        <item x="1811"/>
        <item x="1089"/>
        <item x="1042"/>
        <item x="1158"/>
        <item x="1401"/>
        <item x="1086"/>
        <item x="2317"/>
        <item x="1398"/>
        <item x="1586"/>
        <item x="690"/>
        <item x="1847"/>
        <item x="2039"/>
        <item x="1386"/>
        <item x="2047"/>
        <item x="669"/>
        <item x="1316"/>
        <item x="1939"/>
        <item x="1590"/>
        <item x="1270"/>
        <item x="1800"/>
        <item x="1732"/>
        <item x="1197"/>
        <item x="1280"/>
        <item x="1583"/>
        <item x="657"/>
        <item x="1529"/>
        <item x="1266"/>
        <item x="1468"/>
        <item x="1962"/>
        <item x="1210"/>
        <item x="2232"/>
        <item x="371"/>
        <item x="1031"/>
        <item x="2042"/>
        <item x="424"/>
        <item x="1908"/>
        <item x="1378"/>
        <item x="1745"/>
        <item x="2228"/>
        <item x="1004"/>
        <item x="1500"/>
        <item x="1924"/>
        <item x="1114"/>
        <item x="1608"/>
        <item x="1634"/>
        <item x="1019"/>
        <item x="2001"/>
        <item x="1283"/>
        <item x="1420"/>
        <item x="1622"/>
        <item x="1038"/>
        <item x="1805"/>
        <item x="1387"/>
        <item x="1719"/>
        <item x="1294"/>
        <item x="1875"/>
        <item x="1411"/>
        <item x="1656"/>
        <item x="1844"/>
        <item x="2238"/>
        <item x="1544"/>
        <item x="1878"/>
        <item x="793"/>
        <item x="1974"/>
        <item x="1343"/>
        <item x="1903"/>
        <item x="2032"/>
        <item x="802"/>
        <item x="1638"/>
        <item x="1238"/>
        <item x="1632"/>
        <item x="1859"/>
        <item x="1610"/>
        <item x="1201"/>
        <item x="1437"/>
        <item x="1868"/>
        <item x="1836"/>
        <item x="1247"/>
        <item x="1235"/>
        <item x="1170"/>
        <item x="1972"/>
        <item x="1130"/>
        <item x="702"/>
        <item x="863"/>
        <item x="1591"/>
        <item x="1560"/>
        <item x="2074"/>
        <item x="825"/>
        <item x="1457"/>
        <item x="1950"/>
        <item x="1066"/>
        <item x="2014"/>
        <item x="1592"/>
        <item x="2124"/>
        <item x="1895"/>
        <item x="1477"/>
        <item x="1929"/>
        <item x="2100"/>
        <item x="1375"/>
        <item x="1957"/>
        <item x="1302"/>
        <item x="1281"/>
        <item x="1223"/>
        <item x="1593"/>
        <item x="1547"/>
        <item x="1352"/>
        <item x="1899"/>
        <item x="1841"/>
        <item x="1284"/>
        <item x="1495"/>
        <item x="1995"/>
        <item x="1484"/>
        <item x="2027"/>
        <item x="1879"/>
        <item x="1434"/>
        <item x="2096"/>
        <item x="1120"/>
        <item x="1052"/>
        <item x="1027"/>
        <item x="823"/>
        <item x="1062"/>
        <item x="1363"/>
        <item x="758"/>
        <item x="1588"/>
        <item x="1910"/>
        <item x="413"/>
        <item x="1925"/>
        <item x="949"/>
        <item x="1596"/>
        <item x="1885"/>
        <item x="2242"/>
        <item x="1914"/>
        <item x="1404"/>
        <item x="1110"/>
        <item x="1167"/>
        <item x="1497"/>
        <item x="1324"/>
        <item x="1183"/>
        <item x="1397"/>
        <item x="1384"/>
        <item x="1313"/>
        <item x="912"/>
        <item x="1376"/>
        <item x="1522"/>
        <item x="1100"/>
        <item x="1267"/>
        <item x="1848"/>
        <item x="778"/>
        <item x="1469"/>
        <item x="1928"/>
        <item x="1226"/>
        <item x="1079"/>
        <item x="1945"/>
        <item x="1511"/>
        <item x="1993"/>
        <item x="1533"/>
        <item x="1219"/>
        <item x="1399"/>
        <item x="961"/>
        <item x="2058"/>
        <item x="1542"/>
        <item x="767"/>
        <item x="395"/>
        <item x="650"/>
        <item x="1395"/>
        <item x="2250"/>
        <item x="1937"/>
        <item x="1948"/>
        <item x="1902"/>
        <item x="659"/>
        <item x="1140"/>
        <item x="807"/>
        <item x="1557"/>
        <item x="1984"/>
        <item x="1250"/>
        <item x="1940"/>
        <item x="1416"/>
        <item x="667"/>
        <item x="1367"/>
        <item x="1419"/>
        <item x="680"/>
        <item x="446"/>
        <item x="1731"/>
        <item x="1968"/>
        <item x="1570"/>
        <item x="1421"/>
        <item x="1963"/>
        <item x="1340"/>
        <item x="1355"/>
        <item x="1123"/>
        <item x="2084"/>
        <item x="874"/>
        <item x="832"/>
        <item x="1408"/>
        <item x="1117"/>
        <item x="902"/>
        <item x="1444"/>
        <item x="1504"/>
        <item x="1921"/>
        <item x="1558"/>
        <item x="1144"/>
        <item x="1320"/>
        <item x="1456"/>
        <item x="932"/>
        <item x="1424"/>
        <item x="843"/>
        <item x="1339"/>
        <item x="1388"/>
        <item x="944"/>
        <item x="1545"/>
        <item x="1845"/>
        <item x="2053"/>
        <item x="1393"/>
        <item x="389"/>
        <item x="1179"/>
        <item x="1192"/>
        <item x="1431"/>
        <item x="1854"/>
        <item x="2043"/>
        <item x="1325"/>
        <item x="1975"/>
        <item x="1933"/>
        <item x="1084"/>
        <item x="1132"/>
        <item x="1869"/>
        <item x="696"/>
        <item x="1095"/>
        <item x="1349"/>
        <item x="919"/>
        <item x="1261"/>
        <item x="1013"/>
        <item x="1498"/>
        <item x="334"/>
        <item x="1958"/>
        <item x="1156"/>
        <item x="1373"/>
        <item x="1209"/>
        <item x="941"/>
        <item x="2035"/>
        <item x="700"/>
        <item x="1330"/>
        <item x="893"/>
        <item x="797"/>
        <item x="1540"/>
        <item x="2028"/>
        <item x="2048"/>
        <item x="1275"/>
        <item x="1245"/>
        <item x="1236"/>
        <item x="308"/>
        <item x="1196"/>
        <item x="1932"/>
        <item x="1233"/>
        <item x="1049"/>
        <item x="1520"/>
        <item x="1860"/>
        <item x="1872"/>
        <item x="817"/>
        <item x="1842"/>
        <item x="1162"/>
        <item x="1360"/>
        <item x="674"/>
        <item x="1582"/>
        <item x="788"/>
        <item x="1112"/>
        <item x="1308"/>
        <item x="1973"/>
        <item x="1555"/>
        <item x="764"/>
        <item x="1025"/>
        <item x="1036"/>
        <item x="2033"/>
        <item x="1000"/>
        <item x="2316"/>
        <item x="648"/>
        <item x="1292"/>
        <item x="701"/>
        <item x="1184"/>
        <item x="876"/>
        <item x="656"/>
        <item x="1037"/>
        <item x="422"/>
        <item x="428"/>
        <item x="1383"/>
        <item x="2161"/>
        <item x="1206"/>
        <item x="1105"/>
        <item x="1217"/>
        <item x="925"/>
        <item x="1128"/>
        <item x="1866"/>
        <item x="1298"/>
        <item x="1920"/>
        <item x="1849"/>
        <item x="1135"/>
        <item x="1312"/>
        <item x="858"/>
        <item x="1442"/>
        <item x="1311"/>
        <item x="29"/>
        <item x="1454"/>
        <item x="297"/>
        <item x="847"/>
        <item x="1332"/>
        <item x="1317"/>
        <item x="699"/>
        <item x="26"/>
        <item x="1075"/>
        <item x="1059"/>
        <item x="662"/>
        <item x="352"/>
        <item x="1851"/>
        <item x="1353"/>
        <item x="889"/>
        <item x="364"/>
        <item x="689"/>
        <item x="1222"/>
        <item x="1594"/>
        <item x="1364"/>
        <item x="1165"/>
        <item x="907"/>
        <item x="854"/>
        <item x="1151"/>
        <item x="1303"/>
        <item x="1146"/>
        <item x="2069"/>
        <item x="360"/>
        <item x="1126"/>
        <item x="780"/>
        <item x="1288"/>
        <item x="2063"/>
        <item x="2158"/>
        <item x="1187"/>
        <item x="1115"/>
        <item x="1108"/>
        <item x="319"/>
        <item x="1248"/>
        <item x="2192"/>
        <item x="1175"/>
        <item x="809"/>
        <item x="1279"/>
        <item x="1852"/>
        <item x="1299"/>
        <item x="1181"/>
        <item x="801"/>
        <item x="695"/>
        <item x="1333"/>
        <item x="1065"/>
        <item x="1855"/>
        <item x="1425"/>
        <item x="792"/>
        <item x="1953"/>
        <item x="380"/>
        <item x="1231"/>
        <item x="1159"/>
        <item x="1026"/>
        <item x="2036"/>
        <item x="707"/>
        <item x="1138"/>
        <item x="440"/>
        <item x="418"/>
        <item x="1070"/>
        <item x="1314"/>
        <item x="954"/>
        <item x="1882"/>
        <item x="450"/>
        <item x="1104"/>
        <item x="2075"/>
        <item x="1258"/>
        <item x="1341"/>
        <item x="1272"/>
        <item x="1067"/>
        <item x="1198"/>
        <item x="1087"/>
        <item x="837"/>
        <item x="1142"/>
        <item x="1078"/>
        <item x="1440"/>
        <item x="1098"/>
        <item x="1091"/>
        <item x="754"/>
        <item x="772"/>
        <item x="1347"/>
        <item x="312"/>
        <item x="1861"/>
        <item x="408"/>
        <item x="1289"/>
        <item x="1328"/>
        <item x="834"/>
        <item x="957"/>
        <item x="1894"/>
        <item x="462"/>
        <item x="867"/>
        <item x="1074"/>
        <item x="1244"/>
        <item x="1350"/>
        <item x="2034"/>
        <item x="1154"/>
        <item x="2092"/>
        <item x="1171"/>
        <item x="1265"/>
        <item x="1864"/>
        <item x="2044"/>
        <item x="1886"/>
        <item x="401"/>
        <item x="777"/>
        <item x="666"/>
        <item x="2136"/>
        <item x="828"/>
        <item x="652"/>
        <item x="340"/>
        <item x="783"/>
        <item x="1361"/>
        <item x="1961"/>
        <item x="1241"/>
        <item x="1323"/>
        <item x="1017"/>
        <item x="697"/>
        <item x="330"/>
        <item x="820"/>
        <item x="653"/>
        <item x="943"/>
        <item x="703"/>
        <item x="751"/>
        <item x="1227"/>
        <item x="1063"/>
        <item x="761"/>
        <item x="917"/>
        <item x="812"/>
        <item x="658"/>
        <item x="806"/>
        <item x="677"/>
        <item x="1080"/>
        <item x="1286"/>
        <item x="672"/>
        <item x="2054"/>
        <item x="1452"/>
        <item x="1858"/>
        <item x="1082"/>
        <item x="1195"/>
        <item x="1865"/>
        <item x="1022"/>
        <item x="860"/>
        <item x="1045"/>
        <item x="1337"/>
        <item x="1856"/>
        <item x="1883"/>
        <item x="1447"/>
        <item x="692"/>
        <item x="1880"/>
        <item x="939"/>
        <item x="999"/>
        <item x="1370"/>
        <item x="390"/>
        <item x="1276"/>
        <item x="2045"/>
        <item x="849"/>
        <item x="1051"/>
        <item x="423"/>
        <item x="923"/>
        <item x="1040"/>
        <item x="898"/>
        <item x="871"/>
        <item x="1318"/>
        <item x="691"/>
        <item x="931"/>
        <item x="434"/>
        <item x="2079"/>
        <item x="842"/>
        <item x="1090"/>
        <item x="1365"/>
        <item x="1085"/>
        <item x="1254"/>
        <item x="766"/>
        <item x="787"/>
        <item x="831"/>
        <item x="851"/>
        <item x="1157"/>
        <item x="377"/>
        <item x="1096"/>
        <item x="647"/>
        <item x="1853"/>
        <item x="756"/>
        <item x="2049"/>
        <item x="2132"/>
        <item x="1012"/>
        <item x="1237"/>
        <item x="621"/>
        <item x="1271"/>
        <item x="391"/>
        <item x="1055"/>
        <item x="2294"/>
        <item x="2110"/>
        <item x="1262"/>
        <item x="1257"/>
        <item x="411"/>
        <item x="799"/>
        <item x="1295"/>
        <item x="816"/>
        <item x="763"/>
        <item x="857"/>
        <item x="394"/>
        <item x="443"/>
        <item x="862"/>
        <item x="796"/>
        <item x="1029"/>
        <item x="892"/>
        <item x="1881"/>
        <item x="405"/>
        <item x="1331"/>
        <item x="466"/>
        <item x="1024"/>
        <item x="790"/>
        <item x="673"/>
        <item x="1035"/>
        <item x="437"/>
        <item x="426"/>
        <item x="951"/>
        <item x="918"/>
        <item x="2064"/>
        <item x="655"/>
        <item x="1285"/>
        <item x="929"/>
        <item x="705"/>
        <item x="771"/>
        <item x="627"/>
        <item x="1326"/>
        <item x="1252"/>
        <item x="881"/>
        <item x="956"/>
        <item x="651"/>
        <item x="750"/>
        <item x="661"/>
        <item x="664"/>
        <item x="2070"/>
        <item x="846"/>
        <item x="938"/>
        <item x="922"/>
        <item x="1290"/>
        <item x="438"/>
        <item x="704"/>
        <item x="1048"/>
        <item x="43"/>
        <item x="420"/>
        <item x="694"/>
        <item x="59"/>
        <item x="1016"/>
        <item x="886"/>
        <item x="624"/>
        <item x="1273"/>
        <item x="824"/>
        <item x="1329"/>
        <item x="406"/>
        <item x="412"/>
        <item x="671"/>
        <item x="476"/>
        <item x="708"/>
        <item x="782"/>
        <item x="385"/>
        <item x="822"/>
        <item x="370"/>
        <item x="357"/>
        <item x="623"/>
        <item x="1282"/>
        <item x="1259"/>
        <item x="866"/>
        <item x="953"/>
        <item x="1021"/>
        <item x="774"/>
        <item x="626"/>
        <item x="1003"/>
        <item x="992"/>
        <item x="906"/>
        <item x="760"/>
        <item x="947"/>
        <item x="873"/>
        <item x="387"/>
        <item x="378"/>
        <item x="682"/>
        <item x="2059"/>
        <item x="1033"/>
        <item x="2050"/>
        <item x="459"/>
        <item x="620"/>
        <item x="457"/>
        <item x="684"/>
        <item x="301"/>
        <item x="339"/>
        <item x="362"/>
        <item x="456"/>
        <item x="755"/>
        <item x="221"/>
        <item x="1002"/>
        <item x="454"/>
        <item x="811"/>
        <item x="2254"/>
        <item x="804"/>
        <item x="2113"/>
        <item x="2085"/>
        <item x="2195"/>
        <item x="358"/>
        <item x="998"/>
        <item x="706"/>
        <item x="1277"/>
        <item x="416"/>
        <item x="1268"/>
        <item x="959"/>
        <item x="839"/>
        <item x="870"/>
        <item x="300"/>
        <item x="963"/>
        <item x="960"/>
        <item x="1044"/>
        <item x="2056"/>
        <item x="427"/>
        <item x="955"/>
        <item x="914"/>
        <item x="776"/>
        <item x="942"/>
        <item x="2217"/>
        <item x="649"/>
        <item x="375"/>
        <item x="2186"/>
        <item x="785"/>
        <item x="888"/>
        <item x="625"/>
        <item x="350"/>
        <item x="622"/>
        <item x="836"/>
        <item x="978"/>
        <item x="646"/>
        <item x="414"/>
        <item x="827"/>
        <item x="676"/>
        <item x="875"/>
        <item x="2304"/>
        <item x="946"/>
        <item x="934"/>
        <item x="46"/>
        <item x="1334"/>
        <item x="668"/>
        <item x="323"/>
        <item x="1890"/>
        <item x="841"/>
        <item x="1263"/>
        <item x="2090"/>
        <item x="294"/>
        <item x="432"/>
        <item x="449"/>
        <item x="2094"/>
        <item x="904"/>
        <item x="628"/>
        <item x="681"/>
        <item x="421"/>
        <item x="769"/>
        <item x="374"/>
        <item x="675"/>
        <item x="430"/>
        <item x="439"/>
        <item x="2104"/>
        <item x="864"/>
        <item x="687"/>
        <item x="916"/>
        <item x="814"/>
        <item x="885"/>
        <item x="2071"/>
        <item x="880"/>
        <item x="399"/>
        <item x="436"/>
        <item x="768"/>
        <item x="313"/>
        <item x="685"/>
        <item x="407"/>
        <item x="2392"/>
        <item x="711"/>
        <item x="332"/>
        <item x="2207"/>
        <item x="2148"/>
        <item x="388"/>
        <item x="896"/>
        <item x="397"/>
        <item x="327"/>
        <item x="2065"/>
        <item x="453"/>
        <item x="1892"/>
        <item x="686"/>
        <item x="465"/>
        <item x="306"/>
        <item x="471"/>
        <item x="878"/>
        <item x="765"/>
        <item x="757"/>
        <item x="62"/>
        <item x="586"/>
        <item x="314"/>
        <item x="927"/>
        <item x="348"/>
        <item x="345"/>
        <item x="930"/>
        <item x="2080"/>
        <item x="474"/>
        <item x="2076"/>
        <item x="417"/>
        <item x="670"/>
        <item x="587"/>
        <item x="2055"/>
        <item x="403"/>
        <item x="20"/>
        <item x="2060"/>
        <item x="461"/>
        <item x="683"/>
        <item x="709"/>
        <item x="752"/>
        <item x="679"/>
        <item x="410"/>
        <item x="31"/>
        <item x="753"/>
        <item x="445"/>
        <item x="891"/>
        <item x="598"/>
        <item x="433"/>
        <item x="713"/>
        <item x="619"/>
        <item x="425"/>
        <item x="328"/>
        <item x="688"/>
        <item x="715"/>
        <item x="607"/>
        <item x="218"/>
        <item x="678"/>
        <item x="379"/>
        <item x="588"/>
        <item x="76"/>
        <item x="910"/>
        <item x="890"/>
        <item x="393"/>
        <item x="895"/>
        <item x="11"/>
        <item x="759"/>
        <item x="363"/>
        <item x="1891"/>
        <item x="877"/>
        <item x="447"/>
        <item x="615"/>
        <item x="2086"/>
        <item x="442"/>
        <item x="606"/>
        <item x="633"/>
        <item x="2123"/>
        <item x="580"/>
        <item x="995"/>
        <item x="636"/>
        <item x="741"/>
        <item x="2072"/>
        <item x="359"/>
        <item x="400"/>
        <item x="463"/>
        <item x="590"/>
        <item x="1888"/>
        <item x="617"/>
        <item x="295"/>
        <item x="479"/>
        <item x="1006"/>
        <item x="1887"/>
        <item x="2239"/>
        <item x="318"/>
        <item x="2067"/>
        <item x="451"/>
        <item x="1893"/>
        <item x="901"/>
        <item x="640"/>
        <item x="383"/>
        <item x="429"/>
        <item x="616"/>
        <item x="638"/>
        <item x="366"/>
        <item x="591"/>
        <item x="2061"/>
        <item x="609"/>
        <item x="148"/>
        <item x="310"/>
        <item x="2311"/>
        <item x="404"/>
        <item x="441"/>
        <item x="354"/>
        <item x="455"/>
        <item x="597"/>
        <item x="2066"/>
        <item x="905"/>
        <item x="747"/>
        <item x="458"/>
        <item x="469"/>
        <item x="610"/>
        <item x="635"/>
        <item x="368"/>
        <item x="966"/>
        <item x="629"/>
        <item x="746"/>
        <item x="900"/>
        <item x="736"/>
        <item x="903"/>
        <item x="630"/>
        <item x="991"/>
        <item x="562"/>
        <item x="712"/>
        <item x="333"/>
        <item x="745"/>
        <item x="2233"/>
        <item x="448"/>
        <item x="909"/>
        <item x="739"/>
        <item x="2220"/>
        <item x="304"/>
        <item x="376"/>
        <item x="612"/>
        <item x="1889"/>
        <item x="2126"/>
        <item x="632"/>
        <item x="642"/>
        <item x="356"/>
        <item x="643"/>
        <item x="464"/>
        <item x="2251"/>
        <item x="2171"/>
        <item x="452"/>
        <item x="732"/>
        <item x="738"/>
        <item x="592"/>
        <item x="976"/>
        <item x="2091"/>
        <item x="396"/>
        <item x="962"/>
        <item x="2093"/>
        <item x="964"/>
        <item x="1007"/>
        <item x="477"/>
        <item x="550"/>
        <item x="307"/>
        <item x="728"/>
        <item x="748"/>
        <item x="583"/>
        <item x="2081"/>
        <item x="343"/>
        <item x="582"/>
        <item x="372"/>
        <item x="613"/>
        <item x="594"/>
        <item x="409"/>
        <item x="979"/>
        <item x="79"/>
        <item x="710"/>
        <item x="579"/>
        <item x="460"/>
        <item x="467"/>
        <item x="444"/>
        <item x="982"/>
        <item x="27"/>
        <item x="338"/>
        <item x="993"/>
        <item x="2164"/>
        <item x="734"/>
        <item x="981"/>
        <item x="997"/>
        <item x="742"/>
        <item x="2089"/>
        <item x="967"/>
        <item x="735"/>
        <item x="220"/>
        <item x="473"/>
        <item x="24"/>
        <item x="384"/>
        <item x="996"/>
        <item x="585"/>
        <item x="317"/>
        <item x="743"/>
        <item x="977"/>
        <item x="37"/>
        <item x="336"/>
        <item x="369"/>
        <item x="296"/>
        <item x="226"/>
        <item x="2101"/>
        <item x="280"/>
        <item x="968"/>
        <item x="1009"/>
        <item x="994"/>
        <item x="637"/>
        <item x="478"/>
        <item x="731"/>
        <item x="641"/>
        <item x="603"/>
        <item x="965"/>
        <item x="602"/>
        <item x="2160"/>
        <item x="749"/>
        <item x="718"/>
        <item x="470"/>
        <item x="725"/>
        <item x="980"/>
        <item x="714"/>
        <item x="250"/>
        <item x="2082"/>
        <item x="983"/>
        <item x="645"/>
        <item x="1008"/>
        <item x="53"/>
        <item x="723"/>
        <item x="608"/>
        <item x="468"/>
        <item x="329"/>
        <item x="2106"/>
        <item x="1005"/>
        <item x="1010"/>
        <item x="480"/>
        <item x="722"/>
        <item x="727"/>
        <item x="595"/>
        <item x="1011"/>
        <item x="373"/>
        <item x="351"/>
        <item x="311"/>
        <item x="475"/>
        <item x="568"/>
        <item x="381"/>
        <item x="292"/>
        <item x="2116"/>
        <item x="365"/>
        <item x="223"/>
        <item x="584"/>
        <item x="733"/>
        <item x="2138"/>
        <item x="303"/>
        <item x="717"/>
        <item x="2295"/>
        <item x="472"/>
        <item x="567"/>
        <item x="282"/>
        <item x="589"/>
        <item x="283"/>
        <item x="2083"/>
        <item x="2308"/>
        <item x="576"/>
        <item x="618"/>
        <item x="349"/>
        <item x="2229"/>
        <item x="52"/>
        <item x="48"/>
        <item x="744"/>
        <item x="720"/>
        <item x="230"/>
        <item x="325"/>
        <item x="604"/>
        <item x="252"/>
        <item x="299"/>
        <item x="488"/>
        <item x="361"/>
        <item x="599"/>
        <item x="353"/>
        <item x="347"/>
        <item x="2305"/>
        <item x="988"/>
        <item x="2324"/>
        <item x="557"/>
        <item x="737"/>
        <item x="262"/>
        <item x="729"/>
        <item x="485"/>
        <item x="984"/>
        <item x="57"/>
        <item x="2244"/>
        <item x="2077"/>
        <item x="144"/>
        <item x="344"/>
        <item x="14"/>
        <item x="546"/>
        <item x="2145"/>
        <item x="2354"/>
        <item x="2306"/>
        <item x="41"/>
        <item x="489"/>
        <item x="556"/>
        <item x="316"/>
        <item x="335"/>
        <item x="64"/>
        <item x="481"/>
        <item x="516"/>
        <item x="2263"/>
        <item x="153"/>
        <item x="973"/>
        <item x="30"/>
        <item x="341"/>
        <item x="293"/>
        <item x="577"/>
        <item x="28"/>
        <item x="25"/>
        <item x="219"/>
        <item x="2301"/>
        <item x="2099"/>
        <item x="989"/>
        <item x="2296"/>
        <item x="224"/>
        <item x="482"/>
        <item x="2255"/>
        <item x="483"/>
        <item x="2135"/>
        <item x="2303"/>
        <item x="2109"/>
        <item x="268"/>
        <item x="136"/>
        <item x="644"/>
        <item x="969"/>
        <item x="19"/>
        <item x="326"/>
        <item x="279"/>
        <item x="2298"/>
        <item x="2114"/>
        <item x="47"/>
        <item x="2307"/>
        <item x="593"/>
        <item x="2167"/>
        <item x="2358"/>
        <item x="2102"/>
        <item x="986"/>
        <item x="553"/>
        <item x="2297"/>
        <item x="563"/>
        <item x="569"/>
        <item x="63"/>
        <item x="44"/>
        <item x="145"/>
        <item x="2302"/>
        <item x="631"/>
        <item x="264"/>
        <item x="2098"/>
        <item x="985"/>
        <item x="719"/>
        <item x="2105"/>
        <item x="486"/>
        <item x="225"/>
        <item x="2134"/>
        <item x="222"/>
        <item x="2300"/>
        <item x="69"/>
        <item x="36"/>
        <item x="80"/>
        <item x="2299"/>
        <item x="322"/>
        <item x="2120"/>
        <item x="270"/>
        <item x="639"/>
        <item x="68"/>
        <item x="232"/>
        <item x="600"/>
        <item x="987"/>
        <item x="2241"/>
        <item x="2245"/>
        <item x="484"/>
        <item x="151"/>
        <item x="342"/>
        <item x="2252"/>
        <item x="9"/>
        <item x="2327"/>
        <item x="571"/>
        <item x="298"/>
        <item x="2194"/>
        <item x="2253"/>
        <item x="2130"/>
        <item x="552"/>
        <item x="54"/>
        <item x="2151"/>
        <item x="501"/>
        <item x="2349"/>
        <item x="490"/>
        <item x="974"/>
        <item x="2243"/>
        <item x="2103"/>
        <item x="611"/>
        <item x="990"/>
        <item x="331"/>
        <item x="487"/>
        <item x="2240"/>
        <item x="286"/>
        <item x="2248"/>
        <item x="58"/>
        <item x="56"/>
        <item x="2142"/>
        <item x="162"/>
        <item x="491"/>
        <item x="236"/>
        <item x="559"/>
        <item x="2247"/>
        <item x="255"/>
        <item x="60"/>
        <item x="346"/>
        <item x="277"/>
        <item x="2112"/>
        <item x="93"/>
        <item x="740"/>
        <item x="2157"/>
        <item x="2376"/>
        <item x="42"/>
        <item x="158"/>
        <item x="320"/>
        <item x="34"/>
        <item x="2246"/>
        <item x="2249"/>
        <item x="18"/>
        <item x="281"/>
        <item x="2165"/>
        <item x="23"/>
        <item x="724"/>
        <item x="2473"/>
        <item x="492"/>
        <item x="35"/>
        <item x="970"/>
        <item x="2162"/>
        <item x="2163"/>
        <item x="97"/>
        <item x="2234"/>
        <item x="614"/>
        <item x="2218"/>
        <item x="558"/>
        <item x="2108"/>
        <item x="581"/>
        <item x="730"/>
        <item x="2257"/>
        <item x="81"/>
        <item x="85"/>
        <item x="2166"/>
        <item x="212"/>
        <item x="288"/>
        <item x="2115"/>
        <item x="49"/>
        <item x="2117"/>
        <item x="2174"/>
        <item x="291"/>
        <item x="45"/>
        <item x="55"/>
        <item x="33"/>
        <item x="2173"/>
        <item x="74"/>
        <item x="278"/>
        <item x="201"/>
        <item x="147"/>
        <item x="2237"/>
        <item x="971"/>
        <item x="2258"/>
        <item x="22"/>
        <item x="2259"/>
        <item x="8"/>
        <item x="129"/>
        <item x="32"/>
        <item x="82"/>
        <item x="13"/>
        <item x="564"/>
        <item x="2328"/>
        <item x="634"/>
        <item x="2139"/>
        <item x="51"/>
        <item x="65"/>
        <item x="2137"/>
        <item x="2127"/>
        <item x="21"/>
        <item x="40"/>
        <item x="10"/>
        <item x="284"/>
        <item x="2141"/>
        <item x="2122"/>
        <item x="289"/>
        <item x="113"/>
        <item x="77"/>
        <item x="67"/>
        <item x="38"/>
        <item x="214"/>
        <item x="2209"/>
        <item x="96"/>
        <item x="721"/>
        <item x="547"/>
        <item x="39"/>
        <item x="70"/>
        <item x="2119"/>
        <item x="61"/>
        <item x="605"/>
        <item x="2256"/>
        <item x="520"/>
        <item x="573"/>
        <item x="84"/>
        <item x="2154"/>
        <item x="596"/>
        <item x="50"/>
        <item x="2205"/>
        <item x="73"/>
        <item x="267"/>
        <item x="2118"/>
        <item x="164"/>
        <item x="150"/>
        <item x="118"/>
        <item x="285"/>
        <item x="146"/>
        <item x="2236"/>
        <item x="2140"/>
        <item x="2235"/>
        <item x="99"/>
        <item x="527"/>
        <item x="578"/>
        <item x="975"/>
        <item x="75"/>
        <item x="88"/>
        <item x="726"/>
        <item x="554"/>
        <item x="290"/>
        <item x="523"/>
        <item x="2125"/>
        <item x="239"/>
        <item x="155"/>
        <item x="87"/>
        <item x="2189"/>
        <item x="2159"/>
        <item x="2283"/>
        <item x="2222"/>
        <item x="71"/>
        <item x="66"/>
        <item x="2260"/>
        <item x="273"/>
        <item x="541"/>
        <item x="2129"/>
        <item x="12"/>
        <item x="2156"/>
        <item x="972"/>
        <item x="254"/>
        <item x="2264"/>
        <item x="560"/>
        <item x="2221"/>
        <item x="2215"/>
        <item x="2230"/>
        <item x="287"/>
        <item x="537"/>
        <item x="2133"/>
        <item x="2261"/>
        <item x="522"/>
        <item x="511"/>
        <item x="500"/>
        <item x="17"/>
        <item x="572"/>
        <item x="2150"/>
        <item x="249"/>
        <item x="495"/>
        <item x="16"/>
        <item x="78"/>
        <item x="2131"/>
        <item x="2191"/>
        <item x="165"/>
        <item x="178"/>
        <item x="716"/>
        <item x="2128"/>
        <item x="257"/>
        <item x="2231"/>
        <item x="72"/>
        <item x="2170"/>
        <item x="234"/>
        <item x="2357"/>
        <item x="142"/>
        <item x="233"/>
        <item x="133"/>
        <item x="526"/>
        <item x="167"/>
        <item x="2155"/>
        <item x="102"/>
        <item x="256"/>
        <item x="100"/>
        <item x="83"/>
        <item x="2147"/>
        <item x="2149"/>
        <item x="15"/>
        <item x="2152"/>
        <item x="2172"/>
        <item x="2169"/>
        <item x="510"/>
        <item x="2341"/>
        <item x="2262"/>
        <item x="152"/>
        <item x="2286"/>
        <item x="494"/>
        <item x="90"/>
        <item x="2421"/>
        <item x="228"/>
        <item x="2176"/>
        <item x="2224"/>
        <item x="205"/>
        <item x="86"/>
        <item x="2353"/>
        <item x="2226"/>
        <item x="185"/>
        <item x="112"/>
        <item x="2285"/>
        <item x="2214"/>
        <item x="2"/>
        <item x="566"/>
        <item x="2213"/>
        <item x="2212"/>
        <item x="2279"/>
        <item x="227"/>
        <item x="2223"/>
        <item x="217"/>
        <item x="1"/>
        <item x="115"/>
        <item x="195"/>
        <item x="156"/>
        <item x="98"/>
        <item x="2268"/>
        <item x="536"/>
        <item x="120"/>
        <item x="94"/>
        <item x="143"/>
        <item x="2168"/>
        <item x="149"/>
        <item x="2325"/>
        <item x="540"/>
        <item x="109"/>
        <item x="2201"/>
        <item x="132"/>
        <item x="91"/>
        <item x="2208"/>
        <item x="266"/>
        <item x="2153"/>
        <item x="2227"/>
        <item x="154"/>
        <item x="251"/>
        <item x="104"/>
        <item x="253"/>
        <item x="2225"/>
        <item x="2423"/>
        <item x="272"/>
        <item x="517"/>
        <item x="117"/>
        <item x="2352"/>
        <item x="258"/>
        <item x="128"/>
        <item x="2204"/>
        <item x="95"/>
        <item x="180"/>
        <item x="2203"/>
        <item x="548"/>
        <item x="2180"/>
        <item x="2334"/>
        <item x="524"/>
        <item x="229"/>
        <item x="2265"/>
        <item x="157"/>
        <item x="6"/>
        <item x="275"/>
        <item x="106"/>
        <item x="238"/>
        <item x="2292"/>
        <item x="231"/>
        <item x="101"/>
        <item x="135"/>
        <item x="2146"/>
        <item x="2175"/>
        <item x="161"/>
        <item x="92"/>
        <item x="2185"/>
        <item x="2210"/>
        <item x="260"/>
        <item x="2211"/>
        <item x="2193"/>
        <item x="2196"/>
        <item x="274"/>
        <item x="507"/>
        <item x="122"/>
        <item x="125"/>
        <item x="2394"/>
        <item x="89"/>
        <item x="2287"/>
        <item x="171"/>
        <item x="2199"/>
        <item x="555"/>
        <item x="2409"/>
        <item x="2271"/>
        <item x="197"/>
        <item x="248"/>
        <item x="2200"/>
        <item x="4"/>
        <item x="506"/>
        <item x="188"/>
        <item x="2143"/>
        <item x="166"/>
        <item x="529"/>
        <item x="2288"/>
        <item x="2197"/>
        <item x="574"/>
        <item x="497"/>
        <item x="513"/>
        <item x="259"/>
        <item x="2190"/>
        <item x="241"/>
        <item x="565"/>
        <item x="0"/>
        <item x="2330"/>
        <item x="2278"/>
        <item x="2188"/>
        <item x="2177"/>
        <item x="2270"/>
        <item x="601"/>
        <item x="2345"/>
        <item x="126"/>
        <item x="3"/>
        <item x="2144"/>
        <item x="2361"/>
        <item x="7"/>
        <item x="131"/>
        <item x="183"/>
        <item x="2198"/>
        <item x="204"/>
        <item x="518"/>
        <item x="130"/>
        <item x="159"/>
        <item x="2374"/>
        <item x="244"/>
        <item x="496"/>
        <item x="216"/>
        <item x="5"/>
        <item x="269"/>
        <item x="110"/>
        <item x="127"/>
        <item x="2184"/>
        <item x="2179"/>
        <item x="512"/>
        <item x="116"/>
        <item x="160"/>
        <item x="2391"/>
        <item x="114"/>
        <item x="163"/>
        <item x="2182"/>
        <item x="103"/>
        <item x="107"/>
        <item x="138"/>
        <item x="2372"/>
        <item x="2181"/>
        <item x="105"/>
        <item x="2178"/>
        <item x="111"/>
        <item x="2187"/>
        <item x="561"/>
        <item x="123"/>
        <item x="528"/>
        <item x="240"/>
        <item x="108"/>
        <item x="2378"/>
        <item x="121"/>
        <item x="2433"/>
        <item x="276"/>
        <item x="119"/>
        <item x="2355"/>
        <item x="532"/>
        <item x="2289"/>
        <item x="124"/>
        <item x="207"/>
        <item x="2274"/>
        <item x="543"/>
        <item x="243"/>
        <item x="2360"/>
        <item x="200"/>
        <item x="2412"/>
        <item x="502"/>
        <item x="263"/>
        <item x="2366"/>
        <item x="2458"/>
        <item x="2284"/>
        <item x="2272"/>
        <item x="2343"/>
        <item x="521"/>
        <item x="2183"/>
        <item x="2273"/>
        <item x="210"/>
        <item x="2336"/>
        <item x="170"/>
        <item x="2432"/>
        <item x="514"/>
        <item x="2356"/>
        <item x="498"/>
        <item x="508"/>
        <item x="206"/>
        <item x="2383"/>
        <item x="2390"/>
        <item x="2457"/>
        <item x="551"/>
        <item x="187"/>
        <item x="271"/>
        <item x="2380"/>
        <item x="2266"/>
        <item x="2351"/>
        <item x="261"/>
        <item x="2281"/>
        <item x="538"/>
        <item x="2474"/>
        <item x="519"/>
        <item x="2359"/>
        <item x="182"/>
        <item x="2408"/>
        <item x="542"/>
        <item x="2375"/>
        <item x="235"/>
        <item x="2275"/>
        <item x="137"/>
        <item x="2393"/>
        <item x="209"/>
        <item x="2439"/>
        <item x="2368"/>
        <item x="173"/>
        <item x="530"/>
        <item x="2293"/>
        <item x="202"/>
        <item x="2425"/>
        <item x="246"/>
        <item x="2426"/>
        <item x="2369"/>
        <item x="570"/>
        <item x="190"/>
        <item x="2562"/>
        <item x="2282"/>
        <item x="2445"/>
        <item x="493"/>
        <item x="2269"/>
        <item x="2459"/>
        <item x="172"/>
        <item x="2340"/>
        <item x="509"/>
        <item x="208"/>
        <item x="2471"/>
        <item x="140"/>
        <item x="203"/>
        <item x="265"/>
        <item x="2332"/>
        <item x="176"/>
        <item x="2514"/>
        <item x="2396"/>
        <item x="2565"/>
        <item x="242"/>
        <item x="199"/>
        <item x="2350"/>
        <item x="237"/>
        <item x="2377"/>
        <item x="2413"/>
        <item x="139"/>
        <item x="503"/>
        <item x="2450"/>
        <item x="515"/>
        <item x="2384"/>
        <item x="2267"/>
        <item x="189"/>
        <item x="175"/>
        <item x="2371"/>
        <item x="2440"/>
        <item x="168"/>
        <item x="213"/>
        <item x="2431"/>
        <item x="2522"/>
        <item x="2424"/>
        <item x="2496"/>
        <item x="245"/>
        <item x="2363"/>
        <item x="2291"/>
        <item x="2418"/>
        <item x="169"/>
        <item x="174"/>
        <item x="2420"/>
        <item x="2475"/>
        <item x="2348"/>
        <item x="215"/>
        <item x="2468"/>
        <item x="533"/>
        <item x="211"/>
        <item x="2388"/>
        <item x="134"/>
        <item x="193"/>
        <item x="2429"/>
        <item x="2329"/>
        <item x="2280"/>
        <item x="179"/>
        <item x="2574"/>
        <item x="544"/>
        <item x="2419"/>
        <item x="525"/>
        <item x="2438"/>
        <item x="141"/>
        <item x="2452"/>
        <item x="549"/>
        <item x="2290"/>
        <item x="2326"/>
        <item x="184"/>
        <item x="2500"/>
        <item x="2407"/>
        <item x="247"/>
        <item x="2483"/>
        <item x="2365"/>
        <item x="2461"/>
        <item x="505"/>
        <item x="2362"/>
        <item x="177"/>
        <item x="2434"/>
        <item x="504"/>
        <item x="2338"/>
        <item x="192"/>
        <item x="2414"/>
        <item x="2387"/>
        <item x="2416"/>
        <item x="2540"/>
        <item x="191"/>
        <item x="2469"/>
        <item x="2382"/>
        <item x="2478"/>
        <item x="2367"/>
        <item x="2517"/>
        <item x="531"/>
        <item x="575"/>
        <item x="2415"/>
        <item x="181"/>
        <item x="2389"/>
        <item x="2364"/>
        <item x="2511"/>
        <item x="186"/>
        <item x="499"/>
        <item x="2435"/>
        <item x="2470"/>
        <item x="2347"/>
        <item x="2276"/>
        <item x="196"/>
        <item x="2277"/>
        <item x="2422"/>
        <item x="2370"/>
        <item x="2417"/>
        <item x="2342"/>
        <item x="2482"/>
        <item x="535"/>
        <item x="2472"/>
        <item x="2486"/>
        <item x="2395"/>
        <item x="2491"/>
        <item x="2476"/>
        <item x="2428"/>
        <item x="2437"/>
        <item x="2454"/>
        <item x="539"/>
        <item x="2373"/>
        <item x="2381"/>
        <item x="2379"/>
        <item x="2494"/>
        <item x="194"/>
        <item x="2447"/>
        <item x="2455"/>
        <item x="2339"/>
        <item x="2477"/>
        <item x="2333"/>
        <item x="2430"/>
        <item x="2397"/>
        <item x="2451"/>
        <item x="2466"/>
        <item x="2386"/>
        <item x="2488"/>
        <item x="2331"/>
        <item x="2536"/>
        <item x="2453"/>
        <item x="2446"/>
        <item x="2406"/>
        <item x="2524"/>
        <item x="2444"/>
        <item x="2405"/>
        <item x="2385"/>
        <item x="2487"/>
        <item x="2480"/>
        <item x="2400"/>
        <item x="198"/>
        <item x="2479"/>
        <item x="2401"/>
        <item x="2456"/>
        <item x="534"/>
        <item x="2544"/>
        <item x="2495"/>
        <item x="2436"/>
        <item x="2577"/>
        <item x="2335"/>
        <item x="2337"/>
        <item x="2586"/>
        <item x="2497"/>
        <item x="2441"/>
        <item x="2549"/>
        <item x="2542"/>
        <item x="2507"/>
        <item x="2443"/>
        <item x="2442"/>
        <item x="2485"/>
        <item x="2589"/>
        <item x="2398"/>
        <item x="2523"/>
        <item x="2344"/>
        <item x="2484"/>
        <item x="2559"/>
        <item x="545"/>
        <item x="2460"/>
        <item x="2427"/>
        <item x="2481"/>
        <item x="2490"/>
        <item x="2533"/>
        <item x="2462"/>
        <item x="2449"/>
        <item x="2403"/>
        <item x="2448"/>
        <item x="2404"/>
        <item x="2552"/>
        <item x="2502"/>
        <item x="2558"/>
        <item x="2498"/>
        <item x="2489"/>
        <item x="2567"/>
        <item x="2606"/>
        <item x="2464"/>
        <item x="2531"/>
        <item x="2493"/>
        <item x="2346"/>
        <item x="2526"/>
        <item x="2518"/>
        <item x="2399"/>
        <item x="2510"/>
        <item x="2505"/>
        <item x="2512"/>
        <item x="2513"/>
        <item x="2529"/>
        <item x="2590"/>
        <item x="2465"/>
        <item x="2521"/>
        <item x="2581"/>
        <item x="2546"/>
        <item x="2492"/>
        <item x="2504"/>
        <item x="2583"/>
        <item x="2501"/>
        <item x="2516"/>
        <item x="2530"/>
        <item x="2551"/>
        <item x="2525"/>
        <item x="2537"/>
        <item x="2601"/>
        <item x="2508"/>
        <item x="2597"/>
        <item x="2402"/>
        <item x="2509"/>
        <item x="2561"/>
        <item x="2554"/>
        <item x="2503"/>
        <item x="2557"/>
        <item x="2463"/>
        <item x="2499"/>
        <item x="2566"/>
        <item x="2569"/>
        <item x="2543"/>
        <item x="2519"/>
        <item x="2467"/>
        <item x="2534"/>
        <item x="2545"/>
        <item x="2520"/>
        <item x="2506"/>
        <item x="2603"/>
        <item x="2535"/>
        <item x="2572"/>
        <item x="2527"/>
        <item x="2515"/>
        <item x="2550"/>
        <item x="2576"/>
        <item x="2598"/>
        <item x="2528"/>
        <item x="2585"/>
        <item x="2604"/>
        <item x="2560"/>
        <item x="2541"/>
        <item x="2553"/>
        <item x="2596"/>
        <item x="2532"/>
        <item x="2568"/>
        <item x="2599"/>
        <item x="2556"/>
        <item x="2602"/>
        <item x="2547"/>
        <item x="2538"/>
        <item x="2564"/>
        <item x="2591"/>
        <item x="2570"/>
        <item x="2575"/>
        <item x="2548"/>
        <item x="2579"/>
        <item x="2563"/>
        <item x="2539"/>
        <item x="2588"/>
        <item x="2555"/>
        <item x="2573"/>
        <item x="2600"/>
        <item x="2578"/>
        <item x="2594"/>
        <item x="2587"/>
        <item x="2592"/>
        <item x="2571"/>
        <item x="2580"/>
        <item x="2593"/>
        <item x="2584"/>
        <item x="2582"/>
        <item x="259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42">
        <item x="194"/>
        <item x="145"/>
        <item x="156"/>
        <item x="161"/>
        <item x="8"/>
        <item x="11"/>
        <item x="26"/>
        <item x="29"/>
        <item x="44"/>
        <item x="47"/>
        <item x="62"/>
        <item x="65"/>
        <item x="80"/>
        <item x="83"/>
        <item x="98"/>
        <item x="101"/>
        <item x="116"/>
        <item x="119"/>
        <item x="133"/>
        <item x="136"/>
        <item x="150"/>
        <item x="153"/>
        <item x="166"/>
        <item x="169"/>
        <item x="176"/>
        <item x="178"/>
        <item x="182"/>
        <item x="184"/>
        <item x="2"/>
        <item x="14"/>
        <item x="20"/>
        <item x="31"/>
        <item x="37"/>
        <item x="49"/>
        <item x="55"/>
        <item x="67"/>
        <item x="73"/>
        <item x="85"/>
        <item x="91"/>
        <item x="103"/>
        <item x="109"/>
        <item x="121"/>
        <item x="127"/>
        <item x="138"/>
        <item x="143"/>
        <item x="154"/>
        <item x="159"/>
        <item x="170"/>
        <item x="6"/>
        <item x="9"/>
        <item x="24"/>
        <item x="27"/>
        <item x="42"/>
        <item x="45"/>
        <item x="60"/>
        <item x="63"/>
        <item x="78"/>
        <item x="81"/>
        <item x="96"/>
        <item x="99"/>
        <item x="114"/>
        <item x="117"/>
        <item x="131"/>
        <item x="134"/>
        <item x="148"/>
        <item x="151"/>
        <item x="164"/>
        <item x="167"/>
        <item x="175"/>
        <item x="177"/>
        <item x="181"/>
        <item x="183"/>
        <item x="7"/>
        <item x="10"/>
        <item x="25"/>
        <item x="28"/>
        <item x="43"/>
        <item x="46"/>
        <item x="61"/>
        <item x="64"/>
        <item x="79"/>
        <item x="82"/>
        <item x="97"/>
        <item x="100"/>
        <item x="115"/>
        <item x="118"/>
        <item x="132"/>
        <item x="135"/>
        <item x="149"/>
        <item x="152"/>
        <item x="165"/>
        <item x="168"/>
        <item x="5"/>
        <item x="17"/>
        <item x="23"/>
        <item x="34"/>
        <item x="40"/>
        <item x="52"/>
        <item x="58"/>
        <item x="70"/>
        <item x="76"/>
        <item x="88"/>
        <item x="94"/>
        <item x="106"/>
        <item x="112"/>
        <item x="124"/>
        <item x="129"/>
        <item x="140"/>
        <item x="146"/>
        <item x="157"/>
        <item x="162"/>
        <item x="172"/>
        <item x="0"/>
        <item x="12"/>
        <item x="18"/>
        <item x="35"/>
        <item x="41"/>
        <item x="53"/>
        <item x="59"/>
        <item x="71"/>
        <item x="77"/>
        <item x="89"/>
        <item x="95"/>
        <item x="107"/>
        <item x="113"/>
        <item x="125"/>
        <item x="130"/>
        <item x="141"/>
        <item x="147"/>
        <item x="158"/>
        <item x="163"/>
        <item x="173"/>
        <item x="174"/>
        <item x="179"/>
        <item x="180"/>
        <item x="185"/>
        <item x="1"/>
        <item x="13"/>
        <item x="19"/>
        <item x="30"/>
        <item x="36"/>
        <item x="48"/>
        <item x="54"/>
        <item x="66"/>
        <item x="72"/>
        <item x="84"/>
        <item x="90"/>
        <item x="102"/>
        <item x="108"/>
        <item x="120"/>
        <item x="126"/>
        <item x="137"/>
        <item x="142"/>
        <item x="3"/>
        <item x="15"/>
        <item x="21"/>
        <item x="32"/>
        <item x="38"/>
        <item x="50"/>
        <item x="56"/>
        <item x="68"/>
        <item x="74"/>
        <item x="86"/>
        <item x="92"/>
        <item x="104"/>
        <item x="110"/>
        <item x="122"/>
        <item x="128"/>
        <item x="139"/>
        <item x="144"/>
        <item x="155"/>
        <item x="160"/>
        <item x="171"/>
        <item x="4"/>
        <item x="16"/>
        <item x="22"/>
        <item x="33"/>
        <item x="39"/>
        <item x="51"/>
        <item x="57"/>
        <item x="69"/>
        <item x="75"/>
        <item x="87"/>
        <item x="93"/>
        <item x="105"/>
        <item x="111"/>
        <item x="123"/>
        <item x="186"/>
        <item x="187"/>
        <item x="188"/>
        <item x="189"/>
        <item x="190"/>
        <item x="191"/>
        <item x="192"/>
        <item x="193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</pivotFields>
  <rowFields count="3">
    <field x="0"/>
    <field x="1"/>
    <field x="11"/>
  </rowFields>
  <rowItems count="5811">
    <i>
      <x/>
      <x v="6"/>
      <x v="177"/>
    </i>
    <i>
      <x v="1"/>
      <x v="6"/>
      <x v="176"/>
    </i>
    <i>
      <x v="2"/>
      <x v="6"/>
      <x v="175"/>
    </i>
    <i>
      <x v="3"/>
      <x v="6"/>
      <x v="174"/>
    </i>
    <i>
      <x v="4"/>
      <x v="6"/>
      <x v="173"/>
    </i>
    <i>
      <x v="5"/>
      <x v="6"/>
      <x v="172"/>
    </i>
    <i>
      <x v="6"/>
      <x v="6"/>
      <x v="171"/>
    </i>
    <i>
      <x v="7"/>
      <x v="6"/>
      <x v="170"/>
    </i>
    <i>
      <x v="8"/>
      <x v="6"/>
      <x v="169"/>
    </i>
    <i>
      <x v="9"/>
      <x v="6"/>
      <x v="168"/>
    </i>
    <i>
      <x v="10"/>
      <x v="6"/>
      <x v="167"/>
    </i>
    <i>
      <x v="11"/>
      <x v="6"/>
      <x v="166"/>
    </i>
    <i>
      <x v="12"/>
      <x v="6"/>
      <x v="165"/>
    </i>
    <i>
      <x v="13"/>
      <x v="6"/>
      <x v="164"/>
    </i>
    <i r="1">
      <x v="9"/>
      <x v="184"/>
    </i>
    <i>
      <x v="14"/>
      <x v="6"/>
      <x v="163"/>
    </i>
    <i r="1">
      <x v="9"/>
      <x v="183"/>
    </i>
    <i>
      <x v="15"/>
      <x v="6"/>
      <x v="162"/>
    </i>
    <i r="1">
      <x v="9"/>
      <x v="182"/>
    </i>
    <i>
      <x v="16"/>
      <x v="6"/>
      <x v="161"/>
    </i>
    <i r="1">
      <x v="9"/>
      <x v="181"/>
    </i>
    <i>
      <x v="17"/>
      <x v="6"/>
      <x v="160"/>
    </i>
    <i r="1">
      <x v="9"/>
      <x v="180"/>
    </i>
    <i>
      <x v="18"/>
      <x v="6"/>
      <x v="159"/>
    </i>
    <i r="1">
      <x v="9"/>
      <x v="179"/>
    </i>
    <i>
      <x v="19"/>
      <x v="6"/>
      <x v="158"/>
    </i>
    <i r="1">
      <x v="9"/>
      <x v="178"/>
    </i>
    <i>
      <x v="20"/>
      <x v="6"/>
      <x v="157"/>
    </i>
    <i r="1">
      <x v="9"/>
      <x v="177"/>
    </i>
    <i>
      <x v="21"/>
      <x v="6"/>
      <x v="156"/>
    </i>
    <i r="1">
      <x v="9"/>
      <x v="176"/>
    </i>
    <i>
      <x v="22"/>
      <x v="6"/>
      <x v="155"/>
    </i>
    <i r="1">
      <x v="9"/>
      <x v="175"/>
    </i>
    <i>
      <x v="23"/>
      <x v="6"/>
      <x v="154"/>
    </i>
    <i r="1">
      <x v="9"/>
      <x v="174"/>
    </i>
    <i>
      <x v="24"/>
      <x v="6"/>
      <x v="153"/>
    </i>
    <i r="1">
      <x v="9"/>
      <x v="173"/>
    </i>
    <i>
      <x v="25"/>
      <x v="6"/>
      <x v="152"/>
    </i>
    <i r="1">
      <x v="9"/>
      <x v="172"/>
    </i>
    <i>
      <x v="26"/>
      <x v="6"/>
      <x v="151"/>
    </i>
    <i r="1">
      <x v="9"/>
      <x v="171"/>
    </i>
    <i>
      <x v="27"/>
      <x v="6"/>
      <x v="150"/>
    </i>
    <i r="1">
      <x v="9"/>
      <x v="170"/>
    </i>
    <i>
      <x v="28"/>
      <x v="6"/>
      <x v="149"/>
    </i>
    <i r="1">
      <x v="9"/>
      <x v="169"/>
    </i>
    <i>
      <x v="29"/>
      <x v="6"/>
      <x v="148"/>
    </i>
    <i r="1">
      <x v="9"/>
      <x v="168"/>
    </i>
    <i>
      <x v="30"/>
      <x v="6"/>
      <x v="147"/>
    </i>
    <i r="1">
      <x v="9"/>
      <x v="167"/>
    </i>
    <i>
      <x v="31"/>
      <x v="6"/>
      <x v="146"/>
    </i>
    <i r="1">
      <x v="9"/>
      <x v="166"/>
    </i>
    <i>
      <x v="32"/>
      <x v="6"/>
      <x v="145"/>
    </i>
    <i r="1">
      <x v="9"/>
      <x v="165"/>
    </i>
    <i>
      <x v="33"/>
      <x v="6"/>
      <x v="144"/>
    </i>
    <i r="1">
      <x v="9"/>
      <x v="164"/>
    </i>
    <i>
      <x v="34"/>
      <x v="6"/>
      <x v="143"/>
    </i>
    <i r="1">
      <x v="9"/>
      <x v="163"/>
    </i>
    <i>
      <x v="35"/>
      <x v="6"/>
      <x v="142"/>
    </i>
    <i r="1">
      <x v="9"/>
      <x v="162"/>
    </i>
    <i r="1">
      <x v="12"/>
      <x v="187"/>
    </i>
    <i>
      <x v="36"/>
      <x v="6"/>
      <x v="141"/>
    </i>
    <i r="1">
      <x v="9"/>
      <x v="161"/>
    </i>
    <i r="1">
      <x v="12"/>
      <x v="186"/>
    </i>
    <i>
      <x v="37"/>
      <x v="6"/>
      <x v="140"/>
    </i>
    <i r="1">
      <x v="9"/>
      <x v="160"/>
    </i>
    <i>
      <x v="38"/>
      <x v="6"/>
      <x v="139"/>
    </i>
    <i r="1">
      <x v="9"/>
      <x v="159"/>
    </i>
    <i r="1">
      <x v="12"/>
      <x v="184"/>
    </i>
    <i>
      <x v="39"/>
      <x v="6"/>
      <x v="138"/>
    </i>
    <i r="1">
      <x v="9"/>
      <x v="158"/>
    </i>
    <i>
      <x v="40"/>
      <x v="6"/>
      <x v="137"/>
    </i>
    <i r="1">
      <x v="9"/>
      <x v="157"/>
    </i>
    <i r="1">
      <x v="12"/>
      <x v="182"/>
    </i>
    <i>
      <x v="41"/>
      <x v="6"/>
      <x v="136"/>
    </i>
    <i r="1">
      <x v="9"/>
      <x v="156"/>
    </i>
    <i r="1">
      <x v="12"/>
      <x v="181"/>
    </i>
    <i>
      <x v="42"/>
      <x v="6"/>
      <x v="135"/>
    </i>
    <i r="1">
      <x v="9"/>
      <x v="155"/>
    </i>
    <i r="1">
      <x v="12"/>
      <x v="180"/>
    </i>
    <i>
      <x v="43"/>
      <x v="6"/>
      <x v="134"/>
    </i>
    <i r="1">
      <x v="9"/>
      <x v="154"/>
    </i>
    <i r="1">
      <x v="12"/>
      <x v="179"/>
    </i>
    <i>
      <x v="44"/>
      <x v="6"/>
      <x v="133"/>
    </i>
    <i r="1">
      <x v="9"/>
      <x v="153"/>
    </i>
    <i r="1">
      <x v="12"/>
      <x v="178"/>
    </i>
    <i>
      <x v="45"/>
      <x v="6"/>
      <x v="132"/>
    </i>
    <i r="1">
      <x v="9"/>
      <x v="152"/>
    </i>
    <i r="1">
      <x v="12"/>
      <x v="177"/>
    </i>
    <i>
      <x v="46"/>
      <x v="6"/>
      <x v="131"/>
    </i>
    <i r="1">
      <x v="9"/>
      <x v="151"/>
    </i>
    <i r="1">
      <x v="12"/>
      <x v="176"/>
    </i>
    <i>
      <x v="47"/>
      <x v="6"/>
      <x v="130"/>
    </i>
    <i r="1">
      <x v="9"/>
      <x v="150"/>
    </i>
    <i r="1">
      <x v="12"/>
      <x v="175"/>
    </i>
    <i>
      <x v="48"/>
      <x v="6"/>
      <x v="129"/>
    </i>
    <i r="1">
      <x v="9"/>
      <x v="149"/>
    </i>
    <i r="1">
      <x v="12"/>
      <x v="174"/>
    </i>
    <i>
      <x v="49"/>
      <x v="6"/>
      <x v="128"/>
    </i>
    <i r="1">
      <x v="9"/>
      <x v="148"/>
    </i>
    <i r="1">
      <x v="12"/>
      <x v="173"/>
    </i>
    <i>
      <x v="50"/>
      <x v="6"/>
      <x v="127"/>
    </i>
    <i r="1">
      <x v="9"/>
      <x v="147"/>
    </i>
    <i r="1">
      <x v="12"/>
      <x v="172"/>
    </i>
    <i>
      <x v="51"/>
      <x v="6"/>
      <x v="126"/>
    </i>
    <i r="1">
      <x v="9"/>
      <x v="146"/>
    </i>
    <i r="1">
      <x v="12"/>
      <x v="171"/>
    </i>
    <i>
      <x v="52"/>
      <x v="6"/>
      <x v="125"/>
    </i>
    <i r="1">
      <x v="9"/>
      <x v="145"/>
    </i>
    <i r="1">
      <x v="12"/>
      <x v="170"/>
    </i>
    <i>
      <x v="53"/>
      <x v="6"/>
      <x v="124"/>
    </i>
    <i r="1">
      <x v="9"/>
      <x v="144"/>
    </i>
    <i r="1">
      <x v="12"/>
      <x v="169"/>
    </i>
    <i>
      <x v="54"/>
      <x v="6"/>
      <x v="123"/>
    </i>
    <i r="1">
      <x v="9"/>
      <x v="143"/>
    </i>
    <i r="1">
      <x v="12"/>
      <x v="168"/>
    </i>
    <i>
      <x v="55"/>
      <x v="6"/>
      <x v="122"/>
    </i>
    <i r="1">
      <x v="9"/>
      <x v="142"/>
    </i>
    <i r="1">
      <x v="12"/>
      <x v="167"/>
    </i>
    <i r="1">
      <x v="15"/>
      <x v="186"/>
    </i>
    <i>
      <x v="56"/>
      <x v="6"/>
      <x v="121"/>
    </i>
    <i r="1">
      <x v="9"/>
      <x v="141"/>
    </i>
    <i r="1">
      <x v="12"/>
      <x v="166"/>
    </i>
    <i r="1">
      <x v="15"/>
      <x v="185"/>
    </i>
    <i>
      <x v="57"/>
      <x v="6"/>
      <x v="120"/>
    </i>
    <i r="1">
      <x v="9"/>
      <x v="140"/>
    </i>
    <i r="1">
      <x v="12"/>
      <x v="165"/>
    </i>
    <i r="1">
      <x v="15"/>
      <x v="184"/>
    </i>
    <i>
      <x v="58"/>
      <x v="6"/>
      <x v="119"/>
    </i>
    <i r="1">
      <x v="9"/>
      <x v="139"/>
    </i>
    <i r="1">
      <x v="12"/>
      <x v="164"/>
    </i>
    <i r="1">
      <x v="15"/>
      <x v="183"/>
    </i>
    <i>
      <x v="59"/>
      <x v="6"/>
      <x v="118"/>
    </i>
    <i r="1">
      <x v="9"/>
      <x v="138"/>
    </i>
    <i r="1">
      <x v="12"/>
      <x v="163"/>
    </i>
    <i r="1">
      <x v="15"/>
      <x v="182"/>
    </i>
    <i>
      <x v="60"/>
      <x v="6"/>
      <x v="117"/>
    </i>
    <i r="1">
      <x v="9"/>
      <x v="137"/>
    </i>
    <i r="1">
      <x v="12"/>
      <x v="162"/>
    </i>
    <i r="1">
      <x v="15"/>
      <x v="181"/>
    </i>
    <i>
      <x v="61"/>
      <x v="6"/>
      <x v="116"/>
    </i>
    <i r="1">
      <x v="9"/>
      <x v="136"/>
    </i>
    <i r="1">
      <x v="12"/>
      <x v="161"/>
    </i>
    <i r="1">
      <x v="15"/>
      <x v="180"/>
    </i>
    <i>
      <x v="62"/>
      <x v="6"/>
      <x v="115"/>
    </i>
    <i r="1">
      <x v="9"/>
      <x v="135"/>
    </i>
    <i r="1">
      <x v="12"/>
      <x v="160"/>
    </i>
    <i r="1">
      <x v="15"/>
      <x v="179"/>
    </i>
    <i>
      <x v="63"/>
      <x v="6"/>
      <x v="114"/>
    </i>
    <i r="1">
      <x v="9"/>
      <x v="134"/>
    </i>
    <i r="1">
      <x v="12"/>
      <x v="159"/>
    </i>
    <i r="1">
      <x v="15"/>
      <x v="178"/>
    </i>
    <i>
      <x v="64"/>
      <x v="6"/>
      <x v="113"/>
    </i>
    <i r="1">
      <x v="9"/>
      <x v="133"/>
    </i>
    <i r="1">
      <x v="12"/>
      <x v="158"/>
    </i>
    <i r="1">
      <x v="15"/>
      <x v="177"/>
    </i>
    <i>
      <x v="65"/>
      <x v="6"/>
      <x v="112"/>
    </i>
    <i r="1">
      <x v="9"/>
      <x v="132"/>
    </i>
    <i r="1">
      <x v="12"/>
      <x v="157"/>
    </i>
    <i r="1">
      <x v="15"/>
      <x v="176"/>
    </i>
    <i>
      <x v="66"/>
      <x v="6"/>
      <x v="111"/>
    </i>
    <i r="1">
      <x v="9"/>
      <x v="131"/>
    </i>
    <i r="1">
      <x v="12"/>
      <x v="156"/>
    </i>
    <i r="1">
      <x v="15"/>
      <x v="175"/>
    </i>
    <i>
      <x v="67"/>
      <x v="6"/>
      <x v="110"/>
    </i>
    <i r="1">
      <x v="9"/>
      <x v="130"/>
    </i>
    <i r="1">
      <x v="12"/>
      <x v="155"/>
    </i>
    <i r="1">
      <x v="15"/>
      <x v="174"/>
    </i>
    <i>
      <x v="68"/>
      <x v="6"/>
      <x v="109"/>
    </i>
    <i r="1">
      <x v="9"/>
      <x v="129"/>
    </i>
    <i r="1">
      <x v="12"/>
      <x v="154"/>
    </i>
    <i r="1">
      <x v="15"/>
      <x v="173"/>
    </i>
    <i>
      <x v="69"/>
      <x v="6"/>
      <x v="108"/>
    </i>
    <i r="1">
      <x v="9"/>
      <x v="128"/>
    </i>
    <i r="1">
      <x v="12"/>
      <x v="153"/>
    </i>
    <i r="1">
      <x v="15"/>
      <x v="172"/>
    </i>
    <i>
      <x v="70"/>
      <x v="6"/>
      <x v="107"/>
    </i>
    <i r="1">
      <x v="9"/>
      <x v="127"/>
    </i>
    <i r="1">
      <x v="12"/>
      <x v="152"/>
    </i>
    <i r="1">
      <x v="15"/>
      <x v="171"/>
    </i>
    <i>
      <x v="71"/>
      <x v="6"/>
      <x v="106"/>
    </i>
    <i r="1">
      <x v="9"/>
      <x v="126"/>
    </i>
    <i r="1">
      <x v="12"/>
      <x v="151"/>
    </i>
    <i r="1">
      <x v="15"/>
      <x v="170"/>
    </i>
    <i>
      <x v="72"/>
      <x v="6"/>
      <x v="105"/>
    </i>
    <i r="1">
      <x v="9"/>
      <x v="125"/>
    </i>
    <i r="1">
      <x v="12"/>
      <x v="150"/>
    </i>
    <i r="1">
      <x v="15"/>
      <x v="169"/>
    </i>
    <i>
      <x v="73"/>
      <x v="6"/>
      <x v="104"/>
    </i>
    <i r="1">
      <x v="9"/>
      <x v="124"/>
    </i>
    <i r="1">
      <x v="12"/>
      <x v="149"/>
    </i>
    <i r="1">
      <x v="15"/>
      <x v="168"/>
    </i>
    <i>
      <x v="74"/>
      <x v="6"/>
      <x v="103"/>
    </i>
    <i r="1">
      <x v="9"/>
      <x v="123"/>
    </i>
    <i r="1">
      <x v="12"/>
      <x v="148"/>
    </i>
    <i r="1">
      <x v="15"/>
      <x v="167"/>
    </i>
    <i>
      <x v="75"/>
      <x v="6"/>
      <x v="102"/>
    </i>
    <i r="1">
      <x v="9"/>
      <x v="122"/>
    </i>
    <i r="1">
      <x v="12"/>
      <x v="147"/>
    </i>
    <i r="1">
      <x v="15"/>
      <x v="166"/>
    </i>
    <i>
      <x v="76"/>
      <x v="6"/>
      <x v="101"/>
    </i>
    <i r="1">
      <x v="9"/>
      <x v="121"/>
    </i>
    <i r="1">
      <x v="12"/>
      <x v="146"/>
    </i>
    <i r="1">
      <x v="15"/>
      <x v="165"/>
    </i>
    <i>
      <x v="77"/>
      <x v="6"/>
      <x v="100"/>
    </i>
    <i r="1">
      <x v="9"/>
      <x v="120"/>
    </i>
    <i r="1">
      <x v="12"/>
      <x v="145"/>
    </i>
    <i r="1">
      <x v="15"/>
      <x v="164"/>
    </i>
    <i>
      <x v="78"/>
      <x v="6"/>
      <x v="99"/>
    </i>
    <i r="1">
      <x v="9"/>
      <x v="119"/>
    </i>
    <i r="1">
      <x v="12"/>
      <x v="144"/>
    </i>
    <i r="1">
      <x v="15"/>
      <x v="163"/>
    </i>
    <i r="1">
      <x v="18"/>
      <x v="188"/>
    </i>
    <i>
      <x v="79"/>
      <x v="6"/>
      <x v="98"/>
    </i>
    <i r="1">
      <x v="9"/>
      <x v="118"/>
    </i>
    <i r="1">
      <x v="12"/>
      <x v="143"/>
    </i>
    <i r="1">
      <x v="15"/>
      <x v="162"/>
    </i>
    <i>
      <x v="80"/>
      <x v="6"/>
      <x v="97"/>
    </i>
    <i r="1">
      <x v="9"/>
      <x v="117"/>
    </i>
    <i r="1">
      <x v="12"/>
      <x v="142"/>
    </i>
    <i r="1">
      <x v="15"/>
      <x v="161"/>
    </i>
    <i r="1">
      <x v="18"/>
      <x v="186"/>
    </i>
    <i>
      <x v="81"/>
      <x v="6"/>
      <x v="96"/>
    </i>
    <i r="1">
      <x v="9"/>
      <x v="116"/>
    </i>
    <i r="1">
      <x v="12"/>
      <x v="141"/>
    </i>
    <i r="1">
      <x v="15"/>
      <x v="160"/>
    </i>
    <i r="1">
      <x v="18"/>
      <x v="185"/>
    </i>
    <i>
      <x v="82"/>
      <x v="6"/>
      <x v="95"/>
    </i>
    <i r="1">
      <x v="9"/>
      <x v="115"/>
    </i>
    <i r="1">
      <x v="12"/>
      <x v="140"/>
    </i>
    <i r="1">
      <x v="15"/>
      <x v="159"/>
    </i>
    <i r="1">
      <x v="18"/>
      <x v="184"/>
    </i>
    <i>
      <x v="83"/>
      <x v="6"/>
      <x v="94"/>
    </i>
    <i r="1">
      <x v="9"/>
      <x v="114"/>
    </i>
    <i r="1">
      <x v="12"/>
      <x v="139"/>
    </i>
    <i r="1">
      <x v="15"/>
      <x v="158"/>
    </i>
    <i r="1">
      <x v="18"/>
      <x v="183"/>
    </i>
    <i>
      <x v="84"/>
      <x v="6"/>
      <x v="93"/>
    </i>
    <i r="1">
      <x v="9"/>
      <x v="113"/>
    </i>
    <i r="1">
      <x v="12"/>
      <x v="138"/>
    </i>
    <i r="1">
      <x v="15"/>
      <x v="157"/>
    </i>
    <i r="1">
      <x v="18"/>
      <x v="182"/>
    </i>
    <i>
      <x v="85"/>
      <x v="6"/>
      <x v="92"/>
    </i>
    <i r="1">
      <x v="9"/>
      <x v="112"/>
    </i>
    <i r="1">
      <x v="12"/>
      <x v="137"/>
    </i>
    <i r="1">
      <x v="15"/>
      <x v="156"/>
    </i>
    <i r="1">
      <x v="18"/>
      <x v="181"/>
    </i>
    <i>
      <x v="86"/>
      <x v="6"/>
      <x v="91"/>
    </i>
    <i r="1">
      <x v="9"/>
      <x v="111"/>
    </i>
    <i r="1">
      <x v="12"/>
      <x v="136"/>
    </i>
    <i r="1">
      <x v="15"/>
      <x v="155"/>
    </i>
    <i r="1">
      <x v="18"/>
      <x v="180"/>
    </i>
    <i>
      <x v="87"/>
      <x v="6"/>
      <x v="90"/>
    </i>
    <i r="1">
      <x v="9"/>
      <x v="110"/>
    </i>
    <i r="1">
      <x v="12"/>
      <x v="135"/>
    </i>
    <i r="1">
      <x v="15"/>
      <x v="154"/>
    </i>
    <i r="1">
      <x v="18"/>
      <x v="179"/>
    </i>
    <i>
      <x v="88"/>
      <x v="6"/>
      <x v="89"/>
    </i>
    <i r="1">
      <x v="9"/>
      <x v="109"/>
    </i>
    <i r="1">
      <x v="12"/>
      <x v="134"/>
    </i>
    <i r="1">
      <x v="15"/>
      <x v="153"/>
    </i>
    <i>
      <x v="89"/>
      <x v="6"/>
      <x v="88"/>
    </i>
    <i r="1">
      <x v="9"/>
      <x v="108"/>
    </i>
    <i r="1">
      <x v="12"/>
      <x v="133"/>
    </i>
    <i r="1">
      <x v="15"/>
      <x v="152"/>
    </i>
    <i r="1">
      <x v="18"/>
      <x v="177"/>
    </i>
    <i>
      <x v="90"/>
      <x v="6"/>
      <x v="87"/>
    </i>
    <i r="1">
      <x v="9"/>
      <x v="107"/>
    </i>
    <i r="1">
      <x v="12"/>
      <x v="132"/>
    </i>
    <i r="1">
      <x v="15"/>
      <x v="151"/>
    </i>
    <i r="1">
      <x v="18"/>
      <x v="176"/>
    </i>
    <i>
      <x v="91"/>
      <x v="6"/>
      <x v="86"/>
    </i>
    <i r="1">
      <x v="9"/>
      <x v="106"/>
    </i>
    <i r="1">
      <x v="12"/>
      <x v="131"/>
    </i>
    <i r="1">
      <x v="15"/>
      <x v="150"/>
    </i>
    <i r="1">
      <x v="18"/>
      <x v="175"/>
    </i>
    <i>
      <x v="92"/>
      <x v="6"/>
      <x v="85"/>
    </i>
    <i r="1">
      <x v="9"/>
      <x v="105"/>
    </i>
    <i r="1">
      <x v="12"/>
      <x v="130"/>
    </i>
    <i r="1">
      <x v="15"/>
      <x v="149"/>
    </i>
    <i r="1">
      <x v="18"/>
      <x v="174"/>
    </i>
    <i>
      <x v="93"/>
      <x v="6"/>
      <x v="84"/>
    </i>
    <i r="1">
      <x v="9"/>
      <x v="104"/>
    </i>
    <i r="1">
      <x v="12"/>
      <x v="129"/>
    </i>
    <i r="1">
      <x v="15"/>
      <x v="148"/>
    </i>
    <i r="1">
      <x v="18"/>
      <x v="173"/>
    </i>
    <i>
      <x v="94"/>
      <x v="6"/>
      <x v="83"/>
    </i>
    <i r="1">
      <x v="9"/>
      <x v="103"/>
    </i>
    <i r="1">
      <x v="12"/>
      <x v="128"/>
    </i>
    <i r="1">
      <x v="15"/>
      <x v="147"/>
    </i>
    <i r="1">
      <x v="18"/>
      <x v="172"/>
    </i>
    <i>
      <x v="95"/>
      <x v="6"/>
      <x v="82"/>
    </i>
    <i r="1">
      <x v="9"/>
      <x v="102"/>
    </i>
    <i r="1">
      <x v="12"/>
      <x v="127"/>
    </i>
    <i r="1">
      <x v="15"/>
      <x v="146"/>
    </i>
    <i r="1">
      <x v="18"/>
      <x v="171"/>
    </i>
    <i>
      <x v="96"/>
      <x v="6"/>
      <x v="81"/>
    </i>
    <i r="1">
      <x v="9"/>
      <x v="101"/>
    </i>
    <i r="1">
      <x v="12"/>
      <x v="126"/>
    </i>
    <i r="1">
      <x v="15"/>
      <x v="145"/>
    </i>
    <i r="1">
      <x v="18"/>
      <x v="170"/>
    </i>
    <i>
      <x v="97"/>
      <x v="6"/>
      <x v="80"/>
    </i>
    <i r="1">
      <x v="9"/>
      <x v="100"/>
    </i>
    <i r="1">
      <x v="12"/>
      <x v="125"/>
    </i>
    <i r="1">
      <x v="15"/>
      <x v="144"/>
    </i>
    <i r="1">
      <x v="18"/>
      <x v="169"/>
    </i>
    <i>
      <x v="98"/>
      <x v="6"/>
      <x v="79"/>
    </i>
    <i r="1">
      <x v="9"/>
      <x v="99"/>
    </i>
    <i r="1">
      <x v="12"/>
      <x v="124"/>
    </i>
    <i r="1">
      <x v="15"/>
      <x v="143"/>
    </i>
    <i r="1">
      <x v="18"/>
      <x v="168"/>
    </i>
    <i>
      <x v="99"/>
      <x v="6"/>
      <x v="78"/>
    </i>
    <i r="1">
      <x v="9"/>
      <x v="98"/>
    </i>
    <i r="1">
      <x v="12"/>
      <x v="123"/>
    </i>
    <i r="1">
      <x v="15"/>
      <x v="142"/>
    </i>
    <i r="1">
      <x v="18"/>
      <x v="167"/>
    </i>
    <i r="1">
      <x v="21"/>
      <x v="187"/>
    </i>
    <i>
      <x v="100"/>
      <x v="6"/>
      <x v="77"/>
    </i>
    <i r="1">
      <x v="9"/>
      <x v="97"/>
    </i>
    <i r="1">
      <x v="12"/>
      <x v="122"/>
    </i>
    <i r="1">
      <x v="15"/>
      <x v="141"/>
    </i>
    <i r="1">
      <x v="18"/>
      <x v="166"/>
    </i>
    <i r="1">
      <x v="21"/>
      <x v="186"/>
    </i>
    <i>
      <x v="101"/>
      <x v="6"/>
      <x v="76"/>
    </i>
    <i r="1">
      <x v="9"/>
      <x v="96"/>
    </i>
    <i r="1">
      <x v="12"/>
      <x v="121"/>
    </i>
    <i r="1">
      <x v="15"/>
      <x v="140"/>
    </i>
    <i r="1">
      <x v="18"/>
      <x v="165"/>
    </i>
    <i r="1">
      <x v="21"/>
      <x v="185"/>
    </i>
    <i>
      <x v="102"/>
      <x v="6"/>
      <x v="75"/>
    </i>
    <i r="1">
      <x v="9"/>
      <x v="95"/>
    </i>
    <i r="1">
      <x v="12"/>
      <x v="120"/>
    </i>
    <i r="1">
      <x v="15"/>
      <x v="139"/>
    </i>
    <i r="1">
      <x v="18"/>
      <x v="164"/>
    </i>
    <i r="1">
      <x v="21"/>
      <x v="184"/>
    </i>
    <i>
      <x v="103"/>
      <x v="6"/>
      <x v="74"/>
    </i>
    <i r="1">
      <x v="9"/>
      <x v="94"/>
    </i>
    <i r="1">
      <x v="12"/>
      <x v="119"/>
    </i>
    <i r="1">
      <x v="15"/>
      <x v="138"/>
    </i>
    <i r="1">
      <x v="18"/>
      <x v="163"/>
    </i>
    <i r="1">
      <x v="21"/>
      <x v="183"/>
    </i>
    <i>
      <x v="104"/>
      <x v="6"/>
      <x v="73"/>
    </i>
    <i r="1">
      <x v="9"/>
      <x v="93"/>
    </i>
    <i r="1">
      <x v="12"/>
      <x v="118"/>
    </i>
    <i r="1">
      <x v="15"/>
      <x v="137"/>
    </i>
    <i r="1">
      <x v="18"/>
      <x v="162"/>
    </i>
    <i r="1">
      <x v="21"/>
      <x v="182"/>
    </i>
    <i>
      <x v="105"/>
      <x v="6"/>
      <x v="72"/>
    </i>
    <i r="1">
      <x v="9"/>
      <x v="92"/>
    </i>
    <i r="1">
      <x v="12"/>
      <x v="117"/>
    </i>
    <i r="1">
      <x v="15"/>
      <x v="136"/>
    </i>
    <i r="1">
      <x v="18"/>
      <x v="161"/>
    </i>
    <i r="1">
      <x v="21"/>
      <x v="181"/>
    </i>
    <i>
      <x v="106"/>
      <x v="6"/>
      <x v="71"/>
    </i>
    <i r="1">
      <x v="9"/>
      <x v="91"/>
    </i>
    <i r="1">
      <x v="12"/>
      <x v="116"/>
    </i>
    <i r="1">
      <x v="15"/>
      <x v="135"/>
    </i>
    <i r="1">
      <x v="18"/>
      <x v="160"/>
    </i>
    <i r="1">
      <x v="21"/>
      <x v="180"/>
    </i>
    <i>
      <x v="107"/>
      <x v="6"/>
      <x v="70"/>
    </i>
    <i r="1">
      <x v="9"/>
      <x v="90"/>
    </i>
    <i r="1">
      <x v="12"/>
      <x v="115"/>
    </i>
    <i r="1">
      <x v="15"/>
      <x v="134"/>
    </i>
    <i r="1">
      <x v="18"/>
      <x v="159"/>
    </i>
    <i r="1">
      <x v="21"/>
      <x v="179"/>
    </i>
    <i>
      <x v="108"/>
      <x v="6"/>
      <x v="69"/>
    </i>
    <i r="1">
      <x v="9"/>
      <x v="89"/>
    </i>
    <i r="1">
      <x v="12"/>
      <x v="114"/>
    </i>
    <i r="1">
      <x v="15"/>
      <x v="133"/>
    </i>
    <i r="1">
      <x v="18"/>
      <x v="158"/>
    </i>
    <i r="1">
      <x v="21"/>
      <x v="178"/>
    </i>
    <i r="1">
      <x v="27"/>
      <x v="222"/>
    </i>
    <i r="1">
      <x v="30"/>
      <x v="240"/>
    </i>
    <i>
      <x v="109"/>
      <x v="6"/>
      <x v="68"/>
    </i>
    <i r="1">
      <x v="9"/>
      <x v="88"/>
    </i>
    <i r="1">
      <x v="12"/>
      <x v="113"/>
    </i>
    <i r="1">
      <x v="15"/>
      <x v="132"/>
    </i>
    <i r="1">
      <x v="18"/>
      <x v="157"/>
    </i>
    <i r="1">
      <x v="21"/>
      <x v="177"/>
    </i>
    <i r="1">
      <x v="27"/>
      <x v="221"/>
    </i>
    <i r="1">
      <x v="30"/>
      <x v="239"/>
    </i>
    <i>
      <x v="110"/>
      <x v="6"/>
      <x v="67"/>
    </i>
    <i r="1">
      <x v="9"/>
      <x v="87"/>
    </i>
    <i r="1">
      <x v="12"/>
      <x v="112"/>
    </i>
    <i r="1">
      <x v="15"/>
      <x v="131"/>
    </i>
    <i r="1">
      <x v="18"/>
      <x v="156"/>
    </i>
    <i r="1">
      <x v="21"/>
      <x v="176"/>
    </i>
    <i>
      <x v="111"/>
      <x v="6"/>
      <x v="66"/>
    </i>
    <i r="1">
      <x v="9"/>
      <x v="86"/>
    </i>
    <i r="1">
      <x v="12"/>
      <x v="111"/>
    </i>
    <i r="1">
      <x v="15"/>
      <x v="130"/>
    </i>
    <i r="1">
      <x v="18"/>
      <x v="155"/>
    </i>
    <i r="1">
      <x v="21"/>
      <x v="175"/>
    </i>
    <i r="1">
      <x v="24"/>
      <x v="194"/>
    </i>
    <i r="1">
      <x v="27"/>
      <x v="219"/>
    </i>
    <i r="1">
      <x v="30"/>
      <x v="238"/>
    </i>
    <i>
      <x v="112"/>
      <x v="6"/>
      <x v="65"/>
    </i>
    <i r="1">
      <x v="9"/>
      <x v="85"/>
    </i>
    <i r="1">
      <x v="12"/>
      <x v="110"/>
    </i>
    <i r="1">
      <x v="15"/>
      <x v="129"/>
    </i>
    <i r="1">
      <x v="18"/>
      <x v="154"/>
    </i>
    <i r="1">
      <x v="21"/>
      <x v="174"/>
    </i>
    <i r="1">
      <x v="24"/>
      <x v="193"/>
    </i>
    <i r="1">
      <x v="27"/>
      <x v="218"/>
    </i>
    <i r="1">
      <x v="30"/>
      <x v="237"/>
    </i>
    <i>
      <x v="113"/>
      <x v="6"/>
      <x v="64"/>
    </i>
    <i r="1">
      <x v="9"/>
      <x v="84"/>
    </i>
    <i r="1">
      <x v="12"/>
      <x v="109"/>
    </i>
    <i r="1">
      <x v="15"/>
      <x v="128"/>
    </i>
    <i r="1">
      <x v="18"/>
      <x v="153"/>
    </i>
    <i r="1">
      <x v="21"/>
      <x v="173"/>
    </i>
    <i r="1">
      <x v="27"/>
      <x v="217"/>
    </i>
    <i>
      <x v="114"/>
      <x v="6"/>
      <x v="63"/>
    </i>
    <i r="1">
      <x v="9"/>
      <x v="83"/>
    </i>
    <i r="1">
      <x v="12"/>
      <x v="108"/>
    </i>
    <i r="1">
      <x v="15"/>
      <x v="127"/>
    </i>
    <i r="1">
      <x v="18"/>
      <x v="152"/>
    </i>
    <i r="1">
      <x v="21"/>
      <x v="172"/>
    </i>
    <i r="1">
      <x v="24"/>
      <x v="191"/>
    </i>
    <i r="1">
      <x v="27"/>
      <x v="216"/>
    </i>
    <i r="1">
      <x v="30"/>
      <x v="236"/>
    </i>
    <i>
      <x v="115"/>
      <x v="6"/>
      <x v="62"/>
    </i>
    <i r="1">
      <x v="9"/>
      <x v="82"/>
    </i>
    <i r="1">
      <x v="12"/>
      <x v="107"/>
    </i>
    <i r="1">
      <x v="15"/>
      <x v="126"/>
    </i>
    <i r="1">
      <x v="18"/>
      <x v="151"/>
    </i>
    <i r="1">
      <x v="21"/>
      <x v="171"/>
    </i>
    <i r="1">
      <x v="24"/>
      <x v="190"/>
    </i>
    <i r="1">
      <x v="27"/>
      <x v="215"/>
    </i>
    <i r="1">
      <x v="30"/>
      <x v="235"/>
    </i>
    <i>
      <x v="116"/>
      <x v="6"/>
      <x v="61"/>
    </i>
    <i r="1">
      <x v="9"/>
      <x v="81"/>
    </i>
    <i r="1">
      <x v="12"/>
      <x v="106"/>
    </i>
    <i r="1">
      <x v="15"/>
      <x v="125"/>
    </i>
    <i r="1">
      <x v="18"/>
      <x v="150"/>
    </i>
    <i r="1">
      <x v="21"/>
      <x v="170"/>
    </i>
    <i r="1">
      <x v="24"/>
      <x v="189"/>
    </i>
    <i r="1">
      <x v="27"/>
      <x v="214"/>
    </i>
    <i r="1">
      <x v="30"/>
      <x v="234"/>
    </i>
    <i>
      <x v="117"/>
      <x v="6"/>
      <x v="60"/>
    </i>
    <i r="1">
      <x v="9"/>
      <x v="80"/>
    </i>
    <i r="1">
      <x v="12"/>
      <x v="105"/>
    </i>
    <i r="1">
      <x v="15"/>
      <x v="124"/>
    </i>
    <i r="1">
      <x v="18"/>
      <x v="149"/>
    </i>
    <i r="1">
      <x v="21"/>
      <x v="169"/>
    </i>
    <i r="1">
      <x v="24"/>
      <x v="188"/>
    </i>
    <i r="1">
      <x v="27"/>
      <x v="213"/>
    </i>
    <i r="1">
      <x v="30"/>
      <x v="233"/>
    </i>
    <i>
      <x v="118"/>
      <x v="6"/>
      <x v="59"/>
    </i>
    <i r="1">
      <x v="9"/>
      <x v="79"/>
    </i>
    <i r="1">
      <x v="12"/>
      <x v="104"/>
    </i>
    <i r="1">
      <x v="15"/>
      <x v="123"/>
    </i>
    <i r="1">
      <x v="18"/>
      <x v="148"/>
    </i>
    <i r="1">
      <x v="21"/>
      <x v="168"/>
    </i>
    <i r="1">
      <x v="24"/>
      <x v="187"/>
    </i>
    <i r="1">
      <x v="27"/>
      <x v="212"/>
    </i>
    <i r="1">
      <x v="30"/>
      <x v="232"/>
    </i>
    <i>
      <x v="119"/>
      <x v="6"/>
      <x v="58"/>
    </i>
    <i r="1">
      <x v="9"/>
      <x v="78"/>
    </i>
    <i r="1">
      <x v="12"/>
      <x v="103"/>
    </i>
    <i r="1">
      <x v="15"/>
      <x v="122"/>
    </i>
    <i r="1">
      <x v="18"/>
      <x v="147"/>
    </i>
    <i r="1">
      <x v="21"/>
      <x v="167"/>
    </i>
    <i r="1">
      <x v="24"/>
      <x v="186"/>
    </i>
    <i r="1">
      <x v="27"/>
      <x v="211"/>
    </i>
    <i r="1">
      <x v="30"/>
      <x v="231"/>
    </i>
    <i>
      <x v="120"/>
      <x v="6"/>
      <x v="57"/>
    </i>
    <i r="1">
      <x v="9"/>
      <x v="77"/>
    </i>
    <i r="1">
      <x v="12"/>
      <x v="102"/>
    </i>
    <i r="1">
      <x v="15"/>
      <x v="121"/>
    </i>
    <i r="1">
      <x v="18"/>
      <x v="146"/>
    </i>
    <i r="1">
      <x v="21"/>
      <x v="166"/>
    </i>
    <i r="1">
      <x v="24"/>
      <x v="185"/>
    </i>
    <i r="1">
      <x v="27"/>
      <x v="210"/>
    </i>
    <i r="1">
      <x v="30"/>
      <x v="230"/>
    </i>
    <i>
      <x v="121"/>
      <x v="6"/>
      <x v="56"/>
    </i>
    <i r="1">
      <x v="9"/>
      <x v="76"/>
    </i>
    <i r="1">
      <x v="12"/>
      <x v="101"/>
    </i>
    <i r="1">
      <x v="15"/>
      <x v="120"/>
    </i>
    <i r="1">
      <x v="18"/>
      <x v="145"/>
    </i>
    <i r="1">
      <x v="21"/>
      <x v="165"/>
    </i>
    <i r="1">
      <x v="24"/>
      <x v="184"/>
    </i>
    <i r="1">
      <x v="27"/>
      <x v="209"/>
    </i>
    <i r="1">
      <x v="30"/>
      <x v="229"/>
    </i>
    <i>
      <x v="122"/>
      <x v="6"/>
      <x v="55"/>
    </i>
    <i r="1">
      <x v="9"/>
      <x v="75"/>
    </i>
    <i r="1">
      <x v="12"/>
      <x v="100"/>
    </i>
    <i r="1">
      <x v="15"/>
      <x v="119"/>
    </i>
    <i r="1">
      <x v="18"/>
      <x v="144"/>
    </i>
    <i r="1">
      <x v="21"/>
      <x v="164"/>
    </i>
    <i r="1">
      <x v="24"/>
      <x v="183"/>
    </i>
    <i r="1">
      <x v="27"/>
      <x v="208"/>
    </i>
    <i r="1">
      <x v="30"/>
      <x v="228"/>
    </i>
    <i>
      <x v="123"/>
      <x v="6"/>
      <x v="54"/>
    </i>
    <i r="1">
      <x v="9"/>
      <x v="74"/>
    </i>
    <i r="1">
      <x v="12"/>
      <x v="99"/>
    </i>
    <i r="1">
      <x v="15"/>
      <x v="118"/>
    </i>
    <i r="1">
      <x v="18"/>
      <x v="143"/>
    </i>
    <i r="1">
      <x v="21"/>
      <x v="163"/>
    </i>
    <i r="1">
      <x v="24"/>
      <x v="182"/>
    </i>
    <i r="1">
      <x v="27"/>
      <x v="207"/>
    </i>
    <i r="1">
      <x v="30"/>
      <x v="227"/>
    </i>
    <i>
      <x v="124"/>
      <x v="6"/>
      <x v="53"/>
    </i>
    <i r="1">
      <x v="9"/>
      <x v="73"/>
    </i>
    <i r="1">
      <x v="12"/>
      <x v="98"/>
    </i>
    <i r="1">
      <x v="15"/>
      <x v="117"/>
    </i>
    <i r="1">
      <x v="18"/>
      <x v="142"/>
    </i>
    <i r="1">
      <x v="21"/>
      <x v="162"/>
    </i>
    <i r="1">
      <x v="24"/>
      <x v="181"/>
    </i>
    <i r="1">
      <x v="27"/>
      <x v="206"/>
    </i>
    <i r="1">
      <x v="30"/>
      <x v="226"/>
    </i>
    <i>
      <x v="125"/>
      <x v="6"/>
      <x v="52"/>
    </i>
    <i r="1">
      <x v="9"/>
      <x v="72"/>
    </i>
    <i r="1">
      <x v="12"/>
      <x v="97"/>
    </i>
    <i r="1">
      <x v="15"/>
      <x v="116"/>
    </i>
    <i r="1">
      <x v="18"/>
      <x v="141"/>
    </i>
    <i r="1">
      <x v="21"/>
      <x v="161"/>
    </i>
    <i r="1">
      <x v="24"/>
      <x v="180"/>
    </i>
    <i r="1">
      <x v="27"/>
      <x v="205"/>
    </i>
    <i r="1">
      <x v="30"/>
      <x v="225"/>
    </i>
    <i>
      <x v="126"/>
      <x v="6"/>
      <x v="51"/>
    </i>
    <i r="1">
      <x v="9"/>
      <x v="71"/>
    </i>
    <i r="1">
      <x v="12"/>
      <x v="96"/>
    </i>
    <i r="1">
      <x v="15"/>
      <x v="115"/>
    </i>
    <i r="1">
      <x v="18"/>
      <x v="140"/>
    </i>
    <i r="1">
      <x v="21"/>
      <x v="160"/>
    </i>
    <i r="1">
      <x v="24"/>
      <x v="179"/>
    </i>
    <i r="1">
      <x v="27"/>
      <x v="204"/>
    </i>
    <i r="1">
      <x v="30"/>
      <x v="224"/>
    </i>
    <i>
      <x v="127"/>
      <x v="6"/>
      <x v="50"/>
    </i>
    <i r="1">
      <x v="9"/>
      <x v="70"/>
    </i>
    <i r="1">
      <x v="12"/>
      <x v="95"/>
    </i>
    <i r="1">
      <x v="15"/>
      <x v="114"/>
    </i>
    <i r="1">
      <x v="18"/>
      <x v="139"/>
    </i>
    <i r="1">
      <x v="21"/>
      <x v="159"/>
    </i>
    <i r="1">
      <x v="24"/>
      <x v="178"/>
    </i>
    <i r="1">
      <x v="27"/>
      <x v="203"/>
    </i>
    <i r="1">
      <x v="30"/>
      <x v="223"/>
    </i>
    <i>
      <x v="128"/>
      <x v="6"/>
      <x v="49"/>
    </i>
    <i r="1">
      <x v="9"/>
      <x v="69"/>
    </i>
    <i r="1">
      <x v="12"/>
      <x v="94"/>
    </i>
    <i r="1">
      <x v="15"/>
      <x v="113"/>
    </i>
    <i r="1">
      <x v="18"/>
      <x v="138"/>
    </i>
    <i r="1">
      <x v="21"/>
      <x v="158"/>
    </i>
    <i r="1">
      <x v="24"/>
      <x v="177"/>
    </i>
    <i r="1">
      <x v="27"/>
      <x v="202"/>
    </i>
    <i r="1">
      <x v="30"/>
      <x v="222"/>
    </i>
    <i>
      <x v="129"/>
      <x v="6"/>
      <x v="48"/>
    </i>
    <i r="1">
      <x v="9"/>
      <x v="68"/>
    </i>
    <i r="1">
      <x v="12"/>
      <x v="93"/>
    </i>
    <i r="1">
      <x v="15"/>
      <x v="112"/>
    </i>
    <i r="1">
      <x v="18"/>
      <x v="137"/>
    </i>
    <i r="1">
      <x v="21"/>
      <x v="157"/>
    </i>
    <i r="1">
      <x v="24"/>
      <x v="176"/>
    </i>
    <i r="1">
      <x v="27"/>
      <x v="201"/>
    </i>
    <i r="1">
      <x v="30"/>
      <x v="221"/>
    </i>
    <i>
      <x v="130"/>
      <x v="6"/>
      <x v="47"/>
    </i>
    <i r="1">
      <x v="9"/>
      <x v="67"/>
    </i>
    <i r="1">
      <x v="12"/>
      <x v="92"/>
    </i>
    <i r="1">
      <x v="15"/>
      <x v="111"/>
    </i>
    <i r="1">
      <x v="18"/>
      <x v="136"/>
    </i>
    <i r="1">
      <x v="21"/>
      <x v="156"/>
    </i>
    <i r="1">
      <x v="24"/>
      <x v="175"/>
    </i>
    <i r="1">
      <x v="27"/>
      <x v="200"/>
    </i>
    <i r="1">
      <x v="30"/>
      <x v="220"/>
    </i>
    <i>
      <x v="131"/>
      <x v="6"/>
      <x v="46"/>
    </i>
    <i r="1">
      <x v="9"/>
      <x v="66"/>
    </i>
    <i r="1">
      <x v="12"/>
      <x v="91"/>
    </i>
    <i r="1">
      <x v="15"/>
      <x v="110"/>
    </i>
    <i r="1">
      <x v="18"/>
      <x v="135"/>
    </i>
    <i r="1">
      <x v="21"/>
      <x v="155"/>
    </i>
    <i r="1">
      <x v="24"/>
      <x v="174"/>
    </i>
    <i r="1">
      <x v="27"/>
      <x v="199"/>
    </i>
    <i r="1">
      <x v="30"/>
      <x v="219"/>
    </i>
    <i>
      <x v="132"/>
      <x v="6"/>
      <x v="45"/>
    </i>
    <i r="1">
      <x v="9"/>
      <x v="65"/>
    </i>
    <i r="1">
      <x v="12"/>
      <x v="90"/>
    </i>
    <i r="1">
      <x v="15"/>
      <x v="109"/>
    </i>
    <i r="1">
      <x v="18"/>
      <x v="134"/>
    </i>
    <i r="1">
      <x v="21"/>
      <x v="154"/>
    </i>
    <i r="1">
      <x v="24"/>
      <x v="173"/>
    </i>
    <i r="1">
      <x v="27"/>
      <x v="198"/>
    </i>
    <i r="1">
      <x v="30"/>
      <x v="218"/>
    </i>
    <i>
      <x v="133"/>
      <x v="6"/>
      <x v="44"/>
    </i>
    <i r="1">
      <x v="9"/>
      <x v="64"/>
    </i>
    <i r="1">
      <x v="12"/>
      <x v="89"/>
    </i>
    <i r="1">
      <x v="15"/>
      <x v="108"/>
    </i>
    <i r="1">
      <x v="18"/>
      <x v="133"/>
    </i>
    <i r="1">
      <x v="21"/>
      <x v="153"/>
    </i>
    <i r="1">
      <x v="24"/>
      <x v="172"/>
    </i>
    <i r="1">
      <x v="27"/>
      <x v="197"/>
    </i>
    <i r="1">
      <x v="30"/>
      <x v="217"/>
    </i>
    <i>
      <x v="134"/>
      <x v="6"/>
      <x v="43"/>
    </i>
    <i r="1">
      <x v="9"/>
      <x v="63"/>
    </i>
    <i r="1">
      <x v="12"/>
      <x v="88"/>
    </i>
    <i r="1">
      <x v="15"/>
      <x v="107"/>
    </i>
    <i r="1">
      <x v="18"/>
      <x v="132"/>
    </i>
    <i r="1">
      <x v="21"/>
      <x v="152"/>
    </i>
    <i r="1">
      <x v="24"/>
      <x v="171"/>
    </i>
    <i r="1">
      <x v="27"/>
      <x v="196"/>
    </i>
    <i r="1">
      <x v="30"/>
      <x v="216"/>
    </i>
    <i>
      <x v="135"/>
      <x v="6"/>
      <x v="42"/>
    </i>
    <i r="1">
      <x v="9"/>
      <x v="62"/>
    </i>
    <i r="1">
      <x v="12"/>
      <x v="87"/>
    </i>
    <i r="1">
      <x v="15"/>
      <x v="106"/>
    </i>
    <i r="1">
      <x v="18"/>
      <x v="131"/>
    </i>
    <i r="1">
      <x v="21"/>
      <x v="151"/>
    </i>
    <i r="1">
      <x v="24"/>
      <x v="170"/>
    </i>
    <i r="1">
      <x v="27"/>
      <x v="195"/>
    </i>
    <i r="1">
      <x v="30"/>
      <x v="215"/>
    </i>
    <i>
      <x v="136"/>
      <x v="6"/>
      <x v="41"/>
    </i>
    <i r="1">
      <x v="9"/>
      <x v="61"/>
    </i>
    <i r="1">
      <x v="12"/>
      <x v="86"/>
    </i>
    <i r="1">
      <x v="15"/>
      <x v="105"/>
    </i>
    <i r="1">
      <x v="18"/>
      <x v="130"/>
    </i>
    <i r="1">
      <x v="21"/>
      <x v="150"/>
    </i>
    <i r="1">
      <x v="24"/>
      <x v="169"/>
    </i>
    <i r="1">
      <x v="27"/>
      <x v="194"/>
    </i>
    <i r="1">
      <x v="30"/>
      <x v="214"/>
    </i>
    <i>
      <x v="137"/>
      <x v="6"/>
      <x v="40"/>
    </i>
    <i r="1">
      <x v="9"/>
      <x v="60"/>
    </i>
    <i r="1">
      <x v="12"/>
      <x v="85"/>
    </i>
    <i r="1">
      <x v="15"/>
      <x v="104"/>
    </i>
    <i r="1">
      <x v="18"/>
      <x v="129"/>
    </i>
    <i r="1">
      <x v="21"/>
      <x v="149"/>
    </i>
    <i r="1">
      <x v="24"/>
      <x v="168"/>
    </i>
    <i r="1">
      <x v="27"/>
      <x v="193"/>
    </i>
    <i r="1">
      <x v="30"/>
      <x v="213"/>
    </i>
    <i>
      <x v="138"/>
      <x v="6"/>
      <x v="39"/>
    </i>
    <i r="1">
      <x v="9"/>
      <x v="59"/>
    </i>
    <i r="1">
      <x v="12"/>
      <x v="84"/>
    </i>
    <i r="1">
      <x v="15"/>
      <x v="103"/>
    </i>
    <i r="1">
      <x v="18"/>
      <x v="128"/>
    </i>
    <i r="1">
      <x v="21"/>
      <x v="148"/>
    </i>
    <i r="1">
      <x v="24"/>
      <x v="167"/>
    </i>
    <i r="1">
      <x v="27"/>
      <x v="192"/>
    </i>
    <i r="1">
      <x v="30"/>
      <x v="212"/>
    </i>
    <i>
      <x v="139"/>
      <x v="6"/>
      <x v="38"/>
    </i>
    <i r="1">
      <x v="9"/>
      <x v="58"/>
    </i>
    <i r="1">
      <x v="12"/>
      <x v="83"/>
    </i>
    <i r="1">
      <x v="15"/>
      <x v="102"/>
    </i>
    <i r="1">
      <x v="18"/>
      <x v="127"/>
    </i>
    <i r="1">
      <x v="21"/>
      <x v="147"/>
    </i>
    <i r="1">
      <x v="24"/>
      <x v="166"/>
    </i>
    <i r="1">
      <x v="27"/>
      <x v="191"/>
    </i>
    <i r="1">
      <x v="30"/>
      <x v="211"/>
    </i>
    <i>
      <x v="140"/>
      <x v="6"/>
      <x v="37"/>
    </i>
    <i r="1">
      <x v="9"/>
      <x v="57"/>
    </i>
    <i r="1">
      <x v="12"/>
      <x v="82"/>
    </i>
    <i r="1">
      <x v="15"/>
      <x v="101"/>
    </i>
    <i r="1">
      <x v="18"/>
      <x v="126"/>
    </i>
    <i r="1">
      <x v="21"/>
      <x v="146"/>
    </i>
    <i r="1">
      <x v="24"/>
      <x v="165"/>
    </i>
    <i r="1">
      <x v="27"/>
      <x v="190"/>
    </i>
    <i r="1">
      <x v="30"/>
      <x v="210"/>
    </i>
    <i>
      <x v="141"/>
      <x v="6"/>
      <x v="36"/>
    </i>
    <i r="1">
      <x v="9"/>
      <x v="56"/>
    </i>
    <i r="1">
      <x v="12"/>
      <x v="81"/>
    </i>
    <i r="1">
      <x v="15"/>
      <x v="100"/>
    </i>
    <i r="1">
      <x v="18"/>
      <x v="125"/>
    </i>
    <i r="1">
      <x v="21"/>
      <x v="145"/>
    </i>
    <i r="1">
      <x v="24"/>
      <x v="164"/>
    </i>
    <i r="1">
      <x v="27"/>
      <x v="189"/>
    </i>
    <i r="1">
      <x v="30"/>
      <x v="209"/>
    </i>
    <i>
      <x v="142"/>
      <x v="6"/>
      <x v="35"/>
    </i>
    <i r="1">
      <x v="9"/>
      <x v="55"/>
    </i>
    <i r="1">
      <x v="12"/>
      <x v="80"/>
    </i>
    <i r="1">
      <x v="15"/>
      <x v="99"/>
    </i>
    <i r="1">
      <x v="18"/>
      <x v="124"/>
    </i>
    <i r="1">
      <x v="21"/>
      <x v="144"/>
    </i>
    <i r="1">
      <x v="24"/>
      <x v="163"/>
    </i>
    <i r="1">
      <x v="27"/>
      <x v="188"/>
    </i>
    <i r="1">
      <x v="30"/>
      <x v="208"/>
    </i>
    <i>
      <x v="143"/>
      <x v="6"/>
      <x v="34"/>
    </i>
    <i r="1">
      <x v="9"/>
      <x v="54"/>
    </i>
    <i r="1">
      <x v="12"/>
      <x v="79"/>
    </i>
    <i r="1">
      <x v="15"/>
      <x v="98"/>
    </i>
    <i r="1">
      <x v="18"/>
      <x v="123"/>
    </i>
    <i r="1">
      <x v="21"/>
      <x v="143"/>
    </i>
    <i r="1">
      <x v="24"/>
      <x v="162"/>
    </i>
    <i r="1">
      <x v="27"/>
      <x v="187"/>
    </i>
    <i r="1">
      <x v="30"/>
      <x v="207"/>
    </i>
    <i>
      <x v="144"/>
      <x v="6"/>
      <x v="33"/>
    </i>
    <i r="1">
      <x v="9"/>
      <x v="53"/>
    </i>
    <i r="1">
      <x v="12"/>
      <x v="78"/>
    </i>
    <i r="1">
      <x v="15"/>
      <x v="97"/>
    </i>
    <i r="1">
      <x v="18"/>
      <x v="122"/>
    </i>
    <i r="1">
      <x v="21"/>
      <x v="142"/>
    </i>
    <i r="1">
      <x v="24"/>
      <x v="161"/>
    </i>
    <i r="1">
      <x v="27"/>
      <x v="186"/>
    </i>
    <i r="1">
      <x v="30"/>
      <x v="206"/>
    </i>
    <i>
      <x v="145"/>
      <x v="6"/>
      <x v="32"/>
    </i>
    <i r="1">
      <x v="9"/>
      <x v="52"/>
    </i>
    <i r="1">
      <x v="12"/>
      <x v="77"/>
    </i>
    <i r="1">
      <x v="15"/>
      <x v="96"/>
    </i>
    <i r="1">
      <x v="18"/>
      <x v="121"/>
    </i>
    <i r="1">
      <x v="21"/>
      <x v="141"/>
    </i>
    <i r="1">
      <x v="24"/>
      <x v="160"/>
    </i>
    <i r="1">
      <x v="27"/>
      <x v="185"/>
    </i>
    <i r="1">
      <x v="30"/>
      <x v="205"/>
    </i>
    <i>
      <x v="146"/>
      <x v="6"/>
      <x v="31"/>
    </i>
    <i r="1">
      <x v="9"/>
      <x v="51"/>
    </i>
    <i r="1">
      <x v="12"/>
      <x v="76"/>
    </i>
    <i r="1">
      <x v="15"/>
      <x v="95"/>
    </i>
    <i r="1">
      <x v="18"/>
      <x v="120"/>
    </i>
    <i r="1">
      <x v="21"/>
      <x v="140"/>
    </i>
    <i r="1">
      <x v="24"/>
      <x v="159"/>
    </i>
    <i r="1">
      <x v="27"/>
      <x v="184"/>
    </i>
    <i r="1">
      <x v="30"/>
      <x v="204"/>
    </i>
    <i>
      <x v="147"/>
      <x v="6"/>
      <x v="30"/>
    </i>
    <i r="1">
      <x v="9"/>
      <x v="50"/>
    </i>
    <i r="1">
      <x v="12"/>
      <x v="75"/>
    </i>
    <i r="1">
      <x v="15"/>
      <x v="94"/>
    </i>
    <i r="1">
      <x v="18"/>
      <x v="119"/>
    </i>
    <i r="1">
      <x v="21"/>
      <x v="139"/>
    </i>
    <i r="1">
      <x v="24"/>
      <x v="158"/>
    </i>
    <i r="1">
      <x v="27"/>
      <x v="183"/>
    </i>
    <i r="1">
      <x v="30"/>
      <x v="203"/>
    </i>
    <i>
      <x v="148"/>
      <x v="6"/>
      <x v="29"/>
    </i>
    <i r="1">
      <x v="9"/>
      <x v="49"/>
    </i>
    <i r="1">
      <x v="12"/>
      <x v="74"/>
    </i>
    <i r="1">
      <x v="15"/>
      <x v="93"/>
    </i>
    <i r="1">
      <x v="18"/>
      <x v="118"/>
    </i>
    <i r="1">
      <x v="21"/>
      <x v="138"/>
    </i>
    <i r="1">
      <x v="24"/>
      <x v="157"/>
    </i>
    <i r="1">
      <x v="27"/>
      <x v="182"/>
    </i>
    <i r="1">
      <x v="30"/>
      <x v="202"/>
    </i>
    <i>
      <x v="149"/>
      <x v="6"/>
      <x v="28"/>
    </i>
    <i r="1">
      <x v="9"/>
      <x v="48"/>
    </i>
    <i r="1">
      <x v="12"/>
      <x v="73"/>
    </i>
    <i r="1">
      <x v="15"/>
      <x v="92"/>
    </i>
    <i r="1">
      <x v="18"/>
      <x v="117"/>
    </i>
    <i r="1">
      <x v="21"/>
      <x v="137"/>
    </i>
    <i r="1">
      <x v="24"/>
      <x v="156"/>
    </i>
    <i r="1">
      <x v="27"/>
      <x v="181"/>
    </i>
    <i r="1">
      <x v="30"/>
      <x v="201"/>
    </i>
    <i>
      <x v="150"/>
      <x v="6"/>
      <x v="27"/>
    </i>
    <i r="1">
      <x v="9"/>
      <x v="47"/>
    </i>
    <i r="1">
      <x v="12"/>
      <x v="72"/>
    </i>
    <i r="1">
      <x v="15"/>
      <x v="91"/>
    </i>
    <i r="1">
      <x v="18"/>
      <x v="116"/>
    </i>
    <i r="1">
      <x v="21"/>
      <x v="136"/>
    </i>
    <i r="1">
      <x v="24"/>
      <x v="155"/>
    </i>
    <i r="1">
      <x v="27"/>
      <x v="180"/>
    </i>
    <i r="1">
      <x v="30"/>
      <x v="200"/>
    </i>
    <i>
      <x v="151"/>
      <x v="6"/>
      <x v="26"/>
    </i>
    <i r="1">
      <x v="9"/>
      <x v="46"/>
    </i>
    <i r="1">
      <x v="12"/>
      <x v="71"/>
    </i>
    <i r="1">
      <x v="15"/>
      <x v="90"/>
    </i>
    <i r="1">
      <x v="18"/>
      <x v="115"/>
    </i>
    <i r="1">
      <x v="21"/>
      <x v="135"/>
    </i>
    <i r="1">
      <x v="24"/>
      <x v="154"/>
    </i>
    <i r="1">
      <x v="27"/>
      <x v="179"/>
    </i>
    <i r="1">
      <x v="30"/>
      <x v="199"/>
    </i>
    <i>
      <x v="152"/>
      <x v="6"/>
      <x v="25"/>
    </i>
    <i r="1">
      <x v="9"/>
      <x v="45"/>
    </i>
    <i r="1">
      <x v="12"/>
      <x v="70"/>
    </i>
    <i r="1">
      <x v="15"/>
      <x v="89"/>
    </i>
    <i r="1">
      <x v="18"/>
      <x v="114"/>
    </i>
    <i r="1">
      <x v="21"/>
      <x v="134"/>
    </i>
    <i r="1">
      <x v="24"/>
      <x v="153"/>
    </i>
    <i r="1">
      <x v="27"/>
      <x v="178"/>
    </i>
    <i r="1">
      <x v="30"/>
      <x v="198"/>
    </i>
    <i>
      <x v="153"/>
      <x v="6"/>
      <x v="24"/>
    </i>
    <i r="1">
      <x v="9"/>
      <x v="44"/>
    </i>
    <i r="1">
      <x v="12"/>
      <x v="69"/>
    </i>
    <i r="1">
      <x v="15"/>
      <x v="88"/>
    </i>
    <i r="1">
      <x v="18"/>
      <x v="113"/>
    </i>
    <i r="1">
      <x v="21"/>
      <x v="133"/>
    </i>
    <i r="1">
      <x v="24"/>
      <x v="152"/>
    </i>
    <i r="1">
      <x v="27"/>
      <x v="177"/>
    </i>
    <i r="1">
      <x v="30"/>
      <x v="197"/>
    </i>
    <i>
      <x v="154"/>
      <x v="6"/>
      <x v="23"/>
    </i>
    <i r="1">
      <x v="9"/>
      <x v="43"/>
    </i>
    <i r="1">
      <x v="12"/>
      <x v="68"/>
    </i>
    <i r="1">
      <x v="15"/>
      <x v="87"/>
    </i>
    <i r="1">
      <x v="18"/>
      <x v="112"/>
    </i>
    <i r="1">
      <x v="21"/>
      <x v="132"/>
    </i>
    <i r="1">
      <x v="24"/>
      <x v="151"/>
    </i>
    <i r="1">
      <x v="27"/>
      <x v="176"/>
    </i>
    <i r="1">
      <x v="30"/>
      <x v="196"/>
    </i>
    <i>
      <x v="155"/>
      <x v="6"/>
      <x v="22"/>
    </i>
    <i r="1">
      <x v="9"/>
      <x v="42"/>
    </i>
    <i r="1">
      <x v="12"/>
      <x v="67"/>
    </i>
    <i r="1">
      <x v="15"/>
      <x v="86"/>
    </i>
    <i r="1">
      <x v="18"/>
      <x v="111"/>
    </i>
    <i r="1">
      <x v="21"/>
      <x v="131"/>
    </i>
    <i r="1">
      <x v="24"/>
      <x v="150"/>
    </i>
    <i r="1">
      <x v="27"/>
      <x v="175"/>
    </i>
    <i r="1">
      <x v="30"/>
      <x v="195"/>
    </i>
    <i>
      <x v="156"/>
      <x v="6"/>
      <x v="21"/>
    </i>
    <i r="1">
      <x v="9"/>
      <x v="41"/>
    </i>
    <i r="1">
      <x v="12"/>
      <x v="66"/>
    </i>
    <i r="1">
      <x v="15"/>
      <x v="85"/>
    </i>
    <i r="1">
      <x v="18"/>
      <x v="110"/>
    </i>
    <i r="1">
      <x v="21"/>
      <x v="130"/>
    </i>
    <i r="1">
      <x v="24"/>
      <x v="149"/>
    </i>
    <i r="1">
      <x v="27"/>
      <x v="174"/>
    </i>
    <i r="1">
      <x v="30"/>
      <x v="194"/>
    </i>
    <i>
      <x v="157"/>
      <x v="6"/>
      <x v="20"/>
    </i>
    <i r="1">
      <x v="9"/>
      <x v="40"/>
    </i>
    <i r="1">
      <x v="12"/>
      <x v="65"/>
    </i>
    <i r="1">
      <x v="15"/>
      <x v="84"/>
    </i>
    <i r="1">
      <x v="18"/>
      <x v="109"/>
    </i>
    <i r="1">
      <x v="21"/>
      <x v="129"/>
    </i>
    <i r="1">
      <x v="24"/>
      <x v="148"/>
    </i>
    <i r="1">
      <x v="27"/>
      <x v="173"/>
    </i>
    <i r="1">
      <x v="30"/>
      <x v="193"/>
    </i>
    <i>
      <x v="158"/>
      <x v="6"/>
      <x v="19"/>
    </i>
    <i r="1">
      <x v="9"/>
      <x v="39"/>
    </i>
    <i r="1">
      <x v="12"/>
      <x v="64"/>
    </i>
    <i r="1">
      <x v="15"/>
      <x v="83"/>
    </i>
    <i r="1">
      <x v="18"/>
      <x v="108"/>
    </i>
    <i r="1">
      <x v="21"/>
      <x v="128"/>
    </i>
    <i r="1">
      <x v="24"/>
      <x v="147"/>
    </i>
    <i r="1">
      <x v="27"/>
      <x v="172"/>
    </i>
    <i r="1">
      <x v="30"/>
      <x v="192"/>
    </i>
    <i>
      <x v="159"/>
      <x v="6"/>
      <x v="18"/>
    </i>
    <i r="1">
      <x v="9"/>
      <x v="38"/>
    </i>
    <i r="1">
      <x v="12"/>
      <x v="63"/>
    </i>
    <i r="1">
      <x v="15"/>
      <x v="82"/>
    </i>
    <i r="1">
      <x v="18"/>
      <x v="107"/>
    </i>
    <i r="1">
      <x v="21"/>
      <x v="127"/>
    </i>
    <i r="1">
      <x v="24"/>
      <x v="146"/>
    </i>
    <i r="1">
      <x v="27"/>
      <x v="171"/>
    </i>
    <i r="1">
      <x v="30"/>
      <x v="191"/>
    </i>
    <i>
      <x v="160"/>
      <x v="6"/>
      <x v="17"/>
    </i>
    <i r="1">
      <x v="9"/>
      <x v="37"/>
    </i>
    <i r="1">
      <x v="12"/>
      <x v="62"/>
    </i>
    <i r="1">
      <x v="15"/>
      <x v="81"/>
    </i>
    <i r="1">
      <x v="18"/>
      <x v="106"/>
    </i>
    <i r="1">
      <x v="21"/>
      <x v="126"/>
    </i>
    <i r="1">
      <x v="24"/>
      <x v="145"/>
    </i>
    <i r="1">
      <x v="27"/>
      <x v="170"/>
    </i>
    <i r="1">
      <x v="30"/>
      <x v="190"/>
    </i>
    <i>
      <x v="161"/>
      <x v="6"/>
      <x v="16"/>
    </i>
    <i r="1">
      <x v="9"/>
      <x v="36"/>
    </i>
    <i r="1">
      <x v="12"/>
      <x v="61"/>
    </i>
    <i r="1">
      <x v="15"/>
      <x v="80"/>
    </i>
    <i r="1">
      <x v="18"/>
      <x v="105"/>
    </i>
    <i r="1">
      <x v="21"/>
      <x v="125"/>
    </i>
    <i r="1">
      <x v="24"/>
      <x v="144"/>
    </i>
    <i r="1">
      <x v="27"/>
      <x v="169"/>
    </i>
    <i r="1">
      <x v="30"/>
      <x v="189"/>
    </i>
    <i>
      <x v="162"/>
      <x v="6"/>
      <x v="15"/>
    </i>
    <i r="1">
      <x v="9"/>
      <x v="35"/>
    </i>
    <i r="1">
      <x v="12"/>
      <x v="60"/>
    </i>
    <i r="1">
      <x v="15"/>
      <x v="79"/>
    </i>
    <i r="1">
      <x v="18"/>
      <x v="104"/>
    </i>
    <i r="1">
      <x v="21"/>
      <x v="124"/>
    </i>
    <i r="1">
      <x v="24"/>
      <x v="143"/>
    </i>
    <i r="1">
      <x v="27"/>
      <x v="168"/>
    </i>
    <i r="1">
      <x v="30"/>
      <x v="188"/>
    </i>
    <i>
      <x v="163"/>
      <x v="6"/>
      <x v="14"/>
    </i>
    <i r="1">
      <x v="9"/>
      <x v="34"/>
    </i>
    <i r="1">
      <x v="12"/>
      <x v="59"/>
    </i>
    <i r="1">
      <x v="15"/>
      <x v="78"/>
    </i>
    <i r="1">
      <x v="18"/>
      <x v="103"/>
    </i>
    <i r="1">
      <x v="21"/>
      <x v="123"/>
    </i>
    <i r="1">
      <x v="24"/>
      <x v="142"/>
    </i>
    <i r="1">
      <x v="27"/>
      <x v="167"/>
    </i>
    <i r="1">
      <x v="30"/>
      <x v="187"/>
    </i>
    <i>
      <x v="164"/>
      <x v="6"/>
      <x v="13"/>
    </i>
    <i r="1">
      <x v="9"/>
      <x v="33"/>
    </i>
    <i r="1">
      <x v="12"/>
      <x v="58"/>
    </i>
    <i r="1">
      <x v="15"/>
      <x v="77"/>
    </i>
    <i r="1">
      <x v="18"/>
      <x v="102"/>
    </i>
    <i r="1">
      <x v="21"/>
      <x v="122"/>
    </i>
    <i r="1">
      <x v="24"/>
      <x v="141"/>
    </i>
    <i r="1">
      <x v="27"/>
      <x v="166"/>
    </i>
    <i r="1">
      <x v="30"/>
      <x v="186"/>
    </i>
    <i>
      <x v="165"/>
      <x v="6"/>
      <x v="12"/>
    </i>
    <i r="1">
      <x v="9"/>
      <x v="32"/>
    </i>
    <i r="1">
      <x v="12"/>
      <x v="57"/>
    </i>
    <i r="1">
      <x v="15"/>
      <x v="76"/>
    </i>
    <i r="1">
      <x v="18"/>
      <x v="101"/>
    </i>
    <i r="1">
      <x v="21"/>
      <x v="121"/>
    </i>
    <i r="1">
      <x v="24"/>
      <x v="140"/>
    </i>
    <i r="1">
      <x v="27"/>
      <x v="165"/>
    </i>
    <i r="1">
      <x v="30"/>
      <x v="185"/>
    </i>
    <i>
      <x v="166"/>
      <x v="6"/>
      <x v="11"/>
    </i>
    <i r="1">
      <x v="9"/>
      <x v="31"/>
    </i>
    <i r="1">
      <x v="12"/>
      <x v="56"/>
    </i>
    <i r="1">
      <x v="15"/>
      <x v="75"/>
    </i>
    <i r="1">
      <x v="18"/>
      <x v="100"/>
    </i>
    <i r="1">
      <x v="21"/>
      <x v="120"/>
    </i>
    <i r="1">
      <x v="24"/>
      <x v="139"/>
    </i>
    <i r="1">
      <x v="27"/>
      <x v="164"/>
    </i>
    <i r="1">
      <x v="30"/>
      <x v="184"/>
    </i>
    <i>
      <x v="167"/>
      <x v="6"/>
      <x v="10"/>
    </i>
    <i r="1">
      <x v="9"/>
      <x v="30"/>
    </i>
    <i r="1">
      <x v="12"/>
      <x v="55"/>
    </i>
    <i r="1">
      <x v="15"/>
      <x v="74"/>
    </i>
    <i r="1">
      <x v="18"/>
      <x v="99"/>
    </i>
    <i r="1">
      <x v="21"/>
      <x v="119"/>
    </i>
    <i r="1">
      <x v="24"/>
      <x v="138"/>
    </i>
    <i r="1">
      <x v="27"/>
      <x v="163"/>
    </i>
    <i r="1">
      <x v="30"/>
      <x v="183"/>
    </i>
    <i>
      <x v="168"/>
      <x v="6"/>
      <x v="9"/>
    </i>
    <i r="1">
      <x v="9"/>
      <x v="29"/>
    </i>
    <i r="1">
      <x v="12"/>
      <x v="54"/>
    </i>
    <i r="1">
      <x v="15"/>
      <x v="73"/>
    </i>
    <i r="1">
      <x v="18"/>
      <x v="98"/>
    </i>
    <i r="1">
      <x v="21"/>
      <x v="118"/>
    </i>
    <i r="1">
      <x v="24"/>
      <x v="137"/>
    </i>
    <i r="1">
      <x v="27"/>
      <x v="162"/>
    </i>
    <i r="1">
      <x v="30"/>
      <x v="182"/>
    </i>
    <i>
      <x v="169"/>
      <x v="6"/>
      <x v="8"/>
    </i>
    <i r="1">
      <x v="9"/>
      <x v="28"/>
    </i>
    <i r="1">
      <x v="12"/>
      <x v="53"/>
    </i>
    <i r="1">
      <x v="15"/>
      <x v="72"/>
    </i>
    <i r="1">
      <x v="18"/>
      <x v="97"/>
    </i>
    <i r="1">
      <x v="21"/>
      <x v="117"/>
    </i>
    <i r="1">
      <x v="24"/>
      <x v="136"/>
    </i>
    <i r="1">
      <x v="27"/>
      <x v="161"/>
    </i>
    <i r="1">
      <x v="30"/>
      <x v="181"/>
    </i>
    <i>
      <x v="170"/>
      <x v="6"/>
      <x v="7"/>
    </i>
    <i r="1">
      <x v="9"/>
      <x v="27"/>
    </i>
    <i r="1">
      <x v="12"/>
      <x v="52"/>
    </i>
    <i r="1">
      <x v="15"/>
      <x v="71"/>
    </i>
    <i r="1">
      <x v="18"/>
      <x v="96"/>
    </i>
    <i r="1">
      <x v="21"/>
      <x v="116"/>
    </i>
    <i r="1">
      <x v="24"/>
      <x v="135"/>
    </i>
    <i r="1">
      <x v="27"/>
      <x v="160"/>
    </i>
    <i r="1">
      <x v="30"/>
      <x v="180"/>
    </i>
    <i>
      <x v="171"/>
      <x v="6"/>
      <x v="6"/>
    </i>
    <i r="1">
      <x v="9"/>
      <x v="26"/>
    </i>
    <i r="1">
      <x v="12"/>
      <x v="51"/>
    </i>
    <i r="1">
      <x v="15"/>
      <x v="70"/>
    </i>
    <i r="1">
      <x v="18"/>
      <x v="95"/>
    </i>
    <i r="1">
      <x v="21"/>
      <x v="115"/>
    </i>
    <i r="1">
      <x v="24"/>
      <x v="134"/>
    </i>
    <i r="1">
      <x v="27"/>
      <x v="159"/>
    </i>
    <i r="1">
      <x v="30"/>
      <x v="179"/>
    </i>
    <i>
      <x v="172"/>
      <x v="6"/>
      <x v="5"/>
    </i>
    <i r="1">
      <x v="9"/>
      <x v="25"/>
    </i>
    <i r="1">
      <x v="12"/>
      <x v="50"/>
    </i>
    <i r="1">
      <x v="15"/>
      <x v="69"/>
    </i>
    <i r="1">
      <x v="18"/>
      <x v="94"/>
    </i>
    <i r="1">
      <x v="21"/>
      <x v="114"/>
    </i>
    <i r="1">
      <x v="24"/>
      <x v="133"/>
    </i>
    <i r="1">
      <x v="27"/>
      <x v="158"/>
    </i>
    <i r="1">
      <x v="30"/>
      <x v="178"/>
    </i>
    <i>
      <x v="173"/>
      <x v="6"/>
      <x v="4"/>
    </i>
    <i r="1">
      <x v="9"/>
      <x v="24"/>
    </i>
    <i r="1">
      <x v="12"/>
      <x v="49"/>
    </i>
    <i r="1">
      <x v="15"/>
      <x v="68"/>
    </i>
    <i r="1">
      <x v="18"/>
      <x v="93"/>
    </i>
    <i r="1">
      <x v="21"/>
      <x v="113"/>
    </i>
    <i r="1">
      <x v="24"/>
      <x v="132"/>
    </i>
    <i r="1">
      <x v="27"/>
      <x v="157"/>
    </i>
    <i r="1">
      <x v="30"/>
      <x v="177"/>
    </i>
    <i>
      <x v="174"/>
      <x v="6"/>
      <x v="3"/>
    </i>
    <i r="1">
      <x v="9"/>
      <x v="23"/>
    </i>
    <i r="1">
      <x v="12"/>
      <x v="48"/>
    </i>
    <i r="1">
      <x v="15"/>
      <x v="67"/>
    </i>
    <i r="1">
      <x v="18"/>
      <x v="92"/>
    </i>
    <i r="1">
      <x v="21"/>
      <x v="112"/>
    </i>
    <i r="1">
      <x v="24"/>
      <x v="131"/>
    </i>
    <i r="1">
      <x v="27"/>
      <x v="156"/>
    </i>
    <i r="1">
      <x v="30"/>
      <x v="176"/>
    </i>
    <i>
      <x v="175"/>
      <x v="6"/>
      <x v="2"/>
    </i>
    <i r="1">
      <x v="9"/>
      <x v="22"/>
    </i>
    <i r="1">
      <x v="12"/>
      <x v="47"/>
    </i>
    <i r="1">
      <x v="15"/>
      <x v="66"/>
    </i>
    <i r="1">
      <x v="18"/>
      <x v="91"/>
    </i>
    <i r="1">
      <x v="21"/>
      <x v="111"/>
    </i>
    <i r="1">
      <x v="24"/>
      <x v="130"/>
    </i>
    <i r="1">
      <x v="27"/>
      <x v="155"/>
    </i>
    <i r="1">
      <x v="30"/>
      <x v="175"/>
    </i>
    <i>
      <x v="176"/>
      <x v="6"/>
      <x v="1"/>
    </i>
    <i r="1">
      <x v="9"/>
      <x v="21"/>
    </i>
    <i r="1">
      <x v="12"/>
      <x v="46"/>
    </i>
    <i r="1">
      <x v="15"/>
      <x v="65"/>
    </i>
    <i r="1">
      <x v="18"/>
      <x v="90"/>
    </i>
    <i r="1">
      <x v="21"/>
      <x v="110"/>
    </i>
    <i r="1">
      <x v="24"/>
      <x v="129"/>
    </i>
    <i r="1">
      <x v="27"/>
      <x v="154"/>
    </i>
    <i r="1">
      <x v="30"/>
      <x v="174"/>
    </i>
    <i>
      <x v="177"/>
      <x v="9"/>
      <x v="20"/>
    </i>
    <i r="1">
      <x v="12"/>
      <x v="45"/>
    </i>
    <i r="1">
      <x v="15"/>
      <x v="64"/>
    </i>
    <i r="1">
      <x v="18"/>
      <x v="89"/>
    </i>
    <i r="1">
      <x v="21"/>
      <x v="109"/>
    </i>
    <i r="1">
      <x v="24"/>
      <x v="128"/>
    </i>
    <i r="1">
      <x v="27"/>
      <x v="153"/>
    </i>
    <i r="1">
      <x v="30"/>
      <x v="173"/>
    </i>
    <i>
      <x v="178"/>
      <x v="9"/>
      <x v="19"/>
    </i>
    <i r="1">
      <x v="12"/>
      <x v="44"/>
    </i>
    <i r="1">
      <x v="15"/>
      <x v="63"/>
    </i>
    <i r="1">
      <x v="18"/>
      <x v="88"/>
    </i>
    <i r="1">
      <x v="21"/>
      <x v="108"/>
    </i>
    <i r="1">
      <x v="24"/>
      <x v="127"/>
    </i>
    <i r="1">
      <x v="27"/>
      <x v="152"/>
    </i>
    <i r="1">
      <x v="30"/>
      <x v="172"/>
    </i>
    <i>
      <x v="179"/>
      <x v="9"/>
      <x v="18"/>
    </i>
    <i r="1">
      <x v="12"/>
      <x v="43"/>
    </i>
    <i r="1">
      <x v="15"/>
      <x v="62"/>
    </i>
    <i r="1">
      <x v="18"/>
      <x v="87"/>
    </i>
    <i r="1">
      <x v="21"/>
      <x v="107"/>
    </i>
    <i r="1">
      <x v="24"/>
      <x v="126"/>
    </i>
    <i r="1">
      <x v="27"/>
      <x v="151"/>
    </i>
    <i r="1">
      <x v="30"/>
      <x v="171"/>
    </i>
    <i>
      <x v="180"/>
      <x v="9"/>
      <x v="17"/>
    </i>
    <i r="1">
      <x v="12"/>
      <x v="42"/>
    </i>
    <i r="1">
      <x v="15"/>
      <x v="61"/>
    </i>
    <i r="1">
      <x v="18"/>
      <x v="86"/>
    </i>
    <i r="1">
      <x v="21"/>
      <x v="106"/>
    </i>
    <i r="1">
      <x v="24"/>
      <x v="125"/>
    </i>
    <i r="1">
      <x v="27"/>
      <x v="150"/>
    </i>
    <i r="1">
      <x v="30"/>
      <x v="170"/>
    </i>
    <i>
      <x v="181"/>
      <x v="9"/>
      <x v="16"/>
    </i>
    <i r="1">
      <x v="12"/>
      <x v="41"/>
    </i>
    <i r="1">
      <x v="15"/>
      <x v="60"/>
    </i>
    <i r="1">
      <x v="18"/>
      <x v="85"/>
    </i>
    <i r="1">
      <x v="21"/>
      <x v="105"/>
    </i>
    <i r="1">
      <x v="24"/>
      <x v="124"/>
    </i>
    <i r="1">
      <x v="27"/>
      <x v="149"/>
    </i>
    <i r="1">
      <x v="30"/>
      <x v="169"/>
    </i>
    <i>
      <x v="182"/>
      <x v="9"/>
      <x v="15"/>
    </i>
    <i r="1">
      <x v="12"/>
      <x v="40"/>
    </i>
    <i r="1">
      <x v="15"/>
      <x v="59"/>
    </i>
    <i r="1">
      <x v="18"/>
      <x v="84"/>
    </i>
    <i r="1">
      <x v="21"/>
      <x v="104"/>
    </i>
    <i r="1">
      <x v="24"/>
      <x v="123"/>
    </i>
    <i r="1">
      <x v="27"/>
      <x v="148"/>
    </i>
    <i r="1">
      <x v="30"/>
      <x v="168"/>
    </i>
    <i>
      <x v="183"/>
      <x v="9"/>
      <x v="14"/>
    </i>
    <i r="1">
      <x v="12"/>
      <x v="39"/>
    </i>
    <i r="1">
      <x v="15"/>
      <x v="58"/>
    </i>
    <i r="1">
      <x v="18"/>
      <x v="83"/>
    </i>
    <i r="1">
      <x v="21"/>
      <x v="103"/>
    </i>
    <i r="1">
      <x v="24"/>
      <x v="122"/>
    </i>
    <i r="1">
      <x v="27"/>
      <x v="147"/>
    </i>
    <i r="1">
      <x v="30"/>
      <x v="167"/>
    </i>
    <i r="1">
      <x v="33"/>
      <x v="186"/>
    </i>
    <i>
      <x v="184"/>
      <x v="9"/>
      <x v="13"/>
    </i>
    <i r="1">
      <x v="12"/>
      <x v="38"/>
    </i>
    <i r="1">
      <x v="15"/>
      <x v="57"/>
    </i>
    <i r="1">
      <x v="18"/>
      <x v="82"/>
    </i>
    <i r="1">
      <x v="21"/>
      <x v="102"/>
    </i>
    <i r="1">
      <x v="24"/>
      <x v="121"/>
    </i>
    <i r="1">
      <x v="27"/>
      <x v="146"/>
    </i>
    <i r="1">
      <x v="30"/>
      <x v="166"/>
    </i>
    <i>
      <x v="185"/>
      <x v="9"/>
      <x v="12"/>
    </i>
    <i r="1">
      <x v="12"/>
      <x v="37"/>
    </i>
    <i r="1">
      <x v="15"/>
      <x v="56"/>
    </i>
    <i r="1">
      <x v="18"/>
      <x v="81"/>
    </i>
    <i r="1">
      <x v="21"/>
      <x v="101"/>
    </i>
    <i r="1">
      <x v="24"/>
      <x v="120"/>
    </i>
    <i r="1">
      <x v="27"/>
      <x v="145"/>
    </i>
    <i r="1">
      <x v="30"/>
      <x v="165"/>
    </i>
    <i>
      <x v="186"/>
      <x v="9"/>
      <x v="11"/>
    </i>
    <i r="1">
      <x v="12"/>
      <x v="36"/>
    </i>
    <i r="1">
      <x v="15"/>
      <x v="55"/>
    </i>
    <i r="1">
      <x v="18"/>
      <x v="80"/>
    </i>
    <i r="1">
      <x v="21"/>
      <x v="100"/>
    </i>
    <i r="1">
      <x v="24"/>
      <x v="119"/>
    </i>
    <i r="1">
      <x v="27"/>
      <x v="144"/>
    </i>
    <i r="1">
      <x v="30"/>
      <x v="164"/>
    </i>
    <i>
      <x v="187"/>
      <x v="9"/>
      <x v="10"/>
    </i>
    <i r="1">
      <x v="12"/>
      <x v="35"/>
    </i>
    <i r="1">
      <x v="15"/>
      <x v="54"/>
    </i>
    <i r="1">
      <x v="18"/>
      <x v="79"/>
    </i>
    <i r="1">
      <x v="21"/>
      <x v="99"/>
    </i>
    <i r="1">
      <x v="24"/>
      <x v="118"/>
    </i>
    <i r="1">
      <x v="27"/>
      <x v="143"/>
    </i>
    <i r="1">
      <x v="30"/>
      <x v="163"/>
    </i>
    <i>
      <x v="188"/>
      <x v="9"/>
      <x v="9"/>
    </i>
    <i r="1">
      <x v="12"/>
      <x v="34"/>
    </i>
    <i r="1">
      <x v="15"/>
      <x v="53"/>
    </i>
    <i r="1">
      <x v="18"/>
      <x v="78"/>
    </i>
    <i r="1">
      <x v="21"/>
      <x v="98"/>
    </i>
    <i r="1">
      <x v="24"/>
      <x v="117"/>
    </i>
    <i r="1">
      <x v="27"/>
      <x v="142"/>
    </i>
    <i r="1">
      <x v="30"/>
      <x v="162"/>
    </i>
    <i>
      <x v="189"/>
      <x v="9"/>
      <x v="8"/>
    </i>
    <i r="1">
      <x v="12"/>
      <x v="33"/>
    </i>
    <i r="1">
      <x v="15"/>
      <x v="52"/>
    </i>
    <i r="1">
      <x v="18"/>
      <x v="77"/>
    </i>
    <i r="1">
      <x v="21"/>
      <x v="97"/>
    </i>
    <i r="1">
      <x v="24"/>
      <x v="116"/>
    </i>
    <i r="1">
      <x v="27"/>
      <x v="141"/>
    </i>
    <i r="1">
      <x v="30"/>
      <x v="161"/>
    </i>
    <i r="1">
      <x v="33"/>
      <x v="180"/>
    </i>
    <i>
      <x v="190"/>
      <x v="9"/>
      <x v="7"/>
    </i>
    <i r="1">
      <x v="12"/>
      <x v="32"/>
    </i>
    <i r="1">
      <x v="15"/>
      <x v="51"/>
    </i>
    <i r="1">
      <x v="18"/>
      <x v="76"/>
    </i>
    <i r="1">
      <x v="21"/>
      <x v="96"/>
    </i>
    <i r="1">
      <x v="24"/>
      <x v="115"/>
    </i>
    <i r="1">
      <x v="27"/>
      <x v="140"/>
    </i>
    <i r="1">
      <x v="30"/>
      <x v="160"/>
    </i>
    <i r="1">
      <x v="33"/>
      <x v="179"/>
    </i>
    <i>
      <x v="191"/>
      <x v="9"/>
      <x v="6"/>
    </i>
    <i r="1">
      <x v="12"/>
      <x v="31"/>
    </i>
    <i r="1">
      <x v="15"/>
      <x v="50"/>
    </i>
    <i r="1">
      <x v="18"/>
      <x v="75"/>
    </i>
    <i r="1">
      <x v="21"/>
      <x v="95"/>
    </i>
    <i r="1">
      <x v="24"/>
      <x v="114"/>
    </i>
    <i r="1">
      <x v="27"/>
      <x v="139"/>
    </i>
    <i r="1">
      <x v="30"/>
      <x v="159"/>
    </i>
    <i>
      <x v="192"/>
      <x v="9"/>
      <x v="5"/>
    </i>
    <i r="1">
      <x v="12"/>
      <x v="30"/>
    </i>
    <i r="1">
      <x v="15"/>
      <x v="49"/>
    </i>
    <i r="1">
      <x v="18"/>
      <x v="74"/>
    </i>
    <i r="1">
      <x v="21"/>
      <x v="94"/>
    </i>
    <i r="1">
      <x v="24"/>
      <x v="113"/>
    </i>
    <i r="1">
      <x v="27"/>
      <x v="138"/>
    </i>
    <i r="1">
      <x v="30"/>
      <x v="158"/>
    </i>
    <i>
      <x v="193"/>
      <x v="9"/>
      <x v="3"/>
    </i>
    <i r="1">
      <x v="12"/>
      <x v="28"/>
    </i>
    <i r="1">
      <x v="15"/>
      <x v="47"/>
    </i>
    <i r="1">
      <x v="18"/>
      <x v="72"/>
    </i>
    <i r="1">
      <x v="21"/>
      <x v="92"/>
    </i>
    <i r="1">
      <x v="24"/>
      <x v="111"/>
    </i>
    <i r="1">
      <x v="27"/>
      <x v="136"/>
    </i>
    <i r="1">
      <x v="30"/>
      <x v="156"/>
    </i>
    <i>
      <x v="194"/>
      <x v="9"/>
      <x v="2"/>
    </i>
    <i r="1">
      <x v="12"/>
      <x v="27"/>
    </i>
    <i r="1">
      <x v="15"/>
      <x v="46"/>
    </i>
    <i r="1">
      <x v="18"/>
      <x v="71"/>
    </i>
    <i r="1">
      <x v="21"/>
      <x v="91"/>
    </i>
    <i r="1">
      <x v="24"/>
      <x v="110"/>
    </i>
    <i r="1">
      <x v="27"/>
      <x v="135"/>
    </i>
    <i r="1">
      <x v="30"/>
      <x v="155"/>
    </i>
    <i r="1">
      <x v="33"/>
      <x v="174"/>
    </i>
    <i>
      <x v="195"/>
      <x v="9"/>
      <x v="1"/>
    </i>
    <i r="1">
      <x v="12"/>
      <x v="26"/>
    </i>
    <i r="1">
      <x v="15"/>
      <x v="45"/>
    </i>
    <i r="1">
      <x v="18"/>
      <x v="70"/>
    </i>
    <i r="1">
      <x v="21"/>
      <x v="90"/>
    </i>
    <i r="1">
      <x v="24"/>
      <x v="109"/>
    </i>
    <i r="1">
      <x v="27"/>
      <x v="134"/>
    </i>
    <i r="1">
      <x v="30"/>
      <x v="154"/>
    </i>
    <i r="1">
      <x v="33"/>
      <x v="173"/>
    </i>
    <i>
      <x v="196"/>
      <x v="12"/>
      <x v="25"/>
    </i>
    <i r="1">
      <x v="15"/>
      <x v="44"/>
    </i>
    <i r="1">
      <x v="18"/>
      <x v="69"/>
    </i>
    <i r="1">
      <x v="21"/>
      <x v="89"/>
    </i>
    <i r="1">
      <x v="24"/>
      <x v="108"/>
    </i>
    <i r="1">
      <x v="27"/>
      <x v="133"/>
    </i>
    <i r="1">
      <x v="30"/>
      <x v="153"/>
    </i>
    <i r="1">
      <x v="33"/>
      <x v="172"/>
    </i>
    <i>
      <x v="197"/>
      <x v="12"/>
      <x v="24"/>
    </i>
    <i r="1">
      <x v="15"/>
      <x v="43"/>
    </i>
    <i r="1">
      <x v="18"/>
      <x v="68"/>
    </i>
    <i r="1">
      <x v="21"/>
      <x v="88"/>
    </i>
    <i r="1">
      <x v="24"/>
      <x v="107"/>
    </i>
    <i r="1">
      <x v="27"/>
      <x v="132"/>
    </i>
    <i r="1">
      <x v="30"/>
      <x v="152"/>
    </i>
    <i r="1">
      <x v="33"/>
      <x v="171"/>
    </i>
    <i>
      <x v="198"/>
      <x v="12"/>
      <x v="23"/>
    </i>
    <i r="1">
      <x v="15"/>
      <x v="42"/>
    </i>
    <i r="1">
      <x v="18"/>
      <x v="67"/>
    </i>
    <i r="1">
      <x v="21"/>
      <x v="87"/>
    </i>
    <i r="1">
      <x v="24"/>
      <x v="106"/>
    </i>
    <i r="1">
      <x v="27"/>
      <x v="131"/>
    </i>
    <i r="1">
      <x v="30"/>
      <x v="151"/>
    </i>
    <i r="1">
      <x v="33"/>
      <x v="170"/>
    </i>
    <i>
      <x v="199"/>
      <x v="12"/>
      <x v="22"/>
    </i>
    <i r="1">
      <x v="15"/>
      <x v="41"/>
    </i>
    <i r="1">
      <x v="18"/>
      <x v="66"/>
    </i>
    <i r="1">
      <x v="21"/>
      <x v="86"/>
    </i>
    <i r="1">
      <x v="24"/>
      <x v="105"/>
    </i>
    <i r="1">
      <x v="27"/>
      <x v="130"/>
    </i>
    <i r="1">
      <x v="30"/>
      <x v="150"/>
    </i>
    <i r="1">
      <x v="33"/>
      <x v="169"/>
    </i>
    <i>
      <x v="200"/>
      <x v="12"/>
      <x v="21"/>
    </i>
    <i r="1">
      <x v="15"/>
      <x v="40"/>
    </i>
    <i r="1">
      <x v="18"/>
      <x v="65"/>
    </i>
    <i r="1">
      <x v="21"/>
      <x v="85"/>
    </i>
    <i r="1">
      <x v="24"/>
      <x v="104"/>
    </i>
    <i r="1">
      <x v="27"/>
      <x v="129"/>
    </i>
    <i r="1">
      <x v="30"/>
      <x v="149"/>
    </i>
    <i r="1">
      <x v="33"/>
      <x v="168"/>
    </i>
    <i>
      <x v="201"/>
      <x v="12"/>
      <x v="20"/>
    </i>
    <i r="1">
      <x v="15"/>
      <x v="39"/>
    </i>
    <i r="1">
      <x v="18"/>
      <x v="64"/>
    </i>
    <i r="1">
      <x v="21"/>
      <x v="84"/>
    </i>
    <i r="1">
      <x v="24"/>
      <x v="103"/>
    </i>
    <i r="1">
      <x v="27"/>
      <x v="128"/>
    </i>
    <i r="1">
      <x v="30"/>
      <x v="148"/>
    </i>
    <i r="1">
      <x v="33"/>
      <x v="167"/>
    </i>
    <i>
      <x v="202"/>
      <x v="12"/>
      <x v="19"/>
    </i>
    <i r="1">
      <x v="15"/>
      <x v="38"/>
    </i>
    <i r="1">
      <x v="18"/>
      <x v="63"/>
    </i>
    <i r="1">
      <x v="21"/>
      <x v="83"/>
    </i>
    <i r="1">
      <x v="24"/>
      <x v="102"/>
    </i>
    <i r="1">
      <x v="27"/>
      <x v="127"/>
    </i>
    <i r="1">
      <x v="30"/>
      <x v="147"/>
    </i>
    <i r="1">
      <x v="33"/>
      <x v="166"/>
    </i>
    <i>
      <x v="203"/>
      <x v="12"/>
      <x v="18"/>
    </i>
    <i r="1">
      <x v="15"/>
      <x v="37"/>
    </i>
    <i r="1">
      <x v="18"/>
      <x v="62"/>
    </i>
    <i r="1">
      <x v="21"/>
      <x v="82"/>
    </i>
    <i r="1">
      <x v="24"/>
      <x v="101"/>
    </i>
    <i r="1">
      <x v="27"/>
      <x v="126"/>
    </i>
    <i r="1">
      <x v="30"/>
      <x v="146"/>
    </i>
    <i r="1">
      <x v="33"/>
      <x v="165"/>
    </i>
    <i>
      <x v="204"/>
      <x v="12"/>
      <x v="17"/>
    </i>
    <i r="1">
      <x v="15"/>
      <x v="36"/>
    </i>
    <i r="1">
      <x v="18"/>
      <x v="61"/>
    </i>
    <i r="1">
      <x v="21"/>
      <x v="81"/>
    </i>
    <i r="1">
      <x v="24"/>
      <x v="100"/>
    </i>
    <i r="1">
      <x v="27"/>
      <x v="125"/>
    </i>
    <i r="1">
      <x v="30"/>
      <x v="145"/>
    </i>
    <i r="1">
      <x v="33"/>
      <x v="164"/>
    </i>
    <i>
      <x v="205"/>
      <x/>
      <x v="185"/>
    </i>
    <i r="1">
      <x v="12"/>
      <x v="16"/>
    </i>
    <i r="1">
      <x v="15"/>
      <x v="35"/>
    </i>
    <i r="1">
      <x v="18"/>
      <x v="60"/>
    </i>
    <i r="1">
      <x v="21"/>
      <x v="80"/>
    </i>
    <i r="1">
      <x v="24"/>
      <x v="99"/>
    </i>
    <i r="1">
      <x v="27"/>
      <x v="124"/>
    </i>
    <i r="1">
      <x v="30"/>
      <x v="144"/>
    </i>
    <i r="1">
      <x v="33"/>
      <x v="163"/>
    </i>
    <i>
      <x v="206"/>
      <x v="12"/>
      <x v="15"/>
    </i>
    <i r="1">
      <x v="15"/>
      <x v="34"/>
    </i>
    <i r="1">
      <x v="18"/>
      <x v="59"/>
    </i>
    <i r="1">
      <x v="21"/>
      <x v="79"/>
    </i>
    <i r="1">
      <x v="24"/>
      <x v="98"/>
    </i>
    <i r="1">
      <x v="27"/>
      <x v="123"/>
    </i>
    <i r="1">
      <x v="30"/>
      <x v="143"/>
    </i>
    <i r="1">
      <x v="33"/>
      <x v="162"/>
    </i>
    <i>
      <x v="207"/>
      <x v="12"/>
      <x v="14"/>
    </i>
    <i r="1">
      <x v="15"/>
      <x v="33"/>
    </i>
    <i r="1">
      <x v="18"/>
      <x v="58"/>
    </i>
    <i r="1">
      <x v="21"/>
      <x v="78"/>
    </i>
    <i r="1">
      <x v="24"/>
      <x v="97"/>
    </i>
    <i r="1">
      <x v="27"/>
      <x v="122"/>
    </i>
    <i r="1">
      <x v="30"/>
      <x v="142"/>
    </i>
    <i r="1">
      <x v="33"/>
      <x v="161"/>
    </i>
    <i>
      <x v="208"/>
      <x/>
      <x v="182"/>
    </i>
    <i r="1">
      <x v="12"/>
      <x v="13"/>
    </i>
    <i r="1">
      <x v="15"/>
      <x v="32"/>
    </i>
    <i r="1">
      <x v="18"/>
      <x v="57"/>
    </i>
    <i r="1">
      <x v="21"/>
      <x v="77"/>
    </i>
    <i r="1">
      <x v="24"/>
      <x v="96"/>
    </i>
    <i r="1">
      <x v="27"/>
      <x v="121"/>
    </i>
    <i r="1">
      <x v="30"/>
      <x v="141"/>
    </i>
    <i r="1">
      <x v="33"/>
      <x v="160"/>
    </i>
    <i>
      <x v="209"/>
      <x v="12"/>
      <x v="12"/>
    </i>
    <i r="1">
      <x v="15"/>
      <x v="31"/>
    </i>
    <i r="1">
      <x v="18"/>
      <x v="56"/>
    </i>
    <i r="1">
      <x v="21"/>
      <x v="76"/>
    </i>
    <i r="1">
      <x v="24"/>
      <x v="95"/>
    </i>
    <i r="1">
      <x v="27"/>
      <x v="120"/>
    </i>
    <i r="1">
      <x v="30"/>
      <x v="140"/>
    </i>
    <i r="1">
      <x v="33"/>
      <x v="159"/>
    </i>
    <i>
      <x v="210"/>
      <x v="12"/>
      <x v="11"/>
    </i>
    <i r="1">
      <x v="15"/>
      <x v="30"/>
    </i>
    <i r="1">
      <x v="18"/>
      <x v="55"/>
    </i>
    <i r="1">
      <x v="21"/>
      <x v="75"/>
    </i>
    <i r="1">
      <x v="24"/>
      <x v="94"/>
    </i>
    <i r="1">
      <x v="27"/>
      <x v="119"/>
    </i>
    <i r="1">
      <x v="30"/>
      <x v="139"/>
    </i>
    <i r="1">
      <x v="33"/>
      <x v="158"/>
    </i>
    <i>
      <x v="211"/>
      <x v="12"/>
      <x v="10"/>
    </i>
    <i r="1">
      <x v="15"/>
      <x v="29"/>
    </i>
    <i r="1">
      <x v="18"/>
      <x v="54"/>
    </i>
    <i r="1">
      <x v="21"/>
      <x v="74"/>
    </i>
    <i r="1">
      <x v="24"/>
      <x v="93"/>
    </i>
    <i r="1">
      <x v="27"/>
      <x v="118"/>
    </i>
    <i r="1">
      <x v="30"/>
      <x v="138"/>
    </i>
    <i r="1">
      <x v="33"/>
      <x v="157"/>
    </i>
    <i>
      <x v="212"/>
      <x v="12"/>
      <x v="9"/>
    </i>
    <i r="1">
      <x v="15"/>
      <x v="28"/>
    </i>
    <i r="1">
      <x v="18"/>
      <x v="53"/>
    </i>
    <i r="1">
      <x v="21"/>
      <x v="73"/>
    </i>
    <i r="1">
      <x v="24"/>
      <x v="92"/>
    </i>
    <i r="1">
      <x v="27"/>
      <x v="117"/>
    </i>
    <i r="1">
      <x v="30"/>
      <x v="137"/>
    </i>
    <i r="1">
      <x v="33"/>
      <x v="156"/>
    </i>
    <i>
      <x v="213"/>
      <x v="12"/>
      <x v="8"/>
    </i>
    <i r="1">
      <x v="15"/>
      <x v="27"/>
    </i>
    <i r="1">
      <x v="18"/>
      <x v="52"/>
    </i>
    <i r="1">
      <x v="21"/>
      <x v="72"/>
    </i>
    <i r="1">
      <x v="24"/>
      <x v="91"/>
    </i>
    <i r="1">
      <x v="27"/>
      <x v="116"/>
    </i>
    <i r="1">
      <x v="30"/>
      <x v="136"/>
    </i>
    <i r="1">
      <x v="33"/>
      <x v="155"/>
    </i>
    <i>
      <x v="214"/>
      <x v="12"/>
      <x v="7"/>
    </i>
    <i r="1">
      <x v="15"/>
      <x v="26"/>
    </i>
    <i r="1">
      <x v="18"/>
      <x v="51"/>
    </i>
    <i r="1">
      <x v="21"/>
      <x v="71"/>
    </i>
    <i r="1">
      <x v="24"/>
      <x v="90"/>
    </i>
    <i r="1">
      <x v="27"/>
      <x v="115"/>
    </i>
    <i r="1">
      <x v="30"/>
      <x v="135"/>
    </i>
    <i r="1">
      <x v="33"/>
      <x v="154"/>
    </i>
    <i>
      <x v="215"/>
      <x v="12"/>
      <x v="6"/>
    </i>
    <i r="1">
      <x v="15"/>
      <x v="25"/>
    </i>
    <i r="1">
      <x v="18"/>
      <x v="50"/>
    </i>
    <i r="1">
      <x v="21"/>
      <x v="70"/>
    </i>
    <i r="1">
      <x v="24"/>
      <x v="89"/>
    </i>
    <i r="1">
      <x v="27"/>
      <x v="114"/>
    </i>
    <i r="1">
      <x v="30"/>
      <x v="134"/>
    </i>
    <i r="1">
      <x v="33"/>
      <x v="153"/>
    </i>
    <i>
      <x v="216"/>
      <x v="12"/>
      <x v="5"/>
    </i>
    <i r="1">
      <x v="15"/>
      <x v="24"/>
    </i>
    <i r="1">
      <x v="18"/>
      <x v="49"/>
    </i>
    <i r="1">
      <x v="21"/>
      <x v="69"/>
    </i>
    <i r="1">
      <x v="24"/>
      <x v="88"/>
    </i>
    <i r="1">
      <x v="27"/>
      <x v="113"/>
    </i>
    <i r="1">
      <x v="30"/>
      <x v="133"/>
    </i>
    <i r="1">
      <x v="33"/>
      <x v="152"/>
    </i>
    <i>
      <x v="217"/>
      <x v="12"/>
      <x v="4"/>
    </i>
    <i r="1">
      <x v="15"/>
      <x v="23"/>
    </i>
    <i r="1">
      <x v="18"/>
      <x v="48"/>
    </i>
    <i r="1">
      <x v="21"/>
      <x v="68"/>
    </i>
    <i r="1">
      <x v="24"/>
      <x v="87"/>
    </i>
    <i r="1">
      <x v="27"/>
      <x v="112"/>
    </i>
    <i r="1">
      <x v="30"/>
      <x v="132"/>
    </i>
    <i r="1">
      <x v="33"/>
      <x v="151"/>
    </i>
    <i>
      <x v="218"/>
      <x/>
      <x v="172"/>
    </i>
    <i r="1">
      <x v="12"/>
      <x v="3"/>
    </i>
    <i r="1">
      <x v="15"/>
      <x v="22"/>
    </i>
    <i r="1">
      <x v="18"/>
      <x v="47"/>
    </i>
    <i r="1">
      <x v="21"/>
      <x v="67"/>
    </i>
    <i r="1">
      <x v="24"/>
      <x v="86"/>
    </i>
    <i r="1">
      <x v="27"/>
      <x v="111"/>
    </i>
    <i r="1">
      <x v="30"/>
      <x v="131"/>
    </i>
    <i r="1">
      <x v="33"/>
      <x v="150"/>
    </i>
    <i>
      <x v="219"/>
      <x/>
      <x v="171"/>
    </i>
    <i r="1">
      <x v="12"/>
      <x v="2"/>
    </i>
    <i r="1">
      <x v="15"/>
      <x v="21"/>
    </i>
    <i r="1">
      <x v="18"/>
      <x v="46"/>
    </i>
    <i r="1">
      <x v="21"/>
      <x v="66"/>
    </i>
    <i r="1">
      <x v="24"/>
      <x v="85"/>
    </i>
    <i r="1">
      <x v="27"/>
      <x v="110"/>
    </i>
    <i r="1">
      <x v="30"/>
      <x v="130"/>
    </i>
    <i r="1">
      <x v="33"/>
      <x v="149"/>
    </i>
    <i>
      <x v="220"/>
      <x/>
      <x v="170"/>
    </i>
    <i r="1">
      <x v="12"/>
      <x v="1"/>
    </i>
    <i r="1">
      <x v="15"/>
      <x v="20"/>
    </i>
    <i r="1">
      <x v="18"/>
      <x v="45"/>
    </i>
    <i r="1">
      <x v="21"/>
      <x v="65"/>
    </i>
    <i r="1">
      <x v="24"/>
      <x v="84"/>
    </i>
    <i r="1">
      <x v="27"/>
      <x v="109"/>
    </i>
    <i r="1">
      <x v="30"/>
      <x v="129"/>
    </i>
    <i r="1">
      <x v="33"/>
      <x v="148"/>
    </i>
    <i>
      <x v="221"/>
      <x/>
      <x v="169"/>
    </i>
    <i r="1">
      <x v="15"/>
      <x v="19"/>
    </i>
    <i r="1">
      <x v="18"/>
      <x v="44"/>
    </i>
    <i r="1">
      <x v="21"/>
      <x v="64"/>
    </i>
    <i r="1">
      <x v="24"/>
      <x v="83"/>
    </i>
    <i r="1">
      <x v="27"/>
      <x v="108"/>
    </i>
    <i r="1">
      <x v="30"/>
      <x v="128"/>
    </i>
    <i r="1">
      <x v="33"/>
      <x v="147"/>
    </i>
    <i>
      <x v="222"/>
      <x/>
      <x v="168"/>
    </i>
    <i r="1">
      <x v="15"/>
      <x v="18"/>
    </i>
    <i r="1">
      <x v="18"/>
      <x v="43"/>
    </i>
    <i r="1">
      <x v="21"/>
      <x v="63"/>
    </i>
    <i r="1">
      <x v="24"/>
      <x v="82"/>
    </i>
    <i r="1">
      <x v="27"/>
      <x v="107"/>
    </i>
    <i r="1">
      <x v="30"/>
      <x v="127"/>
    </i>
    <i r="1">
      <x v="33"/>
      <x v="146"/>
    </i>
    <i>
      <x v="223"/>
      <x/>
      <x v="167"/>
    </i>
    <i r="1">
      <x v="15"/>
      <x v="17"/>
    </i>
    <i r="1">
      <x v="18"/>
      <x v="42"/>
    </i>
    <i r="1">
      <x v="21"/>
      <x v="62"/>
    </i>
    <i r="1">
      <x v="24"/>
      <x v="81"/>
    </i>
    <i r="1">
      <x v="27"/>
      <x v="106"/>
    </i>
    <i r="1">
      <x v="30"/>
      <x v="126"/>
    </i>
    <i r="1">
      <x v="33"/>
      <x v="145"/>
    </i>
    <i>
      <x v="224"/>
      <x/>
      <x v="166"/>
    </i>
    <i r="1">
      <x v="15"/>
      <x v="16"/>
    </i>
    <i r="1">
      <x v="18"/>
      <x v="41"/>
    </i>
    <i r="1">
      <x v="21"/>
      <x v="61"/>
    </i>
    <i r="1">
      <x v="24"/>
      <x v="80"/>
    </i>
    <i r="1">
      <x v="27"/>
      <x v="105"/>
    </i>
    <i r="1">
      <x v="30"/>
      <x v="125"/>
    </i>
    <i r="1">
      <x v="33"/>
      <x v="144"/>
    </i>
    <i>
      <x v="225"/>
      <x/>
      <x v="165"/>
    </i>
    <i r="1">
      <x v="15"/>
      <x v="15"/>
    </i>
    <i r="1">
      <x v="18"/>
      <x v="40"/>
    </i>
    <i r="1">
      <x v="21"/>
      <x v="60"/>
    </i>
    <i r="1">
      <x v="24"/>
      <x v="79"/>
    </i>
    <i r="1">
      <x v="27"/>
      <x v="104"/>
    </i>
    <i r="1">
      <x v="30"/>
      <x v="124"/>
    </i>
    <i r="1">
      <x v="33"/>
      <x v="143"/>
    </i>
    <i>
      <x v="226"/>
      <x/>
      <x v="164"/>
    </i>
    <i r="1">
      <x v="15"/>
      <x v="14"/>
    </i>
    <i r="1">
      <x v="18"/>
      <x v="39"/>
    </i>
    <i r="1">
      <x v="21"/>
      <x v="59"/>
    </i>
    <i r="1">
      <x v="24"/>
      <x v="78"/>
    </i>
    <i r="1">
      <x v="27"/>
      <x v="103"/>
    </i>
    <i r="1">
      <x v="30"/>
      <x v="123"/>
    </i>
    <i r="1">
      <x v="33"/>
      <x v="142"/>
    </i>
    <i>
      <x v="227"/>
      <x/>
      <x v="163"/>
    </i>
    <i r="1">
      <x v="15"/>
      <x v="13"/>
    </i>
    <i r="1">
      <x v="18"/>
      <x v="38"/>
    </i>
    <i r="1">
      <x v="21"/>
      <x v="58"/>
    </i>
    <i r="1">
      <x v="24"/>
      <x v="77"/>
    </i>
    <i r="1">
      <x v="27"/>
      <x v="102"/>
    </i>
    <i r="1">
      <x v="30"/>
      <x v="122"/>
    </i>
    <i r="1">
      <x v="33"/>
      <x v="141"/>
    </i>
    <i>
      <x v="228"/>
      <x/>
      <x v="162"/>
    </i>
    <i r="1">
      <x v="15"/>
      <x v="12"/>
    </i>
    <i r="1">
      <x v="18"/>
      <x v="37"/>
    </i>
    <i r="1">
      <x v="21"/>
      <x v="57"/>
    </i>
    <i r="1">
      <x v="24"/>
      <x v="76"/>
    </i>
    <i r="1">
      <x v="27"/>
      <x v="101"/>
    </i>
    <i r="1">
      <x v="30"/>
      <x v="121"/>
    </i>
    <i r="1">
      <x v="33"/>
      <x v="140"/>
    </i>
    <i>
      <x v="229"/>
      <x/>
      <x v="161"/>
    </i>
    <i r="1">
      <x v="15"/>
      <x v="11"/>
    </i>
    <i r="1">
      <x v="18"/>
      <x v="36"/>
    </i>
    <i r="1">
      <x v="21"/>
      <x v="56"/>
    </i>
    <i r="1">
      <x v="24"/>
      <x v="75"/>
    </i>
    <i r="1">
      <x v="27"/>
      <x v="100"/>
    </i>
    <i r="1">
      <x v="30"/>
      <x v="120"/>
    </i>
    <i r="1">
      <x v="33"/>
      <x v="139"/>
    </i>
    <i>
      <x v="230"/>
      <x/>
      <x v="160"/>
    </i>
    <i r="1">
      <x v="3"/>
      <x v="179"/>
    </i>
    <i r="1">
      <x v="15"/>
      <x v="10"/>
    </i>
    <i r="1">
      <x v="18"/>
      <x v="35"/>
    </i>
    <i r="1">
      <x v="21"/>
      <x v="55"/>
    </i>
    <i r="1">
      <x v="24"/>
      <x v="74"/>
    </i>
    <i r="1">
      <x v="27"/>
      <x v="99"/>
    </i>
    <i r="1">
      <x v="30"/>
      <x v="119"/>
    </i>
    <i r="1">
      <x v="33"/>
      <x v="138"/>
    </i>
    <i>
      <x v="231"/>
      <x/>
      <x v="159"/>
    </i>
    <i r="1">
      <x v="15"/>
      <x v="9"/>
    </i>
    <i r="1">
      <x v="18"/>
      <x v="34"/>
    </i>
    <i r="1">
      <x v="21"/>
      <x v="54"/>
    </i>
    <i r="1">
      <x v="24"/>
      <x v="73"/>
    </i>
    <i r="1">
      <x v="27"/>
      <x v="98"/>
    </i>
    <i r="1">
      <x v="30"/>
      <x v="118"/>
    </i>
    <i r="1">
      <x v="33"/>
      <x v="137"/>
    </i>
    <i>
      <x v="232"/>
      <x/>
      <x v="158"/>
    </i>
    <i r="1">
      <x v="3"/>
      <x v="177"/>
    </i>
    <i r="1">
      <x v="15"/>
      <x v="8"/>
    </i>
    <i r="1">
      <x v="18"/>
      <x v="33"/>
    </i>
    <i r="1">
      <x v="21"/>
      <x v="53"/>
    </i>
    <i r="1">
      <x v="24"/>
      <x v="72"/>
    </i>
    <i r="1">
      <x v="27"/>
      <x v="97"/>
    </i>
    <i r="1">
      <x v="30"/>
      <x v="117"/>
    </i>
    <i r="1">
      <x v="33"/>
      <x v="136"/>
    </i>
    <i>
      <x v="233"/>
      <x/>
      <x v="157"/>
    </i>
    <i r="1">
      <x v="15"/>
      <x v="7"/>
    </i>
    <i r="1">
      <x v="18"/>
      <x v="32"/>
    </i>
    <i r="1">
      <x v="21"/>
      <x v="52"/>
    </i>
    <i r="1">
      <x v="24"/>
      <x v="71"/>
    </i>
    <i r="1">
      <x v="27"/>
      <x v="96"/>
    </i>
    <i r="1">
      <x v="30"/>
      <x v="116"/>
    </i>
    <i r="1">
      <x v="33"/>
      <x v="135"/>
    </i>
    <i>
      <x v="234"/>
      <x/>
      <x v="156"/>
    </i>
    <i r="1">
      <x v="3"/>
      <x v="175"/>
    </i>
    <i r="1">
      <x v="15"/>
      <x v="6"/>
    </i>
    <i r="1">
      <x v="18"/>
      <x v="31"/>
    </i>
    <i r="1">
      <x v="21"/>
      <x v="51"/>
    </i>
    <i r="1">
      <x v="24"/>
      <x v="70"/>
    </i>
    <i r="1">
      <x v="27"/>
      <x v="95"/>
    </i>
    <i r="1">
      <x v="30"/>
      <x v="115"/>
    </i>
    <i r="1">
      <x v="33"/>
      <x v="134"/>
    </i>
    <i>
      <x v="235"/>
      <x/>
      <x v="155"/>
    </i>
    <i r="1">
      <x v="3"/>
      <x v="174"/>
    </i>
    <i r="1">
      <x v="15"/>
      <x v="5"/>
    </i>
    <i r="1">
      <x v="18"/>
      <x v="30"/>
    </i>
    <i r="1">
      <x v="21"/>
      <x v="50"/>
    </i>
    <i r="1">
      <x v="24"/>
      <x v="69"/>
    </i>
    <i r="1">
      <x v="27"/>
      <x v="94"/>
    </i>
    <i r="1">
      <x v="30"/>
      <x v="114"/>
    </i>
    <i r="1">
      <x v="33"/>
      <x v="133"/>
    </i>
    <i>
      <x v="236"/>
      <x/>
      <x v="154"/>
    </i>
    <i r="1">
      <x v="3"/>
      <x v="173"/>
    </i>
    <i r="1">
      <x v="15"/>
      <x v="4"/>
    </i>
    <i r="1">
      <x v="18"/>
      <x v="29"/>
    </i>
    <i r="1">
      <x v="21"/>
      <x v="49"/>
    </i>
    <i r="1">
      <x v="24"/>
      <x v="68"/>
    </i>
    <i r="1">
      <x v="27"/>
      <x v="93"/>
    </i>
    <i r="1">
      <x v="30"/>
      <x v="113"/>
    </i>
    <i r="1">
      <x v="33"/>
      <x v="132"/>
    </i>
    <i>
      <x v="237"/>
      <x/>
      <x v="153"/>
    </i>
    <i r="1">
      <x v="15"/>
      <x v="3"/>
    </i>
    <i r="1">
      <x v="18"/>
      <x v="28"/>
    </i>
    <i r="1">
      <x v="21"/>
      <x v="48"/>
    </i>
    <i r="1">
      <x v="24"/>
      <x v="67"/>
    </i>
    <i r="1">
      <x v="27"/>
      <x v="92"/>
    </i>
    <i r="1">
      <x v="30"/>
      <x v="112"/>
    </i>
    <i r="1">
      <x v="33"/>
      <x v="131"/>
    </i>
    <i>
      <x v="238"/>
      <x/>
      <x v="152"/>
    </i>
    <i r="1">
      <x v="15"/>
      <x v="2"/>
    </i>
    <i r="1">
      <x v="18"/>
      <x v="27"/>
    </i>
    <i r="1">
      <x v="21"/>
      <x v="47"/>
    </i>
    <i r="1">
      <x v="24"/>
      <x v="66"/>
    </i>
    <i r="1">
      <x v="27"/>
      <x v="91"/>
    </i>
    <i r="1">
      <x v="30"/>
      <x v="111"/>
    </i>
    <i r="1">
      <x v="33"/>
      <x v="130"/>
    </i>
    <i>
      <x v="239"/>
      <x/>
      <x v="151"/>
    </i>
    <i r="1">
      <x v="3"/>
      <x v="170"/>
    </i>
    <i r="1">
      <x v="15"/>
      <x v="1"/>
    </i>
    <i r="1">
      <x v="18"/>
      <x v="26"/>
    </i>
    <i r="1">
      <x v="21"/>
      <x v="46"/>
    </i>
    <i r="1">
      <x v="24"/>
      <x v="65"/>
    </i>
    <i r="1">
      <x v="27"/>
      <x v="90"/>
    </i>
    <i r="1">
      <x v="30"/>
      <x v="110"/>
    </i>
    <i r="1">
      <x v="33"/>
      <x v="129"/>
    </i>
    <i>
      <x v="240"/>
      <x/>
      <x v="150"/>
    </i>
    <i r="1">
      <x v="3"/>
      <x v="169"/>
    </i>
    <i r="1">
      <x v="18"/>
      <x v="25"/>
    </i>
    <i r="1">
      <x v="21"/>
      <x v="45"/>
    </i>
    <i r="1">
      <x v="24"/>
      <x v="64"/>
    </i>
    <i r="1">
      <x v="27"/>
      <x v="89"/>
    </i>
    <i r="1">
      <x v="30"/>
      <x v="109"/>
    </i>
    <i r="1">
      <x v="33"/>
      <x v="128"/>
    </i>
    <i>
      <x v="241"/>
      <x/>
      <x v="149"/>
    </i>
    <i r="1">
      <x v="3"/>
      <x v="168"/>
    </i>
    <i r="1">
      <x v="18"/>
      <x v="24"/>
    </i>
    <i r="1">
      <x v="21"/>
      <x v="44"/>
    </i>
    <i r="1">
      <x v="24"/>
      <x v="63"/>
    </i>
    <i r="1">
      <x v="27"/>
      <x v="88"/>
    </i>
    <i r="1">
      <x v="30"/>
      <x v="108"/>
    </i>
    <i r="1">
      <x v="33"/>
      <x v="127"/>
    </i>
    <i>
      <x v="242"/>
      <x/>
      <x v="148"/>
    </i>
    <i r="1">
      <x v="3"/>
      <x v="167"/>
    </i>
    <i r="1">
      <x v="18"/>
      <x v="23"/>
    </i>
    <i r="1">
      <x v="21"/>
      <x v="43"/>
    </i>
    <i r="1">
      <x v="24"/>
      <x v="62"/>
    </i>
    <i r="1">
      <x v="27"/>
      <x v="87"/>
    </i>
    <i r="1">
      <x v="30"/>
      <x v="107"/>
    </i>
    <i r="1">
      <x v="33"/>
      <x v="126"/>
    </i>
    <i>
      <x v="243"/>
      <x/>
      <x v="147"/>
    </i>
    <i r="1">
      <x v="3"/>
      <x v="166"/>
    </i>
    <i r="1">
      <x v="18"/>
      <x v="22"/>
    </i>
    <i r="1">
      <x v="21"/>
      <x v="42"/>
    </i>
    <i r="1">
      <x v="24"/>
      <x v="61"/>
    </i>
    <i r="1">
      <x v="27"/>
      <x v="86"/>
    </i>
    <i r="1">
      <x v="30"/>
      <x v="106"/>
    </i>
    <i r="1">
      <x v="33"/>
      <x v="125"/>
    </i>
    <i>
      <x v="244"/>
      <x/>
      <x v="146"/>
    </i>
    <i r="1">
      <x v="3"/>
      <x v="165"/>
    </i>
    <i r="1">
      <x v="18"/>
      <x v="21"/>
    </i>
    <i r="1">
      <x v="21"/>
      <x v="41"/>
    </i>
    <i r="1">
      <x v="24"/>
      <x v="60"/>
    </i>
    <i r="1">
      <x v="27"/>
      <x v="85"/>
    </i>
    <i r="1">
      <x v="30"/>
      <x v="105"/>
    </i>
    <i r="1">
      <x v="33"/>
      <x v="124"/>
    </i>
    <i>
      <x v="245"/>
      <x/>
      <x v="145"/>
    </i>
    <i r="1">
      <x v="3"/>
      <x v="164"/>
    </i>
    <i r="1">
      <x v="18"/>
      <x v="20"/>
    </i>
    <i r="1">
      <x v="21"/>
      <x v="40"/>
    </i>
    <i r="1">
      <x v="24"/>
      <x v="59"/>
    </i>
    <i r="1">
      <x v="27"/>
      <x v="84"/>
    </i>
    <i r="1">
      <x v="30"/>
      <x v="104"/>
    </i>
    <i r="1">
      <x v="33"/>
      <x v="123"/>
    </i>
    <i>
      <x v="246"/>
      <x/>
      <x v="144"/>
    </i>
    <i r="1">
      <x v="3"/>
      <x v="163"/>
    </i>
    <i r="1">
      <x v="18"/>
      <x v="19"/>
    </i>
    <i r="1">
      <x v="21"/>
      <x v="39"/>
    </i>
    <i r="1">
      <x v="24"/>
      <x v="58"/>
    </i>
    <i r="1">
      <x v="27"/>
      <x v="83"/>
    </i>
    <i r="1">
      <x v="30"/>
      <x v="103"/>
    </i>
    <i r="1">
      <x v="33"/>
      <x v="122"/>
    </i>
    <i>
      <x v="247"/>
      <x/>
      <x v="143"/>
    </i>
    <i r="1">
      <x v="3"/>
      <x v="162"/>
    </i>
    <i r="1">
      <x v="18"/>
      <x v="18"/>
    </i>
    <i r="1">
      <x v="21"/>
      <x v="38"/>
    </i>
    <i r="1">
      <x v="24"/>
      <x v="57"/>
    </i>
    <i r="1">
      <x v="27"/>
      <x v="82"/>
    </i>
    <i r="1">
      <x v="30"/>
      <x v="102"/>
    </i>
    <i r="1">
      <x v="33"/>
      <x v="121"/>
    </i>
    <i>
      <x v="248"/>
      <x/>
      <x v="142"/>
    </i>
    <i r="1">
      <x v="3"/>
      <x v="161"/>
    </i>
    <i r="1">
      <x v="18"/>
      <x v="17"/>
    </i>
    <i r="1">
      <x v="21"/>
      <x v="37"/>
    </i>
    <i r="1">
      <x v="24"/>
      <x v="56"/>
    </i>
    <i r="1">
      <x v="27"/>
      <x v="81"/>
    </i>
    <i r="1">
      <x v="30"/>
      <x v="101"/>
    </i>
    <i r="1">
      <x v="33"/>
      <x v="120"/>
    </i>
    <i>
      <x v="249"/>
      <x/>
      <x v="141"/>
    </i>
    <i r="1">
      <x v="3"/>
      <x v="160"/>
    </i>
    <i r="1">
      <x v="18"/>
      <x v="16"/>
    </i>
    <i r="1">
      <x v="21"/>
      <x v="36"/>
    </i>
    <i r="1">
      <x v="24"/>
      <x v="55"/>
    </i>
    <i r="1">
      <x v="27"/>
      <x v="80"/>
    </i>
    <i r="1">
      <x v="30"/>
      <x v="100"/>
    </i>
    <i r="1">
      <x v="33"/>
      <x v="119"/>
    </i>
    <i>
      <x v="250"/>
      <x/>
      <x v="140"/>
    </i>
    <i r="1">
      <x v="3"/>
      <x v="159"/>
    </i>
    <i r="1">
      <x v="18"/>
      <x v="15"/>
    </i>
    <i r="1">
      <x v="21"/>
      <x v="35"/>
    </i>
    <i r="1">
      <x v="24"/>
      <x v="54"/>
    </i>
    <i r="1">
      <x v="27"/>
      <x v="79"/>
    </i>
    <i r="1">
      <x v="30"/>
      <x v="99"/>
    </i>
    <i r="1">
      <x v="33"/>
      <x v="118"/>
    </i>
    <i>
      <x v="251"/>
      <x/>
      <x v="138"/>
    </i>
    <i r="1">
      <x v="3"/>
      <x v="157"/>
    </i>
    <i r="1">
      <x v="18"/>
      <x v="13"/>
    </i>
    <i r="1">
      <x v="21"/>
      <x v="33"/>
    </i>
    <i r="1">
      <x v="24"/>
      <x v="52"/>
    </i>
    <i r="1">
      <x v="27"/>
      <x v="77"/>
    </i>
    <i r="1">
      <x v="30"/>
      <x v="97"/>
    </i>
    <i r="1">
      <x v="33"/>
      <x v="116"/>
    </i>
    <i>
      <x v="252"/>
      <x/>
      <x v="137"/>
    </i>
    <i r="1">
      <x v="3"/>
      <x v="156"/>
    </i>
    <i r="1">
      <x v="18"/>
      <x v="12"/>
    </i>
    <i r="1">
      <x v="21"/>
      <x v="32"/>
    </i>
    <i r="1">
      <x v="24"/>
      <x v="51"/>
    </i>
    <i r="1">
      <x v="27"/>
      <x v="76"/>
    </i>
    <i r="1">
      <x v="30"/>
      <x v="96"/>
    </i>
    <i r="1">
      <x v="33"/>
      <x v="115"/>
    </i>
    <i>
      <x v="253"/>
      <x/>
      <x v="136"/>
    </i>
    <i r="1">
      <x v="3"/>
      <x v="155"/>
    </i>
    <i r="1">
      <x v="18"/>
      <x v="11"/>
    </i>
    <i r="1">
      <x v="21"/>
      <x v="31"/>
    </i>
    <i r="1">
      <x v="24"/>
      <x v="50"/>
    </i>
    <i r="1">
      <x v="27"/>
      <x v="75"/>
    </i>
    <i r="1">
      <x v="30"/>
      <x v="95"/>
    </i>
    <i r="1">
      <x v="33"/>
      <x v="114"/>
    </i>
    <i>
      <x v="254"/>
      <x/>
      <x v="135"/>
    </i>
    <i r="1">
      <x v="3"/>
      <x v="154"/>
    </i>
    <i r="1">
      <x v="18"/>
      <x v="10"/>
    </i>
    <i r="1">
      <x v="21"/>
      <x v="30"/>
    </i>
    <i r="1">
      <x v="24"/>
      <x v="49"/>
    </i>
    <i r="1">
      <x v="27"/>
      <x v="74"/>
    </i>
    <i r="1">
      <x v="30"/>
      <x v="94"/>
    </i>
    <i r="1">
      <x v="33"/>
      <x v="113"/>
    </i>
    <i>
      <x v="255"/>
      <x/>
      <x v="134"/>
    </i>
    <i r="1">
      <x v="3"/>
      <x v="153"/>
    </i>
    <i r="1">
      <x v="18"/>
      <x v="9"/>
    </i>
    <i r="1">
      <x v="21"/>
      <x v="29"/>
    </i>
    <i r="1">
      <x v="24"/>
      <x v="48"/>
    </i>
    <i r="1">
      <x v="27"/>
      <x v="73"/>
    </i>
    <i r="1">
      <x v="30"/>
      <x v="93"/>
    </i>
    <i r="1">
      <x v="33"/>
      <x v="112"/>
    </i>
    <i>
      <x v="256"/>
      <x/>
      <x v="133"/>
    </i>
    <i r="1">
      <x v="3"/>
      <x v="152"/>
    </i>
    <i r="1">
      <x v="18"/>
      <x v="8"/>
    </i>
    <i r="1">
      <x v="21"/>
      <x v="28"/>
    </i>
    <i r="1">
      <x v="24"/>
      <x v="47"/>
    </i>
    <i r="1">
      <x v="27"/>
      <x v="72"/>
    </i>
    <i r="1">
      <x v="30"/>
      <x v="92"/>
    </i>
    <i r="1">
      <x v="33"/>
      <x v="111"/>
    </i>
    <i>
      <x v="257"/>
      <x/>
      <x v="132"/>
    </i>
    <i r="1">
      <x v="3"/>
      <x v="151"/>
    </i>
    <i r="1">
      <x v="18"/>
      <x v="7"/>
    </i>
    <i r="1">
      <x v="21"/>
      <x v="27"/>
    </i>
    <i r="1">
      <x v="24"/>
      <x v="46"/>
    </i>
    <i r="1">
      <x v="27"/>
      <x v="71"/>
    </i>
    <i r="1">
      <x v="30"/>
      <x v="91"/>
    </i>
    <i r="1">
      <x v="33"/>
      <x v="110"/>
    </i>
    <i>
      <x v="258"/>
      <x/>
      <x v="131"/>
    </i>
    <i r="1">
      <x v="3"/>
      <x v="150"/>
    </i>
    <i r="1">
      <x v="18"/>
      <x v="6"/>
    </i>
    <i r="1">
      <x v="21"/>
      <x v="26"/>
    </i>
    <i r="1">
      <x v="24"/>
      <x v="45"/>
    </i>
    <i r="1">
      <x v="27"/>
      <x v="70"/>
    </i>
    <i r="1">
      <x v="30"/>
      <x v="90"/>
    </i>
    <i r="1">
      <x v="33"/>
      <x v="109"/>
    </i>
    <i>
      <x v="259"/>
      <x/>
      <x v="130"/>
    </i>
    <i r="1">
      <x v="3"/>
      <x v="149"/>
    </i>
    <i r="1">
      <x v="7"/>
      <x v="169"/>
    </i>
    <i r="1">
      <x v="18"/>
      <x v="5"/>
    </i>
    <i r="1">
      <x v="21"/>
      <x v="25"/>
    </i>
    <i r="1">
      <x v="24"/>
      <x v="44"/>
    </i>
    <i r="1">
      <x v="27"/>
      <x v="69"/>
    </i>
    <i r="1">
      <x v="30"/>
      <x v="89"/>
    </i>
    <i r="1">
      <x v="33"/>
      <x v="108"/>
    </i>
    <i>
      <x v="260"/>
      <x/>
      <x v="129"/>
    </i>
    <i r="1">
      <x v="3"/>
      <x v="148"/>
    </i>
    <i r="1">
      <x v="7"/>
      <x v="168"/>
    </i>
    <i r="1">
      <x v="18"/>
      <x v="4"/>
    </i>
    <i r="1">
      <x v="21"/>
      <x v="24"/>
    </i>
    <i r="1">
      <x v="24"/>
      <x v="43"/>
    </i>
    <i r="1">
      <x v="27"/>
      <x v="68"/>
    </i>
    <i r="1">
      <x v="30"/>
      <x v="88"/>
    </i>
    <i r="1">
      <x v="33"/>
      <x v="107"/>
    </i>
    <i>
      <x v="261"/>
      <x/>
      <x v="128"/>
    </i>
    <i r="1">
      <x v="3"/>
      <x v="147"/>
    </i>
    <i r="1">
      <x v="18"/>
      <x v="3"/>
    </i>
    <i r="1">
      <x v="21"/>
      <x v="23"/>
    </i>
    <i r="1">
      <x v="24"/>
      <x v="42"/>
    </i>
    <i r="1">
      <x v="27"/>
      <x v="67"/>
    </i>
    <i r="1">
      <x v="30"/>
      <x v="87"/>
    </i>
    <i r="1">
      <x v="33"/>
      <x v="106"/>
    </i>
    <i>
      <x v="262"/>
      <x/>
      <x v="127"/>
    </i>
    <i r="1">
      <x v="3"/>
      <x v="146"/>
    </i>
    <i r="1">
      <x v="18"/>
      <x v="2"/>
    </i>
    <i r="1">
      <x v="21"/>
      <x v="22"/>
    </i>
    <i r="1">
      <x v="24"/>
      <x v="41"/>
    </i>
    <i r="1">
      <x v="27"/>
      <x v="66"/>
    </i>
    <i r="1">
      <x v="30"/>
      <x v="86"/>
    </i>
    <i r="1">
      <x v="33"/>
      <x v="105"/>
    </i>
    <i>
      <x v="263"/>
      <x/>
      <x v="126"/>
    </i>
    <i r="1">
      <x v="3"/>
      <x v="145"/>
    </i>
    <i r="1">
      <x v="18"/>
      <x v="1"/>
    </i>
    <i r="1">
      <x v="21"/>
      <x v="21"/>
    </i>
    <i r="1">
      <x v="24"/>
      <x v="40"/>
    </i>
    <i r="1">
      <x v="27"/>
      <x v="65"/>
    </i>
    <i r="1">
      <x v="30"/>
      <x v="85"/>
    </i>
    <i r="1">
      <x v="33"/>
      <x v="104"/>
    </i>
    <i>
      <x v="264"/>
      <x/>
      <x v="125"/>
    </i>
    <i r="1">
      <x v="3"/>
      <x v="144"/>
    </i>
    <i r="1">
      <x v="7"/>
      <x v="164"/>
    </i>
    <i r="1">
      <x v="21"/>
      <x v="20"/>
    </i>
    <i r="1">
      <x v="24"/>
      <x v="39"/>
    </i>
    <i r="1">
      <x v="27"/>
      <x v="64"/>
    </i>
    <i r="1">
      <x v="30"/>
      <x v="84"/>
    </i>
    <i r="1">
      <x v="33"/>
      <x v="103"/>
    </i>
    <i>
      <x v="265"/>
      <x/>
      <x v="124"/>
    </i>
    <i r="1">
      <x v="3"/>
      <x v="143"/>
    </i>
    <i r="1">
      <x v="7"/>
      <x v="163"/>
    </i>
    <i r="1">
      <x v="21"/>
      <x v="19"/>
    </i>
    <i r="1">
      <x v="24"/>
      <x v="38"/>
    </i>
    <i r="1">
      <x v="27"/>
      <x v="63"/>
    </i>
    <i r="1">
      <x v="30"/>
      <x v="83"/>
    </i>
    <i r="1">
      <x v="33"/>
      <x v="102"/>
    </i>
    <i>
      <x v="266"/>
      <x/>
      <x v="123"/>
    </i>
    <i r="1">
      <x v="3"/>
      <x v="142"/>
    </i>
    <i r="1">
      <x v="7"/>
      <x v="162"/>
    </i>
    <i r="1">
      <x v="21"/>
      <x v="18"/>
    </i>
    <i r="1">
      <x v="24"/>
      <x v="37"/>
    </i>
    <i r="1">
      <x v="27"/>
      <x v="62"/>
    </i>
    <i r="1">
      <x v="30"/>
      <x v="82"/>
    </i>
    <i r="1">
      <x v="33"/>
      <x v="101"/>
    </i>
    <i>
      <x v="267"/>
      <x/>
      <x v="122"/>
    </i>
    <i r="1">
      <x v="3"/>
      <x v="141"/>
    </i>
    <i r="1">
      <x v="7"/>
      <x v="161"/>
    </i>
    <i r="1">
      <x v="21"/>
      <x v="17"/>
    </i>
    <i r="1">
      <x v="24"/>
      <x v="36"/>
    </i>
    <i r="1">
      <x v="27"/>
      <x v="61"/>
    </i>
    <i r="1">
      <x v="30"/>
      <x v="81"/>
    </i>
    <i r="1">
      <x v="33"/>
      <x v="100"/>
    </i>
    <i>
      <x v="268"/>
      <x/>
      <x v="121"/>
    </i>
    <i r="1">
      <x v="3"/>
      <x v="140"/>
    </i>
    <i r="1">
      <x v="7"/>
      <x v="160"/>
    </i>
    <i r="1">
      <x v="21"/>
      <x v="16"/>
    </i>
    <i r="1">
      <x v="24"/>
      <x v="35"/>
    </i>
    <i r="1">
      <x v="27"/>
      <x v="60"/>
    </i>
    <i r="1">
      <x v="30"/>
      <x v="80"/>
    </i>
    <i r="1">
      <x v="33"/>
      <x v="99"/>
    </i>
    <i>
      <x v="269"/>
      <x/>
      <x v="120"/>
    </i>
    <i r="1">
      <x v="3"/>
      <x v="139"/>
    </i>
    <i r="1">
      <x v="7"/>
      <x v="159"/>
    </i>
    <i r="1">
      <x v="21"/>
      <x v="15"/>
    </i>
    <i r="1">
      <x v="24"/>
      <x v="34"/>
    </i>
    <i r="1">
      <x v="27"/>
      <x v="59"/>
    </i>
    <i r="1">
      <x v="30"/>
      <x v="79"/>
    </i>
    <i r="1">
      <x v="33"/>
      <x v="98"/>
    </i>
    <i>
      <x v="270"/>
      <x/>
      <x v="119"/>
    </i>
    <i r="1">
      <x v="3"/>
      <x v="138"/>
    </i>
    <i r="1">
      <x v="7"/>
      <x v="158"/>
    </i>
    <i r="1">
      <x v="21"/>
      <x v="14"/>
    </i>
    <i r="1">
      <x v="24"/>
      <x v="33"/>
    </i>
    <i r="1">
      <x v="27"/>
      <x v="58"/>
    </i>
    <i r="1">
      <x v="30"/>
      <x v="78"/>
    </i>
    <i r="1">
      <x v="33"/>
      <x v="97"/>
    </i>
    <i>
      <x v="271"/>
      <x/>
      <x v="118"/>
    </i>
    <i r="1">
      <x v="3"/>
      <x v="137"/>
    </i>
    <i r="1">
      <x v="7"/>
      <x v="157"/>
    </i>
    <i r="1">
      <x v="21"/>
      <x v="13"/>
    </i>
    <i r="1">
      <x v="24"/>
      <x v="32"/>
    </i>
    <i r="1">
      <x v="27"/>
      <x v="57"/>
    </i>
    <i r="1">
      <x v="30"/>
      <x v="77"/>
    </i>
    <i r="1">
      <x v="33"/>
      <x v="96"/>
    </i>
    <i>
      <x v="272"/>
      <x/>
      <x v="117"/>
    </i>
    <i r="1">
      <x v="3"/>
      <x v="136"/>
    </i>
    <i r="1">
      <x v="7"/>
      <x v="156"/>
    </i>
    <i r="1">
      <x v="21"/>
      <x v="12"/>
    </i>
    <i r="1">
      <x v="24"/>
      <x v="31"/>
    </i>
    <i r="1">
      <x v="27"/>
      <x v="56"/>
    </i>
    <i r="1">
      <x v="30"/>
      <x v="76"/>
    </i>
    <i r="1">
      <x v="33"/>
      <x v="95"/>
    </i>
    <i>
      <x v="273"/>
      <x/>
      <x v="116"/>
    </i>
    <i r="1">
      <x v="3"/>
      <x v="135"/>
    </i>
    <i r="1">
      <x v="7"/>
      <x v="155"/>
    </i>
    <i r="1">
      <x v="21"/>
      <x v="11"/>
    </i>
    <i r="1">
      <x v="24"/>
      <x v="30"/>
    </i>
    <i r="1">
      <x v="27"/>
      <x v="55"/>
    </i>
    <i r="1">
      <x v="30"/>
      <x v="75"/>
    </i>
    <i r="1">
      <x v="33"/>
      <x v="94"/>
    </i>
    <i>
      <x v="274"/>
      <x/>
      <x v="115"/>
    </i>
    <i r="1">
      <x v="3"/>
      <x v="134"/>
    </i>
    <i r="1">
      <x v="7"/>
      <x v="154"/>
    </i>
    <i r="1">
      <x v="10"/>
      <x v="179"/>
    </i>
    <i r="1">
      <x v="21"/>
      <x v="10"/>
    </i>
    <i r="1">
      <x v="24"/>
      <x v="29"/>
    </i>
    <i r="1">
      <x v="27"/>
      <x v="54"/>
    </i>
    <i r="1">
      <x v="30"/>
      <x v="74"/>
    </i>
    <i r="1">
      <x v="33"/>
      <x v="93"/>
    </i>
    <i>
      <x v="275"/>
      <x/>
      <x v="114"/>
    </i>
    <i r="1">
      <x v="3"/>
      <x v="133"/>
    </i>
    <i r="1">
      <x v="7"/>
      <x v="153"/>
    </i>
    <i r="1">
      <x v="21"/>
      <x v="9"/>
    </i>
    <i r="1">
      <x v="24"/>
      <x v="28"/>
    </i>
    <i r="1">
      <x v="27"/>
      <x v="53"/>
    </i>
    <i r="1">
      <x v="30"/>
      <x v="73"/>
    </i>
    <i r="1">
      <x v="33"/>
      <x v="92"/>
    </i>
    <i>
      <x v="276"/>
      <x/>
      <x v="113"/>
    </i>
    <i r="1">
      <x v="3"/>
      <x v="132"/>
    </i>
    <i r="1">
      <x v="7"/>
      <x v="152"/>
    </i>
    <i r="1">
      <x v="21"/>
      <x v="8"/>
    </i>
    <i r="1">
      <x v="24"/>
      <x v="27"/>
    </i>
    <i r="1">
      <x v="27"/>
      <x v="52"/>
    </i>
    <i r="1">
      <x v="30"/>
      <x v="72"/>
    </i>
    <i r="1">
      <x v="33"/>
      <x v="91"/>
    </i>
    <i>
      <x v="277"/>
      <x/>
      <x v="112"/>
    </i>
    <i r="1">
      <x v="3"/>
      <x v="131"/>
    </i>
    <i r="1">
      <x v="7"/>
      <x v="151"/>
    </i>
    <i r="1">
      <x v="21"/>
      <x v="7"/>
    </i>
    <i r="1">
      <x v="24"/>
      <x v="26"/>
    </i>
    <i r="1">
      <x v="27"/>
      <x v="51"/>
    </i>
    <i r="1">
      <x v="30"/>
      <x v="71"/>
    </i>
    <i r="1">
      <x v="33"/>
      <x v="90"/>
    </i>
    <i>
      <x v="278"/>
      <x/>
      <x v="111"/>
    </i>
    <i r="1">
      <x v="3"/>
      <x v="130"/>
    </i>
    <i r="1">
      <x v="7"/>
      <x v="150"/>
    </i>
    <i r="1">
      <x v="10"/>
      <x v="175"/>
    </i>
    <i r="1">
      <x v="21"/>
      <x v="6"/>
    </i>
    <i r="1">
      <x v="24"/>
      <x v="25"/>
    </i>
    <i r="1">
      <x v="27"/>
      <x v="50"/>
    </i>
    <i r="1">
      <x v="30"/>
      <x v="70"/>
    </i>
    <i r="1">
      <x v="33"/>
      <x v="89"/>
    </i>
    <i>
      <x v="279"/>
      <x/>
      <x v="110"/>
    </i>
    <i r="1">
      <x v="3"/>
      <x v="129"/>
    </i>
    <i r="1">
      <x v="7"/>
      <x v="149"/>
    </i>
    <i r="1">
      <x v="10"/>
      <x v="174"/>
    </i>
    <i r="1">
      <x v="21"/>
      <x v="5"/>
    </i>
    <i r="1">
      <x v="24"/>
      <x v="24"/>
    </i>
    <i r="1">
      <x v="27"/>
      <x v="49"/>
    </i>
    <i r="1">
      <x v="30"/>
      <x v="69"/>
    </i>
    <i r="1">
      <x v="33"/>
      <x v="88"/>
    </i>
    <i>
      <x v="280"/>
      <x/>
      <x v="109"/>
    </i>
    <i r="1">
      <x v="3"/>
      <x v="128"/>
    </i>
    <i r="1">
      <x v="7"/>
      <x v="148"/>
    </i>
    <i r="1">
      <x v="21"/>
      <x v="4"/>
    </i>
    <i r="1">
      <x v="24"/>
      <x v="23"/>
    </i>
    <i r="1">
      <x v="27"/>
      <x v="48"/>
    </i>
    <i r="1">
      <x v="30"/>
      <x v="68"/>
    </i>
    <i r="1">
      <x v="33"/>
      <x v="87"/>
    </i>
    <i>
      <x v="281"/>
      <x/>
      <x v="108"/>
    </i>
    <i r="1">
      <x v="3"/>
      <x v="127"/>
    </i>
    <i r="1">
      <x v="7"/>
      <x v="147"/>
    </i>
    <i r="1">
      <x v="21"/>
      <x v="3"/>
    </i>
    <i r="1">
      <x v="24"/>
      <x v="22"/>
    </i>
    <i r="1">
      <x v="27"/>
      <x v="47"/>
    </i>
    <i r="1">
      <x v="30"/>
      <x v="67"/>
    </i>
    <i r="1">
      <x v="33"/>
      <x v="86"/>
    </i>
    <i>
      <x v="282"/>
      <x/>
      <x v="107"/>
    </i>
    <i r="1">
      <x v="3"/>
      <x v="126"/>
    </i>
    <i r="1">
      <x v="7"/>
      <x v="146"/>
    </i>
    <i r="1">
      <x v="21"/>
      <x v="2"/>
    </i>
    <i r="1">
      <x v="24"/>
      <x v="21"/>
    </i>
    <i r="1">
      <x v="27"/>
      <x v="46"/>
    </i>
    <i r="1">
      <x v="30"/>
      <x v="66"/>
    </i>
    <i r="1">
      <x v="33"/>
      <x v="85"/>
    </i>
    <i>
      <x v="283"/>
      <x/>
      <x v="106"/>
    </i>
    <i r="1">
      <x v="3"/>
      <x v="125"/>
    </i>
    <i r="1">
      <x v="7"/>
      <x v="145"/>
    </i>
    <i r="1">
      <x v="10"/>
      <x v="170"/>
    </i>
    <i r="1">
      <x v="21"/>
      <x v="1"/>
    </i>
    <i r="1">
      <x v="24"/>
      <x v="20"/>
    </i>
    <i r="1">
      <x v="27"/>
      <x v="45"/>
    </i>
    <i r="1">
      <x v="30"/>
      <x v="65"/>
    </i>
    <i r="1">
      <x v="33"/>
      <x v="84"/>
    </i>
    <i>
      <x v="284"/>
      <x/>
      <x v="105"/>
    </i>
    <i r="1">
      <x v="3"/>
      <x v="124"/>
    </i>
    <i r="1">
      <x v="7"/>
      <x v="144"/>
    </i>
    <i r="1">
      <x v="10"/>
      <x v="169"/>
    </i>
    <i r="1">
      <x v="24"/>
      <x v="19"/>
    </i>
    <i r="1">
      <x v="27"/>
      <x v="44"/>
    </i>
    <i r="1">
      <x v="30"/>
      <x v="64"/>
    </i>
    <i r="1">
      <x v="33"/>
      <x v="83"/>
    </i>
    <i>
      <x v="285"/>
      <x/>
      <x v="104"/>
    </i>
    <i r="1">
      <x v="3"/>
      <x v="123"/>
    </i>
    <i r="1">
      <x v="7"/>
      <x v="143"/>
    </i>
    <i r="1">
      <x v="10"/>
      <x v="168"/>
    </i>
    <i r="1">
      <x v="24"/>
      <x v="18"/>
    </i>
    <i r="1">
      <x v="27"/>
      <x v="43"/>
    </i>
    <i r="1">
      <x v="30"/>
      <x v="63"/>
    </i>
    <i r="1">
      <x v="33"/>
      <x v="82"/>
    </i>
    <i>
      <x v="286"/>
      <x/>
      <x v="103"/>
    </i>
    <i r="1">
      <x v="3"/>
      <x v="122"/>
    </i>
    <i r="1">
      <x v="7"/>
      <x v="142"/>
    </i>
    <i r="1">
      <x v="10"/>
      <x v="167"/>
    </i>
    <i r="1">
      <x v="24"/>
      <x v="17"/>
    </i>
    <i r="1">
      <x v="27"/>
      <x v="42"/>
    </i>
    <i r="1">
      <x v="30"/>
      <x v="62"/>
    </i>
    <i r="1">
      <x v="33"/>
      <x v="81"/>
    </i>
    <i>
      <x v="287"/>
      <x/>
      <x v="102"/>
    </i>
    <i r="1">
      <x v="3"/>
      <x v="121"/>
    </i>
    <i r="1">
      <x v="7"/>
      <x v="141"/>
    </i>
    <i r="1">
      <x v="24"/>
      <x v="16"/>
    </i>
    <i r="1">
      <x v="27"/>
      <x v="41"/>
    </i>
    <i r="1">
      <x v="30"/>
      <x v="61"/>
    </i>
    <i r="1">
      <x v="33"/>
      <x v="80"/>
    </i>
    <i>
      <x v="288"/>
      <x/>
      <x v="101"/>
    </i>
    <i r="1">
      <x v="3"/>
      <x v="120"/>
    </i>
    <i r="1">
      <x v="7"/>
      <x v="140"/>
    </i>
    <i r="1">
      <x v="10"/>
      <x v="165"/>
    </i>
    <i r="1">
      <x v="13"/>
      <x v="185"/>
    </i>
    <i r="1">
      <x v="24"/>
      <x v="15"/>
    </i>
    <i r="1">
      <x v="27"/>
      <x v="40"/>
    </i>
    <i r="1">
      <x v="30"/>
      <x v="60"/>
    </i>
    <i r="1">
      <x v="33"/>
      <x v="79"/>
    </i>
    <i>
      <x v="289"/>
      <x/>
      <x v="100"/>
    </i>
    <i r="1">
      <x v="3"/>
      <x v="119"/>
    </i>
    <i r="1">
      <x v="7"/>
      <x v="139"/>
    </i>
    <i r="1">
      <x v="10"/>
      <x v="164"/>
    </i>
    <i r="1">
      <x v="24"/>
      <x v="14"/>
    </i>
    <i r="1">
      <x v="27"/>
      <x v="39"/>
    </i>
    <i r="1">
      <x v="30"/>
      <x v="59"/>
    </i>
    <i r="1">
      <x v="33"/>
      <x v="78"/>
    </i>
    <i>
      <x v="290"/>
      <x/>
      <x v="99"/>
    </i>
    <i r="1">
      <x v="3"/>
      <x v="118"/>
    </i>
    <i r="1">
      <x v="7"/>
      <x v="138"/>
    </i>
    <i r="1">
      <x v="10"/>
      <x v="163"/>
    </i>
    <i r="1">
      <x v="13"/>
      <x v="183"/>
    </i>
    <i r="1">
      <x v="24"/>
      <x v="13"/>
    </i>
    <i r="1">
      <x v="27"/>
      <x v="38"/>
    </i>
    <i r="1">
      <x v="30"/>
      <x v="58"/>
    </i>
    <i r="1">
      <x v="33"/>
      <x v="77"/>
    </i>
    <i>
      <x v="291"/>
      <x/>
      <x v="98"/>
    </i>
    <i r="1">
      <x v="3"/>
      <x v="117"/>
    </i>
    <i r="1">
      <x v="7"/>
      <x v="137"/>
    </i>
    <i r="1">
      <x v="10"/>
      <x v="162"/>
    </i>
    <i r="1">
      <x v="24"/>
      <x v="12"/>
    </i>
    <i r="1">
      <x v="27"/>
      <x v="37"/>
    </i>
    <i r="1">
      <x v="30"/>
      <x v="57"/>
    </i>
    <i r="1">
      <x v="33"/>
      <x v="76"/>
    </i>
    <i>
      <x v="292"/>
      <x/>
      <x v="97"/>
    </i>
    <i r="1">
      <x v="3"/>
      <x v="116"/>
    </i>
    <i r="1">
      <x v="7"/>
      <x v="136"/>
    </i>
    <i r="1">
      <x v="10"/>
      <x v="161"/>
    </i>
    <i r="1">
      <x v="13"/>
      <x v="181"/>
    </i>
    <i r="1">
      <x v="24"/>
      <x v="11"/>
    </i>
    <i r="1">
      <x v="27"/>
      <x v="36"/>
    </i>
    <i r="1">
      <x v="30"/>
      <x v="56"/>
    </i>
    <i r="1">
      <x v="33"/>
      <x v="75"/>
    </i>
    <i>
      <x v="293"/>
      <x/>
      <x v="96"/>
    </i>
    <i r="1">
      <x v="3"/>
      <x v="115"/>
    </i>
    <i r="1">
      <x v="7"/>
      <x v="135"/>
    </i>
    <i r="1">
      <x v="10"/>
      <x v="160"/>
    </i>
    <i r="1">
      <x v="24"/>
      <x v="10"/>
    </i>
    <i r="1">
      <x v="27"/>
      <x v="35"/>
    </i>
    <i r="1">
      <x v="30"/>
      <x v="55"/>
    </i>
    <i r="1">
      <x v="33"/>
      <x v="74"/>
    </i>
    <i>
      <x v="294"/>
      <x/>
      <x v="95"/>
    </i>
    <i r="1">
      <x v="3"/>
      <x v="114"/>
    </i>
    <i r="1">
      <x v="7"/>
      <x v="134"/>
    </i>
    <i r="1">
      <x v="10"/>
      <x v="159"/>
    </i>
    <i r="1">
      <x v="13"/>
      <x v="179"/>
    </i>
    <i r="1">
      <x v="24"/>
      <x v="9"/>
    </i>
    <i r="1">
      <x v="27"/>
      <x v="34"/>
    </i>
    <i r="1">
      <x v="30"/>
      <x v="54"/>
    </i>
    <i r="1">
      <x v="33"/>
      <x v="73"/>
    </i>
    <i>
      <x v="295"/>
      <x/>
      <x v="94"/>
    </i>
    <i r="1">
      <x v="3"/>
      <x v="113"/>
    </i>
    <i r="1">
      <x v="7"/>
      <x v="133"/>
    </i>
    <i r="1">
      <x v="10"/>
      <x v="158"/>
    </i>
    <i r="1">
      <x v="13"/>
      <x v="178"/>
    </i>
    <i r="1">
      <x v="24"/>
      <x v="8"/>
    </i>
    <i r="1">
      <x v="27"/>
      <x v="33"/>
    </i>
    <i r="1">
      <x v="30"/>
      <x v="53"/>
    </i>
    <i r="1">
      <x v="33"/>
      <x v="72"/>
    </i>
    <i>
      <x v="296"/>
      <x/>
      <x v="93"/>
    </i>
    <i r="1">
      <x v="3"/>
      <x v="112"/>
    </i>
    <i r="1">
      <x v="7"/>
      <x v="132"/>
    </i>
    <i r="1">
      <x v="10"/>
      <x v="157"/>
    </i>
    <i r="1">
      <x v="13"/>
      <x v="177"/>
    </i>
    <i r="1">
      <x v="24"/>
      <x v="7"/>
    </i>
    <i r="1">
      <x v="27"/>
      <x v="32"/>
    </i>
    <i r="1">
      <x v="30"/>
      <x v="52"/>
    </i>
    <i r="1">
      <x v="33"/>
      <x v="71"/>
    </i>
    <i>
      <x v="297"/>
      <x/>
      <x v="92"/>
    </i>
    <i r="1">
      <x v="3"/>
      <x v="111"/>
    </i>
    <i r="1">
      <x v="7"/>
      <x v="131"/>
    </i>
    <i r="1">
      <x v="10"/>
      <x v="156"/>
    </i>
    <i r="1">
      <x v="24"/>
      <x v="6"/>
    </i>
    <i r="1">
      <x v="27"/>
      <x v="31"/>
    </i>
    <i r="1">
      <x v="30"/>
      <x v="51"/>
    </i>
    <i r="1">
      <x v="33"/>
      <x v="70"/>
    </i>
    <i>
      <x v="298"/>
      <x/>
      <x v="91"/>
    </i>
    <i r="1">
      <x v="3"/>
      <x v="110"/>
    </i>
    <i r="1">
      <x v="7"/>
      <x v="130"/>
    </i>
    <i r="1">
      <x v="10"/>
      <x v="155"/>
    </i>
    <i r="1">
      <x v="13"/>
      <x v="175"/>
    </i>
    <i r="1">
      <x v="24"/>
      <x v="5"/>
    </i>
    <i r="1">
      <x v="27"/>
      <x v="30"/>
    </i>
    <i r="1">
      <x v="30"/>
      <x v="50"/>
    </i>
    <i r="1">
      <x v="33"/>
      <x v="69"/>
    </i>
    <i>
      <x v="299"/>
      <x/>
      <x v="90"/>
    </i>
    <i r="1">
      <x v="3"/>
      <x v="109"/>
    </i>
    <i r="1">
      <x v="7"/>
      <x v="129"/>
    </i>
    <i r="1">
      <x v="10"/>
      <x v="154"/>
    </i>
    <i r="1">
      <x v="13"/>
      <x v="174"/>
    </i>
    <i r="1">
      <x v="24"/>
      <x v="4"/>
    </i>
    <i r="1">
      <x v="27"/>
      <x v="29"/>
    </i>
    <i r="1">
      <x v="30"/>
      <x v="49"/>
    </i>
    <i r="1">
      <x v="33"/>
      <x v="68"/>
    </i>
    <i>
      <x v="300"/>
      <x/>
      <x v="89"/>
    </i>
    <i r="1">
      <x v="3"/>
      <x v="108"/>
    </i>
    <i r="1">
      <x v="7"/>
      <x v="128"/>
    </i>
    <i r="1">
      <x v="10"/>
      <x v="153"/>
    </i>
    <i r="1">
      <x v="13"/>
      <x v="173"/>
    </i>
    <i r="1">
      <x v="24"/>
      <x v="3"/>
    </i>
    <i r="1">
      <x v="27"/>
      <x v="28"/>
    </i>
    <i r="1">
      <x v="30"/>
      <x v="48"/>
    </i>
    <i r="1">
      <x v="33"/>
      <x v="67"/>
    </i>
    <i>
      <x v="301"/>
      <x/>
      <x v="88"/>
    </i>
    <i r="1">
      <x v="3"/>
      <x v="107"/>
    </i>
    <i r="1">
      <x v="7"/>
      <x v="127"/>
    </i>
    <i r="1">
      <x v="10"/>
      <x v="152"/>
    </i>
    <i r="1">
      <x v="13"/>
      <x v="172"/>
    </i>
    <i r="1">
      <x v="24"/>
      <x v="2"/>
    </i>
    <i r="1">
      <x v="27"/>
      <x v="27"/>
    </i>
    <i r="1">
      <x v="30"/>
      <x v="47"/>
    </i>
    <i r="1">
      <x v="33"/>
      <x v="66"/>
    </i>
    <i>
      <x v="302"/>
      <x/>
      <x v="87"/>
    </i>
    <i r="1">
      <x v="3"/>
      <x v="106"/>
    </i>
    <i r="1">
      <x v="7"/>
      <x v="126"/>
    </i>
    <i r="1">
      <x v="10"/>
      <x v="151"/>
    </i>
    <i r="1">
      <x v="13"/>
      <x v="171"/>
    </i>
    <i r="1">
      <x v="24"/>
      <x v="1"/>
    </i>
    <i r="1">
      <x v="27"/>
      <x v="26"/>
    </i>
    <i r="1">
      <x v="30"/>
      <x v="46"/>
    </i>
    <i r="1">
      <x v="33"/>
      <x v="65"/>
    </i>
    <i>
      <x v="303"/>
      <x/>
      <x v="86"/>
    </i>
    <i r="1">
      <x v="3"/>
      <x v="105"/>
    </i>
    <i r="1">
      <x v="7"/>
      <x v="125"/>
    </i>
    <i r="1">
      <x v="10"/>
      <x v="150"/>
    </i>
    <i r="1">
      <x v="13"/>
      <x v="170"/>
    </i>
    <i r="1">
      <x v="27"/>
      <x v="25"/>
    </i>
    <i r="1">
      <x v="30"/>
      <x v="45"/>
    </i>
    <i r="1">
      <x v="33"/>
      <x v="64"/>
    </i>
    <i>
      <x v="304"/>
      <x/>
      <x v="85"/>
    </i>
    <i r="1">
      <x v="3"/>
      <x v="104"/>
    </i>
    <i r="1">
      <x v="7"/>
      <x v="124"/>
    </i>
    <i r="1">
      <x v="10"/>
      <x v="149"/>
    </i>
    <i r="1">
      <x v="13"/>
      <x v="169"/>
    </i>
    <i r="1">
      <x v="27"/>
      <x v="24"/>
    </i>
    <i r="1">
      <x v="30"/>
      <x v="44"/>
    </i>
    <i r="1">
      <x v="33"/>
      <x v="63"/>
    </i>
    <i>
      <x v="305"/>
      <x/>
      <x v="84"/>
    </i>
    <i r="1">
      <x v="3"/>
      <x v="103"/>
    </i>
    <i r="1">
      <x v="7"/>
      <x v="123"/>
    </i>
    <i r="1">
      <x v="10"/>
      <x v="148"/>
    </i>
    <i r="1">
      <x v="13"/>
      <x v="168"/>
    </i>
    <i r="1">
      <x v="27"/>
      <x v="23"/>
    </i>
    <i r="1">
      <x v="30"/>
      <x v="43"/>
    </i>
    <i r="1">
      <x v="33"/>
      <x v="62"/>
    </i>
    <i>
      <x v="306"/>
      <x/>
      <x v="83"/>
    </i>
    <i r="1">
      <x v="3"/>
      <x v="102"/>
    </i>
    <i r="1">
      <x v="7"/>
      <x v="122"/>
    </i>
    <i r="1">
      <x v="10"/>
      <x v="147"/>
    </i>
    <i r="1">
      <x v="13"/>
      <x v="167"/>
    </i>
    <i r="1">
      <x v="27"/>
      <x v="22"/>
    </i>
    <i r="1">
      <x v="30"/>
      <x v="42"/>
    </i>
    <i r="1">
      <x v="33"/>
      <x v="61"/>
    </i>
    <i>
      <x v="307"/>
      <x/>
      <x v="82"/>
    </i>
    <i r="1">
      <x v="3"/>
      <x v="101"/>
    </i>
    <i r="1">
      <x v="7"/>
      <x v="121"/>
    </i>
    <i r="1">
      <x v="10"/>
      <x v="146"/>
    </i>
    <i r="1">
      <x v="13"/>
      <x v="166"/>
    </i>
    <i r="1">
      <x v="27"/>
      <x v="21"/>
    </i>
    <i r="1">
      <x v="30"/>
      <x v="41"/>
    </i>
    <i r="1">
      <x v="33"/>
      <x v="60"/>
    </i>
    <i>
      <x v="308"/>
      <x/>
      <x v="81"/>
    </i>
    <i r="1">
      <x v="3"/>
      <x v="100"/>
    </i>
    <i r="1">
      <x v="7"/>
      <x v="120"/>
    </i>
    <i r="1">
      <x v="10"/>
      <x v="145"/>
    </i>
    <i r="1">
      <x v="13"/>
      <x v="165"/>
    </i>
    <i r="1">
      <x v="27"/>
      <x v="20"/>
    </i>
    <i r="1">
      <x v="30"/>
      <x v="40"/>
    </i>
    <i r="1">
      <x v="33"/>
      <x v="59"/>
    </i>
    <i>
      <x v="309"/>
      <x/>
      <x v="80"/>
    </i>
    <i r="1">
      <x v="3"/>
      <x v="99"/>
    </i>
    <i r="1">
      <x v="7"/>
      <x v="119"/>
    </i>
    <i r="1">
      <x v="10"/>
      <x v="144"/>
    </i>
    <i r="1">
      <x v="13"/>
      <x v="164"/>
    </i>
    <i r="1">
      <x v="27"/>
      <x v="19"/>
    </i>
    <i r="1">
      <x v="30"/>
      <x v="39"/>
    </i>
    <i r="1">
      <x v="33"/>
      <x v="58"/>
    </i>
    <i>
      <x v="310"/>
      <x/>
      <x v="79"/>
    </i>
    <i r="1">
      <x v="3"/>
      <x v="98"/>
    </i>
    <i r="1">
      <x v="7"/>
      <x v="118"/>
    </i>
    <i r="1">
      <x v="10"/>
      <x v="143"/>
    </i>
    <i r="1">
      <x v="13"/>
      <x v="163"/>
    </i>
    <i r="1">
      <x v="27"/>
      <x v="18"/>
    </i>
    <i r="1">
      <x v="30"/>
      <x v="38"/>
    </i>
    <i r="1">
      <x v="33"/>
      <x v="57"/>
    </i>
    <i>
      <x v="311"/>
      <x/>
      <x v="78"/>
    </i>
    <i r="1">
      <x v="3"/>
      <x v="97"/>
    </i>
    <i r="1">
      <x v="7"/>
      <x v="117"/>
    </i>
    <i r="1">
      <x v="10"/>
      <x v="142"/>
    </i>
    <i r="1">
      <x v="13"/>
      <x v="162"/>
    </i>
    <i r="1">
      <x v="27"/>
      <x v="17"/>
    </i>
    <i r="1">
      <x v="30"/>
      <x v="37"/>
    </i>
    <i r="1">
      <x v="33"/>
      <x v="56"/>
    </i>
    <i>
      <x v="312"/>
      <x/>
      <x v="77"/>
    </i>
    <i r="1">
      <x v="3"/>
      <x v="96"/>
    </i>
    <i r="1">
      <x v="7"/>
      <x v="116"/>
    </i>
    <i r="1">
      <x v="10"/>
      <x v="141"/>
    </i>
    <i r="1">
      <x v="13"/>
      <x v="161"/>
    </i>
    <i r="1">
      <x v="27"/>
      <x v="16"/>
    </i>
    <i r="1">
      <x v="30"/>
      <x v="36"/>
    </i>
    <i r="1">
      <x v="33"/>
      <x v="55"/>
    </i>
    <i>
      <x v="313"/>
      <x/>
      <x v="76"/>
    </i>
    <i r="1">
      <x v="3"/>
      <x v="95"/>
    </i>
    <i r="1">
      <x v="7"/>
      <x v="115"/>
    </i>
    <i r="1">
      <x v="10"/>
      <x v="140"/>
    </i>
    <i r="1">
      <x v="13"/>
      <x v="160"/>
    </i>
    <i r="1">
      <x v="27"/>
      <x v="15"/>
    </i>
    <i r="1">
      <x v="30"/>
      <x v="35"/>
    </i>
    <i r="1">
      <x v="33"/>
      <x v="54"/>
    </i>
    <i>
      <x v="314"/>
      <x/>
      <x v="75"/>
    </i>
    <i r="1">
      <x v="3"/>
      <x v="94"/>
    </i>
    <i r="1">
      <x v="7"/>
      <x v="114"/>
    </i>
    <i r="1">
      <x v="10"/>
      <x v="139"/>
    </i>
    <i r="1">
      <x v="13"/>
      <x v="159"/>
    </i>
    <i r="1">
      <x v="27"/>
      <x v="14"/>
    </i>
    <i r="1">
      <x v="30"/>
      <x v="34"/>
    </i>
    <i r="1">
      <x v="33"/>
      <x v="53"/>
    </i>
    <i>
      <x v="315"/>
      <x/>
      <x v="74"/>
    </i>
    <i r="1">
      <x v="3"/>
      <x v="93"/>
    </i>
    <i r="1">
      <x v="7"/>
      <x v="113"/>
    </i>
    <i r="1">
      <x v="10"/>
      <x v="138"/>
    </i>
    <i r="1">
      <x v="13"/>
      <x v="158"/>
    </i>
    <i r="1">
      <x v="16"/>
      <x v="177"/>
    </i>
    <i r="1">
      <x v="27"/>
      <x v="13"/>
    </i>
    <i r="1">
      <x v="30"/>
      <x v="33"/>
    </i>
    <i r="1">
      <x v="33"/>
      <x v="52"/>
    </i>
    <i>
      <x v="316"/>
      <x/>
      <x v="73"/>
    </i>
    <i r="1">
      <x v="3"/>
      <x v="92"/>
    </i>
    <i r="1">
      <x v="7"/>
      <x v="112"/>
    </i>
    <i r="1">
      <x v="10"/>
      <x v="137"/>
    </i>
    <i r="1">
      <x v="13"/>
      <x v="157"/>
    </i>
    <i r="1">
      <x v="27"/>
      <x v="12"/>
    </i>
    <i r="1">
      <x v="30"/>
      <x v="32"/>
    </i>
    <i r="1">
      <x v="33"/>
      <x v="51"/>
    </i>
    <i>
      <x v="317"/>
      <x/>
      <x v="72"/>
    </i>
    <i r="1">
      <x v="3"/>
      <x v="91"/>
    </i>
    <i r="1">
      <x v="7"/>
      <x v="111"/>
    </i>
    <i r="1">
      <x v="10"/>
      <x v="136"/>
    </i>
    <i r="1">
      <x v="13"/>
      <x v="156"/>
    </i>
    <i r="1">
      <x v="16"/>
      <x v="175"/>
    </i>
    <i r="1">
      <x v="27"/>
      <x v="11"/>
    </i>
    <i r="1">
      <x v="30"/>
      <x v="31"/>
    </i>
    <i r="1">
      <x v="33"/>
      <x v="50"/>
    </i>
    <i>
      <x v="318"/>
      <x/>
      <x v="71"/>
    </i>
    <i r="1">
      <x v="3"/>
      <x v="90"/>
    </i>
    <i r="1">
      <x v="7"/>
      <x v="110"/>
    </i>
    <i r="1">
      <x v="10"/>
      <x v="135"/>
    </i>
    <i r="1">
      <x v="13"/>
      <x v="155"/>
    </i>
    <i r="1">
      <x v="27"/>
      <x v="10"/>
    </i>
    <i r="1">
      <x v="30"/>
      <x v="30"/>
    </i>
    <i r="1">
      <x v="33"/>
      <x v="49"/>
    </i>
    <i>
      <x v="319"/>
      <x/>
      <x v="70"/>
    </i>
    <i r="1">
      <x v="3"/>
      <x v="89"/>
    </i>
    <i r="1">
      <x v="7"/>
      <x v="109"/>
    </i>
    <i r="1">
      <x v="10"/>
      <x v="134"/>
    </i>
    <i r="1">
      <x v="13"/>
      <x v="154"/>
    </i>
    <i r="1">
      <x v="27"/>
      <x v="9"/>
    </i>
    <i r="1">
      <x v="30"/>
      <x v="29"/>
    </i>
    <i r="1">
      <x v="33"/>
      <x v="48"/>
    </i>
    <i>
      <x v="320"/>
      <x/>
      <x v="69"/>
    </i>
    <i r="1">
      <x v="3"/>
      <x v="88"/>
    </i>
    <i r="1">
      <x v="7"/>
      <x v="108"/>
    </i>
    <i r="1">
      <x v="10"/>
      <x v="133"/>
    </i>
    <i r="1">
      <x v="13"/>
      <x v="153"/>
    </i>
    <i r="1">
      <x v="27"/>
      <x v="8"/>
    </i>
    <i r="1">
      <x v="30"/>
      <x v="28"/>
    </i>
    <i r="1">
      <x v="33"/>
      <x v="47"/>
    </i>
    <i>
      <x v="321"/>
      <x/>
      <x v="68"/>
    </i>
    <i r="1">
      <x v="3"/>
      <x v="87"/>
    </i>
    <i r="1">
      <x v="7"/>
      <x v="107"/>
    </i>
    <i r="1">
      <x v="10"/>
      <x v="132"/>
    </i>
    <i r="1">
      <x v="13"/>
      <x v="152"/>
    </i>
    <i r="1">
      <x v="27"/>
      <x v="7"/>
    </i>
    <i r="1">
      <x v="30"/>
      <x v="27"/>
    </i>
    <i r="1">
      <x v="33"/>
      <x v="46"/>
    </i>
    <i>
      <x v="322"/>
      <x/>
      <x v="67"/>
    </i>
    <i r="1">
      <x v="3"/>
      <x v="86"/>
    </i>
    <i r="1">
      <x v="7"/>
      <x v="106"/>
    </i>
    <i r="1">
      <x v="10"/>
      <x v="131"/>
    </i>
    <i r="1">
      <x v="13"/>
      <x v="151"/>
    </i>
    <i r="1">
      <x v="27"/>
      <x v="6"/>
    </i>
    <i r="1">
      <x v="30"/>
      <x v="26"/>
    </i>
    <i r="1">
      <x v="33"/>
      <x v="45"/>
    </i>
    <i>
      <x v="323"/>
      <x/>
      <x v="66"/>
    </i>
    <i r="1">
      <x v="3"/>
      <x v="85"/>
    </i>
    <i r="1">
      <x v="7"/>
      <x v="105"/>
    </i>
    <i r="1">
      <x v="10"/>
      <x v="130"/>
    </i>
    <i r="1">
      <x v="13"/>
      <x v="150"/>
    </i>
    <i r="1">
      <x v="27"/>
      <x v="5"/>
    </i>
    <i r="1">
      <x v="30"/>
      <x v="25"/>
    </i>
    <i r="1">
      <x v="33"/>
      <x v="44"/>
    </i>
    <i>
      <x v="324"/>
      <x/>
      <x v="65"/>
    </i>
    <i r="1">
      <x v="3"/>
      <x v="84"/>
    </i>
    <i r="1">
      <x v="7"/>
      <x v="104"/>
    </i>
    <i r="1">
      <x v="10"/>
      <x v="129"/>
    </i>
    <i r="1">
      <x v="13"/>
      <x v="149"/>
    </i>
    <i r="1">
      <x v="27"/>
      <x v="4"/>
    </i>
    <i r="1">
      <x v="30"/>
      <x v="24"/>
    </i>
    <i r="1">
      <x v="33"/>
      <x v="43"/>
    </i>
    <i>
      <x v="325"/>
      <x/>
      <x v="64"/>
    </i>
    <i r="1">
      <x v="3"/>
      <x v="83"/>
    </i>
    <i r="1">
      <x v="7"/>
      <x v="103"/>
    </i>
    <i r="1">
      <x v="10"/>
      <x v="128"/>
    </i>
    <i r="1">
      <x v="13"/>
      <x v="148"/>
    </i>
    <i r="1">
      <x v="16"/>
      <x v="167"/>
    </i>
    <i r="1">
      <x v="27"/>
      <x v="3"/>
    </i>
    <i r="1">
      <x v="30"/>
      <x v="23"/>
    </i>
    <i r="1">
      <x v="33"/>
      <x v="42"/>
    </i>
    <i>
      <x v="326"/>
      <x/>
      <x v="63"/>
    </i>
    <i r="1">
      <x v="3"/>
      <x v="82"/>
    </i>
    <i r="1">
      <x v="7"/>
      <x v="102"/>
    </i>
    <i r="1">
      <x v="10"/>
      <x v="127"/>
    </i>
    <i r="1">
      <x v="13"/>
      <x v="147"/>
    </i>
    <i r="1">
      <x v="27"/>
      <x v="2"/>
    </i>
    <i r="1">
      <x v="30"/>
      <x v="22"/>
    </i>
    <i r="1">
      <x v="33"/>
      <x v="41"/>
    </i>
    <i>
      <x v="327"/>
      <x/>
      <x v="62"/>
    </i>
    <i r="1">
      <x v="3"/>
      <x v="81"/>
    </i>
    <i r="1">
      <x v="7"/>
      <x v="101"/>
    </i>
    <i r="1">
      <x v="10"/>
      <x v="126"/>
    </i>
    <i r="1">
      <x v="13"/>
      <x v="146"/>
    </i>
    <i r="1">
      <x v="27"/>
      <x v="1"/>
    </i>
    <i r="1">
      <x v="30"/>
      <x v="21"/>
    </i>
    <i r="1">
      <x v="33"/>
      <x v="40"/>
    </i>
    <i>
      <x v="328"/>
      <x/>
      <x v="61"/>
    </i>
    <i r="1">
      <x v="3"/>
      <x v="80"/>
    </i>
    <i r="1">
      <x v="7"/>
      <x v="100"/>
    </i>
    <i r="1">
      <x v="10"/>
      <x v="125"/>
    </i>
    <i r="1">
      <x v="13"/>
      <x v="145"/>
    </i>
    <i r="1">
      <x v="16"/>
      <x v="164"/>
    </i>
    <i r="1">
      <x v="30"/>
      <x v="20"/>
    </i>
    <i r="1">
      <x v="33"/>
      <x v="39"/>
    </i>
    <i>
      <x v="329"/>
      <x/>
      <x v="60"/>
    </i>
    <i r="1">
      <x v="3"/>
      <x v="79"/>
    </i>
    <i r="1">
      <x v="7"/>
      <x v="99"/>
    </i>
    <i r="1">
      <x v="10"/>
      <x v="124"/>
    </i>
    <i r="1">
      <x v="13"/>
      <x v="144"/>
    </i>
    <i r="1">
      <x v="16"/>
      <x v="163"/>
    </i>
    <i r="1">
      <x v="30"/>
      <x v="19"/>
    </i>
    <i r="1">
      <x v="33"/>
      <x v="38"/>
    </i>
    <i>
      <x v="330"/>
      <x/>
      <x v="59"/>
    </i>
    <i r="1">
      <x v="3"/>
      <x v="78"/>
    </i>
    <i r="1">
      <x v="7"/>
      <x v="98"/>
    </i>
    <i r="1">
      <x v="10"/>
      <x v="123"/>
    </i>
    <i r="1">
      <x v="13"/>
      <x v="143"/>
    </i>
    <i r="1">
      <x v="16"/>
      <x v="162"/>
    </i>
    <i r="1">
      <x v="19"/>
      <x v="186"/>
    </i>
    <i r="1">
      <x v="30"/>
      <x v="18"/>
    </i>
    <i r="1">
      <x v="33"/>
      <x v="37"/>
    </i>
    <i>
      <x v="331"/>
      <x/>
      <x v="58"/>
    </i>
    <i r="1">
      <x v="3"/>
      <x v="77"/>
    </i>
    <i r="1">
      <x v="7"/>
      <x v="97"/>
    </i>
    <i r="1">
      <x v="10"/>
      <x v="122"/>
    </i>
    <i r="1">
      <x v="13"/>
      <x v="142"/>
    </i>
    <i r="1">
      <x v="16"/>
      <x v="161"/>
    </i>
    <i r="1">
      <x v="30"/>
      <x v="17"/>
    </i>
    <i r="1">
      <x v="33"/>
      <x v="36"/>
    </i>
    <i>
      <x v="332"/>
      <x/>
      <x v="57"/>
    </i>
    <i r="1">
      <x v="3"/>
      <x v="76"/>
    </i>
    <i r="1">
      <x v="7"/>
      <x v="96"/>
    </i>
    <i r="1">
      <x v="10"/>
      <x v="121"/>
    </i>
    <i r="1">
      <x v="13"/>
      <x v="141"/>
    </i>
    <i r="1">
      <x v="16"/>
      <x v="160"/>
    </i>
    <i r="1">
      <x v="19"/>
      <x v="184"/>
    </i>
    <i r="1">
      <x v="30"/>
      <x v="16"/>
    </i>
    <i r="1">
      <x v="33"/>
      <x v="35"/>
    </i>
    <i>
      <x v="333"/>
      <x/>
      <x v="56"/>
    </i>
    <i r="1">
      <x v="3"/>
      <x v="75"/>
    </i>
    <i r="1">
      <x v="7"/>
      <x v="95"/>
    </i>
    <i r="1">
      <x v="10"/>
      <x v="120"/>
    </i>
    <i r="1">
      <x v="13"/>
      <x v="140"/>
    </i>
    <i r="1">
      <x v="16"/>
      <x v="159"/>
    </i>
    <i r="1">
      <x v="19"/>
      <x v="183"/>
    </i>
    <i r="1">
      <x v="30"/>
      <x v="15"/>
    </i>
    <i r="1">
      <x v="33"/>
      <x v="34"/>
    </i>
    <i>
      <x v="334"/>
      <x/>
      <x v="55"/>
    </i>
    <i r="1">
      <x v="3"/>
      <x v="74"/>
    </i>
    <i r="1">
      <x v="7"/>
      <x v="94"/>
    </i>
    <i r="1">
      <x v="10"/>
      <x v="119"/>
    </i>
    <i r="1">
      <x v="13"/>
      <x v="139"/>
    </i>
    <i r="1">
      <x v="16"/>
      <x v="158"/>
    </i>
    <i r="1">
      <x v="30"/>
      <x v="14"/>
    </i>
    <i r="1">
      <x v="33"/>
      <x v="33"/>
    </i>
    <i>
      <x v="335"/>
      <x/>
      <x v="54"/>
    </i>
    <i r="1">
      <x v="3"/>
      <x v="73"/>
    </i>
    <i r="1">
      <x v="7"/>
      <x v="93"/>
    </i>
    <i r="1">
      <x v="10"/>
      <x v="118"/>
    </i>
    <i r="1">
      <x v="13"/>
      <x v="138"/>
    </i>
    <i r="1">
      <x v="16"/>
      <x v="157"/>
    </i>
    <i r="1">
      <x v="30"/>
      <x v="13"/>
    </i>
    <i r="1">
      <x v="33"/>
      <x v="32"/>
    </i>
    <i>
      <x v="336"/>
      <x/>
      <x v="53"/>
    </i>
    <i r="1">
      <x v="3"/>
      <x v="72"/>
    </i>
    <i r="1">
      <x v="7"/>
      <x v="92"/>
    </i>
    <i r="1">
      <x v="10"/>
      <x v="117"/>
    </i>
    <i r="1">
      <x v="13"/>
      <x v="137"/>
    </i>
    <i r="1">
      <x v="16"/>
      <x v="156"/>
    </i>
    <i r="1">
      <x v="19"/>
      <x v="180"/>
    </i>
    <i r="1">
      <x v="30"/>
      <x v="12"/>
    </i>
    <i r="1">
      <x v="33"/>
      <x v="31"/>
    </i>
    <i>
      <x v="337"/>
      <x/>
      <x v="52"/>
    </i>
    <i r="1">
      <x v="3"/>
      <x v="71"/>
    </i>
    <i r="1">
      <x v="7"/>
      <x v="91"/>
    </i>
    <i r="1">
      <x v="10"/>
      <x v="116"/>
    </i>
    <i r="1">
      <x v="13"/>
      <x v="136"/>
    </i>
    <i r="1">
      <x v="16"/>
      <x v="155"/>
    </i>
    <i r="1">
      <x v="19"/>
      <x v="179"/>
    </i>
    <i r="1">
      <x v="30"/>
      <x v="11"/>
    </i>
    <i r="1">
      <x v="33"/>
      <x v="30"/>
    </i>
    <i>
      <x v="338"/>
      <x/>
      <x v="51"/>
    </i>
    <i r="1">
      <x v="3"/>
      <x v="70"/>
    </i>
    <i r="1">
      <x v="7"/>
      <x v="90"/>
    </i>
    <i r="1">
      <x v="10"/>
      <x v="115"/>
    </i>
    <i r="1">
      <x v="13"/>
      <x v="135"/>
    </i>
    <i r="1">
      <x v="16"/>
      <x v="154"/>
    </i>
    <i r="1">
      <x v="19"/>
      <x v="178"/>
    </i>
    <i r="1">
      <x v="30"/>
      <x v="10"/>
    </i>
    <i r="1">
      <x v="33"/>
      <x v="29"/>
    </i>
    <i>
      <x v="339"/>
      <x/>
      <x v="50"/>
    </i>
    <i r="1">
      <x v="3"/>
      <x v="69"/>
    </i>
    <i r="1">
      <x v="7"/>
      <x v="89"/>
    </i>
    <i r="1">
      <x v="10"/>
      <x v="114"/>
    </i>
    <i r="1">
      <x v="13"/>
      <x v="134"/>
    </i>
    <i r="1">
      <x v="16"/>
      <x v="153"/>
    </i>
    <i r="1">
      <x v="30"/>
      <x v="9"/>
    </i>
    <i r="1">
      <x v="33"/>
      <x v="28"/>
    </i>
    <i>
      <x v="340"/>
      <x/>
      <x v="49"/>
    </i>
    <i r="1">
      <x v="3"/>
      <x v="68"/>
    </i>
    <i r="1">
      <x v="7"/>
      <x v="88"/>
    </i>
    <i r="1">
      <x v="10"/>
      <x v="113"/>
    </i>
    <i r="1">
      <x v="13"/>
      <x v="133"/>
    </i>
    <i r="1">
      <x v="16"/>
      <x v="152"/>
    </i>
    <i r="1">
      <x v="19"/>
      <x v="176"/>
    </i>
    <i r="1">
      <x v="30"/>
      <x v="8"/>
    </i>
    <i r="1">
      <x v="33"/>
      <x v="27"/>
    </i>
    <i>
      <x v="341"/>
      <x/>
      <x v="48"/>
    </i>
    <i r="1">
      <x v="3"/>
      <x v="67"/>
    </i>
    <i r="1">
      <x v="7"/>
      <x v="87"/>
    </i>
    <i r="1">
      <x v="10"/>
      <x v="112"/>
    </i>
    <i r="1">
      <x v="13"/>
      <x v="132"/>
    </i>
    <i r="1">
      <x v="16"/>
      <x v="151"/>
    </i>
    <i r="1">
      <x v="19"/>
      <x v="175"/>
    </i>
    <i r="1">
      <x v="30"/>
      <x v="7"/>
    </i>
    <i r="1">
      <x v="33"/>
      <x v="26"/>
    </i>
    <i>
      <x v="342"/>
      <x/>
      <x v="47"/>
    </i>
    <i r="1">
      <x v="3"/>
      <x v="66"/>
    </i>
    <i r="1">
      <x v="7"/>
      <x v="86"/>
    </i>
    <i r="1">
      <x v="10"/>
      <x v="111"/>
    </i>
    <i r="1">
      <x v="13"/>
      <x v="131"/>
    </i>
    <i r="1">
      <x v="16"/>
      <x v="150"/>
    </i>
    <i r="1">
      <x v="19"/>
      <x v="174"/>
    </i>
    <i r="1">
      <x v="30"/>
      <x v="6"/>
    </i>
    <i r="1">
      <x v="33"/>
      <x v="25"/>
    </i>
    <i>
      <x v="343"/>
      <x/>
      <x v="46"/>
    </i>
    <i r="1">
      <x v="3"/>
      <x v="65"/>
    </i>
    <i r="1">
      <x v="7"/>
      <x v="85"/>
    </i>
    <i r="1">
      <x v="10"/>
      <x v="110"/>
    </i>
    <i r="1">
      <x v="13"/>
      <x v="130"/>
    </i>
    <i r="1">
      <x v="16"/>
      <x v="149"/>
    </i>
    <i r="1">
      <x v="19"/>
      <x v="173"/>
    </i>
    <i r="1">
      <x v="30"/>
      <x v="5"/>
    </i>
    <i r="1">
      <x v="33"/>
      <x v="24"/>
    </i>
    <i>
      <x v="344"/>
      <x/>
      <x v="45"/>
    </i>
    <i r="1">
      <x v="3"/>
      <x v="64"/>
    </i>
    <i r="1">
      <x v="7"/>
      <x v="84"/>
    </i>
    <i r="1">
      <x v="10"/>
      <x v="109"/>
    </i>
    <i r="1">
      <x v="13"/>
      <x v="129"/>
    </i>
    <i r="1">
      <x v="16"/>
      <x v="148"/>
    </i>
    <i r="1">
      <x v="19"/>
      <x v="172"/>
    </i>
    <i r="1">
      <x v="30"/>
      <x v="4"/>
    </i>
    <i r="1">
      <x v="33"/>
      <x v="23"/>
    </i>
    <i>
      <x v="345"/>
      <x/>
      <x v="44"/>
    </i>
    <i r="1">
      <x v="3"/>
      <x v="63"/>
    </i>
    <i r="1">
      <x v="7"/>
      <x v="83"/>
    </i>
    <i r="1">
      <x v="10"/>
      <x v="108"/>
    </i>
    <i r="1">
      <x v="13"/>
      <x v="128"/>
    </i>
    <i r="1">
      <x v="16"/>
      <x v="147"/>
    </i>
    <i r="1">
      <x v="19"/>
      <x v="171"/>
    </i>
    <i r="1">
      <x v="30"/>
      <x v="3"/>
    </i>
    <i r="1">
      <x v="33"/>
      <x v="22"/>
    </i>
    <i>
      <x v="346"/>
      <x/>
      <x v="43"/>
    </i>
    <i r="1">
      <x v="3"/>
      <x v="62"/>
    </i>
    <i r="1">
      <x v="7"/>
      <x v="82"/>
    </i>
    <i r="1">
      <x v="10"/>
      <x v="107"/>
    </i>
    <i r="1">
      <x v="13"/>
      <x v="127"/>
    </i>
    <i r="1">
      <x v="16"/>
      <x v="146"/>
    </i>
    <i r="1">
      <x v="19"/>
      <x v="170"/>
    </i>
    <i r="1">
      <x v="30"/>
      <x v="2"/>
    </i>
    <i r="1">
      <x v="33"/>
      <x v="21"/>
    </i>
    <i>
      <x v="347"/>
      <x/>
      <x v="42"/>
    </i>
    <i r="1">
      <x v="3"/>
      <x v="61"/>
    </i>
    <i r="1">
      <x v="7"/>
      <x v="81"/>
    </i>
    <i r="1">
      <x v="10"/>
      <x v="106"/>
    </i>
    <i r="1">
      <x v="13"/>
      <x v="126"/>
    </i>
    <i r="1">
      <x v="16"/>
      <x v="145"/>
    </i>
    <i r="1">
      <x v="30"/>
      <x v="1"/>
    </i>
    <i r="1">
      <x v="33"/>
      <x v="20"/>
    </i>
    <i>
      <x v="348"/>
      <x/>
      <x v="41"/>
    </i>
    <i r="1">
      <x v="3"/>
      <x v="60"/>
    </i>
    <i r="1">
      <x v="7"/>
      <x v="80"/>
    </i>
    <i r="1">
      <x v="10"/>
      <x v="105"/>
    </i>
    <i r="1">
      <x v="13"/>
      <x v="125"/>
    </i>
    <i r="1">
      <x v="16"/>
      <x v="144"/>
    </i>
    <i r="1">
      <x v="19"/>
      <x v="168"/>
    </i>
    <i r="1">
      <x v="33"/>
      <x v="19"/>
    </i>
    <i>
      <x v="349"/>
      <x/>
      <x v="40"/>
    </i>
    <i r="1">
      <x v="3"/>
      <x v="59"/>
    </i>
    <i r="1">
      <x v="7"/>
      <x v="79"/>
    </i>
    <i r="1">
      <x v="10"/>
      <x v="104"/>
    </i>
    <i r="1">
      <x v="13"/>
      <x v="124"/>
    </i>
    <i r="1">
      <x v="16"/>
      <x v="143"/>
    </i>
    <i r="1">
      <x v="19"/>
      <x v="167"/>
    </i>
    <i r="1">
      <x v="33"/>
      <x v="18"/>
    </i>
    <i>
      <x v="350"/>
      <x/>
      <x v="39"/>
    </i>
    <i r="1">
      <x v="3"/>
      <x v="58"/>
    </i>
    <i r="1">
      <x v="7"/>
      <x v="78"/>
    </i>
    <i r="1">
      <x v="10"/>
      <x v="103"/>
    </i>
    <i r="1">
      <x v="13"/>
      <x v="123"/>
    </i>
    <i r="1">
      <x v="16"/>
      <x v="142"/>
    </i>
    <i r="1">
      <x v="33"/>
      <x v="17"/>
    </i>
    <i>
      <x v="351"/>
      <x/>
      <x v="38"/>
    </i>
    <i r="1">
      <x v="3"/>
      <x v="57"/>
    </i>
    <i r="1">
      <x v="7"/>
      <x v="77"/>
    </i>
    <i r="1">
      <x v="10"/>
      <x v="102"/>
    </i>
    <i r="1">
      <x v="13"/>
      <x v="122"/>
    </i>
    <i r="1">
      <x v="16"/>
      <x v="141"/>
    </i>
    <i r="1">
      <x v="19"/>
      <x v="165"/>
    </i>
    <i r="1">
      <x v="33"/>
      <x v="16"/>
    </i>
    <i>
      <x v="352"/>
      <x/>
      <x v="37"/>
    </i>
    <i r="1">
      <x v="3"/>
      <x v="56"/>
    </i>
    <i r="1">
      <x v="7"/>
      <x v="76"/>
    </i>
    <i r="1">
      <x v="10"/>
      <x v="101"/>
    </i>
    <i r="1">
      <x v="13"/>
      <x v="121"/>
    </i>
    <i r="1">
      <x v="16"/>
      <x v="140"/>
    </i>
    <i r="1">
      <x v="33"/>
      <x v="15"/>
    </i>
    <i>
      <x v="353"/>
      <x/>
      <x v="36"/>
    </i>
    <i r="1">
      <x v="3"/>
      <x v="55"/>
    </i>
    <i r="1">
      <x v="7"/>
      <x v="75"/>
    </i>
    <i r="1">
      <x v="10"/>
      <x v="100"/>
    </i>
    <i r="1">
      <x v="13"/>
      <x v="120"/>
    </i>
    <i r="1">
      <x v="16"/>
      <x v="139"/>
    </i>
    <i r="1">
      <x v="19"/>
      <x v="163"/>
    </i>
    <i r="1">
      <x v="33"/>
      <x v="14"/>
    </i>
    <i>
      <x v="354"/>
      <x/>
      <x v="35"/>
    </i>
    <i r="1">
      <x v="3"/>
      <x v="54"/>
    </i>
    <i r="1">
      <x v="7"/>
      <x v="74"/>
    </i>
    <i r="1">
      <x v="10"/>
      <x v="99"/>
    </i>
    <i r="1">
      <x v="13"/>
      <x v="119"/>
    </i>
    <i r="1">
      <x v="16"/>
      <x v="138"/>
    </i>
    <i r="1">
      <x v="19"/>
      <x v="162"/>
    </i>
    <i r="1">
      <x v="33"/>
      <x v="13"/>
    </i>
    <i>
      <x v="355"/>
      <x/>
      <x v="34"/>
    </i>
    <i r="1">
      <x v="3"/>
      <x v="53"/>
    </i>
    <i r="1">
      <x v="7"/>
      <x v="73"/>
    </i>
    <i r="1">
      <x v="10"/>
      <x v="98"/>
    </i>
    <i r="1">
      <x v="13"/>
      <x v="118"/>
    </i>
    <i r="1">
      <x v="16"/>
      <x v="137"/>
    </i>
    <i r="1">
      <x v="19"/>
      <x v="161"/>
    </i>
    <i r="1">
      <x v="33"/>
      <x v="12"/>
    </i>
    <i>
      <x v="356"/>
      <x/>
      <x v="33"/>
    </i>
    <i r="1">
      <x v="3"/>
      <x v="52"/>
    </i>
    <i r="1">
      <x v="7"/>
      <x v="72"/>
    </i>
    <i r="1">
      <x v="10"/>
      <x v="97"/>
    </i>
    <i r="1">
      <x v="13"/>
      <x v="117"/>
    </i>
    <i r="1">
      <x v="16"/>
      <x v="136"/>
    </i>
    <i r="1">
      <x v="19"/>
      <x v="160"/>
    </i>
    <i r="1">
      <x v="33"/>
      <x v="11"/>
    </i>
    <i>
      <x v="357"/>
      <x/>
      <x v="32"/>
    </i>
    <i r="1">
      <x v="3"/>
      <x v="51"/>
    </i>
    <i r="1">
      <x v="7"/>
      <x v="71"/>
    </i>
    <i r="1">
      <x v="10"/>
      <x v="96"/>
    </i>
    <i r="1">
      <x v="13"/>
      <x v="116"/>
    </i>
    <i r="1">
      <x v="16"/>
      <x v="135"/>
    </i>
    <i r="1">
      <x v="19"/>
      <x v="159"/>
    </i>
    <i r="1">
      <x v="33"/>
      <x v="10"/>
    </i>
    <i>
      <x v="358"/>
      <x/>
      <x v="31"/>
    </i>
    <i r="1">
      <x v="3"/>
      <x v="50"/>
    </i>
    <i r="1">
      <x v="7"/>
      <x v="70"/>
    </i>
    <i r="1">
      <x v="10"/>
      <x v="95"/>
    </i>
    <i r="1">
      <x v="13"/>
      <x v="115"/>
    </i>
    <i r="1">
      <x v="16"/>
      <x v="134"/>
    </i>
    <i r="1">
      <x v="19"/>
      <x v="158"/>
    </i>
    <i>
      <x v="359"/>
      <x/>
      <x v="30"/>
    </i>
    <i r="1">
      <x v="3"/>
      <x v="49"/>
    </i>
    <i r="1">
      <x v="7"/>
      <x v="69"/>
    </i>
    <i r="1">
      <x v="10"/>
      <x v="94"/>
    </i>
    <i r="1">
      <x v="13"/>
      <x v="114"/>
    </i>
    <i r="1">
      <x v="16"/>
      <x v="133"/>
    </i>
    <i r="1">
      <x v="19"/>
      <x v="157"/>
    </i>
    <i>
      <x v="360"/>
      <x/>
      <x v="29"/>
    </i>
    <i r="1">
      <x v="3"/>
      <x v="48"/>
    </i>
    <i r="1">
      <x v="7"/>
      <x v="68"/>
    </i>
    <i r="1">
      <x v="10"/>
      <x v="93"/>
    </i>
    <i r="1">
      <x v="13"/>
      <x v="113"/>
    </i>
    <i r="1">
      <x v="16"/>
      <x v="132"/>
    </i>
    <i r="1">
      <x v="19"/>
      <x v="156"/>
    </i>
    <i>
      <x v="361"/>
      <x/>
      <x v="28"/>
    </i>
    <i r="1">
      <x v="3"/>
      <x v="47"/>
    </i>
    <i r="1">
      <x v="7"/>
      <x v="67"/>
    </i>
    <i r="1">
      <x v="10"/>
      <x v="92"/>
    </i>
    <i r="1">
      <x v="13"/>
      <x v="112"/>
    </i>
    <i r="1">
      <x v="16"/>
      <x v="131"/>
    </i>
    <i r="1">
      <x v="19"/>
      <x v="155"/>
    </i>
    <i>
      <x v="362"/>
      <x/>
      <x v="27"/>
    </i>
    <i r="1">
      <x v="3"/>
      <x v="46"/>
    </i>
    <i r="1">
      <x v="7"/>
      <x v="66"/>
    </i>
    <i r="1">
      <x v="10"/>
      <x v="91"/>
    </i>
    <i r="1">
      <x v="13"/>
      <x v="111"/>
    </i>
    <i r="1">
      <x v="16"/>
      <x v="130"/>
    </i>
    <i r="1">
      <x v="19"/>
      <x v="154"/>
    </i>
    <i>
      <x v="363"/>
      <x/>
      <x v="26"/>
    </i>
    <i r="1">
      <x v="3"/>
      <x v="45"/>
    </i>
    <i r="1">
      <x v="7"/>
      <x v="65"/>
    </i>
    <i r="1">
      <x v="10"/>
      <x v="90"/>
    </i>
    <i r="1">
      <x v="13"/>
      <x v="110"/>
    </i>
    <i r="1">
      <x v="16"/>
      <x v="129"/>
    </i>
    <i r="1">
      <x v="19"/>
      <x v="153"/>
    </i>
    <i>
      <x v="364"/>
      <x/>
      <x v="25"/>
    </i>
    <i r="1">
      <x v="3"/>
      <x v="44"/>
    </i>
    <i r="1">
      <x v="7"/>
      <x v="64"/>
    </i>
    <i r="1">
      <x v="10"/>
      <x v="89"/>
    </i>
    <i r="1">
      <x v="13"/>
      <x v="109"/>
    </i>
    <i r="1">
      <x v="16"/>
      <x v="128"/>
    </i>
    <i r="1">
      <x v="19"/>
      <x v="152"/>
    </i>
    <i>
      <x v="365"/>
      <x/>
      <x v="24"/>
    </i>
    <i r="1">
      <x v="3"/>
      <x v="43"/>
    </i>
    <i r="1">
      <x v="7"/>
      <x v="63"/>
    </i>
    <i r="1">
      <x v="10"/>
      <x v="88"/>
    </i>
    <i r="1">
      <x v="13"/>
      <x v="108"/>
    </i>
    <i r="1">
      <x v="16"/>
      <x v="127"/>
    </i>
    <i r="1">
      <x v="19"/>
      <x v="151"/>
    </i>
    <i r="1">
      <x v="22"/>
      <x v="171"/>
    </i>
    <i>
      <x v="366"/>
      <x/>
      <x v="23"/>
    </i>
    <i r="1">
      <x v="3"/>
      <x v="42"/>
    </i>
    <i r="1">
      <x v="7"/>
      <x v="62"/>
    </i>
    <i r="1">
      <x v="10"/>
      <x v="87"/>
    </i>
    <i r="1">
      <x v="13"/>
      <x v="107"/>
    </i>
    <i r="1">
      <x v="16"/>
      <x v="126"/>
    </i>
    <i r="1">
      <x v="19"/>
      <x v="150"/>
    </i>
    <i>
      <x v="367"/>
      <x/>
      <x v="22"/>
    </i>
    <i r="1">
      <x v="3"/>
      <x v="41"/>
    </i>
    <i r="1">
      <x v="7"/>
      <x v="61"/>
    </i>
    <i r="1">
      <x v="10"/>
      <x v="86"/>
    </i>
    <i r="1">
      <x v="13"/>
      <x v="106"/>
    </i>
    <i r="1">
      <x v="16"/>
      <x v="125"/>
    </i>
    <i r="1">
      <x v="19"/>
      <x v="149"/>
    </i>
    <i>
      <x v="368"/>
      <x/>
      <x v="21"/>
    </i>
    <i r="1">
      <x v="3"/>
      <x v="40"/>
    </i>
    <i r="1">
      <x v="7"/>
      <x v="60"/>
    </i>
    <i r="1">
      <x v="10"/>
      <x v="85"/>
    </i>
    <i r="1">
      <x v="13"/>
      <x v="105"/>
    </i>
    <i r="1">
      <x v="16"/>
      <x v="124"/>
    </i>
    <i r="1">
      <x v="19"/>
      <x v="148"/>
    </i>
    <i r="1">
      <x v="22"/>
      <x v="168"/>
    </i>
    <i>
      <x v="369"/>
      <x/>
      <x v="20"/>
    </i>
    <i r="1">
      <x v="3"/>
      <x v="39"/>
    </i>
    <i r="1">
      <x v="7"/>
      <x v="59"/>
    </i>
    <i r="1">
      <x v="10"/>
      <x v="84"/>
    </i>
    <i r="1">
      <x v="13"/>
      <x v="104"/>
    </i>
    <i r="1">
      <x v="16"/>
      <x v="123"/>
    </i>
    <i r="1">
      <x v="19"/>
      <x v="147"/>
    </i>
    <i r="1">
      <x v="22"/>
      <x v="167"/>
    </i>
    <i>
      <x v="370"/>
      <x/>
      <x v="19"/>
    </i>
    <i r="1">
      <x v="3"/>
      <x v="38"/>
    </i>
    <i r="1">
      <x v="7"/>
      <x v="58"/>
    </i>
    <i r="1">
      <x v="10"/>
      <x v="83"/>
    </i>
    <i r="1">
      <x v="13"/>
      <x v="103"/>
    </i>
    <i r="1">
      <x v="16"/>
      <x v="122"/>
    </i>
    <i r="1">
      <x v="19"/>
      <x v="146"/>
    </i>
    <i r="1">
      <x v="22"/>
      <x v="166"/>
    </i>
    <i>
      <x v="371"/>
      <x/>
      <x v="18"/>
    </i>
    <i r="1">
      <x v="3"/>
      <x v="37"/>
    </i>
    <i r="1">
      <x v="7"/>
      <x v="57"/>
    </i>
    <i r="1">
      <x v="10"/>
      <x v="82"/>
    </i>
    <i r="1">
      <x v="13"/>
      <x v="102"/>
    </i>
    <i r="1">
      <x v="16"/>
      <x v="121"/>
    </i>
    <i r="1">
      <x v="19"/>
      <x v="145"/>
    </i>
    <i r="1">
      <x v="22"/>
      <x v="165"/>
    </i>
    <i>
      <x v="372"/>
      <x/>
      <x v="17"/>
    </i>
    <i r="1">
      <x v="3"/>
      <x v="36"/>
    </i>
    <i r="1">
      <x v="7"/>
      <x v="56"/>
    </i>
    <i r="1">
      <x v="10"/>
      <x v="81"/>
    </i>
    <i r="1">
      <x v="13"/>
      <x v="101"/>
    </i>
    <i r="1">
      <x v="16"/>
      <x v="120"/>
    </i>
    <i r="1">
      <x v="19"/>
      <x v="144"/>
    </i>
    <i>
      <x v="373"/>
      <x/>
      <x v="16"/>
    </i>
    <i r="1">
      <x v="3"/>
      <x v="35"/>
    </i>
    <i r="1">
      <x v="7"/>
      <x v="55"/>
    </i>
    <i r="1">
      <x v="10"/>
      <x v="80"/>
    </i>
    <i r="1">
      <x v="13"/>
      <x v="100"/>
    </i>
    <i r="1">
      <x v="16"/>
      <x v="119"/>
    </i>
    <i r="1">
      <x v="19"/>
      <x v="143"/>
    </i>
    <i r="1">
      <x v="22"/>
      <x v="163"/>
    </i>
    <i>
      <x v="374"/>
      <x/>
      <x v="15"/>
    </i>
    <i r="1">
      <x v="3"/>
      <x v="34"/>
    </i>
    <i r="1">
      <x v="7"/>
      <x v="54"/>
    </i>
    <i r="1">
      <x v="10"/>
      <x v="79"/>
    </i>
    <i r="1">
      <x v="13"/>
      <x v="99"/>
    </i>
    <i r="1">
      <x v="16"/>
      <x v="118"/>
    </i>
    <i r="1">
      <x v="19"/>
      <x v="142"/>
    </i>
    <i>
      <x v="375"/>
      <x/>
      <x v="14"/>
    </i>
    <i r="1">
      <x v="3"/>
      <x v="33"/>
    </i>
    <i r="1">
      <x v="7"/>
      <x v="53"/>
    </i>
    <i r="1">
      <x v="10"/>
      <x v="78"/>
    </i>
    <i r="1">
      <x v="13"/>
      <x v="98"/>
    </i>
    <i r="1">
      <x v="16"/>
      <x v="117"/>
    </i>
    <i r="1">
      <x v="19"/>
      <x v="141"/>
    </i>
    <i r="1">
      <x v="22"/>
      <x v="161"/>
    </i>
    <i>
      <x v="376"/>
      <x/>
      <x v="13"/>
    </i>
    <i r="1">
      <x v="3"/>
      <x v="32"/>
    </i>
    <i r="1">
      <x v="7"/>
      <x v="52"/>
    </i>
    <i r="1">
      <x v="10"/>
      <x v="77"/>
    </i>
    <i r="1">
      <x v="13"/>
      <x v="97"/>
    </i>
    <i r="1">
      <x v="16"/>
      <x v="116"/>
    </i>
    <i r="1">
      <x v="19"/>
      <x v="140"/>
    </i>
    <i>
      <x v="377"/>
      <x/>
      <x v="12"/>
    </i>
    <i r="1">
      <x v="3"/>
      <x v="31"/>
    </i>
    <i r="1">
      <x v="7"/>
      <x v="51"/>
    </i>
    <i r="1">
      <x v="10"/>
      <x v="76"/>
    </i>
    <i r="1">
      <x v="13"/>
      <x v="96"/>
    </i>
    <i r="1">
      <x v="16"/>
      <x v="115"/>
    </i>
    <i r="1">
      <x v="19"/>
      <x v="139"/>
    </i>
    <i r="1">
      <x v="22"/>
      <x v="159"/>
    </i>
    <i>
      <x v="378"/>
      <x/>
      <x v="11"/>
    </i>
    <i r="1">
      <x v="3"/>
      <x v="30"/>
    </i>
    <i r="1">
      <x v="7"/>
      <x v="50"/>
    </i>
    <i r="1">
      <x v="10"/>
      <x v="75"/>
    </i>
    <i r="1">
      <x v="13"/>
      <x v="95"/>
    </i>
    <i r="1">
      <x v="16"/>
      <x v="114"/>
    </i>
    <i r="1">
      <x v="19"/>
      <x v="138"/>
    </i>
    <i r="1">
      <x v="22"/>
      <x v="158"/>
    </i>
    <i>
      <x v="379"/>
      <x/>
      <x v="10"/>
    </i>
    <i r="1">
      <x v="3"/>
      <x v="29"/>
    </i>
    <i r="1">
      <x v="7"/>
      <x v="49"/>
    </i>
    <i r="1">
      <x v="10"/>
      <x v="74"/>
    </i>
    <i r="1">
      <x v="13"/>
      <x v="94"/>
    </i>
    <i r="1">
      <x v="16"/>
      <x v="113"/>
    </i>
    <i r="1">
      <x v="19"/>
      <x v="137"/>
    </i>
    <i r="1">
      <x v="22"/>
      <x v="157"/>
    </i>
    <i>
      <x v="380"/>
      <x/>
      <x v="9"/>
    </i>
    <i r="1">
      <x v="3"/>
      <x v="28"/>
    </i>
    <i r="1">
      <x v="7"/>
      <x v="48"/>
    </i>
    <i r="1">
      <x v="10"/>
      <x v="73"/>
    </i>
    <i r="1">
      <x v="13"/>
      <x v="93"/>
    </i>
    <i r="1">
      <x v="16"/>
      <x v="112"/>
    </i>
    <i r="1">
      <x v="19"/>
      <x v="136"/>
    </i>
    <i r="1">
      <x v="22"/>
      <x v="156"/>
    </i>
    <i>
      <x v="381"/>
      <x/>
      <x v="8"/>
    </i>
    <i r="1">
      <x v="3"/>
      <x v="27"/>
    </i>
    <i r="1">
      <x v="7"/>
      <x v="47"/>
    </i>
    <i r="1">
      <x v="10"/>
      <x v="72"/>
    </i>
    <i r="1">
      <x v="13"/>
      <x v="92"/>
    </i>
    <i r="1">
      <x v="16"/>
      <x v="111"/>
    </i>
    <i r="1">
      <x v="19"/>
      <x v="135"/>
    </i>
    <i>
      <x v="382"/>
      <x/>
      <x v="7"/>
    </i>
    <i r="1">
      <x v="3"/>
      <x v="26"/>
    </i>
    <i r="1">
      <x v="7"/>
      <x v="46"/>
    </i>
    <i r="1">
      <x v="10"/>
      <x v="71"/>
    </i>
    <i r="1">
      <x v="13"/>
      <x v="91"/>
    </i>
    <i r="1">
      <x v="16"/>
      <x v="110"/>
    </i>
    <i r="1">
      <x v="19"/>
      <x v="134"/>
    </i>
    <i r="1">
      <x v="22"/>
      <x v="154"/>
    </i>
    <i r="1">
      <x v="25"/>
      <x v="173"/>
    </i>
    <i>
      <x v="383"/>
      <x/>
      <x v="6"/>
    </i>
    <i r="1">
      <x v="3"/>
      <x v="25"/>
    </i>
    <i r="1">
      <x v="7"/>
      <x v="45"/>
    </i>
    <i r="1">
      <x v="10"/>
      <x v="70"/>
    </i>
    <i r="1">
      <x v="13"/>
      <x v="90"/>
    </i>
    <i r="1">
      <x v="16"/>
      <x v="109"/>
    </i>
    <i r="1">
      <x v="19"/>
      <x v="133"/>
    </i>
    <i r="1">
      <x v="22"/>
      <x v="153"/>
    </i>
    <i r="1">
      <x v="25"/>
      <x v="172"/>
    </i>
    <i>
      <x v="384"/>
      <x/>
      <x v="5"/>
    </i>
    <i r="1">
      <x v="3"/>
      <x v="24"/>
    </i>
    <i r="1">
      <x v="7"/>
      <x v="44"/>
    </i>
    <i r="1">
      <x v="10"/>
      <x v="69"/>
    </i>
    <i r="1">
      <x v="13"/>
      <x v="89"/>
    </i>
    <i r="1">
      <x v="16"/>
      <x v="108"/>
    </i>
    <i r="1">
      <x v="19"/>
      <x v="132"/>
    </i>
    <i r="1">
      <x v="22"/>
      <x v="152"/>
    </i>
    <i r="1">
      <x v="25"/>
      <x v="171"/>
    </i>
    <i>
      <x v="385"/>
      <x/>
      <x v="4"/>
    </i>
    <i r="1">
      <x v="3"/>
      <x v="23"/>
    </i>
    <i r="1">
      <x v="7"/>
      <x v="43"/>
    </i>
    <i r="1">
      <x v="10"/>
      <x v="68"/>
    </i>
    <i r="1">
      <x v="13"/>
      <x v="88"/>
    </i>
    <i r="1">
      <x v="16"/>
      <x v="107"/>
    </i>
    <i r="1">
      <x v="19"/>
      <x v="131"/>
    </i>
    <i r="1">
      <x v="22"/>
      <x v="151"/>
    </i>
    <i r="1">
      <x v="25"/>
      <x v="170"/>
    </i>
    <i>
      <x v="386"/>
      <x/>
      <x v="3"/>
    </i>
    <i r="1">
      <x v="3"/>
      <x v="22"/>
    </i>
    <i r="1">
      <x v="7"/>
      <x v="42"/>
    </i>
    <i r="1">
      <x v="10"/>
      <x v="67"/>
    </i>
    <i r="1">
      <x v="13"/>
      <x v="87"/>
    </i>
    <i r="1">
      <x v="16"/>
      <x v="106"/>
    </i>
    <i r="1">
      <x v="19"/>
      <x v="130"/>
    </i>
    <i r="1">
      <x v="22"/>
      <x v="150"/>
    </i>
    <i r="1">
      <x v="25"/>
      <x v="169"/>
    </i>
    <i>
      <x v="387"/>
      <x/>
      <x v="2"/>
    </i>
    <i r="1">
      <x v="3"/>
      <x v="21"/>
    </i>
    <i r="1">
      <x v="7"/>
      <x v="41"/>
    </i>
    <i r="1">
      <x v="10"/>
      <x v="66"/>
    </i>
    <i r="1">
      <x v="13"/>
      <x v="86"/>
    </i>
    <i r="1">
      <x v="16"/>
      <x v="105"/>
    </i>
    <i r="1">
      <x v="19"/>
      <x v="129"/>
    </i>
    <i r="1">
      <x v="22"/>
      <x v="149"/>
    </i>
    <i r="1">
      <x v="25"/>
      <x v="168"/>
    </i>
    <i>
      <x v="388"/>
      <x/>
      <x v="1"/>
    </i>
    <i r="1">
      <x v="3"/>
      <x v="20"/>
    </i>
    <i r="1">
      <x v="7"/>
      <x v="40"/>
    </i>
    <i r="1">
      <x v="10"/>
      <x v="65"/>
    </i>
    <i r="1">
      <x v="13"/>
      <x v="85"/>
    </i>
    <i r="1">
      <x v="16"/>
      <x v="104"/>
    </i>
    <i r="1">
      <x v="19"/>
      <x v="128"/>
    </i>
    <i r="1">
      <x v="22"/>
      <x v="148"/>
    </i>
    <i r="1">
      <x v="25"/>
      <x v="167"/>
    </i>
    <i>
      <x v="389"/>
      <x v="3"/>
      <x v="19"/>
    </i>
    <i r="1">
      <x v="7"/>
      <x v="39"/>
    </i>
    <i r="1">
      <x v="10"/>
      <x v="64"/>
    </i>
    <i r="1">
      <x v="13"/>
      <x v="84"/>
    </i>
    <i r="1">
      <x v="16"/>
      <x v="103"/>
    </i>
    <i r="1">
      <x v="19"/>
      <x v="127"/>
    </i>
    <i r="1">
      <x v="22"/>
      <x v="147"/>
    </i>
    <i r="1">
      <x v="25"/>
      <x v="166"/>
    </i>
    <i>
      <x v="390"/>
      <x v="3"/>
      <x v="18"/>
    </i>
    <i r="1">
      <x v="7"/>
      <x v="38"/>
    </i>
    <i r="1">
      <x v="10"/>
      <x v="63"/>
    </i>
    <i r="1">
      <x v="13"/>
      <x v="83"/>
    </i>
    <i r="1">
      <x v="16"/>
      <x v="102"/>
    </i>
    <i r="1">
      <x v="19"/>
      <x v="126"/>
    </i>
    <i r="1">
      <x v="22"/>
      <x v="146"/>
    </i>
    <i r="1">
      <x v="25"/>
      <x v="165"/>
    </i>
    <i>
      <x v="391"/>
      <x v="3"/>
      <x v="17"/>
    </i>
    <i r="1">
      <x v="7"/>
      <x v="37"/>
    </i>
    <i r="1">
      <x v="10"/>
      <x v="62"/>
    </i>
    <i r="1">
      <x v="13"/>
      <x v="82"/>
    </i>
    <i r="1">
      <x v="16"/>
      <x v="101"/>
    </i>
    <i r="1">
      <x v="19"/>
      <x v="125"/>
    </i>
    <i r="1">
      <x v="22"/>
      <x v="145"/>
    </i>
    <i r="1">
      <x v="25"/>
      <x v="164"/>
    </i>
    <i r="1">
      <x v="28"/>
      <x v="189"/>
    </i>
    <i>
      <x v="392"/>
      <x v="3"/>
      <x v="16"/>
    </i>
    <i r="1">
      <x v="7"/>
      <x v="36"/>
    </i>
    <i r="1">
      <x v="10"/>
      <x v="61"/>
    </i>
    <i r="1">
      <x v="13"/>
      <x v="81"/>
    </i>
    <i r="1">
      <x v="16"/>
      <x v="100"/>
    </i>
    <i r="1">
      <x v="19"/>
      <x v="124"/>
    </i>
    <i r="1">
      <x v="22"/>
      <x v="144"/>
    </i>
    <i r="1">
      <x v="25"/>
      <x v="163"/>
    </i>
    <i r="1">
      <x v="28"/>
      <x v="188"/>
    </i>
    <i>
      <x v="393"/>
      <x v="3"/>
      <x v="15"/>
    </i>
    <i r="1">
      <x v="7"/>
      <x v="35"/>
    </i>
    <i r="1">
      <x v="10"/>
      <x v="60"/>
    </i>
    <i r="1">
      <x v="13"/>
      <x v="80"/>
    </i>
    <i r="1">
      <x v="16"/>
      <x v="99"/>
    </i>
    <i r="1">
      <x v="19"/>
      <x v="123"/>
    </i>
    <i r="1">
      <x v="22"/>
      <x v="143"/>
    </i>
    <i r="1">
      <x v="25"/>
      <x v="162"/>
    </i>
    <i r="1">
      <x v="28"/>
      <x v="187"/>
    </i>
    <i>
      <x v="394"/>
      <x v="3"/>
      <x v="14"/>
    </i>
    <i r="1">
      <x v="7"/>
      <x v="34"/>
    </i>
    <i r="1">
      <x v="10"/>
      <x v="59"/>
    </i>
    <i r="1">
      <x v="13"/>
      <x v="79"/>
    </i>
    <i r="1">
      <x v="16"/>
      <x v="98"/>
    </i>
    <i r="1">
      <x v="19"/>
      <x v="122"/>
    </i>
    <i r="1">
      <x v="22"/>
      <x v="142"/>
    </i>
    <i r="1">
      <x v="25"/>
      <x v="161"/>
    </i>
    <i r="1">
      <x v="28"/>
      <x v="186"/>
    </i>
    <i>
      <x v="395"/>
      <x v="3"/>
      <x v="13"/>
    </i>
    <i r="1">
      <x v="7"/>
      <x v="33"/>
    </i>
    <i r="1">
      <x v="10"/>
      <x v="58"/>
    </i>
    <i r="1">
      <x v="13"/>
      <x v="78"/>
    </i>
    <i r="1">
      <x v="16"/>
      <x v="97"/>
    </i>
    <i r="1">
      <x v="19"/>
      <x v="121"/>
    </i>
    <i r="1">
      <x v="22"/>
      <x v="141"/>
    </i>
    <i r="1">
      <x v="25"/>
      <x v="160"/>
    </i>
    <i r="1">
      <x v="28"/>
      <x v="185"/>
    </i>
    <i>
      <x v="396"/>
      <x v="3"/>
      <x v="12"/>
    </i>
    <i r="1">
      <x v="7"/>
      <x v="32"/>
    </i>
    <i r="1">
      <x v="10"/>
      <x v="57"/>
    </i>
    <i r="1">
      <x v="13"/>
      <x v="77"/>
    </i>
    <i r="1">
      <x v="16"/>
      <x v="96"/>
    </i>
    <i r="1">
      <x v="19"/>
      <x v="120"/>
    </i>
    <i r="1">
      <x v="22"/>
      <x v="140"/>
    </i>
    <i r="1">
      <x v="25"/>
      <x v="159"/>
    </i>
    <i r="1">
      <x v="28"/>
      <x v="184"/>
    </i>
    <i>
      <x v="397"/>
      <x v="3"/>
      <x v="11"/>
    </i>
    <i r="1">
      <x v="7"/>
      <x v="31"/>
    </i>
    <i r="1">
      <x v="10"/>
      <x v="56"/>
    </i>
    <i r="1">
      <x v="13"/>
      <x v="76"/>
    </i>
    <i r="1">
      <x v="16"/>
      <x v="95"/>
    </i>
    <i r="1">
      <x v="19"/>
      <x v="119"/>
    </i>
    <i r="1">
      <x v="22"/>
      <x v="139"/>
    </i>
    <i r="1">
      <x v="25"/>
      <x v="158"/>
    </i>
    <i r="1">
      <x v="28"/>
      <x v="183"/>
    </i>
    <i>
      <x v="398"/>
      <x v="3"/>
      <x v="10"/>
    </i>
    <i r="1">
      <x v="7"/>
      <x v="30"/>
    </i>
    <i r="1">
      <x v="10"/>
      <x v="55"/>
    </i>
    <i r="1">
      <x v="13"/>
      <x v="75"/>
    </i>
    <i r="1">
      <x v="16"/>
      <x v="94"/>
    </i>
    <i r="1">
      <x v="19"/>
      <x v="118"/>
    </i>
    <i r="1">
      <x v="22"/>
      <x v="138"/>
    </i>
    <i r="1">
      <x v="25"/>
      <x v="157"/>
    </i>
    <i r="1">
      <x v="28"/>
      <x v="182"/>
    </i>
    <i>
      <x v="399"/>
      <x v="3"/>
      <x v="9"/>
    </i>
    <i r="1">
      <x v="7"/>
      <x v="29"/>
    </i>
    <i r="1">
      <x v="10"/>
      <x v="54"/>
    </i>
    <i r="1">
      <x v="13"/>
      <x v="74"/>
    </i>
    <i r="1">
      <x v="16"/>
      <x v="93"/>
    </i>
    <i r="1">
      <x v="19"/>
      <x v="117"/>
    </i>
    <i r="1">
      <x v="22"/>
      <x v="137"/>
    </i>
    <i r="1">
      <x v="25"/>
      <x v="156"/>
    </i>
    <i r="1">
      <x v="28"/>
      <x v="181"/>
    </i>
    <i>
      <x v="400"/>
      <x v="3"/>
      <x v="8"/>
    </i>
    <i r="1">
      <x v="7"/>
      <x v="28"/>
    </i>
    <i r="1">
      <x v="10"/>
      <x v="53"/>
    </i>
    <i r="1">
      <x v="13"/>
      <x v="73"/>
    </i>
    <i r="1">
      <x v="16"/>
      <x v="92"/>
    </i>
    <i r="1">
      <x v="19"/>
      <x v="116"/>
    </i>
    <i r="1">
      <x v="22"/>
      <x v="136"/>
    </i>
    <i r="1">
      <x v="25"/>
      <x v="155"/>
    </i>
    <i r="1">
      <x v="28"/>
      <x v="180"/>
    </i>
    <i>
      <x v="401"/>
      <x v="3"/>
      <x v="7"/>
    </i>
    <i r="1">
      <x v="7"/>
      <x v="27"/>
    </i>
    <i r="1">
      <x v="10"/>
      <x v="52"/>
    </i>
    <i r="1">
      <x v="13"/>
      <x v="72"/>
    </i>
    <i r="1">
      <x v="16"/>
      <x v="91"/>
    </i>
    <i r="1">
      <x v="19"/>
      <x v="115"/>
    </i>
    <i r="1">
      <x v="22"/>
      <x v="135"/>
    </i>
    <i r="1">
      <x v="25"/>
      <x v="154"/>
    </i>
    <i r="1">
      <x v="28"/>
      <x v="179"/>
    </i>
    <i>
      <x v="402"/>
      <x v="3"/>
      <x v="6"/>
    </i>
    <i r="1">
      <x v="7"/>
      <x v="26"/>
    </i>
    <i r="1">
      <x v="10"/>
      <x v="51"/>
    </i>
    <i r="1">
      <x v="13"/>
      <x v="71"/>
    </i>
    <i r="1">
      <x v="16"/>
      <x v="90"/>
    </i>
    <i r="1">
      <x v="19"/>
      <x v="114"/>
    </i>
    <i r="1">
      <x v="22"/>
      <x v="134"/>
    </i>
    <i r="1">
      <x v="25"/>
      <x v="153"/>
    </i>
    <i r="1">
      <x v="28"/>
      <x v="178"/>
    </i>
    <i>
      <x v="403"/>
      <x v="3"/>
      <x v="5"/>
    </i>
    <i r="1">
      <x v="7"/>
      <x v="25"/>
    </i>
    <i r="1">
      <x v="10"/>
      <x v="50"/>
    </i>
    <i r="1">
      <x v="13"/>
      <x v="70"/>
    </i>
    <i r="1">
      <x v="16"/>
      <x v="89"/>
    </i>
    <i r="1">
      <x v="19"/>
      <x v="113"/>
    </i>
    <i r="1">
      <x v="22"/>
      <x v="133"/>
    </i>
    <i r="1">
      <x v="25"/>
      <x v="152"/>
    </i>
    <i r="1">
      <x v="28"/>
      <x v="177"/>
    </i>
    <i>
      <x v="404"/>
      <x v="3"/>
      <x v="4"/>
    </i>
    <i r="1">
      <x v="7"/>
      <x v="24"/>
    </i>
    <i r="1">
      <x v="10"/>
      <x v="49"/>
    </i>
    <i r="1">
      <x v="13"/>
      <x v="69"/>
    </i>
    <i r="1">
      <x v="16"/>
      <x v="88"/>
    </i>
    <i r="1">
      <x v="19"/>
      <x v="112"/>
    </i>
    <i r="1">
      <x v="22"/>
      <x v="132"/>
    </i>
    <i r="1">
      <x v="25"/>
      <x v="151"/>
    </i>
    <i r="1">
      <x v="28"/>
      <x v="176"/>
    </i>
    <i>
      <x v="405"/>
      <x v="3"/>
      <x v="3"/>
    </i>
    <i r="1">
      <x v="7"/>
      <x v="23"/>
    </i>
    <i r="1">
      <x v="10"/>
      <x v="48"/>
    </i>
    <i r="1">
      <x v="13"/>
      <x v="68"/>
    </i>
    <i r="1">
      <x v="16"/>
      <x v="87"/>
    </i>
    <i r="1">
      <x v="19"/>
      <x v="111"/>
    </i>
    <i r="1">
      <x v="22"/>
      <x v="131"/>
    </i>
    <i r="1">
      <x v="25"/>
      <x v="150"/>
    </i>
    <i r="1">
      <x v="28"/>
      <x v="175"/>
    </i>
    <i>
      <x v="406"/>
      <x v="3"/>
      <x v="2"/>
    </i>
    <i r="1">
      <x v="7"/>
      <x v="22"/>
    </i>
    <i r="1">
      <x v="10"/>
      <x v="47"/>
    </i>
    <i r="1">
      <x v="13"/>
      <x v="67"/>
    </i>
    <i r="1">
      <x v="16"/>
      <x v="86"/>
    </i>
    <i r="1">
      <x v="19"/>
      <x v="110"/>
    </i>
    <i r="1">
      <x v="22"/>
      <x v="130"/>
    </i>
    <i r="1">
      <x v="25"/>
      <x v="149"/>
    </i>
    <i r="1">
      <x v="28"/>
      <x v="174"/>
    </i>
    <i>
      <x v="407"/>
      <x v="3"/>
      <x v="1"/>
    </i>
    <i r="1">
      <x v="7"/>
      <x v="21"/>
    </i>
    <i r="1">
      <x v="10"/>
      <x v="46"/>
    </i>
    <i r="1">
      <x v="13"/>
      <x v="66"/>
    </i>
    <i r="1">
      <x v="16"/>
      <x v="85"/>
    </i>
    <i r="1">
      <x v="19"/>
      <x v="109"/>
    </i>
    <i r="1">
      <x v="22"/>
      <x v="129"/>
    </i>
    <i r="1">
      <x v="25"/>
      <x v="148"/>
    </i>
    <i r="1">
      <x v="28"/>
      <x v="173"/>
    </i>
    <i>
      <x v="408"/>
      <x v="7"/>
      <x v="20"/>
    </i>
    <i r="1">
      <x v="10"/>
      <x v="45"/>
    </i>
    <i r="1">
      <x v="13"/>
      <x v="65"/>
    </i>
    <i r="1">
      <x v="16"/>
      <x v="84"/>
    </i>
    <i r="1">
      <x v="19"/>
      <x v="108"/>
    </i>
    <i r="1">
      <x v="22"/>
      <x v="128"/>
    </i>
    <i r="1">
      <x v="25"/>
      <x v="147"/>
    </i>
    <i r="1">
      <x v="28"/>
      <x v="172"/>
    </i>
    <i>
      <x v="409"/>
      <x v="7"/>
      <x v="19"/>
    </i>
    <i r="1">
      <x v="10"/>
      <x v="44"/>
    </i>
    <i r="1">
      <x v="13"/>
      <x v="64"/>
    </i>
    <i r="1">
      <x v="16"/>
      <x v="83"/>
    </i>
    <i r="1">
      <x v="19"/>
      <x v="107"/>
    </i>
    <i r="1">
      <x v="22"/>
      <x v="127"/>
    </i>
    <i r="1">
      <x v="25"/>
      <x v="146"/>
    </i>
    <i r="1">
      <x v="28"/>
      <x v="171"/>
    </i>
    <i>
      <x v="410"/>
      <x v="7"/>
      <x v="18"/>
    </i>
    <i r="1">
      <x v="10"/>
      <x v="43"/>
    </i>
    <i r="1">
      <x v="13"/>
      <x v="63"/>
    </i>
    <i r="1">
      <x v="16"/>
      <x v="82"/>
    </i>
    <i r="1">
      <x v="19"/>
      <x v="106"/>
    </i>
    <i r="1">
      <x v="22"/>
      <x v="126"/>
    </i>
    <i r="1">
      <x v="25"/>
      <x v="145"/>
    </i>
    <i r="1">
      <x v="28"/>
      <x v="170"/>
    </i>
    <i r="1">
      <x v="31"/>
      <x v="190"/>
    </i>
    <i>
      <x v="411"/>
      <x v="7"/>
      <x v="16"/>
    </i>
    <i r="1">
      <x v="10"/>
      <x v="41"/>
    </i>
    <i r="1">
      <x v="13"/>
      <x v="61"/>
    </i>
    <i r="1">
      <x v="16"/>
      <x v="80"/>
    </i>
    <i r="1">
      <x v="19"/>
      <x v="104"/>
    </i>
    <i r="1">
      <x v="22"/>
      <x v="124"/>
    </i>
    <i r="1">
      <x v="25"/>
      <x v="143"/>
    </i>
    <i r="1">
      <x v="28"/>
      <x v="168"/>
    </i>
    <i r="1">
      <x v="31"/>
      <x v="188"/>
    </i>
    <i>
      <x v="412"/>
      <x v="7"/>
      <x v="15"/>
    </i>
    <i r="1">
      <x v="10"/>
      <x v="40"/>
    </i>
    <i r="1">
      <x v="13"/>
      <x v="60"/>
    </i>
    <i r="1">
      <x v="16"/>
      <x v="79"/>
    </i>
    <i r="1">
      <x v="19"/>
      <x v="103"/>
    </i>
    <i r="1">
      <x v="22"/>
      <x v="123"/>
    </i>
    <i r="1">
      <x v="25"/>
      <x v="142"/>
    </i>
    <i r="1">
      <x v="28"/>
      <x v="167"/>
    </i>
    <i r="1">
      <x v="31"/>
      <x v="187"/>
    </i>
    <i>
      <x v="413"/>
      <x v="7"/>
      <x v="14"/>
    </i>
    <i r="1">
      <x v="10"/>
      <x v="39"/>
    </i>
    <i r="1">
      <x v="13"/>
      <x v="59"/>
    </i>
    <i r="1">
      <x v="16"/>
      <x v="78"/>
    </i>
    <i r="1">
      <x v="19"/>
      <x v="102"/>
    </i>
    <i r="1">
      <x v="22"/>
      <x v="122"/>
    </i>
    <i r="1">
      <x v="25"/>
      <x v="141"/>
    </i>
    <i r="1">
      <x v="28"/>
      <x v="166"/>
    </i>
    <i r="1">
      <x v="31"/>
      <x v="186"/>
    </i>
    <i>
      <x v="414"/>
      <x v="7"/>
      <x v="13"/>
    </i>
    <i r="1">
      <x v="10"/>
      <x v="38"/>
    </i>
    <i r="1">
      <x v="13"/>
      <x v="58"/>
    </i>
    <i r="1">
      <x v="16"/>
      <x v="77"/>
    </i>
    <i r="1">
      <x v="19"/>
      <x v="101"/>
    </i>
    <i r="1">
      <x v="22"/>
      <x v="121"/>
    </i>
    <i r="1">
      <x v="25"/>
      <x v="140"/>
    </i>
    <i r="1">
      <x v="28"/>
      <x v="165"/>
    </i>
    <i r="1">
      <x v="31"/>
      <x v="185"/>
    </i>
    <i>
      <x v="415"/>
      <x v="7"/>
      <x v="12"/>
    </i>
    <i r="1">
      <x v="10"/>
      <x v="37"/>
    </i>
    <i r="1">
      <x v="13"/>
      <x v="57"/>
    </i>
    <i r="1">
      <x v="16"/>
      <x v="76"/>
    </i>
    <i r="1">
      <x v="19"/>
      <x v="100"/>
    </i>
    <i r="1">
      <x v="22"/>
      <x v="120"/>
    </i>
    <i r="1">
      <x v="25"/>
      <x v="139"/>
    </i>
    <i r="1">
      <x v="28"/>
      <x v="164"/>
    </i>
    <i r="1">
      <x v="31"/>
      <x v="184"/>
    </i>
    <i>
      <x v="416"/>
      <x v="7"/>
      <x v="11"/>
    </i>
    <i r="1">
      <x v="10"/>
      <x v="36"/>
    </i>
    <i r="1">
      <x v="13"/>
      <x v="56"/>
    </i>
    <i r="1">
      <x v="16"/>
      <x v="75"/>
    </i>
    <i r="1">
      <x v="19"/>
      <x v="99"/>
    </i>
    <i r="1">
      <x v="22"/>
      <x v="119"/>
    </i>
    <i r="1">
      <x v="25"/>
      <x v="138"/>
    </i>
    <i r="1">
      <x v="28"/>
      <x v="163"/>
    </i>
    <i r="1">
      <x v="31"/>
      <x v="183"/>
    </i>
    <i>
      <x v="417"/>
      <x v="7"/>
      <x v="10"/>
    </i>
    <i r="1">
      <x v="10"/>
      <x v="35"/>
    </i>
    <i r="1">
      <x v="13"/>
      <x v="55"/>
    </i>
    <i r="1">
      <x v="16"/>
      <x v="74"/>
    </i>
    <i r="1">
      <x v="19"/>
      <x v="98"/>
    </i>
    <i r="1">
      <x v="22"/>
      <x v="118"/>
    </i>
    <i r="1">
      <x v="25"/>
      <x v="137"/>
    </i>
    <i r="1">
      <x v="28"/>
      <x v="162"/>
    </i>
    <i r="1">
      <x v="31"/>
      <x v="182"/>
    </i>
    <i>
      <x v="418"/>
      <x v="7"/>
      <x v="9"/>
    </i>
    <i r="1">
      <x v="10"/>
      <x v="34"/>
    </i>
    <i r="1">
      <x v="13"/>
      <x v="54"/>
    </i>
    <i r="1">
      <x v="16"/>
      <x v="73"/>
    </i>
    <i r="1">
      <x v="19"/>
      <x v="97"/>
    </i>
    <i r="1">
      <x v="22"/>
      <x v="117"/>
    </i>
    <i r="1">
      <x v="25"/>
      <x v="136"/>
    </i>
    <i r="1">
      <x v="28"/>
      <x v="161"/>
    </i>
    <i r="1">
      <x v="31"/>
      <x v="181"/>
    </i>
    <i>
      <x v="419"/>
      <x v="7"/>
      <x v="8"/>
    </i>
    <i r="1">
      <x v="10"/>
      <x v="33"/>
    </i>
    <i r="1">
      <x v="13"/>
      <x v="53"/>
    </i>
    <i r="1">
      <x v="16"/>
      <x v="72"/>
    </i>
    <i r="1">
      <x v="19"/>
      <x v="96"/>
    </i>
    <i r="1">
      <x v="22"/>
      <x v="116"/>
    </i>
    <i r="1">
      <x v="25"/>
      <x v="135"/>
    </i>
    <i r="1">
      <x v="28"/>
      <x v="160"/>
    </i>
    <i r="1">
      <x v="31"/>
      <x v="180"/>
    </i>
    <i>
      <x v="420"/>
      <x v="7"/>
      <x v="7"/>
    </i>
    <i r="1">
      <x v="10"/>
      <x v="32"/>
    </i>
    <i r="1">
      <x v="13"/>
      <x v="52"/>
    </i>
    <i r="1">
      <x v="16"/>
      <x v="71"/>
    </i>
    <i r="1">
      <x v="19"/>
      <x v="95"/>
    </i>
    <i r="1">
      <x v="22"/>
      <x v="115"/>
    </i>
    <i r="1">
      <x v="25"/>
      <x v="134"/>
    </i>
    <i r="1">
      <x v="28"/>
      <x v="159"/>
    </i>
    <i r="1">
      <x v="31"/>
      <x v="179"/>
    </i>
    <i>
      <x v="421"/>
      <x v="7"/>
      <x v="6"/>
    </i>
    <i r="1">
      <x v="10"/>
      <x v="31"/>
    </i>
    <i r="1">
      <x v="13"/>
      <x v="51"/>
    </i>
    <i r="1">
      <x v="16"/>
      <x v="70"/>
    </i>
    <i r="1">
      <x v="19"/>
      <x v="94"/>
    </i>
    <i r="1">
      <x v="22"/>
      <x v="114"/>
    </i>
    <i r="1">
      <x v="25"/>
      <x v="133"/>
    </i>
    <i r="1">
      <x v="28"/>
      <x v="158"/>
    </i>
    <i r="1">
      <x v="31"/>
      <x v="178"/>
    </i>
    <i>
      <x v="422"/>
      <x v="7"/>
      <x v="5"/>
    </i>
    <i r="1">
      <x v="10"/>
      <x v="30"/>
    </i>
    <i r="1">
      <x v="13"/>
      <x v="50"/>
    </i>
    <i r="1">
      <x v="16"/>
      <x v="69"/>
    </i>
    <i r="1">
      <x v="19"/>
      <x v="93"/>
    </i>
    <i r="1">
      <x v="22"/>
      <x v="113"/>
    </i>
    <i r="1">
      <x v="25"/>
      <x v="132"/>
    </i>
    <i r="1">
      <x v="28"/>
      <x v="157"/>
    </i>
    <i r="1">
      <x v="31"/>
      <x v="177"/>
    </i>
    <i>
      <x v="423"/>
      <x v="7"/>
      <x v="4"/>
    </i>
    <i r="1">
      <x v="10"/>
      <x v="29"/>
    </i>
    <i r="1">
      <x v="13"/>
      <x v="49"/>
    </i>
    <i r="1">
      <x v="16"/>
      <x v="68"/>
    </i>
    <i r="1">
      <x v="19"/>
      <x v="92"/>
    </i>
    <i r="1">
      <x v="22"/>
      <x v="112"/>
    </i>
    <i r="1">
      <x v="25"/>
      <x v="131"/>
    </i>
    <i r="1">
      <x v="28"/>
      <x v="156"/>
    </i>
    <i r="1">
      <x v="31"/>
      <x v="176"/>
    </i>
    <i>
      <x v="424"/>
      <x v="7"/>
      <x v="3"/>
    </i>
    <i r="1">
      <x v="10"/>
      <x v="28"/>
    </i>
    <i r="1">
      <x v="13"/>
      <x v="48"/>
    </i>
    <i r="1">
      <x v="16"/>
      <x v="67"/>
    </i>
    <i r="1">
      <x v="19"/>
      <x v="91"/>
    </i>
    <i r="1">
      <x v="22"/>
      <x v="111"/>
    </i>
    <i r="1">
      <x v="25"/>
      <x v="130"/>
    </i>
    <i r="1">
      <x v="28"/>
      <x v="155"/>
    </i>
    <i r="1">
      <x v="31"/>
      <x v="175"/>
    </i>
    <i>
      <x v="425"/>
      <x v="7"/>
      <x v="2"/>
    </i>
    <i r="1">
      <x v="10"/>
      <x v="27"/>
    </i>
    <i r="1">
      <x v="13"/>
      <x v="47"/>
    </i>
    <i r="1">
      <x v="16"/>
      <x v="66"/>
    </i>
    <i r="1">
      <x v="19"/>
      <x v="90"/>
    </i>
    <i r="1">
      <x v="22"/>
      <x v="110"/>
    </i>
    <i r="1">
      <x v="25"/>
      <x v="129"/>
    </i>
    <i r="1">
      <x v="28"/>
      <x v="154"/>
    </i>
    <i r="1">
      <x v="31"/>
      <x v="174"/>
    </i>
    <i>
      <x v="426"/>
      <x v="7"/>
      <x v="1"/>
    </i>
    <i r="1">
      <x v="10"/>
      <x v="26"/>
    </i>
    <i r="1">
      <x v="13"/>
      <x v="46"/>
    </i>
    <i r="1">
      <x v="16"/>
      <x v="65"/>
    </i>
    <i r="1">
      <x v="19"/>
      <x v="89"/>
    </i>
    <i r="1">
      <x v="22"/>
      <x v="109"/>
    </i>
    <i r="1">
      <x v="25"/>
      <x v="128"/>
    </i>
    <i r="1">
      <x v="28"/>
      <x v="153"/>
    </i>
    <i r="1">
      <x v="31"/>
      <x v="173"/>
    </i>
    <i>
      <x v="427"/>
      <x v="10"/>
      <x v="25"/>
    </i>
    <i r="1">
      <x v="13"/>
      <x v="45"/>
    </i>
    <i r="1">
      <x v="16"/>
      <x v="64"/>
    </i>
    <i r="1">
      <x v="19"/>
      <x v="88"/>
    </i>
    <i r="1">
      <x v="22"/>
      <x v="108"/>
    </i>
    <i r="1">
      <x v="25"/>
      <x v="127"/>
    </i>
    <i r="1">
      <x v="28"/>
      <x v="152"/>
    </i>
    <i r="1">
      <x v="31"/>
      <x v="172"/>
    </i>
    <i>
      <x v="428"/>
      <x v="10"/>
      <x v="24"/>
    </i>
    <i r="1">
      <x v="13"/>
      <x v="44"/>
    </i>
    <i r="1">
      <x v="16"/>
      <x v="63"/>
    </i>
    <i r="1">
      <x v="19"/>
      <x v="87"/>
    </i>
    <i r="1">
      <x v="22"/>
      <x v="107"/>
    </i>
    <i r="1">
      <x v="25"/>
      <x v="126"/>
    </i>
    <i r="1">
      <x v="28"/>
      <x v="151"/>
    </i>
    <i r="1">
      <x v="31"/>
      <x v="171"/>
    </i>
    <i>
      <x v="429"/>
      <x v="10"/>
      <x v="23"/>
    </i>
    <i r="1">
      <x v="13"/>
      <x v="43"/>
    </i>
    <i r="1">
      <x v="16"/>
      <x v="62"/>
    </i>
    <i r="1">
      <x v="19"/>
      <x v="86"/>
    </i>
    <i r="1">
      <x v="22"/>
      <x v="106"/>
    </i>
    <i r="1">
      <x v="25"/>
      <x v="125"/>
    </i>
    <i r="1">
      <x v="28"/>
      <x v="150"/>
    </i>
    <i r="1">
      <x v="31"/>
      <x v="170"/>
    </i>
    <i r="1">
      <x v="34"/>
      <x v="194"/>
    </i>
    <i>
      <x v="430"/>
      <x v="10"/>
      <x v="22"/>
    </i>
    <i r="1">
      <x v="13"/>
      <x v="42"/>
    </i>
    <i r="1">
      <x v="16"/>
      <x v="61"/>
    </i>
    <i r="1">
      <x v="19"/>
      <x v="85"/>
    </i>
    <i r="1">
      <x v="22"/>
      <x v="105"/>
    </i>
    <i r="1">
      <x v="25"/>
      <x v="124"/>
    </i>
    <i r="1">
      <x v="28"/>
      <x v="149"/>
    </i>
    <i r="1">
      <x v="31"/>
      <x v="169"/>
    </i>
    <i r="1">
      <x v="34"/>
      <x v="193"/>
    </i>
    <i>
      <x v="431"/>
      <x v="10"/>
      <x v="21"/>
    </i>
    <i r="1">
      <x v="13"/>
      <x v="41"/>
    </i>
    <i r="1">
      <x v="16"/>
      <x v="60"/>
    </i>
    <i r="1">
      <x v="19"/>
      <x v="84"/>
    </i>
    <i r="1">
      <x v="22"/>
      <x v="104"/>
    </i>
    <i r="1">
      <x v="25"/>
      <x v="123"/>
    </i>
    <i r="1">
      <x v="28"/>
      <x v="148"/>
    </i>
    <i r="1">
      <x v="31"/>
      <x v="168"/>
    </i>
    <i r="1">
      <x v="34"/>
      <x v="192"/>
    </i>
    <i>
      <x v="432"/>
      <x v="10"/>
      <x v="20"/>
    </i>
    <i r="1">
      <x v="13"/>
      <x v="40"/>
    </i>
    <i r="1">
      <x v="16"/>
      <x v="59"/>
    </i>
    <i r="1">
      <x v="19"/>
      <x v="83"/>
    </i>
    <i r="1">
      <x v="22"/>
      <x v="103"/>
    </i>
    <i r="1">
      <x v="25"/>
      <x v="122"/>
    </i>
    <i r="1">
      <x v="28"/>
      <x v="147"/>
    </i>
    <i r="1">
      <x v="31"/>
      <x v="167"/>
    </i>
    <i r="1">
      <x v="34"/>
      <x v="191"/>
    </i>
    <i>
      <x v="433"/>
      <x v="10"/>
      <x v="19"/>
    </i>
    <i r="1">
      <x v="13"/>
      <x v="39"/>
    </i>
    <i r="1">
      <x v="16"/>
      <x v="58"/>
    </i>
    <i r="1">
      <x v="19"/>
      <x v="82"/>
    </i>
    <i r="1">
      <x v="22"/>
      <x v="102"/>
    </i>
    <i r="1">
      <x v="25"/>
      <x v="121"/>
    </i>
    <i r="1">
      <x v="28"/>
      <x v="146"/>
    </i>
    <i r="1">
      <x v="31"/>
      <x v="166"/>
    </i>
    <i r="1">
      <x v="34"/>
      <x v="190"/>
    </i>
    <i>
      <x v="434"/>
      <x v="10"/>
      <x v="18"/>
    </i>
    <i r="1">
      <x v="13"/>
      <x v="38"/>
    </i>
    <i r="1">
      <x v="16"/>
      <x v="57"/>
    </i>
    <i r="1">
      <x v="19"/>
      <x v="81"/>
    </i>
    <i r="1">
      <x v="22"/>
      <x v="101"/>
    </i>
    <i r="1">
      <x v="25"/>
      <x v="120"/>
    </i>
    <i r="1">
      <x v="28"/>
      <x v="145"/>
    </i>
    <i r="1">
      <x v="31"/>
      <x v="165"/>
    </i>
    <i r="1">
      <x v="34"/>
      <x v="189"/>
    </i>
    <i>
      <x v="435"/>
      <x v="10"/>
      <x v="17"/>
    </i>
    <i r="1">
      <x v="13"/>
      <x v="37"/>
    </i>
    <i r="1">
      <x v="16"/>
      <x v="56"/>
    </i>
    <i r="1">
      <x v="19"/>
      <x v="80"/>
    </i>
    <i r="1">
      <x v="22"/>
      <x v="100"/>
    </i>
    <i r="1">
      <x v="25"/>
      <x v="119"/>
    </i>
    <i r="1">
      <x v="28"/>
      <x v="144"/>
    </i>
    <i r="1">
      <x v="31"/>
      <x v="164"/>
    </i>
    <i r="1">
      <x v="34"/>
      <x v="188"/>
    </i>
    <i>
      <x v="436"/>
      <x v="10"/>
      <x v="16"/>
    </i>
    <i r="1">
      <x v="13"/>
      <x v="36"/>
    </i>
    <i r="1">
      <x v="16"/>
      <x v="55"/>
    </i>
    <i r="1">
      <x v="19"/>
      <x v="79"/>
    </i>
    <i r="1">
      <x v="22"/>
      <x v="99"/>
    </i>
    <i r="1">
      <x v="25"/>
      <x v="118"/>
    </i>
    <i r="1">
      <x v="28"/>
      <x v="143"/>
    </i>
    <i r="1">
      <x v="31"/>
      <x v="163"/>
    </i>
    <i r="1">
      <x v="34"/>
      <x v="187"/>
    </i>
    <i>
      <x v="437"/>
      <x v="10"/>
      <x v="15"/>
    </i>
    <i r="1">
      <x v="13"/>
      <x v="35"/>
    </i>
    <i r="1">
      <x v="16"/>
      <x v="54"/>
    </i>
    <i r="1">
      <x v="19"/>
      <x v="78"/>
    </i>
    <i r="1">
      <x v="22"/>
      <x v="98"/>
    </i>
    <i r="1">
      <x v="25"/>
      <x v="117"/>
    </i>
    <i r="1">
      <x v="28"/>
      <x v="142"/>
    </i>
    <i r="1">
      <x v="31"/>
      <x v="162"/>
    </i>
    <i r="1">
      <x v="34"/>
      <x v="186"/>
    </i>
    <i>
      <x v="438"/>
      <x v="10"/>
      <x v="13"/>
    </i>
    <i r="1">
      <x v="13"/>
      <x v="33"/>
    </i>
    <i r="1">
      <x v="16"/>
      <x v="52"/>
    </i>
    <i r="1">
      <x v="19"/>
      <x v="76"/>
    </i>
    <i r="1">
      <x v="22"/>
      <x v="96"/>
    </i>
    <i r="1">
      <x v="25"/>
      <x v="115"/>
    </i>
    <i r="1">
      <x v="28"/>
      <x v="140"/>
    </i>
    <i r="1">
      <x v="31"/>
      <x v="160"/>
    </i>
    <i r="1">
      <x v="34"/>
      <x v="184"/>
    </i>
    <i>
      <x v="439"/>
      <x v="10"/>
      <x v="12"/>
    </i>
    <i r="1">
      <x v="13"/>
      <x v="32"/>
    </i>
    <i r="1">
      <x v="16"/>
      <x v="51"/>
    </i>
    <i r="1">
      <x v="19"/>
      <x v="75"/>
    </i>
    <i r="1">
      <x v="22"/>
      <x v="95"/>
    </i>
    <i r="1">
      <x v="25"/>
      <x v="114"/>
    </i>
    <i r="1">
      <x v="28"/>
      <x v="139"/>
    </i>
    <i r="1">
      <x v="31"/>
      <x v="159"/>
    </i>
    <i r="1">
      <x v="34"/>
      <x v="183"/>
    </i>
    <i>
      <x v="440"/>
      <x v="10"/>
      <x v="11"/>
    </i>
    <i r="1">
      <x v="13"/>
      <x v="31"/>
    </i>
    <i r="1">
      <x v="16"/>
      <x v="50"/>
    </i>
    <i r="1">
      <x v="19"/>
      <x v="74"/>
    </i>
    <i r="1">
      <x v="22"/>
      <x v="94"/>
    </i>
    <i r="1">
      <x v="25"/>
      <x v="113"/>
    </i>
    <i r="1">
      <x v="28"/>
      <x v="138"/>
    </i>
    <i r="1">
      <x v="31"/>
      <x v="158"/>
    </i>
    <i r="1">
      <x v="34"/>
      <x v="182"/>
    </i>
    <i>
      <x v="441"/>
      <x v="10"/>
      <x v="10"/>
    </i>
    <i r="1">
      <x v="13"/>
      <x v="30"/>
    </i>
    <i r="1">
      <x v="16"/>
      <x v="49"/>
    </i>
    <i r="1">
      <x v="19"/>
      <x v="73"/>
    </i>
    <i r="1">
      <x v="22"/>
      <x v="93"/>
    </i>
    <i r="1">
      <x v="25"/>
      <x v="112"/>
    </i>
    <i r="1">
      <x v="28"/>
      <x v="137"/>
    </i>
    <i r="1">
      <x v="31"/>
      <x v="157"/>
    </i>
    <i r="1">
      <x v="34"/>
      <x v="181"/>
    </i>
    <i>
      <x v="442"/>
      <x v="10"/>
      <x v="9"/>
    </i>
    <i r="1">
      <x v="13"/>
      <x v="29"/>
    </i>
    <i r="1">
      <x v="16"/>
      <x v="48"/>
    </i>
    <i r="1">
      <x v="19"/>
      <x v="72"/>
    </i>
    <i r="1">
      <x v="22"/>
      <x v="92"/>
    </i>
    <i r="1">
      <x v="25"/>
      <x v="111"/>
    </i>
    <i r="1">
      <x v="28"/>
      <x v="136"/>
    </i>
    <i r="1">
      <x v="31"/>
      <x v="156"/>
    </i>
    <i r="1">
      <x v="34"/>
      <x v="180"/>
    </i>
    <i>
      <x v="443"/>
      <x v="10"/>
      <x v="8"/>
    </i>
    <i r="1">
      <x v="13"/>
      <x v="28"/>
    </i>
    <i r="1">
      <x v="16"/>
      <x v="47"/>
    </i>
    <i r="1">
      <x v="19"/>
      <x v="71"/>
    </i>
    <i r="1">
      <x v="22"/>
      <x v="91"/>
    </i>
    <i r="1">
      <x v="25"/>
      <x v="110"/>
    </i>
    <i r="1">
      <x v="28"/>
      <x v="135"/>
    </i>
    <i r="1">
      <x v="31"/>
      <x v="155"/>
    </i>
    <i r="1">
      <x v="34"/>
      <x v="179"/>
    </i>
    <i>
      <x v="444"/>
      <x v="10"/>
      <x v="7"/>
    </i>
    <i r="1">
      <x v="13"/>
      <x v="27"/>
    </i>
    <i r="1">
      <x v="16"/>
      <x v="46"/>
    </i>
    <i r="1">
      <x v="19"/>
      <x v="70"/>
    </i>
    <i r="1">
      <x v="22"/>
      <x v="90"/>
    </i>
    <i r="1">
      <x v="25"/>
      <x v="109"/>
    </i>
    <i r="1">
      <x v="28"/>
      <x v="134"/>
    </i>
    <i r="1">
      <x v="31"/>
      <x v="154"/>
    </i>
    <i r="1">
      <x v="34"/>
      <x v="178"/>
    </i>
    <i>
      <x v="445"/>
      <x v="10"/>
      <x v="6"/>
    </i>
    <i r="1">
      <x v="13"/>
      <x v="26"/>
    </i>
    <i r="1">
      <x v="16"/>
      <x v="45"/>
    </i>
    <i r="1">
      <x v="19"/>
      <x v="69"/>
    </i>
    <i r="1">
      <x v="22"/>
      <x v="89"/>
    </i>
    <i r="1">
      <x v="25"/>
      <x v="108"/>
    </i>
    <i r="1">
      <x v="28"/>
      <x v="133"/>
    </i>
    <i r="1">
      <x v="31"/>
      <x v="153"/>
    </i>
    <i r="1">
      <x v="34"/>
      <x v="177"/>
    </i>
    <i>
      <x v="446"/>
      <x v="10"/>
      <x v="5"/>
    </i>
    <i r="1">
      <x v="13"/>
      <x v="25"/>
    </i>
    <i r="1">
      <x v="16"/>
      <x v="44"/>
    </i>
    <i r="1">
      <x v="19"/>
      <x v="68"/>
    </i>
    <i r="1">
      <x v="22"/>
      <x v="88"/>
    </i>
    <i r="1">
      <x v="25"/>
      <x v="107"/>
    </i>
    <i r="1">
      <x v="28"/>
      <x v="132"/>
    </i>
    <i r="1">
      <x v="31"/>
      <x v="152"/>
    </i>
    <i r="1">
      <x v="34"/>
      <x v="176"/>
    </i>
    <i>
      <x v="447"/>
      <x v="10"/>
      <x v="4"/>
    </i>
    <i r="1">
      <x v="13"/>
      <x v="24"/>
    </i>
    <i r="1">
      <x v="16"/>
      <x v="43"/>
    </i>
    <i r="1">
      <x v="19"/>
      <x v="67"/>
    </i>
    <i r="1">
      <x v="22"/>
      <x v="87"/>
    </i>
    <i r="1">
      <x v="25"/>
      <x v="106"/>
    </i>
    <i r="1">
      <x v="28"/>
      <x v="131"/>
    </i>
    <i r="1">
      <x v="31"/>
      <x v="151"/>
    </i>
    <i r="1">
      <x v="34"/>
      <x v="175"/>
    </i>
    <i>
      <x v="448"/>
      <x v="10"/>
      <x v="3"/>
    </i>
    <i r="1">
      <x v="13"/>
      <x v="23"/>
    </i>
    <i r="1">
      <x v="16"/>
      <x v="42"/>
    </i>
    <i r="1">
      <x v="19"/>
      <x v="66"/>
    </i>
    <i r="1">
      <x v="22"/>
      <x v="86"/>
    </i>
    <i r="1">
      <x v="25"/>
      <x v="105"/>
    </i>
    <i r="1">
      <x v="28"/>
      <x v="130"/>
    </i>
    <i r="1">
      <x v="31"/>
      <x v="150"/>
    </i>
    <i r="1">
      <x v="34"/>
      <x v="174"/>
    </i>
    <i>
      <x v="449"/>
      <x v="10"/>
      <x v="2"/>
    </i>
    <i r="1">
      <x v="13"/>
      <x v="22"/>
    </i>
    <i r="1">
      <x v="16"/>
      <x v="41"/>
    </i>
    <i r="1">
      <x v="19"/>
      <x v="65"/>
    </i>
    <i r="1">
      <x v="22"/>
      <x v="85"/>
    </i>
    <i r="1">
      <x v="25"/>
      <x v="104"/>
    </i>
    <i r="1">
      <x v="28"/>
      <x v="129"/>
    </i>
    <i r="1">
      <x v="31"/>
      <x v="149"/>
    </i>
    <i r="1">
      <x v="34"/>
      <x v="173"/>
    </i>
    <i>
      <x v="450"/>
      <x v="10"/>
      <x v="1"/>
    </i>
    <i r="1">
      <x v="13"/>
      <x v="21"/>
    </i>
    <i r="1">
      <x v="16"/>
      <x v="40"/>
    </i>
    <i r="1">
      <x v="19"/>
      <x v="64"/>
    </i>
    <i r="1">
      <x v="22"/>
      <x v="84"/>
    </i>
    <i r="1">
      <x v="25"/>
      <x v="103"/>
    </i>
    <i r="1">
      <x v="28"/>
      <x v="128"/>
    </i>
    <i r="1">
      <x v="31"/>
      <x v="148"/>
    </i>
    <i r="1">
      <x v="34"/>
      <x v="172"/>
    </i>
    <i>
      <x v="451"/>
      <x v="13"/>
      <x v="20"/>
    </i>
    <i r="1">
      <x v="16"/>
      <x v="39"/>
    </i>
    <i r="1">
      <x v="19"/>
      <x v="63"/>
    </i>
    <i r="1">
      <x v="22"/>
      <x v="83"/>
    </i>
    <i r="1">
      <x v="25"/>
      <x v="102"/>
    </i>
    <i r="1">
      <x v="28"/>
      <x v="127"/>
    </i>
    <i r="1">
      <x v="31"/>
      <x v="147"/>
    </i>
    <i r="1">
      <x v="34"/>
      <x v="171"/>
    </i>
    <i>
      <x v="452"/>
      <x v="13"/>
      <x v="19"/>
    </i>
    <i r="1">
      <x v="16"/>
      <x v="38"/>
    </i>
    <i r="1">
      <x v="19"/>
      <x v="62"/>
    </i>
    <i r="1">
      <x v="22"/>
      <x v="82"/>
    </i>
    <i r="1">
      <x v="25"/>
      <x v="101"/>
    </i>
    <i r="1">
      <x v="28"/>
      <x v="126"/>
    </i>
    <i r="1">
      <x v="31"/>
      <x v="146"/>
    </i>
    <i r="1">
      <x v="34"/>
      <x v="170"/>
    </i>
    <i>
      <x v="453"/>
      <x v="1"/>
      <x v="187"/>
    </i>
    <i r="1">
      <x v="13"/>
      <x v="18"/>
    </i>
    <i r="1">
      <x v="16"/>
      <x v="37"/>
    </i>
    <i r="1">
      <x v="19"/>
      <x v="61"/>
    </i>
    <i r="1">
      <x v="22"/>
      <x v="81"/>
    </i>
    <i r="1">
      <x v="25"/>
      <x v="100"/>
    </i>
    <i r="1">
      <x v="28"/>
      <x v="125"/>
    </i>
    <i r="1">
      <x v="31"/>
      <x v="145"/>
    </i>
    <i r="1">
      <x v="34"/>
      <x v="169"/>
    </i>
    <i>
      <x v="454"/>
      <x v="1"/>
      <x v="186"/>
    </i>
    <i r="1">
      <x v="13"/>
      <x v="17"/>
    </i>
    <i r="1">
      <x v="16"/>
      <x v="36"/>
    </i>
    <i r="1">
      <x v="19"/>
      <x v="60"/>
    </i>
    <i r="1">
      <x v="22"/>
      <x v="80"/>
    </i>
    <i r="1">
      <x v="25"/>
      <x v="99"/>
    </i>
    <i r="1">
      <x v="28"/>
      <x v="124"/>
    </i>
    <i r="1">
      <x v="31"/>
      <x v="144"/>
    </i>
    <i r="1">
      <x v="34"/>
      <x v="168"/>
    </i>
    <i>
      <x v="455"/>
      <x v="1"/>
      <x v="185"/>
    </i>
    <i r="1">
      <x v="13"/>
      <x v="16"/>
    </i>
    <i r="1">
      <x v="16"/>
      <x v="35"/>
    </i>
    <i r="1">
      <x v="19"/>
      <x v="59"/>
    </i>
    <i r="1">
      <x v="22"/>
      <x v="79"/>
    </i>
    <i r="1">
      <x v="25"/>
      <x v="98"/>
    </i>
    <i r="1">
      <x v="28"/>
      <x v="123"/>
    </i>
    <i r="1">
      <x v="31"/>
      <x v="143"/>
    </i>
    <i r="1">
      <x v="34"/>
      <x v="167"/>
    </i>
    <i>
      <x v="456"/>
      <x v="1"/>
      <x v="184"/>
    </i>
    <i r="1">
      <x v="13"/>
      <x v="15"/>
    </i>
    <i r="1">
      <x v="16"/>
      <x v="34"/>
    </i>
    <i r="1">
      <x v="19"/>
      <x v="58"/>
    </i>
    <i r="1">
      <x v="22"/>
      <x v="78"/>
    </i>
    <i r="1">
      <x v="25"/>
      <x v="97"/>
    </i>
    <i r="1">
      <x v="28"/>
      <x v="122"/>
    </i>
    <i r="1">
      <x v="31"/>
      <x v="142"/>
    </i>
    <i r="1">
      <x v="34"/>
      <x v="166"/>
    </i>
    <i>
      <x v="457"/>
      <x v="1"/>
      <x v="183"/>
    </i>
    <i r="1">
      <x v="13"/>
      <x v="14"/>
    </i>
    <i r="1">
      <x v="16"/>
      <x v="33"/>
    </i>
    <i r="1">
      <x v="19"/>
      <x v="57"/>
    </i>
    <i r="1">
      <x v="22"/>
      <x v="77"/>
    </i>
    <i r="1">
      <x v="25"/>
      <x v="96"/>
    </i>
    <i r="1">
      <x v="28"/>
      <x v="121"/>
    </i>
    <i r="1">
      <x v="31"/>
      <x v="141"/>
    </i>
    <i r="1">
      <x v="34"/>
      <x v="165"/>
    </i>
    <i>
      <x v="458"/>
      <x v="1"/>
      <x v="182"/>
    </i>
    <i r="1">
      <x v="13"/>
      <x v="13"/>
    </i>
    <i r="1">
      <x v="16"/>
      <x v="32"/>
    </i>
    <i r="1">
      <x v="19"/>
      <x v="56"/>
    </i>
    <i r="1">
      <x v="22"/>
      <x v="76"/>
    </i>
    <i r="1">
      <x v="25"/>
      <x v="95"/>
    </i>
    <i r="1">
      <x v="28"/>
      <x v="120"/>
    </i>
    <i r="1">
      <x v="31"/>
      <x v="140"/>
    </i>
    <i r="1">
      <x v="34"/>
      <x v="164"/>
    </i>
    <i>
      <x v="459"/>
      <x v="1"/>
      <x v="181"/>
    </i>
    <i r="1">
      <x v="13"/>
      <x v="12"/>
    </i>
    <i r="1">
      <x v="16"/>
      <x v="31"/>
    </i>
    <i r="1">
      <x v="19"/>
      <x v="55"/>
    </i>
    <i r="1">
      <x v="22"/>
      <x v="75"/>
    </i>
    <i r="1">
      <x v="25"/>
      <x v="94"/>
    </i>
    <i r="1">
      <x v="28"/>
      <x v="119"/>
    </i>
    <i r="1">
      <x v="31"/>
      <x v="139"/>
    </i>
    <i r="1">
      <x v="34"/>
      <x v="163"/>
    </i>
    <i>
      <x v="460"/>
      <x v="1"/>
      <x v="180"/>
    </i>
    <i r="1">
      <x v="13"/>
      <x v="11"/>
    </i>
    <i r="1">
      <x v="16"/>
      <x v="30"/>
    </i>
    <i r="1">
      <x v="19"/>
      <x v="54"/>
    </i>
    <i r="1">
      <x v="22"/>
      <x v="74"/>
    </i>
    <i r="1">
      <x v="25"/>
      <x v="93"/>
    </i>
    <i r="1">
      <x v="28"/>
      <x v="118"/>
    </i>
    <i r="1">
      <x v="31"/>
      <x v="138"/>
    </i>
    <i r="1">
      <x v="34"/>
      <x v="162"/>
    </i>
    <i>
      <x v="461"/>
      <x v="1"/>
      <x v="179"/>
    </i>
    <i r="1">
      <x v="13"/>
      <x v="10"/>
    </i>
    <i r="1">
      <x v="16"/>
      <x v="29"/>
    </i>
    <i r="1">
      <x v="19"/>
      <x v="53"/>
    </i>
    <i r="1">
      <x v="22"/>
      <x v="73"/>
    </i>
    <i r="1">
      <x v="25"/>
      <x v="92"/>
    </i>
    <i r="1">
      <x v="28"/>
      <x v="117"/>
    </i>
    <i r="1">
      <x v="31"/>
      <x v="137"/>
    </i>
    <i r="1">
      <x v="34"/>
      <x v="161"/>
    </i>
    <i>
      <x v="462"/>
      <x v="1"/>
      <x v="178"/>
    </i>
    <i r="1">
      <x v="13"/>
      <x v="9"/>
    </i>
    <i r="1">
      <x v="16"/>
      <x v="28"/>
    </i>
    <i r="1">
      <x v="19"/>
      <x v="52"/>
    </i>
    <i r="1">
      <x v="22"/>
      <x v="72"/>
    </i>
    <i r="1">
      <x v="25"/>
      <x v="91"/>
    </i>
    <i r="1">
      <x v="28"/>
      <x v="116"/>
    </i>
    <i r="1">
      <x v="31"/>
      <x v="136"/>
    </i>
    <i r="1">
      <x v="34"/>
      <x v="160"/>
    </i>
    <i>
      <x v="463"/>
      <x v="1"/>
      <x v="177"/>
    </i>
    <i r="1">
      <x v="13"/>
      <x v="8"/>
    </i>
    <i r="1">
      <x v="16"/>
      <x v="27"/>
    </i>
    <i r="1">
      <x v="19"/>
      <x v="51"/>
    </i>
    <i r="1">
      <x v="22"/>
      <x v="71"/>
    </i>
    <i r="1">
      <x v="25"/>
      <x v="90"/>
    </i>
    <i r="1">
      <x v="28"/>
      <x v="115"/>
    </i>
    <i r="1">
      <x v="31"/>
      <x v="135"/>
    </i>
    <i r="1">
      <x v="34"/>
      <x v="159"/>
    </i>
    <i>
      <x v="464"/>
      <x v="1"/>
      <x v="176"/>
    </i>
    <i r="1">
      <x v="13"/>
      <x v="7"/>
    </i>
    <i r="1">
      <x v="16"/>
      <x v="26"/>
    </i>
    <i r="1">
      <x v="19"/>
      <x v="50"/>
    </i>
    <i r="1">
      <x v="22"/>
      <x v="70"/>
    </i>
    <i r="1">
      <x v="25"/>
      <x v="89"/>
    </i>
    <i r="1">
      <x v="28"/>
      <x v="114"/>
    </i>
    <i r="1">
      <x v="31"/>
      <x v="134"/>
    </i>
    <i r="1">
      <x v="34"/>
      <x v="158"/>
    </i>
    <i>
      <x v="465"/>
      <x v="1"/>
      <x v="175"/>
    </i>
    <i r="1">
      <x v="13"/>
      <x v="6"/>
    </i>
    <i r="1">
      <x v="16"/>
      <x v="25"/>
    </i>
    <i r="1">
      <x v="19"/>
      <x v="49"/>
    </i>
    <i r="1">
      <x v="22"/>
      <x v="69"/>
    </i>
    <i r="1">
      <x v="25"/>
      <x v="88"/>
    </i>
    <i r="1">
      <x v="28"/>
      <x v="113"/>
    </i>
    <i r="1">
      <x v="31"/>
      <x v="133"/>
    </i>
    <i r="1">
      <x v="34"/>
      <x v="157"/>
    </i>
    <i>
      <x v="466"/>
      <x v="1"/>
      <x v="174"/>
    </i>
    <i r="1">
      <x v="13"/>
      <x v="5"/>
    </i>
    <i r="1">
      <x v="16"/>
      <x v="24"/>
    </i>
    <i r="1">
      <x v="19"/>
      <x v="48"/>
    </i>
    <i r="1">
      <x v="22"/>
      <x v="68"/>
    </i>
    <i r="1">
      <x v="25"/>
      <x v="87"/>
    </i>
    <i r="1">
      <x v="28"/>
      <x v="112"/>
    </i>
    <i r="1">
      <x v="31"/>
      <x v="132"/>
    </i>
    <i r="1">
      <x v="34"/>
      <x v="156"/>
    </i>
    <i>
      <x v="467"/>
      <x v="1"/>
      <x v="173"/>
    </i>
    <i r="1">
      <x v="13"/>
      <x v="4"/>
    </i>
    <i r="1">
      <x v="16"/>
      <x v="23"/>
    </i>
    <i r="1">
      <x v="19"/>
      <x v="47"/>
    </i>
    <i r="1">
      <x v="22"/>
      <x v="67"/>
    </i>
    <i r="1">
      <x v="25"/>
      <x v="86"/>
    </i>
    <i r="1">
      <x v="28"/>
      <x v="111"/>
    </i>
    <i r="1">
      <x v="31"/>
      <x v="131"/>
    </i>
    <i r="1">
      <x v="34"/>
      <x v="155"/>
    </i>
    <i>
      <x v="468"/>
      <x v="1"/>
      <x v="172"/>
    </i>
    <i r="1">
      <x v="13"/>
      <x v="3"/>
    </i>
    <i r="1">
      <x v="16"/>
      <x v="22"/>
    </i>
    <i r="1">
      <x v="19"/>
      <x v="46"/>
    </i>
    <i r="1">
      <x v="22"/>
      <x v="66"/>
    </i>
    <i r="1">
      <x v="25"/>
      <x v="85"/>
    </i>
    <i r="1">
      <x v="28"/>
      <x v="110"/>
    </i>
    <i r="1">
      <x v="31"/>
      <x v="130"/>
    </i>
    <i r="1">
      <x v="34"/>
      <x v="154"/>
    </i>
    <i>
      <x v="469"/>
      <x v="1"/>
      <x v="171"/>
    </i>
    <i r="1">
      <x v="13"/>
      <x v="2"/>
    </i>
    <i r="1">
      <x v="16"/>
      <x v="21"/>
    </i>
    <i r="1">
      <x v="19"/>
      <x v="45"/>
    </i>
    <i r="1">
      <x v="22"/>
      <x v="65"/>
    </i>
    <i r="1">
      <x v="25"/>
      <x v="84"/>
    </i>
    <i r="1">
      <x v="28"/>
      <x v="109"/>
    </i>
    <i r="1">
      <x v="31"/>
      <x v="129"/>
    </i>
    <i r="1">
      <x v="34"/>
      <x v="153"/>
    </i>
    <i>
      <x v="470"/>
      <x v="1"/>
      <x v="170"/>
    </i>
    <i r="1">
      <x v="13"/>
      <x v="1"/>
    </i>
    <i r="1">
      <x v="16"/>
      <x v="20"/>
    </i>
    <i r="1">
      <x v="19"/>
      <x v="44"/>
    </i>
    <i r="1">
      <x v="22"/>
      <x v="64"/>
    </i>
    <i r="1">
      <x v="25"/>
      <x v="83"/>
    </i>
    <i r="1">
      <x v="28"/>
      <x v="108"/>
    </i>
    <i r="1">
      <x v="31"/>
      <x v="128"/>
    </i>
    <i r="1">
      <x v="34"/>
      <x v="152"/>
    </i>
    <i>
      <x v="471"/>
      <x v="1"/>
      <x v="169"/>
    </i>
    <i r="1">
      <x v="16"/>
      <x v="19"/>
    </i>
    <i r="1">
      <x v="19"/>
      <x v="43"/>
    </i>
    <i r="1">
      <x v="22"/>
      <x v="63"/>
    </i>
    <i r="1">
      <x v="25"/>
      <x v="82"/>
    </i>
    <i r="1">
      <x v="28"/>
      <x v="107"/>
    </i>
    <i r="1">
      <x v="31"/>
      <x v="127"/>
    </i>
    <i r="1">
      <x v="34"/>
      <x v="151"/>
    </i>
    <i>
      <x v="472"/>
      <x v="1"/>
      <x v="168"/>
    </i>
    <i r="1">
      <x v="16"/>
      <x v="18"/>
    </i>
    <i r="1">
      <x v="19"/>
      <x v="42"/>
    </i>
    <i r="1">
      <x v="22"/>
      <x v="62"/>
    </i>
    <i r="1">
      <x v="25"/>
      <x v="81"/>
    </i>
    <i r="1">
      <x v="28"/>
      <x v="106"/>
    </i>
    <i r="1">
      <x v="31"/>
      <x v="126"/>
    </i>
    <i r="1">
      <x v="34"/>
      <x v="150"/>
    </i>
    <i>
      <x v="473"/>
      <x v="1"/>
      <x v="167"/>
    </i>
    <i r="1">
      <x v="4"/>
      <x v="187"/>
    </i>
    <i r="1">
      <x v="16"/>
      <x v="17"/>
    </i>
    <i r="1">
      <x v="19"/>
      <x v="41"/>
    </i>
    <i r="1">
      <x v="22"/>
      <x v="61"/>
    </i>
    <i r="1">
      <x v="25"/>
      <x v="80"/>
    </i>
    <i r="1">
      <x v="28"/>
      <x v="105"/>
    </i>
    <i r="1">
      <x v="31"/>
      <x v="125"/>
    </i>
    <i r="1">
      <x v="34"/>
      <x v="149"/>
    </i>
    <i>
      <x v="474"/>
      <x v="1"/>
      <x v="166"/>
    </i>
    <i r="1">
      <x v="4"/>
      <x v="186"/>
    </i>
    <i r="1">
      <x v="16"/>
      <x v="16"/>
    </i>
    <i r="1">
      <x v="19"/>
      <x v="40"/>
    </i>
    <i r="1">
      <x v="22"/>
      <x v="60"/>
    </i>
    <i r="1">
      <x v="25"/>
      <x v="79"/>
    </i>
    <i r="1">
      <x v="28"/>
      <x v="104"/>
    </i>
    <i r="1">
      <x v="31"/>
      <x v="124"/>
    </i>
    <i r="1">
      <x v="34"/>
      <x v="148"/>
    </i>
    <i>
      <x v="475"/>
      <x v="1"/>
      <x v="165"/>
    </i>
    <i r="1">
      <x v="4"/>
      <x v="185"/>
    </i>
    <i r="1">
      <x v="16"/>
      <x v="15"/>
    </i>
    <i r="1">
      <x v="19"/>
      <x v="39"/>
    </i>
    <i r="1">
      <x v="22"/>
      <x v="59"/>
    </i>
    <i r="1">
      <x v="25"/>
      <x v="78"/>
    </i>
    <i r="1">
      <x v="28"/>
      <x v="103"/>
    </i>
    <i r="1">
      <x v="31"/>
      <x v="123"/>
    </i>
    <i r="1">
      <x v="34"/>
      <x v="147"/>
    </i>
    <i>
      <x v="476"/>
      <x v="1"/>
      <x v="164"/>
    </i>
    <i r="1">
      <x v="4"/>
      <x v="184"/>
    </i>
    <i r="1">
      <x v="16"/>
      <x v="14"/>
    </i>
    <i r="1">
      <x v="19"/>
      <x v="38"/>
    </i>
    <i r="1">
      <x v="22"/>
      <x v="58"/>
    </i>
    <i r="1">
      <x v="25"/>
      <x v="77"/>
    </i>
    <i r="1">
      <x v="28"/>
      <x v="102"/>
    </i>
    <i r="1">
      <x v="31"/>
      <x v="122"/>
    </i>
    <i r="1">
      <x v="34"/>
      <x v="146"/>
    </i>
    <i>
      <x v="477"/>
      <x v="1"/>
      <x v="163"/>
    </i>
    <i r="1">
      <x v="4"/>
      <x v="183"/>
    </i>
    <i r="1">
      <x v="16"/>
      <x v="13"/>
    </i>
    <i r="1">
      <x v="19"/>
      <x v="37"/>
    </i>
    <i r="1">
      <x v="22"/>
      <x v="57"/>
    </i>
    <i r="1">
      <x v="25"/>
      <x v="76"/>
    </i>
    <i r="1">
      <x v="28"/>
      <x v="101"/>
    </i>
    <i r="1">
      <x v="31"/>
      <x v="121"/>
    </i>
    <i r="1">
      <x v="34"/>
      <x v="145"/>
    </i>
    <i>
      <x v="478"/>
      <x v="1"/>
      <x v="162"/>
    </i>
    <i r="1">
      <x v="4"/>
      <x v="182"/>
    </i>
    <i r="1">
      <x v="16"/>
      <x v="12"/>
    </i>
    <i r="1">
      <x v="19"/>
      <x v="36"/>
    </i>
    <i r="1">
      <x v="22"/>
      <x v="56"/>
    </i>
    <i r="1">
      <x v="25"/>
      <x v="75"/>
    </i>
    <i r="1">
      <x v="28"/>
      <x v="100"/>
    </i>
    <i r="1">
      <x v="31"/>
      <x v="120"/>
    </i>
    <i r="1">
      <x v="34"/>
      <x v="144"/>
    </i>
    <i>
      <x v="479"/>
      <x v="1"/>
      <x v="161"/>
    </i>
    <i r="1">
      <x v="4"/>
      <x v="181"/>
    </i>
    <i r="1">
      <x v="16"/>
      <x v="11"/>
    </i>
    <i r="1">
      <x v="19"/>
      <x v="35"/>
    </i>
    <i r="1">
      <x v="22"/>
      <x v="55"/>
    </i>
    <i r="1">
      <x v="25"/>
      <x v="74"/>
    </i>
    <i r="1">
      <x v="28"/>
      <x v="99"/>
    </i>
    <i r="1">
      <x v="31"/>
      <x v="119"/>
    </i>
    <i r="1">
      <x v="34"/>
      <x v="143"/>
    </i>
    <i>
      <x v="480"/>
      <x v="1"/>
      <x v="160"/>
    </i>
    <i r="1">
      <x v="4"/>
      <x v="180"/>
    </i>
    <i r="1">
      <x v="16"/>
      <x v="10"/>
    </i>
    <i r="1">
      <x v="19"/>
      <x v="34"/>
    </i>
    <i r="1">
      <x v="22"/>
      <x v="54"/>
    </i>
    <i r="1">
      <x v="25"/>
      <x v="73"/>
    </i>
    <i r="1">
      <x v="28"/>
      <x v="98"/>
    </i>
    <i r="1">
      <x v="31"/>
      <x v="118"/>
    </i>
    <i r="1">
      <x v="34"/>
      <x v="142"/>
    </i>
    <i>
      <x v="481"/>
      <x v="1"/>
      <x v="159"/>
    </i>
    <i r="1">
      <x v="4"/>
      <x v="179"/>
    </i>
    <i r="1">
      <x v="16"/>
      <x v="9"/>
    </i>
    <i r="1">
      <x v="19"/>
      <x v="33"/>
    </i>
    <i r="1">
      <x v="22"/>
      <x v="53"/>
    </i>
    <i r="1">
      <x v="25"/>
      <x v="72"/>
    </i>
    <i r="1">
      <x v="28"/>
      <x v="97"/>
    </i>
    <i r="1">
      <x v="31"/>
      <x v="117"/>
    </i>
    <i r="1">
      <x v="34"/>
      <x v="141"/>
    </i>
    <i>
      <x v="482"/>
      <x v="1"/>
      <x v="158"/>
    </i>
    <i r="1">
      <x v="4"/>
      <x v="178"/>
    </i>
    <i r="1">
      <x v="16"/>
      <x v="8"/>
    </i>
    <i r="1">
      <x v="19"/>
      <x v="32"/>
    </i>
    <i r="1">
      <x v="22"/>
      <x v="52"/>
    </i>
    <i r="1">
      <x v="25"/>
      <x v="71"/>
    </i>
    <i r="1">
      <x v="28"/>
      <x v="96"/>
    </i>
    <i r="1">
      <x v="31"/>
      <x v="116"/>
    </i>
    <i r="1">
      <x v="34"/>
      <x v="140"/>
    </i>
    <i>
      <x v="483"/>
      <x v="1"/>
      <x v="157"/>
    </i>
    <i r="1">
      <x v="4"/>
      <x v="177"/>
    </i>
    <i r="1">
      <x v="16"/>
      <x v="7"/>
    </i>
    <i r="1">
      <x v="19"/>
      <x v="31"/>
    </i>
    <i r="1">
      <x v="22"/>
      <x v="51"/>
    </i>
    <i r="1">
      <x v="25"/>
      <x v="70"/>
    </i>
    <i r="1">
      <x v="28"/>
      <x v="95"/>
    </i>
    <i r="1">
      <x v="31"/>
      <x v="115"/>
    </i>
    <i r="1">
      <x v="34"/>
      <x v="139"/>
    </i>
    <i>
      <x v="484"/>
      <x v="1"/>
      <x v="156"/>
    </i>
    <i r="1">
      <x v="4"/>
      <x v="176"/>
    </i>
    <i r="1">
      <x v="16"/>
      <x v="6"/>
    </i>
    <i r="1">
      <x v="19"/>
      <x v="30"/>
    </i>
    <i r="1">
      <x v="22"/>
      <x v="50"/>
    </i>
    <i r="1">
      <x v="25"/>
      <x v="69"/>
    </i>
    <i r="1">
      <x v="28"/>
      <x v="94"/>
    </i>
    <i r="1">
      <x v="31"/>
      <x v="114"/>
    </i>
    <i r="1">
      <x v="34"/>
      <x v="138"/>
    </i>
    <i>
      <x v="485"/>
      <x v="1"/>
      <x v="155"/>
    </i>
    <i r="1">
      <x v="4"/>
      <x v="175"/>
    </i>
    <i r="1">
      <x v="16"/>
      <x v="5"/>
    </i>
    <i r="1">
      <x v="19"/>
      <x v="29"/>
    </i>
    <i r="1">
      <x v="22"/>
      <x v="49"/>
    </i>
    <i r="1">
      <x v="25"/>
      <x v="68"/>
    </i>
    <i r="1">
      <x v="28"/>
      <x v="93"/>
    </i>
    <i r="1">
      <x v="31"/>
      <x v="113"/>
    </i>
    <i r="1">
      <x v="34"/>
      <x v="137"/>
    </i>
    <i>
      <x v="486"/>
      <x v="1"/>
      <x v="154"/>
    </i>
    <i r="1">
      <x v="4"/>
      <x v="174"/>
    </i>
    <i r="1">
      <x v="16"/>
      <x v="4"/>
    </i>
    <i r="1">
      <x v="19"/>
      <x v="28"/>
    </i>
    <i r="1">
      <x v="22"/>
      <x v="48"/>
    </i>
    <i r="1">
      <x v="25"/>
      <x v="67"/>
    </i>
    <i r="1">
      <x v="28"/>
      <x v="92"/>
    </i>
    <i r="1">
      <x v="31"/>
      <x v="112"/>
    </i>
    <i r="1">
      <x v="34"/>
      <x v="136"/>
    </i>
    <i>
      <x v="487"/>
      <x v="1"/>
      <x v="153"/>
    </i>
    <i r="1">
      <x v="4"/>
      <x v="173"/>
    </i>
    <i r="1">
      <x v="16"/>
      <x v="3"/>
    </i>
    <i r="1">
      <x v="19"/>
      <x v="27"/>
    </i>
    <i r="1">
      <x v="22"/>
      <x v="47"/>
    </i>
    <i r="1">
      <x v="25"/>
      <x v="66"/>
    </i>
    <i r="1">
      <x v="28"/>
      <x v="91"/>
    </i>
    <i r="1">
      <x v="31"/>
      <x v="111"/>
    </i>
    <i r="1">
      <x v="34"/>
      <x v="135"/>
    </i>
    <i>
      <x v="488"/>
      <x v="1"/>
      <x v="152"/>
    </i>
    <i r="1">
      <x v="4"/>
      <x v="172"/>
    </i>
    <i r="1">
      <x v="16"/>
      <x v="2"/>
    </i>
    <i r="1">
      <x v="19"/>
      <x v="26"/>
    </i>
    <i r="1">
      <x v="22"/>
      <x v="46"/>
    </i>
    <i r="1">
      <x v="25"/>
      <x v="65"/>
    </i>
    <i r="1">
      <x v="28"/>
      <x v="90"/>
    </i>
    <i r="1">
      <x v="31"/>
      <x v="110"/>
    </i>
    <i r="1">
      <x v="34"/>
      <x v="134"/>
    </i>
    <i>
      <x v="489"/>
      <x v="1"/>
      <x v="151"/>
    </i>
    <i r="1">
      <x v="4"/>
      <x v="171"/>
    </i>
    <i r="1">
      <x v="16"/>
      <x v="1"/>
    </i>
    <i r="1">
      <x v="19"/>
      <x v="25"/>
    </i>
    <i r="1">
      <x v="22"/>
      <x v="45"/>
    </i>
    <i r="1">
      <x v="25"/>
      <x v="64"/>
    </i>
    <i r="1">
      <x v="28"/>
      <x v="89"/>
    </i>
    <i r="1">
      <x v="31"/>
      <x v="109"/>
    </i>
    <i r="1">
      <x v="34"/>
      <x v="133"/>
    </i>
    <i>
      <x v="490"/>
      <x v="1"/>
      <x v="150"/>
    </i>
    <i r="1">
      <x v="4"/>
      <x v="170"/>
    </i>
    <i r="1">
      <x v="19"/>
      <x v="24"/>
    </i>
    <i r="1">
      <x v="22"/>
      <x v="44"/>
    </i>
    <i r="1">
      <x v="25"/>
      <x v="63"/>
    </i>
    <i r="1">
      <x v="28"/>
      <x v="88"/>
    </i>
    <i r="1">
      <x v="31"/>
      <x v="108"/>
    </i>
    <i r="1">
      <x v="34"/>
      <x v="132"/>
    </i>
    <i>
      <x v="491"/>
      <x v="1"/>
      <x v="149"/>
    </i>
    <i r="1">
      <x v="4"/>
      <x v="169"/>
    </i>
    <i r="1">
      <x v="19"/>
      <x v="23"/>
    </i>
    <i r="1">
      <x v="22"/>
      <x v="43"/>
    </i>
    <i r="1">
      <x v="25"/>
      <x v="62"/>
    </i>
    <i r="1">
      <x v="28"/>
      <x v="87"/>
    </i>
    <i r="1">
      <x v="31"/>
      <x v="107"/>
    </i>
    <i r="1">
      <x v="34"/>
      <x v="131"/>
    </i>
    <i>
      <x v="492"/>
      <x v="1"/>
      <x v="148"/>
    </i>
    <i r="1">
      <x v="4"/>
      <x v="168"/>
    </i>
    <i r="1">
      <x v="8"/>
      <x v="186"/>
    </i>
    <i r="1">
      <x v="19"/>
      <x v="22"/>
    </i>
    <i r="1">
      <x v="22"/>
      <x v="42"/>
    </i>
    <i r="1">
      <x v="25"/>
      <x v="61"/>
    </i>
    <i r="1">
      <x v="28"/>
      <x v="86"/>
    </i>
    <i r="1">
      <x v="31"/>
      <x v="106"/>
    </i>
    <i r="1">
      <x v="34"/>
      <x v="130"/>
    </i>
    <i>
      <x v="493"/>
      <x v="1"/>
      <x v="147"/>
    </i>
    <i r="1">
      <x v="4"/>
      <x v="167"/>
    </i>
    <i r="1">
      <x v="8"/>
      <x v="185"/>
    </i>
    <i r="1">
      <x v="19"/>
      <x v="21"/>
    </i>
    <i r="1">
      <x v="22"/>
      <x v="41"/>
    </i>
    <i r="1">
      <x v="25"/>
      <x v="60"/>
    </i>
    <i r="1">
      <x v="28"/>
      <x v="85"/>
    </i>
    <i r="1">
      <x v="31"/>
      <x v="105"/>
    </i>
    <i r="1">
      <x v="34"/>
      <x v="129"/>
    </i>
    <i>
      <x v="494"/>
      <x v="1"/>
      <x v="146"/>
    </i>
    <i r="1">
      <x v="4"/>
      <x v="166"/>
    </i>
    <i r="1">
      <x v="8"/>
      <x v="184"/>
    </i>
    <i r="1">
      <x v="19"/>
      <x v="20"/>
    </i>
    <i r="1">
      <x v="22"/>
      <x v="40"/>
    </i>
    <i r="1">
      <x v="25"/>
      <x v="59"/>
    </i>
    <i r="1">
      <x v="28"/>
      <x v="84"/>
    </i>
    <i r="1">
      <x v="31"/>
      <x v="104"/>
    </i>
    <i r="1">
      <x v="34"/>
      <x v="128"/>
    </i>
    <i>
      <x v="495"/>
      <x v="1"/>
      <x v="145"/>
    </i>
    <i r="1">
      <x v="4"/>
      <x v="165"/>
    </i>
    <i r="1">
      <x v="8"/>
      <x v="183"/>
    </i>
    <i r="1">
      <x v="19"/>
      <x v="19"/>
    </i>
    <i r="1">
      <x v="22"/>
      <x v="39"/>
    </i>
    <i r="1">
      <x v="25"/>
      <x v="58"/>
    </i>
    <i r="1">
      <x v="28"/>
      <x v="83"/>
    </i>
    <i r="1">
      <x v="31"/>
      <x v="103"/>
    </i>
    <i r="1">
      <x v="34"/>
      <x v="127"/>
    </i>
    <i>
      <x v="496"/>
      <x v="1"/>
      <x v="144"/>
    </i>
    <i r="1">
      <x v="4"/>
      <x v="164"/>
    </i>
    <i r="1">
      <x v="8"/>
      <x v="182"/>
    </i>
    <i r="1">
      <x v="19"/>
      <x v="18"/>
    </i>
    <i r="1">
      <x v="22"/>
      <x v="38"/>
    </i>
    <i r="1">
      <x v="25"/>
      <x v="57"/>
    </i>
    <i r="1">
      <x v="28"/>
      <x v="82"/>
    </i>
    <i r="1">
      <x v="31"/>
      <x v="102"/>
    </i>
    <i r="1">
      <x v="34"/>
      <x v="126"/>
    </i>
    <i>
      <x v="497"/>
      <x v="1"/>
      <x v="143"/>
    </i>
    <i r="1">
      <x v="4"/>
      <x v="163"/>
    </i>
    <i r="1">
      <x v="8"/>
      <x v="181"/>
    </i>
    <i r="1">
      <x v="19"/>
      <x v="17"/>
    </i>
    <i r="1">
      <x v="22"/>
      <x v="37"/>
    </i>
    <i r="1">
      <x v="25"/>
      <x v="56"/>
    </i>
    <i r="1">
      <x v="28"/>
      <x v="81"/>
    </i>
    <i r="1">
      <x v="31"/>
      <x v="101"/>
    </i>
    <i r="1">
      <x v="34"/>
      <x v="125"/>
    </i>
    <i>
      <x v="498"/>
      <x v="1"/>
      <x v="142"/>
    </i>
    <i r="1">
      <x v="4"/>
      <x v="162"/>
    </i>
    <i r="1">
      <x v="8"/>
      <x v="180"/>
    </i>
    <i r="1">
      <x v="19"/>
      <x v="16"/>
    </i>
    <i r="1">
      <x v="22"/>
      <x v="36"/>
    </i>
    <i r="1">
      <x v="25"/>
      <x v="55"/>
    </i>
    <i r="1">
      <x v="28"/>
      <x v="80"/>
    </i>
    <i r="1">
      <x v="31"/>
      <x v="100"/>
    </i>
    <i r="1">
      <x v="34"/>
      <x v="124"/>
    </i>
    <i>
      <x v="499"/>
      <x v="1"/>
      <x v="141"/>
    </i>
    <i r="1">
      <x v="4"/>
      <x v="161"/>
    </i>
    <i r="1">
      <x v="8"/>
      <x v="179"/>
    </i>
    <i r="1">
      <x v="19"/>
      <x v="15"/>
    </i>
    <i r="1">
      <x v="22"/>
      <x v="35"/>
    </i>
    <i r="1">
      <x v="25"/>
      <x v="54"/>
    </i>
    <i r="1">
      <x v="28"/>
      <x v="79"/>
    </i>
    <i r="1">
      <x v="31"/>
      <x v="99"/>
    </i>
    <i r="1">
      <x v="34"/>
      <x v="123"/>
    </i>
    <i>
      <x v="500"/>
      <x v="1"/>
      <x v="140"/>
    </i>
    <i r="1">
      <x v="4"/>
      <x v="160"/>
    </i>
    <i r="1">
      <x v="8"/>
      <x v="178"/>
    </i>
    <i r="1">
      <x v="19"/>
      <x v="14"/>
    </i>
    <i r="1">
      <x v="22"/>
      <x v="34"/>
    </i>
    <i r="1">
      <x v="25"/>
      <x v="53"/>
    </i>
    <i r="1">
      <x v="28"/>
      <x v="78"/>
    </i>
    <i r="1">
      <x v="31"/>
      <x v="98"/>
    </i>
    <i r="1">
      <x v="34"/>
      <x v="122"/>
    </i>
    <i>
      <x v="501"/>
      <x v="1"/>
      <x v="139"/>
    </i>
    <i r="1">
      <x v="4"/>
      <x v="159"/>
    </i>
    <i r="1">
      <x v="8"/>
      <x v="177"/>
    </i>
    <i r="1">
      <x v="19"/>
      <x v="13"/>
    </i>
    <i r="1">
      <x v="22"/>
      <x v="33"/>
    </i>
    <i r="1">
      <x v="25"/>
      <x v="52"/>
    </i>
    <i r="1">
      <x v="28"/>
      <x v="77"/>
    </i>
    <i r="1">
      <x v="31"/>
      <x v="97"/>
    </i>
    <i r="1">
      <x v="34"/>
      <x v="121"/>
    </i>
    <i>
      <x v="502"/>
      <x v="1"/>
      <x v="138"/>
    </i>
    <i r="1">
      <x v="4"/>
      <x v="158"/>
    </i>
    <i r="1">
      <x v="8"/>
      <x v="176"/>
    </i>
    <i r="1">
      <x v="19"/>
      <x v="12"/>
    </i>
    <i r="1">
      <x v="22"/>
      <x v="32"/>
    </i>
    <i r="1">
      <x v="25"/>
      <x v="51"/>
    </i>
    <i r="1">
      <x v="28"/>
      <x v="76"/>
    </i>
    <i r="1">
      <x v="31"/>
      <x v="96"/>
    </i>
    <i r="1">
      <x v="34"/>
      <x v="120"/>
    </i>
    <i>
      <x v="503"/>
      <x v="1"/>
      <x v="137"/>
    </i>
    <i r="1">
      <x v="4"/>
      <x v="157"/>
    </i>
    <i r="1">
      <x v="8"/>
      <x v="175"/>
    </i>
    <i r="1">
      <x v="19"/>
      <x v="11"/>
    </i>
    <i r="1">
      <x v="22"/>
      <x v="31"/>
    </i>
    <i r="1">
      <x v="25"/>
      <x v="50"/>
    </i>
    <i r="1">
      <x v="28"/>
      <x v="75"/>
    </i>
    <i r="1">
      <x v="31"/>
      <x v="95"/>
    </i>
    <i r="1">
      <x v="34"/>
      <x v="119"/>
    </i>
    <i>
      <x v="504"/>
      <x v="1"/>
      <x v="136"/>
    </i>
    <i r="1">
      <x v="4"/>
      <x v="156"/>
    </i>
    <i r="1">
      <x v="8"/>
      <x v="174"/>
    </i>
    <i r="1">
      <x v="19"/>
      <x v="10"/>
    </i>
    <i r="1">
      <x v="22"/>
      <x v="30"/>
    </i>
    <i r="1">
      <x v="25"/>
      <x v="49"/>
    </i>
    <i r="1">
      <x v="28"/>
      <x v="74"/>
    </i>
    <i r="1">
      <x v="31"/>
      <x v="94"/>
    </i>
    <i r="1">
      <x v="34"/>
      <x v="118"/>
    </i>
    <i>
      <x v="505"/>
      <x v="1"/>
      <x v="135"/>
    </i>
    <i r="1">
      <x v="4"/>
      <x v="155"/>
    </i>
    <i r="1">
      <x v="8"/>
      <x v="173"/>
    </i>
    <i r="1">
      <x v="19"/>
      <x v="9"/>
    </i>
    <i r="1">
      <x v="22"/>
      <x v="29"/>
    </i>
    <i r="1">
      <x v="25"/>
      <x v="48"/>
    </i>
    <i r="1">
      <x v="28"/>
      <x v="73"/>
    </i>
    <i r="1">
      <x v="31"/>
      <x v="93"/>
    </i>
    <i r="1">
      <x v="34"/>
      <x v="117"/>
    </i>
    <i>
      <x v="506"/>
      <x v="1"/>
      <x v="134"/>
    </i>
    <i r="1">
      <x v="4"/>
      <x v="154"/>
    </i>
    <i r="1">
      <x v="8"/>
      <x v="172"/>
    </i>
    <i r="1">
      <x v="19"/>
      <x v="8"/>
    </i>
    <i r="1">
      <x v="22"/>
      <x v="28"/>
    </i>
    <i r="1">
      <x v="25"/>
      <x v="47"/>
    </i>
    <i r="1">
      <x v="28"/>
      <x v="72"/>
    </i>
    <i r="1">
      <x v="31"/>
      <x v="92"/>
    </i>
    <i r="1">
      <x v="34"/>
      <x v="116"/>
    </i>
    <i>
      <x v="507"/>
      <x v="1"/>
      <x v="133"/>
    </i>
    <i r="1">
      <x v="4"/>
      <x v="153"/>
    </i>
    <i r="1">
      <x v="8"/>
      <x v="171"/>
    </i>
    <i r="1">
      <x v="19"/>
      <x v="7"/>
    </i>
    <i r="1">
      <x v="22"/>
      <x v="27"/>
    </i>
    <i r="1">
      <x v="25"/>
      <x v="46"/>
    </i>
    <i r="1">
      <x v="28"/>
      <x v="71"/>
    </i>
    <i r="1">
      <x v="31"/>
      <x v="91"/>
    </i>
    <i r="1">
      <x v="34"/>
      <x v="115"/>
    </i>
    <i>
      <x v="508"/>
      <x v="1"/>
      <x v="132"/>
    </i>
    <i r="1">
      <x v="4"/>
      <x v="152"/>
    </i>
    <i r="1">
      <x v="8"/>
      <x v="170"/>
    </i>
    <i r="1">
      <x v="19"/>
      <x v="6"/>
    </i>
    <i r="1">
      <x v="22"/>
      <x v="26"/>
    </i>
    <i r="1">
      <x v="25"/>
      <x v="45"/>
    </i>
    <i r="1">
      <x v="28"/>
      <x v="70"/>
    </i>
    <i r="1">
      <x v="31"/>
      <x v="90"/>
    </i>
    <i r="1">
      <x v="34"/>
      <x v="114"/>
    </i>
    <i>
      <x v="509"/>
      <x v="1"/>
      <x v="131"/>
    </i>
    <i r="1">
      <x v="4"/>
      <x v="151"/>
    </i>
    <i r="1">
      <x v="8"/>
      <x v="169"/>
    </i>
    <i r="1">
      <x v="19"/>
      <x v="5"/>
    </i>
    <i r="1">
      <x v="22"/>
      <x v="25"/>
    </i>
    <i r="1">
      <x v="25"/>
      <x v="44"/>
    </i>
    <i r="1">
      <x v="28"/>
      <x v="69"/>
    </i>
    <i r="1">
      <x v="31"/>
      <x v="89"/>
    </i>
    <i r="1">
      <x v="34"/>
      <x v="113"/>
    </i>
    <i>
      <x v="510"/>
      <x v="1"/>
      <x v="130"/>
    </i>
    <i r="1">
      <x v="4"/>
      <x v="150"/>
    </i>
    <i r="1">
      <x v="8"/>
      <x v="168"/>
    </i>
    <i r="1">
      <x v="19"/>
      <x v="4"/>
    </i>
    <i r="1">
      <x v="22"/>
      <x v="24"/>
    </i>
    <i r="1">
      <x v="25"/>
      <x v="43"/>
    </i>
    <i r="1">
      <x v="28"/>
      <x v="68"/>
    </i>
    <i r="1">
      <x v="31"/>
      <x v="88"/>
    </i>
    <i r="1">
      <x v="34"/>
      <x v="112"/>
    </i>
    <i>
      <x v="511"/>
      <x v="1"/>
      <x v="129"/>
    </i>
    <i r="1">
      <x v="4"/>
      <x v="149"/>
    </i>
    <i r="1">
      <x v="8"/>
      <x v="167"/>
    </i>
    <i r="1">
      <x v="19"/>
      <x v="3"/>
    </i>
    <i r="1">
      <x v="22"/>
      <x v="23"/>
    </i>
    <i r="1">
      <x v="25"/>
      <x v="42"/>
    </i>
    <i r="1">
      <x v="28"/>
      <x v="67"/>
    </i>
    <i r="1">
      <x v="31"/>
      <x v="87"/>
    </i>
    <i r="1">
      <x v="34"/>
      <x v="111"/>
    </i>
    <i>
      <x v="512"/>
      <x v="1"/>
      <x v="128"/>
    </i>
    <i r="1">
      <x v="4"/>
      <x v="148"/>
    </i>
    <i r="1">
      <x v="8"/>
      <x v="166"/>
    </i>
    <i r="1">
      <x v="19"/>
      <x v="2"/>
    </i>
    <i r="1">
      <x v="22"/>
      <x v="22"/>
    </i>
    <i r="1">
      <x v="25"/>
      <x v="41"/>
    </i>
    <i r="1">
      <x v="28"/>
      <x v="66"/>
    </i>
    <i r="1">
      <x v="31"/>
      <x v="86"/>
    </i>
    <i r="1">
      <x v="34"/>
      <x v="110"/>
    </i>
    <i>
      <x v="513"/>
      <x v="1"/>
      <x v="127"/>
    </i>
    <i r="1">
      <x v="4"/>
      <x v="147"/>
    </i>
    <i r="1">
      <x v="8"/>
      <x v="165"/>
    </i>
    <i r="1">
      <x v="19"/>
      <x v="1"/>
    </i>
    <i r="1">
      <x v="22"/>
      <x v="21"/>
    </i>
    <i r="1">
      <x v="25"/>
      <x v="40"/>
    </i>
    <i r="1">
      <x v="28"/>
      <x v="65"/>
    </i>
    <i r="1">
      <x v="31"/>
      <x v="85"/>
    </i>
    <i r="1">
      <x v="34"/>
      <x v="109"/>
    </i>
    <i>
      <x v="514"/>
      <x v="1"/>
      <x v="126"/>
    </i>
    <i r="1">
      <x v="4"/>
      <x v="146"/>
    </i>
    <i r="1">
      <x v="8"/>
      <x v="164"/>
    </i>
    <i r="1">
      <x v="22"/>
      <x v="20"/>
    </i>
    <i r="1">
      <x v="25"/>
      <x v="39"/>
    </i>
    <i r="1">
      <x v="28"/>
      <x v="64"/>
    </i>
    <i r="1">
      <x v="31"/>
      <x v="84"/>
    </i>
    <i r="1">
      <x v="34"/>
      <x v="108"/>
    </i>
    <i>
      <x v="515"/>
      <x v="1"/>
      <x v="125"/>
    </i>
    <i r="1">
      <x v="4"/>
      <x v="145"/>
    </i>
    <i r="1">
      <x v="8"/>
      <x v="163"/>
    </i>
    <i r="1">
      <x v="22"/>
      <x v="19"/>
    </i>
    <i r="1">
      <x v="25"/>
      <x v="38"/>
    </i>
    <i r="1">
      <x v="28"/>
      <x v="63"/>
    </i>
    <i r="1">
      <x v="31"/>
      <x v="83"/>
    </i>
    <i r="1">
      <x v="34"/>
      <x v="107"/>
    </i>
    <i>
      <x v="516"/>
      <x v="1"/>
      <x v="124"/>
    </i>
    <i r="1">
      <x v="4"/>
      <x v="144"/>
    </i>
    <i r="1">
      <x v="8"/>
      <x v="162"/>
    </i>
    <i r="1">
      <x v="11"/>
      <x v="188"/>
    </i>
    <i r="1">
      <x v="22"/>
      <x v="18"/>
    </i>
    <i r="1">
      <x v="25"/>
      <x v="37"/>
    </i>
    <i r="1">
      <x v="28"/>
      <x v="62"/>
    </i>
    <i r="1">
      <x v="31"/>
      <x v="82"/>
    </i>
    <i r="1">
      <x v="34"/>
      <x v="106"/>
    </i>
    <i>
      <x v="517"/>
      <x v="1"/>
      <x v="123"/>
    </i>
    <i r="1">
      <x v="4"/>
      <x v="143"/>
    </i>
    <i r="1">
      <x v="8"/>
      <x v="161"/>
    </i>
    <i r="1">
      <x v="11"/>
      <x v="187"/>
    </i>
    <i r="1">
      <x v="22"/>
      <x v="17"/>
    </i>
    <i r="1">
      <x v="25"/>
      <x v="36"/>
    </i>
    <i r="1">
      <x v="28"/>
      <x v="61"/>
    </i>
    <i r="1">
      <x v="31"/>
      <x v="81"/>
    </i>
    <i r="1">
      <x v="34"/>
      <x v="105"/>
    </i>
    <i>
      <x v="518"/>
      <x v="1"/>
      <x v="122"/>
    </i>
    <i r="1">
      <x v="4"/>
      <x v="142"/>
    </i>
    <i r="1">
      <x v="8"/>
      <x v="160"/>
    </i>
    <i r="1">
      <x v="11"/>
      <x v="186"/>
    </i>
    <i r="1">
      <x v="22"/>
      <x v="16"/>
    </i>
    <i r="1">
      <x v="25"/>
      <x v="35"/>
    </i>
    <i r="1">
      <x v="28"/>
      <x v="60"/>
    </i>
    <i r="1">
      <x v="31"/>
      <x v="80"/>
    </i>
    <i r="1">
      <x v="34"/>
      <x v="104"/>
    </i>
    <i>
      <x v="519"/>
      <x v="1"/>
      <x v="121"/>
    </i>
    <i r="1">
      <x v="4"/>
      <x v="141"/>
    </i>
    <i r="1">
      <x v="8"/>
      <x v="159"/>
    </i>
    <i r="1">
      <x v="11"/>
      <x v="185"/>
    </i>
    <i r="1">
      <x v="22"/>
      <x v="15"/>
    </i>
    <i r="1">
      <x v="25"/>
      <x v="34"/>
    </i>
    <i r="1">
      <x v="28"/>
      <x v="59"/>
    </i>
    <i r="1">
      <x v="31"/>
      <x v="79"/>
    </i>
    <i r="1">
      <x v="34"/>
      <x v="103"/>
    </i>
    <i>
      <x v="520"/>
      <x v="1"/>
      <x v="120"/>
    </i>
    <i r="1">
      <x v="4"/>
      <x v="140"/>
    </i>
    <i r="1">
      <x v="8"/>
      <x v="158"/>
    </i>
    <i r="1">
      <x v="11"/>
      <x v="184"/>
    </i>
    <i r="1">
      <x v="22"/>
      <x v="14"/>
    </i>
    <i r="1">
      <x v="25"/>
      <x v="33"/>
    </i>
    <i r="1">
      <x v="28"/>
      <x v="58"/>
    </i>
    <i r="1">
      <x v="31"/>
      <x v="78"/>
    </i>
    <i r="1">
      <x v="34"/>
      <x v="102"/>
    </i>
    <i>
      <x v="521"/>
      <x v="1"/>
      <x v="119"/>
    </i>
    <i r="1">
      <x v="4"/>
      <x v="139"/>
    </i>
    <i r="1">
      <x v="8"/>
      <x v="157"/>
    </i>
    <i r="1">
      <x v="11"/>
      <x v="183"/>
    </i>
    <i r="1">
      <x v="22"/>
      <x v="13"/>
    </i>
    <i r="1">
      <x v="25"/>
      <x v="32"/>
    </i>
    <i r="1">
      <x v="28"/>
      <x v="57"/>
    </i>
    <i r="1">
      <x v="31"/>
      <x v="77"/>
    </i>
    <i r="1">
      <x v="34"/>
      <x v="101"/>
    </i>
    <i>
      <x v="522"/>
      <x v="1"/>
      <x v="118"/>
    </i>
    <i r="1">
      <x v="4"/>
      <x v="138"/>
    </i>
    <i r="1">
      <x v="8"/>
      <x v="156"/>
    </i>
    <i r="1">
      <x v="11"/>
      <x v="182"/>
    </i>
    <i r="1">
      <x v="22"/>
      <x v="12"/>
    </i>
    <i r="1">
      <x v="25"/>
      <x v="31"/>
    </i>
    <i r="1">
      <x v="28"/>
      <x v="56"/>
    </i>
    <i r="1">
      <x v="31"/>
      <x v="76"/>
    </i>
    <i r="1">
      <x v="34"/>
      <x v="100"/>
    </i>
    <i>
      <x v="523"/>
      <x v="1"/>
      <x v="117"/>
    </i>
    <i r="1">
      <x v="4"/>
      <x v="137"/>
    </i>
    <i r="1">
      <x v="8"/>
      <x v="155"/>
    </i>
    <i r="1">
      <x v="11"/>
      <x v="181"/>
    </i>
    <i r="1">
      <x v="22"/>
      <x v="11"/>
    </i>
    <i r="1">
      <x v="25"/>
      <x v="30"/>
    </i>
    <i r="1">
      <x v="28"/>
      <x v="55"/>
    </i>
    <i r="1">
      <x v="31"/>
      <x v="75"/>
    </i>
    <i r="1">
      <x v="34"/>
      <x v="99"/>
    </i>
    <i>
      <x v="524"/>
      <x v="1"/>
      <x v="116"/>
    </i>
    <i r="1">
      <x v="4"/>
      <x v="136"/>
    </i>
    <i r="1">
      <x v="8"/>
      <x v="154"/>
    </i>
    <i r="1">
      <x v="11"/>
      <x v="180"/>
    </i>
    <i r="1">
      <x v="22"/>
      <x v="10"/>
    </i>
    <i r="1">
      <x v="25"/>
      <x v="29"/>
    </i>
    <i r="1">
      <x v="28"/>
      <x v="54"/>
    </i>
    <i r="1">
      <x v="31"/>
      <x v="74"/>
    </i>
    <i r="1">
      <x v="34"/>
      <x v="98"/>
    </i>
    <i>
      <x v="525"/>
      <x v="1"/>
      <x v="115"/>
    </i>
    <i r="1">
      <x v="4"/>
      <x v="135"/>
    </i>
    <i r="1">
      <x v="8"/>
      <x v="153"/>
    </i>
    <i r="1">
      <x v="11"/>
      <x v="179"/>
    </i>
    <i r="1">
      <x v="22"/>
      <x v="9"/>
    </i>
    <i r="1">
      <x v="25"/>
      <x v="28"/>
    </i>
    <i r="1">
      <x v="28"/>
      <x v="53"/>
    </i>
    <i r="1">
      <x v="31"/>
      <x v="73"/>
    </i>
    <i r="1">
      <x v="34"/>
      <x v="97"/>
    </i>
    <i>
      <x v="526"/>
      <x v="1"/>
      <x v="114"/>
    </i>
    <i r="1">
      <x v="4"/>
      <x v="134"/>
    </i>
    <i r="1">
      <x v="8"/>
      <x v="152"/>
    </i>
    <i r="1">
      <x v="11"/>
      <x v="178"/>
    </i>
    <i r="1">
      <x v="22"/>
      <x v="8"/>
    </i>
    <i r="1">
      <x v="25"/>
      <x v="27"/>
    </i>
    <i r="1">
      <x v="28"/>
      <x v="52"/>
    </i>
    <i r="1">
      <x v="31"/>
      <x v="72"/>
    </i>
    <i r="1">
      <x v="34"/>
      <x v="96"/>
    </i>
    <i>
      <x v="527"/>
      <x v="1"/>
      <x v="113"/>
    </i>
    <i r="1">
      <x v="4"/>
      <x v="133"/>
    </i>
    <i r="1">
      <x v="8"/>
      <x v="151"/>
    </i>
    <i r="1">
      <x v="11"/>
      <x v="177"/>
    </i>
    <i r="1">
      <x v="22"/>
      <x v="7"/>
    </i>
    <i r="1">
      <x v="25"/>
      <x v="26"/>
    </i>
    <i r="1">
      <x v="28"/>
      <x v="51"/>
    </i>
    <i r="1">
      <x v="31"/>
      <x v="71"/>
    </i>
    <i r="1">
      <x v="34"/>
      <x v="95"/>
    </i>
    <i>
      <x v="528"/>
      <x v="1"/>
      <x v="112"/>
    </i>
    <i r="1">
      <x v="4"/>
      <x v="132"/>
    </i>
    <i r="1">
      <x v="8"/>
      <x v="150"/>
    </i>
    <i r="1">
      <x v="11"/>
      <x v="176"/>
    </i>
    <i r="1">
      <x v="22"/>
      <x v="6"/>
    </i>
    <i r="1">
      <x v="25"/>
      <x v="25"/>
    </i>
    <i r="1">
      <x v="28"/>
      <x v="50"/>
    </i>
    <i r="1">
      <x v="31"/>
      <x v="70"/>
    </i>
    <i r="1">
      <x v="34"/>
      <x v="94"/>
    </i>
    <i>
      <x v="529"/>
      <x v="1"/>
      <x v="111"/>
    </i>
    <i r="1">
      <x v="4"/>
      <x v="131"/>
    </i>
    <i r="1">
      <x v="8"/>
      <x v="149"/>
    </i>
    <i r="1">
      <x v="11"/>
      <x v="175"/>
    </i>
    <i r="1">
      <x v="22"/>
      <x v="5"/>
    </i>
    <i r="1">
      <x v="25"/>
      <x v="24"/>
    </i>
    <i r="1">
      <x v="28"/>
      <x v="49"/>
    </i>
    <i r="1">
      <x v="31"/>
      <x v="69"/>
    </i>
    <i r="1">
      <x v="34"/>
      <x v="93"/>
    </i>
    <i>
      <x v="530"/>
      <x v="1"/>
      <x v="110"/>
    </i>
    <i r="1">
      <x v="4"/>
      <x v="130"/>
    </i>
    <i r="1">
      <x v="8"/>
      <x v="148"/>
    </i>
    <i r="1">
      <x v="11"/>
      <x v="174"/>
    </i>
    <i r="1">
      <x v="22"/>
      <x v="4"/>
    </i>
    <i r="1">
      <x v="25"/>
      <x v="23"/>
    </i>
    <i r="1">
      <x v="28"/>
      <x v="48"/>
    </i>
    <i r="1">
      <x v="31"/>
      <x v="68"/>
    </i>
    <i r="1">
      <x v="34"/>
      <x v="92"/>
    </i>
    <i>
      <x v="531"/>
      <x v="1"/>
      <x v="109"/>
    </i>
    <i r="1">
      <x v="4"/>
      <x v="129"/>
    </i>
    <i r="1">
      <x v="8"/>
      <x v="147"/>
    </i>
    <i r="1">
      <x v="11"/>
      <x v="173"/>
    </i>
    <i r="1">
      <x v="22"/>
      <x v="3"/>
    </i>
    <i r="1">
      <x v="25"/>
      <x v="22"/>
    </i>
    <i r="1">
      <x v="28"/>
      <x v="47"/>
    </i>
    <i r="1">
      <x v="31"/>
      <x v="67"/>
    </i>
    <i r="1">
      <x v="34"/>
      <x v="91"/>
    </i>
    <i>
      <x v="532"/>
      <x v="1"/>
      <x v="108"/>
    </i>
    <i r="1">
      <x v="4"/>
      <x v="128"/>
    </i>
    <i r="1">
      <x v="8"/>
      <x v="146"/>
    </i>
    <i r="1">
      <x v="11"/>
      <x v="172"/>
    </i>
    <i r="1">
      <x v="22"/>
      <x v="2"/>
    </i>
    <i r="1">
      <x v="25"/>
      <x v="21"/>
    </i>
    <i r="1">
      <x v="28"/>
      <x v="46"/>
    </i>
    <i r="1">
      <x v="31"/>
      <x v="66"/>
    </i>
    <i r="1">
      <x v="34"/>
      <x v="90"/>
    </i>
    <i>
      <x v="533"/>
      <x v="1"/>
      <x v="107"/>
    </i>
    <i r="1">
      <x v="4"/>
      <x v="127"/>
    </i>
    <i r="1">
      <x v="8"/>
      <x v="145"/>
    </i>
    <i r="1">
      <x v="11"/>
      <x v="171"/>
    </i>
    <i r="1">
      <x v="22"/>
      <x v="1"/>
    </i>
    <i r="1">
      <x v="25"/>
      <x v="20"/>
    </i>
    <i r="1">
      <x v="28"/>
      <x v="45"/>
    </i>
    <i r="1">
      <x v="31"/>
      <x v="65"/>
    </i>
    <i r="1">
      <x v="34"/>
      <x v="89"/>
    </i>
    <i>
      <x v="534"/>
      <x v="1"/>
      <x v="106"/>
    </i>
    <i r="1">
      <x v="4"/>
      <x v="126"/>
    </i>
    <i r="1">
      <x v="8"/>
      <x v="144"/>
    </i>
    <i r="1">
      <x v="11"/>
      <x v="170"/>
    </i>
    <i r="1">
      <x v="25"/>
      <x v="19"/>
    </i>
    <i r="1">
      <x v="28"/>
      <x v="44"/>
    </i>
    <i r="1">
      <x v="31"/>
      <x v="64"/>
    </i>
    <i r="1">
      <x v="34"/>
      <x v="88"/>
    </i>
    <i>
      <x v="535"/>
      <x v="1"/>
      <x v="105"/>
    </i>
    <i r="1">
      <x v="4"/>
      <x v="125"/>
    </i>
    <i r="1">
      <x v="8"/>
      <x v="143"/>
    </i>
    <i r="1">
      <x v="11"/>
      <x v="169"/>
    </i>
    <i r="1">
      <x v="25"/>
      <x v="18"/>
    </i>
    <i r="1">
      <x v="28"/>
      <x v="43"/>
    </i>
    <i r="1">
      <x v="31"/>
      <x v="63"/>
    </i>
    <i r="1">
      <x v="34"/>
      <x v="87"/>
    </i>
    <i>
      <x v="536"/>
      <x v="1"/>
      <x v="103"/>
    </i>
    <i r="1">
      <x v="4"/>
      <x v="123"/>
    </i>
    <i r="1">
      <x v="8"/>
      <x v="141"/>
    </i>
    <i r="1">
      <x v="11"/>
      <x v="167"/>
    </i>
    <i r="1">
      <x v="25"/>
      <x v="16"/>
    </i>
    <i r="1">
      <x v="28"/>
      <x v="41"/>
    </i>
    <i r="1">
      <x v="31"/>
      <x v="61"/>
    </i>
    <i r="1">
      <x v="34"/>
      <x v="85"/>
    </i>
    <i>
      <x v="537"/>
      <x v="1"/>
      <x v="102"/>
    </i>
    <i r="1">
      <x v="4"/>
      <x v="122"/>
    </i>
    <i r="1">
      <x v="8"/>
      <x v="140"/>
    </i>
    <i r="1">
      <x v="11"/>
      <x v="166"/>
    </i>
    <i r="1">
      <x v="14"/>
      <x v="186"/>
    </i>
    <i r="1">
      <x v="25"/>
      <x v="15"/>
    </i>
    <i r="1">
      <x v="28"/>
      <x v="40"/>
    </i>
    <i r="1">
      <x v="31"/>
      <x v="60"/>
    </i>
    <i r="1">
      <x v="34"/>
      <x v="84"/>
    </i>
    <i>
      <x v="538"/>
      <x v="1"/>
      <x v="101"/>
    </i>
    <i r="1">
      <x v="4"/>
      <x v="121"/>
    </i>
    <i r="1">
      <x v="8"/>
      <x v="139"/>
    </i>
    <i r="1">
      <x v="11"/>
      <x v="165"/>
    </i>
    <i r="1">
      <x v="14"/>
      <x v="185"/>
    </i>
    <i r="1">
      <x v="25"/>
      <x v="14"/>
    </i>
    <i r="1">
      <x v="28"/>
      <x v="39"/>
    </i>
    <i r="1">
      <x v="31"/>
      <x v="59"/>
    </i>
    <i r="1">
      <x v="34"/>
      <x v="83"/>
    </i>
    <i>
      <x v="539"/>
      <x v="1"/>
      <x v="100"/>
    </i>
    <i r="1">
      <x v="4"/>
      <x v="120"/>
    </i>
    <i r="1">
      <x v="8"/>
      <x v="138"/>
    </i>
    <i r="1">
      <x v="11"/>
      <x v="164"/>
    </i>
    <i r="1">
      <x v="14"/>
      <x v="184"/>
    </i>
    <i r="1">
      <x v="28"/>
      <x v="38"/>
    </i>
    <i r="1">
      <x v="31"/>
      <x v="58"/>
    </i>
    <i r="1">
      <x v="34"/>
      <x v="82"/>
    </i>
    <i>
      <x v="540"/>
      <x v="1"/>
      <x v="99"/>
    </i>
    <i r="1">
      <x v="4"/>
      <x v="119"/>
    </i>
    <i r="1">
      <x v="8"/>
      <x v="137"/>
    </i>
    <i r="1">
      <x v="11"/>
      <x v="163"/>
    </i>
    <i r="1">
      <x v="14"/>
      <x v="183"/>
    </i>
    <i r="1">
      <x v="28"/>
      <x v="37"/>
    </i>
    <i r="1">
      <x v="31"/>
      <x v="57"/>
    </i>
    <i r="1">
      <x v="34"/>
      <x v="81"/>
    </i>
    <i>
      <x v="541"/>
      <x v="1"/>
      <x v="98"/>
    </i>
    <i r="1">
      <x v="4"/>
      <x v="118"/>
    </i>
    <i r="1">
      <x v="8"/>
      <x v="136"/>
    </i>
    <i r="1">
      <x v="11"/>
      <x v="162"/>
    </i>
    <i r="1">
      <x v="14"/>
      <x v="182"/>
    </i>
    <i r="1">
      <x v="28"/>
      <x v="36"/>
    </i>
    <i r="1">
      <x v="31"/>
      <x v="56"/>
    </i>
    <i r="1">
      <x v="34"/>
      <x v="80"/>
    </i>
    <i>
      <x v="542"/>
      <x v="1"/>
      <x v="97"/>
    </i>
    <i r="1">
      <x v="4"/>
      <x v="117"/>
    </i>
    <i r="1">
      <x v="8"/>
      <x v="135"/>
    </i>
    <i r="1">
      <x v="11"/>
      <x v="161"/>
    </i>
    <i r="1">
      <x v="14"/>
      <x v="181"/>
    </i>
    <i r="1">
      <x v="28"/>
      <x v="35"/>
    </i>
    <i r="1">
      <x v="31"/>
      <x v="55"/>
    </i>
    <i r="1">
      <x v="34"/>
      <x v="79"/>
    </i>
    <i>
      <x v="543"/>
      <x v="1"/>
      <x v="96"/>
    </i>
    <i r="1">
      <x v="4"/>
      <x v="116"/>
    </i>
    <i r="1">
      <x v="8"/>
      <x v="134"/>
    </i>
    <i r="1">
      <x v="11"/>
      <x v="160"/>
    </i>
    <i r="1">
      <x v="14"/>
      <x v="180"/>
    </i>
    <i r="1">
      <x v="28"/>
      <x v="34"/>
    </i>
    <i r="1">
      <x v="31"/>
      <x v="54"/>
    </i>
    <i r="1">
      <x v="34"/>
      <x v="78"/>
    </i>
    <i>
      <x v="544"/>
      <x v="1"/>
      <x v="95"/>
    </i>
    <i r="1">
      <x v="4"/>
      <x v="115"/>
    </i>
    <i r="1">
      <x v="8"/>
      <x v="133"/>
    </i>
    <i r="1">
      <x v="11"/>
      <x v="159"/>
    </i>
    <i r="1">
      <x v="14"/>
      <x v="179"/>
    </i>
    <i r="1">
      <x v="28"/>
      <x v="33"/>
    </i>
    <i r="1">
      <x v="31"/>
      <x v="53"/>
    </i>
    <i r="1">
      <x v="34"/>
      <x v="77"/>
    </i>
    <i>
      <x v="545"/>
      <x v="1"/>
      <x v="94"/>
    </i>
    <i r="1">
      <x v="4"/>
      <x v="114"/>
    </i>
    <i r="1">
      <x v="8"/>
      <x v="132"/>
    </i>
    <i r="1">
      <x v="11"/>
      <x v="158"/>
    </i>
    <i r="1">
      <x v="14"/>
      <x v="178"/>
    </i>
    <i r="1">
      <x v="28"/>
      <x v="32"/>
    </i>
    <i r="1">
      <x v="31"/>
      <x v="52"/>
    </i>
    <i r="1">
      <x v="34"/>
      <x v="76"/>
    </i>
    <i>
      <x v="546"/>
      <x v="1"/>
      <x v="93"/>
    </i>
    <i r="1">
      <x v="4"/>
      <x v="113"/>
    </i>
    <i r="1">
      <x v="8"/>
      <x v="131"/>
    </i>
    <i r="1">
      <x v="11"/>
      <x v="157"/>
    </i>
    <i r="1">
      <x v="14"/>
      <x v="177"/>
    </i>
    <i r="1">
      <x v="28"/>
      <x v="31"/>
    </i>
    <i r="1">
      <x v="31"/>
      <x v="51"/>
    </i>
    <i r="1">
      <x v="34"/>
      <x v="75"/>
    </i>
    <i>
      <x v="547"/>
      <x v="1"/>
      <x v="92"/>
    </i>
    <i r="1">
      <x v="4"/>
      <x v="112"/>
    </i>
    <i r="1">
      <x v="8"/>
      <x v="130"/>
    </i>
    <i r="1">
      <x v="11"/>
      <x v="156"/>
    </i>
    <i r="1">
      <x v="14"/>
      <x v="176"/>
    </i>
    <i r="1">
      <x v="28"/>
      <x v="30"/>
    </i>
    <i r="1">
      <x v="31"/>
      <x v="50"/>
    </i>
    <i r="1">
      <x v="34"/>
      <x v="74"/>
    </i>
    <i>
      <x v="548"/>
      <x v="1"/>
      <x v="91"/>
    </i>
    <i r="1">
      <x v="4"/>
      <x v="111"/>
    </i>
    <i r="1">
      <x v="8"/>
      <x v="129"/>
    </i>
    <i r="1">
      <x v="11"/>
      <x v="155"/>
    </i>
    <i r="1">
      <x v="14"/>
      <x v="175"/>
    </i>
    <i r="1">
      <x v="28"/>
      <x v="29"/>
    </i>
    <i r="1">
      <x v="31"/>
      <x v="49"/>
    </i>
    <i r="1">
      <x v="34"/>
      <x v="73"/>
    </i>
    <i>
      <x v="549"/>
      <x v="1"/>
      <x v="90"/>
    </i>
    <i r="1">
      <x v="4"/>
      <x v="110"/>
    </i>
    <i r="1">
      <x v="8"/>
      <x v="128"/>
    </i>
    <i r="1">
      <x v="11"/>
      <x v="154"/>
    </i>
    <i r="1">
      <x v="14"/>
      <x v="174"/>
    </i>
    <i r="1">
      <x v="28"/>
      <x v="28"/>
    </i>
    <i r="1">
      <x v="31"/>
      <x v="48"/>
    </i>
    <i r="1">
      <x v="34"/>
      <x v="72"/>
    </i>
    <i>
      <x v="550"/>
      <x v="1"/>
      <x v="89"/>
    </i>
    <i r="1">
      <x v="4"/>
      <x v="109"/>
    </i>
    <i r="1">
      <x v="8"/>
      <x v="127"/>
    </i>
    <i r="1">
      <x v="11"/>
      <x v="153"/>
    </i>
    <i r="1">
      <x v="14"/>
      <x v="173"/>
    </i>
    <i r="1">
      <x v="28"/>
      <x v="27"/>
    </i>
    <i r="1">
      <x v="31"/>
      <x v="47"/>
    </i>
    <i r="1">
      <x v="34"/>
      <x v="71"/>
    </i>
    <i>
      <x v="551"/>
      <x v="1"/>
      <x v="88"/>
    </i>
    <i r="1">
      <x v="4"/>
      <x v="108"/>
    </i>
    <i r="1">
      <x v="8"/>
      <x v="126"/>
    </i>
    <i r="1">
      <x v="11"/>
      <x v="152"/>
    </i>
    <i r="1">
      <x v="14"/>
      <x v="172"/>
    </i>
    <i r="1">
      <x v="28"/>
      <x v="26"/>
    </i>
    <i r="1">
      <x v="31"/>
      <x v="46"/>
    </i>
    <i r="1">
      <x v="34"/>
      <x v="70"/>
    </i>
    <i>
      <x v="552"/>
      <x v="1"/>
      <x v="87"/>
    </i>
    <i r="1">
      <x v="4"/>
      <x v="107"/>
    </i>
    <i r="1">
      <x v="8"/>
      <x v="125"/>
    </i>
    <i r="1">
      <x v="11"/>
      <x v="151"/>
    </i>
    <i r="1">
      <x v="14"/>
      <x v="171"/>
    </i>
    <i r="1">
      <x v="28"/>
      <x v="25"/>
    </i>
    <i r="1">
      <x v="31"/>
      <x v="45"/>
    </i>
    <i r="1">
      <x v="34"/>
      <x v="69"/>
    </i>
    <i>
      <x v="553"/>
      <x v="1"/>
      <x v="86"/>
    </i>
    <i r="1">
      <x v="4"/>
      <x v="106"/>
    </i>
    <i r="1">
      <x v="8"/>
      <x v="124"/>
    </i>
    <i r="1">
      <x v="11"/>
      <x v="150"/>
    </i>
    <i r="1">
      <x v="14"/>
      <x v="170"/>
    </i>
    <i r="1">
      <x v="28"/>
      <x v="24"/>
    </i>
    <i r="1">
      <x v="31"/>
      <x v="44"/>
    </i>
    <i r="1">
      <x v="34"/>
      <x v="68"/>
    </i>
    <i>
      <x v="554"/>
      <x v="1"/>
      <x v="85"/>
    </i>
    <i r="1">
      <x v="4"/>
      <x v="105"/>
    </i>
    <i r="1">
      <x v="8"/>
      <x v="123"/>
    </i>
    <i r="1">
      <x v="11"/>
      <x v="149"/>
    </i>
    <i r="1">
      <x v="14"/>
      <x v="169"/>
    </i>
    <i r="1">
      <x v="17"/>
      <x v="188"/>
    </i>
    <i r="1">
      <x v="28"/>
      <x v="23"/>
    </i>
    <i r="1">
      <x v="31"/>
      <x v="43"/>
    </i>
    <i r="1">
      <x v="34"/>
      <x v="67"/>
    </i>
    <i>
      <x v="555"/>
      <x v="1"/>
      <x v="84"/>
    </i>
    <i r="1">
      <x v="4"/>
      <x v="104"/>
    </i>
    <i r="1">
      <x v="8"/>
      <x v="122"/>
    </i>
    <i r="1">
      <x v="11"/>
      <x v="148"/>
    </i>
    <i r="1">
      <x v="14"/>
      <x v="168"/>
    </i>
    <i r="1">
      <x v="17"/>
      <x v="187"/>
    </i>
    <i r="1">
      <x v="28"/>
      <x v="22"/>
    </i>
    <i r="1">
      <x v="31"/>
      <x v="42"/>
    </i>
    <i r="1">
      <x v="34"/>
      <x v="66"/>
    </i>
    <i>
      <x v="556"/>
      <x v="1"/>
      <x v="83"/>
    </i>
    <i r="1">
      <x v="4"/>
      <x v="103"/>
    </i>
    <i r="1">
      <x v="8"/>
      <x v="121"/>
    </i>
    <i r="1">
      <x v="11"/>
      <x v="147"/>
    </i>
    <i r="1">
      <x v="14"/>
      <x v="167"/>
    </i>
    <i r="1">
      <x v="17"/>
      <x v="186"/>
    </i>
    <i r="1">
      <x v="28"/>
      <x v="21"/>
    </i>
    <i r="1">
      <x v="31"/>
      <x v="41"/>
    </i>
    <i r="1">
      <x v="34"/>
      <x v="65"/>
    </i>
    <i>
      <x v="557"/>
      <x v="1"/>
      <x v="82"/>
    </i>
    <i r="1">
      <x v="4"/>
      <x v="102"/>
    </i>
    <i r="1">
      <x v="8"/>
      <x v="120"/>
    </i>
    <i r="1">
      <x v="11"/>
      <x v="146"/>
    </i>
    <i r="1">
      <x v="14"/>
      <x v="166"/>
    </i>
    <i r="1">
      <x v="17"/>
      <x v="185"/>
    </i>
    <i r="1">
      <x v="28"/>
      <x v="20"/>
    </i>
    <i r="1">
      <x v="31"/>
      <x v="40"/>
    </i>
    <i r="1">
      <x v="34"/>
      <x v="64"/>
    </i>
    <i>
      <x v="558"/>
      <x v="1"/>
      <x v="81"/>
    </i>
    <i r="1">
      <x v="4"/>
      <x v="101"/>
    </i>
    <i r="1">
      <x v="8"/>
      <x v="119"/>
    </i>
    <i r="1">
      <x v="11"/>
      <x v="145"/>
    </i>
    <i r="1">
      <x v="14"/>
      <x v="165"/>
    </i>
    <i r="1">
      <x v="17"/>
      <x v="184"/>
    </i>
    <i r="1">
      <x v="28"/>
      <x v="19"/>
    </i>
    <i r="1">
      <x v="31"/>
      <x v="39"/>
    </i>
    <i r="1">
      <x v="34"/>
      <x v="63"/>
    </i>
    <i>
      <x v="559"/>
      <x v="1"/>
      <x v="80"/>
    </i>
    <i r="1">
      <x v="4"/>
      <x v="100"/>
    </i>
    <i r="1">
      <x v="8"/>
      <x v="118"/>
    </i>
    <i r="1">
      <x v="11"/>
      <x v="144"/>
    </i>
    <i r="1">
      <x v="14"/>
      <x v="164"/>
    </i>
    <i r="1">
      <x v="17"/>
      <x v="183"/>
    </i>
    <i r="1">
      <x v="28"/>
      <x v="18"/>
    </i>
    <i r="1">
      <x v="31"/>
      <x v="38"/>
    </i>
    <i r="1">
      <x v="34"/>
      <x v="62"/>
    </i>
    <i>
      <x v="560"/>
      <x v="1"/>
      <x v="79"/>
    </i>
    <i r="1">
      <x v="4"/>
      <x v="99"/>
    </i>
    <i r="1">
      <x v="8"/>
      <x v="117"/>
    </i>
    <i r="1">
      <x v="11"/>
      <x v="143"/>
    </i>
    <i r="1">
      <x v="14"/>
      <x v="163"/>
    </i>
    <i r="1">
      <x v="17"/>
      <x v="182"/>
    </i>
    <i r="1">
      <x v="28"/>
      <x v="17"/>
    </i>
    <i r="1">
      <x v="31"/>
      <x v="37"/>
    </i>
    <i r="1">
      <x v="34"/>
      <x v="61"/>
    </i>
    <i>
      <x v="561"/>
      <x v="1"/>
      <x v="78"/>
    </i>
    <i r="1">
      <x v="4"/>
      <x v="98"/>
    </i>
    <i r="1">
      <x v="8"/>
      <x v="116"/>
    </i>
    <i r="1">
      <x v="11"/>
      <x v="142"/>
    </i>
    <i r="1">
      <x v="14"/>
      <x v="162"/>
    </i>
    <i r="1">
      <x v="17"/>
      <x v="181"/>
    </i>
    <i r="1">
      <x v="28"/>
      <x v="16"/>
    </i>
    <i r="1">
      <x v="31"/>
      <x v="36"/>
    </i>
    <i r="1">
      <x v="34"/>
      <x v="60"/>
    </i>
    <i>
      <x v="562"/>
      <x v="1"/>
      <x v="77"/>
    </i>
    <i r="1">
      <x v="4"/>
      <x v="97"/>
    </i>
    <i r="1">
      <x v="8"/>
      <x v="115"/>
    </i>
    <i r="1">
      <x v="11"/>
      <x v="141"/>
    </i>
    <i r="1">
      <x v="14"/>
      <x v="161"/>
    </i>
    <i r="1">
      <x v="17"/>
      <x v="180"/>
    </i>
    <i r="1">
      <x v="28"/>
      <x v="15"/>
    </i>
    <i r="1">
      <x v="31"/>
      <x v="35"/>
    </i>
    <i r="1">
      <x v="34"/>
      <x v="59"/>
    </i>
    <i>
      <x v="563"/>
      <x v="1"/>
      <x v="76"/>
    </i>
    <i r="1">
      <x v="4"/>
      <x v="96"/>
    </i>
    <i r="1">
      <x v="8"/>
      <x v="114"/>
    </i>
    <i r="1">
      <x v="11"/>
      <x v="140"/>
    </i>
    <i r="1">
      <x v="14"/>
      <x v="160"/>
    </i>
    <i r="1">
      <x v="17"/>
      <x v="179"/>
    </i>
    <i r="1">
      <x v="28"/>
      <x v="14"/>
    </i>
    <i r="1">
      <x v="31"/>
      <x v="34"/>
    </i>
    <i r="1">
      <x v="34"/>
      <x v="58"/>
    </i>
    <i>
      <x v="564"/>
      <x v="1"/>
      <x v="75"/>
    </i>
    <i r="1">
      <x v="4"/>
      <x v="95"/>
    </i>
    <i r="1">
      <x v="8"/>
      <x v="113"/>
    </i>
    <i r="1">
      <x v="11"/>
      <x v="139"/>
    </i>
    <i r="1">
      <x v="14"/>
      <x v="159"/>
    </i>
    <i r="1">
      <x v="17"/>
      <x v="178"/>
    </i>
    <i r="1">
      <x v="28"/>
      <x v="13"/>
    </i>
    <i r="1">
      <x v="31"/>
      <x v="33"/>
    </i>
    <i r="1">
      <x v="34"/>
      <x v="57"/>
    </i>
    <i>
      <x v="565"/>
      <x v="1"/>
      <x v="74"/>
    </i>
    <i r="1">
      <x v="4"/>
      <x v="94"/>
    </i>
    <i r="1">
      <x v="8"/>
      <x v="112"/>
    </i>
    <i r="1">
      <x v="11"/>
      <x v="138"/>
    </i>
    <i r="1">
      <x v="14"/>
      <x v="158"/>
    </i>
    <i r="1">
      <x v="17"/>
      <x v="177"/>
    </i>
    <i r="1">
      <x v="28"/>
      <x v="12"/>
    </i>
    <i r="1">
      <x v="31"/>
      <x v="32"/>
    </i>
    <i r="1">
      <x v="34"/>
      <x v="56"/>
    </i>
    <i>
      <x v="566"/>
      <x v="1"/>
      <x v="73"/>
    </i>
    <i r="1">
      <x v="4"/>
      <x v="93"/>
    </i>
    <i r="1">
      <x v="8"/>
      <x v="111"/>
    </i>
    <i r="1">
      <x v="11"/>
      <x v="137"/>
    </i>
    <i r="1">
      <x v="14"/>
      <x v="157"/>
    </i>
    <i r="1">
      <x v="17"/>
      <x v="176"/>
    </i>
    <i r="1">
      <x v="28"/>
      <x v="11"/>
    </i>
    <i r="1">
      <x v="31"/>
      <x v="31"/>
    </i>
    <i r="1">
      <x v="34"/>
      <x v="55"/>
    </i>
    <i>
      <x v="567"/>
      <x v="1"/>
      <x v="72"/>
    </i>
    <i r="1">
      <x v="4"/>
      <x v="92"/>
    </i>
    <i r="1">
      <x v="8"/>
      <x v="110"/>
    </i>
    <i r="1">
      <x v="11"/>
      <x v="136"/>
    </i>
    <i r="1">
      <x v="14"/>
      <x v="156"/>
    </i>
    <i r="1">
      <x v="17"/>
      <x v="175"/>
    </i>
    <i r="1">
      <x v="28"/>
      <x v="10"/>
    </i>
    <i r="1">
      <x v="31"/>
      <x v="30"/>
    </i>
    <i r="1">
      <x v="34"/>
      <x v="54"/>
    </i>
    <i>
      <x v="568"/>
      <x v="1"/>
      <x v="71"/>
    </i>
    <i r="1">
      <x v="4"/>
      <x v="91"/>
    </i>
    <i r="1">
      <x v="8"/>
      <x v="109"/>
    </i>
    <i r="1">
      <x v="11"/>
      <x v="135"/>
    </i>
    <i r="1">
      <x v="14"/>
      <x v="155"/>
    </i>
    <i r="1">
      <x v="17"/>
      <x v="174"/>
    </i>
    <i r="1">
      <x v="28"/>
      <x v="9"/>
    </i>
    <i r="1">
      <x v="31"/>
      <x v="29"/>
    </i>
    <i r="1">
      <x v="34"/>
      <x v="53"/>
    </i>
    <i>
      <x v="569"/>
      <x v="1"/>
      <x v="70"/>
    </i>
    <i r="1">
      <x v="4"/>
      <x v="90"/>
    </i>
    <i r="1">
      <x v="8"/>
      <x v="108"/>
    </i>
    <i r="1">
      <x v="11"/>
      <x v="134"/>
    </i>
    <i r="1">
      <x v="14"/>
      <x v="154"/>
    </i>
    <i r="1">
      <x v="17"/>
      <x v="173"/>
    </i>
    <i r="1">
      <x v="28"/>
      <x v="8"/>
    </i>
    <i r="1">
      <x v="31"/>
      <x v="28"/>
    </i>
    <i r="1">
      <x v="34"/>
      <x v="52"/>
    </i>
    <i>
      <x v="570"/>
      <x v="1"/>
      <x v="69"/>
    </i>
    <i r="1">
      <x v="4"/>
      <x v="89"/>
    </i>
    <i r="1">
      <x v="8"/>
      <x v="107"/>
    </i>
    <i r="1">
      <x v="11"/>
      <x v="133"/>
    </i>
    <i r="1">
      <x v="14"/>
      <x v="153"/>
    </i>
    <i r="1">
      <x v="17"/>
      <x v="172"/>
    </i>
    <i r="1">
      <x v="28"/>
      <x v="7"/>
    </i>
    <i r="1">
      <x v="31"/>
      <x v="27"/>
    </i>
    <i r="1">
      <x v="34"/>
      <x v="51"/>
    </i>
    <i>
      <x v="571"/>
      <x v="1"/>
      <x v="68"/>
    </i>
    <i r="1">
      <x v="4"/>
      <x v="88"/>
    </i>
    <i r="1">
      <x v="8"/>
      <x v="106"/>
    </i>
    <i r="1">
      <x v="11"/>
      <x v="132"/>
    </i>
    <i r="1">
      <x v="14"/>
      <x v="152"/>
    </i>
    <i r="1">
      <x v="17"/>
      <x v="171"/>
    </i>
    <i r="1">
      <x v="28"/>
      <x v="6"/>
    </i>
    <i r="1">
      <x v="31"/>
      <x v="26"/>
    </i>
    <i r="1">
      <x v="34"/>
      <x v="50"/>
    </i>
    <i>
      <x v="572"/>
      <x v="1"/>
      <x v="67"/>
    </i>
    <i r="1">
      <x v="4"/>
      <x v="87"/>
    </i>
    <i r="1">
      <x v="8"/>
      <x v="105"/>
    </i>
    <i r="1">
      <x v="11"/>
      <x v="131"/>
    </i>
    <i r="1">
      <x v="14"/>
      <x v="151"/>
    </i>
    <i r="1">
      <x v="17"/>
      <x v="170"/>
    </i>
    <i r="1">
      <x v="28"/>
      <x v="5"/>
    </i>
    <i r="1">
      <x v="31"/>
      <x v="25"/>
    </i>
    <i r="1">
      <x v="34"/>
      <x v="49"/>
    </i>
    <i>
      <x v="573"/>
      <x v="1"/>
      <x v="66"/>
    </i>
    <i r="1">
      <x v="4"/>
      <x v="86"/>
    </i>
    <i r="1">
      <x v="8"/>
      <x v="104"/>
    </i>
    <i r="1">
      <x v="11"/>
      <x v="130"/>
    </i>
    <i r="1">
      <x v="14"/>
      <x v="150"/>
    </i>
    <i r="1">
      <x v="17"/>
      <x v="169"/>
    </i>
    <i r="1">
      <x v="28"/>
      <x v="4"/>
    </i>
    <i r="1">
      <x v="31"/>
      <x v="24"/>
    </i>
    <i r="1">
      <x v="34"/>
      <x v="48"/>
    </i>
    <i>
      <x v="574"/>
      <x v="1"/>
      <x v="65"/>
    </i>
    <i r="1">
      <x v="4"/>
      <x v="85"/>
    </i>
    <i r="1">
      <x v="8"/>
      <x v="103"/>
    </i>
    <i r="1">
      <x v="11"/>
      <x v="129"/>
    </i>
    <i r="1">
      <x v="14"/>
      <x v="149"/>
    </i>
    <i r="1">
      <x v="17"/>
      <x v="168"/>
    </i>
    <i r="1">
      <x v="28"/>
      <x v="3"/>
    </i>
    <i r="1">
      <x v="31"/>
      <x v="23"/>
    </i>
    <i r="1">
      <x v="34"/>
      <x v="47"/>
    </i>
    <i>
      <x v="575"/>
      <x v="1"/>
      <x v="64"/>
    </i>
    <i r="1">
      <x v="4"/>
      <x v="84"/>
    </i>
    <i r="1">
      <x v="8"/>
      <x v="102"/>
    </i>
    <i r="1">
      <x v="11"/>
      <x v="128"/>
    </i>
    <i r="1">
      <x v="14"/>
      <x v="148"/>
    </i>
    <i r="1">
      <x v="17"/>
      <x v="167"/>
    </i>
    <i r="1">
      <x v="28"/>
      <x v="2"/>
    </i>
    <i r="1">
      <x v="31"/>
      <x v="22"/>
    </i>
    <i r="1">
      <x v="34"/>
      <x v="46"/>
    </i>
    <i>
      <x v="576"/>
      <x v="1"/>
      <x v="63"/>
    </i>
    <i r="1">
      <x v="4"/>
      <x v="83"/>
    </i>
    <i r="1">
      <x v="8"/>
      <x v="101"/>
    </i>
    <i r="1">
      <x v="11"/>
      <x v="127"/>
    </i>
    <i r="1">
      <x v="14"/>
      <x v="147"/>
    </i>
    <i r="1">
      <x v="17"/>
      <x v="166"/>
    </i>
    <i r="1">
      <x v="28"/>
      <x v="1"/>
    </i>
    <i r="1">
      <x v="31"/>
      <x v="21"/>
    </i>
    <i r="1">
      <x v="34"/>
      <x v="45"/>
    </i>
    <i>
      <x v="577"/>
      <x v="1"/>
      <x v="62"/>
    </i>
    <i r="1">
      <x v="4"/>
      <x v="82"/>
    </i>
    <i r="1">
      <x v="8"/>
      <x v="100"/>
    </i>
    <i r="1">
      <x v="11"/>
      <x v="126"/>
    </i>
    <i r="1">
      <x v="14"/>
      <x v="146"/>
    </i>
    <i r="1">
      <x v="17"/>
      <x v="165"/>
    </i>
    <i r="1">
      <x v="31"/>
      <x v="20"/>
    </i>
    <i r="1">
      <x v="34"/>
      <x v="44"/>
    </i>
    <i>
      <x v="578"/>
      <x v="1"/>
      <x v="61"/>
    </i>
    <i r="1">
      <x v="4"/>
      <x v="81"/>
    </i>
    <i r="1">
      <x v="8"/>
      <x v="99"/>
    </i>
    <i r="1">
      <x v="11"/>
      <x v="125"/>
    </i>
    <i r="1">
      <x v="14"/>
      <x v="145"/>
    </i>
    <i r="1">
      <x v="17"/>
      <x v="164"/>
    </i>
    <i r="1">
      <x v="31"/>
      <x v="19"/>
    </i>
    <i r="1">
      <x v="34"/>
      <x v="43"/>
    </i>
    <i>
      <x v="579"/>
      <x v="1"/>
      <x v="60"/>
    </i>
    <i r="1">
      <x v="4"/>
      <x v="80"/>
    </i>
    <i r="1">
      <x v="8"/>
      <x v="98"/>
    </i>
    <i r="1">
      <x v="11"/>
      <x v="124"/>
    </i>
    <i r="1">
      <x v="14"/>
      <x v="144"/>
    </i>
    <i r="1">
      <x v="17"/>
      <x v="163"/>
    </i>
    <i r="1">
      <x v="20"/>
      <x v="187"/>
    </i>
    <i r="1">
      <x v="31"/>
      <x v="18"/>
    </i>
    <i r="1">
      <x v="34"/>
      <x v="42"/>
    </i>
    <i>
      <x v="580"/>
      <x v="1"/>
      <x v="59"/>
    </i>
    <i r="1">
      <x v="4"/>
      <x v="79"/>
    </i>
    <i r="1">
      <x v="8"/>
      <x v="97"/>
    </i>
    <i r="1">
      <x v="11"/>
      <x v="123"/>
    </i>
    <i r="1">
      <x v="14"/>
      <x v="143"/>
    </i>
    <i r="1">
      <x v="17"/>
      <x v="162"/>
    </i>
    <i r="1">
      <x v="20"/>
      <x v="186"/>
    </i>
    <i r="1">
      <x v="31"/>
      <x v="17"/>
    </i>
    <i r="1">
      <x v="34"/>
      <x v="41"/>
    </i>
    <i>
      <x v="581"/>
      <x v="1"/>
      <x v="58"/>
    </i>
    <i r="1">
      <x v="4"/>
      <x v="78"/>
    </i>
    <i r="1">
      <x v="8"/>
      <x v="96"/>
    </i>
    <i r="1">
      <x v="11"/>
      <x v="122"/>
    </i>
    <i r="1">
      <x v="14"/>
      <x v="142"/>
    </i>
    <i r="1">
      <x v="17"/>
      <x v="161"/>
    </i>
    <i r="1">
      <x v="20"/>
      <x v="185"/>
    </i>
    <i r="1">
      <x v="31"/>
      <x v="16"/>
    </i>
    <i r="1">
      <x v="34"/>
      <x v="40"/>
    </i>
    <i>
      <x v="582"/>
      <x v="1"/>
      <x v="57"/>
    </i>
    <i r="1">
      <x v="4"/>
      <x v="77"/>
    </i>
    <i r="1">
      <x v="8"/>
      <x v="95"/>
    </i>
    <i r="1">
      <x v="11"/>
      <x v="121"/>
    </i>
    <i r="1">
      <x v="14"/>
      <x v="141"/>
    </i>
    <i r="1">
      <x v="17"/>
      <x v="160"/>
    </i>
    <i r="1">
      <x v="20"/>
      <x v="184"/>
    </i>
    <i r="1">
      <x v="31"/>
      <x v="15"/>
    </i>
    <i r="1">
      <x v="34"/>
      <x v="39"/>
    </i>
    <i>
      <x v="583"/>
      <x v="1"/>
      <x v="56"/>
    </i>
    <i r="1">
      <x v="4"/>
      <x v="76"/>
    </i>
    <i r="1">
      <x v="8"/>
      <x v="94"/>
    </i>
    <i r="1">
      <x v="11"/>
      <x v="120"/>
    </i>
    <i r="1">
      <x v="14"/>
      <x v="140"/>
    </i>
    <i r="1">
      <x v="17"/>
      <x v="159"/>
    </i>
    <i r="1">
      <x v="20"/>
      <x v="183"/>
    </i>
    <i r="1">
      <x v="31"/>
      <x v="14"/>
    </i>
    <i r="1">
      <x v="34"/>
      <x v="38"/>
    </i>
    <i>
      <x v="584"/>
      <x v="1"/>
      <x v="55"/>
    </i>
    <i r="1">
      <x v="4"/>
      <x v="75"/>
    </i>
    <i r="1">
      <x v="8"/>
      <x v="93"/>
    </i>
    <i r="1">
      <x v="11"/>
      <x v="119"/>
    </i>
    <i r="1">
      <x v="14"/>
      <x v="139"/>
    </i>
    <i r="1">
      <x v="17"/>
      <x v="158"/>
    </i>
    <i r="1">
      <x v="20"/>
      <x v="182"/>
    </i>
    <i r="1">
      <x v="31"/>
      <x v="13"/>
    </i>
    <i r="1">
      <x v="34"/>
      <x v="37"/>
    </i>
    <i>
      <x v="585"/>
      <x v="1"/>
      <x v="54"/>
    </i>
    <i r="1">
      <x v="4"/>
      <x v="74"/>
    </i>
    <i r="1">
      <x v="8"/>
      <x v="92"/>
    </i>
    <i r="1">
      <x v="11"/>
      <x v="118"/>
    </i>
    <i r="1">
      <x v="14"/>
      <x v="138"/>
    </i>
    <i r="1">
      <x v="17"/>
      <x v="157"/>
    </i>
    <i r="1">
      <x v="20"/>
      <x v="181"/>
    </i>
    <i r="1">
      <x v="31"/>
      <x v="12"/>
    </i>
    <i r="1">
      <x v="34"/>
      <x v="36"/>
    </i>
    <i>
      <x v="586"/>
      <x v="1"/>
      <x v="53"/>
    </i>
    <i r="1">
      <x v="4"/>
      <x v="73"/>
    </i>
    <i r="1">
      <x v="8"/>
      <x v="91"/>
    </i>
    <i r="1">
      <x v="11"/>
      <x v="117"/>
    </i>
    <i r="1">
      <x v="14"/>
      <x v="137"/>
    </i>
    <i r="1">
      <x v="17"/>
      <x v="156"/>
    </i>
    <i r="1">
      <x v="20"/>
      <x v="180"/>
    </i>
    <i r="1">
      <x v="31"/>
      <x v="11"/>
    </i>
    <i r="1">
      <x v="34"/>
      <x v="35"/>
    </i>
    <i>
      <x v="587"/>
      <x v="1"/>
      <x v="52"/>
    </i>
    <i r="1">
      <x v="4"/>
      <x v="72"/>
    </i>
    <i r="1">
      <x v="8"/>
      <x v="90"/>
    </i>
    <i r="1">
      <x v="11"/>
      <x v="116"/>
    </i>
    <i r="1">
      <x v="14"/>
      <x v="136"/>
    </i>
    <i r="1">
      <x v="17"/>
      <x v="155"/>
    </i>
    <i r="1">
      <x v="20"/>
      <x v="179"/>
    </i>
    <i r="1">
      <x v="31"/>
      <x v="10"/>
    </i>
    <i r="1">
      <x v="34"/>
      <x v="34"/>
    </i>
    <i>
      <x v="588"/>
      <x v="1"/>
      <x v="51"/>
    </i>
    <i r="1">
      <x v="4"/>
      <x v="71"/>
    </i>
    <i r="1">
      <x v="8"/>
      <x v="89"/>
    </i>
    <i r="1">
      <x v="11"/>
      <x v="115"/>
    </i>
    <i r="1">
      <x v="14"/>
      <x v="135"/>
    </i>
    <i r="1">
      <x v="17"/>
      <x v="154"/>
    </i>
    <i r="1">
      <x v="20"/>
      <x v="178"/>
    </i>
    <i r="1">
      <x v="31"/>
      <x v="9"/>
    </i>
    <i r="1">
      <x v="34"/>
      <x v="33"/>
    </i>
    <i>
      <x v="589"/>
      <x v="1"/>
      <x v="50"/>
    </i>
    <i r="1">
      <x v="4"/>
      <x v="70"/>
    </i>
    <i r="1">
      <x v="8"/>
      <x v="88"/>
    </i>
    <i r="1">
      <x v="11"/>
      <x v="114"/>
    </i>
    <i r="1">
      <x v="14"/>
      <x v="134"/>
    </i>
    <i r="1">
      <x v="17"/>
      <x v="153"/>
    </i>
    <i r="1">
      <x v="20"/>
      <x v="177"/>
    </i>
    <i r="1">
      <x v="31"/>
      <x v="8"/>
    </i>
    <i r="1">
      <x v="34"/>
      <x v="32"/>
    </i>
    <i>
      <x v="590"/>
      <x v="1"/>
      <x v="49"/>
    </i>
    <i r="1">
      <x v="4"/>
      <x v="69"/>
    </i>
    <i r="1">
      <x v="8"/>
      <x v="87"/>
    </i>
    <i r="1">
      <x v="11"/>
      <x v="113"/>
    </i>
    <i r="1">
      <x v="14"/>
      <x v="133"/>
    </i>
    <i r="1">
      <x v="17"/>
      <x v="152"/>
    </i>
    <i r="1">
      <x v="20"/>
      <x v="176"/>
    </i>
    <i r="1">
      <x v="31"/>
      <x v="7"/>
    </i>
    <i r="1">
      <x v="34"/>
      <x v="31"/>
    </i>
    <i>
      <x v="591"/>
      <x v="1"/>
      <x v="48"/>
    </i>
    <i r="1">
      <x v="4"/>
      <x v="68"/>
    </i>
    <i r="1">
      <x v="8"/>
      <x v="86"/>
    </i>
    <i r="1">
      <x v="11"/>
      <x v="112"/>
    </i>
    <i r="1">
      <x v="14"/>
      <x v="132"/>
    </i>
    <i r="1">
      <x v="17"/>
      <x v="151"/>
    </i>
    <i r="1">
      <x v="20"/>
      <x v="175"/>
    </i>
    <i r="1">
      <x v="31"/>
      <x v="6"/>
    </i>
    <i r="1">
      <x v="34"/>
      <x v="30"/>
    </i>
    <i>
      <x v="592"/>
      <x v="1"/>
      <x v="47"/>
    </i>
    <i r="1">
      <x v="4"/>
      <x v="67"/>
    </i>
    <i r="1">
      <x v="8"/>
      <x v="85"/>
    </i>
    <i r="1">
      <x v="11"/>
      <x v="111"/>
    </i>
    <i r="1">
      <x v="14"/>
      <x v="131"/>
    </i>
    <i r="1">
      <x v="17"/>
      <x v="150"/>
    </i>
    <i r="1">
      <x v="20"/>
      <x v="174"/>
    </i>
    <i r="1">
      <x v="31"/>
      <x v="5"/>
    </i>
    <i r="1">
      <x v="34"/>
      <x v="29"/>
    </i>
    <i>
      <x v="593"/>
      <x v="1"/>
      <x v="46"/>
    </i>
    <i r="1">
      <x v="4"/>
      <x v="66"/>
    </i>
    <i r="1">
      <x v="8"/>
      <x v="84"/>
    </i>
    <i r="1">
      <x v="11"/>
      <x v="110"/>
    </i>
    <i r="1">
      <x v="14"/>
      <x v="130"/>
    </i>
    <i r="1">
      <x v="17"/>
      <x v="149"/>
    </i>
    <i r="1">
      <x v="20"/>
      <x v="173"/>
    </i>
    <i r="1">
      <x v="31"/>
      <x v="4"/>
    </i>
    <i r="1">
      <x v="34"/>
      <x v="28"/>
    </i>
    <i>
      <x v="594"/>
      <x v="1"/>
      <x v="45"/>
    </i>
    <i r="1">
      <x v="4"/>
      <x v="65"/>
    </i>
    <i r="1">
      <x v="8"/>
      <x v="83"/>
    </i>
    <i r="1">
      <x v="11"/>
      <x v="109"/>
    </i>
    <i r="1">
      <x v="14"/>
      <x v="129"/>
    </i>
    <i r="1">
      <x v="17"/>
      <x v="148"/>
    </i>
    <i r="1">
      <x v="20"/>
      <x v="172"/>
    </i>
    <i r="1">
      <x v="31"/>
      <x v="3"/>
    </i>
    <i r="1">
      <x v="34"/>
      <x v="27"/>
    </i>
    <i>
      <x v="595"/>
      <x v="1"/>
      <x v="44"/>
    </i>
    <i r="1">
      <x v="4"/>
      <x v="64"/>
    </i>
    <i r="1">
      <x v="8"/>
      <x v="82"/>
    </i>
    <i r="1">
      <x v="11"/>
      <x v="108"/>
    </i>
    <i r="1">
      <x v="14"/>
      <x v="128"/>
    </i>
    <i r="1">
      <x v="17"/>
      <x v="147"/>
    </i>
    <i r="1">
      <x v="20"/>
      <x v="171"/>
    </i>
    <i r="1">
      <x v="31"/>
      <x v="2"/>
    </i>
    <i r="1">
      <x v="34"/>
      <x v="26"/>
    </i>
    <i>
      <x v="596"/>
      <x v="1"/>
      <x v="43"/>
    </i>
    <i r="1">
      <x v="4"/>
      <x v="63"/>
    </i>
    <i r="1">
      <x v="8"/>
      <x v="81"/>
    </i>
    <i r="1">
      <x v="11"/>
      <x v="107"/>
    </i>
    <i r="1">
      <x v="14"/>
      <x v="127"/>
    </i>
    <i r="1">
      <x v="17"/>
      <x v="146"/>
    </i>
    <i r="1">
      <x v="20"/>
      <x v="170"/>
    </i>
    <i r="1">
      <x v="31"/>
      <x v="1"/>
    </i>
    <i r="1">
      <x v="34"/>
      <x v="25"/>
    </i>
    <i>
      <x v="597"/>
      <x v="1"/>
      <x v="42"/>
    </i>
    <i r="1">
      <x v="4"/>
      <x v="62"/>
    </i>
    <i r="1">
      <x v="8"/>
      <x v="80"/>
    </i>
    <i r="1">
      <x v="11"/>
      <x v="106"/>
    </i>
    <i r="1">
      <x v="14"/>
      <x v="126"/>
    </i>
    <i r="1">
      <x v="17"/>
      <x v="145"/>
    </i>
    <i r="1">
      <x v="20"/>
      <x v="169"/>
    </i>
    <i r="1">
      <x v="34"/>
      <x v="24"/>
    </i>
    <i>
      <x v="598"/>
      <x v="1"/>
      <x v="41"/>
    </i>
    <i r="1">
      <x v="4"/>
      <x v="61"/>
    </i>
    <i r="1">
      <x v="8"/>
      <x v="79"/>
    </i>
    <i r="1">
      <x v="11"/>
      <x v="105"/>
    </i>
    <i r="1">
      <x v="14"/>
      <x v="125"/>
    </i>
    <i r="1">
      <x v="17"/>
      <x v="144"/>
    </i>
    <i r="1">
      <x v="20"/>
      <x v="168"/>
    </i>
    <i r="1">
      <x v="34"/>
      <x v="23"/>
    </i>
    <i>
      <x v="599"/>
      <x v="1"/>
      <x v="40"/>
    </i>
    <i r="1">
      <x v="4"/>
      <x v="60"/>
    </i>
    <i r="1">
      <x v="8"/>
      <x v="78"/>
    </i>
    <i r="1">
      <x v="11"/>
      <x v="104"/>
    </i>
    <i r="1">
      <x v="14"/>
      <x v="124"/>
    </i>
    <i r="1">
      <x v="17"/>
      <x v="143"/>
    </i>
    <i r="1">
      <x v="20"/>
      <x v="167"/>
    </i>
    <i r="1">
      <x v="23"/>
      <x v="187"/>
    </i>
    <i r="1">
      <x v="34"/>
      <x v="22"/>
    </i>
    <i>
      <x v="600"/>
      <x v="1"/>
      <x v="39"/>
    </i>
    <i r="1">
      <x v="4"/>
      <x v="59"/>
    </i>
    <i r="1">
      <x v="8"/>
      <x v="77"/>
    </i>
    <i r="1">
      <x v="11"/>
      <x v="103"/>
    </i>
    <i r="1">
      <x v="14"/>
      <x v="123"/>
    </i>
    <i r="1">
      <x v="17"/>
      <x v="142"/>
    </i>
    <i r="1">
      <x v="20"/>
      <x v="166"/>
    </i>
    <i r="1">
      <x v="23"/>
      <x v="186"/>
    </i>
    <i r="1">
      <x v="34"/>
      <x v="21"/>
    </i>
    <i>
      <x v="601"/>
      <x v="1"/>
      <x v="38"/>
    </i>
    <i r="1">
      <x v="4"/>
      <x v="58"/>
    </i>
    <i r="1">
      <x v="8"/>
      <x v="76"/>
    </i>
    <i r="1">
      <x v="11"/>
      <x v="102"/>
    </i>
    <i r="1">
      <x v="14"/>
      <x v="122"/>
    </i>
    <i r="1">
      <x v="17"/>
      <x v="141"/>
    </i>
    <i r="1">
      <x v="20"/>
      <x v="165"/>
    </i>
    <i r="1">
      <x v="23"/>
      <x v="185"/>
    </i>
    <i r="1">
      <x v="34"/>
      <x v="20"/>
    </i>
    <i>
      <x v="602"/>
      <x v="1"/>
      <x v="37"/>
    </i>
    <i r="1">
      <x v="4"/>
      <x v="57"/>
    </i>
    <i r="1">
      <x v="8"/>
      <x v="75"/>
    </i>
    <i r="1">
      <x v="11"/>
      <x v="101"/>
    </i>
    <i r="1">
      <x v="14"/>
      <x v="121"/>
    </i>
    <i r="1">
      <x v="17"/>
      <x v="140"/>
    </i>
    <i r="1">
      <x v="20"/>
      <x v="164"/>
    </i>
    <i r="1">
      <x v="23"/>
      <x v="184"/>
    </i>
    <i r="1">
      <x v="34"/>
      <x v="19"/>
    </i>
    <i>
      <x v="603"/>
      <x v="1"/>
      <x v="36"/>
    </i>
    <i r="1">
      <x v="4"/>
      <x v="56"/>
    </i>
    <i r="1">
      <x v="8"/>
      <x v="74"/>
    </i>
    <i r="1">
      <x v="11"/>
      <x v="100"/>
    </i>
    <i r="1">
      <x v="14"/>
      <x v="120"/>
    </i>
    <i r="1">
      <x v="17"/>
      <x v="139"/>
    </i>
    <i r="1">
      <x v="20"/>
      <x v="163"/>
    </i>
    <i r="1">
      <x v="23"/>
      <x v="183"/>
    </i>
    <i r="1">
      <x v="34"/>
      <x v="18"/>
    </i>
    <i>
      <x v="604"/>
      <x v="1"/>
      <x v="35"/>
    </i>
    <i r="1">
      <x v="4"/>
      <x v="55"/>
    </i>
    <i r="1">
      <x v="8"/>
      <x v="73"/>
    </i>
    <i r="1">
      <x v="11"/>
      <x v="99"/>
    </i>
    <i r="1">
      <x v="14"/>
      <x v="119"/>
    </i>
    <i r="1">
      <x v="17"/>
      <x v="138"/>
    </i>
    <i r="1">
      <x v="20"/>
      <x v="162"/>
    </i>
    <i r="1">
      <x v="23"/>
      <x v="182"/>
    </i>
    <i r="1">
      <x v="34"/>
      <x v="17"/>
    </i>
    <i>
      <x v="605"/>
      <x v="1"/>
      <x v="34"/>
    </i>
    <i r="1">
      <x v="4"/>
      <x v="54"/>
    </i>
    <i r="1">
      <x v="8"/>
      <x v="72"/>
    </i>
    <i r="1">
      <x v="11"/>
      <x v="98"/>
    </i>
    <i r="1">
      <x v="14"/>
      <x v="118"/>
    </i>
    <i r="1">
      <x v="17"/>
      <x v="137"/>
    </i>
    <i r="1">
      <x v="20"/>
      <x v="161"/>
    </i>
    <i r="1">
      <x v="23"/>
      <x v="181"/>
    </i>
    <i r="1">
      <x v="34"/>
      <x v="16"/>
    </i>
    <i>
      <x v="606"/>
      <x v="1"/>
      <x v="33"/>
    </i>
    <i r="1">
      <x v="4"/>
      <x v="53"/>
    </i>
    <i r="1">
      <x v="8"/>
      <x v="71"/>
    </i>
    <i r="1">
      <x v="11"/>
      <x v="97"/>
    </i>
    <i r="1">
      <x v="14"/>
      <x v="117"/>
    </i>
    <i r="1">
      <x v="17"/>
      <x v="136"/>
    </i>
    <i r="1">
      <x v="20"/>
      <x v="160"/>
    </i>
    <i r="1">
      <x v="23"/>
      <x v="180"/>
    </i>
    <i r="1">
      <x v="34"/>
      <x v="15"/>
    </i>
    <i>
      <x v="607"/>
      <x v="1"/>
      <x v="32"/>
    </i>
    <i r="1">
      <x v="4"/>
      <x v="52"/>
    </i>
    <i r="1">
      <x v="8"/>
      <x v="70"/>
    </i>
    <i r="1">
      <x v="11"/>
      <x v="96"/>
    </i>
    <i r="1">
      <x v="14"/>
      <x v="116"/>
    </i>
    <i r="1">
      <x v="17"/>
      <x v="135"/>
    </i>
    <i r="1">
      <x v="20"/>
      <x v="159"/>
    </i>
    <i r="1">
      <x v="23"/>
      <x v="179"/>
    </i>
    <i r="1">
      <x v="34"/>
      <x v="14"/>
    </i>
    <i>
      <x v="608"/>
      <x v="1"/>
      <x v="31"/>
    </i>
    <i r="1">
      <x v="4"/>
      <x v="51"/>
    </i>
    <i r="1">
      <x v="8"/>
      <x v="69"/>
    </i>
    <i r="1">
      <x v="11"/>
      <x v="95"/>
    </i>
    <i r="1">
      <x v="14"/>
      <x v="115"/>
    </i>
    <i r="1">
      <x v="17"/>
      <x v="134"/>
    </i>
    <i r="1">
      <x v="20"/>
      <x v="158"/>
    </i>
    <i r="1">
      <x v="23"/>
      <x v="178"/>
    </i>
    <i r="1">
      <x v="34"/>
      <x v="13"/>
    </i>
    <i>
      <x v="609"/>
      <x v="1"/>
      <x v="30"/>
    </i>
    <i r="1">
      <x v="4"/>
      <x v="50"/>
    </i>
    <i r="1">
      <x v="8"/>
      <x v="68"/>
    </i>
    <i r="1">
      <x v="11"/>
      <x v="94"/>
    </i>
    <i r="1">
      <x v="14"/>
      <x v="114"/>
    </i>
    <i r="1">
      <x v="17"/>
      <x v="133"/>
    </i>
    <i r="1">
      <x v="20"/>
      <x v="157"/>
    </i>
    <i r="1">
      <x v="23"/>
      <x v="177"/>
    </i>
    <i r="1">
      <x v="34"/>
      <x v="12"/>
    </i>
    <i>
      <x v="610"/>
      <x v="1"/>
      <x v="29"/>
    </i>
    <i r="1">
      <x v="4"/>
      <x v="49"/>
    </i>
    <i r="1">
      <x v="8"/>
      <x v="67"/>
    </i>
    <i r="1">
      <x v="11"/>
      <x v="93"/>
    </i>
    <i r="1">
      <x v="14"/>
      <x v="113"/>
    </i>
    <i r="1">
      <x v="17"/>
      <x v="132"/>
    </i>
    <i r="1">
      <x v="20"/>
      <x v="156"/>
    </i>
    <i r="1">
      <x v="23"/>
      <x v="176"/>
    </i>
    <i r="1">
      <x v="34"/>
      <x v="11"/>
    </i>
    <i>
      <x v="611"/>
      <x v="1"/>
      <x v="28"/>
    </i>
    <i r="1">
      <x v="4"/>
      <x v="48"/>
    </i>
    <i r="1">
      <x v="8"/>
      <x v="66"/>
    </i>
    <i r="1">
      <x v="11"/>
      <x v="92"/>
    </i>
    <i r="1">
      <x v="14"/>
      <x v="112"/>
    </i>
    <i r="1">
      <x v="17"/>
      <x v="131"/>
    </i>
    <i r="1">
      <x v="20"/>
      <x v="155"/>
    </i>
    <i r="1">
      <x v="23"/>
      <x v="175"/>
    </i>
    <i r="1">
      <x v="34"/>
      <x v="10"/>
    </i>
    <i>
      <x v="612"/>
      <x v="1"/>
      <x v="27"/>
    </i>
    <i r="1">
      <x v="4"/>
      <x v="47"/>
    </i>
    <i r="1">
      <x v="8"/>
      <x v="65"/>
    </i>
    <i r="1">
      <x v="11"/>
      <x v="91"/>
    </i>
    <i r="1">
      <x v="14"/>
      <x v="111"/>
    </i>
    <i r="1">
      <x v="17"/>
      <x v="130"/>
    </i>
    <i r="1">
      <x v="20"/>
      <x v="154"/>
    </i>
    <i r="1">
      <x v="23"/>
      <x v="174"/>
    </i>
    <i r="1">
      <x v="34"/>
      <x v="9"/>
    </i>
    <i>
      <x v="613"/>
      <x v="1"/>
      <x v="26"/>
    </i>
    <i r="1">
      <x v="4"/>
      <x v="46"/>
    </i>
    <i r="1">
      <x v="8"/>
      <x v="64"/>
    </i>
    <i r="1">
      <x v="11"/>
      <x v="90"/>
    </i>
    <i r="1">
      <x v="14"/>
      <x v="110"/>
    </i>
    <i r="1">
      <x v="17"/>
      <x v="129"/>
    </i>
    <i r="1">
      <x v="20"/>
      <x v="153"/>
    </i>
    <i r="1">
      <x v="23"/>
      <x v="173"/>
    </i>
    <i r="1">
      <x v="34"/>
      <x v="8"/>
    </i>
    <i>
      <x v="614"/>
      <x v="1"/>
      <x v="25"/>
    </i>
    <i r="1">
      <x v="4"/>
      <x v="45"/>
    </i>
    <i r="1">
      <x v="8"/>
      <x v="63"/>
    </i>
    <i r="1">
      <x v="11"/>
      <x v="89"/>
    </i>
    <i r="1">
      <x v="14"/>
      <x v="109"/>
    </i>
    <i r="1">
      <x v="17"/>
      <x v="128"/>
    </i>
    <i r="1">
      <x v="20"/>
      <x v="152"/>
    </i>
    <i r="1">
      <x v="23"/>
      <x v="172"/>
    </i>
    <i r="1">
      <x v="34"/>
      <x v="7"/>
    </i>
    <i>
      <x v="615"/>
      <x v="1"/>
      <x v="24"/>
    </i>
    <i r="1">
      <x v="4"/>
      <x v="44"/>
    </i>
    <i r="1">
      <x v="8"/>
      <x v="62"/>
    </i>
    <i r="1">
      <x v="11"/>
      <x v="88"/>
    </i>
    <i r="1">
      <x v="14"/>
      <x v="108"/>
    </i>
    <i r="1">
      <x v="17"/>
      <x v="127"/>
    </i>
    <i r="1">
      <x v="20"/>
      <x v="151"/>
    </i>
    <i r="1">
      <x v="23"/>
      <x v="171"/>
    </i>
    <i r="1">
      <x v="34"/>
      <x v="6"/>
    </i>
    <i>
      <x v="616"/>
      <x v="1"/>
      <x v="23"/>
    </i>
    <i r="1">
      <x v="4"/>
      <x v="43"/>
    </i>
    <i r="1">
      <x v="8"/>
      <x v="61"/>
    </i>
    <i r="1">
      <x v="11"/>
      <x v="87"/>
    </i>
    <i r="1">
      <x v="14"/>
      <x v="107"/>
    </i>
    <i r="1">
      <x v="17"/>
      <x v="126"/>
    </i>
    <i r="1">
      <x v="20"/>
      <x v="150"/>
    </i>
    <i r="1">
      <x v="23"/>
      <x v="170"/>
    </i>
    <i r="1">
      <x v="34"/>
      <x v="5"/>
    </i>
    <i>
      <x v="617"/>
      <x v="1"/>
      <x v="22"/>
    </i>
    <i r="1">
      <x v="4"/>
      <x v="42"/>
    </i>
    <i r="1">
      <x v="8"/>
      <x v="60"/>
    </i>
    <i r="1">
      <x v="11"/>
      <x v="86"/>
    </i>
    <i r="1">
      <x v="14"/>
      <x v="106"/>
    </i>
    <i r="1">
      <x v="17"/>
      <x v="125"/>
    </i>
    <i r="1">
      <x v="20"/>
      <x v="149"/>
    </i>
    <i r="1">
      <x v="23"/>
      <x v="169"/>
    </i>
    <i r="1">
      <x v="34"/>
      <x v="4"/>
    </i>
    <i>
      <x v="618"/>
      <x v="1"/>
      <x v="21"/>
    </i>
    <i r="1">
      <x v="4"/>
      <x v="41"/>
    </i>
    <i r="1">
      <x v="8"/>
      <x v="59"/>
    </i>
    <i r="1">
      <x v="11"/>
      <x v="85"/>
    </i>
    <i r="1">
      <x v="14"/>
      <x v="105"/>
    </i>
    <i r="1">
      <x v="17"/>
      <x v="124"/>
    </i>
    <i r="1">
      <x v="20"/>
      <x v="148"/>
    </i>
    <i r="1">
      <x v="23"/>
      <x v="168"/>
    </i>
    <i r="1">
      <x v="34"/>
      <x v="3"/>
    </i>
    <i>
      <x v="619"/>
      <x v="1"/>
      <x v="20"/>
    </i>
    <i r="1">
      <x v="4"/>
      <x v="40"/>
    </i>
    <i r="1">
      <x v="8"/>
      <x v="58"/>
    </i>
    <i r="1">
      <x v="11"/>
      <x v="84"/>
    </i>
    <i r="1">
      <x v="14"/>
      <x v="104"/>
    </i>
    <i r="1">
      <x v="17"/>
      <x v="123"/>
    </i>
    <i r="1">
      <x v="20"/>
      <x v="147"/>
    </i>
    <i r="1">
      <x v="23"/>
      <x v="167"/>
    </i>
    <i r="1">
      <x v="34"/>
      <x v="2"/>
    </i>
    <i>
      <x v="620"/>
      <x v="1"/>
      <x v="19"/>
    </i>
    <i r="1">
      <x v="4"/>
      <x v="39"/>
    </i>
    <i r="1">
      <x v="8"/>
      <x v="57"/>
    </i>
    <i r="1">
      <x v="11"/>
      <x v="83"/>
    </i>
    <i r="1">
      <x v="14"/>
      <x v="103"/>
    </i>
    <i r="1">
      <x v="17"/>
      <x v="122"/>
    </i>
    <i r="1">
      <x v="20"/>
      <x v="146"/>
    </i>
    <i r="1">
      <x v="23"/>
      <x v="166"/>
    </i>
    <i r="1">
      <x v="34"/>
      <x v="1"/>
    </i>
    <i>
      <x v="621"/>
      <x v="1"/>
      <x v="18"/>
    </i>
    <i r="1">
      <x v="4"/>
      <x v="38"/>
    </i>
    <i r="1">
      <x v="8"/>
      <x v="56"/>
    </i>
    <i r="1">
      <x v="11"/>
      <x v="82"/>
    </i>
    <i r="1">
      <x v="14"/>
      <x v="102"/>
    </i>
    <i r="1">
      <x v="17"/>
      <x v="121"/>
    </i>
    <i r="1">
      <x v="20"/>
      <x v="145"/>
    </i>
    <i r="1">
      <x v="23"/>
      <x v="165"/>
    </i>
    <i>
      <x v="622"/>
      <x v="1"/>
      <x v="16"/>
    </i>
    <i r="1">
      <x v="4"/>
      <x v="36"/>
    </i>
    <i r="1">
      <x v="8"/>
      <x v="54"/>
    </i>
    <i r="1">
      <x v="11"/>
      <x v="80"/>
    </i>
    <i r="1">
      <x v="14"/>
      <x v="100"/>
    </i>
    <i r="1">
      <x v="17"/>
      <x v="119"/>
    </i>
    <i r="1">
      <x v="20"/>
      <x v="143"/>
    </i>
    <i r="1">
      <x v="23"/>
      <x v="163"/>
    </i>
    <i r="1">
      <x v="26"/>
      <x v="187"/>
    </i>
    <i>
      <x v="623"/>
      <x v="1"/>
      <x v="16"/>
    </i>
    <i r="1">
      <x v="4"/>
      <x v="36"/>
    </i>
    <i r="1">
      <x v="8"/>
      <x v="54"/>
    </i>
    <i r="1">
      <x v="11"/>
      <x v="80"/>
    </i>
    <i r="1">
      <x v="14"/>
      <x v="100"/>
    </i>
    <i r="1">
      <x v="17"/>
      <x v="119"/>
    </i>
    <i r="1">
      <x v="20"/>
      <x v="143"/>
    </i>
    <i r="1">
      <x v="23"/>
      <x v="163"/>
    </i>
    <i r="1">
      <x v="26"/>
      <x v="187"/>
    </i>
    <i>
      <x v="624"/>
      <x v="1"/>
      <x v="15"/>
    </i>
    <i r="1">
      <x v="4"/>
      <x v="35"/>
    </i>
    <i r="1">
      <x v="8"/>
      <x v="53"/>
    </i>
    <i r="1">
      <x v="11"/>
      <x v="79"/>
    </i>
    <i r="1">
      <x v="14"/>
      <x v="99"/>
    </i>
    <i r="1">
      <x v="17"/>
      <x v="118"/>
    </i>
    <i r="1">
      <x v="20"/>
      <x v="142"/>
    </i>
    <i r="1">
      <x v="23"/>
      <x v="162"/>
    </i>
    <i r="1">
      <x v="26"/>
      <x v="186"/>
    </i>
    <i>
      <x v="625"/>
      <x v="1"/>
      <x v="14"/>
    </i>
    <i r="1">
      <x v="4"/>
      <x v="34"/>
    </i>
    <i r="1">
      <x v="8"/>
      <x v="52"/>
    </i>
    <i r="1">
      <x v="11"/>
      <x v="78"/>
    </i>
    <i r="1">
      <x v="14"/>
      <x v="98"/>
    </i>
    <i r="1">
      <x v="17"/>
      <x v="117"/>
    </i>
    <i r="1">
      <x v="20"/>
      <x v="141"/>
    </i>
    <i r="1">
      <x v="23"/>
      <x v="161"/>
    </i>
    <i r="1">
      <x v="26"/>
      <x v="185"/>
    </i>
    <i>
      <x v="626"/>
      <x v="1"/>
      <x v="13"/>
    </i>
    <i r="1">
      <x v="4"/>
      <x v="33"/>
    </i>
    <i r="1">
      <x v="8"/>
      <x v="51"/>
    </i>
    <i r="1">
      <x v="11"/>
      <x v="77"/>
    </i>
    <i r="1">
      <x v="14"/>
      <x v="97"/>
    </i>
    <i r="1">
      <x v="17"/>
      <x v="116"/>
    </i>
    <i r="1">
      <x v="20"/>
      <x v="140"/>
    </i>
    <i r="1">
      <x v="23"/>
      <x v="160"/>
    </i>
    <i r="1">
      <x v="26"/>
      <x v="184"/>
    </i>
    <i>
      <x v="627"/>
      <x v="1"/>
      <x v="12"/>
    </i>
    <i r="1">
      <x v="4"/>
      <x v="32"/>
    </i>
    <i r="1">
      <x v="8"/>
      <x v="50"/>
    </i>
    <i r="1">
      <x v="11"/>
      <x v="76"/>
    </i>
    <i r="1">
      <x v="14"/>
      <x v="96"/>
    </i>
    <i r="1">
      <x v="17"/>
      <x v="115"/>
    </i>
    <i r="1">
      <x v="20"/>
      <x v="139"/>
    </i>
    <i r="1">
      <x v="23"/>
      <x v="159"/>
    </i>
    <i r="1">
      <x v="26"/>
      <x v="183"/>
    </i>
    <i>
      <x v="628"/>
      <x v="1"/>
      <x v="11"/>
    </i>
    <i r="1">
      <x v="4"/>
      <x v="31"/>
    </i>
    <i r="1">
      <x v="8"/>
      <x v="49"/>
    </i>
    <i r="1">
      <x v="11"/>
      <x v="75"/>
    </i>
    <i r="1">
      <x v="14"/>
      <x v="95"/>
    </i>
    <i r="1">
      <x v="17"/>
      <x v="114"/>
    </i>
    <i r="1">
      <x v="20"/>
      <x v="138"/>
    </i>
    <i r="1">
      <x v="23"/>
      <x v="158"/>
    </i>
    <i r="1">
      <x v="26"/>
      <x v="182"/>
    </i>
    <i>
      <x v="629"/>
      <x v="1"/>
      <x v="10"/>
    </i>
    <i r="1">
      <x v="4"/>
      <x v="30"/>
    </i>
    <i r="1">
      <x v="8"/>
      <x v="48"/>
    </i>
    <i r="1">
      <x v="11"/>
      <x v="74"/>
    </i>
    <i r="1">
      <x v="14"/>
      <x v="94"/>
    </i>
    <i r="1">
      <x v="17"/>
      <x v="113"/>
    </i>
    <i r="1">
      <x v="20"/>
      <x v="137"/>
    </i>
    <i r="1">
      <x v="23"/>
      <x v="157"/>
    </i>
    <i r="1">
      <x v="26"/>
      <x v="181"/>
    </i>
    <i>
      <x v="630"/>
      <x v="1"/>
      <x v="9"/>
    </i>
    <i r="1">
      <x v="4"/>
      <x v="29"/>
    </i>
    <i r="1">
      <x v="8"/>
      <x v="47"/>
    </i>
    <i r="1">
      <x v="11"/>
      <x v="73"/>
    </i>
    <i r="1">
      <x v="14"/>
      <x v="93"/>
    </i>
    <i r="1">
      <x v="17"/>
      <x v="112"/>
    </i>
    <i r="1">
      <x v="20"/>
      <x v="136"/>
    </i>
    <i r="1">
      <x v="23"/>
      <x v="156"/>
    </i>
    <i r="1">
      <x v="26"/>
      <x v="180"/>
    </i>
    <i>
      <x v="631"/>
      <x v="1"/>
      <x v="8"/>
    </i>
    <i r="1">
      <x v="4"/>
      <x v="28"/>
    </i>
    <i r="1">
      <x v="8"/>
      <x v="46"/>
    </i>
    <i r="1">
      <x v="11"/>
      <x v="72"/>
    </i>
    <i r="1">
      <x v="14"/>
      <x v="92"/>
    </i>
    <i r="1">
      <x v="17"/>
      <x v="111"/>
    </i>
    <i r="1">
      <x v="20"/>
      <x v="135"/>
    </i>
    <i r="1">
      <x v="23"/>
      <x v="155"/>
    </i>
    <i r="1">
      <x v="26"/>
      <x v="179"/>
    </i>
    <i>
      <x v="632"/>
      <x v="1"/>
      <x v="7"/>
    </i>
    <i r="1">
      <x v="4"/>
      <x v="27"/>
    </i>
    <i r="1">
      <x v="8"/>
      <x v="45"/>
    </i>
    <i r="1">
      <x v="11"/>
      <x v="71"/>
    </i>
    <i r="1">
      <x v="14"/>
      <x v="91"/>
    </i>
    <i r="1">
      <x v="17"/>
      <x v="110"/>
    </i>
    <i r="1">
      <x v="20"/>
      <x v="134"/>
    </i>
    <i r="1">
      <x v="23"/>
      <x v="154"/>
    </i>
    <i r="1">
      <x v="26"/>
      <x v="178"/>
    </i>
    <i>
      <x v="633"/>
      <x v="1"/>
      <x v="6"/>
    </i>
    <i r="1">
      <x v="4"/>
      <x v="26"/>
    </i>
    <i r="1">
      <x v="8"/>
      <x v="44"/>
    </i>
    <i r="1">
      <x v="11"/>
      <x v="70"/>
    </i>
    <i r="1">
      <x v="14"/>
      <x v="90"/>
    </i>
    <i r="1">
      <x v="17"/>
      <x v="109"/>
    </i>
    <i r="1">
      <x v="20"/>
      <x v="133"/>
    </i>
    <i r="1">
      <x v="23"/>
      <x v="153"/>
    </i>
    <i r="1">
      <x v="26"/>
      <x v="177"/>
    </i>
    <i>
      <x v="634"/>
      <x v="1"/>
      <x v="5"/>
    </i>
    <i r="1">
      <x v="4"/>
      <x v="25"/>
    </i>
    <i r="1">
      <x v="8"/>
      <x v="43"/>
    </i>
    <i r="1">
      <x v="11"/>
      <x v="69"/>
    </i>
    <i r="1">
      <x v="14"/>
      <x v="89"/>
    </i>
    <i r="1">
      <x v="17"/>
      <x v="108"/>
    </i>
    <i r="1">
      <x v="20"/>
      <x v="132"/>
    </i>
    <i r="1">
      <x v="23"/>
      <x v="152"/>
    </i>
    <i r="1">
      <x v="26"/>
      <x v="176"/>
    </i>
    <i>
      <x v="635"/>
      <x v="1"/>
      <x v="4"/>
    </i>
    <i r="1">
      <x v="4"/>
      <x v="24"/>
    </i>
    <i r="1">
      <x v="8"/>
      <x v="42"/>
    </i>
    <i r="1">
      <x v="11"/>
      <x v="68"/>
    </i>
    <i r="1">
      <x v="14"/>
      <x v="88"/>
    </i>
    <i r="1">
      <x v="17"/>
      <x v="107"/>
    </i>
    <i r="1">
      <x v="20"/>
      <x v="131"/>
    </i>
    <i r="1">
      <x v="23"/>
      <x v="151"/>
    </i>
    <i r="1">
      <x v="26"/>
      <x v="175"/>
    </i>
    <i>
      <x v="636"/>
      <x v="1"/>
      <x v="3"/>
    </i>
    <i r="1">
      <x v="4"/>
      <x v="23"/>
    </i>
    <i r="1">
      <x v="8"/>
      <x v="41"/>
    </i>
    <i r="1">
      <x v="11"/>
      <x v="67"/>
    </i>
    <i r="1">
      <x v="14"/>
      <x v="87"/>
    </i>
    <i r="1">
      <x v="17"/>
      <x v="106"/>
    </i>
    <i r="1">
      <x v="20"/>
      <x v="130"/>
    </i>
    <i r="1">
      <x v="23"/>
      <x v="150"/>
    </i>
    <i r="1">
      <x v="26"/>
      <x v="174"/>
    </i>
    <i>
      <x v="637"/>
      <x v="1"/>
      <x v="2"/>
    </i>
    <i r="1">
      <x v="4"/>
      <x v="22"/>
    </i>
    <i r="1">
      <x v="8"/>
      <x v="40"/>
    </i>
    <i r="1">
      <x v="11"/>
      <x v="66"/>
    </i>
    <i r="1">
      <x v="14"/>
      <x v="86"/>
    </i>
    <i r="1">
      <x v="17"/>
      <x v="105"/>
    </i>
    <i r="1">
      <x v="20"/>
      <x v="129"/>
    </i>
    <i r="1">
      <x v="23"/>
      <x v="149"/>
    </i>
    <i r="1">
      <x v="26"/>
      <x v="173"/>
    </i>
    <i>
      <x v="638"/>
      <x v="1"/>
      <x v="1"/>
    </i>
    <i r="1">
      <x v="4"/>
      <x v="21"/>
    </i>
    <i r="1">
      <x v="8"/>
      <x v="39"/>
    </i>
    <i r="1">
      <x v="11"/>
      <x v="65"/>
    </i>
    <i r="1">
      <x v="14"/>
      <x v="85"/>
    </i>
    <i r="1">
      <x v="17"/>
      <x v="104"/>
    </i>
    <i r="1">
      <x v="20"/>
      <x v="128"/>
    </i>
    <i r="1">
      <x v="23"/>
      <x v="148"/>
    </i>
    <i r="1">
      <x v="26"/>
      <x v="172"/>
    </i>
    <i>
      <x v="639"/>
      <x v="4"/>
      <x v="20"/>
    </i>
    <i r="1">
      <x v="8"/>
      <x v="38"/>
    </i>
    <i r="1">
      <x v="11"/>
      <x v="64"/>
    </i>
    <i r="1">
      <x v="14"/>
      <x v="84"/>
    </i>
    <i r="1">
      <x v="17"/>
      <x v="103"/>
    </i>
    <i r="1">
      <x v="20"/>
      <x v="127"/>
    </i>
    <i r="1">
      <x v="23"/>
      <x v="147"/>
    </i>
    <i r="1">
      <x v="26"/>
      <x v="171"/>
    </i>
    <i>
      <x v="640"/>
      <x v="4"/>
      <x v="19"/>
    </i>
    <i r="1">
      <x v="8"/>
      <x v="37"/>
    </i>
    <i r="1">
      <x v="11"/>
      <x v="63"/>
    </i>
    <i r="1">
      <x v="14"/>
      <x v="83"/>
    </i>
    <i r="1">
      <x v="17"/>
      <x v="102"/>
    </i>
    <i r="1">
      <x v="20"/>
      <x v="126"/>
    </i>
    <i r="1">
      <x v="23"/>
      <x v="146"/>
    </i>
    <i r="1">
      <x v="26"/>
      <x v="170"/>
    </i>
    <i>
      <x v="641"/>
      <x v="4"/>
      <x v="18"/>
    </i>
    <i r="1">
      <x v="8"/>
      <x v="36"/>
    </i>
    <i r="1">
      <x v="11"/>
      <x v="62"/>
    </i>
    <i r="1">
      <x v="14"/>
      <x v="82"/>
    </i>
    <i r="1">
      <x v="17"/>
      <x v="101"/>
    </i>
    <i r="1">
      <x v="20"/>
      <x v="125"/>
    </i>
    <i r="1">
      <x v="23"/>
      <x v="145"/>
    </i>
    <i r="1">
      <x v="26"/>
      <x v="169"/>
    </i>
    <i r="1">
      <x v="29"/>
      <x v="189"/>
    </i>
    <i>
      <x v="642"/>
      <x v="4"/>
      <x v="17"/>
    </i>
    <i r="1">
      <x v="8"/>
      <x v="35"/>
    </i>
    <i r="1">
      <x v="11"/>
      <x v="61"/>
    </i>
    <i r="1">
      <x v="14"/>
      <x v="81"/>
    </i>
    <i r="1">
      <x v="17"/>
      <x v="100"/>
    </i>
    <i r="1">
      <x v="20"/>
      <x v="124"/>
    </i>
    <i r="1">
      <x v="23"/>
      <x v="144"/>
    </i>
    <i r="1">
      <x v="26"/>
      <x v="168"/>
    </i>
    <i r="1">
      <x v="29"/>
      <x v="188"/>
    </i>
    <i>
      <x v="643"/>
      <x v="4"/>
      <x v="16"/>
    </i>
    <i r="1">
      <x v="8"/>
      <x v="34"/>
    </i>
    <i r="1">
      <x v="11"/>
      <x v="60"/>
    </i>
    <i r="1">
      <x v="14"/>
      <x v="80"/>
    </i>
    <i r="1">
      <x v="17"/>
      <x v="99"/>
    </i>
    <i r="1">
      <x v="20"/>
      <x v="123"/>
    </i>
    <i r="1">
      <x v="23"/>
      <x v="143"/>
    </i>
    <i r="1">
      <x v="26"/>
      <x v="167"/>
    </i>
    <i r="1">
      <x v="29"/>
      <x v="187"/>
    </i>
    <i>
      <x v="644"/>
      <x v="4"/>
      <x v="15"/>
    </i>
    <i r="1">
      <x v="8"/>
      <x v="33"/>
    </i>
    <i r="1">
      <x v="11"/>
      <x v="59"/>
    </i>
    <i r="1">
      <x v="14"/>
      <x v="79"/>
    </i>
    <i r="1">
      <x v="17"/>
      <x v="98"/>
    </i>
    <i r="1">
      <x v="20"/>
      <x v="122"/>
    </i>
    <i r="1">
      <x v="23"/>
      <x v="142"/>
    </i>
    <i r="1">
      <x v="26"/>
      <x v="166"/>
    </i>
    <i r="1">
      <x v="29"/>
      <x v="186"/>
    </i>
    <i>
      <x v="645"/>
      <x v="4"/>
      <x v="14"/>
    </i>
    <i r="1">
      <x v="8"/>
      <x v="32"/>
    </i>
    <i r="1">
      <x v="11"/>
      <x v="58"/>
    </i>
    <i r="1">
      <x v="14"/>
      <x v="78"/>
    </i>
    <i r="1">
      <x v="17"/>
      <x v="97"/>
    </i>
    <i r="1">
      <x v="20"/>
      <x v="121"/>
    </i>
    <i r="1">
      <x v="23"/>
      <x v="141"/>
    </i>
    <i r="1">
      <x v="26"/>
      <x v="165"/>
    </i>
    <i r="1">
      <x v="29"/>
      <x v="185"/>
    </i>
    <i>
      <x v="646"/>
      <x v="4"/>
      <x v="13"/>
    </i>
    <i r="1">
      <x v="8"/>
      <x v="31"/>
    </i>
    <i r="1">
      <x v="11"/>
      <x v="57"/>
    </i>
    <i r="1">
      <x v="14"/>
      <x v="77"/>
    </i>
    <i r="1">
      <x v="17"/>
      <x v="96"/>
    </i>
    <i r="1">
      <x v="20"/>
      <x v="120"/>
    </i>
    <i r="1">
      <x v="23"/>
      <x v="140"/>
    </i>
    <i r="1">
      <x v="26"/>
      <x v="164"/>
    </i>
    <i r="1">
      <x v="29"/>
      <x v="184"/>
    </i>
    <i>
      <x v="647"/>
      <x v="4"/>
      <x v="13"/>
    </i>
    <i r="1">
      <x v="8"/>
      <x v="31"/>
    </i>
    <i r="1">
      <x v="11"/>
      <x v="57"/>
    </i>
    <i r="1">
      <x v="14"/>
      <x v="77"/>
    </i>
    <i r="1">
      <x v="17"/>
      <x v="96"/>
    </i>
    <i r="1">
      <x v="20"/>
      <x v="120"/>
    </i>
    <i r="1">
      <x v="23"/>
      <x v="140"/>
    </i>
    <i r="1">
      <x v="26"/>
      <x v="164"/>
    </i>
    <i r="1">
      <x v="29"/>
      <x v="184"/>
    </i>
    <i>
      <x v="648"/>
      <x v="4"/>
      <x v="12"/>
    </i>
    <i r="1">
      <x v="8"/>
      <x v="30"/>
    </i>
    <i r="1">
      <x v="11"/>
      <x v="56"/>
    </i>
    <i r="1">
      <x v="14"/>
      <x v="76"/>
    </i>
    <i r="1">
      <x v="17"/>
      <x v="95"/>
    </i>
    <i r="1">
      <x v="20"/>
      <x v="119"/>
    </i>
    <i r="1">
      <x v="23"/>
      <x v="139"/>
    </i>
    <i r="1">
      <x v="26"/>
      <x v="163"/>
    </i>
    <i r="1">
      <x v="29"/>
      <x v="183"/>
    </i>
    <i>
      <x v="649"/>
      <x v="4"/>
      <x v="11"/>
    </i>
    <i r="1">
      <x v="8"/>
      <x v="29"/>
    </i>
    <i r="1">
      <x v="11"/>
      <x v="55"/>
    </i>
    <i r="1">
      <x v="14"/>
      <x v="75"/>
    </i>
    <i r="1">
      <x v="17"/>
      <x v="94"/>
    </i>
    <i r="1">
      <x v="20"/>
      <x v="118"/>
    </i>
    <i r="1">
      <x v="23"/>
      <x v="138"/>
    </i>
    <i r="1">
      <x v="26"/>
      <x v="162"/>
    </i>
    <i r="1">
      <x v="29"/>
      <x v="182"/>
    </i>
    <i>
      <x v="650"/>
      <x v="4"/>
      <x v="10"/>
    </i>
    <i r="1">
      <x v="8"/>
      <x v="28"/>
    </i>
    <i r="1">
      <x v="11"/>
      <x v="54"/>
    </i>
    <i r="1">
      <x v="14"/>
      <x v="74"/>
    </i>
    <i r="1">
      <x v="17"/>
      <x v="93"/>
    </i>
    <i r="1">
      <x v="20"/>
      <x v="117"/>
    </i>
    <i r="1">
      <x v="23"/>
      <x v="137"/>
    </i>
    <i r="1">
      <x v="26"/>
      <x v="161"/>
    </i>
    <i r="1">
      <x v="29"/>
      <x v="181"/>
    </i>
    <i>
      <x v="651"/>
      <x v="4"/>
      <x v="9"/>
    </i>
    <i r="1">
      <x v="8"/>
      <x v="27"/>
    </i>
    <i r="1">
      <x v="11"/>
      <x v="53"/>
    </i>
    <i r="1">
      <x v="14"/>
      <x v="73"/>
    </i>
    <i r="1">
      <x v="17"/>
      <x v="92"/>
    </i>
    <i r="1">
      <x v="20"/>
      <x v="116"/>
    </i>
    <i r="1">
      <x v="23"/>
      <x v="136"/>
    </i>
    <i r="1">
      <x v="26"/>
      <x v="160"/>
    </i>
    <i r="1">
      <x v="29"/>
      <x v="180"/>
    </i>
    <i>
      <x v="652"/>
      <x v="4"/>
      <x v="8"/>
    </i>
    <i r="1">
      <x v="8"/>
      <x v="26"/>
    </i>
    <i r="1">
      <x v="11"/>
      <x v="52"/>
    </i>
    <i r="1">
      <x v="14"/>
      <x v="72"/>
    </i>
    <i r="1">
      <x v="17"/>
      <x v="91"/>
    </i>
    <i r="1">
      <x v="20"/>
      <x v="115"/>
    </i>
    <i r="1">
      <x v="23"/>
      <x v="135"/>
    </i>
    <i r="1">
      <x v="26"/>
      <x v="159"/>
    </i>
    <i r="1">
      <x v="29"/>
      <x v="179"/>
    </i>
    <i>
      <x v="653"/>
      <x v="4"/>
      <x v="7"/>
    </i>
    <i r="1">
      <x v="8"/>
      <x v="25"/>
    </i>
    <i r="1">
      <x v="11"/>
      <x v="51"/>
    </i>
    <i r="1">
      <x v="14"/>
      <x v="71"/>
    </i>
    <i r="1">
      <x v="17"/>
      <x v="90"/>
    </i>
    <i r="1">
      <x v="20"/>
      <x v="114"/>
    </i>
    <i r="1">
      <x v="23"/>
      <x v="134"/>
    </i>
    <i r="1">
      <x v="26"/>
      <x v="158"/>
    </i>
    <i r="1">
      <x v="29"/>
      <x v="178"/>
    </i>
    <i>
      <x v="654"/>
      <x v="4"/>
      <x v="6"/>
    </i>
    <i r="1">
      <x v="8"/>
      <x v="24"/>
    </i>
    <i r="1">
      <x v="11"/>
      <x v="50"/>
    </i>
    <i r="1">
      <x v="14"/>
      <x v="70"/>
    </i>
    <i r="1">
      <x v="17"/>
      <x v="89"/>
    </i>
    <i r="1">
      <x v="20"/>
      <x v="113"/>
    </i>
    <i r="1">
      <x v="23"/>
      <x v="133"/>
    </i>
    <i r="1">
      <x v="26"/>
      <x v="157"/>
    </i>
    <i r="1">
      <x v="29"/>
      <x v="177"/>
    </i>
    <i>
      <x v="655"/>
      <x v="4"/>
      <x v="5"/>
    </i>
    <i r="1">
      <x v="8"/>
      <x v="23"/>
    </i>
    <i r="1">
      <x v="11"/>
      <x v="49"/>
    </i>
    <i r="1">
      <x v="14"/>
      <x v="69"/>
    </i>
    <i r="1">
      <x v="17"/>
      <x v="88"/>
    </i>
    <i r="1">
      <x v="20"/>
      <x v="112"/>
    </i>
    <i r="1">
      <x v="23"/>
      <x v="132"/>
    </i>
    <i r="1">
      <x v="26"/>
      <x v="156"/>
    </i>
    <i r="1">
      <x v="29"/>
      <x v="176"/>
    </i>
    <i>
      <x v="656"/>
      <x v="4"/>
      <x v="4"/>
    </i>
    <i r="1">
      <x v="8"/>
      <x v="22"/>
    </i>
    <i r="1">
      <x v="11"/>
      <x v="48"/>
    </i>
    <i r="1">
      <x v="14"/>
      <x v="68"/>
    </i>
    <i r="1">
      <x v="17"/>
      <x v="87"/>
    </i>
    <i r="1">
      <x v="20"/>
      <x v="111"/>
    </i>
    <i r="1">
      <x v="23"/>
      <x v="131"/>
    </i>
    <i r="1">
      <x v="26"/>
      <x v="155"/>
    </i>
    <i r="1">
      <x v="29"/>
      <x v="175"/>
    </i>
    <i>
      <x v="657"/>
      <x v="4"/>
      <x v="3"/>
    </i>
    <i r="1">
      <x v="8"/>
      <x v="21"/>
    </i>
    <i r="1">
      <x v="11"/>
      <x v="47"/>
    </i>
    <i r="1">
      <x v="14"/>
      <x v="67"/>
    </i>
    <i r="1">
      <x v="17"/>
      <x v="86"/>
    </i>
    <i r="1">
      <x v="20"/>
      <x v="110"/>
    </i>
    <i r="1">
      <x v="23"/>
      <x v="130"/>
    </i>
    <i r="1">
      <x v="26"/>
      <x v="154"/>
    </i>
    <i r="1">
      <x v="29"/>
      <x v="174"/>
    </i>
    <i>
      <x v="658"/>
      <x v="4"/>
      <x v="2"/>
    </i>
    <i r="1">
      <x v="8"/>
      <x v="20"/>
    </i>
    <i r="1">
      <x v="11"/>
      <x v="46"/>
    </i>
    <i r="1">
      <x v="14"/>
      <x v="66"/>
    </i>
    <i r="1">
      <x v="17"/>
      <x v="85"/>
    </i>
    <i r="1">
      <x v="20"/>
      <x v="109"/>
    </i>
    <i r="1">
      <x v="23"/>
      <x v="129"/>
    </i>
    <i r="1">
      <x v="26"/>
      <x v="153"/>
    </i>
    <i r="1">
      <x v="29"/>
      <x v="173"/>
    </i>
    <i>
      <x v="659"/>
      <x v="4"/>
      <x v="1"/>
    </i>
    <i>
      <x v="660"/>
      <x v="4"/>
      <x/>
    </i>
    <i>
      <x v="661"/>
      <x v="8"/>
      <x v="17"/>
    </i>
    <i r="1">
      <x v="11"/>
      <x v="43"/>
    </i>
    <i r="1">
      <x v="14"/>
      <x v="63"/>
    </i>
    <i r="1">
      <x v="17"/>
      <x v="82"/>
    </i>
    <i r="1">
      <x v="20"/>
      <x v="106"/>
    </i>
    <i r="1">
      <x v="23"/>
      <x v="126"/>
    </i>
    <i r="1">
      <x v="26"/>
      <x v="150"/>
    </i>
    <i r="1">
      <x v="29"/>
      <x v="170"/>
    </i>
    <i>
      <x v="662"/>
      <x v="8"/>
      <x v="16"/>
    </i>
    <i r="1">
      <x v="11"/>
      <x v="42"/>
    </i>
    <i r="1">
      <x v="14"/>
      <x v="62"/>
    </i>
    <i r="1">
      <x v="17"/>
      <x v="81"/>
    </i>
    <i r="1">
      <x v="20"/>
      <x v="105"/>
    </i>
    <i r="1">
      <x v="23"/>
      <x v="125"/>
    </i>
    <i r="1">
      <x v="26"/>
      <x v="149"/>
    </i>
    <i r="1">
      <x v="29"/>
      <x v="169"/>
    </i>
    <i r="1">
      <x v="32"/>
      <x v="189"/>
    </i>
    <i>
      <x v="663"/>
      <x v="8"/>
      <x v="15"/>
    </i>
    <i r="1">
      <x v="11"/>
      <x v="41"/>
    </i>
    <i r="1">
      <x v="14"/>
      <x v="61"/>
    </i>
    <i r="1">
      <x v="17"/>
      <x v="80"/>
    </i>
    <i r="1">
      <x v="20"/>
      <x v="104"/>
    </i>
    <i r="1">
      <x v="23"/>
      <x v="124"/>
    </i>
    <i r="1">
      <x v="26"/>
      <x v="148"/>
    </i>
    <i r="1">
      <x v="29"/>
      <x v="168"/>
    </i>
    <i r="1">
      <x v="32"/>
      <x v="188"/>
    </i>
    <i>
      <x v="664"/>
      <x v="8"/>
      <x v="14"/>
    </i>
    <i r="1">
      <x v="11"/>
      <x v="40"/>
    </i>
    <i r="1">
      <x v="14"/>
      <x v="60"/>
    </i>
    <i r="1">
      <x v="17"/>
      <x v="79"/>
    </i>
    <i r="1">
      <x v="20"/>
      <x v="103"/>
    </i>
    <i r="1">
      <x v="23"/>
      <x v="123"/>
    </i>
    <i r="1">
      <x v="26"/>
      <x v="147"/>
    </i>
    <i r="1">
      <x v="29"/>
      <x v="167"/>
    </i>
    <i r="1">
      <x v="32"/>
      <x v="187"/>
    </i>
    <i>
      <x v="665"/>
      <x v="8"/>
      <x v="13"/>
    </i>
    <i r="1">
      <x v="11"/>
      <x v="39"/>
    </i>
    <i r="1">
      <x v="14"/>
      <x v="59"/>
    </i>
    <i r="1">
      <x v="17"/>
      <x v="78"/>
    </i>
    <i r="1">
      <x v="20"/>
      <x v="102"/>
    </i>
    <i r="1">
      <x v="23"/>
      <x v="122"/>
    </i>
    <i r="1">
      <x v="26"/>
      <x v="146"/>
    </i>
    <i r="1">
      <x v="29"/>
      <x v="166"/>
    </i>
    <i r="1">
      <x v="32"/>
      <x v="186"/>
    </i>
    <i>
      <x v="666"/>
      <x v="8"/>
      <x v="12"/>
    </i>
    <i r="1">
      <x v="11"/>
      <x v="38"/>
    </i>
    <i r="1">
      <x v="14"/>
      <x v="58"/>
    </i>
    <i r="1">
      <x v="17"/>
      <x v="77"/>
    </i>
    <i r="1">
      <x v="20"/>
      <x v="101"/>
    </i>
    <i r="1">
      <x v="23"/>
      <x v="121"/>
    </i>
    <i r="1">
      <x v="26"/>
      <x v="145"/>
    </i>
    <i r="1">
      <x v="29"/>
      <x v="165"/>
    </i>
    <i r="1">
      <x v="32"/>
      <x v="185"/>
    </i>
    <i>
      <x v="667"/>
      <x v="8"/>
      <x v="12"/>
    </i>
    <i r="1">
      <x v="11"/>
      <x v="38"/>
    </i>
    <i r="1">
      <x v="14"/>
      <x v="58"/>
    </i>
    <i r="1">
      <x v="17"/>
      <x v="77"/>
    </i>
    <i r="1">
      <x v="20"/>
      <x v="101"/>
    </i>
    <i r="1">
      <x v="23"/>
      <x v="121"/>
    </i>
    <i r="1">
      <x v="26"/>
      <x v="145"/>
    </i>
    <i r="1">
      <x v="29"/>
      <x v="165"/>
    </i>
    <i r="1">
      <x v="32"/>
      <x v="185"/>
    </i>
    <i>
      <x v="668"/>
      <x v="8"/>
      <x v="11"/>
    </i>
    <i r="1">
      <x v="11"/>
      <x v="37"/>
    </i>
    <i r="1">
      <x v="14"/>
      <x v="57"/>
    </i>
    <i r="1">
      <x v="17"/>
      <x v="76"/>
    </i>
    <i r="1">
      <x v="20"/>
      <x v="100"/>
    </i>
    <i r="1">
      <x v="23"/>
      <x v="120"/>
    </i>
    <i r="1">
      <x v="26"/>
      <x v="144"/>
    </i>
    <i r="1">
      <x v="29"/>
      <x v="164"/>
    </i>
    <i r="1">
      <x v="32"/>
      <x v="184"/>
    </i>
    <i>
      <x v="669"/>
      <x v="8"/>
      <x v="10"/>
    </i>
    <i r="1">
      <x v="11"/>
      <x v="36"/>
    </i>
    <i r="1">
      <x v="14"/>
      <x v="56"/>
    </i>
    <i r="1">
      <x v="17"/>
      <x v="75"/>
    </i>
    <i r="1">
      <x v="20"/>
      <x v="99"/>
    </i>
    <i r="1">
      <x v="23"/>
      <x v="119"/>
    </i>
    <i r="1">
      <x v="26"/>
      <x v="143"/>
    </i>
    <i r="1">
      <x v="29"/>
      <x v="163"/>
    </i>
    <i r="1">
      <x v="32"/>
      <x v="183"/>
    </i>
    <i>
      <x v="670"/>
      <x v="8"/>
      <x v="9"/>
    </i>
    <i r="1">
      <x v="11"/>
      <x v="35"/>
    </i>
    <i r="1">
      <x v="14"/>
      <x v="55"/>
    </i>
    <i r="1">
      <x v="17"/>
      <x v="74"/>
    </i>
    <i r="1">
      <x v="20"/>
      <x v="98"/>
    </i>
    <i r="1">
      <x v="23"/>
      <x v="118"/>
    </i>
    <i r="1">
      <x v="26"/>
      <x v="142"/>
    </i>
    <i r="1">
      <x v="29"/>
      <x v="162"/>
    </i>
    <i r="1">
      <x v="32"/>
      <x v="182"/>
    </i>
    <i>
      <x v="671"/>
      <x v="8"/>
      <x v="8"/>
    </i>
    <i r="1">
      <x v="11"/>
      <x v="34"/>
    </i>
    <i r="1">
      <x v="14"/>
      <x v="54"/>
    </i>
    <i r="1">
      <x v="17"/>
      <x v="73"/>
    </i>
    <i r="1">
      <x v="20"/>
      <x v="97"/>
    </i>
    <i r="1">
      <x v="23"/>
      <x v="117"/>
    </i>
    <i r="1">
      <x v="26"/>
      <x v="141"/>
    </i>
    <i r="1">
      <x v="29"/>
      <x v="161"/>
    </i>
    <i r="1">
      <x v="32"/>
      <x v="181"/>
    </i>
    <i>
      <x v="672"/>
      <x v="8"/>
      <x v="7"/>
    </i>
    <i r="1">
      <x v="11"/>
      <x v="33"/>
    </i>
    <i r="1">
      <x v="14"/>
      <x v="53"/>
    </i>
    <i r="1">
      <x v="17"/>
      <x v="72"/>
    </i>
    <i r="1">
      <x v="20"/>
      <x v="96"/>
    </i>
    <i r="1">
      <x v="23"/>
      <x v="116"/>
    </i>
    <i r="1">
      <x v="26"/>
      <x v="140"/>
    </i>
    <i r="1">
      <x v="29"/>
      <x v="160"/>
    </i>
    <i r="1">
      <x v="32"/>
      <x v="180"/>
    </i>
    <i>
      <x v="673"/>
      <x v="8"/>
      <x v="6"/>
    </i>
    <i r="1">
      <x v="11"/>
      <x v="32"/>
    </i>
    <i r="1">
      <x v="14"/>
      <x v="52"/>
    </i>
    <i r="1">
      <x v="17"/>
      <x v="71"/>
    </i>
    <i r="1">
      <x v="20"/>
      <x v="95"/>
    </i>
    <i r="1">
      <x v="23"/>
      <x v="115"/>
    </i>
    <i r="1">
      <x v="26"/>
      <x v="139"/>
    </i>
    <i r="1">
      <x v="29"/>
      <x v="159"/>
    </i>
    <i r="1">
      <x v="32"/>
      <x v="179"/>
    </i>
    <i>
      <x v="674"/>
      <x v="8"/>
      <x v="5"/>
    </i>
    <i r="1">
      <x v="11"/>
      <x v="31"/>
    </i>
    <i r="1">
      <x v="14"/>
      <x v="51"/>
    </i>
    <i r="1">
      <x v="17"/>
      <x v="70"/>
    </i>
    <i r="1">
      <x v="20"/>
      <x v="94"/>
    </i>
    <i r="1">
      <x v="23"/>
      <x v="114"/>
    </i>
    <i r="1">
      <x v="26"/>
      <x v="138"/>
    </i>
    <i r="1">
      <x v="29"/>
      <x v="158"/>
    </i>
    <i r="1">
      <x v="32"/>
      <x v="178"/>
    </i>
    <i>
      <x v="675"/>
      <x v="8"/>
      <x v="4"/>
    </i>
    <i r="1">
      <x v="11"/>
      <x v="30"/>
    </i>
    <i r="1">
      <x v="14"/>
      <x v="50"/>
    </i>
    <i r="1">
      <x v="17"/>
      <x v="69"/>
    </i>
    <i r="1">
      <x v="20"/>
      <x v="93"/>
    </i>
    <i r="1">
      <x v="23"/>
      <x v="113"/>
    </i>
    <i r="1">
      <x v="26"/>
      <x v="137"/>
    </i>
    <i r="1">
      <x v="29"/>
      <x v="157"/>
    </i>
    <i r="1">
      <x v="32"/>
      <x v="177"/>
    </i>
    <i>
      <x v="676"/>
      <x v="8"/>
      <x v="3"/>
    </i>
    <i r="1">
      <x v="11"/>
      <x v="29"/>
    </i>
    <i r="1">
      <x v="14"/>
      <x v="49"/>
    </i>
    <i r="1">
      <x v="17"/>
      <x v="68"/>
    </i>
    <i r="1">
      <x v="20"/>
      <x v="92"/>
    </i>
    <i r="1">
      <x v="23"/>
      <x v="112"/>
    </i>
    <i r="1">
      <x v="26"/>
      <x v="136"/>
    </i>
    <i r="1">
      <x v="29"/>
      <x v="156"/>
    </i>
    <i r="1">
      <x v="32"/>
      <x v="176"/>
    </i>
    <i>
      <x v="677"/>
      <x v="8"/>
      <x v="2"/>
    </i>
    <i r="1">
      <x v="11"/>
      <x v="28"/>
    </i>
    <i r="1">
      <x v="14"/>
      <x v="48"/>
    </i>
    <i r="1">
      <x v="17"/>
      <x v="67"/>
    </i>
    <i r="1">
      <x v="20"/>
      <x v="91"/>
    </i>
    <i r="1">
      <x v="23"/>
      <x v="111"/>
    </i>
    <i r="1">
      <x v="26"/>
      <x v="135"/>
    </i>
    <i r="1">
      <x v="29"/>
      <x v="155"/>
    </i>
    <i r="1">
      <x v="32"/>
      <x v="175"/>
    </i>
    <i>
      <x v="678"/>
      <x v="8"/>
      <x v="1"/>
    </i>
    <i r="1">
      <x v="11"/>
      <x v="27"/>
    </i>
    <i r="1">
      <x v="14"/>
      <x v="47"/>
    </i>
    <i r="1">
      <x v="17"/>
      <x v="66"/>
    </i>
    <i r="1">
      <x v="20"/>
      <x v="90"/>
    </i>
    <i r="1">
      <x v="23"/>
      <x v="110"/>
    </i>
    <i r="1">
      <x v="26"/>
      <x v="134"/>
    </i>
    <i r="1">
      <x v="29"/>
      <x v="154"/>
    </i>
    <i r="1">
      <x v="32"/>
      <x v="174"/>
    </i>
    <i>
      <x v="679"/>
      <x v="11"/>
      <x v="26"/>
    </i>
    <i r="1">
      <x v="14"/>
      <x v="46"/>
    </i>
    <i r="1">
      <x v="17"/>
      <x v="65"/>
    </i>
    <i r="1">
      <x v="20"/>
      <x v="89"/>
    </i>
    <i r="1">
      <x v="23"/>
      <x v="109"/>
    </i>
    <i r="1">
      <x v="26"/>
      <x v="133"/>
    </i>
    <i r="1">
      <x v="29"/>
      <x v="153"/>
    </i>
    <i r="1">
      <x v="32"/>
      <x v="173"/>
    </i>
    <i>
      <x v="680"/>
      <x v="11"/>
      <x v="25"/>
    </i>
    <i r="1">
      <x v="14"/>
      <x v="45"/>
    </i>
    <i r="1">
      <x v="17"/>
      <x v="64"/>
    </i>
    <i r="1">
      <x v="20"/>
      <x v="88"/>
    </i>
    <i r="1">
      <x v="23"/>
      <x v="108"/>
    </i>
    <i r="1">
      <x v="26"/>
      <x v="132"/>
    </i>
    <i r="1">
      <x v="29"/>
      <x v="152"/>
    </i>
    <i r="1">
      <x v="32"/>
      <x v="172"/>
    </i>
    <i>
      <x v="681"/>
      <x v="11"/>
      <x v="24"/>
    </i>
    <i r="1">
      <x v="14"/>
      <x v="44"/>
    </i>
    <i r="1">
      <x v="17"/>
      <x v="63"/>
    </i>
    <i r="1">
      <x v="20"/>
      <x v="87"/>
    </i>
    <i r="1">
      <x v="23"/>
      <x v="107"/>
    </i>
    <i r="1">
      <x v="26"/>
      <x v="131"/>
    </i>
    <i r="1">
      <x v="29"/>
      <x v="151"/>
    </i>
    <i r="1">
      <x v="32"/>
      <x v="171"/>
    </i>
    <i>
      <x v="682"/>
      <x v="11"/>
      <x v="23"/>
    </i>
    <i r="1">
      <x v="14"/>
      <x v="43"/>
    </i>
    <i r="1">
      <x v="17"/>
      <x v="62"/>
    </i>
    <i r="1">
      <x v="20"/>
      <x v="86"/>
    </i>
    <i r="1">
      <x v="23"/>
      <x v="106"/>
    </i>
    <i r="1">
      <x v="26"/>
      <x v="130"/>
    </i>
    <i r="1">
      <x v="29"/>
      <x v="150"/>
    </i>
    <i r="1">
      <x v="32"/>
      <x v="170"/>
    </i>
    <i r="1">
      <x v="35"/>
      <x v="194"/>
    </i>
    <i>
      <x v="683"/>
      <x v="11"/>
      <x v="22"/>
    </i>
    <i r="1">
      <x v="14"/>
      <x v="42"/>
    </i>
    <i r="1">
      <x v="17"/>
      <x v="61"/>
    </i>
    <i r="1">
      <x v="20"/>
      <x v="85"/>
    </i>
    <i r="1">
      <x v="23"/>
      <x v="105"/>
    </i>
    <i r="1">
      <x v="26"/>
      <x v="129"/>
    </i>
    <i r="1">
      <x v="29"/>
      <x v="149"/>
    </i>
    <i r="1">
      <x v="32"/>
      <x v="169"/>
    </i>
    <i r="1">
      <x v="35"/>
      <x v="193"/>
    </i>
    <i>
      <x v="684"/>
      <x v="11"/>
      <x v="21"/>
    </i>
    <i r="1">
      <x v="14"/>
      <x v="41"/>
    </i>
    <i r="1">
      <x v="17"/>
      <x v="60"/>
    </i>
    <i r="1">
      <x v="20"/>
      <x v="84"/>
    </i>
    <i r="1">
      <x v="23"/>
      <x v="104"/>
    </i>
    <i r="1">
      <x v="26"/>
      <x v="128"/>
    </i>
    <i r="1">
      <x v="29"/>
      <x v="148"/>
    </i>
    <i r="1">
      <x v="32"/>
      <x v="168"/>
    </i>
    <i r="1">
      <x v="35"/>
      <x v="192"/>
    </i>
    <i>
      <x v="685"/>
      <x v="11"/>
      <x v="20"/>
    </i>
    <i r="1">
      <x v="14"/>
      <x v="40"/>
    </i>
    <i r="1">
      <x v="17"/>
      <x v="59"/>
    </i>
    <i r="1">
      <x v="20"/>
      <x v="83"/>
    </i>
    <i r="1">
      <x v="23"/>
      <x v="103"/>
    </i>
    <i r="1">
      <x v="26"/>
      <x v="127"/>
    </i>
    <i r="1">
      <x v="29"/>
      <x v="147"/>
    </i>
    <i r="1">
      <x v="32"/>
      <x v="167"/>
    </i>
    <i r="1">
      <x v="35"/>
      <x v="191"/>
    </i>
    <i>
      <x v="686"/>
      <x v="11"/>
      <x v="19"/>
    </i>
    <i r="1">
      <x v="14"/>
      <x v="39"/>
    </i>
    <i r="1">
      <x v="17"/>
      <x v="58"/>
    </i>
    <i r="1">
      <x v="20"/>
      <x v="82"/>
    </i>
    <i r="1">
      <x v="23"/>
      <x v="102"/>
    </i>
    <i r="1">
      <x v="26"/>
      <x v="126"/>
    </i>
    <i r="1">
      <x v="29"/>
      <x v="146"/>
    </i>
    <i r="1">
      <x v="32"/>
      <x v="166"/>
    </i>
    <i r="1">
      <x v="35"/>
      <x v="190"/>
    </i>
    <i>
      <x v="687"/>
      <x v="11"/>
      <x v="18"/>
    </i>
    <i r="1">
      <x v="14"/>
      <x v="38"/>
    </i>
    <i r="1">
      <x v="17"/>
      <x v="57"/>
    </i>
    <i r="1">
      <x v="20"/>
      <x v="81"/>
    </i>
    <i r="1">
      <x v="23"/>
      <x v="101"/>
    </i>
    <i r="1">
      <x v="26"/>
      <x v="125"/>
    </i>
    <i r="1">
      <x v="29"/>
      <x v="145"/>
    </i>
    <i r="1">
      <x v="32"/>
      <x v="165"/>
    </i>
    <i r="1">
      <x v="35"/>
      <x v="189"/>
    </i>
    <i>
      <x v="688"/>
      <x v="11"/>
      <x v="17"/>
    </i>
    <i r="1">
      <x v="14"/>
      <x v="37"/>
    </i>
    <i r="1">
      <x v="17"/>
      <x v="56"/>
    </i>
    <i r="1">
      <x v="20"/>
      <x v="80"/>
    </i>
    <i r="1">
      <x v="23"/>
      <x v="100"/>
    </i>
    <i r="1">
      <x v="26"/>
      <x v="124"/>
    </i>
    <i r="1">
      <x v="29"/>
      <x v="144"/>
    </i>
    <i r="1">
      <x v="32"/>
      <x v="164"/>
    </i>
    <i r="1">
      <x v="35"/>
      <x v="188"/>
    </i>
    <i>
      <x v="689"/>
      <x v="11"/>
      <x v="16"/>
    </i>
    <i r="1">
      <x v="14"/>
      <x v="36"/>
    </i>
    <i r="1">
      <x v="17"/>
      <x v="55"/>
    </i>
    <i r="1">
      <x v="20"/>
      <x v="79"/>
    </i>
    <i r="1">
      <x v="23"/>
      <x v="99"/>
    </i>
    <i r="1">
      <x v="26"/>
      <x v="123"/>
    </i>
    <i r="1">
      <x v="29"/>
      <x v="143"/>
    </i>
    <i r="1">
      <x v="32"/>
      <x v="163"/>
    </i>
    <i r="1">
      <x v="35"/>
      <x v="187"/>
    </i>
    <i>
      <x v="690"/>
      <x v="11"/>
      <x v="15"/>
    </i>
    <i r="1">
      <x v="14"/>
      <x v="35"/>
    </i>
    <i r="1">
      <x v="17"/>
      <x v="54"/>
    </i>
    <i r="1">
      <x v="20"/>
      <x v="78"/>
    </i>
    <i r="1">
      <x v="23"/>
      <x v="98"/>
    </i>
    <i r="1">
      <x v="26"/>
      <x v="122"/>
    </i>
    <i r="1">
      <x v="29"/>
      <x v="142"/>
    </i>
    <i r="1">
      <x v="32"/>
      <x v="162"/>
    </i>
    <i r="1">
      <x v="35"/>
      <x v="186"/>
    </i>
    <i>
      <x v="691"/>
      <x v="11"/>
      <x v="14"/>
    </i>
    <i r="1">
      <x v="14"/>
      <x v="34"/>
    </i>
    <i r="1">
      <x v="17"/>
      <x v="53"/>
    </i>
    <i r="1">
      <x v="20"/>
      <x v="77"/>
    </i>
    <i r="1">
      <x v="23"/>
      <x v="97"/>
    </i>
    <i r="1">
      <x v="26"/>
      <x v="121"/>
    </i>
    <i r="1">
      <x v="29"/>
      <x v="141"/>
    </i>
    <i r="1">
      <x v="32"/>
      <x v="161"/>
    </i>
    <i r="1">
      <x v="35"/>
      <x v="185"/>
    </i>
    <i>
      <x v="692"/>
      <x v="11"/>
      <x v="13"/>
    </i>
    <i r="1">
      <x v="14"/>
      <x v="33"/>
    </i>
    <i r="1">
      <x v="17"/>
      <x v="52"/>
    </i>
    <i r="1">
      <x v="20"/>
      <x v="76"/>
    </i>
    <i r="1">
      <x v="23"/>
      <x v="96"/>
    </i>
    <i r="1">
      <x v="26"/>
      <x v="120"/>
    </i>
    <i r="1">
      <x v="29"/>
      <x v="140"/>
    </i>
    <i r="1">
      <x v="32"/>
      <x v="160"/>
    </i>
    <i r="1">
      <x v="35"/>
      <x v="184"/>
    </i>
    <i>
      <x v="693"/>
      <x v="11"/>
      <x v="12"/>
    </i>
    <i r="1">
      <x v="14"/>
      <x v="32"/>
    </i>
    <i r="1">
      <x v="17"/>
      <x v="51"/>
    </i>
    <i r="1">
      <x v="20"/>
      <x v="75"/>
    </i>
    <i r="1">
      <x v="23"/>
      <x v="95"/>
    </i>
    <i r="1">
      <x v="26"/>
      <x v="119"/>
    </i>
    <i r="1">
      <x v="29"/>
      <x v="139"/>
    </i>
    <i r="1">
      <x v="32"/>
      <x v="159"/>
    </i>
    <i r="1">
      <x v="35"/>
      <x v="183"/>
    </i>
    <i>
      <x v="694"/>
      <x v="11"/>
      <x v="11"/>
    </i>
    <i r="1">
      <x v="14"/>
      <x v="31"/>
    </i>
    <i r="1">
      <x v="17"/>
      <x v="50"/>
    </i>
    <i r="1">
      <x v="20"/>
      <x v="74"/>
    </i>
    <i r="1">
      <x v="23"/>
      <x v="94"/>
    </i>
    <i r="1">
      <x v="26"/>
      <x v="118"/>
    </i>
    <i r="1">
      <x v="29"/>
      <x v="138"/>
    </i>
    <i r="1">
      <x v="32"/>
      <x v="158"/>
    </i>
    <i r="1">
      <x v="35"/>
      <x v="182"/>
    </i>
    <i>
      <x v="695"/>
      <x v="11"/>
      <x v="10"/>
    </i>
    <i r="1">
      <x v="14"/>
      <x v="30"/>
    </i>
    <i r="1">
      <x v="17"/>
      <x v="49"/>
    </i>
    <i r="1">
      <x v="20"/>
      <x v="73"/>
    </i>
    <i r="1">
      <x v="23"/>
      <x v="93"/>
    </i>
    <i r="1">
      <x v="26"/>
      <x v="117"/>
    </i>
    <i r="1">
      <x v="29"/>
      <x v="137"/>
    </i>
    <i r="1">
      <x v="32"/>
      <x v="157"/>
    </i>
    <i r="1">
      <x v="35"/>
      <x v="181"/>
    </i>
    <i>
      <x v="696"/>
      <x v="11"/>
      <x v="9"/>
    </i>
    <i r="1">
      <x v="14"/>
      <x v="29"/>
    </i>
    <i r="1">
      <x v="17"/>
      <x v="48"/>
    </i>
    <i r="1">
      <x v="20"/>
      <x v="72"/>
    </i>
    <i r="1">
      <x v="23"/>
      <x v="92"/>
    </i>
    <i r="1">
      <x v="26"/>
      <x v="116"/>
    </i>
    <i r="1">
      <x v="29"/>
      <x v="136"/>
    </i>
    <i r="1">
      <x v="32"/>
      <x v="156"/>
    </i>
    <i r="1">
      <x v="35"/>
      <x v="180"/>
    </i>
    <i>
      <x v="697"/>
      <x v="11"/>
      <x v="8"/>
    </i>
    <i r="1">
      <x v="14"/>
      <x v="28"/>
    </i>
    <i r="1">
      <x v="17"/>
      <x v="47"/>
    </i>
    <i r="1">
      <x v="20"/>
      <x v="71"/>
    </i>
    <i r="1">
      <x v="23"/>
      <x v="91"/>
    </i>
    <i r="1">
      <x v="26"/>
      <x v="115"/>
    </i>
    <i r="1">
      <x v="29"/>
      <x v="135"/>
    </i>
    <i r="1">
      <x v="32"/>
      <x v="155"/>
    </i>
    <i r="1">
      <x v="35"/>
      <x v="179"/>
    </i>
    <i>
      <x v="698"/>
      <x v="11"/>
      <x v="7"/>
    </i>
    <i r="1">
      <x v="14"/>
      <x v="27"/>
    </i>
    <i r="1">
      <x v="17"/>
      <x v="46"/>
    </i>
    <i r="1">
      <x v="20"/>
      <x v="70"/>
    </i>
    <i r="1">
      <x v="23"/>
      <x v="90"/>
    </i>
    <i r="1">
      <x v="26"/>
      <x v="114"/>
    </i>
    <i r="1">
      <x v="29"/>
      <x v="134"/>
    </i>
    <i r="1">
      <x v="32"/>
      <x v="154"/>
    </i>
    <i r="1">
      <x v="35"/>
      <x v="178"/>
    </i>
    <i>
      <x v="699"/>
      <x v="11"/>
      <x v="6"/>
    </i>
    <i r="1">
      <x v="14"/>
      <x v="26"/>
    </i>
    <i r="1">
      <x v="17"/>
      <x v="45"/>
    </i>
    <i r="1">
      <x v="20"/>
      <x v="69"/>
    </i>
    <i r="1">
      <x v="23"/>
      <x v="89"/>
    </i>
    <i r="1">
      <x v="26"/>
      <x v="113"/>
    </i>
    <i r="1">
      <x v="29"/>
      <x v="133"/>
    </i>
    <i r="1">
      <x v="32"/>
      <x v="153"/>
    </i>
    <i r="1">
      <x v="35"/>
      <x v="177"/>
    </i>
    <i>
      <x v="700"/>
      <x v="11"/>
      <x v="5"/>
    </i>
    <i r="1">
      <x v="14"/>
      <x v="25"/>
    </i>
    <i r="1">
      <x v="17"/>
      <x v="44"/>
    </i>
    <i r="1">
      <x v="20"/>
      <x v="68"/>
    </i>
    <i r="1">
      <x v="23"/>
      <x v="88"/>
    </i>
    <i r="1">
      <x v="26"/>
      <x v="112"/>
    </i>
    <i r="1">
      <x v="29"/>
      <x v="132"/>
    </i>
    <i r="1">
      <x v="32"/>
      <x v="152"/>
    </i>
    <i r="1">
      <x v="35"/>
      <x v="176"/>
    </i>
    <i>
      <x v="701"/>
      <x v="11"/>
      <x v="3"/>
    </i>
    <i r="1">
      <x v="14"/>
      <x v="23"/>
    </i>
    <i r="1">
      <x v="17"/>
      <x v="42"/>
    </i>
    <i r="1">
      <x v="20"/>
      <x v="66"/>
    </i>
    <i r="1">
      <x v="23"/>
      <x v="86"/>
    </i>
    <i r="1">
      <x v="26"/>
      <x v="110"/>
    </i>
    <i r="1">
      <x v="29"/>
      <x v="130"/>
    </i>
    <i r="1">
      <x v="32"/>
      <x v="150"/>
    </i>
    <i r="1">
      <x v="35"/>
      <x v="174"/>
    </i>
    <i>
      <x v="702"/>
      <x v="11"/>
      <x v="2"/>
    </i>
    <i r="1">
      <x v="14"/>
      <x v="22"/>
    </i>
    <i r="1">
      <x v="17"/>
      <x v="41"/>
    </i>
    <i r="1">
      <x v="20"/>
      <x v="65"/>
    </i>
    <i r="1">
      <x v="23"/>
      <x v="85"/>
    </i>
    <i r="1">
      <x v="26"/>
      <x v="109"/>
    </i>
    <i r="1">
      <x v="29"/>
      <x v="129"/>
    </i>
    <i r="1">
      <x v="32"/>
      <x v="149"/>
    </i>
    <i r="1">
      <x v="35"/>
      <x v="173"/>
    </i>
    <i>
      <x v="703"/>
      <x v="11"/>
      <x v="1"/>
    </i>
    <i r="1">
      <x v="14"/>
      <x v="21"/>
    </i>
    <i r="1">
      <x v="17"/>
      <x v="40"/>
    </i>
    <i r="1">
      <x v="20"/>
      <x v="64"/>
    </i>
    <i r="1">
      <x v="23"/>
      <x v="84"/>
    </i>
    <i r="1">
      <x v="26"/>
      <x v="108"/>
    </i>
    <i r="1">
      <x v="29"/>
      <x v="128"/>
    </i>
    <i r="1">
      <x v="32"/>
      <x v="148"/>
    </i>
    <i r="1">
      <x v="35"/>
      <x v="172"/>
    </i>
    <i>
      <x v="704"/>
      <x v="14"/>
      <x v="20"/>
    </i>
    <i r="1">
      <x v="17"/>
      <x v="39"/>
    </i>
    <i r="1">
      <x v="20"/>
      <x v="63"/>
    </i>
    <i r="1">
      <x v="23"/>
      <x v="83"/>
    </i>
    <i r="1">
      <x v="26"/>
      <x v="107"/>
    </i>
    <i r="1">
      <x v="29"/>
      <x v="127"/>
    </i>
    <i r="1">
      <x v="32"/>
      <x v="147"/>
    </i>
    <i r="1">
      <x v="35"/>
      <x v="171"/>
    </i>
    <i>
      <x v="705"/>
      <x v="14"/>
      <x v="19"/>
    </i>
    <i r="1">
      <x v="17"/>
      <x v="38"/>
    </i>
    <i r="1">
      <x v="20"/>
      <x v="62"/>
    </i>
    <i r="1">
      <x v="23"/>
      <x v="82"/>
    </i>
    <i r="1">
      <x v="26"/>
      <x v="106"/>
    </i>
    <i r="1">
      <x v="29"/>
      <x v="126"/>
    </i>
    <i r="1">
      <x v="32"/>
      <x v="146"/>
    </i>
    <i r="1">
      <x v="35"/>
      <x v="170"/>
    </i>
    <i>
      <x v="706"/>
      <x v="2"/>
      <x v="186"/>
    </i>
    <i r="1">
      <x v="14"/>
      <x v="18"/>
    </i>
    <i r="1">
      <x v="17"/>
      <x v="37"/>
    </i>
    <i r="1">
      <x v="20"/>
      <x v="61"/>
    </i>
    <i r="1">
      <x v="23"/>
      <x v="81"/>
    </i>
    <i r="1">
      <x v="26"/>
      <x v="105"/>
    </i>
    <i r="1">
      <x v="29"/>
      <x v="125"/>
    </i>
    <i r="1">
      <x v="32"/>
      <x v="145"/>
    </i>
    <i r="1">
      <x v="35"/>
      <x v="169"/>
    </i>
    <i>
      <x v="707"/>
      <x v="2"/>
      <x v="185"/>
    </i>
    <i r="1">
      <x v="14"/>
      <x v="17"/>
    </i>
    <i r="1">
      <x v="17"/>
      <x v="36"/>
    </i>
    <i r="1">
      <x v="20"/>
      <x v="60"/>
    </i>
    <i r="1">
      <x v="23"/>
      <x v="80"/>
    </i>
    <i r="1">
      <x v="26"/>
      <x v="104"/>
    </i>
    <i r="1">
      <x v="29"/>
      <x v="124"/>
    </i>
    <i r="1">
      <x v="32"/>
      <x v="144"/>
    </i>
    <i r="1">
      <x v="35"/>
      <x v="168"/>
    </i>
    <i>
      <x v="708"/>
      <x v="2"/>
      <x v="184"/>
    </i>
    <i r="1">
      <x v="14"/>
      <x v="16"/>
    </i>
    <i r="1">
      <x v="17"/>
      <x v="35"/>
    </i>
    <i r="1">
      <x v="20"/>
      <x v="59"/>
    </i>
    <i r="1">
      <x v="23"/>
      <x v="79"/>
    </i>
    <i r="1">
      <x v="26"/>
      <x v="103"/>
    </i>
    <i r="1">
      <x v="29"/>
      <x v="123"/>
    </i>
    <i r="1">
      <x v="32"/>
      <x v="143"/>
    </i>
    <i r="1">
      <x v="35"/>
      <x v="167"/>
    </i>
    <i>
      <x v="709"/>
      <x v="2"/>
      <x v="183"/>
    </i>
    <i r="1">
      <x v="14"/>
      <x v="15"/>
    </i>
    <i r="1">
      <x v="17"/>
      <x v="34"/>
    </i>
    <i r="1">
      <x v="20"/>
      <x v="58"/>
    </i>
    <i r="1">
      <x v="23"/>
      <x v="78"/>
    </i>
    <i r="1">
      <x v="26"/>
      <x v="102"/>
    </i>
    <i r="1">
      <x v="29"/>
      <x v="122"/>
    </i>
    <i r="1">
      <x v="32"/>
      <x v="142"/>
    </i>
    <i r="1">
      <x v="35"/>
      <x v="166"/>
    </i>
    <i>
      <x v="710"/>
      <x v="2"/>
      <x v="182"/>
    </i>
    <i r="1">
      <x v="14"/>
      <x v="14"/>
    </i>
    <i r="1">
      <x v="17"/>
      <x v="33"/>
    </i>
    <i r="1">
      <x v="20"/>
      <x v="57"/>
    </i>
    <i r="1">
      <x v="23"/>
      <x v="77"/>
    </i>
    <i r="1">
      <x v="26"/>
      <x v="101"/>
    </i>
    <i r="1">
      <x v="29"/>
      <x v="121"/>
    </i>
    <i r="1">
      <x v="32"/>
      <x v="141"/>
    </i>
    <i r="1">
      <x v="35"/>
      <x v="165"/>
    </i>
    <i>
      <x v="711"/>
      <x v="2"/>
      <x v="181"/>
    </i>
    <i r="1">
      <x v="14"/>
      <x v="13"/>
    </i>
    <i r="1">
      <x v="17"/>
      <x v="32"/>
    </i>
    <i r="1">
      <x v="20"/>
      <x v="56"/>
    </i>
    <i r="1">
      <x v="23"/>
      <x v="76"/>
    </i>
    <i r="1">
      <x v="26"/>
      <x v="100"/>
    </i>
    <i r="1">
      <x v="29"/>
      <x v="120"/>
    </i>
    <i r="1">
      <x v="32"/>
      <x v="140"/>
    </i>
    <i r="1">
      <x v="35"/>
      <x v="164"/>
    </i>
    <i>
      <x v="712"/>
      <x v="2"/>
      <x v="180"/>
    </i>
    <i r="1">
      <x v="14"/>
      <x v="12"/>
    </i>
    <i r="1">
      <x v="17"/>
      <x v="31"/>
    </i>
    <i r="1">
      <x v="20"/>
      <x v="55"/>
    </i>
    <i r="1">
      <x v="23"/>
      <x v="75"/>
    </i>
    <i r="1">
      <x v="26"/>
      <x v="99"/>
    </i>
    <i r="1">
      <x v="29"/>
      <x v="119"/>
    </i>
    <i r="1">
      <x v="32"/>
      <x v="139"/>
    </i>
    <i r="1">
      <x v="35"/>
      <x v="163"/>
    </i>
    <i>
      <x v="713"/>
      <x v="2"/>
      <x v="179"/>
    </i>
    <i r="1">
      <x v="14"/>
      <x v="11"/>
    </i>
    <i r="1">
      <x v="17"/>
      <x v="30"/>
    </i>
    <i r="1">
      <x v="20"/>
      <x v="54"/>
    </i>
    <i r="1">
      <x v="23"/>
      <x v="74"/>
    </i>
    <i r="1">
      <x v="26"/>
      <x v="98"/>
    </i>
    <i r="1">
      <x v="29"/>
      <x v="118"/>
    </i>
    <i r="1">
      <x v="32"/>
      <x v="138"/>
    </i>
    <i r="1">
      <x v="35"/>
      <x v="162"/>
    </i>
    <i>
      <x v="714"/>
      <x v="2"/>
      <x v="178"/>
    </i>
    <i r="1">
      <x v="14"/>
      <x v="10"/>
    </i>
    <i r="1">
      <x v="17"/>
      <x v="29"/>
    </i>
    <i r="1">
      <x v="20"/>
      <x v="53"/>
    </i>
    <i r="1">
      <x v="23"/>
      <x v="73"/>
    </i>
    <i r="1">
      <x v="26"/>
      <x v="97"/>
    </i>
    <i r="1">
      <x v="29"/>
      <x v="117"/>
    </i>
    <i r="1">
      <x v="32"/>
      <x v="137"/>
    </i>
    <i r="1">
      <x v="35"/>
      <x v="161"/>
    </i>
    <i>
      <x v="715"/>
      <x v="2"/>
      <x v="177"/>
    </i>
    <i r="1">
      <x v="14"/>
      <x v="9"/>
    </i>
    <i r="1">
      <x v="17"/>
      <x v="28"/>
    </i>
    <i r="1">
      <x v="20"/>
      <x v="52"/>
    </i>
    <i r="1">
      <x v="23"/>
      <x v="72"/>
    </i>
    <i r="1">
      <x v="26"/>
      <x v="96"/>
    </i>
    <i r="1">
      <x v="29"/>
      <x v="116"/>
    </i>
    <i r="1">
      <x v="32"/>
      <x v="136"/>
    </i>
    <i r="1">
      <x v="35"/>
      <x v="160"/>
    </i>
    <i>
      <x v="716"/>
      <x v="2"/>
      <x v="176"/>
    </i>
    <i r="1">
      <x v="14"/>
      <x v="8"/>
    </i>
    <i r="1">
      <x v="17"/>
      <x v="27"/>
    </i>
    <i r="1">
      <x v="20"/>
      <x v="51"/>
    </i>
    <i r="1">
      <x v="23"/>
      <x v="71"/>
    </i>
    <i r="1">
      <x v="26"/>
      <x v="95"/>
    </i>
    <i r="1">
      <x v="29"/>
      <x v="115"/>
    </i>
    <i r="1">
      <x v="32"/>
      <x v="135"/>
    </i>
    <i r="1">
      <x v="35"/>
      <x v="159"/>
    </i>
    <i>
      <x v="717"/>
      <x v="2"/>
      <x v="175"/>
    </i>
    <i r="1">
      <x v="14"/>
      <x v="7"/>
    </i>
    <i r="1">
      <x v="17"/>
      <x v="26"/>
    </i>
    <i r="1">
      <x v="20"/>
      <x v="50"/>
    </i>
    <i r="1">
      <x v="23"/>
      <x v="70"/>
    </i>
    <i r="1">
      <x v="26"/>
      <x v="94"/>
    </i>
    <i r="1">
      <x v="29"/>
      <x v="114"/>
    </i>
    <i r="1">
      <x v="32"/>
      <x v="134"/>
    </i>
    <i r="1">
      <x v="35"/>
      <x v="158"/>
    </i>
    <i>
      <x v="718"/>
      <x v="2"/>
      <x v="174"/>
    </i>
    <i r="1">
      <x v="14"/>
      <x v="6"/>
    </i>
    <i r="1">
      <x v="17"/>
      <x v="25"/>
    </i>
    <i r="1">
      <x v="20"/>
      <x v="49"/>
    </i>
    <i r="1">
      <x v="23"/>
      <x v="69"/>
    </i>
    <i r="1">
      <x v="26"/>
      <x v="93"/>
    </i>
    <i r="1">
      <x v="29"/>
      <x v="113"/>
    </i>
    <i r="1">
      <x v="32"/>
      <x v="133"/>
    </i>
    <i r="1">
      <x v="35"/>
      <x v="157"/>
    </i>
    <i>
      <x v="719"/>
      <x v="2"/>
      <x v="173"/>
    </i>
    <i r="1">
      <x v="14"/>
      <x v="5"/>
    </i>
    <i r="1">
      <x v="17"/>
      <x v="24"/>
    </i>
    <i r="1">
      <x v="20"/>
      <x v="48"/>
    </i>
    <i r="1">
      <x v="23"/>
      <x v="68"/>
    </i>
    <i r="1">
      <x v="26"/>
      <x v="92"/>
    </i>
    <i r="1">
      <x v="29"/>
      <x v="112"/>
    </i>
    <i r="1">
      <x v="32"/>
      <x v="132"/>
    </i>
    <i r="1">
      <x v="35"/>
      <x v="156"/>
    </i>
    <i>
      <x v="720"/>
      <x v="2"/>
      <x v="172"/>
    </i>
    <i r="1">
      <x v="14"/>
      <x v="4"/>
    </i>
    <i r="1">
      <x v="17"/>
      <x v="23"/>
    </i>
    <i r="1">
      <x v="20"/>
      <x v="47"/>
    </i>
    <i r="1">
      <x v="23"/>
      <x v="67"/>
    </i>
    <i r="1">
      <x v="26"/>
      <x v="91"/>
    </i>
    <i r="1">
      <x v="29"/>
      <x v="111"/>
    </i>
    <i r="1">
      <x v="32"/>
      <x v="131"/>
    </i>
    <i r="1">
      <x v="35"/>
      <x v="155"/>
    </i>
    <i>
      <x v="721"/>
      <x v="2"/>
      <x v="171"/>
    </i>
    <i r="1">
      <x v="14"/>
      <x v="3"/>
    </i>
    <i r="1">
      <x v="17"/>
      <x v="22"/>
    </i>
    <i r="1">
      <x v="20"/>
      <x v="46"/>
    </i>
    <i r="1">
      <x v="23"/>
      <x v="66"/>
    </i>
    <i r="1">
      <x v="26"/>
      <x v="90"/>
    </i>
    <i r="1">
      <x v="29"/>
      <x v="110"/>
    </i>
    <i r="1">
      <x v="32"/>
      <x v="130"/>
    </i>
    <i r="1">
      <x v="35"/>
      <x v="154"/>
    </i>
    <i>
      <x v="722"/>
      <x v="2"/>
      <x v="170"/>
    </i>
    <i r="1">
      <x v="14"/>
      <x v="2"/>
    </i>
    <i r="1">
      <x v="17"/>
      <x v="21"/>
    </i>
    <i r="1">
      <x v="20"/>
      <x v="45"/>
    </i>
    <i r="1">
      <x v="23"/>
      <x v="65"/>
    </i>
    <i r="1">
      <x v="26"/>
      <x v="89"/>
    </i>
    <i r="1">
      <x v="29"/>
      <x v="109"/>
    </i>
    <i r="1">
      <x v="32"/>
      <x v="129"/>
    </i>
    <i r="1">
      <x v="35"/>
      <x v="153"/>
    </i>
    <i>
      <x v="723"/>
      <x v="2"/>
      <x v="169"/>
    </i>
    <i r="1">
      <x v="14"/>
      <x v="1"/>
    </i>
    <i r="1">
      <x v="17"/>
      <x v="20"/>
    </i>
    <i r="1">
      <x v="20"/>
      <x v="44"/>
    </i>
    <i r="1">
      <x v="23"/>
      <x v="64"/>
    </i>
    <i r="1">
      <x v="26"/>
      <x v="88"/>
    </i>
    <i r="1">
      <x v="29"/>
      <x v="108"/>
    </i>
    <i r="1">
      <x v="32"/>
      <x v="128"/>
    </i>
    <i r="1">
      <x v="35"/>
      <x v="152"/>
    </i>
    <i>
      <x v="724"/>
      <x v="2"/>
      <x v="168"/>
    </i>
    <i r="1">
      <x v="17"/>
      <x v="19"/>
    </i>
    <i r="1">
      <x v="20"/>
      <x v="43"/>
    </i>
    <i r="1">
      <x v="23"/>
      <x v="63"/>
    </i>
    <i r="1">
      <x v="26"/>
      <x v="87"/>
    </i>
    <i r="1">
      <x v="29"/>
      <x v="107"/>
    </i>
    <i r="1">
      <x v="32"/>
      <x v="127"/>
    </i>
    <i r="1">
      <x v="35"/>
      <x v="151"/>
    </i>
    <i>
      <x v="725"/>
      <x v="2"/>
      <x v="167"/>
    </i>
    <i r="1">
      <x v="17"/>
      <x v="18"/>
    </i>
    <i r="1">
      <x v="20"/>
      <x v="42"/>
    </i>
    <i r="1">
      <x v="23"/>
      <x v="62"/>
    </i>
    <i r="1">
      <x v="26"/>
      <x v="86"/>
    </i>
    <i r="1">
      <x v="29"/>
      <x v="106"/>
    </i>
    <i r="1">
      <x v="32"/>
      <x v="126"/>
    </i>
    <i r="1">
      <x v="35"/>
      <x v="150"/>
    </i>
    <i>
      <x v="726"/>
      <x v="2"/>
      <x v="166"/>
    </i>
    <i r="1">
      <x v="5"/>
      <x v="186"/>
    </i>
    <i r="1">
      <x v="17"/>
      <x v="17"/>
    </i>
    <i r="1">
      <x v="20"/>
      <x v="41"/>
    </i>
    <i r="1">
      <x v="23"/>
      <x v="61"/>
    </i>
    <i r="1">
      <x v="26"/>
      <x v="85"/>
    </i>
    <i r="1">
      <x v="29"/>
      <x v="105"/>
    </i>
    <i r="1">
      <x v="32"/>
      <x v="125"/>
    </i>
    <i r="1">
      <x v="35"/>
      <x v="149"/>
    </i>
    <i>
      <x v="727"/>
      <x v="2"/>
      <x v="165"/>
    </i>
    <i r="1">
      <x v="5"/>
      <x v="185"/>
    </i>
    <i r="1">
      <x v="17"/>
      <x v="16"/>
    </i>
    <i r="1">
      <x v="20"/>
      <x v="40"/>
    </i>
    <i r="1">
      <x v="23"/>
      <x v="60"/>
    </i>
    <i r="1">
      <x v="26"/>
      <x v="84"/>
    </i>
    <i r="1">
      <x v="29"/>
      <x v="104"/>
    </i>
    <i r="1">
      <x v="32"/>
      <x v="124"/>
    </i>
    <i r="1">
      <x v="35"/>
      <x v="148"/>
    </i>
    <i>
      <x v="728"/>
      <x v="2"/>
      <x v="164"/>
    </i>
    <i r="1">
      <x v="5"/>
      <x v="184"/>
    </i>
    <i r="1">
      <x v="17"/>
      <x v="15"/>
    </i>
    <i r="1">
      <x v="20"/>
      <x v="39"/>
    </i>
    <i r="1">
      <x v="23"/>
      <x v="59"/>
    </i>
    <i r="1">
      <x v="26"/>
      <x v="83"/>
    </i>
    <i r="1">
      <x v="29"/>
      <x v="103"/>
    </i>
    <i r="1">
      <x v="32"/>
      <x v="123"/>
    </i>
    <i r="1">
      <x v="35"/>
      <x v="147"/>
    </i>
    <i>
      <x v="729"/>
      <x v="2"/>
      <x v="163"/>
    </i>
    <i r="1">
      <x v="5"/>
      <x v="183"/>
    </i>
    <i r="1">
      <x v="17"/>
      <x v="14"/>
    </i>
    <i r="1">
      <x v="20"/>
      <x v="38"/>
    </i>
    <i r="1">
      <x v="23"/>
      <x v="58"/>
    </i>
    <i r="1">
      <x v="26"/>
      <x v="82"/>
    </i>
    <i r="1">
      <x v="29"/>
      <x v="102"/>
    </i>
    <i r="1">
      <x v="32"/>
      <x v="122"/>
    </i>
    <i r="1">
      <x v="35"/>
      <x v="146"/>
    </i>
    <i>
      <x v="730"/>
      <x v="2"/>
      <x v="162"/>
    </i>
    <i r="1">
      <x v="5"/>
      <x v="182"/>
    </i>
    <i r="1">
      <x v="17"/>
      <x v="13"/>
    </i>
    <i r="1">
      <x v="20"/>
      <x v="37"/>
    </i>
    <i r="1">
      <x v="23"/>
      <x v="57"/>
    </i>
    <i r="1">
      <x v="26"/>
      <x v="81"/>
    </i>
    <i r="1">
      <x v="29"/>
      <x v="101"/>
    </i>
    <i r="1">
      <x v="32"/>
      <x v="121"/>
    </i>
    <i r="1">
      <x v="35"/>
      <x v="145"/>
    </i>
    <i>
      <x v="731"/>
      <x v="2"/>
      <x v="161"/>
    </i>
    <i r="1">
      <x v="5"/>
      <x v="181"/>
    </i>
    <i r="1">
      <x v="17"/>
      <x v="12"/>
    </i>
    <i r="1">
      <x v="20"/>
      <x v="36"/>
    </i>
    <i r="1">
      <x v="23"/>
      <x v="56"/>
    </i>
    <i r="1">
      <x v="26"/>
      <x v="80"/>
    </i>
    <i r="1">
      <x v="29"/>
      <x v="100"/>
    </i>
    <i r="1">
      <x v="32"/>
      <x v="120"/>
    </i>
    <i r="1">
      <x v="35"/>
      <x v="144"/>
    </i>
    <i>
      <x v="732"/>
      <x v="2"/>
      <x v="160"/>
    </i>
    <i r="1">
      <x v="5"/>
      <x v="180"/>
    </i>
    <i r="1">
      <x v="17"/>
      <x v="11"/>
    </i>
    <i r="1">
      <x v="20"/>
      <x v="35"/>
    </i>
    <i r="1">
      <x v="23"/>
      <x v="55"/>
    </i>
    <i r="1">
      <x v="26"/>
      <x v="79"/>
    </i>
    <i r="1">
      <x v="29"/>
      <x v="99"/>
    </i>
    <i r="1">
      <x v="32"/>
      <x v="119"/>
    </i>
    <i r="1">
      <x v="35"/>
      <x v="143"/>
    </i>
    <i>
      <x v="733"/>
      <x v="2"/>
      <x v="159"/>
    </i>
    <i r="1">
      <x v="5"/>
      <x v="179"/>
    </i>
    <i r="1">
      <x v="17"/>
      <x v="10"/>
    </i>
    <i r="1">
      <x v="20"/>
      <x v="34"/>
    </i>
    <i r="1">
      <x v="23"/>
      <x v="54"/>
    </i>
    <i r="1">
      <x v="26"/>
      <x v="78"/>
    </i>
    <i r="1">
      <x v="29"/>
      <x v="98"/>
    </i>
    <i r="1">
      <x v="32"/>
      <x v="118"/>
    </i>
    <i r="1">
      <x v="35"/>
      <x v="142"/>
    </i>
    <i>
      <x v="734"/>
      <x v="2"/>
      <x v="158"/>
    </i>
    <i r="1">
      <x v="5"/>
      <x v="178"/>
    </i>
    <i r="1">
      <x v="17"/>
      <x v="9"/>
    </i>
    <i r="1">
      <x v="20"/>
      <x v="33"/>
    </i>
    <i r="1">
      <x v="23"/>
      <x v="53"/>
    </i>
    <i r="1">
      <x v="26"/>
      <x v="77"/>
    </i>
    <i r="1">
      <x v="29"/>
      <x v="97"/>
    </i>
    <i r="1">
      <x v="32"/>
      <x v="117"/>
    </i>
    <i r="1">
      <x v="35"/>
      <x v="141"/>
    </i>
    <i>
      <x v="735"/>
      <x v="2"/>
      <x v="157"/>
    </i>
    <i r="1">
      <x v="5"/>
      <x v="177"/>
    </i>
    <i r="1">
      <x v="17"/>
      <x v="8"/>
    </i>
    <i r="1">
      <x v="20"/>
      <x v="32"/>
    </i>
    <i r="1">
      <x v="23"/>
      <x v="52"/>
    </i>
    <i r="1">
      <x v="26"/>
      <x v="76"/>
    </i>
    <i r="1">
      <x v="29"/>
      <x v="96"/>
    </i>
    <i r="1">
      <x v="32"/>
      <x v="116"/>
    </i>
    <i r="1">
      <x v="35"/>
      <x v="140"/>
    </i>
    <i>
      <x v="736"/>
      <x v="2"/>
      <x v="156"/>
    </i>
    <i r="1">
      <x v="5"/>
      <x v="176"/>
    </i>
    <i r="1">
      <x v="17"/>
      <x v="7"/>
    </i>
    <i r="1">
      <x v="20"/>
      <x v="31"/>
    </i>
    <i r="1">
      <x v="23"/>
      <x v="51"/>
    </i>
    <i r="1">
      <x v="26"/>
      <x v="75"/>
    </i>
    <i r="1">
      <x v="29"/>
      <x v="95"/>
    </i>
    <i r="1">
      <x v="32"/>
      <x v="115"/>
    </i>
    <i r="1">
      <x v="35"/>
      <x v="139"/>
    </i>
    <i>
      <x v="737"/>
      <x v="2"/>
      <x v="155"/>
    </i>
    <i r="1">
      <x v="5"/>
      <x v="175"/>
    </i>
    <i r="1">
      <x v="17"/>
      <x v="6"/>
    </i>
    <i r="1">
      <x v="20"/>
      <x v="30"/>
    </i>
    <i r="1">
      <x v="23"/>
      <x v="50"/>
    </i>
    <i r="1">
      <x v="26"/>
      <x v="74"/>
    </i>
    <i r="1">
      <x v="29"/>
      <x v="94"/>
    </i>
    <i r="1">
      <x v="32"/>
      <x v="114"/>
    </i>
    <i r="1">
      <x v="35"/>
      <x v="138"/>
    </i>
    <i>
      <x v="738"/>
      <x v="2"/>
      <x v="154"/>
    </i>
    <i r="1">
      <x v="5"/>
      <x v="174"/>
    </i>
    <i r="1">
      <x v="17"/>
      <x v="5"/>
    </i>
    <i r="1">
      <x v="20"/>
      <x v="29"/>
    </i>
    <i r="1">
      <x v="23"/>
      <x v="49"/>
    </i>
    <i r="1">
      <x v="26"/>
      <x v="73"/>
    </i>
    <i r="1">
      <x v="29"/>
      <x v="93"/>
    </i>
    <i r="1">
      <x v="32"/>
      <x v="113"/>
    </i>
    <i r="1">
      <x v="35"/>
      <x v="137"/>
    </i>
    <i>
      <x v="739"/>
      <x v="2"/>
      <x v="153"/>
    </i>
    <i r="1">
      <x v="5"/>
      <x v="173"/>
    </i>
    <i r="1">
      <x v="17"/>
      <x v="4"/>
    </i>
    <i r="1">
      <x v="20"/>
      <x v="28"/>
    </i>
    <i r="1">
      <x v="23"/>
      <x v="48"/>
    </i>
    <i r="1">
      <x v="26"/>
      <x v="72"/>
    </i>
    <i r="1">
      <x v="29"/>
      <x v="92"/>
    </i>
    <i r="1">
      <x v="32"/>
      <x v="112"/>
    </i>
    <i r="1">
      <x v="35"/>
      <x v="136"/>
    </i>
    <i t="grand">
      <x/>
    </i>
  </rowItems>
  <colItems count="1">
    <i/>
  </colItems>
  <dataFields count="1">
    <dataField name="Sum of Settl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24B8-477D-A448-8E03-BF4D14E028E0}">
  <sheetPr codeName="Sheet1"/>
  <dimension ref="A1:AG93"/>
  <sheetViews>
    <sheetView tabSelected="1" topLeftCell="O1" zoomScale="55" zoomScaleNormal="55" workbookViewId="0">
      <selection activeCell="U2" sqref="U2"/>
    </sheetView>
  </sheetViews>
  <sheetFormatPr defaultColWidth="10.6640625" defaultRowHeight="15.5" x14ac:dyDescent="0.35"/>
  <cols>
    <col min="1" max="1" width="14.83203125" customWidth="1"/>
    <col min="18" max="18" width="13" bestFit="1" customWidth="1"/>
  </cols>
  <sheetData>
    <row r="1" spans="1:33" x14ac:dyDescent="0.35">
      <c r="J1">
        <f>J2-J3</f>
        <v>-1.1200000000000001</v>
      </c>
      <c r="K1">
        <f>K2-K3</f>
        <v>0</v>
      </c>
      <c r="L1">
        <f>L2-L3</f>
        <v>0</v>
      </c>
      <c r="M1">
        <f>SUM(J1:L1)</f>
        <v>-1.1200000000000001</v>
      </c>
      <c r="R1" t="s">
        <v>69</v>
      </c>
      <c r="AE1" t="s">
        <v>77</v>
      </c>
    </row>
    <row r="2" spans="1:33" x14ac:dyDescent="0.35">
      <c r="H2" t="s">
        <v>66</v>
      </c>
      <c r="I2" s="1">
        <v>27.3</v>
      </c>
      <c r="J2" s="1">
        <f>IF(J$7="C", MAX(($I2-J$8), 0), MAX(J$8-$I2, 0))*J$6-J$6*J$5</f>
        <v>-0.56000000000000005</v>
      </c>
      <c r="K2" s="1">
        <f>IF(K$7="C", MAX(($I2-K$8), 0), MAX(K$8-$I2, 0))*K$6-K$6*K$5</f>
        <v>0</v>
      </c>
      <c r="L2" s="1">
        <f>IF(L$7="C", MAX(($I2-L$8), 0), MAX(L$8-$I2, 0))*L$6-L$6*L$5</f>
        <v>0</v>
      </c>
      <c r="M2" s="1">
        <f>SUM(J2:L2)*100</f>
        <v>-56.000000000000007</v>
      </c>
      <c r="R2" t="s">
        <v>68</v>
      </c>
      <c r="AE2">
        <v>30</v>
      </c>
    </row>
    <row r="3" spans="1:33" x14ac:dyDescent="0.35">
      <c r="I3" t="s">
        <v>68</v>
      </c>
      <c r="J3" s="1">
        <v>0.56000000000000005</v>
      </c>
      <c r="K3" s="1">
        <f>(K4-K5)*K6</f>
        <v>0</v>
      </c>
      <c r="L3" s="1">
        <f>(L4-L5)*L6</f>
        <v>0</v>
      </c>
      <c r="M3" s="1">
        <f>SUM(J3:L3)*100</f>
        <v>56.000000000000007</v>
      </c>
      <c r="R3" t="s">
        <v>70</v>
      </c>
      <c r="AB3" t="s">
        <v>75</v>
      </c>
      <c r="AC3" t="s">
        <v>74</v>
      </c>
      <c r="AD3" t="s">
        <v>76</v>
      </c>
      <c r="AE3" t="s">
        <v>78</v>
      </c>
      <c r="AF3" t="s">
        <v>79</v>
      </c>
      <c r="AG3" t="s">
        <v>73</v>
      </c>
    </row>
    <row r="4" spans="1:33" x14ac:dyDescent="0.35">
      <c r="G4" s="10" t="s">
        <v>4</v>
      </c>
      <c r="I4" s="13" t="s">
        <v>67</v>
      </c>
      <c r="J4" s="6">
        <v>0.56000000000000005</v>
      </c>
      <c r="K4" s="6">
        <v>4.47</v>
      </c>
      <c r="L4" s="6">
        <v>1.44</v>
      </c>
      <c r="M4" s="6">
        <f>SUMPRODUCT(J4:L4, J6:L6)</f>
        <v>0.56000000000000005</v>
      </c>
      <c r="R4" t="s">
        <v>64</v>
      </c>
      <c r="AB4">
        <v>17.375</v>
      </c>
      <c r="AC4">
        <v>6.25</v>
      </c>
      <c r="AD4">
        <f>20%*AB4*100</f>
        <v>347.5</v>
      </c>
      <c r="AE4">
        <f>(AE2-AB4)*100</f>
        <v>1262.5</v>
      </c>
      <c r="AF4">
        <f>10%*AB4*100</f>
        <v>173.75</v>
      </c>
      <c r="AG4">
        <f>AC4+MAX(AD4-AE4, AF4)</f>
        <v>180</v>
      </c>
    </row>
    <row r="5" spans="1:33" x14ac:dyDescent="0.35">
      <c r="A5" t="s">
        <v>59</v>
      </c>
      <c r="B5" t="s">
        <v>4</v>
      </c>
      <c r="C5" s="6">
        <v>3.95</v>
      </c>
      <c r="D5" s="6">
        <v>1.71</v>
      </c>
      <c r="E5" s="6">
        <v>1.21</v>
      </c>
      <c r="F5" s="6">
        <v>0</v>
      </c>
      <c r="G5" s="6">
        <f>SUMPRODUCT(C5:F5, C6:F6)</f>
        <v>3.0000000000000249E-2</v>
      </c>
      <c r="I5" s="13" t="s">
        <v>65</v>
      </c>
      <c r="J5" s="6">
        <v>0.56000000000000005</v>
      </c>
      <c r="K5" s="6">
        <v>0.9</v>
      </c>
      <c r="L5" s="6">
        <v>0.95</v>
      </c>
      <c r="M5" s="6">
        <f>SUMPRODUCT(J5:L5, J6:L6)</f>
        <v>0.56000000000000005</v>
      </c>
      <c r="N5" s="10"/>
      <c r="R5" t="s">
        <v>72</v>
      </c>
    </row>
    <row r="6" spans="1:33" x14ac:dyDescent="0.35">
      <c r="B6" t="s">
        <v>3</v>
      </c>
      <c r="C6">
        <v>1</v>
      </c>
      <c r="D6">
        <v>-3</v>
      </c>
      <c r="E6">
        <v>1</v>
      </c>
      <c r="F6">
        <v>0</v>
      </c>
      <c r="J6">
        <v>1</v>
      </c>
      <c r="K6">
        <v>0</v>
      </c>
      <c r="L6">
        <v>0</v>
      </c>
      <c r="R6" t="s">
        <v>71</v>
      </c>
    </row>
    <row r="7" spans="1:33" x14ac:dyDescent="0.35">
      <c r="B7" t="s">
        <v>2</v>
      </c>
      <c r="C7" t="s">
        <v>1</v>
      </c>
      <c r="D7" t="s">
        <v>1</v>
      </c>
      <c r="E7" t="s">
        <v>1</v>
      </c>
      <c r="F7" t="s">
        <v>1</v>
      </c>
      <c r="J7" t="s">
        <v>58</v>
      </c>
      <c r="K7" t="s">
        <v>58</v>
      </c>
      <c r="L7" t="s">
        <v>58</v>
      </c>
    </row>
    <row r="8" spans="1:33" x14ac:dyDescent="0.35">
      <c r="B8" t="s">
        <v>0</v>
      </c>
      <c r="C8">
        <v>23</v>
      </c>
      <c r="D8">
        <v>36</v>
      </c>
      <c r="E8">
        <v>50</v>
      </c>
      <c r="F8">
        <v>0</v>
      </c>
      <c r="J8">
        <v>18</v>
      </c>
      <c r="K8">
        <v>21</v>
      </c>
      <c r="L8">
        <v>26</v>
      </c>
    </row>
    <row r="9" spans="1:33" x14ac:dyDescent="0.35">
      <c r="A9" t="s">
        <v>60</v>
      </c>
      <c r="B9" s="7">
        <f>C8+G5/C6</f>
        <v>23.03</v>
      </c>
      <c r="C9" s="1">
        <f>IF(C$7="C", MAX(($B9-C$8), 0), MAX(C$8-$B9, 0))*C$6-C$6*C$5</f>
        <v>-3.919999999999999</v>
      </c>
      <c r="D9" s="1">
        <f t="shared" ref="D9:F32" si="0">IF(D$7="C", MAX(($B9-D$8), 0), MAX(D$8-$B9, 0))*D$6-D$6*D$5</f>
        <v>5.13</v>
      </c>
      <c r="E9" s="1">
        <f t="shared" si="0"/>
        <v>-1.21</v>
      </c>
      <c r="F9" s="1"/>
      <c r="G9" s="2">
        <f>SUM(C9:E9)</f>
        <v>0</v>
      </c>
      <c r="I9" s="7">
        <f>J8-(J8-K8)*ABS(K6)+M5</f>
        <v>18.559999999999999</v>
      </c>
      <c r="J9" s="1">
        <f t="shared" ref="J9:L11" si="1">IF(J$7="C", MAX(($I9-J$8), 0), MAX(J$8-$I9, 0))*J$6-J$6*J$5</f>
        <v>-0.56000000000000005</v>
      </c>
      <c r="K9" s="1">
        <f t="shared" si="1"/>
        <v>0</v>
      </c>
      <c r="L9" s="1">
        <f t="shared" si="1"/>
        <v>0</v>
      </c>
      <c r="M9" s="2">
        <f>SUM(J9:L9)</f>
        <v>-0.56000000000000005</v>
      </c>
    </row>
    <row r="10" spans="1:33" x14ac:dyDescent="0.35">
      <c r="A10" t="s">
        <v>61</v>
      </c>
      <c r="B10" s="7">
        <f>C8+((D8-C8)*ABS(D6))/(ABS(D6)-C6)-G5</f>
        <v>42.47</v>
      </c>
      <c r="C10" s="1">
        <f>IF(C$7="C", MAX(($B10-C$8), 0), MAX(C$8-$B10, 0))*C$6-C$6*C$5</f>
        <v>15.52</v>
      </c>
      <c r="D10" s="1">
        <f t="shared" si="0"/>
        <v>-14.279999999999998</v>
      </c>
      <c r="E10" s="1">
        <f t="shared" si="0"/>
        <v>-1.21</v>
      </c>
      <c r="F10" s="1"/>
      <c r="G10" s="2">
        <f>SUM(C10:E10)</f>
        <v>3.0000000000002025E-2</v>
      </c>
      <c r="I10" s="7">
        <f>J8-M5*J6</f>
        <v>17.440000000000001</v>
      </c>
      <c r="J10" s="1">
        <f t="shared" si="1"/>
        <v>-1.3322676295501878E-15</v>
      </c>
      <c r="K10" s="1">
        <f t="shared" si="1"/>
        <v>0</v>
      </c>
      <c r="L10" s="1">
        <f t="shared" si="1"/>
        <v>0</v>
      </c>
      <c r="M10" s="2">
        <f>SUM(J10:L10)</f>
        <v>-1.3322676295501878E-15</v>
      </c>
    </row>
    <row r="11" spans="1:33" x14ac:dyDescent="0.35">
      <c r="A11" t="s">
        <v>62</v>
      </c>
      <c r="B11" s="7">
        <f>D8</f>
        <v>36</v>
      </c>
      <c r="C11" s="1">
        <f>IF(C$7="C", MAX(($B11-C$8), 0), MAX(C$8-$B11, 0))*C$6-C$6*C$5</f>
        <v>9.0500000000000007</v>
      </c>
      <c r="D11" s="1">
        <f t="shared" si="0"/>
        <v>5.13</v>
      </c>
      <c r="E11" s="1">
        <f t="shared" si="0"/>
        <v>-1.21</v>
      </c>
      <c r="F11" s="1">
        <f t="shared" si="0"/>
        <v>0</v>
      </c>
      <c r="G11" s="8">
        <f>SUM(C11:F11)</f>
        <v>12.969999999999999</v>
      </c>
      <c r="H11" s="9">
        <f>G11/(G5*100)-1</f>
        <v>3.3233333333332968</v>
      </c>
      <c r="I11" s="7">
        <f>K8</f>
        <v>21</v>
      </c>
      <c r="J11" s="1">
        <f t="shared" si="1"/>
        <v>-0.56000000000000005</v>
      </c>
      <c r="K11" s="1">
        <f t="shared" si="1"/>
        <v>0</v>
      </c>
      <c r="L11" s="1">
        <f t="shared" si="1"/>
        <v>0</v>
      </c>
      <c r="M11" s="8">
        <f>SUM(J11:L11)*100</f>
        <v>-56.000000000000007</v>
      </c>
    </row>
    <row r="12" spans="1:33" x14ac:dyDescent="0.35">
      <c r="A12" t="s">
        <v>63</v>
      </c>
      <c r="B12" s="7"/>
      <c r="C12" s="1"/>
      <c r="D12" s="1"/>
      <c r="E12" s="1"/>
      <c r="F12" s="1"/>
      <c r="G12" s="8">
        <f>MIN(G13:G93)</f>
        <v>-5503.0000000000009</v>
      </c>
      <c r="H12" s="9">
        <f>G11/ABS(G12)</f>
        <v>2.3568962384154092E-3</v>
      </c>
    </row>
    <row r="13" spans="1:33" x14ac:dyDescent="0.35">
      <c r="A13">
        <v>0</v>
      </c>
      <c r="B13" s="14">
        <v>10</v>
      </c>
      <c r="C13">
        <f>IF(C$7="C", MAX(($B13-C$8), 0), MAX(C$8-$B13, 0))*C$6-C$6*C$5</f>
        <v>-3.95</v>
      </c>
      <c r="D13">
        <f>IF(D$7="C", MAX(($B13-D$8), 0), MAX(D$8-$B13, 0))*D$6-D$6*D$5</f>
        <v>5.13</v>
      </c>
      <c r="E13">
        <f>IF(E$7="C", MAX(($B13-E$8), 0), MAX(E$8-$B13, 0))*E$6-E$6*E$5</f>
        <v>-1.21</v>
      </c>
      <c r="F13">
        <f t="shared" si="0"/>
        <v>0</v>
      </c>
      <c r="G13">
        <f>SUM(C13:F13)*100</f>
        <v>-3.0000000000000249</v>
      </c>
      <c r="I13" s="14">
        <f>B13</f>
        <v>10</v>
      </c>
      <c r="J13">
        <f>IF(J$7="C", MAX(($B13-J$8), 0), MAX(J$8-$B13, 0))*J$6-J$6*J$5</f>
        <v>7.4399999999999995</v>
      </c>
      <c r="K13">
        <f>IF(K$7="C", MAX(($B13-K$8), 0), MAX(K$8-$B13, 0))*K$6-K$6*K$5</f>
        <v>0</v>
      </c>
      <c r="L13">
        <f>IF(L$7="C", MAX(($B13-L$8), 0), MAX(L$8-$B13, 0))*L$6-L$6*L$5</f>
        <v>0</v>
      </c>
      <c r="M13">
        <f>SUM(J13:L13)*100</f>
        <v>744</v>
      </c>
    </row>
    <row r="14" spans="1:33" x14ac:dyDescent="0.35">
      <c r="A14">
        <v>0</v>
      </c>
      <c r="B14" s="14">
        <f>B13+1</f>
        <v>11</v>
      </c>
      <c r="C14">
        <f t="shared" ref="C14:F33" si="2">IF(C$7="C", MAX(($B14-C$8), 0), MAX(C$8-$B14, 0))*C$6-C$6*C$5</f>
        <v>-3.95</v>
      </c>
      <c r="D14">
        <f t="shared" si="0"/>
        <v>5.13</v>
      </c>
      <c r="E14">
        <f t="shared" si="0"/>
        <v>-1.21</v>
      </c>
      <c r="F14">
        <f t="shared" si="0"/>
        <v>0</v>
      </c>
      <c r="G14">
        <f t="shared" ref="G14:G77" si="3">SUM(C14:F14)*100</f>
        <v>-3.0000000000000249</v>
      </c>
      <c r="I14" s="14">
        <f t="shared" ref="I14:I77" si="4">B14</f>
        <v>11</v>
      </c>
      <c r="J14">
        <f t="shared" ref="J14:L33" si="5">IF(J$7="C", MAX(($B14-J$8), 0), MAX(J$8-$B14, 0))*J$6-J$6*J$5</f>
        <v>6.4399999999999995</v>
      </c>
      <c r="K14">
        <f t="shared" ref="K14:L32" si="6">IF(K$7="C", MAX(($B14-K$8), 0), MAX(K$8-$B14, 0))*K$6-K$6*K$5</f>
        <v>0</v>
      </c>
      <c r="L14">
        <f t="shared" si="6"/>
        <v>0</v>
      </c>
      <c r="M14">
        <f t="shared" ref="M14:M77" si="7">SUM(J14:L14)*100</f>
        <v>644</v>
      </c>
    </row>
    <row r="15" spans="1:33" x14ac:dyDescent="0.35">
      <c r="A15">
        <v>0</v>
      </c>
      <c r="B15" s="14">
        <f t="shared" ref="B15:B78" si="8">B14+1</f>
        <v>12</v>
      </c>
      <c r="C15">
        <f t="shared" si="2"/>
        <v>-3.95</v>
      </c>
      <c r="D15">
        <f t="shared" si="0"/>
        <v>5.13</v>
      </c>
      <c r="E15">
        <f t="shared" si="0"/>
        <v>-1.21</v>
      </c>
      <c r="F15">
        <f t="shared" si="0"/>
        <v>0</v>
      </c>
      <c r="G15">
        <f t="shared" si="3"/>
        <v>-3.0000000000000249</v>
      </c>
      <c r="I15" s="14">
        <f t="shared" si="4"/>
        <v>12</v>
      </c>
      <c r="J15">
        <f t="shared" si="5"/>
        <v>5.4399999999999995</v>
      </c>
      <c r="K15">
        <f t="shared" si="6"/>
        <v>0</v>
      </c>
      <c r="L15">
        <f t="shared" si="6"/>
        <v>0</v>
      </c>
      <c r="M15">
        <f t="shared" si="7"/>
        <v>544</v>
      </c>
    </row>
    <row r="16" spans="1:33" x14ac:dyDescent="0.35">
      <c r="A16">
        <v>0</v>
      </c>
      <c r="B16" s="14">
        <f t="shared" si="8"/>
        <v>13</v>
      </c>
      <c r="C16">
        <f t="shared" si="2"/>
        <v>-3.95</v>
      </c>
      <c r="D16">
        <f t="shared" si="0"/>
        <v>5.13</v>
      </c>
      <c r="E16">
        <f t="shared" si="0"/>
        <v>-1.21</v>
      </c>
      <c r="F16">
        <f t="shared" si="0"/>
        <v>0</v>
      </c>
      <c r="G16">
        <f t="shared" si="3"/>
        <v>-3.0000000000000249</v>
      </c>
      <c r="I16" s="14">
        <f t="shared" si="4"/>
        <v>13</v>
      </c>
      <c r="J16">
        <f t="shared" si="5"/>
        <v>4.4399999999999995</v>
      </c>
      <c r="K16">
        <f t="shared" si="6"/>
        <v>0</v>
      </c>
      <c r="L16">
        <f t="shared" si="6"/>
        <v>0</v>
      </c>
      <c r="M16">
        <f t="shared" si="7"/>
        <v>443.99999999999994</v>
      </c>
    </row>
    <row r="17" spans="1:13" x14ac:dyDescent="0.35">
      <c r="A17">
        <v>0</v>
      </c>
      <c r="B17" s="14">
        <f t="shared" si="8"/>
        <v>14</v>
      </c>
      <c r="C17">
        <f t="shared" si="2"/>
        <v>-3.95</v>
      </c>
      <c r="D17">
        <f t="shared" si="0"/>
        <v>5.13</v>
      </c>
      <c r="E17">
        <f t="shared" si="0"/>
        <v>-1.21</v>
      </c>
      <c r="F17">
        <f t="shared" si="0"/>
        <v>0</v>
      </c>
      <c r="G17">
        <f t="shared" si="3"/>
        <v>-3.0000000000000249</v>
      </c>
      <c r="I17" s="14">
        <f t="shared" si="4"/>
        <v>14</v>
      </c>
      <c r="J17">
        <f t="shared" si="5"/>
        <v>3.44</v>
      </c>
      <c r="K17">
        <f t="shared" si="6"/>
        <v>0</v>
      </c>
      <c r="L17">
        <f t="shared" si="6"/>
        <v>0</v>
      </c>
      <c r="M17">
        <f t="shared" si="7"/>
        <v>344</v>
      </c>
    </row>
    <row r="18" spans="1:13" x14ac:dyDescent="0.35">
      <c r="A18">
        <v>0</v>
      </c>
      <c r="B18" s="14">
        <f t="shared" si="8"/>
        <v>15</v>
      </c>
      <c r="C18">
        <f t="shared" si="2"/>
        <v>-3.95</v>
      </c>
      <c r="D18">
        <f t="shared" si="0"/>
        <v>5.13</v>
      </c>
      <c r="E18">
        <f t="shared" si="0"/>
        <v>-1.21</v>
      </c>
      <c r="F18">
        <f t="shared" si="0"/>
        <v>0</v>
      </c>
      <c r="G18">
        <f t="shared" si="3"/>
        <v>-3.0000000000000249</v>
      </c>
      <c r="I18" s="14">
        <f t="shared" si="4"/>
        <v>15</v>
      </c>
      <c r="J18">
        <f t="shared" si="5"/>
        <v>2.44</v>
      </c>
      <c r="K18">
        <f t="shared" si="6"/>
        <v>0</v>
      </c>
      <c r="L18">
        <f t="shared" si="6"/>
        <v>0</v>
      </c>
      <c r="M18">
        <f t="shared" si="7"/>
        <v>244</v>
      </c>
    </row>
    <row r="19" spans="1:13" x14ac:dyDescent="0.35">
      <c r="A19">
        <v>0</v>
      </c>
      <c r="B19" s="14">
        <f t="shared" si="8"/>
        <v>16</v>
      </c>
      <c r="C19">
        <f t="shared" si="2"/>
        <v>-3.95</v>
      </c>
      <c r="D19">
        <f t="shared" si="0"/>
        <v>5.13</v>
      </c>
      <c r="E19">
        <f t="shared" si="0"/>
        <v>-1.21</v>
      </c>
      <c r="F19">
        <f t="shared" si="0"/>
        <v>0</v>
      </c>
      <c r="G19">
        <f t="shared" si="3"/>
        <v>-3.0000000000000249</v>
      </c>
      <c r="I19" s="14">
        <f t="shared" si="4"/>
        <v>16</v>
      </c>
      <c r="J19">
        <f t="shared" si="5"/>
        <v>1.44</v>
      </c>
      <c r="K19">
        <f t="shared" si="6"/>
        <v>0</v>
      </c>
      <c r="L19">
        <f t="shared" si="6"/>
        <v>0</v>
      </c>
      <c r="M19">
        <f t="shared" si="7"/>
        <v>144</v>
      </c>
    </row>
    <row r="20" spans="1:13" x14ac:dyDescent="0.35">
      <c r="A20">
        <v>0</v>
      </c>
      <c r="B20" s="14">
        <f t="shared" si="8"/>
        <v>17</v>
      </c>
      <c r="C20">
        <f t="shared" si="2"/>
        <v>-3.95</v>
      </c>
      <c r="D20">
        <f t="shared" si="0"/>
        <v>5.13</v>
      </c>
      <c r="E20">
        <f t="shared" si="0"/>
        <v>-1.21</v>
      </c>
      <c r="F20">
        <f t="shared" si="0"/>
        <v>0</v>
      </c>
      <c r="G20">
        <f t="shared" si="3"/>
        <v>-3.0000000000000249</v>
      </c>
      <c r="I20" s="14">
        <f t="shared" si="4"/>
        <v>17</v>
      </c>
      <c r="J20">
        <f t="shared" si="5"/>
        <v>0.43999999999999995</v>
      </c>
      <c r="K20">
        <f t="shared" si="6"/>
        <v>0</v>
      </c>
      <c r="L20">
        <f t="shared" si="6"/>
        <v>0</v>
      </c>
      <c r="M20">
        <f t="shared" si="7"/>
        <v>43.999999999999993</v>
      </c>
    </row>
    <row r="21" spans="1:13" x14ac:dyDescent="0.35">
      <c r="A21">
        <v>0</v>
      </c>
      <c r="B21" s="14">
        <f t="shared" si="8"/>
        <v>18</v>
      </c>
      <c r="C21">
        <f t="shared" si="2"/>
        <v>-3.95</v>
      </c>
      <c r="D21">
        <f t="shared" si="0"/>
        <v>5.13</v>
      </c>
      <c r="E21">
        <f t="shared" si="0"/>
        <v>-1.21</v>
      </c>
      <c r="F21">
        <f t="shared" si="0"/>
        <v>0</v>
      </c>
      <c r="G21">
        <f t="shared" si="3"/>
        <v>-3.0000000000000249</v>
      </c>
      <c r="I21" s="14">
        <f t="shared" si="4"/>
        <v>18</v>
      </c>
      <c r="J21">
        <f t="shared" si="5"/>
        <v>-0.56000000000000005</v>
      </c>
      <c r="K21">
        <f t="shared" si="6"/>
        <v>0</v>
      </c>
      <c r="L21">
        <f t="shared" si="6"/>
        <v>0</v>
      </c>
      <c r="M21">
        <f t="shared" si="7"/>
        <v>-56.000000000000007</v>
      </c>
    </row>
    <row r="22" spans="1:13" x14ac:dyDescent="0.35">
      <c r="A22">
        <v>0</v>
      </c>
      <c r="B22" s="14">
        <f t="shared" si="8"/>
        <v>19</v>
      </c>
      <c r="C22">
        <f t="shared" si="2"/>
        <v>-3.95</v>
      </c>
      <c r="D22">
        <f t="shared" si="0"/>
        <v>5.13</v>
      </c>
      <c r="E22">
        <f t="shared" si="0"/>
        <v>-1.21</v>
      </c>
      <c r="F22">
        <f t="shared" si="0"/>
        <v>0</v>
      </c>
      <c r="G22">
        <f t="shared" si="3"/>
        <v>-3.0000000000000249</v>
      </c>
      <c r="I22" s="14">
        <f t="shared" si="4"/>
        <v>19</v>
      </c>
      <c r="J22">
        <f t="shared" si="5"/>
        <v>-0.56000000000000005</v>
      </c>
      <c r="K22">
        <f t="shared" si="6"/>
        <v>0</v>
      </c>
      <c r="L22">
        <f t="shared" si="6"/>
        <v>0</v>
      </c>
      <c r="M22">
        <f t="shared" si="7"/>
        <v>-56.000000000000007</v>
      </c>
    </row>
    <row r="23" spans="1:13" x14ac:dyDescent="0.35">
      <c r="A23">
        <v>0</v>
      </c>
      <c r="B23" s="14">
        <f t="shared" si="8"/>
        <v>20</v>
      </c>
      <c r="C23">
        <f t="shared" si="2"/>
        <v>-3.95</v>
      </c>
      <c r="D23">
        <f t="shared" si="0"/>
        <v>5.13</v>
      </c>
      <c r="E23">
        <f t="shared" si="0"/>
        <v>-1.21</v>
      </c>
      <c r="F23">
        <f t="shared" si="0"/>
        <v>0</v>
      </c>
      <c r="G23">
        <f t="shared" si="3"/>
        <v>-3.0000000000000249</v>
      </c>
      <c r="I23" s="14">
        <f t="shared" si="4"/>
        <v>20</v>
      </c>
      <c r="J23">
        <f t="shared" si="5"/>
        <v>-0.56000000000000005</v>
      </c>
      <c r="K23">
        <f t="shared" si="6"/>
        <v>0</v>
      </c>
      <c r="L23">
        <f t="shared" si="6"/>
        <v>0</v>
      </c>
      <c r="M23">
        <f t="shared" si="7"/>
        <v>-56.000000000000007</v>
      </c>
    </row>
    <row r="24" spans="1:13" x14ac:dyDescent="0.35">
      <c r="A24">
        <v>0</v>
      </c>
      <c r="B24" s="14">
        <f t="shared" si="8"/>
        <v>21</v>
      </c>
      <c r="C24">
        <f t="shared" si="2"/>
        <v>-3.95</v>
      </c>
      <c r="D24">
        <f t="shared" si="0"/>
        <v>5.13</v>
      </c>
      <c r="E24">
        <f t="shared" si="0"/>
        <v>-1.21</v>
      </c>
      <c r="F24">
        <f t="shared" si="0"/>
        <v>0</v>
      </c>
      <c r="G24">
        <f t="shared" si="3"/>
        <v>-3.0000000000000249</v>
      </c>
      <c r="I24" s="14">
        <f t="shared" si="4"/>
        <v>21</v>
      </c>
      <c r="J24">
        <f t="shared" si="5"/>
        <v>-0.56000000000000005</v>
      </c>
      <c r="K24">
        <f t="shared" si="6"/>
        <v>0</v>
      </c>
      <c r="L24">
        <f t="shared" si="6"/>
        <v>0</v>
      </c>
      <c r="M24">
        <f t="shared" si="7"/>
        <v>-56.000000000000007</v>
      </c>
    </row>
    <row r="25" spans="1:13" x14ac:dyDescent="0.35">
      <c r="A25">
        <v>0</v>
      </c>
      <c r="B25" s="14">
        <f t="shared" si="8"/>
        <v>22</v>
      </c>
      <c r="C25">
        <f t="shared" si="2"/>
        <v>-3.95</v>
      </c>
      <c r="D25">
        <f t="shared" si="0"/>
        <v>5.13</v>
      </c>
      <c r="E25">
        <f t="shared" si="0"/>
        <v>-1.21</v>
      </c>
      <c r="F25">
        <f t="shared" si="0"/>
        <v>0</v>
      </c>
      <c r="G25">
        <f t="shared" si="3"/>
        <v>-3.0000000000000249</v>
      </c>
      <c r="I25" s="14">
        <f t="shared" si="4"/>
        <v>22</v>
      </c>
      <c r="J25">
        <f t="shared" si="5"/>
        <v>-0.56000000000000005</v>
      </c>
      <c r="K25">
        <f t="shared" si="6"/>
        <v>0</v>
      </c>
      <c r="L25">
        <f t="shared" si="6"/>
        <v>0</v>
      </c>
      <c r="M25">
        <f t="shared" si="7"/>
        <v>-56.000000000000007</v>
      </c>
    </row>
    <row r="26" spans="1:13" x14ac:dyDescent="0.35">
      <c r="A26">
        <v>0</v>
      </c>
      <c r="B26" s="14">
        <f t="shared" si="8"/>
        <v>23</v>
      </c>
      <c r="C26">
        <f t="shared" si="2"/>
        <v>-3.95</v>
      </c>
      <c r="D26">
        <f t="shared" si="0"/>
        <v>5.13</v>
      </c>
      <c r="E26">
        <f t="shared" si="0"/>
        <v>-1.21</v>
      </c>
      <c r="F26">
        <f t="shared" si="0"/>
        <v>0</v>
      </c>
      <c r="G26">
        <f t="shared" si="3"/>
        <v>-3.0000000000000249</v>
      </c>
      <c r="I26" s="14">
        <f t="shared" si="4"/>
        <v>23</v>
      </c>
      <c r="J26">
        <f t="shared" si="5"/>
        <v>-0.56000000000000005</v>
      </c>
      <c r="K26">
        <f t="shared" si="6"/>
        <v>0</v>
      </c>
      <c r="L26">
        <f t="shared" si="6"/>
        <v>0</v>
      </c>
      <c r="M26">
        <f t="shared" si="7"/>
        <v>-56.000000000000007</v>
      </c>
    </row>
    <row r="27" spans="1:13" x14ac:dyDescent="0.35">
      <c r="A27">
        <v>0</v>
      </c>
      <c r="B27" s="14">
        <f t="shared" si="8"/>
        <v>24</v>
      </c>
      <c r="C27">
        <f t="shared" si="2"/>
        <v>-2.95</v>
      </c>
      <c r="D27">
        <f t="shared" si="0"/>
        <v>5.13</v>
      </c>
      <c r="E27">
        <f t="shared" si="0"/>
        <v>-1.21</v>
      </c>
      <c r="F27">
        <f t="shared" si="0"/>
        <v>0</v>
      </c>
      <c r="G27">
        <f t="shared" si="3"/>
        <v>96.999999999999972</v>
      </c>
      <c r="I27" s="14">
        <f t="shared" si="4"/>
        <v>24</v>
      </c>
      <c r="J27">
        <f t="shared" si="5"/>
        <v>-0.56000000000000005</v>
      </c>
      <c r="K27">
        <f t="shared" si="6"/>
        <v>0</v>
      </c>
      <c r="L27">
        <f t="shared" si="6"/>
        <v>0</v>
      </c>
      <c r="M27">
        <f t="shared" si="7"/>
        <v>-56.000000000000007</v>
      </c>
    </row>
    <row r="28" spans="1:13" x14ac:dyDescent="0.35">
      <c r="A28">
        <v>0</v>
      </c>
      <c r="B28" s="14">
        <f t="shared" si="8"/>
        <v>25</v>
      </c>
      <c r="C28">
        <f t="shared" si="2"/>
        <v>-1.9500000000000002</v>
      </c>
      <c r="D28">
        <f t="shared" si="0"/>
        <v>5.13</v>
      </c>
      <c r="E28">
        <f t="shared" si="0"/>
        <v>-1.21</v>
      </c>
      <c r="F28">
        <f t="shared" si="0"/>
        <v>0</v>
      </c>
      <c r="G28">
        <f t="shared" si="3"/>
        <v>196.99999999999997</v>
      </c>
      <c r="I28" s="14">
        <f t="shared" si="4"/>
        <v>25</v>
      </c>
      <c r="J28">
        <f t="shared" si="5"/>
        <v>-0.56000000000000005</v>
      </c>
      <c r="K28">
        <f t="shared" si="6"/>
        <v>0</v>
      </c>
      <c r="L28">
        <f t="shared" si="6"/>
        <v>0</v>
      </c>
      <c r="M28">
        <f t="shared" si="7"/>
        <v>-56.000000000000007</v>
      </c>
    </row>
    <row r="29" spans="1:13" x14ac:dyDescent="0.35">
      <c r="A29">
        <v>0</v>
      </c>
      <c r="B29" s="14">
        <f t="shared" si="8"/>
        <v>26</v>
      </c>
      <c r="C29">
        <f t="shared" si="2"/>
        <v>-0.95000000000000018</v>
      </c>
      <c r="D29">
        <f t="shared" si="0"/>
        <v>5.13</v>
      </c>
      <c r="E29">
        <f t="shared" si="0"/>
        <v>-1.21</v>
      </c>
      <c r="F29">
        <f t="shared" si="0"/>
        <v>0</v>
      </c>
      <c r="G29">
        <f t="shared" si="3"/>
        <v>297</v>
      </c>
      <c r="I29" s="14">
        <f t="shared" si="4"/>
        <v>26</v>
      </c>
      <c r="J29">
        <f t="shared" si="5"/>
        <v>-0.56000000000000005</v>
      </c>
      <c r="K29">
        <f t="shared" si="6"/>
        <v>0</v>
      </c>
      <c r="L29">
        <f t="shared" si="6"/>
        <v>0</v>
      </c>
      <c r="M29">
        <f t="shared" si="7"/>
        <v>-56.000000000000007</v>
      </c>
    </row>
    <row r="30" spans="1:13" x14ac:dyDescent="0.35">
      <c r="A30">
        <v>0</v>
      </c>
      <c r="B30" s="14">
        <f t="shared" si="8"/>
        <v>27</v>
      </c>
      <c r="C30">
        <f t="shared" si="2"/>
        <v>4.9999999999999822E-2</v>
      </c>
      <c r="D30">
        <f t="shared" si="0"/>
        <v>5.13</v>
      </c>
      <c r="E30">
        <f t="shared" si="0"/>
        <v>-1.21</v>
      </c>
      <c r="F30">
        <f t="shared" si="0"/>
        <v>0</v>
      </c>
      <c r="G30">
        <f t="shared" si="3"/>
        <v>397</v>
      </c>
      <c r="I30" s="14">
        <f t="shared" si="4"/>
        <v>27</v>
      </c>
      <c r="J30">
        <f t="shared" si="5"/>
        <v>-0.56000000000000005</v>
      </c>
      <c r="K30">
        <f t="shared" si="6"/>
        <v>0</v>
      </c>
      <c r="L30">
        <f t="shared" si="6"/>
        <v>0</v>
      </c>
      <c r="M30">
        <f t="shared" si="7"/>
        <v>-56.000000000000007</v>
      </c>
    </row>
    <row r="31" spans="1:13" x14ac:dyDescent="0.35">
      <c r="A31">
        <v>0</v>
      </c>
      <c r="B31" s="14">
        <f t="shared" si="8"/>
        <v>28</v>
      </c>
      <c r="C31">
        <f t="shared" si="2"/>
        <v>1.0499999999999998</v>
      </c>
      <c r="D31">
        <f t="shared" si="0"/>
        <v>5.13</v>
      </c>
      <c r="E31">
        <f t="shared" si="0"/>
        <v>-1.21</v>
      </c>
      <c r="F31">
        <f t="shared" si="0"/>
        <v>0</v>
      </c>
      <c r="G31">
        <f t="shared" si="3"/>
        <v>497</v>
      </c>
      <c r="I31" s="14">
        <f t="shared" si="4"/>
        <v>28</v>
      </c>
      <c r="J31">
        <f t="shared" si="5"/>
        <v>-0.56000000000000005</v>
      </c>
      <c r="K31">
        <f t="shared" si="6"/>
        <v>0</v>
      </c>
      <c r="L31">
        <f t="shared" si="6"/>
        <v>0</v>
      </c>
      <c r="M31">
        <f t="shared" si="7"/>
        <v>-56.000000000000007</v>
      </c>
    </row>
    <row r="32" spans="1:13" x14ac:dyDescent="0.35">
      <c r="A32">
        <v>0</v>
      </c>
      <c r="B32" s="14">
        <f t="shared" si="8"/>
        <v>29</v>
      </c>
      <c r="C32">
        <f t="shared" si="2"/>
        <v>2.0499999999999998</v>
      </c>
      <c r="D32">
        <f t="shared" si="0"/>
        <v>5.13</v>
      </c>
      <c r="E32">
        <f t="shared" si="0"/>
        <v>-1.21</v>
      </c>
      <c r="F32">
        <f t="shared" si="0"/>
        <v>0</v>
      </c>
      <c r="G32">
        <f t="shared" si="3"/>
        <v>597</v>
      </c>
      <c r="I32" s="14">
        <f t="shared" si="4"/>
        <v>29</v>
      </c>
      <c r="J32">
        <f t="shared" si="5"/>
        <v>-0.56000000000000005</v>
      </c>
      <c r="K32">
        <f t="shared" si="6"/>
        <v>0</v>
      </c>
      <c r="L32">
        <f t="shared" si="6"/>
        <v>0</v>
      </c>
      <c r="M32">
        <f t="shared" si="7"/>
        <v>-56.000000000000007</v>
      </c>
    </row>
    <row r="33" spans="1:18" x14ac:dyDescent="0.35">
      <c r="A33">
        <v>0</v>
      </c>
      <c r="B33" s="14">
        <f t="shared" si="8"/>
        <v>30</v>
      </c>
      <c r="C33">
        <f t="shared" si="2"/>
        <v>3.05</v>
      </c>
      <c r="D33">
        <f t="shared" si="2"/>
        <v>5.13</v>
      </c>
      <c r="E33">
        <f t="shared" si="2"/>
        <v>-1.21</v>
      </c>
      <c r="F33">
        <f t="shared" si="2"/>
        <v>0</v>
      </c>
      <c r="G33">
        <f t="shared" si="3"/>
        <v>697</v>
      </c>
      <c r="I33" s="14">
        <f t="shared" si="4"/>
        <v>30</v>
      </c>
      <c r="J33">
        <f t="shared" si="5"/>
        <v>-0.56000000000000005</v>
      </c>
      <c r="K33">
        <f t="shared" si="5"/>
        <v>0</v>
      </c>
      <c r="L33">
        <f t="shared" si="5"/>
        <v>0</v>
      </c>
      <c r="M33">
        <f t="shared" si="7"/>
        <v>-56.000000000000007</v>
      </c>
    </row>
    <row r="34" spans="1:18" x14ac:dyDescent="0.35">
      <c r="A34">
        <v>0</v>
      </c>
      <c r="B34" s="14">
        <f t="shared" si="8"/>
        <v>31</v>
      </c>
      <c r="C34">
        <f t="shared" ref="C34:F53" si="9">IF(C$7="C", MAX(($B34-C$8), 0), MAX(C$8-$B34, 0))*C$6-C$6*C$5</f>
        <v>4.05</v>
      </c>
      <c r="D34">
        <f t="shared" si="9"/>
        <v>5.13</v>
      </c>
      <c r="E34">
        <f t="shared" si="9"/>
        <v>-1.21</v>
      </c>
      <c r="F34">
        <f t="shared" si="9"/>
        <v>0</v>
      </c>
      <c r="G34">
        <f t="shared" si="3"/>
        <v>797</v>
      </c>
      <c r="I34" s="14">
        <f t="shared" si="4"/>
        <v>31</v>
      </c>
      <c r="J34">
        <f t="shared" ref="J34:L53" si="10">IF(J$7="C", MAX(($B34-J$8), 0), MAX(J$8-$B34, 0))*J$6-J$6*J$5</f>
        <v>-0.56000000000000005</v>
      </c>
      <c r="K34">
        <f t="shared" si="10"/>
        <v>0</v>
      </c>
      <c r="L34">
        <f t="shared" si="10"/>
        <v>0</v>
      </c>
      <c r="M34">
        <f t="shared" si="7"/>
        <v>-56.000000000000007</v>
      </c>
    </row>
    <row r="35" spans="1:18" x14ac:dyDescent="0.35">
      <c r="A35">
        <v>0</v>
      </c>
      <c r="B35" s="14">
        <f t="shared" si="8"/>
        <v>32</v>
      </c>
      <c r="C35">
        <f t="shared" si="9"/>
        <v>5.05</v>
      </c>
      <c r="D35">
        <f t="shared" si="9"/>
        <v>5.13</v>
      </c>
      <c r="E35">
        <f t="shared" si="9"/>
        <v>-1.21</v>
      </c>
      <c r="F35">
        <f t="shared" si="9"/>
        <v>0</v>
      </c>
      <c r="G35">
        <f t="shared" si="3"/>
        <v>896.99999999999989</v>
      </c>
      <c r="I35" s="14">
        <f t="shared" si="4"/>
        <v>32</v>
      </c>
      <c r="J35">
        <f t="shared" si="10"/>
        <v>-0.56000000000000005</v>
      </c>
      <c r="K35">
        <f t="shared" si="10"/>
        <v>0</v>
      </c>
      <c r="L35">
        <f t="shared" si="10"/>
        <v>0</v>
      </c>
      <c r="M35">
        <f t="shared" si="7"/>
        <v>-56.000000000000007</v>
      </c>
    </row>
    <row r="36" spans="1:18" x14ac:dyDescent="0.35">
      <c r="A36">
        <v>0</v>
      </c>
      <c r="B36" s="14">
        <f t="shared" si="8"/>
        <v>33</v>
      </c>
      <c r="C36">
        <f t="shared" si="9"/>
        <v>6.05</v>
      </c>
      <c r="D36">
        <f t="shared" si="9"/>
        <v>5.13</v>
      </c>
      <c r="E36">
        <f t="shared" si="9"/>
        <v>-1.21</v>
      </c>
      <c r="F36">
        <f t="shared" si="9"/>
        <v>0</v>
      </c>
      <c r="G36">
        <f t="shared" si="3"/>
        <v>996.99999999999989</v>
      </c>
      <c r="I36" s="14">
        <f t="shared" si="4"/>
        <v>33</v>
      </c>
      <c r="J36">
        <f t="shared" si="10"/>
        <v>-0.56000000000000005</v>
      </c>
      <c r="K36">
        <f t="shared" si="10"/>
        <v>0</v>
      </c>
      <c r="L36">
        <f t="shared" si="10"/>
        <v>0</v>
      </c>
      <c r="M36">
        <f t="shared" si="7"/>
        <v>-56.000000000000007</v>
      </c>
      <c r="R36" s="11"/>
    </row>
    <row r="37" spans="1:18" x14ac:dyDescent="0.35">
      <c r="A37">
        <v>0</v>
      </c>
      <c r="B37" s="14">
        <f t="shared" si="8"/>
        <v>34</v>
      </c>
      <c r="C37">
        <f t="shared" si="9"/>
        <v>7.05</v>
      </c>
      <c r="D37">
        <f t="shared" si="9"/>
        <v>5.13</v>
      </c>
      <c r="E37">
        <f t="shared" si="9"/>
        <v>-1.21</v>
      </c>
      <c r="F37">
        <f t="shared" si="9"/>
        <v>0</v>
      </c>
      <c r="G37">
        <f t="shared" si="3"/>
        <v>1097</v>
      </c>
      <c r="I37" s="14">
        <f t="shared" si="4"/>
        <v>34</v>
      </c>
      <c r="J37">
        <f t="shared" si="10"/>
        <v>-0.56000000000000005</v>
      </c>
      <c r="K37">
        <f t="shared" si="10"/>
        <v>0</v>
      </c>
      <c r="L37">
        <f t="shared" si="10"/>
        <v>0</v>
      </c>
      <c r="M37">
        <f t="shared" si="7"/>
        <v>-56.000000000000007</v>
      </c>
      <c r="R37" s="9"/>
    </row>
    <row r="38" spans="1:18" x14ac:dyDescent="0.35">
      <c r="A38">
        <v>0</v>
      </c>
      <c r="B38" s="14">
        <f t="shared" si="8"/>
        <v>35</v>
      </c>
      <c r="C38">
        <f t="shared" si="9"/>
        <v>8.0500000000000007</v>
      </c>
      <c r="D38">
        <f t="shared" si="9"/>
        <v>5.13</v>
      </c>
      <c r="E38">
        <f t="shared" si="9"/>
        <v>-1.21</v>
      </c>
      <c r="F38">
        <f t="shared" si="9"/>
        <v>0</v>
      </c>
      <c r="G38">
        <f t="shared" si="3"/>
        <v>1197</v>
      </c>
      <c r="I38" s="14">
        <f t="shared" si="4"/>
        <v>35</v>
      </c>
      <c r="J38">
        <f t="shared" si="10"/>
        <v>-0.56000000000000005</v>
      </c>
      <c r="K38">
        <f t="shared" si="10"/>
        <v>0</v>
      </c>
      <c r="L38">
        <f t="shared" si="10"/>
        <v>0</v>
      </c>
      <c r="M38">
        <f t="shared" si="7"/>
        <v>-56.000000000000007</v>
      </c>
      <c r="O38">
        <f>27.7/25</f>
        <v>1.1079999999999999</v>
      </c>
      <c r="R38" s="12"/>
    </row>
    <row r="39" spans="1:18" x14ac:dyDescent="0.35">
      <c r="A39">
        <v>0</v>
      </c>
      <c r="B39" s="14">
        <f t="shared" si="8"/>
        <v>36</v>
      </c>
      <c r="C39">
        <f t="shared" si="9"/>
        <v>9.0500000000000007</v>
      </c>
      <c r="D39">
        <f t="shared" si="9"/>
        <v>5.13</v>
      </c>
      <c r="E39">
        <f t="shared" si="9"/>
        <v>-1.21</v>
      </c>
      <c r="F39">
        <f t="shared" si="9"/>
        <v>0</v>
      </c>
      <c r="G39">
        <f t="shared" si="3"/>
        <v>1297</v>
      </c>
      <c r="I39" s="14">
        <f t="shared" si="4"/>
        <v>36</v>
      </c>
      <c r="J39">
        <f t="shared" si="10"/>
        <v>-0.56000000000000005</v>
      </c>
      <c r="K39">
        <f t="shared" si="10"/>
        <v>0</v>
      </c>
      <c r="L39">
        <f t="shared" si="10"/>
        <v>0</v>
      </c>
      <c r="M39">
        <f t="shared" si="7"/>
        <v>-56.000000000000007</v>
      </c>
    </row>
    <row r="40" spans="1:18" x14ac:dyDescent="0.35">
      <c r="A40">
        <v>0</v>
      </c>
      <c r="B40" s="14">
        <f t="shared" si="8"/>
        <v>37</v>
      </c>
      <c r="C40">
        <f t="shared" si="9"/>
        <v>10.050000000000001</v>
      </c>
      <c r="D40">
        <f t="shared" si="9"/>
        <v>2.13</v>
      </c>
      <c r="E40">
        <f t="shared" si="9"/>
        <v>-1.21</v>
      </c>
      <c r="F40">
        <f t="shared" si="9"/>
        <v>0</v>
      </c>
      <c r="G40">
        <f t="shared" si="3"/>
        <v>1097</v>
      </c>
      <c r="I40" s="14">
        <f t="shared" si="4"/>
        <v>37</v>
      </c>
      <c r="J40">
        <f t="shared" si="10"/>
        <v>-0.56000000000000005</v>
      </c>
      <c r="K40">
        <f t="shared" si="10"/>
        <v>0</v>
      </c>
      <c r="L40">
        <f t="shared" si="10"/>
        <v>0</v>
      </c>
      <c r="M40">
        <f t="shared" si="7"/>
        <v>-56.000000000000007</v>
      </c>
      <c r="O40">
        <f>0.5/4.5</f>
        <v>0.1111111111111111</v>
      </c>
    </row>
    <row r="41" spans="1:18" x14ac:dyDescent="0.35">
      <c r="A41">
        <v>0</v>
      </c>
      <c r="B41" s="14">
        <f t="shared" si="8"/>
        <v>38</v>
      </c>
      <c r="C41">
        <f t="shared" si="9"/>
        <v>11.05</v>
      </c>
      <c r="D41">
        <f t="shared" si="9"/>
        <v>-0.87000000000000011</v>
      </c>
      <c r="E41">
        <f t="shared" si="9"/>
        <v>-1.21</v>
      </c>
      <c r="F41">
        <f t="shared" si="9"/>
        <v>0</v>
      </c>
      <c r="G41">
        <f t="shared" si="3"/>
        <v>896.99999999999989</v>
      </c>
      <c r="I41" s="14">
        <f t="shared" si="4"/>
        <v>38</v>
      </c>
      <c r="J41">
        <f t="shared" si="10"/>
        <v>-0.56000000000000005</v>
      </c>
      <c r="K41">
        <f t="shared" si="10"/>
        <v>0</v>
      </c>
      <c r="L41">
        <f t="shared" si="10"/>
        <v>0</v>
      </c>
      <c r="M41">
        <f t="shared" si="7"/>
        <v>-56.000000000000007</v>
      </c>
      <c r="O41">
        <f>1.95/3.05</f>
        <v>0.63934426229508201</v>
      </c>
    </row>
    <row r="42" spans="1:18" x14ac:dyDescent="0.35">
      <c r="A42">
        <v>0</v>
      </c>
      <c r="B42" s="14">
        <f t="shared" si="8"/>
        <v>39</v>
      </c>
      <c r="C42">
        <f t="shared" si="9"/>
        <v>12.05</v>
      </c>
      <c r="D42">
        <f t="shared" si="9"/>
        <v>-3.87</v>
      </c>
      <c r="E42">
        <f t="shared" si="9"/>
        <v>-1.21</v>
      </c>
      <c r="F42">
        <f t="shared" si="9"/>
        <v>0</v>
      </c>
      <c r="G42">
        <f t="shared" si="3"/>
        <v>697</v>
      </c>
      <c r="I42" s="14">
        <f t="shared" si="4"/>
        <v>39</v>
      </c>
      <c r="J42">
        <f t="shared" si="10"/>
        <v>-0.56000000000000005</v>
      </c>
      <c r="K42">
        <f t="shared" si="10"/>
        <v>0</v>
      </c>
      <c r="L42">
        <f t="shared" si="10"/>
        <v>0</v>
      </c>
      <c r="M42">
        <f t="shared" si="7"/>
        <v>-56.000000000000007</v>
      </c>
      <c r="O42">
        <f>2.7/2.3</f>
        <v>1.173913043478261</v>
      </c>
    </row>
    <row r="43" spans="1:18" x14ac:dyDescent="0.35">
      <c r="A43">
        <v>0</v>
      </c>
      <c r="B43" s="14">
        <f t="shared" si="8"/>
        <v>40</v>
      </c>
      <c r="C43">
        <f t="shared" si="9"/>
        <v>13.05</v>
      </c>
      <c r="D43">
        <f t="shared" si="9"/>
        <v>-6.87</v>
      </c>
      <c r="E43">
        <f t="shared" si="9"/>
        <v>-1.21</v>
      </c>
      <c r="F43">
        <f t="shared" si="9"/>
        <v>0</v>
      </c>
      <c r="G43">
        <f t="shared" si="3"/>
        <v>497.00000000000006</v>
      </c>
      <c r="I43" s="14">
        <f t="shared" si="4"/>
        <v>40</v>
      </c>
      <c r="J43">
        <f t="shared" si="10"/>
        <v>-0.56000000000000005</v>
      </c>
      <c r="K43">
        <f t="shared" si="10"/>
        <v>0</v>
      </c>
      <c r="L43">
        <f t="shared" si="10"/>
        <v>0</v>
      </c>
      <c r="M43">
        <f t="shared" si="7"/>
        <v>-56.000000000000007</v>
      </c>
    </row>
    <row r="44" spans="1:18" x14ac:dyDescent="0.35">
      <c r="A44">
        <v>0</v>
      </c>
      <c r="B44" s="14">
        <f t="shared" si="8"/>
        <v>41</v>
      </c>
      <c r="C44">
        <f t="shared" si="9"/>
        <v>14.05</v>
      </c>
      <c r="D44">
        <f t="shared" si="9"/>
        <v>-9.870000000000001</v>
      </c>
      <c r="E44">
        <f t="shared" si="9"/>
        <v>-1.21</v>
      </c>
      <c r="F44">
        <f t="shared" si="9"/>
        <v>0</v>
      </c>
      <c r="G44">
        <f t="shared" si="3"/>
        <v>297</v>
      </c>
      <c r="I44" s="14">
        <f t="shared" si="4"/>
        <v>41</v>
      </c>
      <c r="J44">
        <f t="shared" si="10"/>
        <v>-0.56000000000000005</v>
      </c>
      <c r="K44">
        <f t="shared" si="10"/>
        <v>0</v>
      </c>
      <c r="L44">
        <f t="shared" si="10"/>
        <v>0</v>
      </c>
      <c r="M44">
        <f t="shared" si="7"/>
        <v>-56.000000000000007</v>
      </c>
    </row>
    <row r="45" spans="1:18" x14ac:dyDescent="0.35">
      <c r="A45">
        <v>0</v>
      </c>
      <c r="B45" s="14">
        <f t="shared" si="8"/>
        <v>42</v>
      </c>
      <c r="C45">
        <f t="shared" si="9"/>
        <v>15.05</v>
      </c>
      <c r="D45">
        <f t="shared" si="9"/>
        <v>-12.870000000000001</v>
      </c>
      <c r="E45">
        <f t="shared" si="9"/>
        <v>-1.21</v>
      </c>
      <c r="F45">
        <f t="shared" si="9"/>
        <v>0</v>
      </c>
      <c r="G45">
        <f t="shared" si="3"/>
        <v>96.999999999999972</v>
      </c>
      <c r="I45" s="14">
        <f t="shared" si="4"/>
        <v>42</v>
      </c>
      <c r="J45">
        <f t="shared" si="10"/>
        <v>-0.56000000000000005</v>
      </c>
      <c r="K45">
        <f t="shared" si="10"/>
        <v>0</v>
      </c>
      <c r="L45">
        <f t="shared" si="10"/>
        <v>0</v>
      </c>
      <c r="M45">
        <f t="shared" si="7"/>
        <v>-56.000000000000007</v>
      </c>
    </row>
    <row r="46" spans="1:18" x14ac:dyDescent="0.35">
      <c r="A46">
        <v>0</v>
      </c>
      <c r="B46" s="14">
        <f t="shared" si="8"/>
        <v>43</v>
      </c>
      <c r="C46">
        <f t="shared" si="9"/>
        <v>16.05</v>
      </c>
      <c r="D46">
        <f t="shared" si="9"/>
        <v>-15.870000000000001</v>
      </c>
      <c r="E46">
        <f t="shared" si="9"/>
        <v>-1.21</v>
      </c>
      <c r="F46">
        <f t="shared" si="9"/>
        <v>0</v>
      </c>
      <c r="G46">
        <f t="shared" si="3"/>
        <v>-103.00000000000003</v>
      </c>
      <c r="I46" s="14">
        <f t="shared" si="4"/>
        <v>43</v>
      </c>
      <c r="J46">
        <f t="shared" si="10"/>
        <v>-0.56000000000000005</v>
      </c>
      <c r="K46">
        <f t="shared" si="10"/>
        <v>0</v>
      </c>
      <c r="L46">
        <f t="shared" si="10"/>
        <v>0</v>
      </c>
      <c r="M46">
        <f t="shared" si="7"/>
        <v>-56.000000000000007</v>
      </c>
    </row>
    <row r="47" spans="1:18" x14ac:dyDescent="0.35">
      <c r="A47">
        <v>0</v>
      </c>
      <c r="B47" s="14">
        <f t="shared" si="8"/>
        <v>44</v>
      </c>
      <c r="C47">
        <f t="shared" si="9"/>
        <v>17.05</v>
      </c>
      <c r="D47">
        <f t="shared" si="9"/>
        <v>-18.87</v>
      </c>
      <c r="E47">
        <f t="shared" si="9"/>
        <v>-1.21</v>
      </c>
      <c r="F47">
        <f t="shared" si="9"/>
        <v>0</v>
      </c>
      <c r="G47">
        <f t="shared" si="3"/>
        <v>-303</v>
      </c>
      <c r="I47" s="14">
        <f t="shared" si="4"/>
        <v>44</v>
      </c>
      <c r="J47">
        <f t="shared" si="10"/>
        <v>-0.56000000000000005</v>
      </c>
      <c r="K47">
        <f t="shared" si="10"/>
        <v>0</v>
      </c>
      <c r="L47">
        <f t="shared" si="10"/>
        <v>0</v>
      </c>
      <c r="M47">
        <f t="shared" si="7"/>
        <v>-56.000000000000007</v>
      </c>
    </row>
    <row r="48" spans="1:18" x14ac:dyDescent="0.35">
      <c r="A48">
        <v>0</v>
      </c>
      <c r="B48" s="14">
        <f t="shared" si="8"/>
        <v>45</v>
      </c>
      <c r="C48">
        <f t="shared" si="9"/>
        <v>18.05</v>
      </c>
      <c r="D48">
        <f t="shared" si="9"/>
        <v>-21.87</v>
      </c>
      <c r="E48">
        <f t="shared" si="9"/>
        <v>-1.21</v>
      </c>
      <c r="F48">
        <f t="shared" si="9"/>
        <v>0</v>
      </c>
      <c r="G48">
        <f t="shared" si="3"/>
        <v>-503</v>
      </c>
      <c r="I48" s="14">
        <f t="shared" si="4"/>
        <v>45</v>
      </c>
      <c r="J48">
        <f t="shared" si="10"/>
        <v>-0.56000000000000005</v>
      </c>
      <c r="K48">
        <f t="shared" si="10"/>
        <v>0</v>
      </c>
      <c r="L48">
        <f t="shared" si="10"/>
        <v>0</v>
      </c>
      <c r="M48">
        <f t="shared" si="7"/>
        <v>-56.000000000000007</v>
      </c>
    </row>
    <row r="49" spans="1:13" x14ac:dyDescent="0.35">
      <c r="A49">
        <v>0</v>
      </c>
      <c r="B49" s="14">
        <f t="shared" si="8"/>
        <v>46</v>
      </c>
      <c r="C49">
        <f t="shared" si="9"/>
        <v>19.05</v>
      </c>
      <c r="D49">
        <f t="shared" si="9"/>
        <v>-24.87</v>
      </c>
      <c r="E49">
        <f t="shared" si="9"/>
        <v>-1.21</v>
      </c>
      <c r="F49">
        <f t="shared" si="9"/>
        <v>0</v>
      </c>
      <c r="G49">
        <f t="shared" si="3"/>
        <v>-703</v>
      </c>
      <c r="I49" s="14">
        <f t="shared" si="4"/>
        <v>46</v>
      </c>
      <c r="J49">
        <f t="shared" si="10"/>
        <v>-0.56000000000000005</v>
      </c>
      <c r="K49">
        <f t="shared" si="10"/>
        <v>0</v>
      </c>
      <c r="L49">
        <f t="shared" si="10"/>
        <v>0</v>
      </c>
      <c r="M49">
        <f t="shared" si="7"/>
        <v>-56.000000000000007</v>
      </c>
    </row>
    <row r="50" spans="1:13" x14ac:dyDescent="0.35">
      <c r="A50">
        <v>0</v>
      </c>
      <c r="B50" s="14">
        <f t="shared" si="8"/>
        <v>47</v>
      </c>
      <c r="C50">
        <f t="shared" si="9"/>
        <v>20.05</v>
      </c>
      <c r="D50">
        <f t="shared" si="9"/>
        <v>-27.87</v>
      </c>
      <c r="E50">
        <f t="shared" si="9"/>
        <v>-1.21</v>
      </c>
      <c r="F50">
        <f t="shared" si="9"/>
        <v>0</v>
      </c>
      <c r="G50">
        <f t="shared" si="3"/>
        <v>-903.00000000000011</v>
      </c>
      <c r="I50" s="14">
        <f t="shared" si="4"/>
        <v>47</v>
      </c>
      <c r="J50">
        <f t="shared" si="10"/>
        <v>-0.56000000000000005</v>
      </c>
      <c r="K50">
        <f t="shared" si="10"/>
        <v>0</v>
      </c>
      <c r="L50">
        <f t="shared" si="10"/>
        <v>0</v>
      </c>
      <c r="M50">
        <f t="shared" si="7"/>
        <v>-56.000000000000007</v>
      </c>
    </row>
    <row r="51" spans="1:13" x14ac:dyDescent="0.35">
      <c r="A51">
        <v>0</v>
      </c>
      <c r="B51" s="14">
        <f t="shared" si="8"/>
        <v>48</v>
      </c>
      <c r="C51">
        <f t="shared" si="9"/>
        <v>21.05</v>
      </c>
      <c r="D51">
        <f t="shared" si="9"/>
        <v>-30.87</v>
      </c>
      <c r="E51">
        <f t="shared" si="9"/>
        <v>-1.21</v>
      </c>
      <c r="F51">
        <f t="shared" si="9"/>
        <v>0</v>
      </c>
      <c r="G51">
        <f t="shared" si="3"/>
        <v>-1103</v>
      </c>
      <c r="I51" s="14">
        <f t="shared" si="4"/>
        <v>48</v>
      </c>
      <c r="J51">
        <f t="shared" si="10"/>
        <v>-0.56000000000000005</v>
      </c>
      <c r="K51">
        <f t="shared" si="10"/>
        <v>0</v>
      </c>
      <c r="L51">
        <f t="shared" si="10"/>
        <v>0</v>
      </c>
      <c r="M51">
        <f t="shared" si="7"/>
        <v>-56.000000000000007</v>
      </c>
    </row>
    <row r="52" spans="1:13" x14ac:dyDescent="0.35">
      <c r="A52">
        <v>0</v>
      </c>
      <c r="B52" s="14">
        <f t="shared" si="8"/>
        <v>49</v>
      </c>
      <c r="C52">
        <f t="shared" si="9"/>
        <v>22.05</v>
      </c>
      <c r="D52">
        <f t="shared" si="9"/>
        <v>-33.869999999999997</v>
      </c>
      <c r="E52">
        <f t="shared" si="9"/>
        <v>-1.21</v>
      </c>
      <c r="F52">
        <f t="shared" si="9"/>
        <v>0</v>
      </c>
      <c r="G52">
        <f t="shared" si="3"/>
        <v>-1302.9999999999998</v>
      </c>
      <c r="I52" s="14">
        <f t="shared" si="4"/>
        <v>49</v>
      </c>
      <c r="J52">
        <f t="shared" si="10"/>
        <v>-0.56000000000000005</v>
      </c>
      <c r="K52">
        <f t="shared" si="10"/>
        <v>0</v>
      </c>
      <c r="L52">
        <f t="shared" si="10"/>
        <v>0</v>
      </c>
      <c r="M52">
        <f t="shared" si="7"/>
        <v>-56.000000000000007</v>
      </c>
    </row>
    <row r="53" spans="1:13" x14ac:dyDescent="0.35">
      <c r="A53">
        <v>0</v>
      </c>
      <c r="B53" s="14">
        <f t="shared" si="8"/>
        <v>50</v>
      </c>
      <c r="C53">
        <f t="shared" si="9"/>
        <v>23.05</v>
      </c>
      <c r="D53">
        <f t="shared" si="9"/>
        <v>-36.869999999999997</v>
      </c>
      <c r="E53">
        <f t="shared" si="9"/>
        <v>-1.21</v>
      </c>
      <c r="F53">
        <f t="shared" si="9"/>
        <v>0</v>
      </c>
      <c r="G53">
        <f t="shared" si="3"/>
        <v>-1502.9999999999998</v>
      </c>
      <c r="I53" s="14">
        <f t="shared" si="4"/>
        <v>50</v>
      </c>
      <c r="J53">
        <f t="shared" si="10"/>
        <v>-0.56000000000000005</v>
      </c>
      <c r="K53">
        <f t="shared" si="10"/>
        <v>0</v>
      </c>
      <c r="L53">
        <f t="shared" si="10"/>
        <v>0</v>
      </c>
      <c r="M53">
        <f t="shared" si="7"/>
        <v>-56.000000000000007</v>
      </c>
    </row>
    <row r="54" spans="1:13" x14ac:dyDescent="0.35">
      <c r="A54">
        <v>0</v>
      </c>
      <c r="B54" s="14">
        <f t="shared" si="8"/>
        <v>51</v>
      </c>
      <c r="C54">
        <f t="shared" ref="C54:F73" si="11">IF(C$7="C", MAX(($B54-C$8), 0), MAX(C$8-$B54, 0))*C$6-C$6*C$5</f>
        <v>24.05</v>
      </c>
      <c r="D54">
        <f t="shared" si="11"/>
        <v>-39.869999999999997</v>
      </c>
      <c r="E54">
        <f t="shared" si="11"/>
        <v>-0.20999999999999996</v>
      </c>
      <c r="F54">
        <f t="shared" si="11"/>
        <v>0</v>
      </c>
      <c r="G54">
        <f t="shared" si="3"/>
        <v>-1602.9999999999998</v>
      </c>
      <c r="I54" s="14">
        <f t="shared" si="4"/>
        <v>51</v>
      </c>
      <c r="J54">
        <f t="shared" ref="J54:L73" si="12">IF(J$7="C", MAX(($B54-J$8), 0), MAX(J$8-$B54, 0))*J$6-J$6*J$5</f>
        <v>-0.56000000000000005</v>
      </c>
      <c r="K54">
        <f t="shared" si="12"/>
        <v>0</v>
      </c>
      <c r="L54">
        <f t="shared" si="12"/>
        <v>0</v>
      </c>
      <c r="M54">
        <f t="shared" si="7"/>
        <v>-56.000000000000007</v>
      </c>
    </row>
    <row r="55" spans="1:13" x14ac:dyDescent="0.35">
      <c r="A55">
        <v>0</v>
      </c>
      <c r="B55" s="14">
        <f t="shared" si="8"/>
        <v>52</v>
      </c>
      <c r="C55">
        <f t="shared" si="11"/>
        <v>25.05</v>
      </c>
      <c r="D55">
        <f t="shared" si="11"/>
        <v>-42.87</v>
      </c>
      <c r="E55">
        <f t="shared" si="11"/>
        <v>0.79</v>
      </c>
      <c r="F55">
        <f t="shared" si="11"/>
        <v>0</v>
      </c>
      <c r="G55">
        <f t="shared" si="3"/>
        <v>-1702.9999999999998</v>
      </c>
      <c r="I55" s="14">
        <f t="shared" si="4"/>
        <v>52</v>
      </c>
      <c r="J55">
        <f t="shared" si="12"/>
        <v>-0.56000000000000005</v>
      </c>
      <c r="K55">
        <f t="shared" si="12"/>
        <v>0</v>
      </c>
      <c r="L55">
        <f t="shared" si="12"/>
        <v>0</v>
      </c>
      <c r="M55">
        <f t="shared" si="7"/>
        <v>-56.000000000000007</v>
      </c>
    </row>
    <row r="56" spans="1:13" x14ac:dyDescent="0.35">
      <c r="A56">
        <v>0</v>
      </c>
      <c r="B56" s="14">
        <f t="shared" si="8"/>
        <v>53</v>
      </c>
      <c r="C56">
        <f t="shared" si="11"/>
        <v>26.05</v>
      </c>
      <c r="D56">
        <f t="shared" si="11"/>
        <v>-45.87</v>
      </c>
      <c r="E56">
        <f t="shared" si="11"/>
        <v>1.79</v>
      </c>
      <c r="F56">
        <f t="shared" si="11"/>
        <v>0</v>
      </c>
      <c r="G56">
        <f t="shared" si="3"/>
        <v>-1802.9999999999998</v>
      </c>
      <c r="I56" s="14">
        <f t="shared" si="4"/>
        <v>53</v>
      </c>
      <c r="J56">
        <f t="shared" si="12"/>
        <v>-0.56000000000000005</v>
      </c>
      <c r="K56">
        <f t="shared" si="12"/>
        <v>0</v>
      </c>
      <c r="L56">
        <f t="shared" si="12"/>
        <v>0</v>
      </c>
      <c r="M56">
        <f t="shared" si="7"/>
        <v>-56.000000000000007</v>
      </c>
    </row>
    <row r="57" spans="1:13" x14ac:dyDescent="0.35">
      <c r="A57">
        <v>0</v>
      </c>
      <c r="B57" s="14">
        <f t="shared" si="8"/>
        <v>54</v>
      </c>
      <c r="C57">
        <f t="shared" si="11"/>
        <v>27.05</v>
      </c>
      <c r="D57">
        <f t="shared" si="11"/>
        <v>-48.87</v>
      </c>
      <c r="E57">
        <f t="shared" si="11"/>
        <v>2.79</v>
      </c>
      <c r="F57">
        <f t="shared" si="11"/>
        <v>0</v>
      </c>
      <c r="G57">
        <f t="shared" si="3"/>
        <v>-1902.9999999999998</v>
      </c>
      <c r="I57" s="14">
        <f t="shared" si="4"/>
        <v>54</v>
      </c>
      <c r="J57">
        <f t="shared" si="12"/>
        <v>-0.56000000000000005</v>
      </c>
      <c r="K57">
        <f t="shared" si="12"/>
        <v>0</v>
      </c>
      <c r="L57">
        <f t="shared" si="12"/>
        <v>0</v>
      </c>
      <c r="M57">
        <f t="shared" si="7"/>
        <v>-56.000000000000007</v>
      </c>
    </row>
    <row r="58" spans="1:13" x14ac:dyDescent="0.35">
      <c r="A58">
        <v>0</v>
      </c>
      <c r="B58" s="14">
        <f t="shared" si="8"/>
        <v>55</v>
      </c>
      <c r="C58">
        <f t="shared" si="11"/>
        <v>28.05</v>
      </c>
      <c r="D58">
        <f t="shared" si="11"/>
        <v>-51.87</v>
      </c>
      <c r="E58">
        <f t="shared" si="11"/>
        <v>3.79</v>
      </c>
      <c r="F58">
        <f t="shared" si="11"/>
        <v>0</v>
      </c>
      <c r="G58">
        <f t="shared" si="3"/>
        <v>-2002.9999999999998</v>
      </c>
      <c r="I58" s="14">
        <f t="shared" si="4"/>
        <v>55</v>
      </c>
      <c r="J58">
        <f t="shared" si="12"/>
        <v>-0.56000000000000005</v>
      </c>
      <c r="K58">
        <f t="shared" si="12"/>
        <v>0</v>
      </c>
      <c r="L58">
        <f t="shared" si="12"/>
        <v>0</v>
      </c>
      <c r="M58">
        <f t="shared" si="7"/>
        <v>-56.000000000000007</v>
      </c>
    </row>
    <row r="59" spans="1:13" x14ac:dyDescent="0.35">
      <c r="A59">
        <v>0</v>
      </c>
      <c r="B59" s="14">
        <f t="shared" si="8"/>
        <v>56</v>
      </c>
      <c r="C59">
        <f t="shared" si="11"/>
        <v>29.05</v>
      </c>
      <c r="D59">
        <f t="shared" si="11"/>
        <v>-54.87</v>
      </c>
      <c r="E59">
        <f t="shared" si="11"/>
        <v>4.79</v>
      </c>
      <c r="F59">
        <f t="shared" si="11"/>
        <v>0</v>
      </c>
      <c r="G59">
        <f t="shared" si="3"/>
        <v>-2102.9999999999995</v>
      </c>
      <c r="I59" s="14">
        <f t="shared" si="4"/>
        <v>56</v>
      </c>
      <c r="J59">
        <f t="shared" si="12"/>
        <v>-0.56000000000000005</v>
      </c>
      <c r="K59">
        <f t="shared" si="12"/>
        <v>0</v>
      </c>
      <c r="L59">
        <f t="shared" si="12"/>
        <v>0</v>
      </c>
      <c r="M59">
        <f t="shared" si="7"/>
        <v>-56.000000000000007</v>
      </c>
    </row>
    <row r="60" spans="1:13" x14ac:dyDescent="0.35">
      <c r="A60">
        <v>0</v>
      </c>
      <c r="B60" s="14">
        <f t="shared" si="8"/>
        <v>57</v>
      </c>
      <c r="C60">
        <f t="shared" si="11"/>
        <v>30.05</v>
      </c>
      <c r="D60">
        <f t="shared" si="11"/>
        <v>-57.87</v>
      </c>
      <c r="E60">
        <f t="shared" si="11"/>
        <v>5.79</v>
      </c>
      <c r="F60">
        <f t="shared" si="11"/>
        <v>0</v>
      </c>
      <c r="G60">
        <f t="shared" si="3"/>
        <v>-2202.9999999999995</v>
      </c>
      <c r="I60" s="14">
        <f t="shared" si="4"/>
        <v>57</v>
      </c>
      <c r="J60">
        <f t="shared" si="12"/>
        <v>-0.56000000000000005</v>
      </c>
      <c r="K60">
        <f t="shared" si="12"/>
        <v>0</v>
      </c>
      <c r="L60">
        <f t="shared" si="12"/>
        <v>0</v>
      </c>
      <c r="M60">
        <f t="shared" si="7"/>
        <v>-56.000000000000007</v>
      </c>
    </row>
    <row r="61" spans="1:13" x14ac:dyDescent="0.35">
      <c r="A61">
        <v>0</v>
      </c>
      <c r="B61" s="14">
        <f t="shared" si="8"/>
        <v>58</v>
      </c>
      <c r="C61">
        <f t="shared" si="11"/>
        <v>31.05</v>
      </c>
      <c r="D61">
        <f t="shared" si="11"/>
        <v>-60.87</v>
      </c>
      <c r="E61">
        <f t="shared" si="11"/>
        <v>6.79</v>
      </c>
      <c r="F61">
        <f t="shared" si="11"/>
        <v>0</v>
      </c>
      <c r="G61">
        <f t="shared" si="3"/>
        <v>-2302.9999999999995</v>
      </c>
      <c r="I61" s="14">
        <f t="shared" si="4"/>
        <v>58</v>
      </c>
      <c r="J61">
        <f t="shared" si="12"/>
        <v>-0.56000000000000005</v>
      </c>
      <c r="K61">
        <f t="shared" si="12"/>
        <v>0</v>
      </c>
      <c r="L61">
        <f t="shared" si="12"/>
        <v>0</v>
      </c>
      <c r="M61">
        <f t="shared" si="7"/>
        <v>-56.000000000000007</v>
      </c>
    </row>
    <row r="62" spans="1:13" x14ac:dyDescent="0.35">
      <c r="A62">
        <v>0</v>
      </c>
      <c r="B62" s="14">
        <f t="shared" si="8"/>
        <v>59</v>
      </c>
      <c r="C62">
        <f t="shared" si="11"/>
        <v>32.049999999999997</v>
      </c>
      <c r="D62">
        <f t="shared" si="11"/>
        <v>-63.87</v>
      </c>
      <c r="E62">
        <f t="shared" si="11"/>
        <v>7.79</v>
      </c>
      <c r="F62">
        <f t="shared" si="11"/>
        <v>0</v>
      </c>
      <c r="G62">
        <f t="shared" si="3"/>
        <v>-2403</v>
      </c>
      <c r="I62" s="14">
        <f t="shared" si="4"/>
        <v>59</v>
      </c>
      <c r="J62">
        <f t="shared" si="12"/>
        <v>-0.56000000000000005</v>
      </c>
      <c r="K62">
        <f t="shared" si="12"/>
        <v>0</v>
      </c>
      <c r="L62">
        <f t="shared" si="12"/>
        <v>0</v>
      </c>
      <c r="M62">
        <f t="shared" si="7"/>
        <v>-56.000000000000007</v>
      </c>
    </row>
    <row r="63" spans="1:13" x14ac:dyDescent="0.35">
      <c r="A63">
        <v>0</v>
      </c>
      <c r="B63" s="14">
        <f t="shared" si="8"/>
        <v>60</v>
      </c>
      <c r="C63">
        <f t="shared" si="11"/>
        <v>33.049999999999997</v>
      </c>
      <c r="D63">
        <f t="shared" si="11"/>
        <v>-66.87</v>
      </c>
      <c r="E63">
        <f t="shared" si="11"/>
        <v>8.7899999999999991</v>
      </c>
      <c r="F63">
        <f t="shared" si="11"/>
        <v>0</v>
      </c>
      <c r="G63">
        <f t="shared" si="3"/>
        <v>-2503.0000000000009</v>
      </c>
      <c r="I63" s="14">
        <f t="shared" si="4"/>
        <v>60</v>
      </c>
      <c r="J63">
        <f t="shared" si="12"/>
        <v>-0.56000000000000005</v>
      </c>
      <c r="K63">
        <f t="shared" si="12"/>
        <v>0</v>
      </c>
      <c r="L63">
        <f t="shared" si="12"/>
        <v>0</v>
      </c>
      <c r="M63">
        <f t="shared" si="7"/>
        <v>-56.000000000000007</v>
      </c>
    </row>
    <row r="64" spans="1:13" x14ac:dyDescent="0.35">
      <c r="A64">
        <v>0</v>
      </c>
      <c r="B64" s="14">
        <f t="shared" si="8"/>
        <v>61</v>
      </c>
      <c r="C64">
        <f t="shared" si="11"/>
        <v>34.049999999999997</v>
      </c>
      <c r="D64">
        <f t="shared" si="11"/>
        <v>-69.87</v>
      </c>
      <c r="E64">
        <f t="shared" si="11"/>
        <v>9.7899999999999991</v>
      </c>
      <c r="F64">
        <f t="shared" si="11"/>
        <v>0</v>
      </c>
      <c r="G64">
        <f t="shared" si="3"/>
        <v>-2603.0000000000009</v>
      </c>
      <c r="I64" s="14">
        <f t="shared" si="4"/>
        <v>61</v>
      </c>
      <c r="J64">
        <f t="shared" si="12"/>
        <v>-0.56000000000000005</v>
      </c>
      <c r="K64">
        <f t="shared" si="12"/>
        <v>0</v>
      </c>
      <c r="L64">
        <f t="shared" si="12"/>
        <v>0</v>
      </c>
      <c r="M64">
        <f t="shared" si="7"/>
        <v>-56.000000000000007</v>
      </c>
    </row>
    <row r="65" spans="1:13" x14ac:dyDescent="0.35">
      <c r="A65">
        <v>0</v>
      </c>
      <c r="B65" s="14">
        <f t="shared" si="8"/>
        <v>62</v>
      </c>
      <c r="C65">
        <f t="shared" si="11"/>
        <v>35.049999999999997</v>
      </c>
      <c r="D65">
        <f t="shared" si="11"/>
        <v>-72.87</v>
      </c>
      <c r="E65">
        <f t="shared" si="11"/>
        <v>10.79</v>
      </c>
      <c r="F65">
        <f t="shared" si="11"/>
        <v>0</v>
      </c>
      <c r="G65">
        <f t="shared" si="3"/>
        <v>-2703.0000000000009</v>
      </c>
      <c r="I65" s="14">
        <f t="shared" si="4"/>
        <v>62</v>
      </c>
      <c r="J65">
        <f t="shared" si="12"/>
        <v>-0.56000000000000005</v>
      </c>
      <c r="K65">
        <f t="shared" si="12"/>
        <v>0</v>
      </c>
      <c r="L65">
        <f t="shared" si="12"/>
        <v>0</v>
      </c>
      <c r="M65">
        <f t="shared" si="7"/>
        <v>-56.000000000000007</v>
      </c>
    </row>
    <row r="66" spans="1:13" x14ac:dyDescent="0.35">
      <c r="A66">
        <v>0</v>
      </c>
      <c r="B66" s="14">
        <f t="shared" si="8"/>
        <v>63</v>
      </c>
      <c r="C66">
        <f t="shared" si="11"/>
        <v>36.049999999999997</v>
      </c>
      <c r="D66">
        <f t="shared" si="11"/>
        <v>-75.87</v>
      </c>
      <c r="E66">
        <f t="shared" si="11"/>
        <v>11.79</v>
      </c>
      <c r="F66">
        <f t="shared" si="11"/>
        <v>0</v>
      </c>
      <c r="G66">
        <f t="shared" si="3"/>
        <v>-2803.0000000000009</v>
      </c>
      <c r="I66" s="14">
        <f t="shared" si="4"/>
        <v>63</v>
      </c>
      <c r="J66">
        <f t="shared" si="12"/>
        <v>-0.56000000000000005</v>
      </c>
      <c r="K66">
        <f t="shared" si="12"/>
        <v>0</v>
      </c>
      <c r="L66">
        <f t="shared" si="12"/>
        <v>0</v>
      </c>
      <c r="M66">
        <f t="shared" si="7"/>
        <v>-56.000000000000007</v>
      </c>
    </row>
    <row r="67" spans="1:13" x14ac:dyDescent="0.35">
      <c r="A67">
        <v>0</v>
      </c>
      <c r="B67" s="14">
        <f t="shared" si="8"/>
        <v>64</v>
      </c>
      <c r="C67">
        <f t="shared" si="11"/>
        <v>37.049999999999997</v>
      </c>
      <c r="D67">
        <f t="shared" si="11"/>
        <v>-78.87</v>
      </c>
      <c r="E67">
        <f t="shared" si="11"/>
        <v>12.79</v>
      </c>
      <c r="F67">
        <f t="shared" si="11"/>
        <v>0</v>
      </c>
      <c r="G67">
        <f t="shared" si="3"/>
        <v>-2903.0000000000009</v>
      </c>
      <c r="I67" s="14">
        <f t="shared" si="4"/>
        <v>64</v>
      </c>
      <c r="J67">
        <f t="shared" si="12"/>
        <v>-0.56000000000000005</v>
      </c>
      <c r="K67">
        <f t="shared" si="12"/>
        <v>0</v>
      </c>
      <c r="L67">
        <f t="shared" si="12"/>
        <v>0</v>
      </c>
      <c r="M67">
        <f t="shared" si="7"/>
        <v>-56.000000000000007</v>
      </c>
    </row>
    <row r="68" spans="1:13" x14ac:dyDescent="0.35">
      <c r="A68">
        <v>0</v>
      </c>
      <c r="B68" s="14">
        <f t="shared" si="8"/>
        <v>65</v>
      </c>
      <c r="C68">
        <f t="shared" si="11"/>
        <v>38.049999999999997</v>
      </c>
      <c r="D68">
        <f t="shared" si="11"/>
        <v>-81.87</v>
      </c>
      <c r="E68">
        <f t="shared" si="11"/>
        <v>13.79</v>
      </c>
      <c r="F68">
        <f t="shared" si="11"/>
        <v>0</v>
      </c>
      <c r="G68">
        <f t="shared" si="3"/>
        <v>-3003.0000000000009</v>
      </c>
      <c r="I68" s="14">
        <f t="shared" si="4"/>
        <v>65</v>
      </c>
      <c r="J68">
        <f t="shared" si="12"/>
        <v>-0.56000000000000005</v>
      </c>
      <c r="K68">
        <f t="shared" si="12"/>
        <v>0</v>
      </c>
      <c r="L68">
        <f t="shared" si="12"/>
        <v>0</v>
      </c>
      <c r="M68">
        <f t="shared" si="7"/>
        <v>-56.000000000000007</v>
      </c>
    </row>
    <row r="69" spans="1:13" x14ac:dyDescent="0.35">
      <c r="A69">
        <v>0</v>
      </c>
      <c r="B69" s="14">
        <f t="shared" si="8"/>
        <v>66</v>
      </c>
      <c r="C69">
        <f t="shared" si="11"/>
        <v>39.049999999999997</v>
      </c>
      <c r="D69">
        <f t="shared" si="11"/>
        <v>-84.87</v>
      </c>
      <c r="E69">
        <f t="shared" si="11"/>
        <v>14.79</v>
      </c>
      <c r="F69">
        <f t="shared" si="11"/>
        <v>0</v>
      </c>
      <c r="G69">
        <f t="shared" si="3"/>
        <v>-3103.0000000000009</v>
      </c>
      <c r="I69" s="14">
        <f t="shared" si="4"/>
        <v>66</v>
      </c>
      <c r="J69">
        <f t="shared" si="12"/>
        <v>-0.56000000000000005</v>
      </c>
      <c r="K69">
        <f t="shared" si="12"/>
        <v>0</v>
      </c>
      <c r="L69">
        <f t="shared" si="12"/>
        <v>0</v>
      </c>
      <c r="M69">
        <f t="shared" si="7"/>
        <v>-56.000000000000007</v>
      </c>
    </row>
    <row r="70" spans="1:13" x14ac:dyDescent="0.35">
      <c r="A70">
        <v>0</v>
      </c>
      <c r="B70" s="14">
        <f t="shared" si="8"/>
        <v>67</v>
      </c>
      <c r="C70">
        <f t="shared" si="11"/>
        <v>40.049999999999997</v>
      </c>
      <c r="D70">
        <f t="shared" si="11"/>
        <v>-87.87</v>
      </c>
      <c r="E70">
        <f t="shared" si="11"/>
        <v>15.79</v>
      </c>
      <c r="F70">
        <f t="shared" si="11"/>
        <v>0</v>
      </c>
      <c r="G70">
        <f t="shared" si="3"/>
        <v>-3203.0000000000009</v>
      </c>
      <c r="I70" s="14">
        <f t="shared" si="4"/>
        <v>67</v>
      </c>
      <c r="J70">
        <f t="shared" si="12"/>
        <v>-0.56000000000000005</v>
      </c>
      <c r="K70">
        <f t="shared" si="12"/>
        <v>0</v>
      </c>
      <c r="L70">
        <f t="shared" si="12"/>
        <v>0</v>
      </c>
      <c r="M70">
        <f t="shared" si="7"/>
        <v>-56.000000000000007</v>
      </c>
    </row>
    <row r="71" spans="1:13" x14ac:dyDescent="0.35">
      <c r="A71">
        <v>0</v>
      </c>
      <c r="B71" s="14">
        <f t="shared" si="8"/>
        <v>68</v>
      </c>
      <c r="C71">
        <f t="shared" si="11"/>
        <v>41.05</v>
      </c>
      <c r="D71">
        <f t="shared" si="11"/>
        <v>-90.87</v>
      </c>
      <c r="E71">
        <f t="shared" si="11"/>
        <v>16.79</v>
      </c>
      <c r="F71">
        <f t="shared" si="11"/>
        <v>0</v>
      </c>
      <c r="G71">
        <f t="shared" si="3"/>
        <v>-3303.0000000000009</v>
      </c>
      <c r="I71" s="14">
        <f t="shared" si="4"/>
        <v>68</v>
      </c>
      <c r="J71">
        <f t="shared" si="12"/>
        <v>-0.56000000000000005</v>
      </c>
      <c r="K71">
        <f t="shared" si="12"/>
        <v>0</v>
      </c>
      <c r="L71">
        <f t="shared" si="12"/>
        <v>0</v>
      </c>
      <c r="M71">
        <f t="shared" si="7"/>
        <v>-56.000000000000007</v>
      </c>
    </row>
    <row r="72" spans="1:13" x14ac:dyDescent="0.35">
      <c r="A72">
        <v>0</v>
      </c>
      <c r="B72" s="14">
        <f t="shared" si="8"/>
        <v>69</v>
      </c>
      <c r="C72">
        <f t="shared" si="11"/>
        <v>42.05</v>
      </c>
      <c r="D72">
        <f t="shared" si="11"/>
        <v>-93.87</v>
      </c>
      <c r="E72">
        <f t="shared" si="11"/>
        <v>17.79</v>
      </c>
      <c r="F72">
        <f t="shared" si="11"/>
        <v>0</v>
      </c>
      <c r="G72">
        <f t="shared" si="3"/>
        <v>-3403.0000000000009</v>
      </c>
      <c r="I72" s="14">
        <f t="shared" si="4"/>
        <v>69</v>
      </c>
      <c r="J72">
        <f t="shared" si="12"/>
        <v>-0.56000000000000005</v>
      </c>
      <c r="K72">
        <f t="shared" si="12"/>
        <v>0</v>
      </c>
      <c r="L72">
        <f t="shared" si="12"/>
        <v>0</v>
      </c>
      <c r="M72">
        <f t="shared" si="7"/>
        <v>-56.000000000000007</v>
      </c>
    </row>
    <row r="73" spans="1:13" x14ac:dyDescent="0.35">
      <c r="A73">
        <v>0</v>
      </c>
      <c r="B73" s="14">
        <f t="shared" si="8"/>
        <v>70</v>
      </c>
      <c r="C73">
        <f t="shared" si="11"/>
        <v>43.05</v>
      </c>
      <c r="D73">
        <f t="shared" si="11"/>
        <v>-96.87</v>
      </c>
      <c r="E73">
        <f t="shared" si="11"/>
        <v>18.79</v>
      </c>
      <c r="F73">
        <f t="shared" si="11"/>
        <v>0</v>
      </c>
      <c r="G73">
        <f t="shared" si="3"/>
        <v>-3503.0000000000009</v>
      </c>
      <c r="I73" s="14">
        <f t="shared" si="4"/>
        <v>70</v>
      </c>
      <c r="J73">
        <f t="shared" si="12"/>
        <v>-0.56000000000000005</v>
      </c>
      <c r="K73">
        <f t="shared" si="12"/>
        <v>0</v>
      </c>
      <c r="L73">
        <f t="shared" si="12"/>
        <v>0</v>
      </c>
      <c r="M73">
        <f t="shared" si="7"/>
        <v>-56.000000000000007</v>
      </c>
    </row>
    <row r="74" spans="1:13" x14ac:dyDescent="0.35">
      <c r="A74">
        <v>0</v>
      </c>
      <c r="B74" s="14">
        <f t="shared" si="8"/>
        <v>71</v>
      </c>
      <c r="C74">
        <f t="shared" ref="C74:F93" si="13">IF(C$7="C", MAX(($B74-C$8), 0), MAX(C$8-$B74, 0))*C$6-C$6*C$5</f>
        <v>44.05</v>
      </c>
      <c r="D74">
        <f t="shared" si="13"/>
        <v>-99.87</v>
      </c>
      <c r="E74">
        <f t="shared" si="13"/>
        <v>19.79</v>
      </c>
      <c r="F74">
        <f t="shared" si="13"/>
        <v>0</v>
      </c>
      <c r="G74">
        <f t="shared" si="3"/>
        <v>-3603.0000000000009</v>
      </c>
      <c r="I74" s="14">
        <f t="shared" si="4"/>
        <v>71</v>
      </c>
      <c r="J74">
        <f t="shared" ref="J74:L93" si="14">IF(J$7="C", MAX(($B74-J$8), 0), MAX(J$8-$B74, 0))*J$6-J$6*J$5</f>
        <v>-0.56000000000000005</v>
      </c>
      <c r="K74">
        <f t="shared" si="14"/>
        <v>0</v>
      </c>
      <c r="L74">
        <f t="shared" si="14"/>
        <v>0</v>
      </c>
      <c r="M74">
        <f t="shared" si="7"/>
        <v>-56.000000000000007</v>
      </c>
    </row>
    <row r="75" spans="1:13" x14ac:dyDescent="0.35">
      <c r="A75">
        <v>0</v>
      </c>
      <c r="B75" s="14">
        <f t="shared" si="8"/>
        <v>72</v>
      </c>
      <c r="C75">
        <f t="shared" si="13"/>
        <v>45.05</v>
      </c>
      <c r="D75">
        <f t="shared" si="13"/>
        <v>-102.87</v>
      </c>
      <c r="E75">
        <f t="shared" si="13"/>
        <v>20.79</v>
      </c>
      <c r="F75">
        <f t="shared" si="13"/>
        <v>0</v>
      </c>
      <c r="G75">
        <f t="shared" si="3"/>
        <v>-3703.0000000000009</v>
      </c>
      <c r="I75" s="14">
        <f t="shared" si="4"/>
        <v>72</v>
      </c>
      <c r="J75">
        <f t="shared" si="14"/>
        <v>-0.56000000000000005</v>
      </c>
      <c r="K75">
        <f t="shared" si="14"/>
        <v>0</v>
      </c>
      <c r="L75">
        <f t="shared" si="14"/>
        <v>0</v>
      </c>
      <c r="M75">
        <f t="shared" si="7"/>
        <v>-56.000000000000007</v>
      </c>
    </row>
    <row r="76" spans="1:13" x14ac:dyDescent="0.35">
      <c r="A76">
        <v>0</v>
      </c>
      <c r="B76" s="14">
        <f t="shared" si="8"/>
        <v>73</v>
      </c>
      <c r="C76">
        <f t="shared" si="13"/>
        <v>46.05</v>
      </c>
      <c r="D76">
        <f t="shared" si="13"/>
        <v>-105.87</v>
      </c>
      <c r="E76">
        <f t="shared" si="13"/>
        <v>21.79</v>
      </c>
      <c r="F76">
        <f t="shared" si="13"/>
        <v>0</v>
      </c>
      <c r="G76">
        <f t="shared" si="3"/>
        <v>-3803.0000000000009</v>
      </c>
      <c r="I76" s="14">
        <f t="shared" si="4"/>
        <v>73</v>
      </c>
      <c r="J76">
        <f t="shared" si="14"/>
        <v>-0.56000000000000005</v>
      </c>
      <c r="K76">
        <f t="shared" si="14"/>
        <v>0</v>
      </c>
      <c r="L76">
        <f t="shared" si="14"/>
        <v>0</v>
      </c>
      <c r="M76">
        <f t="shared" si="7"/>
        <v>-56.000000000000007</v>
      </c>
    </row>
    <row r="77" spans="1:13" x14ac:dyDescent="0.35">
      <c r="A77">
        <v>0</v>
      </c>
      <c r="B77" s="14">
        <f t="shared" si="8"/>
        <v>74</v>
      </c>
      <c r="C77">
        <f t="shared" si="13"/>
        <v>47.05</v>
      </c>
      <c r="D77">
        <f t="shared" si="13"/>
        <v>-108.87</v>
      </c>
      <c r="E77">
        <f t="shared" si="13"/>
        <v>22.79</v>
      </c>
      <c r="F77">
        <f t="shared" si="13"/>
        <v>0</v>
      </c>
      <c r="G77">
        <f t="shared" si="3"/>
        <v>-3903.0000000000009</v>
      </c>
      <c r="I77" s="14">
        <f t="shared" si="4"/>
        <v>74</v>
      </c>
      <c r="J77">
        <f t="shared" si="14"/>
        <v>-0.56000000000000005</v>
      </c>
      <c r="K77">
        <f t="shared" si="14"/>
        <v>0</v>
      </c>
      <c r="L77">
        <f t="shared" si="14"/>
        <v>0</v>
      </c>
      <c r="M77">
        <f t="shared" si="7"/>
        <v>-56.000000000000007</v>
      </c>
    </row>
    <row r="78" spans="1:13" x14ac:dyDescent="0.35">
      <c r="A78">
        <v>0</v>
      </c>
      <c r="B78" s="14">
        <f t="shared" si="8"/>
        <v>75</v>
      </c>
      <c r="C78">
        <f t="shared" si="13"/>
        <v>48.05</v>
      </c>
      <c r="D78">
        <f t="shared" si="13"/>
        <v>-111.87</v>
      </c>
      <c r="E78">
        <f t="shared" si="13"/>
        <v>23.79</v>
      </c>
      <c r="F78">
        <f t="shared" si="13"/>
        <v>0</v>
      </c>
      <c r="G78">
        <f t="shared" ref="G78:G93" si="15">SUM(C78:F78)*100</f>
        <v>-4003.0000000000009</v>
      </c>
      <c r="I78" s="14">
        <f t="shared" ref="I78:I93" si="16">B78</f>
        <v>75</v>
      </c>
      <c r="J78">
        <f t="shared" si="14"/>
        <v>-0.56000000000000005</v>
      </c>
      <c r="K78">
        <f t="shared" si="14"/>
        <v>0</v>
      </c>
      <c r="L78">
        <f t="shared" si="14"/>
        <v>0</v>
      </c>
      <c r="M78">
        <f t="shared" ref="M78:M93" si="17">SUM(J78:L78)*100</f>
        <v>-56.000000000000007</v>
      </c>
    </row>
    <row r="79" spans="1:13" x14ac:dyDescent="0.35">
      <c r="A79">
        <v>0</v>
      </c>
      <c r="B79" s="14">
        <f t="shared" ref="B79:B93" si="18">B78+1</f>
        <v>76</v>
      </c>
      <c r="C79">
        <f t="shared" si="13"/>
        <v>49.05</v>
      </c>
      <c r="D79">
        <f t="shared" si="13"/>
        <v>-114.87</v>
      </c>
      <c r="E79">
        <f t="shared" si="13"/>
        <v>24.79</v>
      </c>
      <c r="F79">
        <f t="shared" si="13"/>
        <v>0</v>
      </c>
      <c r="G79">
        <f t="shared" si="15"/>
        <v>-4103.0000000000009</v>
      </c>
      <c r="I79" s="14">
        <f t="shared" si="16"/>
        <v>76</v>
      </c>
      <c r="J79">
        <f t="shared" si="14"/>
        <v>-0.56000000000000005</v>
      </c>
      <c r="K79">
        <f t="shared" si="14"/>
        <v>0</v>
      </c>
      <c r="L79">
        <f t="shared" si="14"/>
        <v>0</v>
      </c>
      <c r="M79">
        <f t="shared" si="17"/>
        <v>-56.000000000000007</v>
      </c>
    </row>
    <row r="80" spans="1:13" x14ac:dyDescent="0.35">
      <c r="A80">
        <v>0</v>
      </c>
      <c r="B80" s="14">
        <f t="shared" si="18"/>
        <v>77</v>
      </c>
      <c r="C80">
        <f t="shared" si="13"/>
        <v>50.05</v>
      </c>
      <c r="D80">
        <f t="shared" si="13"/>
        <v>-117.87</v>
      </c>
      <c r="E80">
        <f t="shared" si="13"/>
        <v>25.79</v>
      </c>
      <c r="F80">
        <f t="shared" si="13"/>
        <v>0</v>
      </c>
      <c r="G80">
        <f t="shared" si="15"/>
        <v>-4203.0000000000009</v>
      </c>
      <c r="I80" s="14">
        <f t="shared" si="16"/>
        <v>77</v>
      </c>
      <c r="J80">
        <f t="shared" si="14"/>
        <v>-0.56000000000000005</v>
      </c>
      <c r="K80">
        <f t="shared" si="14"/>
        <v>0</v>
      </c>
      <c r="L80">
        <f t="shared" si="14"/>
        <v>0</v>
      </c>
      <c r="M80">
        <f t="shared" si="17"/>
        <v>-56.000000000000007</v>
      </c>
    </row>
    <row r="81" spans="1:13" x14ac:dyDescent="0.35">
      <c r="A81">
        <v>0</v>
      </c>
      <c r="B81" s="14">
        <f t="shared" si="18"/>
        <v>78</v>
      </c>
      <c r="C81">
        <f t="shared" si="13"/>
        <v>51.05</v>
      </c>
      <c r="D81">
        <f t="shared" si="13"/>
        <v>-120.87</v>
      </c>
      <c r="E81">
        <f t="shared" si="13"/>
        <v>26.79</v>
      </c>
      <c r="F81">
        <f t="shared" si="13"/>
        <v>0</v>
      </c>
      <c r="G81">
        <f t="shared" si="15"/>
        <v>-4303.0000000000009</v>
      </c>
      <c r="I81" s="14">
        <f t="shared" si="16"/>
        <v>78</v>
      </c>
      <c r="J81">
        <f t="shared" si="14"/>
        <v>-0.56000000000000005</v>
      </c>
      <c r="K81">
        <f t="shared" si="14"/>
        <v>0</v>
      </c>
      <c r="L81">
        <f t="shared" si="14"/>
        <v>0</v>
      </c>
      <c r="M81">
        <f t="shared" si="17"/>
        <v>-56.000000000000007</v>
      </c>
    </row>
    <row r="82" spans="1:13" x14ac:dyDescent="0.35">
      <c r="A82">
        <v>0</v>
      </c>
      <c r="B82" s="14">
        <f t="shared" si="18"/>
        <v>79</v>
      </c>
      <c r="C82">
        <f t="shared" si="13"/>
        <v>52.05</v>
      </c>
      <c r="D82">
        <f t="shared" si="13"/>
        <v>-123.87</v>
      </c>
      <c r="E82">
        <f t="shared" si="13"/>
        <v>27.79</v>
      </c>
      <c r="F82">
        <f t="shared" si="13"/>
        <v>0</v>
      </c>
      <c r="G82">
        <f t="shared" si="15"/>
        <v>-4403.0000000000009</v>
      </c>
      <c r="I82" s="14">
        <f t="shared" si="16"/>
        <v>79</v>
      </c>
      <c r="J82">
        <f t="shared" si="14"/>
        <v>-0.56000000000000005</v>
      </c>
      <c r="K82">
        <f t="shared" si="14"/>
        <v>0</v>
      </c>
      <c r="L82">
        <f t="shared" si="14"/>
        <v>0</v>
      </c>
      <c r="M82">
        <f t="shared" si="17"/>
        <v>-56.000000000000007</v>
      </c>
    </row>
    <row r="83" spans="1:13" x14ac:dyDescent="0.35">
      <c r="A83">
        <v>0</v>
      </c>
      <c r="B83" s="14">
        <f t="shared" si="18"/>
        <v>80</v>
      </c>
      <c r="C83">
        <f t="shared" si="13"/>
        <v>53.05</v>
      </c>
      <c r="D83">
        <f t="shared" si="13"/>
        <v>-126.87</v>
      </c>
      <c r="E83">
        <f t="shared" si="13"/>
        <v>28.79</v>
      </c>
      <c r="F83">
        <f t="shared" si="13"/>
        <v>0</v>
      </c>
      <c r="G83">
        <f t="shared" si="15"/>
        <v>-4503.0000000000009</v>
      </c>
      <c r="I83" s="14">
        <f t="shared" si="16"/>
        <v>80</v>
      </c>
      <c r="J83">
        <f t="shared" si="14"/>
        <v>-0.56000000000000005</v>
      </c>
      <c r="K83">
        <f t="shared" si="14"/>
        <v>0</v>
      </c>
      <c r="L83">
        <f t="shared" si="14"/>
        <v>0</v>
      </c>
      <c r="M83">
        <f t="shared" si="17"/>
        <v>-56.000000000000007</v>
      </c>
    </row>
    <row r="84" spans="1:13" x14ac:dyDescent="0.35">
      <c r="A84">
        <v>0</v>
      </c>
      <c r="B84" s="14">
        <f t="shared" si="18"/>
        <v>81</v>
      </c>
      <c r="C84">
        <f t="shared" si="13"/>
        <v>54.05</v>
      </c>
      <c r="D84">
        <f t="shared" si="13"/>
        <v>-129.87</v>
      </c>
      <c r="E84">
        <f t="shared" si="13"/>
        <v>29.79</v>
      </c>
      <c r="F84">
        <f t="shared" si="13"/>
        <v>0</v>
      </c>
      <c r="G84">
        <f t="shared" si="15"/>
        <v>-4603.0000000000009</v>
      </c>
      <c r="I84" s="14">
        <f t="shared" si="16"/>
        <v>81</v>
      </c>
      <c r="J84">
        <f t="shared" si="14"/>
        <v>-0.56000000000000005</v>
      </c>
      <c r="K84">
        <f t="shared" si="14"/>
        <v>0</v>
      </c>
      <c r="L84">
        <f t="shared" si="14"/>
        <v>0</v>
      </c>
      <c r="M84">
        <f t="shared" si="17"/>
        <v>-56.000000000000007</v>
      </c>
    </row>
    <row r="85" spans="1:13" x14ac:dyDescent="0.35">
      <c r="A85">
        <v>0</v>
      </c>
      <c r="B85" s="14">
        <f t="shared" si="18"/>
        <v>82</v>
      </c>
      <c r="C85">
        <f t="shared" si="13"/>
        <v>55.05</v>
      </c>
      <c r="D85">
        <f t="shared" si="13"/>
        <v>-132.87</v>
      </c>
      <c r="E85">
        <f t="shared" si="13"/>
        <v>30.79</v>
      </c>
      <c r="F85">
        <f t="shared" si="13"/>
        <v>0</v>
      </c>
      <c r="G85">
        <f t="shared" si="15"/>
        <v>-4703.0000000000009</v>
      </c>
      <c r="I85" s="14">
        <f t="shared" si="16"/>
        <v>82</v>
      </c>
      <c r="J85">
        <f t="shared" si="14"/>
        <v>-0.56000000000000005</v>
      </c>
      <c r="K85">
        <f t="shared" si="14"/>
        <v>0</v>
      </c>
      <c r="L85">
        <f t="shared" si="14"/>
        <v>0</v>
      </c>
      <c r="M85">
        <f t="shared" si="17"/>
        <v>-56.000000000000007</v>
      </c>
    </row>
    <row r="86" spans="1:13" x14ac:dyDescent="0.35">
      <c r="A86">
        <v>0</v>
      </c>
      <c r="B86" s="14">
        <f t="shared" si="18"/>
        <v>83</v>
      </c>
      <c r="C86">
        <f t="shared" si="13"/>
        <v>56.05</v>
      </c>
      <c r="D86">
        <f t="shared" si="13"/>
        <v>-135.87</v>
      </c>
      <c r="E86">
        <f t="shared" si="13"/>
        <v>31.79</v>
      </c>
      <c r="F86">
        <f t="shared" si="13"/>
        <v>0</v>
      </c>
      <c r="G86">
        <f t="shared" si="15"/>
        <v>-4803.0000000000009</v>
      </c>
      <c r="I86" s="14">
        <f t="shared" si="16"/>
        <v>83</v>
      </c>
      <c r="J86">
        <f t="shared" si="14"/>
        <v>-0.56000000000000005</v>
      </c>
      <c r="K86">
        <f t="shared" si="14"/>
        <v>0</v>
      </c>
      <c r="L86">
        <f t="shared" si="14"/>
        <v>0</v>
      </c>
      <c r="M86">
        <f t="shared" si="17"/>
        <v>-56.000000000000007</v>
      </c>
    </row>
    <row r="87" spans="1:13" x14ac:dyDescent="0.35">
      <c r="A87">
        <v>0</v>
      </c>
      <c r="B87" s="14">
        <f t="shared" si="18"/>
        <v>84</v>
      </c>
      <c r="C87">
        <f t="shared" si="13"/>
        <v>57.05</v>
      </c>
      <c r="D87">
        <f t="shared" si="13"/>
        <v>-138.87</v>
      </c>
      <c r="E87">
        <f t="shared" si="13"/>
        <v>32.79</v>
      </c>
      <c r="F87">
        <f t="shared" si="13"/>
        <v>0</v>
      </c>
      <c r="G87">
        <f t="shared" si="15"/>
        <v>-4903.0000000000009</v>
      </c>
      <c r="I87" s="14">
        <f t="shared" si="16"/>
        <v>84</v>
      </c>
      <c r="J87">
        <f t="shared" si="14"/>
        <v>-0.56000000000000005</v>
      </c>
      <c r="K87">
        <f t="shared" si="14"/>
        <v>0</v>
      </c>
      <c r="L87">
        <f t="shared" si="14"/>
        <v>0</v>
      </c>
      <c r="M87">
        <f t="shared" si="17"/>
        <v>-56.000000000000007</v>
      </c>
    </row>
    <row r="88" spans="1:13" x14ac:dyDescent="0.35">
      <c r="A88">
        <v>0</v>
      </c>
      <c r="B88" s="14">
        <f t="shared" si="18"/>
        <v>85</v>
      </c>
      <c r="C88">
        <f t="shared" si="13"/>
        <v>58.05</v>
      </c>
      <c r="D88">
        <f t="shared" si="13"/>
        <v>-141.87</v>
      </c>
      <c r="E88">
        <f t="shared" si="13"/>
        <v>33.79</v>
      </c>
      <c r="F88">
        <f t="shared" si="13"/>
        <v>0</v>
      </c>
      <c r="G88">
        <f t="shared" si="15"/>
        <v>-5003.0000000000009</v>
      </c>
      <c r="I88" s="14">
        <f t="shared" si="16"/>
        <v>85</v>
      </c>
      <c r="J88">
        <f t="shared" si="14"/>
        <v>-0.56000000000000005</v>
      </c>
      <c r="K88">
        <f t="shared" si="14"/>
        <v>0</v>
      </c>
      <c r="L88">
        <f t="shared" si="14"/>
        <v>0</v>
      </c>
      <c r="M88">
        <f t="shared" si="17"/>
        <v>-56.000000000000007</v>
      </c>
    </row>
    <row r="89" spans="1:13" x14ac:dyDescent="0.35">
      <c r="A89">
        <v>0</v>
      </c>
      <c r="B89" s="14">
        <f t="shared" si="18"/>
        <v>86</v>
      </c>
      <c r="C89">
        <f t="shared" si="13"/>
        <v>59.05</v>
      </c>
      <c r="D89">
        <f t="shared" si="13"/>
        <v>-144.87</v>
      </c>
      <c r="E89">
        <f t="shared" si="13"/>
        <v>34.79</v>
      </c>
      <c r="F89">
        <f t="shared" si="13"/>
        <v>0</v>
      </c>
      <c r="G89">
        <f t="shared" si="15"/>
        <v>-5103.0000000000009</v>
      </c>
      <c r="I89" s="14">
        <f t="shared" si="16"/>
        <v>86</v>
      </c>
      <c r="J89">
        <f t="shared" si="14"/>
        <v>-0.56000000000000005</v>
      </c>
      <c r="K89">
        <f t="shared" si="14"/>
        <v>0</v>
      </c>
      <c r="L89">
        <f t="shared" si="14"/>
        <v>0</v>
      </c>
      <c r="M89">
        <f t="shared" si="17"/>
        <v>-56.000000000000007</v>
      </c>
    </row>
    <row r="90" spans="1:13" x14ac:dyDescent="0.35">
      <c r="A90">
        <v>0</v>
      </c>
      <c r="B90" s="14">
        <f t="shared" si="18"/>
        <v>87</v>
      </c>
      <c r="C90">
        <f t="shared" si="13"/>
        <v>60.05</v>
      </c>
      <c r="D90">
        <f t="shared" si="13"/>
        <v>-147.87</v>
      </c>
      <c r="E90">
        <f t="shared" si="13"/>
        <v>35.79</v>
      </c>
      <c r="F90">
        <f t="shared" si="13"/>
        <v>0</v>
      </c>
      <c r="G90">
        <f t="shared" si="15"/>
        <v>-5203.0000000000009</v>
      </c>
      <c r="I90" s="14">
        <f t="shared" si="16"/>
        <v>87</v>
      </c>
      <c r="J90">
        <f t="shared" si="14"/>
        <v>-0.56000000000000005</v>
      </c>
      <c r="K90">
        <f t="shared" si="14"/>
        <v>0</v>
      </c>
      <c r="L90">
        <f t="shared" si="14"/>
        <v>0</v>
      </c>
      <c r="M90">
        <f t="shared" si="17"/>
        <v>-56.000000000000007</v>
      </c>
    </row>
    <row r="91" spans="1:13" x14ac:dyDescent="0.35">
      <c r="A91">
        <v>0</v>
      </c>
      <c r="B91" s="14">
        <f t="shared" si="18"/>
        <v>88</v>
      </c>
      <c r="C91">
        <f t="shared" si="13"/>
        <v>61.05</v>
      </c>
      <c r="D91">
        <f t="shared" si="13"/>
        <v>-150.87</v>
      </c>
      <c r="E91">
        <f t="shared" si="13"/>
        <v>36.79</v>
      </c>
      <c r="F91">
        <f t="shared" si="13"/>
        <v>0</v>
      </c>
      <c r="G91">
        <f t="shared" si="15"/>
        <v>-5303.0000000000009</v>
      </c>
      <c r="I91" s="14">
        <f t="shared" si="16"/>
        <v>88</v>
      </c>
      <c r="J91">
        <f t="shared" si="14"/>
        <v>-0.56000000000000005</v>
      </c>
      <c r="K91">
        <f t="shared" si="14"/>
        <v>0</v>
      </c>
      <c r="L91">
        <f t="shared" si="14"/>
        <v>0</v>
      </c>
      <c r="M91">
        <f t="shared" si="17"/>
        <v>-56.000000000000007</v>
      </c>
    </row>
    <row r="92" spans="1:13" x14ac:dyDescent="0.35">
      <c r="A92">
        <v>0</v>
      </c>
      <c r="B92" s="14">
        <f t="shared" si="18"/>
        <v>89</v>
      </c>
      <c r="C92">
        <f t="shared" si="13"/>
        <v>62.05</v>
      </c>
      <c r="D92">
        <f t="shared" si="13"/>
        <v>-153.87</v>
      </c>
      <c r="E92">
        <f t="shared" si="13"/>
        <v>37.79</v>
      </c>
      <c r="F92">
        <f t="shared" si="13"/>
        <v>0</v>
      </c>
      <c r="G92">
        <f t="shared" si="15"/>
        <v>-5403.0000000000009</v>
      </c>
      <c r="I92" s="14">
        <f t="shared" si="16"/>
        <v>89</v>
      </c>
      <c r="J92">
        <f t="shared" si="14"/>
        <v>-0.56000000000000005</v>
      </c>
      <c r="K92">
        <f t="shared" si="14"/>
        <v>0</v>
      </c>
      <c r="L92">
        <f t="shared" si="14"/>
        <v>0</v>
      </c>
      <c r="M92">
        <f t="shared" si="17"/>
        <v>-56.000000000000007</v>
      </c>
    </row>
    <row r="93" spans="1:13" x14ac:dyDescent="0.35">
      <c r="A93">
        <v>0</v>
      </c>
      <c r="B93" s="14">
        <f t="shared" si="18"/>
        <v>90</v>
      </c>
      <c r="C93">
        <f t="shared" si="13"/>
        <v>63.05</v>
      </c>
      <c r="D93">
        <f t="shared" si="13"/>
        <v>-156.87</v>
      </c>
      <c r="E93">
        <f t="shared" si="13"/>
        <v>38.79</v>
      </c>
      <c r="F93">
        <f t="shared" si="13"/>
        <v>0</v>
      </c>
      <c r="G93">
        <f t="shared" si="15"/>
        <v>-5503.0000000000009</v>
      </c>
      <c r="I93" s="14">
        <f t="shared" si="16"/>
        <v>90</v>
      </c>
      <c r="J93">
        <f t="shared" si="14"/>
        <v>-0.56000000000000005</v>
      </c>
      <c r="K93">
        <f t="shared" si="14"/>
        <v>0</v>
      </c>
      <c r="L93">
        <f t="shared" si="14"/>
        <v>0</v>
      </c>
      <c r="M93">
        <f t="shared" si="17"/>
        <v>-56.000000000000007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9B82-DA8D-7744-A8E9-B21B7809F83E}">
  <sheetPr codeName="Sheet2"/>
  <dimension ref="A1:X5813"/>
  <sheetViews>
    <sheetView workbookViewId="0">
      <selection activeCell="A8" sqref="A8:XFD8"/>
    </sheetView>
  </sheetViews>
  <sheetFormatPr defaultColWidth="10.6640625" defaultRowHeight="15.5" x14ac:dyDescent="0.35"/>
  <cols>
    <col min="19" max="19" width="13" bestFit="1" customWidth="1"/>
    <col min="20" max="21" width="13.33203125" bestFit="1" customWidth="1"/>
    <col min="22" max="22" width="12.33203125" bestFit="1" customWidth="1"/>
  </cols>
  <sheetData>
    <row r="1" spans="1:22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6</v>
      </c>
      <c r="O1" t="s">
        <v>18</v>
      </c>
      <c r="P1" t="s">
        <v>19</v>
      </c>
    </row>
    <row r="2" spans="1:22" x14ac:dyDescent="0.35">
      <c r="A2" s="3">
        <v>44722</v>
      </c>
      <c r="B2" t="s">
        <v>20</v>
      </c>
      <c r="C2">
        <v>0</v>
      </c>
      <c r="D2">
        <v>0</v>
      </c>
      <c r="E2">
        <v>0</v>
      </c>
      <c r="F2">
        <v>0</v>
      </c>
      <c r="G2">
        <v>29.617000000000001</v>
      </c>
      <c r="H2">
        <v>0</v>
      </c>
      <c r="I2">
        <v>0</v>
      </c>
      <c r="J2">
        <v>0</v>
      </c>
      <c r="K2">
        <v>0</v>
      </c>
      <c r="L2">
        <v>111</v>
      </c>
      <c r="M2">
        <v>159</v>
      </c>
      <c r="N2" t="s">
        <v>20</v>
      </c>
      <c r="O2" s="3">
        <v>44881</v>
      </c>
      <c r="P2">
        <v>-1</v>
      </c>
      <c r="S2" s="4" t="s">
        <v>5</v>
      </c>
      <c r="T2" s="4" t="s">
        <v>6</v>
      </c>
      <c r="U2" s="4" t="s">
        <v>16</v>
      </c>
      <c r="V2" t="s">
        <v>57</v>
      </c>
    </row>
    <row r="3" spans="1:22" x14ac:dyDescent="0.35">
      <c r="A3" s="3">
        <v>44722</v>
      </c>
      <c r="B3" t="s">
        <v>21</v>
      </c>
      <c r="C3">
        <v>0</v>
      </c>
      <c r="D3">
        <v>0</v>
      </c>
      <c r="E3">
        <v>0</v>
      </c>
      <c r="F3">
        <v>0</v>
      </c>
      <c r="G3">
        <v>29.110600000000002</v>
      </c>
      <c r="H3">
        <v>0</v>
      </c>
      <c r="I3">
        <v>0</v>
      </c>
      <c r="J3">
        <v>0</v>
      </c>
      <c r="K3">
        <v>0</v>
      </c>
      <c r="L3">
        <v>135</v>
      </c>
      <c r="M3">
        <v>194</v>
      </c>
      <c r="N3" t="s">
        <v>21</v>
      </c>
      <c r="O3" s="3">
        <v>44916</v>
      </c>
      <c r="P3">
        <v>-1</v>
      </c>
      <c r="S3" s="3">
        <v>43654</v>
      </c>
      <c r="T3" t="s">
        <v>55</v>
      </c>
      <c r="U3">
        <v>176</v>
      </c>
      <c r="V3">
        <v>17.350000000000001</v>
      </c>
    </row>
    <row r="4" spans="1:22" x14ac:dyDescent="0.35">
      <c r="A4" s="3">
        <v>44722</v>
      </c>
      <c r="B4" t="s">
        <v>22</v>
      </c>
      <c r="C4">
        <v>0</v>
      </c>
      <c r="D4">
        <v>0</v>
      </c>
      <c r="E4">
        <v>0</v>
      </c>
      <c r="F4">
        <v>0</v>
      </c>
      <c r="G4">
        <v>29.085799999999999</v>
      </c>
      <c r="H4">
        <v>0</v>
      </c>
      <c r="I4">
        <v>0</v>
      </c>
      <c r="J4">
        <v>0</v>
      </c>
      <c r="K4">
        <v>0</v>
      </c>
      <c r="L4">
        <v>27</v>
      </c>
      <c r="M4">
        <v>40</v>
      </c>
      <c r="N4" t="s">
        <v>22</v>
      </c>
      <c r="O4" s="3">
        <v>44762</v>
      </c>
      <c r="P4">
        <v>-1</v>
      </c>
      <c r="S4" s="3">
        <v>43655</v>
      </c>
      <c r="T4" t="s">
        <v>55</v>
      </c>
      <c r="U4">
        <v>175</v>
      </c>
      <c r="V4">
        <v>17.375</v>
      </c>
    </row>
    <row r="5" spans="1:22" x14ac:dyDescent="0.35">
      <c r="A5" s="3">
        <v>44722</v>
      </c>
      <c r="B5" t="s">
        <v>23</v>
      </c>
      <c r="C5">
        <v>0</v>
      </c>
      <c r="D5">
        <v>0</v>
      </c>
      <c r="E5">
        <v>0</v>
      </c>
      <c r="F5">
        <v>0</v>
      </c>
      <c r="G5">
        <v>29.7</v>
      </c>
      <c r="H5">
        <v>0</v>
      </c>
      <c r="I5">
        <v>0</v>
      </c>
      <c r="J5">
        <v>0</v>
      </c>
      <c r="K5">
        <v>0</v>
      </c>
      <c r="L5">
        <v>152</v>
      </c>
      <c r="M5">
        <v>222</v>
      </c>
      <c r="N5" t="s">
        <v>23</v>
      </c>
      <c r="O5" s="3">
        <v>44944</v>
      </c>
      <c r="P5">
        <v>-1</v>
      </c>
      <c r="S5" s="3">
        <v>43656</v>
      </c>
      <c r="T5" t="s">
        <v>55</v>
      </c>
      <c r="U5">
        <v>174</v>
      </c>
      <c r="V5">
        <v>17.274999999999999</v>
      </c>
    </row>
    <row r="6" spans="1:22" x14ac:dyDescent="0.35">
      <c r="A6" s="3">
        <v>44722</v>
      </c>
      <c r="B6" t="s">
        <v>24</v>
      </c>
      <c r="C6">
        <v>0</v>
      </c>
      <c r="D6">
        <v>0</v>
      </c>
      <c r="E6">
        <v>0</v>
      </c>
      <c r="F6">
        <v>0</v>
      </c>
      <c r="G6">
        <v>29.524999999999999</v>
      </c>
      <c r="H6">
        <v>0</v>
      </c>
      <c r="I6">
        <v>0</v>
      </c>
      <c r="J6">
        <v>0</v>
      </c>
      <c r="K6">
        <v>0</v>
      </c>
      <c r="L6">
        <v>172</v>
      </c>
      <c r="M6">
        <v>250</v>
      </c>
      <c r="N6" t="s">
        <v>24</v>
      </c>
      <c r="O6" s="3">
        <v>44972</v>
      </c>
      <c r="P6">
        <v>-1</v>
      </c>
      <c r="S6" s="3">
        <v>43657</v>
      </c>
      <c r="T6" t="s">
        <v>55</v>
      </c>
      <c r="U6">
        <v>173</v>
      </c>
      <c r="V6">
        <v>17.25</v>
      </c>
    </row>
    <row r="7" spans="1:22" x14ac:dyDescent="0.35">
      <c r="A7" s="3">
        <v>44722</v>
      </c>
      <c r="B7" t="s">
        <v>25</v>
      </c>
      <c r="C7">
        <v>0</v>
      </c>
      <c r="D7">
        <v>0</v>
      </c>
      <c r="E7">
        <v>0</v>
      </c>
      <c r="F7">
        <v>0</v>
      </c>
      <c r="G7">
        <v>29.789899999999999</v>
      </c>
      <c r="H7">
        <v>0</v>
      </c>
      <c r="I7">
        <v>0</v>
      </c>
      <c r="J7">
        <v>0</v>
      </c>
      <c r="K7">
        <v>0</v>
      </c>
      <c r="L7">
        <v>91</v>
      </c>
      <c r="M7">
        <v>131</v>
      </c>
      <c r="N7" t="s">
        <v>25</v>
      </c>
      <c r="O7" s="3">
        <v>44853</v>
      </c>
      <c r="P7">
        <v>-1</v>
      </c>
      <c r="S7" s="3">
        <v>43658</v>
      </c>
      <c r="T7" t="s">
        <v>55</v>
      </c>
      <c r="U7">
        <v>172</v>
      </c>
      <c r="V7">
        <v>17.25</v>
      </c>
    </row>
    <row r="8" spans="1:22" x14ac:dyDescent="0.35">
      <c r="A8" s="3">
        <v>44722</v>
      </c>
      <c r="B8" t="s">
        <v>26</v>
      </c>
      <c r="C8">
        <v>0</v>
      </c>
      <c r="D8">
        <v>0</v>
      </c>
      <c r="E8">
        <v>0</v>
      </c>
      <c r="F8">
        <v>0</v>
      </c>
      <c r="G8">
        <v>29.341899999999999</v>
      </c>
      <c r="H8">
        <v>0</v>
      </c>
      <c r="I8">
        <v>0</v>
      </c>
      <c r="J8">
        <v>0</v>
      </c>
      <c r="K8">
        <v>0</v>
      </c>
      <c r="L8">
        <v>47</v>
      </c>
      <c r="M8">
        <v>68</v>
      </c>
      <c r="N8" t="s">
        <v>26</v>
      </c>
      <c r="O8" s="3">
        <v>44790</v>
      </c>
      <c r="P8">
        <v>-1</v>
      </c>
      <c r="S8" s="3">
        <v>43661</v>
      </c>
      <c r="T8" t="s">
        <v>55</v>
      </c>
      <c r="U8">
        <v>171</v>
      </c>
      <c r="V8">
        <v>17.25</v>
      </c>
    </row>
    <row r="9" spans="1:22" x14ac:dyDescent="0.35">
      <c r="A9" s="3">
        <v>44722</v>
      </c>
      <c r="B9" t="s">
        <v>27</v>
      </c>
      <c r="C9">
        <v>0</v>
      </c>
      <c r="D9">
        <v>0</v>
      </c>
      <c r="E9">
        <v>0</v>
      </c>
      <c r="F9">
        <v>0</v>
      </c>
      <c r="G9">
        <v>29.734200000000001</v>
      </c>
      <c r="H9">
        <v>0</v>
      </c>
      <c r="I9">
        <v>0</v>
      </c>
      <c r="J9">
        <v>0</v>
      </c>
      <c r="K9">
        <v>0</v>
      </c>
      <c r="L9">
        <v>71</v>
      </c>
      <c r="M9">
        <v>103</v>
      </c>
      <c r="N9" t="s">
        <v>27</v>
      </c>
      <c r="O9" s="3">
        <v>44825</v>
      </c>
      <c r="P9">
        <v>-1</v>
      </c>
      <c r="S9" s="3">
        <v>43662</v>
      </c>
      <c r="T9" t="s">
        <v>55</v>
      </c>
      <c r="U9">
        <v>170</v>
      </c>
      <c r="V9">
        <v>17.425000000000001</v>
      </c>
    </row>
    <row r="10" spans="1:22" x14ac:dyDescent="0.35">
      <c r="A10" s="3">
        <v>44722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28.289200000000001</v>
      </c>
      <c r="H10">
        <v>0</v>
      </c>
      <c r="I10">
        <v>0</v>
      </c>
      <c r="J10">
        <v>0</v>
      </c>
      <c r="K10">
        <v>0</v>
      </c>
      <c r="L10">
        <v>3</v>
      </c>
      <c r="M10">
        <v>5</v>
      </c>
      <c r="N10" t="s">
        <v>28</v>
      </c>
      <c r="O10" s="3">
        <v>44727</v>
      </c>
      <c r="P10">
        <v>-1</v>
      </c>
      <c r="S10" s="3">
        <v>43663</v>
      </c>
      <c r="T10" t="s">
        <v>55</v>
      </c>
      <c r="U10">
        <v>169</v>
      </c>
      <c r="V10">
        <v>17.574999999999999</v>
      </c>
    </row>
    <row r="11" spans="1:22" x14ac:dyDescent="0.35">
      <c r="A11" s="3">
        <v>44721</v>
      </c>
      <c r="B11" t="s">
        <v>26</v>
      </c>
      <c r="C11">
        <v>0</v>
      </c>
      <c r="D11">
        <v>0</v>
      </c>
      <c r="E11">
        <v>0</v>
      </c>
      <c r="F11">
        <v>0</v>
      </c>
      <c r="G11">
        <v>27.869199999999999</v>
      </c>
      <c r="H11">
        <v>0</v>
      </c>
      <c r="I11">
        <v>0</v>
      </c>
      <c r="J11">
        <v>0</v>
      </c>
      <c r="K11">
        <v>0</v>
      </c>
      <c r="L11">
        <v>48</v>
      </c>
      <c r="M11">
        <v>69</v>
      </c>
      <c r="N11" t="s">
        <v>26</v>
      </c>
      <c r="O11" s="3">
        <v>44790</v>
      </c>
      <c r="P11">
        <v>-1</v>
      </c>
      <c r="S11" s="3">
        <v>43664</v>
      </c>
      <c r="T11" t="s">
        <v>55</v>
      </c>
      <c r="U11">
        <v>168</v>
      </c>
      <c r="V11">
        <v>17.45</v>
      </c>
    </row>
    <row r="12" spans="1:22" x14ac:dyDescent="0.35">
      <c r="A12" s="3">
        <v>44721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28.385400000000001</v>
      </c>
      <c r="H12">
        <v>0</v>
      </c>
      <c r="I12">
        <v>0</v>
      </c>
      <c r="J12">
        <v>0</v>
      </c>
      <c r="K12">
        <v>0</v>
      </c>
      <c r="L12">
        <v>72</v>
      </c>
      <c r="M12">
        <v>104</v>
      </c>
      <c r="N12" t="s">
        <v>27</v>
      </c>
      <c r="O12" s="3">
        <v>44825</v>
      </c>
      <c r="P12">
        <v>-1</v>
      </c>
      <c r="S12" s="3">
        <v>43665</v>
      </c>
      <c r="T12" t="s">
        <v>55</v>
      </c>
      <c r="U12">
        <v>167</v>
      </c>
      <c r="V12">
        <v>17.574999999999999</v>
      </c>
    </row>
    <row r="13" spans="1:22" x14ac:dyDescent="0.35">
      <c r="A13" s="3">
        <v>44721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26.424499999999998</v>
      </c>
      <c r="H13">
        <v>0</v>
      </c>
      <c r="I13">
        <v>0</v>
      </c>
      <c r="J13">
        <v>0</v>
      </c>
      <c r="K13">
        <v>0</v>
      </c>
      <c r="L13">
        <v>4</v>
      </c>
      <c r="M13">
        <v>6</v>
      </c>
      <c r="N13" t="s">
        <v>28</v>
      </c>
      <c r="O13" s="3">
        <v>44727</v>
      </c>
      <c r="P13">
        <v>-1</v>
      </c>
      <c r="S13" s="3">
        <v>43668</v>
      </c>
      <c r="T13" t="s">
        <v>55</v>
      </c>
      <c r="U13">
        <v>166</v>
      </c>
      <c r="V13">
        <v>17.524999999999999</v>
      </c>
    </row>
    <row r="14" spans="1:22" x14ac:dyDescent="0.35">
      <c r="A14" s="3">
        <v>44721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28.724699999999999</v>
      </c>
      <c r="H14">
        <v>0</v>
      </c>
      <c r="I14">
        <v>0</v>
      </c>
      <c r="J14">
        <v>0</v>
      </c>
      <c r="K14">
        <v>0</v>
      </c>
      <c r="L14">
        <v>112</v>
      </c>
      <c r="M14">
        <v>160</v>
      </c>
      <c r="N14" t="s">
        <v>20</v>
      </c>
      <c r="O14" s="3">
        <v>44881</v>
      </c>
      <c r="P14">
        <v>-1</v>
      </c>
      <c r="S14" s="3">
        <v>43669</v>
      </c>
      <c r="T14" t="s">
        <v>55</v>
      </c>
      <c r="U14">
        <v>165</v>
      </c>
      <c r="V14">
        <v>17.274999999999999</v>
      </c>
    </row>
    <row r="15" spans="1:22" x14ac:dyDescent="0.35">
      <c r="A15" s="3">
        <v>44721</v>
      </c>
      <c r="B15" t="s">
        <v>21</v>
      </c>
      <c r="C15">
        <v>0</v>
      </c>
      <c r="D15">
        <v>0</v>
      </c>
      <c r="E15">
        <v>0</v>
      </c>
      <c r="F15">
        <v>0</v>
      </c>
      <c r="G15">
        <v>28.3096</v>
      </c>
      <c r="H15">
        <v>0</v>
      </c>
      <c r="I15">
        <v>0</v>
      </c>
      <c r="J15">
        <v>0</v>
      </c>
      <c r="K15">
        <v>0</v>
      </c>
      <c r="L15">
        <v>136</v>
      </c>
      <c r="M15">
        <v>195</v>
      </c>
      <c r="N15" t="s">
        <v>21</v>
      </c>
      <c r="O15" s="3">
        <v>44916</v>
      </c>
      <c r="P15">
        <v>-1</v>
      </c>
      <c r="S15" s="3">
        <v>43670</v>
      </c>
      <c r="T15" t="s">
        <v>55</v>
      </c>
      <c r="U15">
        <v>164</v>
      </c>
      <c r="V15">
        <v>17.05</v>
      </c>
    </row>
    <row r="16" spans="1:22" x14ac:dyDescent="0.35">
      <c r="A16" s="3">
        <v>44721</v>
      </c>
      <c r="B16" t="s">
        <v>22</v>
      </c>
      <c r="C16">
        <v>0</v>
      </c>
      <c r="D16">
        <v>0</v>
      </c>
      <c r="E16">
        <v>0</v>
      </c>
      <c r="F16">
        <v>0</v>
      </c>
      <c r="G16">
        <v>27.499400000000001</v>
      </c>
      <c r="H16">
        <v>0</v>
      </c>
      <c r="I16">
        <v>0</v>
      </c>
      <c r="J16">
        <v>0</v>
      </c>
      <c r="K16">
        <v>0</v>
      </c>
      <c r="L16">
        <v>28</v>
      </c>
      <c r="M16">
        <v>41</v>
      </c>
      <c r="N16" t="s">
        <v>22</v>
      </c>
      <c r="O16" s="3">
        <v>44762</v>
      </c>
      <c r="P16">
        <v>-1</v>
      </c>
      <c r="S16" s="3">
        <v>43671</v>
      </c>
      <c r="T16" t="s">
        <v>55</v>
      </c>
      <c r="U16">
        <v>163</v>
      </c>
      <c r="V16">
        <v>17.274999999999999</v>
      </c>
    </row>
    <row r="17" spans="1:22" x14ac:dyDescent="0.35">
      <c r="A17" s="3">
        <v>44721</v>
      </c>
      <c r="B17" t="s">
        <v>23</v>
      </c>
      <c r="C17">
        <v>0</v>
      </c>
      <c r="D17">
        <v>0</v>
      </c>
      <c r="E17">
        <v>0</v>
      </c>
      <c r="F17">
        <v>0</v>
      </c>
      <c r="G17">
        <v>28.95</v>
      </c>
      <c r="H17">
        <v>0</v>
      </c>
      <c r="I17">
        <v>0</v>
      </c>
      <c r="J17">
        <v>0</v>
      </c>
      <c r="K17">
        <v>0</v>
      </c>
      <c r="L17">
        <v>153</v>
      </c>
      <c r="M17">
        <v>223</v>
      </c>
      <c r="N17" t="s">
        <v>23</v>
      </c>
      <c r="O17" s="3">
        <v>44944</v>
      </c>
      <c r="P17">
        <v>-1</v>
      </c>
      <c r="T17" t="s">
        <v>54</v>
      </c>
      <c r="U17">
        <v>183</v>
      </c>
      <c r="V17">
        <v>17.375</v>
      </c>
    </row>
    <row r="18" spans="1:22" x14ac:dyDescent="0.35">
      <c r="A18" s="3">
        <v>44721</v>
      </c>
      <c r="B18" t="s">
        <v>24</v>
      </c>
      <c r="C18">
        <v>0</v>
      </c>
      <c r="D18">
        <v>0</v>
      </c>
      <c r="E18">
        <v>0</v>
      </c>
      <c r="F18">
        <v>0</v>
      </c>
      <c r="G18">
        <v>28.8</v>
      </c>
      <c r="H18">
        <v>0</v>
      </c>
      <c r="I18">
        <v>0</v>
      </c>
      <c r="J18">
        <v>0</v>
      </c>
      <c r="K18">
        <v>0</v>
      </c>
      <c r="L18">
        <v>173</v>
      </c>
      <c r="M18">
        <v>251</v>
      </c>
      <c r="N18" t="s">
        <v>24</v>
      </c>
      <c r="O18" s="3">
        <v>44972</v>
      </c>
      <c r="P18">
        <v>-1</v>
      </c>
      <c r="S18" s="3">
        <v>43672</v>
      </c>
      <c r="T18" t="s">
        <v>55</v>
      </c>
      <c r="U18">
        <v>162</v>
      </c>
      <c r="V18">
        <v>17.125</v>
      </c>
    </row>
    <row r="19" spans="1:22" x14ac:dyDescent="0.35">
      <c r="A19" s="3">
        <v>44721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28.772600000000001</v>
      </c>
      <c r="H19">
        <v>0</v>
      </c>
      <c r="I19">
        <v>0</v>
      </c>
      <c r="J19">
        <v>0</v>
      </c>
      <c r="K19">
        <v>0</v>
      </c>
      <c r="L19">
        <v>92</v>
      </c>
      <c r="M19">
        <v>132</v>
      </c>
      <c r="N19" t="s">
        <v>25</v>
      </c>
      <c r="O19" s="3">
        <v>44853</v>
      </c>
      <c r="P19">
        <v>-1</v>
      </c>
      <c r="T19" t="s">
        <v>54</v>
      </c>
      <c r="U19">
        <v>182</v>
      </c>
      <c r="V19">
        <v>17.350000000000001</v>
      </c>
    </row>
    <row r="20" spans="1:22" x14ac:dyDescent="0.35">
      <c r="A20" s="3">
        <v>44720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28.1</v>
      </c>
      <c r="H20">
        <v>0</v>
      </c>
      <c r="I20">
        <v>0</v>
      </c>
      <c r="J20">
        <v>0</v>
      </c>
      <c r="K20">
        <v>0</v>
      </c>
      <c r="L20">
        <v>113</v>
      </c>
      <c r="M20">
        <v>161</v>
      </c>
      <c r="N20" t="s">
        <v>20</v>
      </c>
      <c r="O20" s="3">
        <v>44881</v>
      </c>
      <c r="P20">
        <v>-1</v>
      </c>
      <c r="S20" s="3">
        <v>43675</v>
      </c>
      <c r="T20" t="s">
        <v>55</v>
      </c>
      <c r="U20">
        <v>161</v>
      </c>
      <c r="V20">
        <v>17.125</v>
      </c>
    </row>
    <row r="21" spans="1:22" x14ac:dyDescent="0.35">
      <c r="A21" s="3">
        <v>44720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27.7</v>
      </c>
      <c r="H21">
        <v>0</v>
      </c>
      <c r="I21">
        <v>0</v>
      </c>
      <c r="J21">
        <v>0</v>
      </c>
      <c r="K21">
        <v>0</v>
      </c>
      <c r="L21">
        <v>137</v>
      </c>
      <c r="M21">
        <v>196</v>
      </c>
      <c r="N21" t="s">
        <v>21</v>
      </c>
      <c r="O21" s="3">
        <v>44916</v>
      </c>
      <c r="P21">
        <v>-1</v>
      </c>
      <c r="T21" t="s">
        <v>54</v>
      </c>
      <c r="U21">
        <v>181</v>
      </c>
      <c r="V21">
        <v>17.149999999999999</v>
      </c>
    </row>
    <row r="22" spans="1:22" x14ac:dyDescent="0.35">
      <c r="A22" s="3">
        <v>44720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26.256</v>
      </c>
      <c r="H22">
        <v>0</v>
      </c>
      <c r="I22">
        <v>0</v>
      </c>
      <c r="J22">
        <v>0</v>
      </c>
      <c r="K22">
        <v>0</v>
      </c>
      <c r="L22">
        <v>29</v>
      </c>
      <c r="M22">
        <v>42</v>
      </c>
      <c r="N22" t="s">
        <v>22</v>
      </c>
      <c r="O22" s="3">
        <v>44762</v>
      </c>
      <c r="P22">
        <v>-1</v>
      </c>
      <c r="S22" s="3">
        <v>43676</v>
      </c>
      <c r="T22" t="s">
        <v>55</v>
      </c>
      <c r="U22">
        <v>160</v>
      </c>
      <c r="V22">
        <v>17.350000000000001</v>
      </c>
    </row>
    <row r="23" spans="1:22" x14ac:dyDescent="0.35">
      <c r="A23" s="3">
        <v>44720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28.375</v>
      </c>
      <c r="H23">
        <v>0</v>
      </c>
      <c r="I23">
        <v>0</v>
      </c>
      <c r="J23">
        <v>0</v>
      </c>
      <c r="K23">
        <v>0</v>
      </c>
      <c r="L23">
        <v>154</v>
      </c>
      <c r="M23">
        <v>224</v>
      </c>
      <c r="N23" t="s">
        <v>23</v>
      </c>
      <c r="O23" s="3">
        <v>44944</v>
      </c>
      <c r="P23">
        <v>-1</v>
      </c>
      <c r="T23" t="s">
        <v>54</v>
      </c>
      <c r="U23">
        <v>180</v>
      </c>
      <c r="V23">
        <v>17.324999999999999</v>
      </c>
    </row>
    <row r="24" spans="1:22" x14ac:dyDescent="0.35">
      <c r="A24" s="3">
        <v>44720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28.274999999999999</v>
      </c>
      <c r="H24">
        <v>0</v>
      </c>
      <c r="I24">
        <v>0</v>
      </c>
      <c r="J24">
        <v>0</v>
      </c>
      <c r="K24">
        <v>0</v>
      </c>
      <c r="L24">
        <v>174</v>
      </c>
      <c r="M24">
        <v>252</v>
      </c>
      <c r="N24" t="s">
        <v>24</v>
      </c>
      <c r="O24" s="3">
        <v>44972</v>
      </c>
      <c r="P24">
        <v>-1</v>
      </c>
      <c r="S24" s="3">
        <v>43677</v>
      </c>
      <c r="T24" t="s">
        <v>55</v>
      </c>
      <c r="U24">
        <v>159</v>
      </c>
      <c r="V24">
        <v>17.675000000000001</v>
      </c>
    </row>
    <row r="25" spans="1:22" x14ac:dyDescent="0.35">
      <c r="A25" s="3">
        <v>44720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28.1038</v>
      </c>
      <c r="H25">
        <v>0</v>
      </c>
      <c r="I25">
        <v>0</v>
      </c>
      <c r="J25">
        <v>0</v>
      </c>
      <c r="K25">
        <v>0</v>
      </c>
      <c r="L25">
        <v>93</v>
      </c>
      <c r="M25">
        <v>133</v>
      </c>
      <c r="N25" t="s">
        <v>25</v>
      </c>
      <c r="O25" s="3">
        <v>44853</v>
      </c>
      <c r="P25">
        <v>-1</v>
      </c>
      <c r="T25" t="s">
        <v>54</v>
      </c>
      <c r="U25">
        <v>179</v>
      </c>
      <c r="V25">
        <v>17.425000000000001</v>
      </c>
    </row>
    <row r="26" spans="1:22" x14ac:dyDescent="0.35">
      <c r="A26" s="3">
        <v>44720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26.928599999999999</v>
      </c>
      <c r="H26">
        <v>0</v>
      </c>
      <c r="I26">
        <v>0</v>
      </c>
      <c r="J26">
        <v>0</v>
      </c>
      <c r="K26">
        <v>0</v>
      </c>
      <c r="L26">
        <v>49</v>
      </c>
      <c r="M26">
        <v>70</v>
      </c>
      <c r="N26" t="s">
        <v>26</v>
      </c>
      <c r="O26" s="3">
        <v>44790</v>
      </c>
      <c r="P26">
        <v>-1</v>
      </c>
      <c r="S26" s="3">
        <v>43678</v>
      </c>
      <c r="T26" t="s">
        <v>55</v>
      </c>
      <c r="U26">
        <v>158</v>
      </c>
      <c r="V26">
        <v>17.95</v>
      </c>
    </row>
    <row r="27" spans="1:22" x14ac:dyDescent="0.35">
      <c r="A27" s="3">
        <v>44720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27.6113</v>
      </c>
      <c r="H27">
        <v>0</v>
      </c>
      <c r="I27">
        <v>0</v>
      </c>
      <c r="J27">
        <v>0</v>
      </c>
      <c r="K27">
        <v>0</v>
      </c>
      <c r="L27">
        <v>73</v>
      </c>
      <c r="M27">
        <v>105</v>
      </c>
      <c r="N27" t="s">
        <v>27</v>
      </c>
      <c r="O27" s="3">
        <v>44825</v>
      </c>
      <c r="P27">
        <v>-1</v>
      </c>
      <c r="T27" t="s">
        <v>54</v>
      </c>
      <c r="U27">
        <v>178</v>
      </c>
      <c r="V27">
        <v>17.8</v>
      </c>
    </row>
    <row r="28" spans="1:22" x14ac:dyDescent="0.35">
      <c r="A28" s="3">
        <v>44720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24.699300000000001</v>
      </c>
      <c r="H28">
        <v>0</v>
      </c>
      <c r="I28">
        <v>0</v>
      </c>
      <c r="J28">
        <v>0</v>
      </c>
      <c r="K28">
        <v>0</v>
      </c>
      <c r="L28">
        <v>5</v>
      </c>
      <c r="M28">
        <v>7</v>
      </c>
      <c r="N28" t="s">
        <v>28</v>
      </c>
      <c r="O28" s="3">
        <v>44727</v>
      </c>
      <c r="P28">
        <v>-1</v>
      </c>
      <c r="S28" s="3">
        <v>43679</v>
      </c>
      <c r="T28" t="s">
        <v>55</v>
      </c>
      <c r="U28">
        <v>157</v>
      </c>
      <c r="V28">
        <v>17.875</v>
      </c>
    </row>
    <row r="29" spans="1:22" x14ac:dyDescent="0.35">
      <c r="A29" s="3">
        <v>44719</v>
      </c>
      <c r="B29" t="s">
        <v>26</v>
      </c>
      <c r="C29">
        <v>0</v>
      </c>
      <c r="D29">
        <v>0</v>
      </c>
      <c r="E29">
        <v>0</v>
      </c>
      <c r="F29">
        <v>0</v>
      </c>
      <c r="G29">
        <v>26.896000000000001</v>
      </c>
      <c r="H29">
        <v>0</v>
      </c>
      <c r="I29">
        <v>0</v>
      </c>
      <c r="J29">
        <v>0</v>
      </c>
      <c r="K29">
        <v>0</v>
      </c>
      <c r="L29">
        <v>50</v>
      </c>
      <c r="M29">
        <v>71</v>
      </c>
      <c r="N29" t="s">
        <v>26</v>
      </c>
      <c r="O29" s="3">
        <v>44790</v>
      </c>
      <c r="P29">
        <v>-1</v>
      </c>
      <c r="T29" t="s">
        <v>54</v>
      </c>
      <c r="U29">
        <v>177</v>
      </c>
      <c r="V29">
        <v>17.899999999999999</v>
      </c>
    </row>
    <row r="30" spans="1:22" x14ac:dyDescent="0.35">
      <c r="A30" s="3">
        <v>44719</v>
      </c>
      <c r="B30" t="s">
        <v>27</v>
      </c>
      <c r="C30">
        <v>0</v>
      </c>
      <c r="D30">
        <v>0</v>
      </c>
      <c r="E30">
        <v>0</v>
      </c>
      <c r="F30">
        <v>0</v>
      </c>
      <c r="G30">
        <v>27.610499999999998</v>
      </c>
      <c r="H30">
        <v>0</v>
      </c>
      <c r="I30">
        <v>0</v>
      </c>
      <c r="J30">
        <v>0</v>
      </c>
      <c r="K30">
        <v>0</v>
      </c>
      <c r="L30">
        <v>74</v>
      </c>
      <c r="M30">
        <v>106</v>
      </c>
      <c r="N30" t="s">
        <v>27</v>
      </c>
      <c r="O30" s="3">
        <v>44825</v>
      </c>
      <c r="P30">
        <v>-1</v>
      </c>
      <c r="S30" s="3">
        <v>43682</v>
      </c>
      <c r="T30" t="s">
        <v>55</v>
      </c>
      <c r="U30">
        <v>156</v>
      </c>
      <c r="V30">
        <v>18.55</v>
      </c>
    </row>
    <row r="31" spans="1:22" x14ac:dyDescent="0.35">
      <c r="A31" s="3">
        <v>44719</v>
      </c>
      <c r="B31" t="s">
        <v>28</v>
      </c>
      <c r="C31">
        <v>0</v>
      </c>
      <c r="D31">
        <v>0</v>
      </c>
      <c r="E31">
        <v>0</v>
      </c>
      <c r="F31">
        <v>0</v>
      </c>
      <c r="G31">
        <v>24.680499999999999</v>
      </c>
      <c r="H31">
        <v>0</v>
      </c>
      <c r="I31">
        <v>0</v>
      </c>
      <c r="J31">
        <v>0</v>
      </c>
      <c r="K31">
        <v>0</v>
      </c>
      <c r="L31">
        <v>6</v>
      </c>
      <c r="M31">
        <v>8</v>
      </c>
      <c r="N31" t="s">
        <v>28</v>
      </c>
      <c r="O31" s="3">
        <v>44727</v>
      </c>
      <c r="P31">
        <v>-1</v>
      </c>
      <c r="T31" t="s">
        <v>54</v>
      </c>
      <c r="U31">
        <v>176</v>
      </c>
      <c r="V31">
        <v>18.149999999999999</v>
      </c>
    </row>
    <row r="32" spans="1:22" x14ac:dyDescent="0.35">
      <c r="A32" s="3">
        <v>44719</v>
      </c>
      <c r="B32" t="s">
        <v>21</v>
      </c>
      <c r="C32">
        <v>0</v>
      </c>
      <c r="D32">
        <v>0</v>
      </c>
      <c r="E32">
        <v>0</v>
      </c>
      <c r="F32">
        <v>0</v>
      </c>
      <c r="G32">
        <v>27.599</v>
      </c>
      <c r="H32">
        <v>0</v>
      </c>
      <c r="I32">
        <v>0</v>
      </c>
      <c r="J32">
        <v>0</v>
      </c>
      <c r="K32">
        <v>0</v>
      </c>
      <c r="L32">
        <v>138</v>
      </c>
      <c r="M32">
        <v>197</v>
      </c>
      <c r="N32" t="s">
        <v>21</v>
      </c>
      <c r="O32" s="3">
        <v>44916</v>
      </c>
      <c r="P32">
        <v>-1</v>
      </c>
      <c r="S32" s="3">
        <v>43683</v>
      </c>
      <c r="T32" t="s">
        <v>55</v>
      </c>
      <c r="U32">
        <v>155</v>
      </c>
      <c r="V32">
        <v>18.375</v>
      </c>
    </row>
    <row r="33" spans="1:22" x14ac:dyDescent="0.35">
      <c r="A33" s="3">
        <v>44719</v>
      </c>
      <c r="B33" t="s">
        <v>22</v>
      </c>
      <c r="C33">
        <v>0</v>
      </c>
      <c r="D33">
        <v>0</v>
      </c>
      <c r="E33">
        <v>0</v>
      </c>
      <c r="F33">
        <v>0</v>
      </c>
      <c r="G33">
        <v>26.304500000000001</v>
      </c>
      <c r="H33">
        <v>0</v>
      </c>
      <c r="I33">
        <v>0</v>
      </c>
      <c r="J33">
        <v>0</v>
      </c>
      <c r="K33">
        <v>0</v>
      </c>
      <c r="L33">
        <v>30</v>
      </c>
      <c r="M33">
        <v>43</v>
      </c>
      <c r="N33" t="s">
        <v>22</v>
      </c>
      <c r="O33" s="3">
        <v>44762</v>
      </c>
      <c r="P33">
        <v>-1</v>
      </c>
      <c r="T33" t="s">
        <v>54</v>
      </c>
      <c r="U33">
        <v>175</v>
      </c>
      <c r="V33">
        <v>17.975000000000001</v>
      </c>
    </row>
    <row r="34" spans="1:22" x14ac:dyDescent="0.35">
      <c r="A34" s="3">
        <v>44719</v>
      </c>
      <c r="B34" t="s">
        <v>23</v>
      </c>
      <c r="C34">
        <v>0</v>
      </c>
      <c r="D34">
        <v>0</v>
      </c>
      <c r="E34">
        <v>0</v>
      </c>
      <c r="F34">
        <v>0</v>
      </c>
      <c r="G34">
        <v>28.295200000000001</v>
      </c>
      <c r="H34">
        <v>0</v>
      </c>
      <c r="I34">
        <v>0</v>
      </c>
      <c r="J34">
        <v>0</v>
      </c>
      <c r="K34">
        <v>0</v>
      </c>
      <c r="L34">
        <v>155</v>
      </c>
      <c r="M34">
        <v>225</v>
      </c>
      <c r="N34" t="s">
        <v>23</v>
      </c>
      <c r="O34" s="3">
        <v>44944</v>
      </c>
      <c r="P34">
        <v>-1</v>
      </c>
      <c r="S34" s="3">
        <v>43684</v>
      </c>
      <c r="T34" t="s">
        <v>55</v>
      </c>
      <c r="U34">
        <v>154</v>
      </c>
      <c r="V34">
        <v>18.3</v>
      </c>
    </row>
    <row r="35" spans="1:22" x14ac:dyDescent="0.35">
      <c r="A35" s="3">
        <v>44719</v>
      </c>
      <c r="B35" t="s">
        <v>24</v>
      </c>
      <c r="C35">
        <v>0</v>
      </c>
      <c r="D35">
        <v>0</v>
      </c>
      <c r="E35">
        <v>0</v>
      </c>
      <c r="F35">
        <v>0</v>
      </c>
      <c r="G35">
        <v>28.225000000000001</v>
      </c>
      <c r="H35">
        <v>0</v>
      </c>
      <c r="I35">
        <v>0</v>
      </c>
      <c r="J35">
        <v>0</v>
      </c>
      <c r="K35">
        <v>0</v>
      </c>
      <c r="L35">
        <v>175</v>
      </c>
      <c r="M35">
        <v>253</v>
      </c>
      <c r="N35" t="s">
        <v>24</v>
      </c>
      <c r="O35" s="3">
        <v>44972</v>
      </c>
      <c r="P35">
        <v>-1</v>
      </c>
      <c r="T35" t="s">
        <v>54</v>
      </c>
      <c r="U35">
        <v>174</v>
      </c>
      <c r="V35">
        <v>18.324999999999999</v>
      </c>
    </row>
    <row r="36" spans="1:22" x14ac:dyDescent="0.35">
      <c r="A36" s="3">
        <v>44719</v>
      </c>
      <c r="B36" t="s">
        <v>25</v>
      </c>
      <c r="C36">
        <v>0</v>
      </c>
      <c r="D36">
        <v>0</v>
      </c>
      <c r="E36">
        <v>0</v>
      </c>
      <c r="F36">
        <v>0</v>
      </c>
      <c r="G36">
        <v>28.097799999999999</v>
      </c>
      <c r="H36">
        <v>0</v>
      </c>
      <c r="I36">
        <v>0</v>
      </c>
      <c r="J36">
        <v>0</v>
      </c>
      <c r="K36">
        <v>0</v>
      </c>
      <c r="L36">
        <v>94</v>
      </c>
      <c r="M36">
        <v>134</v>
      </c>
      <c r="N36" t="s">
        <v>25</v>
      </c>
      <c r="O36" s="3">
        <v>44853</v>
      </c>
      <c r="P36">
        <v>-1</v>
      </c>
      <c r="S36" s="3">
        <v>43685</v>
      </c>
      <c r="T36" t="s">
        <v>55</v>
      </c>
      <c r="U36">
        <v>153</v>
      </c>
      <c r="V36">
        <v>17.774999999999999</v>
      </c>
    </row>
    <row r="37" spans="1:22" x14ac:dyDescent="0.35">
      <c r="A37" s="3">
        <v>44719</v>
      </c>
      <c r="B37" t="s">
        <v>20</v>
      </c>
      <c r="C37">
        <v>0</v>
      </c>
      <c r="D37">
        <v>0</v>
      </c>
      <c r="E37">
        <v>0</v>
      </c>
      <c r="F37">
        <v>0</v>
      </c>
      <c r="G37">
        <v>28.111499999999999</v>
      </c>
      <c r="H37">
        <v>0</v>
      </c>
      <c r="I37">
        <v>0</v>
      </c>
      <c r="J37">
        <v>0</v>
      </c>
      <c r="K37">
        <v>0</v>
      </c>
      <c r="L37">
        <v>114</v>
      </c>
      <c r="M37">
        <v>162</v>
      </c>
      <c r="N37" t="s">
        <v>20</v>
      </c>
      <c r="O37" s="3">
        <v>44881</v>
      </c>
      <c r="P37">
        <v>-1</v>
      </c>
      <c r="T37" t="s">
        <v>54</v>
      </c>
      <c r="U37">
        <v>173</v>
      </c>
      <c r="V37">
        <v>17.95</v>
      </c>
    </row>
    <row r="38" spans="1:22" x14ac:dyDescent="0.35">
      <c r="A38" s="3">
        <v>44718</v>
      </c>
      <c r="B38" t="s">
        <v>21</v>
      </c>
      <c r="C38">
        <v>0</v>
      </c>
      <c r="D38">
        <v>0</v>
      </c>
      <c r="E38">
        <v>0</v>
      </c>
      <c r="F38">
        <v>0</v>
      </c>
      <c r="G38">
        <v>27.791699999999999</v>
      </c>
      <c r="H38">
        <v>0</v>
      </c>
      <c r="I38">
        <v>0</v>
      </c>
      <c r="J38">
        <v>0</v>
      </c>
      <c r="K38">
        <v>0</v>
      </c>
      <c r="L38">
        <v>139</v>
      </c>
      <c r="M38">
        <v>198</v>
      </c>
      <c r="N38" t="s">
        <v>21</v>
      </c>
      <c r="O38" s="3">
        <v>44916</v>
      </c>
      <c r="P38">
        <v>-1</v>
      </c>
      <c r="S38" s="3">
        <v>43686</v>
      </c>
      <c r="T38" t="s">
        <v>55</v>
      </c>
      <c r="U38">
        <v>152</v>
      </c>
      <c r="V38">
        <v>17.95</v>
      </c>
    </row>
    <row r="39" spans="1:22" x14ac:dyDescent="0.35">
      <c r="A39" s="3">
        <v>44718</v>
      </c>
      <c r="B39" t="s">
        <v>22</v>
      </c>
      <c r="C39">
        <v>0</v>
      </c>
      <c r="D39">
        <v>0</v>
      </c>
      <c r="E39">
        <v>0</v>
      </c>
      <c r="F39">
        <v>0</v>
      </c>
      <c r="G39">
        <v>26.9709</v>
      </c>
      <c r="H39">
        <v>0</v>
      </c>
      <c r="I39">
        <v>0</v>
      </c>
      <c r="J39">
        <v>0</v>
      </c>
      <c r="K39">
        <v>0</v>
      </c>
      <c r="L39">
        <v>31</v>
      </c>
      <c r="M39">
        <v>44</v>
      </c>
      <c r="N39" t="s">
        <v>22</v>
      </c>
      <c r="O39" s="3">
        <v>44762</v>
      </c>
      <c r="P39">
        <v>-1</v>
      </c>
      <c r="T39" t="s">
        <v>54</v>
      </c>
      <c r="U39">
        <v>172</v>
      </c>
      <c r="V39">
        <v>18.100000000000001</v>
      </c>
    </row>
    <row r="40" spans="1:22" x14ac:dyDescent="0.35">
      <c r="A40" s="3">
        <v>44718</v>
      </c>
      <c r="B40" t="s">
        <v>23</v>
      </c>
      <c r="C40">
        <v>0</v>
      </c>
      <c r="D40">
        <v>0</v>
      </c>
      <c r="E40">
        <v>0</v>
      </c>
      <c r="F40">
        <v>0</v>
      </c>
      <c r="G40">
        <v>28.45</v>
      </c>
      <c r="H40">
        <v>0</v>
      </c>
      <c r="I40">
        <v>0</v>
      </c>
      <c r="J40">
        <v>0</v>
      </c>
      <c r="K40">
        <v>0</v>
      </c>
      <c r="L40">
        <v>156</v>
      </c>
      <c r="M40">
        <v>226</v>
      </c>
      <c r="N40" t="s">
        <v>23</v>
      </c>
      <c r="O40" s="3">
        <v>44944</v>
      </c>
      <c r="P40">
        <v>-1</v>
      </c>
      <c r="S40" s="3">
        <v>43689</v>
      </c>
      <c r="T40" t="s">
        <v>55</v>
      </c>
      <c r="U40">
        <v>151</v>
      </c>
      <c r="V40">
        <v>18.600000000000001</v>
      </c>
    </row>
    <row r="41" spans="1:22" x14ac:dyDescent="0.35">
      <c r="A41" s="3">
        <v>44718</v>
      </c>
      <c r="B41" t="s">
        <v>24</v>
      </c>
      <c r="C41">
        <v>0</v>
      </c>
      <c r="D41">
        <v>0</v>
      </c>
      <c r="E41">
        <v>0</v>
      </c>
      <c r="F41">
        <v>0</v>
      </c>
      <c r="G41">
        <v>28.274999999999999</v>
      </c>
      <c r="H41">
        <v>0</v>
      </c>
      <c r="I41">
        <v>0</v>
      </c>
      <c r="J41">
        <v>0</v>
      </c>
      <c r="K41">
        <v>0</v>
      </c>
      <c r="L41">
        <v>176</v>
      </c>
      <c r="M41">
        <v>254</v>
      </c>
      <c r="N41" t="s">
        <v>24</v>
      </c>
      <c r="O41" s="3">
        <v>44972</v>
      </c>
      <c r="P41">
        <v>-1</v>
      </c>
      <c r="T41" t="s">
        <v>54</v>
      </c>
      <c r="U41">
        <v>171</v>
      </c>
      <c r="V41">
        <v>18.725000000000001</v>
      </c>
    </row>
    <row r="42" spans="1:22" x14ac:dyDescent="0.35">
      <c r="A42" s="3">
        <v>44718</v>
      </c>
      <c r="B42" t="s">
        <v>25</v>
      </c>
      <c r="C42">
        <v>0</v>
      </c>
      <c r="D42">
        <v>0</v>
      </c>
      <c r="E42">
        <v>0</v>
      </c>
      <c r="F42">
        <v>0</v>
      </c>
      <c r="G42">
        <v>28.4955</v>
      </c>
      <c r="H42">
        <v>0</v>
      </c>
      <c r="I42">
        <v>0</v>
      </c>
      <c r="J42">
        <v>0</v>
      </c>
      <c r="K42">
        <v>0</v>
      </c>
      <c r="L42">
        <v>95</v>
      </c>
      <c r="M42">
        <v>135</v>
      </c>
      <c r="N42" t="s">
        <v>25</v>
      </c>
      <c r="O42" s="3">
        <v>44853</v>
      </c>
      <c r="P42">
        <v>-1</v>
      </c>
      <c r="S42" s="3">
        <v>43690</v>
      </c>
      <c r="T42" t="s">
        <v>55</v>
      </c>
      <c r="U42">
        <v>150</v>
      </c>
      <c r="V42">
        <v>18.024999999999999</v>
      </c>
    </row>
    <row r="43" spans="1:22" x14ac:dyDescent="0.35">
      <c r="A43" s="3">
        <v>44718</v>
      </c>
      <c r="B43" t="s">
        <v>20</v>
      </c>
      <c r="C43">
        <v>0</v>
      </c>
      <c r="D43">
        <v>0</v>
      </c>
      <c r="E43">
        <v>0</v>
      </c>
      <c r="F43">
        <v>0</v>
      </c>
      <c r="G43">
        <v>28.384899999999998</v>
      </c>
      <c r="H43">
        <v>0</v>
      </c>
      <c r="I43">
        <v>0</v>
      </c>
      <c r="J43">
        <v>0</v>
      </c>
      <c r="K43">
        <v>0</v>
      </c>
      <c r="L43">
        <v>115</v>
      </c>
      <c r="M43">
        <v>163</v>
      </c>
      <c r="N43" t="s">
        <v>20</v>
      </c>
      <c r="O43" s="3">
        <v>44881</v>
      </c>
      <c r="P43">
        <v>-1</v>
      </c>
      <c r="T43" t="s">
        <v>54</v>
      </c>
      <c r="U43">
        <v>170</v>
      </c>
      <c r="V43">
        <v>18.175000000000001</v>
      </c>
    </row>
    <row r="44" spans="1:22" x14ac:dyDescent="0.35">
      <c r="A44" s="3">
        <v>44718</v>
      </c>
      <c r="B44" t="s">
        <v>26</v>
      </c>
      <c r="C44">
        <v>0</v>
      </c>
      <c r="D44">
        <v>0</v>
      </c>
      <c r="E44">
        <v>0</v>
      </c>
      <c r="F44">
        <v>0</v>
      </c>
      <c r="G44">
        <v>27.532</v>
      </c>
      <c r="H44">
        <v>0</v>
      </c>
      <c r="I44">
        <v>0</v>
      </c>
      <c r="J44">
        <v>0</v>
      </c>
      <c r="K44">
        <v>0</v>
      </c>
      <c r="L44">
        <v>51</v>
      </c>
      <c r="M44">
        <v>72</v>
      </c>
      <c r="N44" t="s">
        <v>26</v>
      </c>
      <c r="O44" s="3">
        <v>44790</v>
      </c>
      <c r="P44">
        <v>-1</v>
      </c>
      <c r="S44" s="3">
        <v>43691</v>
      </c>
      <c r="T44" t="s">
        <v>55</v>
      </c>
      <c r="U44">
        <v>149</v>
      </c>
      <c r="V44">
        <v>18.975000000000001</v>
      </c>
    </row>
    <row r="45" spans="1:22" x14ac:dyDescent="0.35">
      <c r="A45" s="3">
        <v>44718</v>
      </c>
      <c r="B45" t="s">
        <v>27</v>
      </c>
      <c r="C45">
        <v>0</v>
      </c>
      <c r="D45">
        <v>0</v>
      </c>
      <c r="E45">
        <v>0</v>
      </c>
      <c r="F45">
        <v>0</v>
      </c>
      <c r="G45">
        <v>28.083400000000001</v>
      </c>
      <c r="H45">
        <v>0</v>
      </c>
      <c r="I45">
        <v>0</v>
      </c>
      <c r="J45">
        <v>0</v>
      </c>
      <c r="K45">
        <v>0</v>
      </c>
      <c r="L45">
        <v>75</v>
      </c>
      <c r="M45">
        <v>107</v>
      </c>
      <c r="N45" t="s">
        <v>27</v>
      </c>
      <c r="O45" s="3">
        <v>44825</v>
      </c>
      <c r="P45">
        <v>-1</v>
      </c>
      <c r="T45" t="s">
        <v>54</v>
      </c>
      <c r="U45">
        <v>169</v>
      </c>
      <c r="V45">
        <v>19.074999999999999</v>
      </c>
    </row>
    <row r="46" spans="1:22" x14ac:dyDescent="0.35">
      <c r="A46" s="3">
        <v>44718</v>
      </c>
      <c r="B46" t="s">
        <v>28</v>
      </c>
      <c r="C46">
        <v>0</v>
      </c>
      <c r="D46">
        <v>0</v>
      </c>
      <c r="E46">
        <v>0</v>
      </c>
      <c r="F46">
        <v>0</v>
      </c>
      <c r="G46">
        <v>25.5854</v>
      </c>
      <c r="H46">
        <v>0</v>
      </c>
      <c r="I46">
        <v>0</v>
      </c>
      <c r="J46">
        <v>0</v>
      </c>
      <c r="K46">
        <v>0</v>
      </c>
      <c r="L46">
        <v>7</v>
      </c>
      <c r="M46">
        <v>9</v>
      </c>
      <c r="N46" t="s">
        <v>28</v>
      </c>
      <c r="O46" s="3">
        <v>44727</v>
      </c>
      <c r="P46">
        <v>-1</v>
      </c>
      <c r="S46" s="3">
        <v>43692</v>
      </c>
      <c r="T46" t="s">
        <v>55</v>
      </c>
      <c r="U46">
        <v>148</v>
      </c>
      <c r="V46">
        <v>18.875</v>
      </c>
    </row>
    <row r="47" spans="1:22" x14ac:dyDescent="0.35">
      <c r="A47" s="3">
        <v>44715</v>
      </c>
      <c r="B47" t="s">
        <v>26</v>
      </c>
      <c r="C47">
        <v>0</v>
      </c>
      <c r="D47">
        <v>0</v>
      </c>
      <c r="E47">
        <v>0</v>
      </c>
      <c r="F47">
        <v>0</v>
      </c>
      <c r="G47">
        <v>27.742000000000001</v>
      </c>
      <c r="H47">
        <v>0</v>
      </c>
      <c r="I47">
        <v>0</v>
      </c>
      <c r="J47">
        <v>0</v>
      </c>
      <c r="K47">
        <v>0</v>
      </c>
      <c r="L47">
        <v>52</v>
      </c>
      <c r="M47">
        <v>75</v>
      </c>
      <c r="N47" t="s">
        <v>26</v>
      </c>
      <c r="O47" s="3">
        <v>44790</v>
      </c>
      <c r="P47">
        <v>-1</v>
      </c>
      <c r="T47" t="s">
        <v>54</v>
      </c>
      <c r="U47">
        <v>168</v>
      </c>
      <c r="V47">
        <v>18.925000000000001</v>
      </c>
    </row>
    <row r="48" spans="1:22" x14ac:dyDescent="0.35">
      <c r="A48" s="3">
        <v>44715</v>
      </c>
      <c r="B48" t="s">
        <v>27</v>
      </c>
      <c r="C48">
        <v>0</v>
      </c>
      <c r="D48">
        <v>0</v>
      </c>
      <c r="E48">
        <v>0</v>
      </c>
      <c r="F48">
        <v>0</v>
      </c>
      <c r="G48">
        <v>28.220600000000001</v>
      </c>
      <c r="H48">
        <v>0</v>
      </c>
      <c r="I48">
        <v>0</v>
      </c>
      <c r="J48">
        <v>0</v>
      </c>
      <c r="K48">
        <v>0</v>
      </c>
      <c r="L48">
        <v>76</v>
      </c>
      <c r="M48">
        <v>110</v>
      </c>
      <c r="N48" t="s">
        <v>27</v>
      </c>
      <c r="O48" s="3">
        <v>44825</v>
      </c>
      <c r="P48">
        <v>-1</v>
      </c>
      <c r="S48" s="3">
        <v>43693</v>
      </c>
      <c r="T48" t="s">
        <v>55</v>
      </c>
      <c r="U48">
        <v>147</v>
      </c>
      <c r="V48">
        <v>18.5</v>
      </c>
    </row>
    <row r="49" spans="1:22" x14ac:dyDescent="0.35">
      <c r="A49" s="3">
        <v>44715</v>
      </c>
      <c r="B49" t="s">
        <v>28</v>
      </c>
      <c r="C49">
        <v>0</v>
      </c>
      <c r="D49">
        <v>0</v>
      </c>
      <c r="E49">
        <v>0</v>
      </c>
      <c r="F49">
        <v>0</v>
      </c>
      <c r="G49">
        <v>25.962700000000002</v>
      </c>
      <c r="H49">
        <v>0</v>
      </c>
      <c r="I49">
        <v>0</v>
      </c>
      <c r="J49">
        <v>0</v>
      </c>
      <c r="K49">
        <v>0</v>
      </c>
      <c r="L49">
        <v>8</v>
      </c>
      <c r="M49">
        <v>12</v>
      </c>
      <c r="N49" t="s">
        <v>28</v>
      </c>
      <c r="O49" s="3">
        <v>44727</v>
      </c>
      <c r="P49">
        <v>-1</v>
      </c>
      <c r="T49" t="s">
        <v>54</v>
      </c>
      <c r="U49">
        <v>167</v>
      </c>
      <c r="V49">
        <v>18.625</v>
      </c>
    </row>
    <row r="50" spans="1:22" x14ac:dyDescent="0.35">
      <c r="A50" s="3">
        <v>44715</v>
      </c>
      <c r="B50" t="s">
        <v>21</v>
      </c>
      <c r="C50">
        <v>0</v>
      </c>
      <c r="D50">
        <v>0</v>
      </c>
      <c r="E50">
        <v>0</v>
      </c>
      <c r="F50">
        <v>0</v>
      </c>
      <c r="G50">
        <v>27.707599999999999</v>
      </c>
      <c r="H50">
        <v>0</v>
      </c>
      <c r="I50">
        <v>0</v>
      </c>
      <c r="J50">
        <v>0</v>
      </c>
      <c r="K50">
        <v>0</v>
      </c>
      <c r="L50">
        <v>140</v>
      </c>
      <c r="M50">
        <v>201</v>
      </c>
      <c r="N50" t="s">
        <v>21</v>
      </c>
      <c r="O50" s="3">
        <v>44916</v>
      </c>
      <c r="P50">
        <v>-1</v>
      </c>
      <c r="S50" s="3">
        <v>43696</v>
      </c>
      <c r="T50" t="s">
        <v>55</v>
      </c>
      <c r="U50">
        <v>146</v>
      </c>
      <c r="V50">
        <v>18.125</v>
      </c>
    </row>
    <row r="51" spans="1:22" x14ac:dyDescent="0.35">
      <c r="A51" s="3">
        <v>44715</v>
      </c>
      <c r="B51" t="s">
        <v>22</v>
      </c>
      <c r="C51">
        <v>0</v>
      </c>
      <c r="D51">
        <v>0</v>
      </c>
      <c r="E51">
        <v>0</v>
      </c>
      <c r="F51">
        <v>0</v>
      </c>
      <c r="G51">
        <v>27.303899999999999</v>
      </c>
      <c r="H51">
        <v>0</v>
      </c>
      <c r="I51">
        <v>0</v>
      </c>
      <c r="J51">
        <v>0</v>
      </c>
      <c r="K51">
        <v>0</v>
      </c>
      <c r="L51">
        <v>32</v>
      </c>
      <c r="M51">
        <v>47</v>
      </c>
      <c r="N51" t="s">
        <v>22</v>
      </c>
      <c r="O51" s="3">
        <v>44762</v>
      </c>
      <c r="P51">
        <v>-1</v>
      </c>
      <c r="T51" t="s">
        <v>54</v>
      </c>
      <c r="U51">
        <v>166</v>
      </c>
      <c r="V51">
        <v>18.225000000000001</v>
      </c>
    </row>
    <row r="52" spans="1:22" x14ac:dyDescent="0.35">
      <c r="A52" s="3">
        <v>44715</v>
      </c>
      <c r="B52" t="s">
        <v>23</v>
      </c>
      <c r="C52">
        <v>0</v>
      </c>
      <c r="D52">
        <v>0</v>
      </c>
      <c r="E52">
        <v>0</v>
      </c>
      <c r="F52">
        <v>0</v>
      </c>
      <c r="G52">
        <v>28.274999999999999</v>
      </c>
      <c r="H52">
        <v>0</v>
      </c>
      <c r="I52">
        <v>0</v>
      </c>
      <c r="J52">
        <v>0</v>
      </c>
      <c r="K52">
        <v>0</v>
      </c>
      <c r="L52">
        <v>157</v>
      </c>
      <c r="M52">
        <v>229</v>
      </c>
      <c r="N52" t="s">
        <v>23</v>
      </c>
      <c r="O52" s="3">
        <v>44944</v>
      </c>
      <c r="P52">
        <v>-1</v>
      </c>
      <c r="S52" s="3">
        <v>43697</v>
      </c>
      <c r="T52" t="s">
        <v>55</v>
      </c>
      <c r="U52">
        <v>145</v>
      </c>
      <c r="V52">
        <v>18.55</v>
      </c>
    </row>
    <row r="53" spans="1:22" x14ac:dyDescent="0.35">
      <c r="A53" s="3">
        <v>44715</v>
      </c>
      <c r="B53" t="s">
        <v>24</v>
      </c>
      <c r="C53">
        <v>0</v>
      </c>
      <c r="D53">
        <v>0</v>
      </c>
      <c r="E53">
        <v>0</v>
      </c>
      <c r="F53">
        <v>0</v>
      </c>
      <c r="G53">
        <v>28.2</v>
      </c>
      <c r="H53">
        <v>0</v>
      </c>
      <c r="I53">
        <v>0</v>
      </c>
      <c r="J53">
        <v>0</v>
      </c>
      <c r="K53">
        <v>0</v>
      </c>
      <c r="L53">
        <v>177</v>
      </c>
      <c r="M53">
        <v>257</v>
      </c>
      <c r="N53" t="s">
        <v>24</v>
      </c>
      <c r="O53" s="3">
        <v>44972</v>
      </c>
      <c r="P53">
        <v>-1</v>
      </c>
      <c r="T53" t="s">
        <v>54</v>
      </c>
      <c r="U53">
        <v>165</v>
      </c>
      <c r="V53">
        <v>18.725000000000001</v>
      </c>
    </row>
    <row r="54" spans="1:22" x14ac:dyDescent="0.35">
      <c r="A54" s="3">
        <v>44715</v>
      </c>
      <c r="B54" t="s">
        <v>25</v>
      </c>
      <c r="C54">
        <v>0</v>
      </c>
      <c r="D54">
        <v>0</v>
      </c>
      <c r="E54">
        <v>0</v>
      </c>
      <c r="F54">
        <v>0</v>
      </c>
      <c r="G54">
        <v>28.55</v>
      </c>
      <c r="H54">
        <v>0</v>
      </c>
      <c r="I54">
        <v>0</v>
      </c>
      <c r="J54">
        <v>0</v>
      </c>
      <c r="K54">
        <v>0</v>
      </c>
      <c r="L54">
        <v>96</v>
      </c>
      <c r="M54">
        <v>138</v>
      </c>
      <c r="N54" t="s">
        <v>25</v>
      </c>
      <c r="O54" s="3">
        <v>44853</v>
      </c>
      <c r="P54">
        <v>-1</v>
      </c>
      <c r="S54" s="3">
        <v>43698</v>
      </c>
      <c r="T54" t="s">
        <v>55</v>
      </c>
      <c r="U54">
        <v>144</v>
      </c>
      <c r="V54">
        <v>18.3</v>
      </c>
    </row>
    <row r="55" spans="1:22" x14ac:dyDescent="0.35">
      <c r="A55" s="3">
        <v>44715</v>
      </c>
      <c r="B55" t="s">
        <v>20</v>
      </c>
      <c r="C55">
        <v>0</v>
      </c>
      <c r="D55">
        <v>0</v>
      </c>
      <c r="E55">
        <v>0</v>
      </c>
      <c r="F55">
        <v>0</v>
      </c>
      <c r="G55">
        <v>28.348199999999999</v>
      </c>
      <c r="H55">
        <v>0</v>
      </c>
      <c r="I55">
        <v>0</v>
      </c>
      <c r="J55">
        <v>0</v>
      </c>
      <c r="K55">
        <v>0</v>
      </c>
      <c r="L55">
        <v>116</v>
      </c>
      <c r="M55">
        <v>166</v>
      </c>
      <c r="N55" t="s">
        <v>20</v>
      </c>
      <c r="O55" s="3">
        <v>44881</v>
      </c>
      <c r="P55">
        <v>-1</v>
      </c>
      <c r="T55" t="s">
        <v>54</v>
      </c>
      <c r="U55">
        <v>164</v>
      </c>
      <c r="V55">
        <v>18.425000000000001</v>
      </c>
    </row>
    <row r="56" spans="1:22" x14ac:dyDescent="0.35">
      <c r="A56" s="3">
        <v>44714</v>
      </c>
      <c r="B56" t="s">
        <v>21</v>
      </c>
      <c r="C56">
        <v>0</v>
      </c>
      <c r="D56">
        <v>0</v>
      </c>
      <c r="E56">
        <v>0</v>
      </c>
      <c r="F56">
        <v>0</v>
      </c>
      <c r="G56">
        <v>27.3</v>
      </c>
      <c r="H56">
        <v>0</v>
      </c>
      <c r="I56">
        <v>0</v>
      </c>
      <c r="J56">
        <v>0</v>
      </c>
      <c r="K56">
        <v>0</v>
      </c>
      <c r="L56">
        <v>141</v>
      </c>
      <c r="M56">
        <v>202</v>
      </c>
      <c r="N56" t="s">
        <v>21</v>
      </c>
      <c r="O56" s="3">
        <v>44916</v>
      </c>
      <c r="P56">
        <v>-1</v>
      </c>
      <c r="S56" s="3">
        <v>43699</v>
      </c>
      <c r="T56" t="s">
        <v>55</v>
      </c>
      <c r="U56">
        <v>143</v>
      </c>
      <c r="V56">
        <v>18.425000000000001</v>
      </c>
    </row>
    <row r="57" spans="1:22" x14ac:dyDescent="0.35">
      <c r="A57" s="3">
        <v>44714</v>
      </c>
      <c r="B57" t="s">
        <v>22</v>
      </c>
      <c r="C57">
        <v>0</v>
      </c>
      <c r="D57">
        <v>0</v>
      </c>
      <c r="E57">
        <v>0</v>
      </c>
      <c r="F57">
        <v>0</v>
      </c>
      <c r="G57">
        <v>27.082799999999999</v>
      </c>
      <c r="H57">
        <v>0</v>
      </c>
      <c r="I57">
        <v>0</v>
      </c>
      <c r="J57">
        <v>0</v>
      </c>
      <c r="K57">
        <v>0</v>
      </c>
      <c r="L57">
        <v>33</v>
      </c>
      <c r="M57">
        <v>48</v>
      </c>
      <c r="N57" t="s">
        <v>22</v>
      </c>
      <c r="O57" s="3">
        <v>44762</v>
      </c>
      <c r="P57">
        <v>-1</v>
      </c>
      <c r="T57" t="s">
        <v>54</v>
      </c>
      <c r="U57">
        <v>163</v>
      </c>
      <c r="V57">
        <v>18.55</v>
      </c>
    </row>
    <row r="58" spans="1:22" x14ac:dyDescent="0.35">
      <c r="A58" s="3">
        <v>44714</v>
      </c>
      <c r="B58" t="s">
        <v>23</v>
      </c>
      <c r="C58">
        <v>0</v>
      </c>
      <c r="D58">
        <v>0</v>
      </c>
      <c r="E58">
        <v>0</v>
      </c>
      <c r="F58">
        <v>0</v>
      </c>
      <c r="G58">
        <v>27.9</v>
      </c>
      <c r="H58">
        <v>0</v>
      </c>
      <c r="I58">
        <v>0</v>
      </c>
      <c r="J58">
        <v>0</v>
      </c>
      <c r="K58">
        <v>0</v>
      </c>
      <c r="L58">
        <v>158</v>
      </c>
      <c r="M58">
        <v>230</v>
      </c>
      <c r="N58" t="s">
        <v>23</v>
      </c>
      <c r="O58" s="3">
        <v>44944</v>
      </c>
      <c r="P58">
        <v>-1</v>
      </c>
      <c r="S58" s="3">
        <v>43700</v>
      </c>
      <c r="T58" t="s">
        <v>55</v>
      </c>
      <c r="U58">
        <v>142</v>
      </c>
      <c r="V58">
        <v>19.225000000000001</v>
      </c>
    </row>
    <row r="59" spans="1:22" x14ac:dyDescent="0.35">
      <c r="A59" s="3">
        <v>44714</v>
      </c>
      <c r="B59" t="s">
        <v>24</v>
      </c>
      <c r="C59">
        <v>0</v>
      </c>
      <c r="D59">
        <v>0</v>
      </c>
      <c r="E59">
        <v>0</v>
      </c>
      <c r="F59">
        <v>0</v>
      </c>
      <c r="G59">
        <v>27.9</v>
      </c>
      <c r="H59">
        <v>0</v>
      </c>
      <c r="I59">
        <v>0</v>
      </c>
      <c r="J59">
        <v>0</v>
      </c>
      <c r="K59">
        <v>0</v>
      </c>
      <c r="L59">
        <v>178</v>
      </c>
      <c r="M59">
        <v>258</v>
      </c>
      <c r="N59" t="s">
        <v>24</v>
      </c>
      <c r="O59" s="3">
        <v>44972</v>
      </c>
      <c r="P59">
        <v>-1</v>
      </c>
      <c r="T59" t="s">
        <v>54</v>
      </c>
      <c r="U59">
        <v>162</v>
      </c>
      <c r="V59">
        <v>19.3</v>
      </c>
    </row>
    <row r="60" spans="1:22" x14ac:dyDescent="0.35">
      <c r="A60" s="3">
        <v>44714</v>
      </c>
      <c r="B60" t="s">
        <v>25</v>
      </c>
      <c r="C60">
        <v>0</v>
      </c>
      <c r="D60">
        <v>0</v>
      </c>
      <c r="E60">
        <v>0</v>
      </c>
      <c r="F60">
        <v>0</v>
      </c>
      <c r="G60">
        <v>28.2224</v>
      </c>
      <c r="H60">
        <v>0</v>
      </c>
      <c r="I60">
        <v>0</v>
      </c>
      <c r="J60">
        <v>0</v>
      </c>
      <c r="K60">
        <v>0</v>
      </c>
      <c r="L60">
        <v>97</v>
      </c>
      <c r="M60">
        <v>139</v>
      </c>
      <c r="N60" t="s">
        <v>25</v>
      </c>
      <c r="O60" s="3">
        <v>44853</v>
      </c>
      <c r="P60">
        <v>-1</v>
      </c>
      <c r="S60" s="3">
        <v>43703</v>
      </c>
      <c r="T60" t="s">
        <v>55</v>
      </c>
      <c r="U60">
        <v>141</v>
      </c>
      <c r="V60">
        <v>19.125</v>
      </c>
    </row>
    <row r="61" spans="1:22" x14ac:dyDescent="0.35">
      <c r="A61" s="3">
        <v>44714</v>
      </c>
      <c r="B61" t="s">
        <v>20</v>
      </c>
      <c r="C61">
        <v>0</v>
      </c>
      <c r="D61">
        <v>0</v>
      </c>
      <c r="E61">
        <v>0</v>
      </c>
      <c r="F61">
        <v>0</v>
      </c>
      <c r="G61">
        <v>28</v>
      </c>
      <c r="H61">
        <v>0</v>
      </c>
      <c r="I61">
        <v>0</v>
      </c>
      <c r="J61">
        <v>0</v>
      </c>
      <c r="K61">
        <v>0</v>
      </c>
      <c r="L61">
        <v>117</v>
      </c>
      <c r="M61">
        <v>167</v>
      </c>
      <c r="N61" t="s">
        <v>20</v>
      </c>
      <c r="O61" s="3">
        <v>44881</v>
      </c>
      <c r="P61">
        <v>-1</v>
      </c>
      <c r="T61" t="s">
        <v>54</v>
      </c>
      <c r="U61">
        <v>161</v>
      </c>
      <c r="V61">
        <v>19.25</v>
      </c>
    </row>
    <row r="62" spans="1:22" x14ac:dyDescent="0.35">
      <c r="A62" s="3">
        <v>44714</v>
      </c>
      <c r="B62" t="s">
        <v>26</v>
      </c>
      <c r="C62">
        <v>0</v>
      </c>
      <c r="D62">
        <v>0</v>
      </c>
      <c r="E62">
        <v>0</v>
      </c>
      <c r="F62">
        <v>0</v>
      </c>
      <c r="G62">
        <v>27.472899999999999</v>
      </c>
      <c r="H62">
        <v>0</v>
      </c>
      <c r="I62">
        <v>0</v>
      </c>
      <c r="J62">
        <v>0</v>
      </c>
      <c r="K62">
        <v>0</v>
      </c>
      <c r="L62">
        <v>53</v>
      </c>
      <c r="M62">
        <v>76</v>
      </c>
      <c r="N62" t="s">
        <v>26</v>
      </c>
      <c r="O62" s="3">
        <v>44790</v>
      </c>
      <c r="P62">
        <v>-1</v>
      </c>
      <c r="T62" t="s">
        <v>53</v>
      </c>
      <c r="U62">
        <v>186</v>
      </c>
      <c r="V62">
        <v>19.25</v>
      </c>
    </row>
    <row r="63" spans="1:22" x14ac:dyDescent="0.35">
      <c r="A63" s="3">
        <v>44714</v>
      </c>
      <c r="B63" t="s">
        <v>27</v>
      </c>
      <c r="C63">
        <v>0</v>
      </c>
      <c r="D63">
        <v>0</v>
      </c>
      <c r="E63">
        <v>0</v>
      </c>
      <c r="F63">
        <v>0</v>
      </c>
      <c r="G63">
        <v>27.998999999999999</v>
      </c>
      <c r="H63">
        <v>0</v>
      </c>
      <c r="I63">
        <v>0</v>
      </c>
      <c r="J63">
        <v>0</v>
      </c>
      <c r="K63">
        <v>0</v>
      </c>
      <c r="L63">
        <v>77</v>
      </c>
      <c r="M63">
        <v>111</v>
      </c>
      <c r="N63" t="s">
        <v>27</v>
      </c>
      <c r="O63" s="3">
        <v>44825</v>
      </c>
      <c r="P63">
        <v>-1</v>
      </c>
      <c r="S63" s="3">
        <v>43704</v>
      </c>
      <c r="T63" t="s">
        <v>55</v>
      </c>
      <c r="U63">
        <v>140</v>
      </c>
      <c r="V63">
        <v>19.425000000000001</v>
      </c>
    </row>
    <row r="64" spans="1:22" x14ac:dyDescent="0.35">
      <c r="A64" s="3">
        <v>44714</v>
      </c>
      <c r="B64" t="s">
        <v>28</v>
      </c>
      <c r="C64">
        <v>0</v>
      </c>
      <c r="D64">
        <v>0</v>
      </c>
      <c r="E64">
        <v>0</v>
      </c>
      <c r="F64">
        <v>0</v>
      </c>
      <c r="G64">
        <v>25.600100000000001</v>
      </c>
      <c r="H64">
        <v>0</v>
      </c>
      <c r="I64">
        <v>0</v>
      </c>
      <c r="J64">
        <v>0</v>
      </c>
      <c r="K64">
        <v>0</v>
      </c>
      <c r="L64">
        <v>9</v>
      </c>
      <c r="M64">
        <v>13</v>
      </c>
      <c r="N64" t="s">
        <v>28</v>
      </c>
      <c r="O64" s="3">
        <v>44727</v>
      </c>
      <c r="P64">
        <v>-1</v>
      </c>
      <c r="T64" t="s">
        <v>54</v>
      </c>
      <c r="U64">
        <v>160</v>
      </c>
      <c r="V64">
        <v>19.5</v>
      </c>
    </row>
    <row r="65" spans="1:22" x14ac:dyDescent="0.35">
      <c r="A65" s="3">
        <v>44713</v>
      </c>
      <c r="B65" t="s">
        <v>26</v>
      </c>
      <c r="C65">
        <v>0</v>
      </c>
      <c r="D65">
        <v>0</v>
      </c>
      <c r="E65">
        <v>0</v>
      </c>
      <c r="F65">
        <v>0</v>
      </c>
      <c r="G65">
        <v>28.049600000000002</v>
      </c>
      <c r="H65">
        <v>0</v>
      </c>
      <c r="I65">
        <v>0</v>
      </c>
      <c r="J65">
        <v>0</v>
      </c>
      <c r="K65">
        <v>0</v>
      </c>
      <c r="L65">
        <v>54</v>
      </c>
      <c r="M65">
        <v>77</v>
      </c>
      <c r="N65" t="s">
        <v>26</v>
      </c>
      <c r="O65" s="3">
        <v>44790</v>
      </c>
      <c r="P65">
        <v>-1</v>
      </c>
      <c r="T65" t="s">
        <v>53</v>
      </c>
      <c r="U65">
        <v>185</v>
      </c>
      <c r="V65">
        <v>19.5</v>
      </c>
    </row>
    <row r="66" spans="1:22" x14ac:dyDescent="0.35">
      <c r="A66" s="3">
        <v>44713</v>
      </c>
      <c r="B66" t="s">
        <v>27</v>
      </c>
      <c r="C66">
        <v>0</v>
      </c>
      <c r="D66">
        <v>0</v>
      </c>
      <c r="E66">
        <v>0</v>
      </c>
      <c r="F66">
        <v>0</v>
      </c>
      <c r="G66">
        <v>28.513000000000002</v>
      </c>
      <c r="H66">
        <v>0</v>
      </c>
      <c r="I66">
        <v>0</v>
      </c>
      <c r="J66">
        <v>0</v>
      </c>
      <c r="K66">
        <v>0</v>
      </c>
      <c r="L66">
        <v>78</v>
      </c>
      <c r="M66">
        <v>112</v>
      </c>
      <c r="N66" t="s">
        <v>27</v>
      </c>
      <c r="O66" s="3">
        <v>44825</v>
      </c>
      <c r="P66">
        <v>-1</v>
      </c>
      <c r="S66" s="3">
        <v>43705</v>
      </c>
      <c r="T66" t="s">
        <v>55</v>
      </c>
      <c r="U66">
        <v>139</v>
      </c>
      <c r="V66">
        <v>19.175000000000001</v>
      </c>
    </row>
    <row r="67" spans="1:22" x14ac:dyDescent="0.35">
      <c r="A67" s="3">
        <v>44713</v>
      </c>
      <c r="B67" t="s">
        <v>28</v>
      </c>
      <c r="C67">
        <v>0</v>
      </c>
      <c r="D67">
        <v>0</v>
      </c>
      <c r="E67">
        <v>0</v>
      </c>
      <c r="F67">
        <v>0</v>
      </c>
      <c r="G67">
        <v>26.1937</v>
      </c>
      <c r="H67">
        <v>0</v>
      </c>
      <c r="I67">
        <v>0</v>
      </c>
      <c r="J67">
        <v>0</v>
      </c>
      <c r="K67">
        <v>0</v>
      </c>
      <c r="L67">
        <v>10</v>
      </c>
      <c r="M67">
        <v>14</v>
      </c>
      <c r="N67" t="s">
        <v>28</v>
      </c>
      <c r="O67" s="3">
        <v>44727</v>
      </c>
      <c r="P67">
        <v>-1</v>
      </c>
      <c r="T67" t="s">
        <v>54</v>
      </c>
      <c r="U67">
        <v>159</v>
      </c>
      <c r="V67">
        <v>19.274999999999999</v>
      </c>
    </row>
    <row r="68" spans="1:22" x14ac:dyDescent="0.35">
      <c r="A68" s="3">
        <v>44713</v>
      </c>
      <c r="B68" t="s">
        <v>21</v>
      </c>
      <c r="C68">
        <v>0</v>
      </c>
      <c r="D68">
        <v>0</v>
      </c>
      <c r="E68">
        <v>0</v>
      </c>
      <c r="F68">
        <v>0</v>
      </c>
      <c r="G68">
        <v>27.741700000000002</v>
      </c>
      <c r="H68">
        <v>0</v>
      </c>
      <c r="I68">
        <v>0</v>
      </c>
      <c r="J68">
        <v>0</v>
      </c>
      <c r="K68">
        <v>0</v>
      </c>
      <c r="L68">
        <v>142</v>
      </c>
      <c r="M68">
        <v>203</v>
      </c>
      <c r="N68" t="s">
        <v>21</v>
      </c>
      <c r="O68" s="3">
        <v>44916</v>
      </c>
      <c r="P68">
        <v>-1</v>
      </c>
      <c r="S68" s="3">
        <v>43706</v>
      </c>
      <c r="T68" t="s">
        <v>55</v>
      </c>
      <c r="U68">
        <v>138</v>
      </c>
      <c r="V68">
        <v>18.875</v>
      </c>
    </row>
    <row r="69" spans="1:22" x14ac:dyDescent="0.35">
      <c r="A69" s="3">
        <v>44713</v>
      </c>
      <c r="B69" t="s">
        <v>22</v>
      </c>
      <c r="C69">
        <v>0</v>
      </c>
      <c r="D69">
        <v>0</v>
      </c>
      <c r="E69">
        <v>0</v>
      </c>
      <c r="F69">
        <v>0</v>
      </c>
      <c r="G69">
        <v>27.571400000000001</v>
      </c>
      <c r="H69">
        <v>0</v>
      </c>
      <c r="I69">
        <v>0</v>
      </c>
      <c r="J69">
        <v>0</v>
      </c>
      <c r="K69">
        <v>0</v>
      </c>
      <c r="L69">
        <v>34</v>
      </c>
      <c r="M69">
        <v>49</v>
      </c>
      <c r="N69" t="s">
        <v>22</v>
      </c>
      <c r="O69" s="3">
        <v>44762</v>
      </c>
      <c r="P69">
        <v>-1</v>
      </c>
      <c r="T69" t="s">
        <v>54</v>
      </c>
      <c r="U69">
        <v>158</v>
      </c>
      <c r="V69">
        <v>18.925000000000001</v>
      </c>
    </row>
    <row r="70" spans="1:22" x14ac:dyDescent="0.35">
      <c r="A70" s="3">
        <v>44713</v>
      </c>
      <c r="B70" t="s">
        <v>23</v>
      </c>
      <c r="C70">
        <v>0</v>
      </c>
      <c r="D70">
        <v>0</v>
      </c>
      <c r="E70">
        <v>0</v>
      </c>
      <c r="F70">
        <v>0</v>
      </c>
      <c r="G70">
        <v>28.35</v>
      </c>
      <c r="H70">
        <v>0</v>
      </c>
      <c r="I70">
        <v>0</v>
      </c>
      <c r="J70">
        <v>0</v>
      </c>
      <c r="K70">
        <v>0</v>
      </c>
      <c r="L70">
        <v>159</v>
      </c>
      <c r="M70">
        <v>231</v>
      </c>
      <c r="N70" t="s">
        <v>23</v>
      </c>
      <c r="O70" s="3">
        <v>44944</v>
      </c>
      <c r="P70">
        <v>-1</v>
      </c>
      <c r="T70" t="s">
        <v>53</v>
      </c>
      <c r="U70">
        <v>183</v>
      </c>
      <c r="V70">
        <v>18.8</v>
      </c>
    </row>
    <row r="71" spans="1:22" x14ac:dyDescent="0.35">
      <c r="A71" s="3">
        <v>44713</v>
      </c>
      <c r="B71" t="s">
        <v>24</v>
      </c>
      <c r="C71">
        <v>0</v>
      </c>
      <c r="D71">
        <v>0</v>
      </c>
      <c r="E71">
        <v>0</v>
      </c>
      <c r="F71">
        <v>0</v>
      </c>
      <c r="G71">
        <v>28.35</v>
      </c>
      <c r="H71">
        <v>0</v>
      </c>
      <c r="I71">
        <v>0</v>
      </c>
      <c r="J71">
        <v>0</v>
      </c>
      <c r="K71">
        <v>0</v>
      </c>
      <c r="L71">
        <v>179</v>
      </c>
      <c r="M71">
        <v>259</v>
      </c>
      <c r="N71" t="s">
        <v>24</v>
      </c>
      <c r="O71" s="3">
        <v>44972</v>
      </c>
      <c r="P71">
        <v>-1</v>
      </c>
      <c r="S71" s="3">
        <v>43707</v>
      </c>
      <c r="T71" t="s">
        <v>55</v>
      </c>
      <c r="U71">
        <v>137</v>
      </c>
      <c r="V71">
        <v>18.975000000000001</v>
      </c>
    </row>
    <row r="72" spans="1:22" x14ac:dyDescent="0.35">
      <c r="A72" s="3">
        <v>44713</v>
      </c>
      <c r="B72" t="s">
        <v>25</v>
      </c>
      <c r="C72">
        <v>0</v>
      </c>
      <c r="D72">
        <v>0</v>
      </c>
      <c r="E72">
        <v>0</v>
      </c>
      <c r="F72">
        <v>0</v>
      </c>
      <c r="G72">
        <v>28.702100000000002</v>
      </c>
      <c r="H72">
        <v>0</v>
      </c>
      <c r="I72">
        <v>0</v>
      </c>
      <c r="J72">
        <v>0</v>
      </c>
      <c r="K72">
        <v>0</v>
      </c>
      <c r="L72">
        <v>98</v>
      </c>
      <c r="M72">
        <v>140</v>
      </c>
      <c r="N72" t="s">
        <v>25</v>
      </c>
      <c r="O72" s="3">
        <v>44853</v>
      </c>
      <c r="P72">
        <v>-1</v>
      </c>
      <c r="T72" t="s">
        <v>54</v>
      </c>
      <c r="U72">
        <v>157</v>
      </c>
      <c r="V72">
        <v>19.074999999999999</v>
      </c>
    </row>
    <row r="73" spans="1:22" x14ac:dyDescent="0.35">
      <c r="A73" s="3">
        <v>44713</v>
      </c>
      <c r="B73" t="s">
        <v>20</v>
      </c>
      <c r="C73">
        <v>0</v>
      </c>
      <c r="D73">
        <v>0</v>
      </c>
      <c r="E73">
        <v>0</v>
      </c>
      <c r="F73">
        <v>0</v>
      </c>
      <c r="G73">
        <v>28.4466</v>
      </c>
      <c r="H73">
        <v>0</v>
      </c>
      <c r="I73">
        <v>0</v>
      </c>
      <c r="J73">
        <v>0</v>
      </c>
      <c r="K73">
        <v>0</v>
      </c>
      <c r="L73">
        <v>118</v>
      </c>
      <c r="M73">
        <v>168</v>
      </c>
      <c r="N73" t="s">
        <v>20</v>
      </c>
      <c r="O73" s="3">
        <v>44881</v>
      </c>
      <c r="P73">
        <v>-1</v>
      </c>
      <c r="S73" s="3">
        <v>43711</v>
      </c>
      <c r="T73" t="s">
        <v>55</v>
      </c>
      <c r="U73">
        <v>136</v>
      </c>
      <c r="V73">
        <v>19.350000000000001</v>
      </c>
    </row>
    <row r="74" spans="1:22" x14ac:dyDescent="0.35">
      <c r="A74" s="3">
        <v>44712</v>
      </c>
      <c r="B74" t="s">
        <v>21</v>
      </c>
      <c r="C74">
        <v>0</v>
      </c>
      <c r="D74">
        <v>0</v>
      </c>
      <c r="E74">
        <v>0</v>
      </c>
      <c r="F74">
        <v>0</v>
      </c>
      <c r="G74">
        <v>27.817399999999999</v>
      </c>
      <c r="H74">
        <v>0</v>
      </c>
      <c r="I74">
        <v>0</v>
      </c>
      <c r="J74">
        <v>0</v>
      </c>
      <c r="K74">
        <v>0</v>
      </c>
      <c r="L74">
        <v>143</v>
      </c>
      <c r="M74">
        <v>204</v>
      </c>
      <c r="N74" t="s">
        <v>21</v>
      </c>
      <c r="O74" s="3">
        <v>44916</v>
      </c>
      <c r="P74">
        <v>-1</v>
      </c>
      <c r="T74" t="s">
        <v>54</v>
      </c>
      <c r="U74">
        <v>156</v>
      </c>
      <c r="V74">
        <v>19.375</v>
      </c>
    </row>
    <row r="75" spans="1:22" x14ac:dyDescent="0.35">
      <c r="A75" s="3">
        <v>44712</v>
      </c>
      <c r="B75" t="s">
        <v>22</v>
      </c>
      <c r="C75">
        <v>0</v>
      </c>
      <c r="D75">
        <v>0</v>
      </c>
      <c r="E75">
        <v>0</v>
      </c>
      <c r="F75">
        <v>0</v>
      </c>
      <c r="G75">
        <v>27.790800000000001</v>
      </c>
      <c r="H75">
        <v>0</v>
      </c>
      <c r="I75">
        <v>0</v>
      </c>
      <c r="J75">
        <v>0</v>
      </c>
      <c r="K75">
        <v>0</v>
      </c>
      <c r="L75">
        <v>35</v>
      </c>
      <c r="M75">
        <v>50</v>
      </c>
      <c r="N75" t="s">
        <v>22</v>
      </c>
      <c r="O75" s="3">
        <v>44762</v>
      </c>
      <c r="P75">
        <v>-1</v>
      </c>
      <c r="T75" t="s">
        <v>53</v>
      </c>
      <c r="U75">
        <v>181</v>
      </c>
      <c r="V75">
        <v>19.350000000000001</v>
      </c>
    </row>
    <row r="76" spans="1:22" x14ac:dyDescent="0.35">
      <c r="A76" s="3">
        <v>44712</v>
      </c>
      <c r="B76" t="s">
        <v>23</v>
      </c>
      <c r="C76">
        <v>0</v>
      </c>
      <c r="D76">
        <v>0</v>
      </c>
      <c r="E76">
        <v>0</v>
      </c>
      <c r="F76">
        <v>0</v>
      </c>
      <c r="G76">
        <v>28.5</v>
      </c>
      <c r="H76">
        <v>0</v>
      </c>
      <c r="I76">
        <v>0</v>
      </c>
      <c r="J76">
        <v>0</v>
      </c>
      <c r="K76">
        <v>0</v>
      </c>
      <c r="L76">
        <v>160</v>
      </c>
      <c r="M76">
        <v>232</v>
      </c>
      <c r="N76" t="s">
        <v>23</v>
      </c>
      <c r="O76" s="3">
        <v>44944</v>
      </c>
      <c r="P76">
        <v>-1</v>
      </c>
      <c r="S76" s="3">
        <v>43712</v>
      </c>
      <c r="T76" t="s">
        <v>55</v>
      </c>
      <c r="U76">
        <v>135</v>
      </c>
      <c r="V76">
        <v>18.824999999999999</v>
      </c>
    </row>
    <row r="77" spans="1:22" x14ac:dyDescent="0.35">
      <c r="A77" s="3">
        <v>44712</v>
      </c>
      <c r="B77" t="s">
        <v>24</v>
      </c>
      <c r="C77">
        <v>0</v>
      </c>
      <c r="D77">
        <v>0</v>
      </c>
      <c r="E77">
        <v>0</v>
      </c>
      <c r="F77">
        <v>0</v>
      </c>
      <c r="G77">
        <v>28.7</v>
      </c>
      <c r="H77">
        <v>0</v>
      </c>
      <c r="I77">
        <v>0</v>
      </c>
      <c r="J77">
        <v>0</v>
      </c>
      <c r="K77">
        <v>0</v>
      </c>
      <c r="L77">
        <v>180</v>
      </c>
      <c r="M77">
        <v>260</v>
      </c>
      <c r="N77" t="s">
        <v>24</v>
      </c>
      <c r="O77" s="3">
        <v>44972</v>
      </c>
      <c r="P77">
        <v>-1</v>
      </c>
      <c r="T77" t="s">
        <v>54</v>
      </c>
      <c r="U77">
        <v>155</v>
      </c>
      <c r="V77">
        <v>18.925000000000001</v>
      </c>
    </row>
    <row r="78" spans="1:22" x14ac:dyDescent="0.35">
      <c r="A78" s="3">
        <v>44712</v>
      </c>
      <c r="B78" t="s">
        <v>25</v>
      </c>
      <c r="C78">
        <v>0</v>
      </c>
      <c r="D78">
        <v>0</v>
      </c>
      <c r="E78">
        <v>0</v>
      </c>
      <c r="F78">
        <v>0</v>
      </c>
      <c r="G78">
        <v>28.852399999999999</v>
      </c>
      <c r="H78">
        <v>0</v>
      </c>
      <c r="I78">
        <v>0</v>
      </c>
      <c r="J78">
        <v>0</v>
      </c>
      <c r="K78">
        <v>0</v>
      </c>
      <c r="L78">
        <v>99</v>
      </c>
      <c r="M78">
        <v>141</v>
      </c>
      <c r="N78" t="s">
        <v>25</v>
      </c>
      <c r="O78" s="3">
        <v>44853</v>
      </c>
      <c r="P78">
        <v>-1</v>
      </c>
      <c r="T78" t="s">
        <v>53</v>
      </c>
      <c r="U78">
        <v>180</v>
      </c>
      <c r="V78">
        <v>18.975000000000001</v>
      </c>
    </row>
    <row r="79" spans="1:22" x14ac:dyDescent="0.35">
      <c r="A79" s="3">
        <v>44712</v>
      </c>
      <c r="B79" t="s">
        <v>20</v>
      </c>
      <c r="C79">
        <v>0</v>
      </c>
      <c r="D79">
        <v>0</v>
      </c>
      <c r="E79">
        <v>0</v>
      </c>
      <c r="F79">
        <v>0</v>
      </c>
      <c r="G79">
        <v>28.554500000000001</v>
      </c>
      <c r="H79">
        <v>0</v>
      </c>
      <c r="I79">
        <v>0</v>
      </c>
      <c r="J79">
        <v>0</v>
      </c>
      <c r="K79">
        <v>0</v>
      </c>
      <c r="L79">
        <v>119</v>
      </c>
      <c r="M79">
        <v>169</v>
      </c>
      <c r="N79" t="s">
        <v>20</v>
      </c>
      <c r="O79" s="3">
        <v>44881</v>
      </c>
      <c r="P79">
        <v>-1</v>
      </c>
      <c r="S79" s="3">
        <v>43713</v>
      </c>
      <c r="T79" t="s">
        <v>55</v>
      </c>
      <c r="U79">
        <v>134</v>
      </c>
      <c r="V79">
        <v>18.600000000000001</v>
      </c>
    </row>
    <row r="80" spans="1:22" x14ac:dyDescent="0.35">
      <c r="A80" s="3">
        <v>44712</v>
      </c>
      <c r="B80" t="s">
        <v>26</v>
      </c>
      <c r="C80">
        <v>0</v>
      </c>
      <c r="D80">
        <v>0</v>
      </c>
      <c r="E80">
        <v>0</v>
      </c>
      <c r="F80">
        <v>0</v>
      </c>
      <c r="G80">
        <v>28.238399999999999</v>
      </c>
      <c r="H80">
        <v>0</v>
      </c>
      <c r="I80">
        <v>0</v>
      </c>
      <c r="J80">
        <v>0</v>
      </c>
      <c r="K80">
        <v>0</v>
      </c>
      <c r="L80">
        <v>55</v>
      </c>
      <c r="M80">
        <v>78</v>
      </c>
      <c r="N80" t="s">
        <v>26</v>
      </c>
      <c r="O80" s="3">
        <v>44790</v>
      </c>
      <c r="P80">
        <v>-1</v>
      </c>
      <c r="T80" t="s">
        <v>54</v>
      </c>
      <c r="U80">
        <v>154</v>
      </c>
      <c r="V80">
        <v>18.7</v>
      </c>
    </row>
    <row r="81" spans="1:22" x14ac:dyDescent="0.35">
      <c r="A81" s="3">
        <v>44712</v>
      </c>
      <c r="B81" t="s">
        <v>27</v>
      </c>
      <c r="C81">
        <v>0</v>
      </c>
      <c r="D81">
        <v>0</v>
      </c>
      <c r="E81">
        <v>0</v>
      </c>
      <c r="F81">
        <v>0</v>
      </c>
      <c r="G81">
        <v>28.6233</v>
      </c>
      <c r="H81">
        <v>0</v>
      </c>
      <c r="I81">
        <v>0</v>
      </c>
      <c r="J81">
        <v>0</v>
      </c>
      <c r="K81">
        <v>0</v>
      </c>
      <c r="L81">
        <v>79</v>
      </c>
      <c r="M81">
        <v>113</v>
      </c>
      <c r="N81" t="s">
        <v>27</v>
      </c>
      <c r="O81" s="3">
        <v>44825</v>
      </c>
      <c r="P81">
        <v>-1</v>
      </c>
      <c r="T81" t="s">
        <v>53</v>
      </c>
      <c r="U81">
        <v>179</v>
      </c>
      <c r="V81">
        <v>18.649999999999999</v>
      </c>
    </row>
    <row r="82" spans="1:22" x14ac:dyDescent="0.35">
      <c r="A82" s="3">
        <v>44712</v>
      </c>
      <c r="B82" t="s">
        <v>28</v>
      </c>
      <c r="C82">
        <v>0</v>
      </c>
      <c r="D82">
        <v>0</v>
      </c>
      <c r="E82">
        <v>0</v>
      </c>
      <c r="F82">
        <v>0</v>
      </c>
      <c r="G82">
        <v>26.412299999999998</v>
      </c>
      <c r="H82">
        <v>0</v>
      </c>
      <c r="I82">
        <v>0</v>
      </c>
      <c r="J82">
        <v>0</v>
      </c>
      <c r="K82">
        <v>0</v>
      </c>
      <c r="L82">
        <v>11</v>
      </c>
      <c r="M82">
        <v>15</v>
      </c>
      <c r="N82" t="s">
        <v>28</v>
      </c>
      <c r="O82" s="3">
        <v>44727</v>
      </c>
      <c r="P82">
        <v>-1</v>
      </c>
      <c r="S82" s="3">
        <v>43714</v>
      </c>
      <c r="T82" t="s">
        <v>55</v>
      </c>
      <c r="U82">
        <v>133</v>
      </c>
      <c r="V82">
        <v>18.425000000000001</v>
      </c>
    </row>
    <row r="83" spans="1:22" x14ac:dyDescent="0.35">
      <c r="A83" s="3">
        <v>44708</v>
      </c>
      <c r="B83" t="s">
        <v>26</v>
      </c>
      <c r="C83">
        <v>0</v>
      </c>
      <c r="D83">
        <v>0</v>
      </c>
      <c r="E83">
        <v>0</v>
      </c>
      <c r="F83">
        <v>0</v>
      </c>
      <c r="G83">
        <v>28.431999999999999</v>
      </c>
      <c r="H83">
        <v>0</v>
      </c>
      <c r="I83">
        <v>0</v>
      </c>
      <c r="J83">
        <v>0</v>
      </c>
      <c r="K83">
        <v>0</v>
      </c>
      <c r="L83">
        <v>56</v>
      </c>
      <c r="M83">
        <v>82</v>
      </c>
      <c r="N83" t="s">
        <v>26</v>
      </c>
      <c r="O83" s="3">
        <v>44790</v>
      </c>
      <c r="P83">
        <v>-1</v>
      </c>
      <c r="T83" t="s">
        <v>54</v>
      </c>
      <c r="U83">
        <v>153</v>
      </c>
      <c r="V83">
        <v>18.475000000000001</v>
      </c>
    </row>
    <row r="84" spans="1:22" x14ac:dyDescent="0.35">
      <c r="A84" s="3">
        <v>44708</v>
      </c>
      <c r="B84" t="s">
        <v>27</v>
      </c>
      <c r="C84">
        <v>0</v>
      </c>
      <c r="D84">
        <v>0</v>
      </c>
      <c r="E84">
        <v>0</v>
      </c>
      <c r="F84">
        <v>0</v>
      </c>
      <c r="G84">
        <v>28.801600000000001</v>
      </c>
      <c r="H84">
        <v>0</v>
      </c>
      <c r="I84">
        <v>0</v>
      </c>
      <c r="J84">
        <v>0</v>
      </c>
      <c r="K84">
        <v>0</v>
      </c>
      <c r="L84">
        <v>80</v>
      </c>
      <c r="M84">
        <v>117</v>
      </c>
      <c r="N84" t="s">
        <v>27</v>
      </c>
      <c r="O84" s="3">
        <v>44825</v>
      </c>
      <c r="P84">
        <v>-1</v>
      </c>
      <c r="T84" t="s">
        <v>53</v>
      </c>
      <c r="U84">
        <v>178</v>
      </c>
      <c r="V84">
        <v>18.5</v>
      </c>
    </row>
    <row r="85" spans="1:22" x14ac:dyDescent="0.35">
      <c r="A85" s="3">
        <v>44708</v>
      </c>
      <c r="B85" t="s">
        <v>28</v>
      </c>
      <c r="C85">
        <v>0</v>
      </c>
      <c r="D85">
        <v>0</v>
      </c>
      <c r="E85">
        <v>0</v>
      </c>
      <c r="F85">
        <v>0</v>
      </c>
      <c r="G85">
        <v>26.867799999999999</v>
      </c>
      <c r="H85">
        <v>0</v>
      </c>
      <c r="I85">
        <v>0</v>
      </c>
      <c r="J85">
        <v>0</v>
      </c>
      <c r="K85">
        <v>0</v>
      </c>
      <c r="L85">
        <v>12</v>
      </c>
      <c r="M85">
        <v>19</v>
      </c>
      <c r="N85" t="s">
        <v>28</v>
      </c>
      <c r="O85" s="3">
        <v>44727</v>
      </c>
      <c r="P85">
        <v>-1</v>
      </c>
      <c r="S85" s="3">
        <v>43717</v>
      </c>
      <c r="T85" t="s">
        <v>55</v>
      </c>
      <c r="U85">
        <v>132</v>
      </c>
      <c r="V85">
        <v>18.425000000000001</v>
      </c>
    </row>
    <row r="86" spans="1:22" x14ac:dyDescent="0.35">
      <c r="A86" s="3">
        <v>44708</v>
      </c>
      <c r="B86" t="s">
        <v>21</v>
      </c>
      <c r="C86">
        <v>0</v>
      </c>
      <c r="D86">
        <v>0</v>
      </c>
      <c r="E86">
        <v>0</v>
      </c>
      <c r="F86">
        <v>0</v>
      </c>
      <c r="G86">
        <v>27.7958</v>
      </c>
      <c r="H86">
        <v>0</v>
      </c>
      <c r="I86">
        <v>0</v>
      </c>
      <c r="J86">
        <v>0</v>
      </c>
      <c r="K86">
        <v>0</v>
      </c>
      <c r="L86">
        <v>144</v>
      </c>
      <c r="M86">
        <v>208</v>
      </c>
      <c r="N86" t="s">
        <v>21</v>
      </c>
      <c r="O86" s="3">
        <v>44916</v>
      </c>
      <c r="P86">
        <v>-1</v>
      </c>
      <c r="T86" t="s">
        <v>54</v>
      </c>
      <c r="U86">
        <v>152</v>
      </c>
      <c r="V86">
        <v>18.55</v>
      </c>
    </row>
    <row r="87" spans="1:22" x14ac:dyDescent="0.35">
      <c r="A87" s="3">
        <v>44708</v>
      </c>
      <c r="B87" t="s">
        <v>22</v>
      </c>
      <c r="C87">
        <v>0</v>
      </c>
      <c r="D87">
        <v>0</v>
      </c>
      <c r="E87">
        <v>0</v>
      </c>
      <c r="F87">
        <v>0</v>
      </c>
      <c r="G87">
        <v>28.173999999999999</v>
      </c>
      <c r="H87">
        <v>0</v>
      </c>
      <c r="I87">
        <v>0</v>
      </c>
      <c r="J87">
        <v>0</v>
      </c>
      <c r="K87">
        <v>0</v>
      </c>
      <c r="L87">
        <v>36</v>
      </c>
      <c r="M87">
        <v>54</v>
      </c>
      <c r="N87" t="s">
        <v>22</v>
      </c>
      <c r="O87" s="3">
        <v>44762</v>
      </c>
      <c r="P87">
        <v>-1</v>
      </c>
      <c r="T87" t="s">
        <v>53</v>
      </c>
      <c r="U87">
        <v>177</v>
      </c>
      <c r="V87">
        <v>18.55</v>
      </c>
    </row>
    <row r="88" spans="1:22" x14ac:dyDescent="0.35">
      <c r="A88" s="3">
        <v>44708</v>
      </c>
      <c r="B88" t="s">
        <v>23</v>
      </c>
      <c r="C88">
        <v>0</v>
      </c>
      <c r="D88">
        <v>0</v>
      </c>
      <c r="E88">
        <v>0</v>
      </c>
      <c r="F88">
        <v>0</v>
      </c>
      <c r="G88">
        <v>28.3</v>
      </c>
      <c r="H88">
        <v>0</v>
      </c>
      <c r="I88">
        <v>0</v>
      </c>
      <c r="J88">
        <v>0</v>
      </c>
      <c r="K88">
        <v>0</v>
      </c>
      <c r="L88">
        <v>161</v>
      </c>
      <c r="M88">
        <v>236</v>
      </c>
      <c r="N88" t="s">
        <v>23</v>
      </c>
      <c r="O88" s="3">
        <v>44944</v>
      </c>
      <c r="P88">
        <v>-1</v>
      </c>
      <c r="S88" s="3">
        <v>43718</v>
      </c>
      <c r="T88" t="s">
        <v>55</v>
      </c>
      <c r="U88">
        <v>131</v>
      </c>
      <c r="V88">
        <v>18.574999999999999</v>
      </c>
    </row>
    <row r="89" spans="1:22" x14ac:dyDescent="0.35">
      <c r="A89" s="3">
        <v>44708</v>
      </c>
      <c r="B89" t="s">
        <v>24</v>
      </c>
      <c r="C89">
        <v>0</v>
      </c>
      <c r="D89">
        <v>0</v>
      </c>
      <c r="E89">
        <v>0</v>
      </c>
      <c r="F89">
        <v>0</v>
      </c>
      <c r="G89">
        <v>28.375</v>
      </c>
      <c r="H89">
        <v>0</v>
      </c>
      <c r="I89">
        <v>0</v>
      </c>
      <c r="J89">
        <v>0</v>
      </c>
      <c r="K89">
        <v>0</v>
      </c>
      <c r="L89">
        <v>181</v>
      </c>
      <c r="M89">
        <v>264</v>
      </c>
      <c r="N89" t="s">
        <v>24</v>
      </c>
      <c r="O89" s="3">
        <v>44972</v>
      </c>
      <c r="P89">
        <v>-1</v>
      </c>
      <c r="T89" t="s">
        <v>54</v>
      </c>
      <c r="U89">
        <v>151</v>
      </c>
      <c r="V89">
        <v>18.649999999999999</v>
      </c>
    </row>
    <row r="90" spans="1:22" x14ac:dyDescent="0.35">
      <c r="A90" s="3">
        <v>44708</v>
      </c>
      <c r="B90" t="s">
        <v>25</v>
      </c>
      <c r="C90">
        <v>0</v>
      </c>
      <c r="D90">
        <v>0</v>
      </c>
      <c r="E90">
        <v>0</v>
      </c>
      <c r="F90">
        <v>0</v>
      </c>
      <c r="G90">
        <v>28.9359</v>
      </c>
      <c r="H90">
        <v>0</v>
      </c>
      <c r="I90">
        <v>0</v>
      </c>
      <c r="J90">
        <v>0</v>
      </c>
      <c r="K90">
        <v>0</v>
      </c>
      <c r="L90">
        <v>100</v>
      </c>
      <c r="M90">
        <v>145</v>
      </c>
      <c r="N90" t="s">
        <v>25</v>
      </c>
      <c r="O90" s="3">
        <v>44853</v>
      </c>
      <c r="P90">
        <v>-1</v>
      </c>
      <c r="T90" t="s">
        <v>53</v>
      </c>
      <c r="U90">
        <v>176</v>
      </c>
      <c r="V90">
        <v>18.625</v>
      </c>
    </row>
    <row r="91" spans="1:22" x14ac:dyDescent="0.35">
      <c r="A91" s="3">
        <v>44708</v>
      </c>
      <c r="B91" t="s">
        <v>20</v>
      </c>
      <c r="C91">
        <v>0</v>
      </c>
      <c r="D91">
        <v>0</v>
      </c>
      <c r="E91">
        <v>0</v>
      </c>
      <c r="F91">
        <v>0</v>
      </c>
      <c r="G91">
        <v>28.546800000000001</v>
      </c>
      <c r="H91">
        <v>0</v>
      </c>
      <c r="I91">
        <v>0</v>
      </c>
      <c r="J91">
        <v>0</v>
      </c>
      <c r="K91">
        <v>0</v>
      </c>
      <c r="L91">
        <v>120</v>
      </c>
      <c r="M91">
        <v>173</v>
      </c>
      <c r="N91" t="s">
        <v>20</v>
      </c>
      <c r="O91" s="3">
        <v>44881</v>
      </c>
      <c r="P91">
        <v>-1</v>
      </c>
      <c r="S91" s="3">
        <v>43719</v>
      </c>
      <c r="T91" t="s">
        <v>55</v>
      </c>
      <c r="U91">
        <v>130</v>
      </c>
      <c r="V91">
        <v>18.425000000000001</v>
      </c>
    </row>
    <row r="92" spans="1:22" x14ac:dyDescent="0.35">
      <c r="A92" s="3">
        <v>44707</v>
      </c>
      <c r="B92" t="s">
        <v>21</v>
      </c>
      <c r="C92">
        <v>0</v>
      </c>
      <c r="D92">
        <v>0</v>
      </c>
      <c r="E92">
        <v>0</v>
      </c>
      <c r="F92">
        <v>0</v>
      </c>
      <c r="G92">
        <v>28.175000000000001</v>
      </c>
      <c r="H92">
        <v>0</v>
      </c>
      <c r="I92">
        <v>0</v>
      </c>
      <c r="J92">
        <v>0</v>
      </c>
      <c r="K92">
        <v>0</v>
      </c>
      <c r="L92">
        <v>145</v>
      </c>
      <c r="M92">
        <v>209</v>
      </c>
      <c r="N92" t="s">
        <v>21</v>
      </c>
      <c r="O92" s="3">
        <v>44916</v>
      </c>
      <c r="P92">
        <v>-1</v>
      </c>
      <c r="T92" t="s">
        <v>54</v>
      </c>
      <c r="U92">
        <v>150</v>
      </c>
      <c r="V92">
        <v>18.524999999999999</v>
      </c>
    </row>
    <row r="93" spans="1:22" x14ac:dyDescent="0.35">
      <c r="A93" s="3">
        <v>44707</v>
      </c>
      <c r="B93" t="s">
        <v>22</v>
      </c>
      <c r="C93">
        <v>0</v>
      </c>
      <c r="D93">
        <v>0</v>
      </c>
      <c r="E93">
        <v>0</v>
      </c>
      <c r="F93">
        <v>0</v>
      </c>
      <c r="G93">
        <v>29.060400000000001</v>
      </c>
      <c r="H93">
        <v>0</v>
      </c>
      <c r="I93">
        <v>0</v>
      </c>
      <c r="J93">
        <v>0</v>
      </c>
      <c r="K93">
        <v>0</v>
      </c>
      <c r="L93">
        <v>37</v>
      </c>
      <c r="M93">
        <v>55</v>
      </c>
      <c r="N93" t="s">
        <v>22</v>
      </c>
      <c r="O93" s="3">
        <v>44762</v>
      </c>
      <c r="P93">
        <v>-1</v>
      </c>
      <c r="T93" t="s">
        <v>53</v>
      </c>
      <c r="U93">
        <v>175</v>
      </c>
      <c r="V93">
        <v>18.475000000000001</v>
      </c>
    </row>
    <row r="94" spans="1:22" x14ac:dyDescent="0.35">
      <c r="A94" s="3">
        <v>44707</v>
      </c>
      <c r="B94" t="s">
        <v>23</v>
      </c>
      <c r="C94">
        <v>0</v>
      </c>
      <c r="D94">
        <v>0</v>
      </c>
      <c r="E94">
        <v>0</v>
      </c>
      <c r="F94">
        <v>0</v>
      </c>
      <c r="G94">
        <v>28.65</v>
      </c>
      <c r="H94">
        <v>0</v>
      </c>
      <c r="I94">
        <v>0</v>
      </c>
      <c r="J94">
        <v>0</v>
      </c>
      <c r="K94">
        <v>0</v>
      </c>
      <c r="L94">
        <v>162</v>
      </c>
      <c r="M94">
        <v>237</v>
      </c>
      <c r="N94" t="s">
        <v>23</v>
      </c>
      <c r="O94" s="3">
        <v>44944</v>
      </c>
      <c r="P94">
        <v>-1</v>
      </c>
      <c r="S94" s="3">
        <v>43720</v>
      </c>
      <c r="T94" t="s">
        <v>55</v>
      </c>
      <c r="U94">
        <v>129</v>
      </c>
      <c r="V94">
        <v>18.375</v>
      </c>
    </row>
    <row r="95" spans="1:22" x14ac:dyDescent="0.35">
      <c r="A95" s="3">
        <v>44707</v>
      </c>
      <c r="B95" t="s">
        <v>24</v>
      </c>
      <c r="C95">
        <v>0</v>
      </c>
      <c r="D95">
        <v>0</v>
      </c>
      <c r="E95">
        <v>0</v>
      </c>
      <c r="F95">
        <v>0</v>
      </c>
      <c r="G95">
        <v>28.625</v>
      </c>
      <c r="H95">
        <v>0</v>
      </c>
      <c r="I95">
        <v>0</v>
      </c>
      <c r="J95">
        <v>0</v>
      </c>
      <c r="K95">
        <v>0</v>
      </c>
      <c r="L95">
        <v>182</v>
      </c>
      <c r="M95">
        <v>265</v>
      </c>
      <c r="N95" t="s">
        <v>24</v>
      </c>
      <c r="O95" s="3">
        <v>44972</v>
      </c>
      <c r="P95">
        <v>-1</v>
      </c>
      <c r="T95" t="s">
        <v>54</v>
      </c>
      <c r="U95">
        <v>149</v>
      </c>
      <c r="V95">
        <v>18.475000000000001</v>
      </c>
    </row>
    <row r="96" spans="1:22" x14ac:dyDescent="0.35">
      <c r="A96" s="3">
        <v>44707</v>
      </c>
      <c r="B96" t="s">
        <v>25</v>
      </c>
      <c r="C96">
        <v>0</v>
      </c>
      <c r="D96">
        <v>0</v>
      </c>
      <c r="E96">
        <v>0</v>
      </c>
      <c r="F96">
        <v>0</v>
      </c>
      <c r="G96">
        <v>29.437799999999999</v>
      </c>
      <c r="H96">
        <v>0</v>
      </c>
      <c r="I96">
        <v>0</v>
      </c>
      <c r="J96">
        <v>0</v>
      </c>
      <c r="K96">
        <v>0</v>
      </c>
      <c r="L96">
        <v>101</v>
      </c>
      <c r="M96">
        <v>146</v>
      </c>
      <c r="N96" t="s">
        <v>25</v>
      </c>
      <c r="O96" s="3">
        <v>44853</v>
      </c>
      <c r="P96">
        <v>-1</v>
      </c>
      <c r="T96" t="s">
        <v>53</v>
      </c>
      <c r="U96">
        <v>174</v>
      </c>
      <c r="V96">
        <v>18.399999999999999</v>
      </c>
    </row>
    <row r="97" spans="1:22" x14ac:dyDescent="0.35">
      <c r="A97" s="3">
        <v>44707</v>
      </c>
      <c r="B97" t="s">
        <v>20</v>
      </c>
      <c r="C97">
        <v>0</v>
      </c>
      <c r="D97">
        <v>0</v>
      </c>
      <c r="E97">
        <v>0</v>
      </c>
      <c r="F97">
        <v>0</v>
      </c>
      <c r="G97">
        <v>28.994800000000001</v>
      </c>
      <c r="H97">
        <v>0</v>
      </c>
      <c r="I97">
        <v>0</v>
      </c>
      <c r="J97">
        <v>0</v>
      </c>
      <c r="K97">
        <v>0</v>
      </c>
      <c r="L97">
        <v>121</v>
      </c>
      <c r="M97">
        <v>174</v>
      </c>
      <c r="N97" t="s">
        <v>20</v>
      </c>
      <c r="O97" s="3">
        <v>44881</v>
      </c>
      <c r="P97">
        <v>-1</v>
      </c>
      <c r="S97" s="3">
        <v>43721</v>
      </c>
      <c r="T97" t="s">
        <v>55</v>
      </c>
      <c r="U97">
        <v>128</v>
      </c>
      <c r="V97">
        <v>18.375</v>
      </c>
    </row>
    <row r="98" spans="1:22" x14ac:dyDescent="0.35">
      <c r="A98" s="3">
        <v>44707</v>
      </c>
      <c r="B98" t="s">
        <v>26</v>
      </c>
      <c r="C98">
        <v>0</v>
      </c>
      <c r="D98">
        <v>0</v>
      </c>
      <c r="E98">
        <v>0</v>
      </c>
      <c r="F98">
        <v>0</v>
      </c>
      <c r="G98">
        <v>29.197900000000001</v>
      </c>
      <c r="H98">
        <v>0</v>
      </c>
      <c r="I98">
        <v>0</v>
      </c>
      <c r="J98">
        <v>0</v>
      </c>
      <c r="K98">
        <v>0</v>
      </c>
      <c r="L98">
        <v>57</v>
      </c>
      <c r="M98">
        <v>83</v>
      </c>
      <c r="N98" t="s">
        <v>26</v>
      </c>
      <c r="O98" s="3">
        <v>44790</v>
      </c>
      <c r="P98">
        <v>-1</v>
      </c>
      <c r="T98" t="s">
        <v>54</v>
      </c>
      <c r="U98">
        <v>148</v>
      </c>
      <c r="V98">
        <v>18.475000000000001</v>
      </c>
    </row>
    <row r="99" spans="1:22" x14ac:dyDescent="0.35">
      <c r="A99" s="3">
        <v>44707</v>
      </c>
      <c r="B99" t="s">
        <v>27</v>
      </c>
      <c r="C99">
        <v>0</v>
      </c>
      <c r="D99">
        <v>0</v>
      </c>
      <c r="E99">
        <v>0</v>
      </c>
      <c r="F99">
        <v>0</v>
      </c>
      <c r="G99">
        <v>29.4</v>
      </c>
      <c r="H99">
        <v>0</v>
      </c>
      <c r="I99">
        <v>0</v>
      </c>
      <c r="J99">
        <v>0</v>
      </c>
      <c r="K99">
        <v>0</v>
      </c>
      <c r="L99">
        <v>81</v>
      </c>
      <c r="M99">
        <v>118</v>
      </c>
      <c r="N99" t="s">
        <v>27</v>
      </c>
      <c r="O99" s="3">
        <v>44825</v>
      </c>
      <c r="P99">
        <v>-1</v>
      </c>
      <c r="T99" t="s">
        <v>53</v>
      </c>
      <c r="U99">
        <v>173</v>
      </c>
      <c r="V99">
        <v>18.45</v>
      </c>
    </row>
    <row r="100" spans="1:22" x14ac:dyDescent="0.35">
      <c r="A100" s="3">
        <v>44707</v>
      </c>
      <c r="B100" t="s">
        <v>28</v>
      </c>
      <c r="C100">
        <v>0</v>
      </c>
      <c r="D100">
        <v>0</v>
      </c>
      <c r="E100">
        <v>0</v>
      </c>
      <c r="F100">
        <v>0</v>
      </c>
      <c r="G100">
        <v>28.063600000000001</v>
      </c>
      <c r="H100">
        <v>0</v>
      </c>
      <c r="I100">
        <v>0</v>
      </c>
      <c r="J100">
        <v>0</v>
      </c>
      <c r="K100">
        <v>0</v>
      </c>
      <c r="L100">
        <v>13</v>
      </c>
      <c r="M100">
        <v>20</v>
      </c>
      <c r="N100" t="s">
        <v>28</v>
      </c>
      <c r="O100" s="3">
        <v>44727</v>
      </c>
      <c r="P100">
        <v>-1</v>
      </c>
      <c r="S100" s="3">
        <v>43724</v>
      </c>
      <c r="T100" t="s">
        <v>55</v>
      </c>
      <c r="U100">
        <v>127</v>
      </c>
      <c r="V100">
        <v>18.625</v>
      </c>
    </row>
    <row r="101" spans="1:22" x14ac:dyDescent="0.35">
      <c r="A101" s="3">
        <v>44706</v>
      </c>
      <c r="B101" t="s">
        <v>26</v>
      </c>
      <c r="C101">
        <v>0</v>
      </c>
      <c r="D101">
        <v>0</v>
      </c>
      <c r="E101">
        <v>0</v>
      </c>
      <c r="F101">
        <v>0</v>
      </c>
      <c r="G101">
        <v>29.150099999999998</v>
      </c>
      <c r="H101">
        <v>0</v>
      </c>
      <c r="I101">
        <v>0</v>
      </c>
      <c r="J101">
        <v>0</v>
      </c>
      <c r="K101">
        <v>0</v>
      </c>
      <c r="L101">
        <v>58</v>
      </c>
      <c r="M101">
        <v>84</v>
      </c>
      <c r="N101" t="s">
        <v>26</v>
      </c>
      <c r="O101" s="3">
        <v>44790</v>
      </c>
      <c r="P101">
        <v>-1</v>
      </c>
      <c r="T101" t="s">
        <v>54</v>
      </c>
      <c r="U101">
        <v>147</v>
      </c>
      <c r="V101">
        <v>18.725000000000001</v>
      </c>
    </row>
    <row r="102" spans="1:22" x14ac:dyDescent="0.35">
      <c r="A102" s="3">
        <v>44706</v>
      </c>
      <c r="B102" t="s">
        <v>27</v>
      </c>
      <c r="C102">
        <v>0</v>
      </c>
      <c r="D102">
        <v>0</v>
      </c>
      <c r="E102">
        <v>0</v>
      </c>
      <c r="F102">
        <v>0</v>
      </c>
      <c r="G102">
        <v>29.299900000000001</v>
      </c>
      <c r="H102">
        <v>0</v>
      </c>
      <c r="I102">
        <v>0</v>
      </c>
      <c r="J102">
        <v>0</v>
      </c>
      <c r="K102">
        <v>0</v>
      </c>
      <c r="L102">
        <v>82</v>
      </c>
      <c r="M102">
        <v>119</v>
      </c>
      <c r="N102" t="s">
        <v>27</v>
      </c>
      <c r="O102" s="3">
        <v>44825</v>
      </c>
      <c r="P102">
        <v>-1</v>
      </c>
      <c r="T102" t="s">
        <v>53</v>
      </c>
      <c r="U102">
        <v>172</v>
      </c>
      <c r="V102">
        <v>18.625</v>
      </c>
    </row>
    <row r="103" spans="1:22" x14ac:dyDescent="0.35">
      <c r="A103" s="3">
        <v>44706</v>
      </c>
      <c r="B103" t="s">
        <v>28</v>
      </c>
      <c r="C103">
        <v>0</v>
      </c>
      <c r="D103">
        <v>0</v>
      </c>
      <c r="E103">
        <v>0</v>
      </c>
      <c r="F103">
        <v>0</v>
      </c>
      <c r="G103">
        <v>28.485900000000001</v>
      </c>
      <c r="H103">
        <v>0</v>
      </c>
      <c r="I103">
        <v>0</v>
      </c>
      <c r="J103">
        <v>0</v>
      </c>
      <c r="K103">
        <v>0</v>
      </c>
      <c r="L103">
        <v>14</v>
      </c>
      <c r="M103">
        <v>21</v>
      </c>
      <c r="N103" t="s">
        <v>28</v>
      </c>
      <c r="O103" s="3">
        <v>44727</v>
      </c>
      <c r="P103">
        <v>-1</v>
      </c>
      <c r="S103" s="3">
        <v>43725</v>
      </c>
      <c r="T103" t="s">
        <v>55</v>
      </c>
      <c r="U103">
        <v>126</v>
      </c>
      <c r="V103">
        <v>18.774999999999999</v>
      </c>
    </row>
    <row r="104" spans="1:22" x14ac:dyDescent="0.35">
      <c r="A104" s="3">
        <v>44706</v>
      </c>
      <c r="B104" t="s">
        <v>21</v>
      </c>
      <c r="C104">
        <v>0</v>
      </c>
      <c r="D104">
        <v>0</v>
      </c>
      <c r="E104">
        <v>0</v>
      </c>
      <c r="F104">
        <v>0</v>
      </c>
      <c r="G104">
        <v>28.1294</v>
      </c>
      <c r="H104">
        <v>0</v>
      </c>
      <c r="I104">
        <v>0</v>
      </c>
      <c r="J104">
        <v>0</v>
      </c>
      <c r="K104">
        <v>0</v>
      </c>
      <c r="L104">
        <v>146</v>
      </c>
      <c r="M104">
        <v>210</v>
      </c>
      <c r="N104" t="s">
        <v>21</v>
      </c>
      <c r="O104" s="3">
        <v>44916</v>
      </c>
      <c r="P104">
        <v>-1</v>
      </c>
      <c r="T104" t="s">
        <v>54</v>
      </c>
      <c r="U104">
        <v>146</v>
      </c>
      <c r="V104">
        <v>18.899999999999999</v>
      </c>
    </row>
    <row r="105" spans="1:22" x14ac:dyDescent="0.35">
      <c r="A105" s="3">
        <v>44706</v>
      </c>
      <c r="B105" t="s">
        <v>22</v>
      </c>
      <c r="C105">
        <v>0</v>
      </c>
      <c r="D105">
        <v>0</v>
      </c>
      <c r="E105">
        <v>0</v>
      </c>
      <c r="F105">
        <v>0</v>
      </c>
      <c r="G105">
        <v>29.1357</v>
      </c>
      <c r="H105">
        <v>0</v>
      </c>
      <c r="I105">
        <v>0</v>
      </c>
      <c r="J105">
        <v>0</v>
      </c>
      <c r="K105">
        <v>0</v>
      </c>
      <c r="L105">
        <v>38</v>
      </c>
      <c r="M105">
        <v>56</v>
      </c>
      <c r="N105" t="s">
        <v>22</v>
      </c>
      <c r="O105" s="3">
        <v>44762</v>
      </c>
      <c r="P105">
        <v>-1</v>
      </c>
      <c r="T105" t="s">
        <v>53</v>
      </c>
      <c r="U105">
        <v>171</v>
      </c>
      <c r="V105">
        <v>18.8</v>
      </c>
    </row>
    <row r="106" spans="1:22" x14ac:dyDescent="0.35">
      <c r="A106" s="3">
        <v>44706</v>
      </c>
      <c r="B106" t="s">
        <v>23</v>
      </c>
      <c r="C106">
        <v>0</v>
      </c>
      <c r="D106">
        <v>0</v>
      </c>
      <c r="E106">
        <v>0</v>
      </c>
      <c r="F106">
        <v>0</v>
      </c>
      <c r="G106">
        <v>28.6</v>
      </c>
      <c r="H106">
        <v>0</v>
      </c>
      <c r="I106">
        <v>0</v>
      </c>
      <c r="J106">
        <v>0</v>
      </c>
      <c r="K106">
        <v>0</v>
      </c>
      <c r="L106">
        <v>163</v>
      </c>
      <c r="M106">
        <v>238</v>
      </c>
      <c r="N106" t="s">
        <v>23</v>
      </c>
      <c r="O106" s="3">
        <v>44944</v>
      </c>
      <c r="P106">
        <v>-1</v>
      </c>
      <c r="S106" s="3">
        <v>43726</v>
      </c>
      <c r="T106" t="s">
        <v>55</v>
      </c>
      <c r="U106">
        <v>125</v>
      </c>
      <c r="V106">
        <v>18.574999999999999</v>
      </c>
    </row>
    <row r="107" spans="1:22" x14ac:dyDescent="0.35">
      <c r="A107" s="3">
        <v>44706</v>
      </c>
      <c r="B107" t="s">
        <v>24</v>
      </c>
      <c r="C107">
        <v>0</v>
      </c>
      <c r="D107">
        <v>0</v>
      </c>
      <c r="E107">
        <v>0</v>
      </c>
      <c r="F107">
        <v>0</v>
      </c>
      <c r="G107">
        <v>28.925000000000001</v>
      </c>
      <c r="H107">
        <v>0</v>
      </c>
      <c r="I107">
        <v>0</v>
      </c>
      <c r="J107">
        <v>0</v>
      </c>
      <c r="K107">
        <v>0</v>
      </c>
      <c r="L107">
        <v>183</v>
      </c>
      <c r="M107">
        <v>266</v>
      </c>
      <c r="N107" t="s">
        <v>24</v>
      </c>
      <c r="O107" s="3">
        <v>44972</v>
      </c>
      <c r="P107">
        <v>-1</v>
      </c>
      <c r="T107" t="s">
        <v>54</v>
      </c>
      <c r="U107">
        <v>145</v>
      </c>
      <c r="V107">
        <v>18.75</v>
      </c>
    </row>
    <row r="108" spans="1:22" x14ac:dyDescent="0.35">
      <c r="A108" s="3">
        <v>44706</v>
      </c>
      <c r="B108" t="s">
        <v>25</v>
      </c>
      <c r="C108">
        <v>0</v>
      </c>
      <c r="D108">
        <v>0</v>
      </c>
      <c r="E108">
        <v>0</v>
      </c>
      <c r="F108">
        <v>0</v>
      </c>
      <c r="G108">
        <v>29.364699999999999</v>
      </c>
      <c r="H108">
        <v>0</v>
      </c>
      <c r="I108">
        <v>0</v>
      </c>
      <c r="J108">
        <v>0</v>
      </c>
      <c r="K108">
        <v>0</v>
      </c>
      <c r="L108">
        <v>102</v>
      </c>
      <c r="M108">
        <v>147</v>
      </c>
      <c r="N108" t="s">
        <v>25</v>
      </c>
      <c r="O108" s="3">
        <v>44853</v>
      </c>
      <c r="P108">
        <v>-1</v>
      </c>
      <c r="T108" t="s">
        <v>53</v>
      </c>
      <c r="U108">
        <v>170</v>
      </c>
      <c r="V108">
        <v>18.7</v>
      </c>
    </row>
    <row r="109" spans="1:22" x14ac:dyDescent="0.35">
      <c r="A109" s="3">
        <v>44706</v>
      </c>
      <c r="B109" t="s">
        <v>20</v>
      </c>
      <c r="C109">
        <v>0</v>
      </c>
      <c r="D109">
        <v>0</v>
      </c>
      <c r="E109">
        <v>0</v>
      </c>
      <c r="F109">
        <v>0</v>
      </c>
      <c r="G109">
        <v>28.903700000000001</v>
      </c>
      <c r="H109">
        <v>0</v>
      </c>
      <c r="I109">
        <v>0</v>
      </c>
      <c r="J109">
        <v>0</v>
      </c>
      <c r="K109">
        <v>0</v>
      </c>
      <c r="L109">
        <v>122</v>
      </c>
      <c r="M109">
        <v>175</v>
      </c>
      <c r="N109" t="s">
        <v>20</v>
      </c>
      <c r="O109" s="3">
        <v>44881</v>
      </c>
      <c r="P109">
        <v>-1</v>
      </c>
      <c r="S109" s="3">
        <v>43727</v>
      </c>
      <c r="T109" t="s">
        <v>55</v>
      </c>
      <c r="U109">
        <v>124</v>
      </c>
      <c r="V109">
        <v>18.574999999999999</v>
      </c>
    </row>
    <row r="110" spans="1:22" x14ac:dyDescent="0.35">
      <c r="A110" s="3">
        <v>44705</v>
      </c>
      <c r="B110" t="s">
        <v>21</v>
      </c>
      <c r="C110">
        <v>0</v>
      </c>
      <c r="D110">
        <v>0</v>
      </c>
      <c r="E110">
        <v>0</v>
      </c>
      <c r="F110">
        <v>0</v>
      </c>
      <c r="G110">
        <v>28.5</v>
      </c>
      <c r="H110">
        <v>0</v>
      </c>
      <c r="I110">
        <v>0</v>
      </c>
      <c r="J110">
        <v>0</v>
      </c>
      <c r="K110">
        <v>0</v>
      </c>
      <c r="L110">
        <v>147</v>
      </c>
      <c r="M110">
        <v>211</v>
      </c>
      <c r="N110" t="s">
        <v>21</v>
      </c>
      <c r="O110" s="3">
        <v>44916</v>
      </c>
      <c r="P110">
        <v>-1</v>
      </c>
      <c r="T110" t="s">
        <v>54</v>
      </c>
      <c r="U110">
        <v>144</v>
      </c>
      <c r="V110">
        <v>18.725000000000001</v>
      </c>
    </row>
    <row r="111" spans="1:22" x14ac:dyDescent="0.35">
      <c r="A111" s="3">
        <v>44705</v>
      </c>
      <c r="B111" t="s">
        <v>22</v>
      </c>
      <c r="C111">
        <v>0</v>
      </c>
      <c r="D111">
        <v>0</v>
      </c>
      <c r="E111">
        <v>0</v>
      </c>
      <c r="F111">
        <v>0</v>
      </c>
      <c r="G111">
        <v>29.851800000000001</v>
      </c>
      <c r="H111">
        <v>0</v>
      </c>
      <c r="I111">
        <v>0</v>
      </c>
      <c r="J111">
        <v>0</v>
      </c>
      <c r="K111">
        <v>0</v>
      </c>
      <c r="L111">
        <v>39</v>
      </c>
      <c r="M111">
        <v>57</v>
      </c>
      <c r="N111" t="s">
        <v>22</v>
      </c>
      <c r="O111" s="3">
        <v>44762</v>
      </c>
      <c r="P111">
        <v>-1</v>
      </c>
      <c r="T111" t="s">
        <v>53</v>
      </c>
      <c r="U111">
        <v>169</v>
      </c>
      <c r="V111">
        <v>18.649999999999999</v>
      </c>
    </row>
    <row r="112" spans="1:22" x14ac:dyDescent="0.35">
      <c r="A112" s="3">
        <v>44705</v>
      </c>
      <c r="B112" t="s">
        <v>23</v>
      </c>
      <c r="C112">
        <v>0</v>
      </c>
      <c r="D112">
        <v>0</v>
      </c>
      <c r="E112">
        <v>0</v>
      </c>
      <c r="F112">
        <v>0</v>
      </c>
      <c r="G112">
        <v>28.95</v>
      </c>
      <c r="H112">
        <v>0</v>
      </c>
      <c r="I112">
        <v>0</v>
      </c>
      <c r="J112">
        <v>0</v>
      </c>
      <c r="K112">
        <v>0</v>
      </c>
      <c r="L112">
        <v>164</v>
      </c>
      <c r="M112">
        <v>239</v>
      </c>
      <c r="N112" t="s">
        <v>23</v>
      </c>
      <c r="O112" s="3">
        <v>44944</v>
      </c>
      <c r="P112">
        <v>-1</v>
      </c>
      <c r="S112" s="3">
        <v>43728</v>
      </c>
      <c r="T112" t="s">
        <v>55</v>
      </c>
      <c r="U112">
        <v>123</v>
      </c>
      <c r="V112">
        <v>19.074999999999999</v>
      </c>
    </row>
    <row r="113" spans="1:22" x14ac:dyDescent="0.35">
      <c r="A113" s="3">
        <v>44705</v>
      </c>
      <c r="B113" t="s">
        <v>24</v>
      </c>
      <c r="C113">
        <v>0</v>
      </c>
      <c r="D113">
        <v>0</v>
      </c>
      <c r="E113">
        <v>0</v>
      </c>
      <c r="F113">
        <v>0</v>
      </c>
      <c r="G113">
        <v>29.225000000000001</v>
      </c>
      <c r="H113">
        <v>0</v>
      </c>
      <c r="I113">
        <v>0</v>
      </c>
      <c r="J113">
        <v>0</v>
      </c>
      <c r="K113">
        <v>0</v>
      </c>
      <c r="L113">
        <v>184</v>
      </c>
      <c r="M113">
        <v>267</v>
      </c>
      <c r="N113" t="s">
        <v>24</v>
      </c>
      <c r="O113" s="3">
        <v>44972</v>
      </c>
      <c r="P113">
        <v>-1</v>
      </c>
      <c r="T113" t="s">
        <v>54</v>
      </c>
      <c r="U113">
        <v>143</v>
      </c>
      <c r="V113">
        <v>19.225000000000001</v>
      </c>
    </row>
    <row r="114" spans="1:22" x14ac:dyDescent="0.35">
      <c r="A114" s="3">
        <v>44705</v>
      </c>
      <c r="B114" t="s">
        <v>25</v>
      </c>
      <c r="C114">
        <v>0</v>
      </c>
      <c r="D114">
        <v>0</v>
      </c>
      <c r="E114">
        <v>0</v>
      </c>
      <c r="F114">
        <v>0</v>
      </c>
      <c r="G114">
        <v>29.8827</v>
      </c>
      <c r="H114">
        <v>0</v>
      </c>
      <c r="I114">
        <v>0</v>
      </c>
      <c r="J114">
        <v>0</v>
      </c>
      <c r="K114">
        <v>0</v>
      </c>
      <c r="L114">
        <v>103</v>
      </c>
      <c r="M114">
        <v>148</v>
      </c>
      <c r="N114" t="s">
        <v>25</v>
      </c>
      <c r="O114" s="3">
        <v>44853</v>
      </c>
      <c r="P114">
        <v>-1</v>
      </c>
      <c r="T114" t="s">
        <v>53</v>
      </c>
      <c r="U114">
        <v>168</v>
      </c>
      <c r="V114">
        <v>19.2</v>
      </c>
    </row>
    <row r="115" spans="1:22" x14ac:dyDescent="0.35">
      <c r="A115" s="3">
        <v>44705</v>
      </c>
      <c r="B115" t="s">
        <v>20</v>
      </c>
      <c r="C115">
        <v>0</v>
      </c>
      <c r="D115">
        <v>0</v>
      </c>
      <c r="E115">
        <v>0</v>
      </c>
      <c r="F115">
        <v>0</v>
      </c>
      <c r="G115">
        <v>29.346499999999999</v>
      </c>
      <c r="H115">
        <v>0</v>
      </c>
      <c r="I115">
        <v>0</v>
      </c>
      <c r="J115">
        <v>0</v>
      </c>
      <c r="K115">
        <v>0</v>
      </c>
      <c r="L115">
        <v>123</v>
      </c>
      <c r="M115">
        <v>176</v>
      </c>
      <c r="N115" t="s">
        <v>20</v>
      </c>
      <c r="O115" s="3">
        <v>44881</v>
      </c>
      <c r="P115">
        <v>-1</v>
      </c>
      <c r="S115" s="3">
        <v>43731</v>
      </c>
      <c r="T115" t="s">
        <v>55</v>
      </c>
      <c r="U115">
        <v>122</v>
      </c>
      <c r="V115">
        <v>18.925000000000001</v>
      </c>
    </row>
    <row r="116" spans="1:22" x14ac:dyDescent="0.35">
      <c r="A116" s="3">
        <v>44705</v>
      </c>
      <c r="B116" t="s">
        <v>26</v>
      </c>
      <c r="C116">
        <v>0</v>
      </c>
      <c r="D116">
        <v>0</v>
      </c>
      <c r="E116">
        <v>0</v>
      </c>
      <c r="F116">
        <v>0</v>
      </c>
      <c r="G116">
        <v>29.857399999999998</v>
      </c>
      <c r="H116">
        <v>0</v>
      </c>
      <c r="I116">
        <v>0</v>
      </c>
      <c r="J116">
        <v>0</v>
      </c>
      <c r="K116">
        <v>0</v>
      </c>
      <c r="L116">
        <v>59</v>
      </c>
      <c r="M116">
        <v>85</v>
      </c>
      <c r="N116" t="s">
        <v>26</v>
      </c>
      <c r="O116" s="3">
        <v>44790</v>
      </c>
      <c r="P116">
        <v>-1</v>
      </c>
      <c r="T116" t="s">
        <v>54</v>
      </c>
      <c r="U116">
        <v>142</v>
      </c>
      <c r="V116">
        <v>19.125</v>
      </c>
    </row>
    <row r="117" spans="1:22" x14ac:dyDescent="0.35">
      <c r="A117" s="3">
        <v>44705</v>
      </c>
      <c r="B117" t="s">
        <v>27</v>
      </c>
      <c r="C117">
        <v>0</v>
      </c>
      <c r="D117">
        <v>0</v>
      </c>
      <c r="E117">
        <v>0</v>
      </c>
      <c r="F117">
        <v>0</v>
      </c>
      <c r="G117">
        <v>29.918299999999999</v>
      </c>
      <c r="H117">
        <v>0</v>
      </c>
      <c r="I117">
        <v>0</v>
      </c>
      <c r="J117">
        <v>0</v>
      </c>
      <c r="K117">
        <v>0</v>
      </c>
      <c r="L117">
        <v>83</v>
      </c>
      <c r="M117">
        <v>120</v>
      </c>
      <c r="N117" t="s">
        <v>27</v>
      </c>
      <c r="O117" s="3">
        <v>44825</v>
      </c>
      <c r="P117">
        <v>-1</v>
      </c>
      <c r="T117" t="s">
        <v>53</v>
      </c>
      <c r="U117">
        <v>167</v>
      </c>
      <c r="V117">
        <v>19.05</v>
      </c>
    </row>
    <row r="118" spans="1:22" x14ac:dyDescent="0.35">
      <c r="A118" s="3">
        <v>44705</v>
      </c>
      <c r="B118" t="s">
        <v>28</v>
      </c>
      <c r="C118">
        <v>0</v>
      </c>
      <c r="D118">
        <v>0</v>
      </c>
      <c r="E118">
        <v>0</v>
      </c>
      <c r="F118">
        <v>0</v>
      </c>
      <c r="G118">
        <v>29.185500000000001</v>
      </c>
      <c r="H118">
        <v>0</v>
      </c>
      <c r="I118">
        <v>0</v>
      </c>
      <c r="J118">
        <v>0</v>
      </c>
      <c r="K118">
        <v>0</v>
      </c>
      <c r="L118">
        <v>15</v>
      </c>
      <c r="M118">
        <v>22</v>
      </c>
      <c r="N118" t="s">
        <v>28</v>
      </c>
      <c r="O118" s="3">
        <v>44727</v>
      </c>
      <c r="P118">
        <v>-1</v>
      </c>
      <c r="S118" s="3">
        <v>43732</v>
      </c>
      <c r="T118" t="s">
        <v>55</v>
      </c>
      <c r="U118">
        <v>121</v>
      </c>
      <c r="V118">
        <v>19.25</v>
      </c>
    </row>
    <row r="119" spans="1:22" x14ac:dyDescent="0.35">
      <c r="A119" s="3">
        <v>44704</v>
      </c>
      <c r="B119" t="s">
        <v>26</v>
      </c>
      <c r="C119">
        <v>0</v>
      </c>
      <c r="D119">
        <v>0</v>
      </c>
      <c r="E119">
        <v>0</v>
      </c>
      <c r="F119">
        <v>0</v>
      </c>
      <c r="G119">
        <v>29.799399999999999</v>
      </c>
      <c r="H119">
        <v>0</v>
      </c>
      <c r="I119">
        <v>0</v>
      </c>
      <c r="J119">
        <v>0</v>
      </c>
      <c r="K119">
        <v>0</v>
      </c>
      <c r="L119">
        <v>60</v>
      </c>
      <c r="M119">
        <v>86</v>
      </c>
      <c r="N119" t="s">
        <v>26</v>
      </c>
      <c r="O119" s="3">
        <v>44790</v>
      </c>
      <c r="P119">
        <v>-1</v>
      </c>
      <c r="T119" t="s">
        <v>54</v>
      </c>
      <c r="U119">
        <v>141</v>
      </c>
      <c r="V119">
        <v>19.425000000000001</v>
      </c>
    </row>
    <row r="120" spans="1:22" x14ac:dyDescent="0.35">
      <c r="A120" s="3">
        <v>44704</v>
      </c>
      <c r="B120" t="s">
        <v>27</v>
      </c>
      <c r="C120">
        <v>0</v>
      </c>
      <c r="D120">
        <v>0</v>
      </c>
      <c r="E120">
        <v>0</v>
      </c>
      <c r="F120">
        <v>0</v>
      </c>
      <c r="G120">
        <v>29.894600000000001</v>
      </c>
      <c r="H120">
        <v>0</v>
      </c>
      <c r="I120">
        <v>0</v>
      </c>
      <c r="J120">
        <v>0</v>
      </c>
      <c r="K120">
        <v>0</v>
      </c>
      <c r="L120">
        <v>84</v>
      </c>
      <c r="M120">
        <v>121</v>
      </c>
      <c r="N120" t="s">
        <v>27</v>
      </c>
      <c r="O120" s="3">
        <v>44825</v>
      </c>
      <c r="P120">
        <v>-1</v>
      </c>
      <c r="T120" t="s">
        <v>53</v>
      </c>
      <c r="U120">
        <v>166</v>
      </c>
      <c r="V120">
        <v>19.475000000000001</v>
      </c>
    </row>
    <row r="121" spans="1:22" x14ac:dyDescent="0.35">
      <c r="A121" s="3">
        <v>44704</v>
      </c>
      <c r="B121" t="s">
        <v>28</v>
      </c>
      <c r="C121">
        <v>0</v>
      </c>
      <c r="D121">
        <v>0</v>
      </c>
      <c r="E121">
        <v>0</v>
      </c>
      <c r="F121">
        <v>0</v>
      </c>
      <c r="G121">
        <v>29.079699999999999</v>
      </c>
      <c r="H121">
        <v>0</v>
      </c>
      <c r="I121">
        <v>0</v>
      </c>
      <c r="J121">
        <v>0</v>
      </c>
      <c r="K121">
        <v>0</v>
      </c>
      <c r="L121">
        <v>16</v>
      </c>
      <c r="M121">
        <v>23</v>
      </c>
      <c r="N121" t="s">
        <v>28</v>
      </c>
      <c r="O121" s="3">
        <v>44727</v>
      </c>
      <c r="P121">
        <v>-1</v>
      </c>
      <c r="T121" t="s">
        <v>52</v>
      </c>
      <c r="U121">
        <v>185</v>
      </c>
      <c r="V121">
        <v>19.375</v>
      </c>
    </row>
    <row r="122" spans="1:22" x14ac:dyDescent="0.35">
      <c r="A122" s="3">
        <v>44704</v>
      </c>
      <c r="B122" t="s">
        <v>21</v>
      </c>
      <c r="C122">
        <v>0</v>
      </c>
      <c r="D122">
        <v>0</v>
      </c>
      <c r="E122">
        <v>0</v>
      </c>
      <c r="F122">
        <v>0</v>
      </c>
      <c r="G122">
        <v>28.425000000000001</v>
      </c>
      <c r="H122">
        <v>0</v>
      </c>
      <c r="I122">
        <v>0</v>
      </c>
      <c r="J122">
        <v>0</v>
      </c>
      <c r="K122">
        <v>0</v>
      </c>
      <c r="L122">
        <v>148</v>
      </c>
      <c r="M122">
        <v>212</v>
      </c>
      <c r="N122" t="s">
        <v>21</v>
      </c>
      <c r="O122" s="3">
        <v>44916</v>
      </c>
      <c r="P122">
        <v>-1</v>
      </c>
      <c r="S122" s="3">
        <v>43733</v>
      </c>
      <c r="T122" t="s">
        <v>55</v>
      </c>
      <c r="U122">
        <v>120</v>
      </c>
      <c r="V122">
        <v>19.074999999999999</v>
      </c>
    </row>
    <row r="123" spans="1:22" x14ac:dyDescent="0.35">
      <c r="A123" s="3">
        <v>44704</v>
      </c>
      <c r="B123" t="s">
        <v>22</v>
      </c>
      <c r="C123">
        <v>0</v>
      </c>
      <c r="D123">
        <v>0</v>
      </c>
      <c r="E123">
        <v>0</v>
      </c>
      <c r="F123">
        <v>0</v>
      </c>
      <c r="G123">
        <v>29.827999999999999</v>
      </c>
      <c r="H123">
        <v>0</v>
      </c>
      <c r="I123">
        <v>0</v>
      </c>
      <c r="J123">
        <v>0</v>
      </c>
      <c r="K123">
        <v>0</v>
      </c>
      <c r="L123">
        <v>40</v>
      </c>
      <c r="M123">
        <v>58</v>
      </c>
      <c r="N123" t="s">
        <v>22</v>
      </c>
      <c r="O123" s="3">
        <v>44762</v>
      </c>
      <c r="P123">
        <v>-1</v>
      </c>
      <c r="T123" t="s">
        <v>54</v>
      </c>
      <c r="U123">
        <v>140</v>
      </c>
      <c r="V123">
        <v>19.274999999999999</v>
      </c>
    </row>
    <row r="124" spans="1:22" x14ac:dyDescent="0.35">
      <c r="A124" s="3">
        <v>44704</v>
      </c>
      <c r="B124" t="s">
        <v>23</v>
      </c>
      <c r="C124">
        <v>0</v>
      </c>
      <c r="D124">
        <v>0</v>
      </c>
      <c r="E124">
        <v>0</v>
      </c>
      <c r="F124">
        <v>0</v>
      </c>
      <c r="G124">
        <v>28.95</v>
      </c>
      <c r="H124">
        <v>0</v>
      </c>
      <c r="I124">
        <v>0</v>
      </c>
      <c r="J124">
        <v>0</v>
      </c>
      <c r="K124">
        <v>0</v>
      </c>
      <c r="L124">
        <v>165</v>
      </c>
      <c r="M124">
        <v>240</v>
      </c>
      <c r="N124" t="s">
        <v>23</v>
      </c>
      <c r="O124" s="3">
        <v>44944</v>
      </c>
      <c r="P124">
        <v>-1</v>
      </c>
      <c r="T124" t="s">
        <v>53</v>
      </c>
      <c r="U124">
        <v>165</v>
      </c>
      <c r="V124">
        <v>19.3</v>
      </c>
    </row>
    <row r="125" spans="1:22" x14ac:dyDescent="0.35">
      <c r="A125" s="3">
        <v>44704</v>
      </c>
      <c r="B125" t="s">
        <v>24</v>
      </c>
      <c r="C125">
        <v>0</v>
      </c>
      <c r="D125">
        <v>0</v>
      </c>
      <c r="E125">
        <v>0</v>
      </c>
      <c r="F125">
        <v>0</v>
      </c>
      <c r="G125">
        <v>29.125</v>
      </c>
      <c r="H125">
        <v>0</v>
      </c>
      <c r="I125">
        <v>0</v>
      </c>
      <c r="J125">
        <v>0</v>
      </c>
      <c r="K125">
        <v>0</v>
      </c>
      <c r="L125">
        <v>185</v>
      </c>
      <c r="M125">
        <v>268</v>
      </c>
      <c r="N125" t="s">
        <v>24</v>
      </c>
      <c r="O125" s="3">
        <v>44972</v>
      </c>
      <c r="P125">
        <v>-1</v>
      </c>
      <c r="T125" t="s">
        <v>52</v>
      </c>
      <c r="U125">
        <v>184</v>
      </c>
      <c r="V125">
        <v>19.475000000000001</v>
      </c>
    </row>
    <row r="126" spans="1:22" x14ac:dyDescent="0.35">
      <c r="A126" s="3">
        <v>44704</v>
      </c>
      <c r="B126" t="s">
        <v>25</v>
      </c>
      <c r="C126">
        <v>0</v>
      </c>
      <c r="D126">
        <v>0</v>
      </c>
      <c r="E126">
        <v>0</v>
      </c>
      <c r="F126">
        <v>0</v>
      </c>
      <c r="G126">
        <v>29.816099999999999</v>
      </c>
      <c r="H126">
        <v>0</v>
      </c>
      <c r="I126">
        <v>0</v>
      </c>
      <c r="J126">
        <v>0</v>
      </c>
      <c r="K126">
        <v>0</v>
      </c>
      <c r="L126">
        <v>104</v>
      </c>
      <c r="M126">
        <v>149</v>
      </c>
      <c r="N126" t="s">
        <v>25</v>
      </c>
      <c r="O126" s="3">
        <v>44853</v>
      </c>
      <c r="P126">
        <v>-1</v>
      </c>
      <c r="S126" s="3">
        <v>43734</v>
      </c>
      <c r="T126" t="s">
        <v>55</v>
      </c>
      <c r="U126">
        <v>119</v>
      </c>
      <c r="V126">
        <v>19.175000000000001</v>
      </c>
    </row>
    <row r="127" spans="1:22" x14ac:dyDescent="0.35">
      <c r="A127" s="3">
        <v>44704</v>
      </c>
      <c r="B127" t="s">
        <v>20</v>
      </c>
      <c r="C127">
        <v>0</v>
      </c>
      <c r="D127">
        <v>0</v>
      </c>
      <c r="E127">
        <v>0</v>
      </c>
      <c r="F127">
        <v>0</v>
      </c>
      <c r="G127">
        <v>29.268799999999999</v>
      </c>
      <c r="H127">
        <v>0</v>
      </c>
      <c r="I127">
        <v>0</v>
      </c>
      <c r="J127">
        <v>0</v>
      </c>
      <c r="K127">
        <v>0</v>
      </c>
      <c r="L127">
        <v>124</v>
      </c>
      <c r="M127">
        <v>177</v>
      </c>
      <c r="N127" t="s">
        <v>20</v>
      </c>
      <c r="O127" s="3">
        <v>44881</v>
      </c>
      <c r="P127">
        <v>-1</v>
      </c>
      <c r="T127" t="s">
        <v>54</v>
      </c>
      <c r="U127">
        <v>139</v>
      </c>
      <c r="V127">
        <v>19.274999999999999</v>
      </c>
    </row>
    <row r="128" spans="1:22" x14ac:dyDescent="0.35">
      <c r="A128" s="3">
        <v>44701</v>
      </c>
      <c r="B128" t="s">
        <v>21</v>
      </c>
      <c r="C128">
        <v>0</v>
      </c>
      <c r="D128">
        <v>0</v>
      </c>
      <c r="E128">
        <v>0</v>
      </c>
      <c r="F128">
        <v>0</v>
      </c>
      <c r="G128">
        <v>28.5792</v>
      </c>
      <c r="H128">
        <v>0</v>
      </c>
      <c r="I128">
        <v>0</v>
      </c>
      <c r="J128">
        <v>0</v>
      </c>
      <c r="K128">
        <v>0</v>
      </c>
      <c r="L128">
        <v>149</v>
      </c>
      <c r="M128">
        <v>215</v>
      </c>
      <c r="N128" t="s">
        <v>21</v>
      </c>
      <c r="O128" s="3">
        <v>44916</v>
      </c>
      <c r="P128">
        <v>-1</v>
      </c>
      <c r="T128" t="s">
        <v>53</v>
      </c>
      <c r="U128">
        <v>164</v>
      </c>
      <c r="V128">
        <v>19.2</v>
      </c>
    </row>
    <row r="129" spans="1:22" x14ac:dyDescent="0.35">
      <c r="A129" s="3">
        <v>44701</v>
      </c>
      <c r="B129" t="s">
        <v>22</v>
      </c>
      <c r="C129">
        <v>0</v>
      </c>
      <c r="D129">
        <v>0</v>
      </c>
      <c r="E129">
        <v>0</v>
      </c>
      <c r="F129">
        <v>0</v>
      </c>
      <c r="G129">
        <v>29.961099999999998</v>
      </c>
      <c r="H129">
        <v>0</v>
      </c>
      <c r="I129">
        <v>0</v>
      </c>
      <c r="J129">
        <v>0</v>
      </c>
      <c r="K129">
        <v>0</v>
      </c>
      <c r="L129">
        <v>41</v>
      </c>
      <c r="M129">
        <v>61</v>
      </c>
      <c r="N129" t="s">
        <v>22</v>
      </c>
      <c r="O129" s="3">
        <v>44762</v>
      </c>
      <c r="P129">
        <v>-1</v>
      </c>
      <c r="T129" t="s">
        <v>52</v>
      </c>
      <c r="U129">
        <v>183</v>
      </c>
      <c r="V129">
        <v>18.675000000000001</v>
      </c>
    </row>
    <row r="130" spans="1:22" x14ac:dyDescent="0.35">
      <c r="A130" s="3">
        <v>44701</v>
      </c>
      <c r="B130" t="s">
        <v>23</v>
      </c>
      <c r="C130">
        <v>0</v>
      </c>
      <c r="D130">
        <v>0</v>
      </c>
      <c r="E130">
        <v>0</v>
      </c>
      <c r="F130">
        <v>0</v>
      </c>
      <c r="G130">
        <v>29.15</v>
      </c>
      <c r="H130">
        <v>0</v>
      </c>
      <c r="I130">
        <v>0</v>
      </c>
      <c r="J130">
        <v>0</v>
      </c>
      <c r="K130">
        <v>0</v>
      </c>
      <c r="L130">
        <v>166</v>
      </c>
      <c r="M130">
        <v>243</v>
      </c>
      <c r="N130" t="s">
        <v>23</v>
      </c>
      <c r="O130" s="3">
        <v>44944</v>
      </c>
      <c r="P130">
        <v>-1</v>
      </c>
      <c r="S130" s="3">
        <v>43735</v>
      </c>
      <c r="T130" t="s">
        <v>55</v>
      </c>
      <c r="U130">
        <v>118</v>
      </c>
      <c r="V130">
        <v>19.425000000000001</v>
      </c>
    </row>
    <row r="131" spans="1:22" x14ac:dyDescent="0.35">
      <c r="A131" s="3">
        <v>44701</v>
      </c>
      <c r="B131" t="s">
        <v>25</v>
      </c>
      <c r="C131">
        <v>0</v>
      </c>
      <c r="D131">
        <v>0</v>
      </c>
      <c r="E131">
        <v>0</v>
      </c>
      <c r="F131">
        <v>0</v>
      </c>
      <c r="G131">
        <v>29.939599999999999</v>
      </c>
      <c r="H131">
        <v>0</v>
      </c>
      <c r="I131">
        <v>0</v>
      </c>
      <c r="J131">
        <v>0</v>
      </c>
      <c r="K131">
        <v>0</v>
      </c>
      <c r="L131">
        <v>105</v>
      </c>
      <c r="M131">
        <v>152</v>
      </c>
      <c r="N131" t="s">
        <v>25</v>
      </c>
      <c r="O131" s="3">
        <v>44853</v>
      </c>
      <c r="P131">
        <v>-1</v>
      </c>
      <c r="T131" t="s">
        <v>54</v>
      </c>
      <c r="U131">
        <v>138</v>
      </c>
      <c r="V131">
        <v>19.5</v>
      </c>
    </row>
    <row r="132" spans="1:22" x14ac:dyDescent="0.35">
      <c r="A132" s="3">
        <v>44701</v>
      </c>
      <c r="B132" t="s">
        <v>20</v>
      </c>
      <c r="C132">
        <v>0</v>
      </c>
      <c r="D132">
        <v>0</v>
      </c>
      <c r="E132">
        <v>0</v>
      </c>
      <c r="F132">
        <v>0</v>
      </c>
      <c r="G132">
        <v>29.4192</v>
      </c>
      <c r="H132">
        <v>0</v>
      </c>
      <c r="I132">
        <v>0</v>
      </c>
      <c r="J132">
        <v>0</v>
      </c>
      <c r="K132">
        <v>0</v>
      </c>
      <c r="L132">
        <v>125</v>
      </c>
      <c r="M132">
        <v>180</v>
      </c>
      <c r="N132" t="s">
        <v>20</v>
      </c>
      <c r="O132" s="3">
        <v>44881</v>
      </c>
      <c r="P132">
        <v>-1</v>
      </c>
      <c r="T132" t="s">
        <v>53</v>
      </c>
      <c r="U132">
        <v>163</v>
      </c>
      <c r="V132">
        <v>19.425000000000001</v>
      </c>
    </row>
    <row r="133" spans="1:22" x14ac:dyDescent="0.35">
      <c r="A133" s="3">
        <v>44701</v>
      </c>
      <c r="B133" t="s">
        <v>26</v>
      </c>
      <c r="C133">
        <v>0</v>
      </c>
      <c r="D133">
        <v>0</v>
      </c>
      <c r="E133">
        <v>0</v>
      </c>
      <c r="F133">
        <v>0</v>
      </c>
      <c r="G133">
        <v>29.9071</v>
      </c>
      <c r="H133">
        <v>0</v>
      </c>
      <c r="I133">
        <v>0</v>
      </c>
      <c r="J133">
        <v>0</v>
      </c>
      <c r="K133">
        <v>0</v>
      </c>
      <c r="L133">
        <v>61</v>
      </c>
      <c r="M133">
        <v>89</v>
      </c>
      <c r="N133" t="s">
        <v>26</v>
      </c>
      <c r="O133" s="3">
        <v>44790</v>
      </c>
      <c r="P133">
        <v>-1</v>
      </c>
      <c r="T133" t="s">
        <v>52</v>
      </c>
      <c r="U133">
        <v>182</v>
      </c>
      <c r="V133">
        <v>19.3</v>
      </c>
    </row>
    <row r="134" spans="1:22" x14ac:dyDescent="0.35">
      <c r="A134" s="3">
        <v>44701</v>
      </c>
      <c r="B134" t="s">
        <v>27</v>
      </c>
      <c r="C134">
        <v>0</v>
      </c>
      <c r="D134">
        <v>0</v>
      </c>
      <c r="E134">
        <v>0</v>
      </c>
      <c r="F134">
        <v>0</v>
      </c>
      <c r="G134">
        <v>29.994199999999999</v>
      </c>
      <c r="H134">
        <v>0</v>
      </c>
      <c r="I134">
        <v>0</v>
      </c>
      <c r="J134">
        <v>0</v>
      </c>
      <c r="K134">
        <v>0</v>
      </c>
      <c r="L134">
        <v>85</v>
      </c>
      <c r="M134">
        <v>124</v>
      </c>
      <c r="N134" t="s">
        <v>27</v>
      </c>
      <c r="O134" s="3">
        <v>44825</v>
      </c>
      <c r="P134">
        <v>-1</v>
      </c>
      <c r="S134" s="3">
        <v>43738</v>
      </c>
      <c r="T134" t="s">
        <v>55</v>
      </c>
      <c r="U134">
        <v>117</v>
      </c>
      <c r="V134">
        <v>19.074999999999999</v>
      </c>
    </row>
    <row r="135" spans="1:22" x14ac:dyDescent="0.35">
      <c r="A135" s="3">
        <v>44701</v>
      </c>
      <c r="B135" t="s">
        <v>28</v>
      </c>
      <c r="C135">
        <v>0</v>
      </c>
      <c r="D135">
        <v>0</v>
      </c>
      <c r="E135">
        <v>0</v>
      </c>
      <c r="F135">
        <v>0</v>
      </c>
      <c r="G135">
        <v>29.4224</v>
      </c>
      <c r="H135">
        <v>0</v>
      </c>
      <c r="I135">
        <v>0</v>
      </c>
      <c r="J135">
        <v>0</v>
      </c>
      <c r="K135">
        <v>0</v>
      </c>
      <c r="L135">
        <v>17</v>
      </c>
      <c r="M135">
        <v>26</v>
      </c>
      <c r="N135" t="s">
        <v>28</v>
      </c>
      <c r="O135" s="3">
        <v>44727</v>
      </c>
      <c r="P135">
        <v>-1</v>
      </c>
      <c r="T135" t="s">
        <v>54</v>
      </c>
      <c r="U135">
        <v>137</v>
      </c>
      <c r="V135">
        <v>19.225000000000001</v>
      </c>
    </row>
    <row r="136" spans="1:22" x14ac:dyDescent="0.35">
      <c r="A136" s="3">
        <v>44700</v>
      </c>
      <c r="B136" t="s">
        <v>26</v>
      </c>
      <c r="C136">
        <v>0</v>
      </c>
      <c r="D136">
        <v>0</v>
      </c>
      <c r="E136">
        <v>0</v>
      </c>
      <c r="F136">
        <v>0</v>
      </c>
      <c r="G136">
        <v>29.683700000000002</v>
      </c>
      <c r="H136">
        <v>0</v>
      </c>
      <c r="I136">
        <v>0</v>
      </c>
      <c r="J136">
        <v>0</v>
      </c>
      <c r="K136">
        <v>0</v>
      </c>
      <c r="L136">
        <v>62</v>
      </c>
      <c r="M136">
        <v>90</v>
      </c>
      <c r="N136" t="s">
        <v>26</v>
      </c>
      <c r="O136" s="3">
        <v>44790</v>
      </c>
      <c r="P136">
        <v>-1</v>
      </c>
      <c r="T136" t="s">
        <v>53</v>
      </c>
      <c r="U136">
        <v>162</v>
      </c>
      <c r="V136">
        <v>19.2</v>
      </c>
    </row>
    <row r="137" spans="1:22" x14ac:dyDescent="0.35">
      <c r="A137" s="3">
        <v>44700</v>
      </c>
      <c r="B137" t="s">
        <v>27</v>
      </c>
      <c r="C137">
        <v>0</v>
      </c>
      <c r="D137">
        <v>0</v>
      </c>
      <c r="E137">
        <v>0</v>
      </c>
      <c r="F137">
        <v>0</v>
      </c>
      <c r="G137">
        <v>29.799900000000001</v>
      </c>
      <c r="H137">
        <v>0</v>
      </c>
      <c r="I137">
        <v>0</v>
      </c>
      <c r="J137">
        <v>0</v>
      </c>
      <c r="K137">
        <v>0</v>
      </c>
      <c r="L137">
        <v>86</v>
      </c>
      <c r="M137">
        <v>125</v>
      </c>
      <c r="N137" t="s">
        <v>27</v>
      </c>
      <c r="O137" s="3">
        <v>44825</v>
      </c>
      <c r="P137">
        <v>-1</v>
      </c>
      <c r="T137" t="s">
        <v>52</v>
      </c>
      <c r="U137">
        <v>181</v>
      </c>
      <c r="V137">
        <v>19.2</v>
      </c>
    </row>
    <row r="138" spans="1:22" x14ac:dyDescent="0.35">
      <c r="A138" s="3">
        <v>44700</v>
      </c>
      <c r="B138" t="s">
        <v>28</v>
      </c>
      <c r="C138">
        <v>0</v>
      </c>
      <c r="D138">
        <v>0</v>
      </c>
      <c r="E138">
        <v>0</v>
      </c>
      <c r="F138">
        <v>0</v>
      </c>
      <c r="G138">
        <v>29.286000000000001</v>
      </c>
      <c r="H138">
        <v>0</v>
      </c>
      <c r="I138">
        <v>0</v>
      </c>
      <c r="J138">
        <v>0</v>
      </c>
      <c r="K138">
        <v>0</v>
      </c>
      <c r="L138">
        <v>18</v>
      </c>
      <c r="M138">
        <v>27</v>
      </c>
      <c r="N138" t="s">
        <v>28</v>
      </c>
      <c r="O138" s="3">
        <v>44727</v>
      </c>
      <c r="P138">
        <v>-1</v>
      </c>
      <c r="S138" s="3">
        <v>43739</v>
      </c>
      <c r="T138" t="s">
        <v>55</v>
      </c>
      <c r="U138">
        <v>116</v>
      </c>
      <c r="V138">
        <v>19.625</v>
      </c>
    </row>
    <row r="139" spans="1:22" x14ac:dyDescent="0.35">
      <c r="A139" s="3">
        <v>44700</v>
      </c>
      <c r="B139" t="s">
        <v>21</v>
      </c>
      <c r="C139">
        <v>0</v>
      </c>
      <c r="D139">
        <v>0</v>
      </c>
      <c r="E139">
        <v>0</v>
      </c>
      <c r="F139">
        <v>0</v>
      </c>
      <c r="G139">
        <v>28.2896</v>
      </c>
      <c r="H139">
        <v>0</v>
      </c>
      <c r="I139">
        <v>0</v>
      </c>
      <c r="J139">
        <v>0</v>
      </c>
      <c r="K139">
        <v>0</v>
      </c>
      <c r="L139">
        <v>150</v>
      </c>
      <c r="M139">
        <v>216</v>
      </c>
      <c r="N139" t="s">
        <v>21</v>
      </c>
      <c r="O139" s="3">
        <v>44916</v>
      </c>
      <c r="P139">
        <v>-1</v>
      </c>
      <c r="T139" t="s">
        <v>54</v>
      </c>
      <c r="U139">
        <v>136</v>
      </c>
      <c r="V139">
        <v>19.725000000000001</v>
      </c>
    </row>
    <row r="140" spans="1:22" x14ac:dyDescent="0.35">
      <c r="A140" s="3">
        <v>44700</v>
      </c>
      <c r="B140" t="s">
        <v>22</v>
      </c>
      <c r="C140">
        <v>0</v>
      </c>
      <c r="D140">
        <v>0</v>
      </c>
      <c r="E140">
        <v>0</v>
      </c>
      <c r="F140">
        <v>0</v>
      </c>
      <c r="G140">
        <v>29.755500000000001</v>
      </c>
      <c r="H140">
        <v>0</v>
      </c>
      <c r="I140">
        <v>0</v>
      </c>
      <c r="J140">
        <v>0</v>
      </c>
      <c r="K140">
        <v>0</v>
      </c>
      <c r="L140">
        <v>42</v>
      </c>
      <c r="M140">
        <v>62</v>
      </c>
      <c r="N140" t="s">
        <v>22</v>
      </c>
      <c r="O140" s="3">
        <v>44762</v>
      </c>
      <c r="P140">
        <v>-1</v>
      </c>
      <c r="T140" t="s">
        <v>53</v>
      </c>
      <c r="U140">
        <v>161</v>
      </c>
      <c r="V140">
        <v>19.625</v>
      </c>
    </row>
    <row r="141" spans="1:22" x14ac:dyDescent="0.35">
      <c r="A141" s="3">
        <v>44700</v>
      </c>
      <c r="B141" t="s">
        <v>23</v>
      </c>
      <c r="C141">
        <v>0</v>
      </c>
      <c r="D141">
        <v>0</v>
      </c>
      <c r="E141">
        <v>0</v>
      </c>
      <c r="F141">
        <v>0</v>
      </c>
      <c r="G141">
        <v>28.95</v>
      </c>
      <c r="H141">
        <v>0</v>
      </c>
      <c r="I141">
        <v>0</v>
      </c>
      <c r="J141">
        <v>0</v>
      </c>
      <c r="K141">
        <v>0</v>
      </c>
      <c r="L141">
        <v>167</v>
      </c>
      <c r="M141">
        <v>244</v>
      </c>
      <c r="N141" t="s">
        <v>23</v>
      </c>
      <c r="O141" s="3">
        <v>44944</v>
      </c>
      <c r="P141">
        <v>-1</v>
      </c>
      <c r="T141" t="s">
        <v>52</v>
      </c>
      <c r="U141">
        <v>180</v>
      </c>
      <c r="V141">
        <v>19.574999999999999</v>
      </c>
    </row>
    <row r="142" spans="1:22" x14ac:dyDescent="0.35">
      <c r="A142" s="3">
        <v>44700</v>
      </c>
      <c r="B142" t="s">
        <v>25</v>
      </c>
      <c r="C142">
        <v>0</v>
      </c>
      <c r="D142">
        <v>0</v>
      </c>
      <c r="E142">
        <v>0</v>
      </c>
      <c r="F142">
        <v>0</v>
      </c>
      <c r="G142">
        <v>29.735099999999999</v>
      </c>
      <c r="H142">
        <v>0</v>
      </c>
      <c r="I142">
        <v>0</v>
      </c>
      <c r="J142">
        <v>0</v>
      </c>
      <c r="K142">
        <v>0</v>
      </c>
      <c r="L142">
        <v>106</v>
      </c>
      <c r="M142">
        <v>153</v>
      </c>
      <c r="N142" t="s">
        <v>25</v>
      </c>
      <c r="O142" s="3">
        <v>44853</v>
      </c>
      <c r="P142">
        <v>-1</v>
      </c>
      <c r="S142" s="3">
        <v>43740</v>
      </c>
      <c r="T142" t="s">
        <v>55</v>
      </c>
      <c r="U142">
        <v>115</v>
      </c>
      <c r="V142">
        <v>20.125</v>
      </c>
    </row>
    <row r="143" spans="1:22" x14ac:dyDescent="0.35">
      <c r="A143" s="3">
        <v>44700</v>
      </c>
      <c r="B143" t="s">
        <v>20</v>
      </c>
      <c r="C143">
        <v>0</v>
      </c>
      <c r="D143">
        <v>0</v>
      </c>
      <c r="E143">
        <v>0</v>
      </c>
      <c r="F143">
        <v>0</v>
      </c>
      <c r="G143">
        <v>29.1968</v>
      </c>
      <c r="H143">
        <v>0</v>
      </c>
      <c r="I143">
        <v>0</v>
      </c>
      <c r="J143">
        <v>0</v>
      </c>
      <c r="K143">
        <v>0</v>
      </c>
      <c r="L143">
        <v>126</v>
      </c>
      <c r="M143">
        <v>181</v>
      </c>
      <c r="N143" t="s">
        <v>20</v>
      </c>
      <c r="O143" s="3">
        <v>44881</v>
      </c>
      <c r="P143">
        <v>-1</v>
      </c>
      <c r="T143" t="s">
        <v>54</v>
      </c>
      <c r="U143">
        <v>135</v>
      </c>
      <c r="V143">
        <v>20.125</v>
      </c>
    </row>
    <row r="144" spans="1:22" x14ac:dyDescent="0.35">
      <c r="A144" s="3">
        <v>44699</v>
      </c>
      <c r="B144" t="s">
        <v>21</v>
      </c>
      <c r="C144">
        <v>0</v>
      </c>
      <c r="D144">
        <v>0</v>
      </c>
      <c r="E144">
        <v>0</v>
      </c>
      <c r="F144">
        <v>0</v>
      </c>
      <c r="G144">
        <v>28.887699999999999</v>
      </c>
      <c r="H144">
        <v>0</v>
      </c>
      <c r="I144">
        <v>0</v>
      </c>
      <c r="J144">
        <v>0</v>
      </c>
      <c r="K144">
        <v>0</v>
      </c>
      <c r="L144">
        <v>151</v>
      </c>
      <c r="M144">
        <v>217</v>
      </c>
      <c r="N144" t="s">
        <v>21</v>
      </c>
      <c r="O144" s="3">
        <v>44916</v>
      </c>
      <c r="P144">
        <v>-1</v>
      </c>
      <c r="T144" t="s">
        <v>53</v>
      </c>
      <c r="U144">
        <v>160</v>
      </c>
      <c r="V144">
        <v>19.975000000000001</v>
      </c>
    </row>
    <row r="145" spans="1:22" x14ac:dyDescent="0.35">
      <c r="A145" s="3">
        <v>44699</v>
      </c>
      <c r="B145" t="s">
        <v>22</v>
      </c>
      <c r="C145">
        <v>0</v>
      </c>
      <c r="D145">
        <v>0</v>
      </c>
      <c r="E145">
        <v>0</v>
      </c>
      <c r="F145">
        <v>0</v>
      </c>
      <c r="G145">
        <v>31.382000000000001</v>
      </c>
      <c r="H145">
        <v>0</v>
      </c>
      <c r="I145">
        <v>0</v>
      </c>
      <c r="J145">
        <v>0</v>
      </c>
      <c r="K145">
        <v>0</v>
      </c>
      <c r="L145">
        <v>43</v>
      </c>
      <c r="M145">
        <v>63</v>
      </c>
      <c r="N145" t="s">
        <v>22</v>
      </c>
      <c r="O145" s="3">
        <v>44762</v>
      </c>
      <c r="P145">
        <v>-1</v>
      </c>
      <c r="T145" t="s">
        <v>52</v>
      </c>
      <c r="U145">
        <v>179</v>
      </c>
      <c r="V145">
        <v>20</v>
      </c>
    </row>
    <row r="146" spans="1:22" x14ac:dyDescent="0.35">
      <c r="A146" s="3">
        <v>44699</v>
      </c>
      <c r="B146" t="s">
        <v>23</v>
      </c>
      <c r="C146">
        <v>0</v>
      </c>
      <c r="D146">
        <v>0</v>
      </c>
      <c r="E146">
        <v>0</v>
      </c>
      <c r="F146">
        <v>0</v>
      </c>
      <c r="G146">
        <v>29.375</v>
      </c>
      <c r="H146">
        <v>0</v>
      </c>
      <c r="I146">
        <v>0</v>
      </c>
      <c r="J146">
        <v>0</v>
      </c>
      <c r="K146">
        <v>0</v>
      </c>
      <c r="L146">
        <v>168</v>
      </c>
      <c r="M146">
        <v>245</v>
      </c>
      <c r="N146" t="s">
        <v>23</v>
      </c>
      <c r="O146" s="3">
        <v>44944</v>
      </c>
      <c r="P146">
        <v>-1</v>
      </c>
      <c r="S146" s="3">
        <v>43741</v>
      </c>
      <c r="T146" t="s">
        <v>55</v>
      </c>
      <c r="U146">
        <v>114</v>
      </c>
      <c r="V146">
        <v>19.774999999999999</v>
      </c>
    </row>
    <row r="147" spans="1:22" x14ac:dyDescent="0.35">
      <c r="A147" s="3">
        <v>44699</v>
      </c>
      <c r="B147" t="s">
        <v>29</v>
      </c>
      <c r="C147">
        <v>0</v>
      </c>
      <c r="D147">
        <v>0</v>
      </c>
      <c r="E147">
        <v>0</v>
      </c>
      <c r="F147">
        <v>0</v>
      </c>
      <c r="G147">
        <v>27.68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29</v>
      </c>
      <c r="O147" s="3">
        <v>44699</v>
      </c>
      <c r="P147">
        <v>-1</v>
      </c>
      <c r="T147" t="s">
        <v>54</v>
      </c>
      <c r="U147">
        <v>134</v>
      </c>
      <c r="V147">
        <v>19.850000000000001</v>
      </c>
    </row>
    <row r="148" spans="1:22" x14ac:dyDescent="0.35">
      <c r="A148" s="3">
        <v>44699</v>
      </c>
      <c r="B148" t="s">
        <v>25</v>
      </c>
      <c r="C148">
        <v>0</v>
      </c>
      <c r="D148">
        <v>0</v>
      </c>
      <c r="E148">
        <v>0</v>
      </c>
      <c r="F148">
        <v>0</v>
      </c>
      <c r="G148">
        <v>30.520399999999999</v>
      </c>
      <c r="H148">
        <v>0</v>
      </c>
      <c r="I148">
        <v>0</v>
      </c>
      <c r="J148">
        <v>0</v>
      </c>
      <c r="K148">
        <v>0</v>
      </c>
      <c r="L148">
        <v>107</v>
      </c>
      <c r="M148">
        <v>154</v>
      </c>
      <c r="N148" t="s">
        <v>25</v>
      </c>
      <c r="O148" s="3">
        <v>44853</v>
      </c>
      <c r="P148">
        <v>-1</v>
      </c>
      <c r="T148" t="s">
        <v>53</v>
      </c>
      <c r="U148">
        <v>159</v>
      </c>
      <c r="V148">
        <v>19.75</v>
      </c>
    </row>
    <row r="149" spans="1:22" x14ac:dyDescent="0.35">
      <c r="A149" s="3">
        <v>44699</v>
      </c>
      <c r="B149" t="s">
        <v>20</v>
      </c>
      <c r="C149">
        <v>0</v>
      </c>
      <c r="D149">
        <v>0</v>
      </c>
      <c r="E149">
        <v>0</v>
      </c>
      <c r="F149">
        <v>0</v>
      </c>
      <c r="G149">
        <v>29.866800000000001</v>
      </c>
      <c r="H149">
        <v>0</v>
      </c>
      <c r="I149">
        <v>0</v>
      </c>
      <c r="J149">
        <v>0</v>
      </c>
      <c r="K149">
        <v>0</v>
      </c>
      <c r="L149">
        <v>127</v>
      </c>
      <c r="M149">
        <v>182</v>
      </c>
      <c r="N149" t="s">
        <v>20</v>
      </c>
      <c r="O149" s="3">
        <v>44881</v>
      </c>
      <c r="P149">
        <v>-1</v>
      </c>
      <c r="T149" t="s">
        <v>52</v>
      </c>
      <c r="U149">
        <v>178</v>
      </c>
      <c r="V149">
        <v>19.875</v>
      </c>
    </row>
    <row r="150" spans="1:22" x14ac:dyDescent="0.35">
      <c r="A150" s="3">
        <v>44699</v>
      </c>
      <c r="B150" t="s">
        <v>26</v>
      </c>
      <c r="C150">
        <v>0</v>
      </c>
      <c r="D150">
        <v>0</v>
      </c>
      <c r="E150">
        <v>0</v>
      </c>
      <c r="F150">
        <v>0</v>
      </c>
      <c r="G150">
        <v>30.988800000000001</v>
      </c>
      <c r="H150">
        <v>0</v>
      </c>
      <c r="I150">
        <v>0</v>
      </c>
      <c r="J150">
        <v>0</v>
      </c>
      <c r="K150">
        <v>0</v>
      </c>
      <c r="L150">
        <v>63</v>
      </c>
      <c r="M150">
        <v>91</v>
      </c>
      <c r="N150" t="s">
        <v>26</v>
      </c>
      <c r="O150" s="3">
        <v>44790</v>
      </c>
      <c r="P150">
        <v>-1</v>
      </c>
      <c r="S150" s="3">
        <v>43742</v>
      </c>
      <c r="T150" t="s">
        <v>55</v>
      </c>
      <c r="U150">
        <v>113</v>
      </c>
      <c r="V150">
        <v>19.375</v>
      </c>
    </row>
    <row r="151" spans="1:22" x14ac:dyDescent="0.35">
      <c r="A151" s="3">
        <v>44699</v>
      </c>
      <c r="B151" t="s">
        <v>27</v>
      </c>
      <c r="C151">
        <v>0</v>
      </c>
      <c r="D151">
        <v>0</v>
      </c>
      <c r="E151">
        <v>0</v>
      </c>
      <c r="F151">
        <v>0</v>
      </c>
      <c r="G151">
        <v>30.802399999999999</v>
      </c>
      <c r="H151">
        <v>0</v>
      </c>
      <c r="I151">
        <v>0</v>
      </c>
      <c r="J151">
        <v>0</v>
      </c>
      <c r="K151">
        <v>0</v>
      </c>
      <c r="L151">
        <v>87</v>
      </c>
      <c r="M151">
        <v>126</v>
      </c>
      <c r="N151" t="s">
        <v>27</v>
      </c>
      <c r="O151" s="3">
        <v>44825</v>
      </c>
      <c r="P151">
        <v>-1</v>
      </c>
      <c r="T151" t="s">
        <v>54</v>
      </c>
      <c r="U151">
        <v>133</v>
      </c>
      <c r="V151">
        <v>19.475000000000001</v>
      </c>
    </row>
    <row r="152" spans="1:22" x14ac:dyDescent="0.35">
      <c r="A152" s="3">
        <v>44699</v>
      </c>
      <c r="B152" t="s">
        <v>28</v>
      </c>
      <c r="C152">
        <v>0</v>
      </c>
      <c r="D152">
        <v>0</v>
      </c>
      <c r="E152">
        <v>0</v>
      </c>
      <c r="F152">
        <v>0</v>
      </c>
      <c r="G152">
        <v>31.519500000000001</v>
      </c>
      <c r="H152">
        <v>0</v>
      </c>
      <c r="I152">
        <v>0</v>
      </c>
      <c r="J152">
        <v>0</v>
      </c>
      <c r="K152">
        <v>0</v>
      </c>
      <c r="L152">
        <v>19</v>
      </c>
      <c r="M152">
        <v>28</v>
      </c>
      <c r="N152" t="s">
        <v>28</v>
      </c>
      <c r="O152" s="3">
        <v>44727</v>
      </c>
      <c r="P152">
        <v>-1</v>
      </c>
      <c r="T152" t="s">
        <v>53</v>
      </c>
      <c r="U152">
        <v>158</v>
      </c>
      <c r="V152">
        <v>19.45</v>
      </c>
    </row>
    <row r="153" spans="1:22" x14ac:dyDescent="0.35">
      <c r="A153" s="3">
        <v>44698</v>
      </c>
      <c r="B153" t="s">
        <v>26</v>
      </c>
      <c r="C153">
        <v>0</v>
      </c>
      <c r="D153">
        <v>0</v>
      </c>
      <c r="E153">
        <v>0</v>
      </c>
      <c r="F153">
        <v>0</v>
      </c>
      <c r="G153">
        <v>28.875800000000002</v>
      </c>
      <c r="H153">
        <v>0</v>
      </c>
      <c r="I153">
        <v>0</v>
      </c>
      <c r="J153">
        <v>0</v>
      </c>
      <c r="K153">
        <v>0</v>
      </c>
      <c r="L153">
        <v>64</v>
      </c>
      <c r="M153">
        <v>92</v>
      </c>
      <c r="N153" t="s">
        <v>26</v>
      </c>
      <c r="O153" s="3">
        <v>44790</v>
      </c>
      <c r="P153">
        <v>-1</v>
      </c>
      <c r="T153" t="s">
        <v>52</v>
      </c>
      <c r="U153">
        <v>177</v>
      </c>
      <c r="V153">
        <v>19.524999999999999</v>
      </c>
    </row>
    <row r="154" spans="1:22" x14ac:dyDescent="0.35">
      <c r="A154" s="3">
        <v>44698</v>
      </c>
      <c r="B154" t="s">
        <v>27</v>
      </c>
      <c r="C154">
        <v>0</v>
      </c>
      <c r="D154">
        <v>0</v>
      </c>
      <c r="E154">
        <v>0</v>
      </c>
      <c r="F154">
        <v>0</v>
      </c>
      <c r="G154">
        <v>29.1526</v>
      </c>
      <c r="H154">
        <v>0</v>
      </c>
      <c r="I154">
        <v>0</v>
      </c>
      <c r="J154">
        <v>0</v>
      </c>
      <c r="K154">
        <v>0</v>
      </c>
      <c r="L154">
        <v>88</v>
      </c>
      <c r="M154">
        <v>127</v>
      </c>
      <c r="N154" t="s">
        <v>27</v>
      </c>
      <c r="O154" s="3">
        <v>44825</v>
      </c>
      <c r="P154">
        <v>-1</v>
      </c>
      <c r="S154" s="3">
        <v>43745</v>
      </c>
      <c r="T154" t="s">
        <v>55</v>
      </c>
      <c r="U154">
        <v>112</v>
      </c>
      <c r="V154">
        <v>19.425000000000001</v>
      </c>
    </row>
    <row r="155" spans="1:22" x14ac:dyDescent="0.35">
      <c r="A155" s="3">
        <v>44698</v>
      </c>
      <c r="B155" t="s">
        <v>28</v>
      </c>
      <c r="C155">
        <v>0</v>
      </c>
      <c r="D155">
        <v>0</v>
      </c>
      <c r="E155">
        <v>0</v>
      </c>
      <c r="F155">
        <v>0</v>
      </c>
      <c r="G155">
        <v>27.489599999999999</v>
      </c>
      <c r="H155">
        <v>0</v>
      </c>
      <c r="I155">
        <v>0</v>
      </c>
      <c r="J155">
        <v>0</v>
      </c>
      <c r="K155">
        <v>0</v>
      </c>
      <c r="L155">
        <v>20</v>
      </c>
      <c r="M155">
        <v>29</v>
      </c>
      <c r="N155" t="s">
        <v>28</v>
      </c>
      <c r="O155" s="3">
        <v>44727</v>
      </c>
      <c r="P155">
        <v>-1</v>
      </c>
      <c r="T155" t="s">
        <v>54</v>
      </c>
      <c r="U155">
        <v>132</v>
      </c>
      <c r="V155">
        <v>19.55</v>
      </c>
    </row>
    <row r="156" spans="1:22" x14ac:dyDescent="0.35">
      <c r="A156" s="3">
        <v>44698</v>
      </c>
      <c r="B156" t="s">
        <v>21</v>
      </c>
      <c r="C156">
        <v>0</v>
      </c>
      <c r="D156">
        <v>0</v>
      </c>
      <c r="E156">
        <v>0</v>
      </c>
      <c r="F156">
        <v>0</v>
      </c>
      <c r="G156">
        <v>27.7439</v>
      </c>
      <c r="H156">
        <v>0</v>
      </c>
      <c r="I156">
        <v>0</v>
      </c>
      <c r="J156">
        <v>0</v>
      </c>
      <c r="K156">
        <v>0</v>
      </c>
      <c r="L156">
        <v>152</v>
      </c>
      <c r="M156">
        <v>218</v>
      </c>
      <c r="N156" t="s">
        <v>21</v>
      </c>
      <c r="O156" s="3">
        <v>44916</v>
      </c>
      <c r="P156">
        <v>-1</v>
      </c>
      <c r="T156" t="s">
        <v>53</v>
      </c>
      <c r="U156">
        <v>157</v>
      </c>
      <c r="V156">
        <v>19.475000000000001</v>
      </c>
    </row>
    <row r="157" spans="1:22" x14ac:dyDescent="0.35">
      <c r="A157" s="3">
        <v>44698</v>
      </c>
      <c r="B157" t="s">
        <v>22</v>
      </c>
      <c r="C157">
        <v>0</v>
      </c>
      <c r="D157">
        <v>0</v>
      </c>
      <c r="E157">
        <v>0</v>
      </c>
      <c r="F157">
        <v>0</v>
      </c>
      <c r="G157">
        <v>28.584399999999999</v>
      </c>
      <c r="H157">
        <v>0</v>
      </c>
      <c r="I157">
        <v>0</v>
      </c>
      <c r="J157">
        <v>0</v>
      </c>
      <c r="K157">
        <v>0</v>
      </c>
      <c r="L157">
        <v>44</v>
      </c>
      <c r="M157">
        <v>64</v>
      </c>
      <c r="N157" t="s">
        <v>22</v>
      </c>
      <c r="O157" s="3">
        <v>44762</v>
      </c>
      <c r="P157">
        <v>-1</v>
      </c>
      <c r="T157" t="s">
        <v>52</v>
      </c>
      <c r="U157">
        <v>176</v>
      </c>
      <c r="V157">
        <v>19.5</v>
      </c>
    </row>
    <row r="158" spans="1:22" x14ac:dyDescent="0.35">
      <c r="A158" s="3">
        <v>44698</v>
      </c>
      <c r="B158" t="s">
        <v>23</v>
      </c>
      <c r="C158">
        <v>0</v>
      </c>
      <c r="D158">
        <v>0</v>
      </c>
      <c r="E158">
        <v>0</v>
      </c>
      <c r="F158">
        <v>0</v>
      </c>
      <c r="G158">
        <v>28.25</v>
      </c>
      <c r="H158">
        <v>0</v>
      </c>
      <c r="I158">
        <v>0</v>
      </c>
      <c r="J158">
        <v>0</v>
      </c>
      <c r="K158">
        <v>0</v>
      </c>
      <c r="L158">
        <v>169</v>
      </c>
      <c r="M158">
        <v>246</v>
      </c>
      <c r="N158" t="s">
        <v>23</v>
      </c>
      <c r="O158" s="3">
        <v>44944</v>
      </c>
      <c r="P158">
        <v>-1</v>
      </c>
      <c r="S158" s="3">
        <v>43746</v>
      </c>
      <c r="T158" t="s">
        <v>55</v>
      </c>
      <c r="U158">
        <v>111</v>
      </c>
      <c r="V158">
        <v>20.125</v>
      </c>
    </row>
    <row r="159" spans="1:22" x14ac:dyDescent="0.35">
      <c r="A159" s="3">
        <v>44698</v>
      </c>
      <c r="B159" t="s">
        <v>29</v>
      </c>
      <c r="C159">
        <v>0</v>
      </c>
      <c r="D159">
        <v>0</v>
      </c>
      <c r="E159">
        <v>0</v>
      </c>
      <c r="F159">
        <v>0</v>
      </c>
      <c r="G159">
        <v>26.598800000000001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 t="s">
        <v>29</v>
      </c>
      <c r="O159" s="3">
        <v>44699</v>
      </c>
      <c r="P159">
        <v>-1</v>
      </c>
      <c r="T159" t="s">
        <v>54</v>
      </c>
      <c r="U159">
        <v>131</v>
      </c>
      <c r="V159">
        <v>20.175000000000001</v>
      </c>
    </row>
    <row r="160" spans="1:22" x14ac:dyDescent="0.35">
      <c r="A160" s="3">
        <v>44698</v>
      </c>
      <c r="B160" t="s">
        <v>25</v>
      </c>
      <c r="C160">
        <v>0</v>
      </c>
      <c r="D160">
        <v>0</v>
      </c>
      <c r="E160">
        <v>0</v>
      </c>
      <c r="F160">
        <v>0</v>
      </c>
      <c r="G160">
        <v>29.166599999999999</v>
      </c>
      <c r="H160">
        <v>0</v>
      </c>
      <c r="I160">
        <v>0</v>
      </c>
      <c r="J160">
        <v>0</v>
      </c>
      <c r="K160">
        <v>0</v>
      </c>
      <c r="L160">
        <v>108</v>
      </c>
      <c r="M160">
        <v>155</v>
      </c>
      <c r="N160" t="s">
        <v>25</v>
      </c>
      <c r="O160" s="3">
        <v>44853</v>
      </c>
      <c r="P160">
        <v>-1</v>
      </c>
      <c r="T160" t="s">
        <v>53</v>
      </c>
      <c r="U160">
        <v>156</v>
      </c>
      <c r="V160">
        <v>20.05</v>
      </c>
    </row>
    <row r="161" spans="1:22" x14ac:dyDescent="0.35">
      <c r="A161" s="3">
        <v>44698</v>
      </c>
      <c r="B161" t="s">
        <v>20</v>
      </c>
      <c r="C161">
        <v>0</v>
      </c>
      <c r="D161">
        <v>0</v>
      </c>
      <c r="E161">
        <v>0</v>
      </c>
      <c r="F161">
        <v>0</v>
      </c>
      <c r="G161">
        <v>28.5762</v>
      </c>
      <c r="H161">
        <v>0</v>
      </c>
      <c r="I161">
        <v>0</v>
      </c>
      <c r="J161">
        <v>0</v>
      </c>
      <c r="K161">
        <v>0</v>
      </c>
      <c r="L161">
        <v>128</v>
      </c>
      <c r="M161">
        <v>183</v>
      </c>
      <c r="N161" t="s">
        <v>20</v>
      </c>
      <c r="O161" s="3">
        <v>44881</v>
      </c>
      <c r="P161">
        <v>-1</v>
      </c>
      <c r="T161" t="s">
        <v>52</v>
      </c>
      <c r="U161">
        <v>175</v>
      </c>
      <c r="V161">
        <v>20.05</v>
      </c>
    </row>
    <row r="162" spans="1:22" x14ac:dyDescent="0.35">
      <c r="A162" s="3">
        <v>44697</v>
      </c>
      <c r="B162" t="s">
        <v>21</v>
      </c>
      <c r="C162">
        <v>0</v>
      </c>
      <c r="D162">
        <v>0</v>
      </c>
      <c r="E162">
        <v>0</v>
      </c>
      <c r="F162">
        <v>0</v>
      </c>
      <c r="G162">
        <v>27.85</v>
      </c>
      <c r="H162">
        <v>0</v>
      </c>
      <c r="I162">
        <v>0</v>
      </c>
      <c r="J162">
        <v>0</v>
      </c>
      <c r="K162">
        <v>0</v>
      </c>
      <c r="L162">
        <v>153</v>
      </c>
      <c r="M162">
        <v>219</v>
      </c>
      <c r="N162" t="s">
        <v>21</v>
      </c>
      <c r="O162" s="3">
        <v>44916</v>
      </c>
      <c r="P162">
        <v>-1</v>
      </c>
      <c r="S162" s="3">
        <v>43747</v>
      </c>
      <c r="T162" t="s">
        <v>55</v>
      </c>
      <c r="U162">
        <v>110</v>
      </c>
      <c r="V162">
        <v>19.875</v>
      </c>
    </row>
    <row r="163" spans="1:22" x14ac:dyDescent="0.35">
      <c r="A163" s="3">
        <v>44697</v>
      </c>
      <c r="B163" t="s">
        <v>22</v>
      </c>
      <c r="C163">
        <v>0</v>
      </c>
      <c r="D163">
        <v>0</v>
      </c>
      <c r="E163">
        <v>0</v>
      </c>
      <c r="F163">
        <v>0</v>
      </c>
      <c r="G163">
        <v>28.9801</v>
      </c>
      <c r="H163">
        <v>0</v>
      </c>
      <c r="I163">
        <v>0</v>
      </c>
      <c r="J163">
        <v>0</v>
      </c>
      <c r="K163">
        <v>0</v>
      </c>
      <c r="L163">
        <v>45</v>
      </c>
      <c r="M163">
        <v>65</v>
      </c>
      <c r="N163" t="s">
        <v>22</v>
      </c>
      <c r="O163" s="3">
        <v>44762</v>
      </c>
      <c r="P163">
        <v>-1</v>
      </c>
      <c r="T163" t="s">
        <v>54</v>
      </c>
      <c r="U163">
        <v>130</v>
      </c>
      <c r="V163">
        <v>19.925000000000001</v>
      </c>
    </row>
    <row r="164" spans="1:22" x14ac:dyDescent="0.35">
      <c r="A164" s="3">
        <v>44697</v>
      </c>
      <c r="B164" t="s">
        <v>23</v>
      </c>
      <c r="C164">
        <v>0</v>
      </c>
      <c r="D164">
        <v>0</v>
      </c>
      <c r="E164">
        <v>0</v>
      </c>
      <c r="F164">
        <v>0</v>
      </c>
      <c r="G164">
        <v>28.45</v>
      </c>
      <c r="H164">
        <v>0</v>
      </c>
      <c r="I164">
        <v>0</v>
      </c>
      <c r="J164">
        <v>0</v>
      </c>
      <c r="K164">
        <v>0</v>
      </c>
      <c r="L164">
        <v>170</v>
      </c>
      <c r="M164">
        <v>247</v>
      </c>
      <c r="N164" t="s">
        <v>23</v>
      </c>
      <c r="O164" s="3">
        <v>44944</v>
      </c>
      <c r="P164">
        <v>-1</v>
      </c>
      <c r="T164" t="s">
        <v>53</v>
      </c>
      <c r="U164">
        <v>155</v>
      </c>
      <c r="V164">
        <v>19.824999999999999</v>
      </c>
    </row>
    <row r="165" spans="1:22" x14ac:dyDescent="0.35">
      <c r="A165" s="3">
        <v>44697</v>
      </c>
      <c r="B165" t="s">
        <v>29</v>
      </c>
      <c r="C165">
        <v>0</v>
      </c>
      <c r="D165">
        <v>0</v>
      </c>
      <c r="E165">
        <v>0</v>
      </c>
      <c r="F165">
        <v>0</v>
      </c>
      <c r="G165">
        <v>27.585599999999999</v>
      </c>
      <c r="H165">
        <v>0</v>
      </c>
      <c r="I165">
        <v>0</v>
      </c>
      <c r="J165">
        <v>0</v>
      </c>
      <c r="K165">
        <v>0</v>
      </c>
      <c r="L165">
        <v>2</v>
      </c>
      <c r="M165">
        <v>2</v>
      </c>
      <c r="N165" t="s">
        <v>29</v>
      </c>
      <c r="O165" s="3">
        <v>44699</v>
      </c>
      <c r="P165">
        <v>-1</v>
      </c>
      <c r="T165" t="s">
        <v>52</v>
      </c>
      <c r="U165">
        <v>174</v>
      </c>
      <c r="V165">
        <v>19.899999999999999</v>
      </c>
    </row>
    <row r="166" spans="1:22" x14ac:dyDescent="0.35">
      <c r="A166" s="3">
        <v>44697</v>
      </c>
      <c r="B166" t="s">
        <v>25</v>
      </c>
      <c r="C166">
        <v>0</v>
      </c>
      <c r="D166">
        <v>0</v>
      </c>
      <c r="E166">
        <v>0</v>
      </c>
      <c r="F166">
        <v>0</v>
      </c>
      <c r="G166">
        <v>29.2056</v>
      </c>
      <c r="H166">
        <v>0</v>
      </c>
      <c r="I166">
        <v>0</v>
      </c>
      <c r="J166">
        <v>0</v>
      </c>
      <c r="K166">
        <v>0</v>
      </c>
      <c r="L166">
        <v>109</v>
      </c>
      <c r="M166">
        <v>156</v>
      </c>
      <c r="N166" t="s">
        <v>25</v>
      </c>
      <c r="O166" s="3">
        <v>44853</v>
      </c>
      <c r="P166">
        <v>-1</v>
      </c>
      <c r="S166" s="3">
        <v>43748</v>
      </c>
      <c r="T166" t="s">
        <v>55</v>
      </c>
      <c r="U166">
        <v>109</v>
      </c>
      <c r="V166">
        <v>19.524999999999999</v>
      </c>
    </row>
    <row r="167" spans="1:22" x14ac:dyDescent="0.35">
      <c r="A167" s="3">
        <v>44697</v>
      </c>
      <c r="B167" t="s">
        <v>20</v>
      </c>
      <c r="C167">
        <v>0</v>
      </c>
      <c r="D167">
        <v>0</v>
      </c>
      <c r="E167">
        <v>0</v>
      </c>
      <c r="F167">
        <v>0</v>
      </c>
      <c r="G167">
        <v>28.643599999999999</v>
      </c>
      <c r="H167">
        <v>0</v>
      </c>
      <c r="I167">
        <v>0</v>
      </c>
      <c r="J167">
        <v>0</v>
      </c>
      <c r="K167">
        <v>0</v>
      </c>
      <c r="L167">
        <v>129</v>
      </c>
      <c r="M167">
        <v>184</v>
      </c>
      <c r="N167" t="s">
        <v>20</v>
      </c>
      <c r="O167" s="3">
        <v>44881</v>
      </c>
      <c r="P167">
        <v>-1</v>
      </c>
      <c r="T167" t="s">
        <v>54</v>
      </c>
      <c r="U167">
        <v>129</v>
      </c>
      <c r="V167">
        <v>19.625</v>
      </c>
    </row>
    <row r="168" spans="1:22" x14ac:dyDescent="0.35">
      <c r="A168" s="3">
        <v>44697</v>
      </c>
      <c r="B168" t="s">
        <v>26</v>
      </c>
      <c r="C168">
        <v>0</v>
      </c>
      <c r="D168">
        <v>0</v>
      </c>
      <c r="E168">
        <v>0</v>
      </c>
      <c r="F168">
        <v>0</v>
      </c>
      <c r="G168">
        <v>29.132300000000001</v>
      </c>
      <c r="H168">
        <v>0</v>
      </c>
      <c r="I168">
        <v>0</v>
      </c>
      <c r="J168">
        <v>0</v>
      </c>
      <c r="K168">
        <v>0</v>
      </c>
      <c r="L168">
        <v>65</v>
      </c>
      <c r="M168">
        <v>93</v>
      </c>
      <c r="N168" t="s">
        <v>26</v>
      </c>
      <c r="O168" s="3">
        <v>44790</v>
      </c>
      <c r="P168">
        <v>-1</v>
      </c>
      <c r="T168" t="s">
        <v>53</v>
      </c>
      <c r="U168">
        <v>154</v>
      </c>
      <c r="V168">
        <v>19.524999999999999</v>
      </c>
    </row>
    <row r="169" spans="1:22" x14ac:dyDescent="0.35">
      <c r="A169" s="3">
        <v>44697</v>
      </c>
      <c r="B169" t="s">
        <v>27</v>
      </c>
      <c r="C169">
        <v>0</v>
      </c>
      <c r="D169">
        <v>0</v>
      </c>
      <c r="E169">
        <v>0</v>
      </c>
      <c r="F169">
        <v>0</v>
      </c>
      <c r="G169">
        <v>29.3386</v>
      </c>
      <c r="H169">
        <v>0</v>
      </c>
      <c r="I169">
        <v>0</v>
      </c>
      <c r="J169">
        <v>0</v>
      </c>
      <c r="K169">
        <v>0</v>
      </c>
      <c r="L169">
        <v>89</v>
      </c>
      <c r="M169">
        <v>128</v>
      </c>
      <c r="N169" t="s">
        <v>27</v>
      </c>
      <c r="O169" s="3">
        <v>44825</v>
      </c>
      <c r="P169">
        <v>-1</v>
      </c>
      <c r="T169" t="s">
        <v>52</v>
      </c>
      <c r="U169">
        <v>173</v>
      </c>
      <c r="V169">
        <v>19.55</v>
      </c>
    </row>
    <row r="170" spans="1:22" x14ac:dyDescent="0.35">
      <c r="A170" s="3">
        <v>44697</v>
      </c>
      <c r="B170" t="s">
        <v>28</v>
      </c>
      <c r="C170">
        <v>0</v>
      </c>
      <c r="D170">
        <v>0</v>
      </c>
      <c r="E170">
        <v>0</v>
      </c>
      <c r="F170">
        <v>0</v>
      </c>
      <c r="G170">
        <v>28.0855</v>
      </c>
      <c r="H170">
        <v>0</v>
      </c>
      <c r="I170">
        <v>0</v>
      </c>
      <c r="J170">
        <v>0</v>
      </c>
      <c r="K170">
        <v>0</v>
      </c>
      <c r="L170">
        <v>21</v>
      </c>
      <c r="M170">
        <v>30</v>
      </c>
      <c r="N170" t="s">
        <v>28</v>
      </c>
      <c r="O170" s="3">
        <v>44727</v>
      </c>
      <c r="P170">
        <v>-1</v>
      </c>
      <c r="S170" s="3">
        <v>43749</v>
      </c>
      <c r="T170" t="s">
        <v>55</v>
      </c>
      <c r="U170">
        <v>108</v>
      </c>
      <c r="V170">
        <v>19.225000000000001</v>
      </c>
    </row>
    <row r="171" spans="1:22" x14ac:dyDescent="0.35">
      <c r="A171" s="3">
        <v>44694</v>
      </c>
      <c r="B171" t="s">
        <v>26</v>
      </c>
      <c r="C171">
        <v>0</v>
      </c>
      <c r="D171">
        <v>0</v>
      </c>
      <c r="E171">
        <v>0</v>
      </c>
      <c r="F171">
        <v>0</v>
      </c>
      <c r="G171">
        <v>29.766999999999999</v>
      </c>
      <c r="H171">
        <v>0</v>
      </c>
      <c r="I171">
        <v>0</v>
      </c>
      <c r="J171">
        <v>0</v>
      </c>
      <c r="K171">
        <v>0</v>
      </c>
      <c r="L171">
        <v>66</v>
      </c>
      <c r="M171">
        <v>96</v>
      </c>
      <c r="N171" t="s">
        <v>26</v>
      </c>
      <c r="O171" s="3">
        <v>44790</v>
      </c>
      <c r="P171">
        <v>-1</v>
      </c>
      <c r="T171" t="s">
        <v>54</v>
      </c>
      <c r="U171">
        <v>128</v>
      </c>
      <c r="V171">
        <v>19.350000000000001</v>
      </c>
    </row>
    <row r="172" spans="1:22" x14ac:dyDescent="0.35">
      <c r="A172" s="3">
        <v>44694</v>
      </c>
      <c r="B172" t="s">
        <v>27</v>
      </c>
      <c r="C172">
        <v>0</v>
      </c>
      <c r="D172">
        <v>0</v>
      </c>
      <c r="E172">
        <v>0</v>
      </c>
      <c r="F172">
        <v>0</v>
      </c>
      <c r="G172">
        <v>29.823799999999999</v>
      </c>
      <c r="H172">
        <v>0</v>
      </c>
      <c r="I172">
        <v>0</v>
      </c>
      <c r="J172">
        <v>0</v>
      </c>
      <c r="K172">
        <v>0</v>
      </c>
      <c r="L172">
        <v>90</v>
      </c>
      <c r="M172">
        <v>131</v>
      </c>
      <c r="N172" t="s">
        <v>27</v>
      </c>
      <c r="O172" s="3">
        <v>44825</v>
      </c>
      <c r="P172">
        <v>-1</v>
      </c>
      <c r="T172" t="s">
        <v>53</v>
      </c>
      <c r="U172">
        <v>153</v>
      </c>
      <c r="V172">
        <v>19.25</v>
      </c>
    </row>
    <row r="173" spans="1:22" x14ac:dyDescent="0.35">
      <c r="A173" s="3">
        <v>44694</v>
      </c>
      <c r="B173" t="s">
        <v>28</v>
      </c>
      <c r="C173">
        <v>0</v>
      </c>
      <c r="D173">
        <v>0</v>
      </c>
      <c r="E173">
        <v>0</v>
      </c>
      <c r="F173">
        <v>0</v>
      </c>
      <c r="G173">
        <v>29.395900000000001</v>
      </c>
      <c r="H173">
        <v>0</v>
      </c>
      <c r="I173">
        <v>0</v>
      </c>
      <c r="J173">
        <v>0</v>
      </c>
      <c r="K173">
        <v>0</v>
      </c>
      <c r="L173">
        <v>22</v>
      </c>
      <c r="M173">
        <v>33</v>
      </c>
      <c r="N173" t="s">
        <v>28</v>
      </c>
      <c r="O173" s="3">
        <v>44727</v>
      </c>
      <c r="P173">
        <v>-1</v>
      </c>
      <c r="T173" t="s">
        <v>52</v>
      </c>
      <c r="U173">
        <v>172</v>
      </c>
      <c r="V173">
        <v>19.350000000000001</v>
      </c>
    </row>
    <row r="174" spans="1:22" x14ac:dyDescent="0.35">
      <c r="A174" s="3">
        <v>44694</v>
      </c>
      <c r="B174" t="s">
        <v>21</v>
      </c>
      <c r="C174">
        <v>0</v>
      </c>
      <c r="D174">
        <v>0</v>
      </c>
      <c r="E174">
        <v>0</v>
      </c>
      <c r="F174">
        <v>0</v>
      </c>
      <c r="G174">
        <v>28.002800000000001</v>
      </c>
      <c r="H174">
        <v>0</v>
      </c>
      <c r="I174">
        <v>0</v>
      </c>
      <c r="J174">
        <v>0</v>
      </c>
      <c r="K174">
        <v>0</v>
      </c>
      <c r="L174">
        <v>154</v>
      </c>
      <c r="M174">
        <v>222</v>
      </c>
      <c r="N174" t="s">
        <v>21</v>
      </c>
      <c r="O174" s="3">
        <v>44916</v>
      </c>
      <c r="P174">
        <v>-1</v>
      </c>
      <c r="S174" s="3">
        <v>43752</v>
      </c>
      <c r="T174" t="s">
        <v>55</v>
      </c>
      <c r="U174">
        <v>107</v>
      </c>
      <c r="V174">
        <v>18.975000000000001</v>
      </c>
    </row>
    <row r="175" spans="1:22" x14ac:dyDescent="0.35">
      <c r="A175" s="3">
        <v>44694</v>
      </c>
      <c r="B175" t="s">
        <v>22</v>
      </c>
      <c r="C175">
        <v>0</v>
      </c>
      <c r="D175">
        <v>0</v>
      </c>
      <c r="E175">
        <v>0</v>
      </c>
      <c r="F175">
        <v>0</v>
      </c>
      <c r="G175">
        <v>29.845600000000001</v>
      </c>
      <c r="H175">
        <v>0</v>
      </c>
      <c r="I175">
        <v>0</v>
      </c>
      <c r="J175">
        <v>0</v>
      </c>
      <c r="K175">
        <v>0</v>
      </c>
      <c r="L175">
        <v>46</v>
      </c>
      <c r="M175">
        <v>68</v>
      </c>
      <c r="N175" t="s">
        <v>22</v>
      </c>
      <c r="O175" s="3">
        <v>44762</v>
      </c>
      <c r="P175">
        <v>-1</v>
      </c>
      <c r="T175" t="s">
        <v>54</v>
      </c>
      <c r="U175">
        <v>127</v>
      </c>
      <c r="V175">
        <v>19.125</v>
      </c>
    </row>
    <row r="176" spans="1:22" x14ac:dyDescent="0.35">
      <c r="A176" s="3">
        <v>44694</v>
      </c>
      <c r="B176" t="s">
        <v>23</v>
      </c>
      <c r="C176">
        <v>0</v>
      </c>
      <c r="D176">
        <v>0</v>
      </c>
      <c r="E176">
        <v>0</v>
      </c>
      <c r="F176">
        <v>0</v>
      </c>
      <c r="G176">
        <v>28.574999999999999</v>
      </c>
      <c r="H176">
        <v>0</v>
      </c>
      <c r="I176">
        <v>0</v>
      </c>
      <c r="J176">
        <v>0</v>
      </c>
      <c r="K176">
        <v>0</v>
      </c>
      <c r="L176">
        <v>171</v>
      </c>
      <c r="M176">
        <v>250</v>
      </c>
      <c r="N176" t="s">
        <v>23</v>
      </c>
      <c r="O176" s="3">
        <v>44944</v>
      </c>
      <c r="P176">
        <v>-1</v>
      </c>
      <c r="T176" t="s">
        <v>53</v>
      </c>
      <c r="U176">
        <v>152</v>
      </c>
      <c r="V176">
        <v>19.05</v>
      </c>
    </row>
    <row r="177" spans="1:22" x14ac:dyDescent="0.35">
      <c r="A177" s="3">
        <v>44694</v>
      </c>
      <c r="B177" t="s">
        <v>29</v>
      </c>
      <c r="C177">
        <v>0</v>
      </c>
      <c r="D177">
        <v>0</v>
      </c>
      <c r="E177">
        <v>0</v>
      </c>
      <c r="F177">
        <v>0</v>
      </c>
      <c r="G177">
        <v>28.819099999999999</v>
      </c>
      <c r="H177">
        <v>0</v>
      </c>
      <c r="I177">
        <v>0</v>
      </c>
      <c r="J177">
        <v>0</v>
      </c>
      <c r="K177">
        <v>0</v>
      </c>
      <c r="L177">
        <v>3</v>
      </c>
      <c r="M177">
        <v>5</v>
      </c>
      <c r="N177" t="s">
        <v>29</v>
      </c>
      <c r="O177" s="3">
        <v>44699</v>
      </c>
      <c r="P177">
        <v>-1</v>
      </c>
      <c r="T177" t="s">
        <v>52</v>
      </c>
      <c r="U177">
        <v>171</v>
      </c>
      <c r="V177">
        <v>19.125</v>
      </c>
    </row>
    <row r="178" spans="1:22" x14ac:dyDescent="0.35">
      <c r="A178" s="3">
        <v>44694</v>
      </c>
      <c r="B178" t="s">
        <v>25</v>
      </c>
      <c r="C178">
        <v>0</v>
      </c>
      <c r="D178">
        <v>0</v>
      </c>
      <c r="E178">
        <v>0</v>
      </c>
      <c r="F178">
        <v>0</v>
      </c>
      <c r="G178">
        <v>29.567</v>
      </c>
      <c r="H178">
        <v>0</v>
      </c>
      <c r="I178">
        <v>0</v>
      </c>
      <c r="J178">
        <v>0</v>
      </c>
      <c r="K178">
        <v>0</v>
      </c>
      <c r="L178">
        <v>110</v>
      </c>
      <c r="M178">
        <v>159</v>
      </c>
      <c r="N178" t="s">
        <v>25</v>
      </c>
      <c r="O178" s="3">
        <v>44853</v>
      </c>
      <c r="P178">
        <v>-1</v>
      </c>
      <c r="S178" s="3">
        <v>43753</v>
      </c>
      <c r="T178" t="s">
        <v>55</v>
      </c>
      <c r="U178">
        <v>106</v>
      </c>
      <c r="V178">
        <v>18.8</v>
      </c>
    </row>
    <row r="179" spans="1:22" x14ac:dyDescent="0.35">
      <c r="A179" s="3">
        <v>44694</v>
      </c>
      <c r="B179" t="s">
        <v>20</v>
      </c>
      <c r="C179">
        <v>0</v>
      </c>
      <c r="D179">
        <v>0</v>
      </c>
      <c r="E179">
        <v>0</v>
      </c>
      <c r="F179">
        <v>0</v>
      </c>
      <c r="G179">
        <v>28.893799999999999</v>
      </c>
      <c r="H179">
        <v>0</v>
      </c>
      <c r="I179">
        <v>0</v>
      </c>
      <c r="J179">
        <v>0</v>
      </c>
      <c r="K179">
        <v>0</v>
      </c>
      <c r="L179">
        <v>130</v>
      </c>
      <c r="M179">
        <v>187</v>
      </c>
      <c r="N179" t="s">
        <v>20</v>
      </c>
      <c r="O179" s="3">
        <v>44881</v>
      </c>
      <c r="P179">
        <v>-1</v>
      </c>
      <c r="T179" t="s">
        <v>54</v>
      </c>
      <c r="U179">
        <v>126</v>
      </c>
      <c r="V179">
        <v>18.975000000000001</v>
      </c>
    </row>
    <row r="180" spans="1:22" x14ac:dyDescent="0.35">
      <c r="A180" s="3">
        <v>44693</v>
      </c>
      <c r="B180" t="s">
        <v>21</v>
      </c>
      <c r="C180">
        <v>0</v>
      </c>
      <c r="D180">
        <v>0</v>
      </c>
      <c r="E180">
        <v>0</v>
      </c>
      <c r="F180">
        <v>0</v>
      </c>
      <c r="G180">
        <v>28.55</v>
      </c>
      <c r="H180">
        <v>0</v>
      </c>
      <c r="I180">
        <v>0</v>
      </c>
      <c r="J180">
        <v>0</v>
      </c>
      <c r="K180">
        <v>0</v>
      </c>
      <c r="L180">
        <v>155</v>
      </c>
      <c r="M180">
        <v>223</v>
      </c>
      <c r="N180" t="s">
        <v>21</v>
      </c>
      <c r="O180" s="3">
        <v>44916</v>
      </c>
      <c r="P180">
        <v>-1</v>
      </c>
      <c r="T180" t="s">
        <v>53</v>
      </c>
      <c r="U180">
        <v>151</v>
      </c>
      <c r="V180">
        <v>18.975000000000001</v>
      </c>
    </row>
    <row r="181" spans="1:22" x14ac:dyDescent="0.35">
      <c r="A181" s="3">
        <v>44693</v>
      </c>
      <c r="B181" t="s">
        <v>22</v>
      </c>
      <c r="C181">
        <v>0</v>
      </c>
      <c r="D181">
        <v>0</v>
      </c>
      <c r="E181">
        <v>0</v>
      </c>
      <c r="F181">
        <v>0</v>
      </c>
      <c r="G181">
        <v>31.106000000000002</v>
      </c>
      <c r="H181">
        <v>0</v>
      </c>
      <c r="I181">
        <v>0</v>
      </c>
      <c r="J181">
        <v>0</v>
      </c>
      <c r="K181">
        <v>0</v>
      </c>
      <c r="L181">
        <v>47</v>
      </c>
      <c r="M181">
        <v>69</v>
      </c>
      <c r="N181" t="s">
        <v>22</v>
      </c>
      <c r="O181" s="3">
        <v>44762</v>
      </c>
      <c r="P181">
        <v>-1</v>
      </c>
      <c r="T181" t="s">
        <v>52</v>
      </c>
      <c r="U181">
        <v>170</v>
      </c>
      <c r="V181">
        <v>19.05</v>
      </c>
    </row>
    <row r="182" spans="1:22" x14ac:dyDescent="0.35">
      <c r="A182" s="3">
        <v>44693</v>
      </c>
      <c r="B182" t="s">
        <v>23</v>
      </c>
      <c r="C182">
        <v>0</v>
      </c>
      <c r="D182">
        <v>0</v>
      </c>
      <c r="E182">
        <v>0</v>
      </c>
      <c r="F182">
        <v>0</v>
      </c>
      <c r="G182">
        <v>29.15</v>
      </c>
      <c r="H182">
        <v>0</v>
      </c>
      <c r="I182">
        <v>0</v>
      </c>
      <c r="J182">
        <v>0</v>
      </c>
      <c r="K182">
        <v>0</v>
      </c>
      <c r="L182">
        <v>172</v>
      </c>
      <c r="M182">
        <v>251</v>
      </c>
      <c r="N182" t="s">
        <v>23</v>
      </c>
      <c r="O182" s="3">
        <v>44944</v>
      </c>
      <c r="P182">
        <v>-1</v>
      </c>
      <c r="S182" s="3">
        <v>43754</v>
      </c>
      <c r="T182" t="s">
        <v>55</v>
      </c>
      <c r="U182">
        <v>105</v>
      </c>
      <c r="V182">
        <v>18.774999999999999</v>
      </c>
    </row>
    <row r="183" spans="1:22" x14ac:dyDescent="0.35">
      <c r="A183" s="3">
        <v>44693</v>
      </c>
      <c r="B183" t="s">
        <v>29</v>
      </c>
      <c r="C183">
        <v>0</v>
      </c>
      <c r="D183">
        <v>0</v>
      </c>
      <c r="E183">
        <v>0</v>
      </c>
      <c r="F183">
        <v>0</v>
      </c>
      <c r="G183">
        <v>31.2544</v>
      </c>
      <c r="H183">
        <v>0</v>
      </c>
      <c r="I183">
        <v>0</v>
      </c>
      <c r="J183">
        <v>0</v>
      </c>
      <c r="K183">
        <v>0</v>
      </c>
      <c r="L183">
        <v>4</v>
      </c>
      <c r="M183">
        <v>6</v>
      </c>
      <c r="N183" t="s">
        <v>29</v>
      </c>
      <c r="O183" s="3">
        <v>44699</v>
      </c>
      <c r="P183">
        <v>-1</v>
      </c>
      <c r="T183" t="s">
        <v>54</v>
      </c>
      <c r="U183">
        <v>125</v>
      </c>
      <c r="V183">
        <v>18.875</v>
      </c>
    </row>
    <row r="184" spans="1:22" x14ac:dyDescent="0.35">
      <c r="A184" s="3">
        <v>44693</v>
      </c>
      <c r="B184" t="s">
        <v>25</v>
      </c>
      <c r="C184">
        <v>0</v>
      </c>
      <c r="D184">
        <v>0</v>
      </c>
      <c r="E184">
        <v>0</v>
      </c>
      <c r="F184">
        <v>0</v>
      </c>
      <c r="G184">
        <v>30.175899999999999</v>
      </c>
      <c r="H184">
        <v>0</v>
      </c>
      <c r="I184">
        <v>0</v>
      </c>
      <c r="J184">
        <v>0</v>
      </c>
      <c r="K184">
        <v>0</v>
      </c>
      <c r="L184">
        <v>111</v>
      </c>
      <c r="M184">
        <v>160</v>
      </c>
      <c r="N184" t="s">
        <v>25</v>
      </c>
      <c r="O184" s="3">
        <v>44853</v>
      </c>
      <c r="P184">
        <v>-1</v>
      </c>
      <c r="T184" t="s">
        <v>53</v>
      </c>
      <c r="U184">
        <v>150</v>
      </c>
      <c r="V184">
        <v>18.875</v>
      </c>
    </row>
    <row r="185" spans="1:22" x14ac:dyDescent="0.35">
      <c r="A185" s="3">
        <v>44693</v>
      </c>
      <c r="B185" t="s">
        <v>20</v>
      </c>
      <c r="C185">
        <v>0</v>
      </c>
      <c r="D185">
        <v>0</v>
      </c>
      <c r="E185">
        <v>0</v>
      </c>
      <c r="F185">
        <v>0</v>
      </c>
      <c r="G185">
        <v>29.45</v>
      </c>
      <c r="H185">
        <v>0</v>
      </c>
      <c r="I185">
        <v>0</v>
      </c>
      <c r="J185">
        <v>0</v>
      </c>
      <c r="K185">
        <v>0</v>
      </c>
      <c r="L185">
        <v>131</v>
      </c>
      <c r="M185">
        <v>188</v>
      </c>
      <c r="N185" t="s">
        <v>20</v>
      </c>
      <c r="O185" s="3">
        <v>44881</v>
      </c>
      <c r="P185">
        <v>-1</v>
      </c>
      <c r="T185" t="s">
        <v>52</v>
      </c>
      <c r="U185">
        <v>169</v>
      </c>
      <c r="V185">
        <v>18.95</v>
      </c>
    </row>
    <row r="186" spans="1:22" x14ac:dyDescent="0.35">
      <c r="A186" s="3">
        <v>44693</v>
      </c>
      <c r="B186" t="s">
        <v>26</v>
      </c>
      <c r="C186">
        <v>0</v>
      </c>
      <c r="D186">
        <v>0</v>
      </c>
      <c r="E186">
        <v>0</v>
      </c>
      <c r="F186">
        <v>0</v>
      </c>
      <c r="G186">
        <v>30.774899999999999</v>
      </c>
      <c r="H186">
        <v>0</v>
      </c>
      <c r="I186">
        <v>0</v>
      </c>
      <c r="J186">
        <v>0</v>
      </c>
      <c r="K186">
        <v>0</v>
      </c>
      <c r="L186">
        <v>67</v>
      </c>
      <c r="M186">
        <v>97</v>
      </c>
      <c r="N186" t="s">
        <v>26</v>
      </c>
      <c r="O186" s="3">
        <v>44790</v>
      </c>
      <c r="P186">
        <v>-1</v>
      </c>
      <c r="S186" s="3">
        <v>43755</v>
      </c>
      <c r="T186" t="s">
        <v>55</v>
      </c>
      <c r="U186">
        <v>104</v>
      </c>
      <c r="V186">
        <v>18.574999999999999</v>
      </c>
    </row>
    <row r="187" spans="1:22" x14ac:dyDescent="0.35">
      <c r="A187" s="3">
        <v>44693</v>
      </c>
      <c r="B187" t="s">
        <v>27</v>
      </c>
      <c r="C187">
        <v>0</v>
      </c>
      <c r="D187">
        <v>0</v>
      </c>
      <c r="E187">
        <v>0</v>
      </c>
      <c r="F187">
        <v>0</v>
      </c>
      <c r="G187">
        <v>30.576599999999999</v>
      </c>
      <c r="H187">
        <v>0</v>
      </c>
      <c r="I187">
        <v>0</v>
      </c>
      <c r="J187">
        <v>0</v>
      </c>
      <c r="K187">
        <v>0</v>
      </c>
      <c r="L187">
        <v>91</v>
      </c>
      <c r="M187">
        <v>132</v>
      </c>
      <c r="N187" t="s">
        <v>27</v>
      </c>
      <c r="O187" s="3">
        <v>44825</v>
      </c>
      <c r="P187">
        <v>-1</v>
      </c>
      <c r="T187" t="s">
        <v>54</v>
      </c>
      <c r="U187">
        <v>124</v>
      </c>
      <c r="V187">
        <v>18.725000000000001</v>
      </c>
    </row>
    <row r="188" spans="1:22" x14ac:dyDescent="0.35">
      <c r="A188" s="3">
        <v>44693</v>
      </c>
      <c r="B188" t="s">
        <v>28</v>
      </c>
      <c r="C188">
        <v>0</v>
      </c>
      <c r="D188">
        <v>0</v>
      </c>
      <c r="E188">
        <v>0</v>
      </c>
      <c r="F188">
        <v>0</v>
      </c>
      <c r="G188">
        <v>31.260999999999999</v>
      </c>
      <c r="H188">
        <v>0</v>
      </c>
      <c r="I188">
        <v>0</v>
      </c>
      <c r="J188">
        <v>0</v>
      </c>
      <c r="K188">
        <v>0</v>
      </c>
      <c r="L188">
        <v>23</v>
      </c>
      <c r="M188">
        <v>34</v>
      </c>
      <c r="N188" t="s">
        <v>28</v>
      </c>
      <c r="O188" s="3">
        <v>44727</v>
      </c>
      <c r="P188">
        <v>-1</v>
      </c>
      <c r="T188" t="s">
        <v>53</v>
      </c>
      <c r="U188">
        <v>149</v>
      </c>
      <c r="V188">
        <v>18.725000000000001</v>
      </c>
    </row>
    <row r="189" spans="1:22" x14ac:dyDescent="0.35">
      <c r="A189" s="3">
        <v>44692</v>
      </c>
      <c r="B189" t="s">
        <v>26</v>
      </c>
      <c r="C189">
        <v>0</v>
      </c>
      <c r="D189">
        <v>0</v>
      </c>
      <c r="E189">
        <v>0</v>
      </c>
      <c r="F189">
        <v>0</v>
      </c>
      <c r="G189">
        <v>31.061199999999999</v>
      </c>
      <c r="H189">
        <v>0</v>
      </c>
      <c r="I189">
        <v>0</v>
      </c>
      <c r="J189">
        <v>0</v>
      </c>
      <c r="K189">
        <v>0</v>
      </c>
      <c r="L189">
        <v>68</v>
      </c>
      <c r="M189">
        <v>98</v>
      </c>
      <c r="N189" t="s">
        <v>26</v>
      </c>
      <c r="O189" s="3">
        <v>44790</v>
      </c>
      <c r="P189">
        <v>-1</v>
      </c>
      <c r="T189" t="s">
        <v>52</v>
      </c>
      <c r="U189">
        <v>168</v>
      </c>
      <c r="V189">
        <v>18.850000000000001</v>
      </c>
    </row>
    <row r="190" spans="1:22" x14ac:dyDescent="0.35">
      <c r="A190" s="3">
        <v>44692</v>
      </c>
      <c r="B190" t="s">
        <v>27</v>
      </c>
      <c r="C190">
        <v>0</v>
      </c>
      <c r="D190">
        <v>0</v>
      </c>
      <c r="E190">
        <v>0</v>
      </c>
      <c r="F190">
        <v>0</v>
      </c>
      <c r="G190">
        <v>30.840199999999999</v>
      </c>
      <c r="H190">
        <v>0</v>
      </c>
      <c r="I190">
        <v>0</v>
      </c>
      <c r="J190">
        <v>0</v>
      </c>
      <c r="K190">
        <v>0</v>
      </c>
      <c r="L190">
        <v>92</v>
      </c>
      <c r="M190">
        <v>133</v>
      </c>
      <c r="N190" t="s">
        <v>27</v>
      </c>
      <c r="O190" s="3">
        <v>44825</v>
      </c>
      <c r="P190">
        <v>-1</v>
      </c>
      <c r="S190" s="3">
        <v>43756</v>
      </c>
      <c r="T190" t="s">
        <v>55</v>
      </c>
      <c r="U190">
        <v>103</v>
      </c>
      <c r="V190">
        <v>18.824999999999999</v>
      </c>
    </row>
    <row r="191" spans="1:22" x14ac:dyDescent="0.35">
      <c r="A191" s="3">
        <v>44692</v>
      </c>
      <c r="B191" t="s">
        <v>28</v>
      </c>
      <c r="C191">
        <v>0</v>
      </c>
      <c r="D191">
        <v>0</v>
      </c>
      <c r="E191">
        <v>0</v>
      </c>
      <c r="F191">
        <v>0</v>
      </c>
      <c r="G191">
        <v>31.738900000000001</v>
      </c>
      <c r="H191">
        <v>0</v>
      </c>
      <c r="I191">
        <v>0</v>
      </c>
      <c r="J191">
        <v>0</v>
      </c>
      <c r="K191">
        <v>0</v>
      </c>
      <c r="L191">
        <v>24</v>
      </c>
      <c r="M191">
        <v>35</v>
      </c>
      <c r="N191" t="s">
        <v>28</v>
      </c>
      <c r="O191" s="3">
        <v>44727</v>
      </c>
      <c r="P191">
        <v>-1</v>
      </c>
      <c r="T191" t="s">
        <v>54</v>
      </c>
      <c r="U191">
        <v>123</v>
      </c>
      <c r="V191">
        <v>18.975000000000001</v>
      </c>
    </row>
    <row r="192" spans="1:22" x14ac:dyDescent="0.35">
      <c r="A192" s="3">
        <v>44692</v>
      </c>
      <c r="B192" t="s">
        <v>21</v>
      </c>
      <c r="C192">
        <v>0</v>
      </c>
      <c r="D192">
        <v>0</v>
      </c>
      <c r="E192">
        <v>0</v>
      </c>
      <c r="F192">
        <v>0</v>
      </c>
      <c r="G192">
        <v>28.824999999999999</v>
      </c>
      <c r="H192">
        <v>0</v>
      </c>
      <c r="I192">
        <v>0</v>
      </c>
      <c r="J192">
        <v>0</v>
      </c>
      <c r="K192">
        <v>0</v>
      </c>
      <c r="L192">
        <v>156</v>
      </c>
      <c r="M192">
        <v>224</v>
      </c>
      <c r="N192" t="s">
        <v>21</v>
      </c>
      <c r="O192" s="3">
        <v>44916</v>
      </c>
      <c r="P192">
        <v>-1</v>
      </c>
      <c r="T192" t="s">
        <v>53</v>
      </c>
      <c r="U192">
        <v>148</v>
      </c>
      <c r="V192">
        <v>19.024999999999999</v>
      </c>
    </row>
    <row r="193" spans="1:22" x14ac:dyDescent="0.35">
      <c r="A193" s="3">
        <v>44692</v>
      </c>
      <c r="B193" t="s">
        <v>22</v>
      </c>
      <c r="C193">
        <v>0</v>
      </c>
      <c r="D193">
        <v>0</v>
      </c>
      <c r="E193">
        <v>0</v>
      </c>
      <c r="F193">
        <v>0</v>
      </c>
      <c r="G193">
        <v>31.448899999999998</v>
      </c>
      <c r="H193">
        <v>0</v>
      </c>
      <c r="I193">
        <v>0</v>
      </c>
      <c r="J193">
        <v>0</v>
      </c>
      <c r="K193">
        <v>0</v>
      </c>
      <c r="L193">
        <v>48</v>
      </c>
      <c r="M193">
        <v>70</v>
      </c>
      <c r="N193" t="s">
        <v>22</v>
      </c>
      <c r="O193" s="3">
        <v>44762</v>
      </c>
      <c r="P193">
        <v>-1</v>
      </c>
      <c r="T193" t="s">
        <v>52</v>
      </c>
      <c r="U193">
        <v>167</v>
      </c>
      <c r="V193">
        <v>19.125</v>
      </c>
    </row>
    <row r="194" spans="1:22" x14ac:dyDescent="0.35">
      <c r="A194" s="3">
        <v>44692</v>
      </c>
      <c r="B194" t="s">
        <v>23</v>
      </c>
      <c r="C194">
        <v>0</v>
      </c>
      <c r="D194">
        <v>0</v>
      </c>
      <c r="E194">
        <v>0</v>
      </c>
      <c r="F194">
        <v>0</v>
      </c>
      <c r="G194">
        <v>29.3</v>
      </c>
      <c r="H194">
        <v>0</v>
      </c>
      <c r="I194">
        <v>0</v>
      </c>
      <c r="J194">
        <v>0</v>
      </c>
      <c r="K194">
        <v>0</v>
      </c>
      <c r="L194">
        <v>173</v>
      </c>
      <c r="M194">
        <v>252</v>
      </c>
      <c r="N194" t="s">
        <v>23</v>
      </c>
      <c r="O194" s="3">
        <v>44944</v>
      </c>
      <c r="P194">
        <v>-1</v>
      </c>
      <c r="S194" s="3">
        <v>43759</v>
      </c>
      <c r="T194" t="s">
        <v>55</v>
      </c>
      <c r="U194">
        <v>102</v>
      </c>
      <c r="V194">
        <v>18.524999999999999</v>
      </c>
    </row>
    <row r="195" spans="1:22" x14ac:dyDescent="0.35">
      <c r="A195" s="3">
        <v>44692</v>
      </c>
      <c r="B195" t="s">
        <v>29</v>
      </c>
      <c r="C195">
        <v>0</v>
      </c>
      <c r="D195">
        <v>0</v>
      </c>
      <c r="E195">
        <v>0</v>
      </c>
      <c r="F195">
        <v>0</v>
      </c>
      <c r="G195">
        <v>32.162700000000001</v>
      </c>
      <c r="H195">
        <v>0</v>
      </c>
      <c r="I195">
        <v>0</v>
      </c>
      <c r="J195">
        <v>0</v>
      </c>
      <c r="K195">
        <v>0</v>
      </c>
      <c r="L195">
        <v>5</v>
      </c>
      <c r="M195">
        <v>7</v>
      </c>
      <c r="N195" t="s">
        <v>29</v>
      </c>
      <c r="O195" s="3">
        <v>44699</v>
      </c>
      <c r="P195">
        <v>-1</v>
      </c>
      <c r="T195" t="s">
        <v>54</v>
      </c>
      <c r="U195">
        <v>122</v>
      </c>
      <c r="V195">
        <v>18.675000000000001</v>
      </c>
    </row>
    <row r="196" spans="1:22" x14ac:dyDescent="0.35">
      <c r="A196" s="3">
        <v>44692</v>
      </c>
      <c r="B196" t="s">
        <v>25</v>
      </c>
      <c r="C196">
        <v>0</v>
      </c>
      <c r="D196">
        <v>0</v>
      </c>
      <c r="E196">
        <v>0</v>
      </c>
      <c r="F196">
        <v>0</v>
      </c>
      <c r="G196">
        <v>30.4404</v>
      </c>
      <c r="H196">
        <v>0</v>
      </c>
      <c r="I196">
        <v>0</v>
      </c>
      <c r="J196">
        <v>0</v>
      </c>
      <c r="K196">
        <v>0</v>
      </c>
      <c r="L196">
        <v>112</v>
      </c>
      <c r="M196">
        <v>161</v>
      </c>
      <c r="N196" t="s">
        <v>25</v>
      </c>
      <c r="O196" s="3">
        <v>44853</v>
      </c>
      <c r="P196">
        <v>-1</v>
      </c>
      <c r="T196" t="s">
        <v>53</v>
      </c>
      <c r="U196">
        <v>147</v>
      </c>
      <c r="V196">
        <v>18.725000000000001</v>
      </c>
    </row>
    <row r="197" spans="1:22" x14ac:dyDescent="0.35">
      <c r="A197" s="3">
        <v>44692</v>
      </c>
      <c r="B197" t="s">
        <v>20</v>
      </c>
      <c r="C197">
        <v>0</v>
      </c>
      <c r="D197">
        <v>0</v>
      </c>
      <c r="E197">
        <v>0</v>
      </c>
      <c r="F197">
        <v>0</v>
      </c>
      <c r="G197">
        <v>29.739100000000001</v>
      </c>
      <c r="H197">
        <v>0</v>
      </c>
      <c r="I197">
        <v>0</v>
      </c>
      <c r="J197">
        <v>0</v>
      </c>
      <c r="K197">
        <v>0</v>
      </c>
      <c r="L197">
        <v>132</v>
      </c>
      <c r="M197">
        <v>189</v>
      </c>
      <c r="N197" t="s">
        <v>20</v>
      </c>
      <c r="O197" s="3">
        <v>44881</v>
      </c>
      <c r="P197">
        <v>-1</v>
      </c>
      <c r="T197" t="s">
        <v>52</v>
      </c>
      <c r="U197">
        <v>166</v>
      </c>
      <c r="V197">
        <v>18.850000000000001</v>
      </c>
    </row>
    <row r="198" spans="1:22" x14ac:dyDescent="0.35">
      <c r="A198" s="3">
        <v>44691</v>
      </c>
      <c r="B198" t="s">
        <v>21</v>
      </c>
      <c r="C198">
        <v>0</v>
      </c>
      <c r="D198">
        <v>0</v>
      </c>
      <c r="E198">
        <v>0</v>
      </c>
      <c r="F198">
        <v>0</v>
      </c>
      <c r="G198">
        <v>28.65</v>
      </c>
      <c r="H198">
        <v>0</v>
      </c>
      <c r="I198">
        <v>0</v>
      </c>
      <c r="J198">
        <v>0</v>
      </c>
      <c r="K198">
        <v>0</v>
      </c>
      <c r="L198">
        <v>157</v>
      </c>
      <c r="M198">
        <v>225</v>
      </c>
      <c r="N198" t="s">
        <v>21</v>
      </c>
      <c r="O198" s="3">
        <v>44916</v>
      </c>
      <c r="P198">
        <v>-1</v>
      </c>
      <c r="S198" s="3">
        <v>43760</v>
      </c>
      <c r="T198" t="s">
        <v>55</v>
      </c>
      <c r="U198">
        <v>101</v>
      </c>
      <c r="V198">
        <v>18.725000000000001</v>
      </c>
    </row>
    <row r="199" spans="1:22" x14ac:dyDescent="0.35">
      <c r="A199" s="3">
        <v>44691</v>
      </c>
      <c r="B199" t="s">
        <v>22</v>
      </c>
      <c r="C199">
        <v>0</v>
      </c>
      <c r="D199">
        <v>0</v>
      </c>
      <c r="E199">
        <v>0</v>
      </c>
      <c r="F199">
        <v>0</v>
      </c>
      <c r="G199">
        <v>31.5975</v>
      </c>
      <c r="H199">
        <v>0</v>
      </c>
      <c r="I199">
        <v>0</v>
      </c>
      <c r="J199">
        <v>0</v>
      </c>
      <c r="K199">
        <v>0</v>
      </c>
      <c r="L199">
        <v>49</v>
      </c>
      <c r="M199">
        <v>71</v>
      </c>
      <c r="N199" t="s">
        <v>22</v>
      </c>
      <c r="O199" s="3">
        <v>44762</v>
      </c>
      <c r="P199">
        <v>-1</v>
      </c>
      <c r="T199" t="s">
        <v>54</v>
      </c>
      <c r="U199">
        <v>121</v>
      </c>
      <c r="V199">
        <v>18.925000000000001</v>
      </c>
    </row>
    <row r="200" spans="1:22" x14ac:dyDescent="0.35">
      <c r="A200" s="3">
        <v>44691</v>
      </c>
      <c r="B200" t="s">
        <v>23</v>
      </c>
      <c r="C200">
        <v>0</v>
      </c>
      <c r="D200">
        <v>0</v>
      </c>
      <c r="E200">
        <v>0</v>
      </c>
      <c r="F200">
        <v>0</v>
      </c>
      <c r="G200">
        <v>29.074999999999999</v>
      </c>
      <c r="H200">
        <v>0</v>
      </c>
      <c r="I200">
        <v>0</v>
      </c>
      <c r="J200">
        <v>0</v>
      </c>
      <c r="K200">
        <v>0</v>
      </c>
      <c r="L200">
        <v>174</v>
      </c>
      <c r="M200">
        <v>253</v>
      </c>
      <c r="N200" t="s">
        <v>23</v>
      </c>
      <c r="O200" s="3">
        <v>44944</v>
      </c>
      <c r="P200">
        <v>-1</v>
      </c>
      <c r="T200" t="s">
        <v>53</v>
      </c>
      <c r="U200">
        <v>146</v>
      </c>
      <c r="V200">
        <v>18.925000000000001</v>
      </c>
    </row>
    <row r="201" spans="1:22" x14ac:dyDescent="0.35">
      <c r="A201" s="3">
        <v>44691</v>
      </c>
      <c r="B201" t="s">
        <v>29</v>
      </c>
      <c r="C201">
        <v>0</v>
      </c>
      <c r="D201">
        <v>0</v>
      </c>
      <c r="E201">
        <v>0</v>
      </c>
      <c r="F201">
        <v>0</v>
      </c>
      <c r="G201">
        <v>32.253999999999998</v>
      </c>
      <c r="H201">
        <v>0</v>
      </c>
      <c r="I201">
        <v>0</v>
      </c>
      <c r="J201">
        <v>0</v>
      </c>
      <c r="K201">
        <v>0</v>
      </c>
      <c r="L201">
        <v>6</v>
      </c>
      <c r="M201">
        <v>8</v>
      </c>
      <c r="N201" t="s">
        <v>29</v>
      </c>
      <c r="O201" s="3">
        <v>44699</v>
      </c>
      <c r="P201">
        <v>-1</v>
      </c>
      <c r="T201" t="s">
        <v>52</v>
      </c>
      <c r="U201">
        <v>165</v>
      </c>
      <c r="V201">
        <v>19</v>
      </c>
    </row>
    <row r="202" spans="1:22" x14ac:dyDescent="0.35">
      <c r="A202" s="3">
        <v>44691</v>
      </c>
      <c r="B202" t="s">
        <v>25</v>
      </c>
      <c r="C202">
        <v>0</v>
      </c>
      <c r="D202">
        <v>0</v>
      </c>
      <c r="E202">
        <v>0</v>
      </c>
      <c r="F202">
        <v>0</v>
      </c>
      <c r="G202">
        <v>30.301300000000001</v>
      </c>
      <c r="H202">
        <v>0</v>
      </c>
      <c r="I202">
        <v>0</v>
      </c>
      <c r="J202">
        <v>0</v>
      </c>
      <c r="K202">
        <v>0</v>
      </c>
      <c r="L202">
        <v>113</v>
      </c>
      <c r="M202">
        <v>162</v>
      </c>
      <c r="N202" t="s">
        <v>25</v>
      </c>
      <c r="O202" s="3">
        <v>44853</v>
      </c>
      <c r="P202">
        <v>-1</v>
      </c>
      <c r="S202" s="3">
        <v>43761</v>
      </c>
      <c r="T202" t="s">
        <v>55</v>
      </c>
      <c r="U202">
        <v>100</v>
      </c>
      <c r="V202">
        <v>18.524999999999999</v>
      </c>
    </row>
    <row r="203" spans="1:22" x14ac:dyDescent="0.35">
      <c r="A203" s="3">
        <v>44691</v>
      </c>
      <c r="B203" t="s">
        <v>20</v>
      </c>
      <c r="C203">
        <v>0</v>
      </c>
      <c r="D203">
        <v>0</v>
      </c>
      <c r="E203">
        <v>0</v>
      </c>
      <c r="F203">
        <v>0</v>
      </c>
      <c r="G203">
        <v>29.55</v>
      </c>
      <c r="H203">
        <v>0</v>
      </c>
      <c r="I203">
        <v>0</v>
      </c>
      <c r="J203">
        <v>0</v>
      </c>
      <c r="K203">
        <v>0</v>
      </c>
      <c r="L203">
        <v>133</v>
      </c>
      <c r="M203">
        <v>190</v>
      </c>
      <c r="N203" t="s">
        <v>20</v>
      </c>
      <c r="O203" s="3">
        <v>44881</v>
      </c>
      <c r="P203">
        <v>-1</v>
      </c>
      <c r="T203" t="s">
        <v>54</v>
      </c>
      <c r="U203">
        <v>120</v>
      </c>
      <c r="V203">
        <v>18.725000000000001</v>
      </c>
    </row>
    <row r="204" spans="1:22" x14ac:dyDescent="0.35">
      <c r="A204" s="3">
        <v>44691</v>
      </c>
      <c r="B204" t="s">
        <v>26</v>
      </c>
      <c r="C204">
        <v>0</v>
      </c>
      <c r="D204">
        <v>0</v>
      </c>
      <c r="E204">
        <v>0</v>
      </c>
      <c r="F204">
        <v>0</v>
      </c>
      <c r="G204">
        <v>31.05</v>
      </c>
      <c r="H204">
        <v>0</v>
      </c>
      <c r="I204">
        <v>0</v>
      </c>
      <c r="J204">
        <v>0</v>
      </c>
      <c r="K204">
        <v>0</v>
      </c>
      <c r="L204">
        <v>69</v>
      </c>
      <c r="M204">
        <v>99</v>
      </c>
      <c r="N204" t="s">
        <v>26</v>
      </c>
      <c r="O204" s="3">
        <v>44790</v>
      </c>
      <c r="P204">
        <v>-1</v>
      </c>
      <c r="T204" t="s">
        <v>53</v>
      </c>
      <c r="U204">
        <v>145</v>
      </c>
      <c r="V204">
        <v>18.774999999999999</v>
      </c>
    </row>
    <row r="205" spans="1:22" x14ac:dyDescent="0.35">
      <c r="A205" s="3">
        <v>44691</v>
      </c>
      <c r="B205" t="s">
        <v>27</v>
      </c>
      <c r="C205">
        <v>0</v>
      </c>
      <c r="D205">
        <v>0</v>
      </c>
      <c r="E205">
        <v>0</v>
      </c>
      <c r="F205">
        <v>0</v>
      </c>
      <c r="G205">
        <v>30.679300000000001</v>
      </c>
      <c r="H205">
        <v>0</v>
      </c>
      <c r="I205">
        <v>0</v>
      </c>
      <c r="J205">
        <v>0</v>
      </c>
      <c r="K205">
        <v>0</v>
      </c>
      <c r="L205">
        <v>93</v>
      </c>
      <c r="M205">
        <v>134</v>
      </c>
      <c r="N205" t="s">
        <v>27</v>
      </c>
      <c r="O205" s="3">
        <v>44825</v>
      </c>
      <c r="P205">
        <v>-1</v>
      </c>
      <c r="T205" t="s">
        <v>52</v>
      </c>
      <c r="U205">
        <v>164</v>
      </c>
      <c r="V205">
        <v>18.850000000000001</v>
      </c>
    </row>
    <row r="206" spans="1:22" x14ac:dyDescent="0.35">
      <c r="A206" s="3">
        <v>44691</v>
      </c>
      <c r="B206" t="s">
        <v>28</v>
      </c>
      <c r="C206">
        <v>0</v>
      </c>
      <c r="D206">
        <v>0</v>
      </c>
      <c r="E206">
        <v>0</v>
      </c>
      <c r="F206">
        <v>0</v>
      </c>
      <c r="G206">
        <v>31.961400000000001</v>
      </c>
      <c r="H206">
        <v>0</v>
      </c>
      <c r="I206">
        <v>0</v>
      </c>
      <c r="J206">
        <v>0</v>
      </c>
      <c r="K206">
        <v>0</v>
      </c>
      <c r="L206">
        <v>25</v>
      </c>
      <c r="M206">
        <v>36</v>
      </c>
      <c r="N206" t="s">
        <v>28</v>
      </c>
      <c r="O206" s="3">
        <v>44727</v>
      </c>
      <c r="P206">
        <v>-1</v>
      </c>
      <c r="S206" s="3">
        <v>43762</v>
      </c>
      <c r="T206" t="s">
        <v>55</v>
      </c>
      <c r="U206">
        <v>99</v>
      </c>
      <c r="V206">
        <v>18.574999999999999</v>
      </c>
    </row>
    <row r="207" spans="1:22" x14ac:dyDescent="0.35">
      <c r="A207" s="3">
        <v>44690</v>
      </c>
      <c r="B207" t="s">
        <v>26</v>
      </c>
      <c r="C207">
        <v>0</v>
      </c>
      <c r="D207">
        <v>0</v>
      </c>
      <c r="E207">
        <v>0</v>
      </c>
      <c r="F207">
        <v>0</v>
      </c>
      <c r="G207">
        <v>31.837499999999999</v>
      </c>
      <c r="H207">
        <v>0</v>
      </c>
      <c r="I207">
        <v>0</v>
      </c>
      <c r="J207">
        <v>0</v>
      </c>
      <c r="K207">
        <v>0</v>
      </c>
      <c r="L207">
        <v>70</v>
      </c>
      <c r="M207">
        <v>100</v>
      </c>
      <c r="N207" t="s">
        <v>26</v>
      </c>
      <c r="O207" s="3">
        <v>44790</v>
      </c>
      <c r="P207">
        <v>-1</v>
      </c>
      <c r="T207" t="s">
        <v>54</v>
      </c>
      <c r="U207">
        <v>119</v>
      </c>
      <c r="V207">
        <v>18.774999999999999</v>
      </c>
    </row>
    <row r="208" spans="1:22" x14ac:dyDescent="0.35">
      <c r="A208" s="3">
        <v>44690</v>
      </c>
      <c r="B208" t="s">
        <v>27</v>
      </c>
      <c r="C208">
        <v>0</v>
      </c>
      <c r="D208">
        <v>0</v>
      </c>
      <c r="E208">
        <v>0</v>
      </c>
      <c r="F208">
        <v>0</v>
      </c>
      <c r="G208">
        <v>31.398599999999998</v>
      </c>
      <c r="H208">
        <v>0</v>
      </c>
      <c r="I208">
        <v>0</v>
      </c>
      <c r="J208">
        <v>0</v>
      </c>
      <c r="K208">
        <v>0</v>
      </c>
      <c r="L208">
        <v>94</v>
      </c>
      <c r="M208">
        <v>135</v>
      </c>
      <c r="N208" t="s">
        <v>27</v>
      </c>
      <c r="O208" s="3">
        <v>44825</v>
      </c>
      <c r="P208">
        <v>-1</v>
      </c>
      <c r="T208" t="s">
        <v>53</v>
      </c>
      <c r="U208">
        <v>144</v>
      </c>
      <c r="V208">
        <v>18.824999999999999</v>
      </c>
    </row>
    <row r="209" spans="1:22" x14ac:dyDescent="0.35">
      <c r="A209" s="3">
        <v>44690</v>
      </c>
      <c r="B209" t="s">
        <v>28</v>
      </c>
      <c r="C209">
        <v>0</v>
      </c>
      <c r="D209">
        <v>0</v>
      </c>
      <c r="E209">
        <v>0</v>
      </c>
      <c r="F209">
        <v>0</v>
      </c>
      <c r="G209">
        <v>33.070300000000003</v>
      </c>
      <c r="H209">
        <v>0</v>
      </c>
      <c r="I209">
        <v>0</v>
      </c>
      <c r="J209">
        <v>0</v>
      </c>
      <c r="K209">
        <v>0</v>
      </c>
      <c r="L209">
        <v>26</v>
      </c>
      <c r="M209">
        <v>37</v>
      </c>
      <c r="N209" t="s">
        <v>28</v>
      </c>
      <c r="O209" s="3">
        <v>44727</v>
      </c>
      <c r="P209">
        <v>-1</v>
      </c>
      <c r="T209" t="s">
        <v>52</v>
      </c>
      <c r="U209">
        <v>163</v>
      </c>
      <c r="V209">
        <v>18.95</v>
      </c>
    </row>
    <row r="210" spans="1:22" x14ac:dyDescent="0.35">
      <c r="A210" s="3">
        <v>44690</v>
      </c>
      <c r="B210" t="s">
        <v>21</v>
      </c>
      <c r="C210">
        <v>0</v>
      </c>
      <c r="D210">
        <v>0</v>
      </c>
      <c r="E210">
        <v>0</v>
      </c>
      <c r="F210">
        <v>0</v>
      </c>
      <c r="G210">
        <v>29.129200000000001</v>
      </c>
      <c r="H210">
        <v>0</v>
      </c>
      <c r="I210">
        <v>0</v>
      </c>
      <c r="J210">
        <v>0</v>
      </c>
      <c r="K210">
        <v>0</v>
      </c>
      <c r="L210">
        <v>158</v>
      </c>
      <c r="M210">
        <v>226</v>
      </c>
      <c r="N210" t="s">
        <v>21</v>
      </c>
      <c r="O210" s="3">
        <v>44916</v>
      </c>
      <c r="P210">
        <v>-1</v>
      </c>
      <c r="S210" s="3">
        <v>43763</v>
      </c>
      <c r="T210" t="s">
        <v>55</v>
      </c>
      <c r="U210">
        <v>98</v>
      </c>
      <c r="V210">
        <v>18.324999999999999</v>
      </c>
    </row>
    <row r="211" spans="1:22" x14ac:dyDescent="0.35">
      <c r="A211" s="3">
        <v>44690</v>
      </c>
      <c r="B211" t="s">
        <v>22</v>
      </c>
      <c r="C211">
        <v>0</v>
      </c>
      <c r="D211">
        <v>0</v>
      </c>
      <c r="E211">
        <v>0</v>
      </c>
      <c r="F211">
        <v>0</v>
      </c>
      <c r="G211">
        <v>32.419699999999999</v>
      </c>
      <c r="H211">
        <v>0</v>
      </c>
      <c r="I211">
        <v>0</v>
      </c>
      <c r="J211">
        <v>0</v>
      </c>
      <c r="K211">
        <v>0</v>
      </c>
      <c r="L211">
        <v>50</v>
      </c>
      <c r="M211">
        <v>72</v>
      </c>
      <c r="N211" t="s">
        <v>22</v>
      </c>
      <c r="O211" s="3">
        <v>44762</v>
      </c>
      <c r="P211">
        <v>-1</v>
      </c>
      <c r="T211" t="s">
        <v>54</v>
      </c>
      <c r="U211">
        <v>118</v>
      </c>
      <c r="V211">
        <v>18.574999999999999</v>
      </c>
    </row>
    <row r="212" spans="1:22" x14ac:dyDescent="0.35">
      <c r="A212" s="3">
        <v>44690</v>
      </c>
      <c r="B212" t="s">
        <v>23</v>
      </c>
      <c r="C212">
        <v>0</v>
      </c>
      <c r="D212">
        <v>0</v>
      </c>
      <c r="E212">
        <v>0</v>
      </c>
      <c r="F212">
        <v>0</v>
      </c>
      <c r="G212">
        <v>29.5</v>
      </c>
      <c r="H212">
        <v>0</v>
      </c>
      <c r="I212">
        <v>0</v>
      </c>
      <c r="J212">
        <v>0</v>
      </c>
      <c r="K212">
        <v>0</v>
      </c>
      <c r="L212">
        <v>175</v>
      </c>
      <c r="M212">
        <v>254</v>
      </c>
      <c r="N212" t="s">
        <v>23</v>
      </c>
      <c r="O212" s="3">
        <v>44944</v>
      </c>
      <c r="P212">
        <v>-1</v>
      </c>
      <c r="T212" t="s">
        <v>53</v>
      </c>
      <c r="U212">
        <v>143</v>
      </c>
      <c r="V212">
        <v>18.649999999999999</v>
      </c>
    </row>
    <row r="213" spans="1:22" x14ac:dyDescent="0.35">
      <c r="A213" s="3">
        <v>44690</v>
      </c>
      <c r="B213" t="s">
        <v>29</v>
      </c>
      <c r="C213">
        <v>0</v>
      </c>
      <c r="D213">
        <v>0</v>
      </c>
      <c r="E213">
        <v>0</v>
      </c>
      <c r="F213">
        <v>0</v>
      </c>
      <c r="G213">
        <v>33.816800000000001</v>
      </c>
      <c r="H213">
        <v>0</v>
      </c>
      <c r="I213">
        <v>0</v>
      </c>
      <c r="J213">
        <v>0</v>
      </c>
      <c r="K213">
        <v>0</v>
      </c>
      <c r="L213">
        <v>7</v>
      </c>
      <c r="M213">
        <v>9</v>
      </c>
      <c r="N213" t="s">
        <v>29</v>
      </c>
      <c r="O213" s="3">
        <v>44699</v>
      </c>
      <c r="P213">
        <v>-1</v>
      </c>
      <c r="T213" t="s">
        <v>52</v>
      </c>
      <c r="U213">
        <v>162</v>
      </c>
      <c r="V213">
        <v>18.75</v>
      </c>
    </row>
    <row r="214" spans="1:22" x14ac:dyDescent="0.35">
      <c r="A214" s="3">
        <v>44690</v>
      </c>
      <c r="B214" t="s">
        <v>25</v>
      </c>
      <c r="C214">
        <v>0</v>
      </c>
      <c r="D214">
        <v>0</v>
      </c>
      <c r="E214">
        <v>0</v>
      </c>
      <c r="F214">
        <v>0</v>
      </c>
      <c r="G214">
        <v>30.917400000000001</v>
      </c>
      <c r="H214">
        <v>0</v>
      </c>
      <c r="I214">
        <v>0</v>
      </c>
      <c r="J214">
        <v>0</v>
      </c>
      <c r="K214">
        <v>0</v>
      </c>
      <c r="L214">
        <v>114</v>
      </c>
      <c r="M214">
        <v>163</v>
      </c>
      <c r="N214" t="s">
        <v>25</v>
      </c>
      <c r="O214" s="3">
        <v>44853</v>
      </c>
      <c r="P214">
        <v>-1</v>
      </c>
      <c r="T214" t="s">
        <v>51</v>
      </c>
      <c r="U214">
        <v>187</v>
      </c>
      <c r="V214">
        <v>18.899999999999999</v>
      </c>
    </row>
    <row r="215" spans="1:22" x14ac:dyDescent="0.35">
      <c r="A215" s="3">
        <v>44690</v>
      </c>
      <c r="B215" t="s">
        <v>20</v>
      </c>
      <c r="C215">
        <v>0</v>
      </c>
      <c r="D215">
        <v>0</v>
      </c>
      <c r="E215">
        <v>0</v>
      </c>
      <c r="F215">
        <v>0</v>
      </c>
      <c r="G215">
        <v>30.045300000000001</v>
      </c>
      <c r="H215">
        <v>0</v>
      </c>
      <c r="I215">
        <v>0</v>
      </c>
      <c r="J215">
        <v>0</v>
      </c>
      <c r="K215">
        <v>0</v>
      </c>
      <c r="L215">
        <v>134</v>
      </c>
      <c r="M215">
        <v>191</v>
      </c>
      <c r="N215" t="s">
        <v>20</v>
      </c>
      <c r="O215" s="3">
        <v>44881</v>
      </c>
      <c r="P215">
        <v>-1</v>
      </c>
      <c r="S215" s="3">
        <v>43766</v>
      </c>
      <c r="T215" t="s">
        <v>55</v>
      </c>
      <c r="U215">
        <v>97</v>
      </c>
      <c r="V215">
        <v>18.425000000000001</v>
      </c>
    </row>
    <row r="216" spans="1:22" x14ac:dyDescent="0.35">
      <c r="A216" s="3">
        <v>44687</v>
      </c>
      <c r="B216" t="s">
        <v>21</v>
      </c>
      <c r="C216">
        <v>0</v>
      </c>
      <c r="D216">
        <v>0</v>
      </c>
      <c r="E216">
        <v>0</v>
      </c>
      <c r="F216">
        <v>0</v>
      </c>
      <c r="G216">
        <v>28.247199999999999</v>
      </c>
      <c r="H216">
        <v>0</v>
      </c>
      <c r="I216">
        <v>0</v>
      </c>
      <c r="J216">
        <v>0</v>
      </c>
      <c r="K216">
        <v>0</v>
      </c>
      <c r="L216">
        <v>159</v>
      </c>
      <c r="M216">
        <v>229</v>
      </c>
      <c r="N216" t="s">
        <v>21</v>
      </c>
      <c r="O216" s="3">
        <v>44916</v>
      </c>
      <c r="P216">
        <v>-1</v>
      </c>
      <c r="T216" t="s">
        <v>54</v>
      </c>
      <c r="U216">
        <v>117</v>
      </c>
      <c r="V216">
        <v>18.625</v>
      </c>
    </row>
    <row r="217" spans="1:22" x14ac:dyDescent="0.35">
      <c r="A217" s="3">
        <v>44687</v>
      </c>
      <c r="B217" t="s">
        <v>22</v>
      </c>
      <c r="C217">
        <v>0</v>
      </c>
      <c r="D217">
        <v>0</v>
      </c>
      <c r="E217">
        <v>0</v>
      </c>
      <c r="F217">
        <v>0</v>
      </c>
      <c r="G217">
        <v>30.619599999999998</v>
      </c>
      <c r="H217">
        <v>0</v>
      </c>
      <c r="I217">
        <v>0</v>
      </c>
      <c r="J217">
        <v>0</v>
      </c>
      <c r="K217">
        <v>0</v>
      </c>
      <c r="L217">
        <v>51</v>
      </c>
      <c r="M217">
        <v>75</v>
      </c>
      <c r="N217" t="s">
        <v>22</v>
      </c>
      <c r="O217" s="3">
        <v>44762</v>
      </c>
      <c r="P217">
        <v>-1</v>
      </c>
      <c r="T217" t="s">
        <v>53</v>
      </c>
      <c r="U217">
        <v>142</v>
      </c>
      <c r="V217">
        <v>18.675000000000001</v>
      </c>
    </row>
    <row r="218" spans="1:22" x14ac:dyDescent="0.35">
      <c r="A218" s="3">
        <v>44687</v>
      </c>
      <c r="B218" t="s">
        <v>23</v>
      </c>
      <c r="C218">
        <v>0</v>
      </c>
      <c r="D218">
        <v>0</v>
      </c>
      <c r="E218">
        <v>0</v>
      </c>
      <c r="F218">
        <v>0</v>
      </c>
      <c r="G218">
        <v>28.65</v>
      </c>
      <c r="H218">
        <v>0</v>
      </c>
      <c r="I218">
        <v>0</v>
      </c>
      <c r="J218">
        <v>0</v>
      </c>
      <c r="K218">
        <v>0</v>
      </c>
      <c r="L218">
        <v>176</v>
      </c>
      <c r="M218">
        <v>257</v>
      </c>
      <c r="N218" t="s">
        <v>23</v>
      </c>
      <c r="O218" s="3">
        <v>44944</v>
      </c>
      <c r="P218">
        <v>-1</v>
      </c>
      <c r="T218" t="s">
        <v>52</v>
      </c>
      <c r="U218">
        <v>161</v>
      </c>
      <c r="V218">
        <v>18.774999999999999</v>
      </c>
    </row>
    <row r="219" spans="1:22" x14ac:dyDescent="0.35">
      <c r="A219" s="3">
        <v>44687</v>
      </c>
      <c r="B219" t="s">
        <v>29</v>
      </c>
      <c r="C219">
        <v>0</v>
      </c>
      <c r="D219">
        <v>0</v>
      </c>
      <c r="E219">
        <v>0</v>
      </c>
      <c r="F219">
        <v>0</v>
      </c>
      <c r="G219">
        <v>30.811800000000002</v>
      </c>
      <c r="H219">
        <v>0</v>
      </c>
      <c r="I219">
        <v>0</v>
      </c>
      <c r="J219">
        <v>0</v>
      </c>
      <c r="K219">
        <v>0</v>
      </c>
      <c r="L219">
        <v>8</v>
      </c>
      <c r="M219">
        <v>12</v>
      </c>
      <c r="N219" t="s">
        <v>29</v>
      </c>
      <c r="O219" s="3">
        <v>44699</v>
      </c>
      <c r="P219">
        <v>-1</v>
      </c>
      <c r="S219" s="3">
        <v>43767</v>
      </c>
      <c r="T219" t="s">
        <v>55</v>
      </c>
      <c r="U219">
        <v>96</v>
      </c>
      <c r="V219">
        <v>18.475000000000001</v>
      </c>
    </row>
    <row r="220" spans="1:22" x14ac:dyDescent="0.35">
      <c r="A220" s="3">
        <v>44687</v>
      </c>
      <c r="B220" t="s">
        <v>25</v>
      </c>
      <c r="C220">
        <v>0</v>
      </c>
      <c r="D220">
        <v>0</v>
      </c>
      <c r="E220">
        <v>0</v>
      </c>
      <c r="F220">
        <v>0</v>
      </c>
      <c r="G220">
        <v>29.746700000000001</v>
      </c>
      <c r="H220">
        <v>0</v>
      </c>
      <c r="I220">
        <v>0</v>
      </c>
      <c r="J220">
        <v>0</v>
      </c>
      <c r="K220">
        <v>0</v>
      </c>
      <c r="L220">
        <v>115</v>
      </c>
      <c r="M220">
        <v>166</v>
      </c>
      <c r="N220" t="s">
        <v>25</v>
      </c>
      <c r="O220" s="3">
        <v>44853</v>
      </c>
      <c r="P220">
        <v>-1</v>
      </c>
      <c r="T220" t="s">
        <v>54</v>
      </c>
      <c r="U220">
        <v>116</v>
      </c>
      <c r="V220">
        <v>18.675000000000001</v>
      </c>
    </row>
    <row r="221" spans="1:22" x14ac:dyDescent="0.35">
      <c r="A221" s="3">
        <v>44687</v>
      </c>
      <c r="B221" t="s">
        <v>20</v>
      </c>
      <c r="C221">
        <v>0</v>
      </c>
      <c r="D221">
        <v>0</v>
      </c>
      <c r="E221">
        <v>0</v>
      </c>
      <c r="F221">
        <v>0</v>
      </c>
      <c r="G221">
        <v>29.05</v>
      </c>
      <c r="H221">
        <v>0</v>
      </c>
      <c r="I221">
        <v>0</v>
      </c>
      <c r="J221">
        <v>0</v>
      </c>
      <c r="K221">
        <v>0</v>
      </c>
      <c r="L221">
        <v>135</v>
      </c>
      <c r="M221">
        <v>194</v>
      </c>
      <c r="N221" t="s">
        <v>20</v>
      </c>
      <c r="O221" s="3">
        <v>44881</v>
      </c>
      <c r="P221">
        <v>-1</v>
      </c>
      <c r="T221" t="s">
        <v>53</v>
      </c>
      <c r="U221">
        <v>141</v>
      </c>
      <c r="V221">
        <v>18.725000000000001</v>
      </c>
    </row>
    <row r="222" spans="1:22" x14ac:dyDescent="0.35">
      <c r="A222" s="3">
        <v>44687</v>
      </c>
      <c r="B222" t="s">
        <v>26</v>
      </c>
      <c r="C222">
        <v>0</v>
      </c>
      <c r="D222">
        <v>0</v>
      </c>
      <c r="E222">
        <v>0</v>
      </c>
      <c r="F222">
        <v>0</v>
      </c>
      <c r="G222">
        <v>30.238</v>
      </c>
      <c r="H222">
        <v>0</v>
      </c>
      <c r="I222">
        <v>0</v>
      </c>
      <c r="J222">
        <v>0</v>
      </c>
      <c r="K222">
        <v>0</v>
      </c>
      <c r="L222">
        <v>71</v>
      </c>
      <c r="M222">
        <v>103</v>
      </c>
      <c r="N222" t="s">
        <v>26</v>
      </c>
      <c r="O222" s="3">
        <v>44790</v>
      </c>
      <c r="P222">
        <v>-1</v>
      </c>
      <c r="T222" t="s">
        <v>52</v>
      </c>
      <c r="U222">
        <v>160</v>
      </c>
      <c r="V222">
        <v>18.850000000000001</v>
      </c>
    </row>
    <row r="223" spans="1:22" x14ac:dyDescent="0.35">
      <c r="A223" s="3">
        <v>44687</v>
      </c>
      <c r="B223" t="s">
        <v>27</v>
      </c>
      <c r="C223">
        <v>0</v>
      </c>
      <c r="D223">
        <v>0</v>
      </c>
      <c r="E223">
        <v>0</v>
      </c>
      <c r="F223">
        <v>0</v>
      </c>
      <c r="G223">
        <v>29.999700000000001</v>
      </c>
      <c r="H223">
        <v>0</v>
      </c>
      <c r="I223">
        <v>0</v>
      </c>
      <c r="J223">
        <v>0</v>
      </c>
      <c r="K223">
        <v>0</v>
      </c>
      <c r="L223">
        <v>95</v>
      </c>
      <c r="M223">
        <v>138</v>
      </c>
      <c r="N223" t="s">
        <v>27</v>
      </c>
      <c r="O223" s="3">
        <v>44825</v>
      </c>
      <c r="P223">
        <v>-1</v>
      </c>
      <c r="T223" t="s">
        <v>51</v>
      </c>
      <c r="U223">
        <v>185</v>
      </c>
      <c r="V223">
        <v>18.875</v>
      </c>
    </row>
    <row r="224" spans="1:22" x14ac:dyDescent="0.35">
      <c r="A224" s="3">
        <v>44687</v>
      </c>
      <c r="B224" t="s">
        <v>28</v>
      </c>
      <c r="C224">
        <v>0</v>
      </c>
      <c r="D224">
        <v>0</v>
      </c>
      <c r="E224">
        <v>0</v>
      </c>
      <c r="F224">
        <v>0</v>
      </c>
      <c r="G224">
        <v>30.789000000000001</v>
      </c>
      <c r="H224">
        <v>0</v>
      </c>
      <c r="I224">
        <v>0</v>
      </c>
      <c r="J224">
        <v>0</v>
      </c>
      <c r="K224">
        <v>0</v>
      </c>
      <c r="L224">
        <v>27</v>
      </c>
      <c r="M224">
        <v>40</v>
      </c>
      <c r="N224" t="s">
        <v>28</v>
      </c>
      <c r="O224" s="3">
        <v>44727</v>
      </c>
      <c r="P224">
        <v>-1</v>
      </c>
      <c r="S224" s="3">
        <v>43768</v>
      </c>
      <c r="T224" t="s">
        <v>55</v>
      </c>
      <c r="U224">
        <v>95</v>
      </c>
      <c r="V224">
        <v>18.225000000000001</v>
      </c>
    </row>
    <row r="225" spans="1:22" x14ac:dyDescent="0.35">
      <c r="A225" s="3">
        <v>44686</v>
      </c>
      <c r="B225" t="s">
        <v>26</v>
      </c>
      <c r="C225">
        <v>0</v>
      </c>
      <c r="D225">
        <v>0</v>
      </c>
      <c r="E225">
        <v>0</v>
      </c>
      <c r="F225">
        <v>0</v>
      </c>
      <c r="G225">
        <v>30.533000000000001</v>
      </c>
      <c r="H225">
        <v>0</v>
      </c>
      <c r="I225">
        <v>0</v>
      </c>
      <c r="J225">
        <v>0</v>
      </c>
      <c r="K225">
        <v>0</v>
      </c>
      <c r="L225">
        <v>72</v>
      </c>
      <c r="M225">
        <v>104</v>
      </c>
      <c r="N225" t="s">
        <v>26</v>
      </c>
      <c r="O225" s="3">
        <v>44790</v>
      </c>
      <c r="P225">
        <v>-1</v>
      </c>
      <c r="T225" t="s">
        <v>54</v>
      </c>
      <c r="U225">
        <v>115</v>
      </c>
      <c r="V225">
        <v>18.475000000000001</v>
      </c>
    </row>
    <row r="226" spans="1:22" x14ac:dyDescent="0.35">
      <c r="A226" s="3">
        <v>44686</v>
      </c>
      <c r="B226" t="s">
        <v>27</v>
      </c>
      <c r="C226">
        <v>0</v>
      </c>
      <c r="D226">
        <v>0</v>
      </c>
      <c r="E226">
        <v>0</v>
      </c>
      <c r="F226">
        <v>0</v>
      </c>
      <c r="G226">
        <v>30.174700000000001</v>
      </c>
      <c r="H226">
        <v>0</v>
      </c>
      <c r="I226">
        <v>0</v>
      </c>
      <c r="J226">
        <v>0</v>
      </c>
      <c r="K226">
        <v>0</v>
      </c>
      <c r="L226">
        <v>96</v>
      </c>
      <c r="M226">
        <v>139</v>
      </c>
      <c r="N226" t="s">
        <v>27</v>
      </c>
      <c r="O226" s="3">
        <v>44825</v>
      </c>
      <c r="P226">
        <v>-1</v>
      </c>
      <c r="T226" t="s">
        <v>53</v>
      </c>
      <c r="U226">
        <v>140</v>
      </c>
      <c r="V226">
        <v>18.475000000000001</v>
      </c>
    </row>
    <row r="227" spans="1:22" x14ac:dyDescent="0.35">
      <c r="A227" s="3">
        <v>44686</v>
      </c>
      <c r="B227" t="s">
        <v>28</v>
      </c>
      <c r="C227">
        <v>0</v>
      </c>
      <c r="D227">
        <v>0</v>
      </c>
      <c r="E227">
        <v>0</v>
      </c>
      <c r="F227">
        <v>0</v>
      </c>
      <c r="G227">
        <v>31.372199999999999</v>
      </c>
      <c r="H227">
        <v>0</v>
      </c>
      <c r="I227">
        <v>0</v>
      </c>
      <c r="J227">
        <v>0</v>
      </c>
      <c r="K227">
        <v>0</v>
      </c>
      <c r="L227">
        <v>28</v>
      </c>
      <c r="M227">
        <v>41</v>
      </c>
      <c r="N227" t="s">
        <v>28</v>
      </c>
      <c r="O227" s="3">
        <v>44727</v>
      </c>
      <c r="P227">
        <v>-1</v>
      </c>
      <c r="T227" t="s">
        <v>52</v>
      </c>
      <c r="U227">
        <v>159</v>
      </c>
      <c r="V227">
        <v>18.600000000000001</v>
      </c>
    </row>
    <row r="228" spans="1:22" x14ac:dyDescent="0.35">
      <c r="A228" s="3">
        <v>44686</v>
      </c>
      <c r="B228" t="s">
        <v>21</v>
      </c>
      <c r="C228">
        <v>0</v>
      </c>
      <c r="D228">
        <v>0</v>
      </c>
      <c r="E228">
        <v>0</v>
      </c>
      <c r="F228">
        <v>0</v>
      </c>
      <c r="G228">
        <v>28.185700000000001</v>
      </c>
      <c r="H228">
        <v>0</v>
      </c>
      <c r="I228">
        <v>0</v>
      </c>
      <c r="J228">
        <v>0</v>
      </c>
      <c r="K228">
        <v>0</v>
      </c>
      <c r="L228">
        <v>160</v>
      </c>
      <c r="M228">
        <v>230</v>
      </c>
      <c r="N228" t="s">
        <v>21</v>
      </c>
      <c r="O228" s="3">
        <v>44916</v>
      </c>
      <c r="P228">
        <v>-1</v>
      </c>
      <c r="T228" t="s">
        <v>51</v>
      </c>
      <c r="U228">
        <v>184</v>
      </c>
      <c r="V228">
        <v>18.8</v>
      </c>
    </row>
    <row r="229" spans="1:22" x14ac:dyDescent="0.35">
      <c r="A229" s="3">
        <v>44686</v>
      </c>
      <c r="B229" t="s">
        <v>22</v>
      </c>
      <c r="C229">
        <v>0</v>
      </c>
      <c r="D229">
        <v>0</v>
      </c>
      <c r="E229">
        <v>0</v>
      </c>
      <c r="F229">
        <v>0</v>
      </c>
      <c r="G229">
        <v>31.1129</v>
      </c>
      <c r="H229">
        <v>0</v>
      </c>
      <c r="I229">
        <v>0</v>
      </c>
      <c r="J229">
        <v>0</v>
      </c>
      <c r="K229">
        <v>0</v>
      </c>
      <c r="L229">
        <v>52</v>
      </c>
      <c r="M229">
        <v>76</v>
      </c>
      <c r="N229" t="s">
        <v>22</v>
      </c>
      <c r="O229" s="3">
        <v>44762</v>
      </c>
      <c r="P229">
        <v>-1</v>
      </c>
      <c r="S229" s="3">
        <v>43769</v>
      </c>
      <c r="T229" t="s">
        <v>55</v>
      </c>
      <c r="U229">
        <v>94</v>
      </c>
      <c r="V229">
        <v>18.375</v>
      </c>
    </row>
    <row r="230" spans="1:22" x14ac:dyDescent="0.35">
      <c r="A230" s="3">
        <v>44686</v>
      </c>
      <c r="B230" t="s">
        <v>23</v>
      </c>
      <c r="C230">
        <v>0</v>
      </c>
      <c r="D230">
        <v>0</v>
      </c>
      <c r="E230">
        <v>0</v>
      </c>
      <c r="F230">
        <v>0</v>
      </c>
      <c r="G230">
        <v>28.475000000000001</v>
      </c>
      <c r="H230">
        <v>0</v>
      </c>
      <c r="I230">
        <v>0</v>
      </c>
      <c r="J230">
        <v>0</v>
      </c>
      <c r="K230">
        <v>0</v>
      </c>
      <c r="L230">
        <v>177</v>
      </c>
      <c r="M230">
        <v>258</v>
      </c>
      <c r="N230" t="s">
        <v>23</v>
      </c>
      <c r="O230" s="3">
        <v>44944</v>
      </c>
      <c r="P230">
        <v>-1</v>
      </c>
      <c r="T230" t="s">
        <v>54</v>
      </c>
      <c r="U230">
        <v>114</v>
      </c>
      <c r="V230">
        <v>18.574999999999999</v>
      </c>
    </row>
    <row r="231" spans="1:22" x14ac:dyDescent="0.35">
      <c r="A231" s="3">
        <v>44686</v>
      </c>
      <c r="B231" t="s">
        <v>29</v>
      </c>
      <c r="C231">
        <v>0</v>
      </c>
      <c r="D231">
        <v>0</v>
      </c>
      <c r="E231">
        <v>0</v>
      </c>
      <c r="F231">
        <v>0</v>
      </c>
      <c r="G231">
        <v>31.327100000000002</v>
      </c>
      <c r="H231">
        <v>0</v>
      </c>
      <c r="I231">
        <v>0</v>
      </c>
      <c r="J231">
        <v>0</v>
      </c>
      <c r="K231">
        <v>0</v>
      </c>
      <c r="L231">
        <v>9</v>
      </c>
      <c r="M231">
        <v>13</v>
      </c>
      <c r="N231" t="s">
        <v>29</v>
      </c>
      <c r="O231" s="3">
        <v>44699</v>
      </c>
      <c r="P231">
        <v>-1</v>
      </c>
      <c r="T231" t="s">
        <v>53</v>
      </c>
      <c r="U231">
        <v>139</v>
      </c>
      <c r="V231">
        <v>18.600000000000001</v>
      </c>
    </row>
    <row r="232" spans="1:22" x14ac:dyDescent="0.35">
      <c r="A232" s="3">
        <v>44686</v>
      </c>
      <c r="B232" t="s">
        <v>25</v>
      </c>
      <c r="C232">
        <v>0</v>
      </c>
      <c r="D232">
        <v>0</v>
      </c>
      <c r="E232">
        <v>0</v>
      </c>
      <c r="F232">
        <v>0</v>
      </c>
      <c r="G232">
        <v>29.788900000000002</v>
      </c>
      <c r="H232">
        <v>0</v>
      </c>
      <c r="I232">
        <v>0</v>
      </c>
      <c r="J232">
        <v>0</v>
      </c>
      <c r="K232">
        <v>0</v>
      </c>
      <c r="L232">
        <v>116</v>
      </c>
      <c r="M232">
        <v>167</v>
      </c>
      <c r="N232" t="s">
        <v>25</v>
      </c>
      <c r="O232" s="3">
        <v>44853</v>
      </c>
      <c r="P232">
        <v>-1</v>
      </c>
      <c r="T232" t="s">
        <v>52</v>
      </c>
      <c r="U232">
        <v>158</v>
      </c>
      <c r="V232">
        <v>18.675000000000001</v>
      </c>
    </row>
    <row r="233" spans="1:22" x14ac:dyDescent="0.35">
      <c r="A233" s="3">
        <v>44686</v>
      </c>
      <c r="B233" t="s">
        <v>20</v>
      </c>
      <c r="C233">
        <v>0</v>
      </c>
      <c r="D233">
        <v>0</v>
      </c>
      <c r="E233">
        <v>0</v>
      </c>
      <c r="F233">
        <v>0</v>
      </c>
      <c r="G233">
        <v>29.1069</v>
      </c>
      <c r="H233">
        <v>0</v>
      </c>
      <c r="I233">
        <v>0</v>
      </c>
      <c r="J233">
        <v>0</v>
      </c>
      <c r="K233">
        <v>0</v>
      </c>
      <c r="L233">
        <v>136</v>
      </c>
      <c r="M233">
        <v>195</v>
      </c>
      <c r="N233" t="s">
        <v>20</v>
      </c>
      <c r="O233" s="3">
        <v>44881</v>
      </c>
      <c r="P233">
        <v>-1</v>
      </c>
      <c r="T233" t="s">
        <v>51</v>
      </c>
      <c r="U233">
        <v>183</v>
      </c>
      <c r="V233">
        <v>18.824999999999999</v>
      </c>
    </row>
    <row r="234" spans="1:22" x14ac:dyDescent="0.35">
      <c r="A234" s="3">
        <v>44685</v>
      </c>
      <c r="B234" t="s">
        <v>21</v>
      </c>
      <c r="C234">
        <v>0</v>
      </c>
      <c r="D234">
        <v>0</v>
      </c>
      <c r="E234">
        <v>0</v>
      </c>
      <c r="F234">
        <v>0</v>
      </c>
      <c r="G234">
        <v>26.4</v>
      </c>
      <c r="H234">
        <v>0</v>
      </c>
      <c r="I234">
        <v>0</v>
      </c>
      <c r="J234">
        <v>0</v>
      </c>
      <c r="K234">
        <v>0</v>
      </c>
      <c r="L234">
        <v>161</v>
      </c>
      <c r="M234">
        <v>231</v>
      </c>
      <c r="N234" t="s">
        <v>21</v>
      </c>
      <c r="O234" s="3">
        <v>44916</v>
      </c>
      <c r="P234">
        <v>-1</v>
      </c>
      <c r="S234" s="3">
        <v>43770</v>
      </c>
      <c r="T234" t="s">
        <v>55</v>
      </c>
      <c r="U234">
        <v>93</v>
      </c>
      <c r="V234">
        <v>18.125</v>
      </c>
    </row>
    <row r="235" spans="1:22" x14ac:dyDescent="0.35">
      <c r="A235" s="3">
        <v>44685</v>
      </c>
      <c r="B235" t="s">
        <v>22</v>
      </c>
      <c r="C235">
        <v>0</v>
      </c>
      <c r="D235">
        <v>0</v>
      </c>
      <c r="E235">
        <v>0</v>
      </c>
      <c r="F235">
        <v>0</v>
      </c>
      <c r="G235">
        <v>27.6128</v>
      </c>
      <c r="H235">
        <v>0</v>
      </c>
      <c r="I235">
        <v>0</v>
      </c>
      <c r="J235">
        <v>0</v>
      </c>
      <c r="K235">
        <v>0</v>
      </c>
      <c r="L235">
        <v>53</v>
      </c>
      <c r="M235">
        <v>77</v>
      </c>
      <c r="N235" t="s">
        <v>22</v>
      </c>
      <c r="O235" s="3">
        <v>44762</v>
      </c>
      <c r="P235">
        <v>-1</v>
      </c>
      <c r="T235" t="s">
        <v>54</v>
      </c>
      <c r="U235">
        <v>113</v>
      </c>
      <c r="V235">
        <v>18.324999999999999</v>
      </c>
    </row>
    <row r="236" spans="1:22" x14ac:dyDescent="0.35">
      <c r="A236" s="3">
        <v>44685</v>
      </c>
      <c r="B236" t="s">
        <v>23</v>
      </c>
      <c r="C236">
        <v>0</v>
      </c>
      <c r="D236">
        <v>0</v>
      </c>
      <c r="E236">
        <v>0</v>
      </c>
      <c r="F236">
        <v>0</v>
      </c>
      <c r="G236">
        <v>26.925000000000001</v>
      </c>
      <c r="H236">
        <v>0</v>
      </c>
      <c r="I236">
        <v>0</v>
      </c>
      <c r="J236">
        <v>0</v>
      </c>
      <c r="K236">
        <v>0</v>
      </c>
      <c r="L236">
        <v>178</v>
      </c>
      <c r="M236">
        <v>259</v>
      </c>
      <c r="N236" t="s">
        <v>23</v>
      </c>
      <c r="O236" s="3">
        <v>44944</v>
      </c>
      <c r="P236">
        <v>-1</v>
      </c>
      <c r="T236" t="s">
        <v>53</v>
      </c>
      <c r="U236">
        <v>138</v>
      </c>
      <c r="V236">
        <v>18.375</v>
      </c>
    </row>
    <row r="237" spans="1:22" x14ac:dyDescent="0.35">
      <c r="A237" s="3">
        <v>44685</v>
      </c>
      <c r="B237" t="s">
        <v>29</v>
      </c>
      <c r="C237">
        <v>0</v>
      </c>
      <c r="D237">
        <v>0</v>
      </c>
      <c r="E237">
        <v>0</v>
      </c>
      <c r="F237">
        <v>0</v>
      </c>
      <c r="G237">
        <v>25.762</v>
      </c>
      <c r="H237">
        <v>0</v>
      </c>
      <c r="I237">
        <v>0</v>
      </c>
      <c r="J237">
        <v>0</v>
      </c>
      <c r="K237">
        <v>0</v>
      </c>
      <c r="L237">
        <v>10</v>
      </c>
      <c r="M237">
        <v>14</v>
      </c>
      <c r="N237" t="s">
        <v>29</v>
      </c>
      <c r="O237" s="3">
        <v>44699</v>
      </c>
      <c r="P237">
        <v>-1</v>
      </c>
      <c r="T237" t="s">
        <v>52</v>
      </c>
      <c r="U237">
        <v>157</v>
      </c>
      <c r="V237">
        <v>18.5</v>
      </c>
    </row>
    <row r="238" spans="1:22" x14ac:dyDescent="0.35">
      <c r="A238" s="3">
        <v>44685</v>
      </c>
      <c r="B238" t="s">
        <v>25</v>
      </c>
      <c r="C238">
        <v>0</v>
      </c>
      <c r="D238">
        <v>0</v>
      </c>
      <c r="E238">
        <v>0</v>
      </c>
      <c r="F238">
        <v>0</v>
      </c>
      <c r="G238">
        <v>27.781700000000001</v>
      </c>
      <c r="H238">
        <v>0</v>
      </c>
      <c r="I238">
        <v>0</v>
      </c>
      <c r="J238">
        <v>0</v>
      </c>
      <c r="K238">
        <v>0</v>
      </c>
      <c r="L238">
        <v>117</v>
      </c>
      <c r="M238">
        <v>168</v>
      </c>
      <c r="N238" t="s">
        <v>25</v>
      </c>
      <c r="O238" s="3">
        <v>44853</v>
      </c>
      <c r="P238">
        <v>-1</v>
      </c>
      <c r="T238" t="s">
        <v>51</v>
      </c>
      <c r="U238">
        <v>182</v>
      </c>
      <c r="V238">
        <v>18.7</v>
      </c>
    </row>
    <row r="239" spans="1:22" x14ac:dyDescent="0.35">
      <c r="A239" s="3">
        <v>44685</v>
      </c>
      <c r="B239" t="s">
        <v>20</v>
      </c>
      <c r="C239">
        <v>0</v>
      </c>
      <c r="D239">
        <v>0</v>
      </c>
      <c r="E239">
        <v>0</v>
      </c>
      <c r="F239">
        <v>0</v>
      </c>
      <c r="G239">
        <v>27.205300000000001</v>
      </c>
      <c r="H239">
        <v>0</v>
      </c>
      <c r="I239">
        <v>0</v>
      </c>
      <c r="J239">
        <v>0</v>
      </c>
      <c r="K239">
        <v>0</v>
      </c>
      <c r="L239">
        <v>137</v>
      </c>
      <c r="M239">
        <v>196</v>
      </c>
      <c r="N239" t="s">
        <v>20</v>
      </c>
      <c r="O239" s="3">
        <v>44881</v>
      </c>
      <c r="P239">
        <v>-1</v>
      </c>
      <c r="S239" s="3">
        <v>43773</v>
      </c>
      <c r="T239" t="s">
        <v>55</v>
      </c>
      <c r="U239">
        <v>92</v>
      </c>
      <c r="V239">
        <v>18.074999999999999</v>
      </c>
    </row>
    <row r="240" spans="1:22" x14ac:dyDescent="0.35">
      <c r="A240" s="3">
        <v>44685</v>
      </c>
      <c r="B240" t="s">
        <v>26</v>
      </c>
      <c r="C240">
        <v>0</v>
      </c>
      <c r="D240">
        <v>0</v>
      </c>
      <c r="E240">
        <v>0</v>
      </c>
      <c r="F240">
        <v>0</v>
      </c>
      <c r="G240">
        <v>27.644500000000001</v>
      </c>
      <c r="H240">
        <v>0</v>
      </c>
      <c r="I240">
        <v>0</v>
      </c>
      <c r="J240">
        <v>0</v>
      </c>
      <c r="K240">
        <v>0</v>
      </c>
      <c r="L240">
        <v>73</v>
      </c>
      <c r="M240">
        <v>105</v>
      </c>
      <c r="N240" t="s">
        <v>26</v>
      </c>
      <c r="O240" s="3">
        <v>44790</v>
      </c>
      <c r="P240">
        <v>-1</v>
      </c>
      <c r="T240" t="s">
        <v>54</v>
      </c>
      <c r="U240">
        <v>112</v>
      </c>
      <c r="V240">
        <v>18.274999999999999</v>
      </c>
    </row>
    <row r="241" spans="1:22" x14ac:dyDescent="0.35">
      <c r="A241" s="3">
        <v>44685</v>
      </c>
      <c r="B241" t="s">
        <v>27</v>
      </c>
      <c r="C241">
        <v>0</v>
      </c>
      <c r="D241">
        <v>0</v>
      </c>
      <c r="E241">
        <v>0</v>
      </c>
      <c r="F241">
        <v>0</v>
      </c>
      <c r="G241">
        <v>27.771000000000001</v>
      </c>
      <c r="H241">
        <v>0</v>
      </c>
      <c r="I241">
        <v>0</v>
      </c>
      <c r="J241">
        <v>0</v>
      </c>
      <c r="K241">
        <v>0</v>
      </c>
      <c r="L241">
        <v>97</v>
      </c>
      <c r="M241">
        <v>140</v>
      </c>
      <c r="N241" t="s">
        <v>27</v>
      </c>
      <c r="O241" s="3">
        <v>44825</v>
      </c>
      <c r="P241">
        <v>-1</v>
      </c>
      <c r="T241" t="s">
        <v>53</v>
      </c>
      <c r="U241">
        <v>137</v>
      </c>
      <c r="V241">
        <v>18.324999999999999</v>
      </c>
    </row>
    <row r="242" spans="1:22" x14ac:dyDescent="0.35">
      <c r="A242" s="3">
        <v>44685</v>
      </c>
      <c r="B242" t="s">
        <v>28</v>
      </c>
      <c r="C242">
        <v>0</v>
      </c>
      <c r="D242">
        <v>0</v>
      </c>
      <c r="E242">
        <v>0</v>
      </c>
      <c r="F242">
        <v>0</v>
      </c>
      <c r="G242">
        <v>26.985399999999998</v>
      </c>
      <c r="H242">
        <v>0</v>
      </c>
      <c r="I242">
        <v>0</v>
      </c>
      <c r="J242">
        <v>0</v>
      </c>
      <c r="K242">
        <v>0</v>
      </c>
      <c r="L242">
        <v>29</v>
      </c>
      <c r="M242">
        <v>42</v>
      </c>
      <c r="N242" t="s">
        <v>28</v>
      </c>
      <c r="O242" s="3">
        <v>44727</v>
      </c>
      <c r="P242">
        <v>-1</v>
      </c>
      <c r="T242" t="s">
        <v>52</v>
      </c>
      <c r="U242">
        <v>156</v>
      </c>
      <c r="V242">
        <v>18.399999999999999</v>
      </c>
    </row>
    <row r="243" spans="1:22" x14ac:dyDescent="0.35">
      <c r="A243" s="3">
        <v>44684</v>
      </c>
      <c r="B243" t="s">
        <v>26</v>
      </c>
      <c r="C243">
        <v>0</v>
      </c>
      <c r="D243">
        <v>0</v>
      </c>
      <c r="E243">
        <v>0</v>
      </c>
      <c r="F243">
        <v>0</v>
      </c>
      <c r="G243">
        <v>29.100999999999999</v>
      </c>
      <c r="H243">
        <v>0</v>
      </c>
      <c r="I243">
        <v>0</v>
      </c>
      <c r="J243">
        <v>0</v>
      </c>
      <c r="K243">
        <v>0</v>
      </c>
      <c r="L243">
        <v>74</v>
      </c>
      <c r="M243">
        <v>106</v>
      </c>
      <c r="N243" t="s">
        <v>26</v>
      </c>
      <c r="O243" s="3">
        <v>44790</v>
      </c>
      <c r="P243">
        <v>-1</v>
      </c>
      <c r="T243" t="s">
        <v>51</v>
      </c>
      <c r="U243">
        <v>181</v>
      </c>
      <c r="V243">
        <v>18.5</v>
      </c>
    </row>
    <row r="244" spans="1:22" x14ac:dyDescent="0.35">
      <c r="A244" s="3">
        <v>44684</v>
      </c>
      <c r="B244" t="s">
        <v>27</v>
      </c>
      <c r="C244">
        <v>0</v>
      </c>
      <c r="D244">
        <v>0</v>
      </c>
      <c r="E244">
        <v>0</v>
      </c>
      <c r="F244">
        <v>0</v>
      </c>
      <c r="G244">
        <v>29.01</v>
      </c>
      <c r="H244">
        <v>0</v>
      </c>
      <c r="I244">
        <v>0</v>
      </c>
      <c r="J244">
        <v>0</v>
      </c>
      <c r="K244">
        <v>0</v>
      </c>
      <c r="L244">
        <v>98</v>
      </c>
      <c r="M244">
        <v>141</v>
      </c>
      <c r="N244" t="s">
        <v>27</v>
      </c>
      <c r="O244" s="3">
        <v>44825</v>
      </c>
      <c r="P244">
        <v>-1</v>
      </c>
      <c r="S244" s="3">
        <v>43774</v>
      </c>
      <c r="T244" t="s">
        <v>55</v>
      </c>
      <c r="U244">
        <v>91</v>
      </c>
      <c r="V244">
        <v>18.324999999999999</v>
      </c>
    </row>
    <row r="245" spans="1:22" x14ac:dyDescent="0.35">
      <c r="A245" s="3">
        <v>44684</v>
      </c>
      <c r="B245" t="s">
        <v>28</v>
      </c>
      <c r="C245">
        <v>0</v>
      </c>
      <c r="D245">
        <v>0</v>
      </c>
      <c r="E245">
        <v>0</v>
      </c>
      <c r="F245">
        <v>0</v>
      </c>
      <c r="G245">
        <v>29.337700000000002</v>
      </c>
      <c r="H245">
        <v>0</v>
      </c>
      <c r="I245">
        <v>0</v>
      </c>
      <c r="J245">
        <v>0</v>
      </c>
      <c r="K245">
        <v>0</v>
      </c>
      <c r="L245">
        <v>30</v>
      </c>
      <c r="M245">
        <v>43</v>
      </c>
      <c r="N245" t="s">
        <v>28</v>
      </c>
      <c r="O245" s="3">
        <v>44727</v>
      </c>
      <c r="P245">
        <v>-1</v>
      </c>
      <c r="T245" t="s">
        <v>54</v>
      </c>
      <c r="U245">
        <v>111</v>
      </c>
      <c r="V245">
        <v>18.524999999999999</v>
      </c>
    </row>
    <row r="246" spans="1:22" x14ac:dyDescent="0.35">
      <c r="A246" s="3">
        <v>44684</v>
      </c>
      <c r="B246" t="s">
        <v>21</v>
      </c>
      <c r="C246">
        <v>0</v>
      </c>
      <c r="D246">
        <v>0</v>
      </c>
      <c r="E246">
        <v>0</v>
      </c>
      <c r="F246">
        <v>0</v>
      </c>
      <c r="G246">
        <v>27.324999999999999</v>
      </c>
      <c r="H246">
        <v>0</v>
      </c>
      <c r="I246">
        <v>0</v>
      </c>
      <c r="J246">
        <v>0</v>
      </c>
      <c r="K246">
        <v>0</v>
      </c>
      <c r="L246">
        <v>162</v>
      </c>
      <c r="M246">
        <v>232</v>
      </c>
      <c r="N246" t="s">
        <v>21</v>
      </c>
      <c r="O246" s="3">
        <v>44916</v>
      </c>
      <c r="P246">
        <v>-1</v>
      </c>
      <c r="T246" t="s">
        <v>53</v>
      </c>
      <c r="U246">
        <v>136</v>
      </c>
      <c r="V246">
        <v>18.524999999999999</v>
      </c>
    </row>
    <row r="247" spans="1:22" x14ac:dyDescent="0.35">
      <c r="A247" s="3">
        <v>44684</v>
      </c>
      <c r="B247" t="s">
        <v>22</v>
      </c>
      <c r="C247">
        <v>0</v>
      </c>
      <c r="D247">
        <v>0</v>
      </c>
      <c r="E247">
        <v>0</v>
      </c>
      <c r="F247">
        <v>0</v>
      </c>
      <c r="G247">
        <v>29.3553</v>
      </c>
      <c r="H247">
        <v>0</v>
      </c>
      <c r="I247">
        <v>0</v>
      </c>
      <c r="J247">
        <v>0</v>
      </c>
      <c r="K247">
        <v>0</v>
      </c>
      <c r="L247">
        <v>54</v>
      </c>
      <c r="M247">
        <v>78</v>
      </c>
      <c r="N247" t="s">
        <v>22</v>
      </c>
      <c r="O247" s="3">
        <v>44762</v>
      </c>
      <c r="P247">
        <v>-1</v>
      </c>
      <c r="T247" t="s">
        <v>52</v>
      </c>
      <c r="U247">
        <v>155</v>
      </c>
      <c r="V247">
        <v>18.625</v>
      </c>
    </row>
    <row r="248" spans="1:22" x14ac:dyDescent="0.35">
      <c r="A248" s="3">
        <v>44684</v>
      </c>
      <c r="B248" t="s">
        <v>23</v>
      </c>
      <c r="C248">
        <v>0</v>
      </c>
      <c r="D248">
        <v>0</v>
      </c>
      <c r="E248">
        <v>0</v>
      </c>
      <c r="F248">
        <v>0</v>
      </c>
      <c r="G248">
        <v>27.824999999999999</v>
      </c>
      <c r="H248">
        <v>0</v>
      </c>
      <c r="I248">
        <v>0</v>
      </c>
      <c r="J248">
        <v>0</v>
      </c>
      <c r="K248">
        <v>0</v>
      </c>
      <c r="L248">
        <v>179</v>
      </c>
      <c r="M248">
        <v>260</v>
      </c>
      <c r="N248" t="s">
        <v>23</v>
      </c>
      <c r="O248" s="3">
        <v>44944</v>
      </c>
      <c r="P248">
        <v>-1</v>
      </c>
      <c r="T248" t="s">
        <v>51</v>
      </c>
      <c r="U248">
        <v>180</v>
      </c>
      <c r="V248">
        <v>18.600000000000001</v>
      </c>
    </row>
    <row r="249" spans="1:22" x14ac:dyDescent="0.35">
      <c r="A249" s="3">
        <v>44684</v>
      </c>
      <c r="B249" t="s">
        <v>29</v>
      </c>
      <c r="C249">
        <v>0</v>
      </c>
      <c r="D249">
        <v>0</v>
      </c>
      <c r="E249">
        <v>0</v>
      </c>
      <c r="F249">
        <v>0</v>
      </c>
      <c r="G249">
        <v>28.886399999999998</v>
      </c>
      <c r="H249">
        <v>0</v>
      </c>
      <c r="I249">
        <v>0</v>
      </c>
      <c r="J249">
        <v>0</v>
      </c>
      <c r="K249">
        <v>0</v>
      </c>
      <c r="L249">
        <v>11</v>
      </c>
      <c r="M249">
        <v>15</v>
      </c>
      <c r="N249" t="s">
        <v>29</v>
      </c>
      <c r="O249" s="3">
        <v>44699</v>
      </c>
      <c r="P249">
        <v>-1</v>
      </c>
      <c r="S249" s="3">
        <v>43775</v>
      </c>
      <c r="T249" t="s">
        <v>55</v>
      </c>
      <c r="U249">
        <v>90</v>
      </c>
      <c r="V249">
        <v>18.375</v>
      </c>
    </row>
    <row r="250" spans="1:22" x14ac:dyDescent="0.35">
      <c r="A250" s="3">
        <v>44684</v>
      </c>
      <c r="B250" t="s">
        <v>25</v>
      </c>
      <c r="C250">
        <v>0</v>
      </c>
      <c r="D250">
        <v>0</v>
      </c>
      <c r="E250">
        <v>0</v>
      </c>
      <c r="F250">
        <v>0</v>
      </c>
      <c r="G250">
        <v>28.859400000000001</v>
      </c>
      <c r="H250">
        <v>0</v>
      </c>
      <c r="I250">
        <v>0</v>
      </c>
      <c r="J250">
        <v>0</v>
      </c>
      <c r="K250">
        <v>0</v>
      </c>
      <c r="L250">
        <v>118</v>
      </c>
      <c r="M250">
        <v>169</v>
      </c>
      <c r="N250" t="s">
        <v>25</v>
      </c>
      <c r="O250" s="3">
        <v>44853</v>
      </c>
      <c r="P250">
        <v>-1</v>
      </c>
      <c r="T250" t="s">
        <v>54</v>
      </c>
      <c r="U250">
        <v>110</v>
      </c>
      <c r="V250">
        <v>18.574999999999999</v>
      </c>
    </row>
    <row r="251" spans="1:22" x14ac:dyDescent="0.35">
      <c r="A251" s="3">
        <v>44684</v>
      </c>
      <c r="B251" t="s">
        <v>20</v>
      </c>
      <c r="C251">
        <v>0</v>
      </c>
      <c r="D251">
        <v>0</v>
      </c>
      <c r="E251">
        <v>0</v>
      </c>
      <c r="F251">
        <v>0</v>
      </c>
      <c r="G251">
        <v>28.175000000000001</v>
      </c>
      <c r="H251">
        <v>0</v>
      </c>
      <c r="I251">
        <v>0</v>
      </c>
      <c r="J251">
        <v>0</v>
      </c>
      <c r="K251">
        <v>0</v>
      </c>
      <c r="L251">
        <v>138</v>
      </c>
      <c r="M251">
        <v>197</v>
      </c>
      <c r="N251" t="s">
        <v>20</v>
      </c>
      <c r="O251" s="3">
        <v>44881</v>
      </c>
      <c r="P251">
        <v>-1</v>
      </c>
      <c r="T251" t="s">
        <v>53</v>
      </c>
      <c r="U251">
        <v>135</v>
      </c>
      <c r="V251">
        <v>18.625</v>
      </c>
    </row>
    <row r="252" spans="1:22" x14ac:dyDescent="0.35">
      <c r="A252" s="3">
        <v>44683</v>
      </c>
      <c r="B252" t="s">
        <v>21</v>
      </c>
      <c r="C252">
        <v>0</v>
      </c>
      <c r="D252">
        <v>0</v>
      </c>
      <c r="E252">
        <v>0</v>
      </c>
      <c r="F252">
        <v>0</v>
      </c>
      <c r="G252">
        <v>27.7</v>
      </c>
      <c r="H252">
        <v>0</v>
      </c>
      <c r="I252">
        <v>0</v>
      </c>
      <c r="J252">
        <v>0</v>
      </c>
      <c r="K252">
        <v>0</v>
      </c>
      <c r="L252">
        <v>163</v>
      </c>
      <c r="M252">
        <v>233</v>
      </c>
      <c r="N252" t="s">
        <v>21</v>
      </c>
      <c r="O252" s="3">
        <v>44916</v>
      </c>
      <c r="P252">
        <v>-1</v>
      </c>
      <c r="T252" t="s">
        <v>52</v>
      </c>
      <c r="U252">
        <v>154</v>
      </c>
      <c r="V252">
        <v>18.7</v>
      </c>
    </row>
    <row r="253" spans="1:22" x14ac:dyDescent="0.35">
      <c r="A253" s="3">
        <v>44683</v>
      </c>
      <c r="B253" t="s">
        <v>22</v>
      </c>
      <c r="C253">
        <v>0</v>
      </c>
      <c r="D253">
        <v>0</v>
      </c>
      <c r="E253">
        <v>0</v>
      </c>
      <c r="F253">
        <v>0</v>
      </c>
      <c r="G253">
        <v>30.503399999999999</v>
      </c>
      <c r="H253">
        <v>0</v>
      </c>
      <c r="I253">
        <v>0</v>
      </c>
      <c r="J253">
        <v>0</v>
      </c>
      <c r="K253">
        <v>0</v>
      </c>
      <c r="L253">
        <v>55</v>
      </c>
      <c r="M253">
        <v>79</v>
      </c>
      <c r="N253" t="s">
        <v>22</v>
      </c>
      <c r="O253" s="3">
        <v>44762</v>
      </c>
      <c r="P253">
        <v>-1</v>
      </c>
      <c r="T253" t="s">
        <v>51</v>
      </c>
      <c r="U253">
        <v>179</v>
      </c>
      <c r="V253">
        <v>18.8</v>
      </c>
    </row>
    <row r="254" spans="1:22" x14ac:dyDescent="0.35">
      <c r="A254" s="3">
        <v>44683</v>
      </c>
      <c r="B254" t="s">
        <v>23</v>
      </c>
      <c r="C254">
        <v>0</v>
      </c>
      <c r="D254">
        <v>0</v>
      </c>
      <c r="E254">
        <v>0</v>
      </c>
      <c r="F254">
        <v>0</v>
      </c>
      <c r="G254">
        <v>28.024999999999999</v>
      </c>
      <c r="H254">
        <v>0</v>
      </c>
      <c r="I254">
        <v>0</v>
      </c>
      <c r="J254">
        <v>0</v>
      </c>
      <c r="K254">
        <v>0</v>
      </c>
      <c r="L254">
        <v>180</v>
      </c>
      <c r="M254">
        <v>261</v>
      </c>
      <c r="N254" t="s">
        <v>23</v>
      </c>
      <c r="O254" s="3">
        <v>44944</v>
      </c>
      <c r="P254">
        <v>-1</v>
      </c>
      <c r="S254" s="3">
        <v>43776</v>
      </c>
      <c r="T254" t="s">
        <v>55</v>
      </c>
      <c r="U254">
        <v>89</v>
      </c>
      <c r="V254">
        <v>18.274999999999999</v>
      </c>
    </row>
    <row r="255" spans="1:22" x14ac:dyDescent="0.35">
      <c r="A255" s="3">
        <v>44683</v>
      </c>
      <c r="B255" t="s">
        <v>29</v>
      </c>
      <c r="C255">
        <v>0</v>
      </c>
      <c r="D255">
        <v>0</v>
      </c>
      <c r="E255">
        <v>0</v>
      </c>
      <c r="F255">
        <v>0</v>
      </c>
      <c r="G255">
        <v>30.947700000000001</v>
      </c>
      <c r="H255">
        <v>0</v>
      </c>
      <c r="I255">
        <v>0</v>
      </c>
      <c r="J255">
        <v>0</v>
      </c>
      <c r="K255">
        <v>0</v>
      </c>
      <c r="L255">
        <v>12</v>
      </c>
      <c r="M255">
        <v>16</v>
      </c>
      <c r="N255" t="s">
        <v>29</v>
      </c>
      <c r="O255" s="3">
        <v>44699</v>
      </c>
      <c r="P255">
        <v>-1</v>
      </c>
      <c r="T255" t="s">
        <v>54</v>
      </c>
      <c r="U255">
        <v>109</v>
      </c>
      <c r="V255">
        <v>18.524999999999999</v>
      </c>
    </row>
    <row r="256" spans="1:22" x14ac:dyDescent="0.35">
      <c r="A256" s="3">
        <v>44683</v>
      </c>
      <c r="B256" t="s">
        <v>25</v>
      </c>
      <c r="C256">
        <v>0</v>
      </c>
      <c r="D256">
        <v>0</v>
      </c>
      <c r="E256">
        <v>0</v>
      </c>
      <c r="F256">
        <v>0</v>
      </c>
      <c r="G256">
        <v>29.3491</v>
      </c>
      <c r="H256">
        <v>0</v>
      </c>
      <c r="I256">
        <v>0</v>
      </c>
      <c r="J256">
        <v>0</v>
      </c>
      <c r="K256">
        <v>0</v>
      </c>
      <c r="L256">
        <v>119</v>
      </c>
      <c r="M256">
        <v>170</v>
      </c>
      <c r="N256" t="s">
        <v>25</v>
      </c>
      <c r="O256" s="3">
        <v>44853</v>
      </c>
      <c r="P256">
        <v>-1</v>
      </c>
      <c r="T256" t="s">
        <v>53</v>
      </c>
      <c r="U256">
        <v>134</v>
      </c>
      <c r="V256">
        <v>18.574999999999999</v>
      </c>
    </row>
    <row r="257" spans="1:22" x14ac:dyDescent="0.35">
      <c r="A257" s="3">
        <v>44683</v>
      </c>
      <c r="B257" t="s">
        <v>20</v>
      </c>
      <c r="C257">
        <v>0</v>
      </c>
      <c r="D257">
        <v>0</v>
      </c>
      <c r="E257">
        <v>0</v>
      </c>
      <c r="F257">
        <v>0</v>
      </c>
      <c r="G257">
        <v>28.6433</v>
      </c>
      <c r="H257">
        <v>0</v>
      </c>
      <c r="I257">
        <v>0</v>
      </c>
      <c r="J257">
        <v>0</v>
      </c>
      <c r="K257">
        <v>0</v>
      </c>
      <c r="L257">
        <v>139</v>
      </c>
      <c r="M257">
        <v>198</v>
      </c>
      <c r="N257" t="s">
        <v>20</v>
      </c>
      <c r="O257" s="3">
        <v>44881</v>
      </c>
      <c r="P257">
        <v>-1</v>
      </c>
      <c r="T257" t="s">
        <v>52</v>
      </c>
      <c r="U257">
        <v>153</v>
      </c>
      <c r="V257">
        <v>18.7</v>
      </c>
    </row>
    <row r="258" spans="1:22" x14ac:dyDescent="0.35">
      <c r="A258" s="3">
        <v>44683</v>
      </c>
      <c r="B258" t="s">
        <v>26</v>
      </c>
      <c r="C258">
        <v>0</v>
      </c>
      <c r="D258">
        <v>0</v>
      </c>
      <c r="E258">
        <v>0</v>
      </c>
      <c r="F258">
        <v>0</v>
      </c>
      <c r="G258">
        <v>29.9175</v>
      </c>
      <c r="H258">
        <v>0</v>
      </c>
      <c r="I258">
        <v>0</v>
      </c>
      <c r="J258">
        <v>0</v>
      </c>
      <c r="K258">
        <v>0</v>
      </c>
      <c r="L258">
        <v>75</v>
      </c>
      <c r="M258">
        <v>107</v>
      </c>
      <c r="N258" t="s">
        <v>26</v>
      </c>
      <c r="O258" s="3">
        <v>44790</v>
      </c>
      <c r="P258">
        <v>-1</v>
      </c>
      <c r="T258" t="s">
        <v>51</v>
      </c>
      <c r="U258">
        <v>178</v>
      </c>
      <c r="V258">
        <v>18.75</v>
      </c>
    </row>
    <row r="259" spans="1:22" x14ac:dyDescent="0.35">
      <c r="A259" s="3">
        <v>44683</v>
      </c>
      <c r="B259" t="s">
        <v>27</v>
      </c>
      <c r="C259">
        <v>0</v>
      </c>
      <c r="D259">
        <v>0</v>
      </c>
      <c r="E259">
        <v>0</v>
      </c>
      <c r="F259">
        <v>0</v>
      </c>
      <c r="G259">
        <v>29.614100000000001</v>
      </c>
      <c r="H259">
        <v>0</v>
      </c>
      <c r="I259">
        <v>0</v>
      </c>
      <c r="J259">
        <v>0</v>
      </c>
      <c r="K259">
        <v>0</v>
      </c>
      <c r="L259">
        <v>99</v>
      </c>
      <c r="M259">
        <v>142</v>
      </c>
      <c r="N259" t="s">
        <v>27</v>
      </c>
      <c r="O259" s="3">
        <v>44825</v>
      </c>
      <c r="P259">
        <v>-1</v>
      </c>
      <c r="S259" s="3">
        <v>43777</v>
      </c>
      <c r="T259" t="s">
        <v>55</v>
      </c>
      <c r="U259">
        <v>88</v>
      </c>
      <c r="V259">
        <v>18.225000000000001</v>
      </c>
    </row>
    <row r="260" spans="1:22" x14ac:dyDescent="0.35">
      <c r="A260" s="3">
        <v>44683</v>
      </c>
      <c r="B260" t="s">
        <v>28</v>
      </c>
      <c r="C260">
        <v>0</v>
      </c>
      <c r="D260">
        <v>0</v>
      </c>
      <c r="E260">
        <v>0</v>
      </c>
      <c r="F260">
        <v>0</v>
      </c>
      <c r="G260">
        <v>30.901199999999999</v>
      </c>
      <c r="H260">
        <v>0</v>
      </c>
      <c r="I260">
        <v>0</v>
      </c>
      <c r="J260">
        <v>0</v>
      </c>
      <c r="K260">
        <v>0</v>
      </c>
      <c r="L260">
        <v>31</v>
      </c>
      <c r="M260">
        <v>44</v>
      </c>
      <c r="N260" t="s">
        <v>28</v>
      </c>
      <c r="O260" s="3">
        <v>44727</v>
      </c>
      <c r="P260">
        <v>-1</v>
      </c>
      <c r="T260" t="s">
        <v>54</v>
      </c>
      <c r="U260">
        <v>108</v>
      </c>
      <c r="V260">
        <v>18.5</v>
      </c>
    </row>
    <row r="261" spans="1:22" x14ac:dyDescent="0.35">
      <c r="A261" s="3">
        <v>44680</v>
      </c>
      <c r="B261" t="s">
        <v>26</v>
      </c>
      <c r="C261">
        <v>0</v>
      </c>
      <c r="D261">
        <v>0</v>
      </c>
      <c r="E261">
        <v>0</v>
      </c>
      <c r="F261">
        <v>0</v>
      </c>
      <c r="G261">
        <v>30.004200000000001</v>
      </c>
      <c r="H261">
        <v>0</v>
      </c>
      <c r="I261">
        <v>0</v>
      </c>
      <c r="J261">
        <v>0</v>
      </c>
      <c r="K261">
        <v>0</v>
      </c>
      <c r="L261">
        <v>76</v>
      </c>
      <c r="M261">
        <v>110</v>
      </c>
      <c r="N261" t="s">
        <v>26</v>
      </c>
      <c r="O261" s="3">
        <v>44790</v>
      </c>
      <c r="P261">
        <v>-1</v>
      </c>
      <c r="T261" t="s">
        <v>53</v>
      </c>
      <c r="U261">
        <v>133</v>
      </c>
      <c r="V261">
        <v>18.574999999999999</v>
      </c>
    </row>
    <row r="262" spans="1:22" x14ac:dyDescent="0.35">
      <c r="A262" s="3">
        <v>44680</v>
      </c>
      <c r="B262" t="s">
        <v>27</v>
      </c>
      <c r="C262">
        <v>0</v>
      </c>
      <c r="D262">
        <v>0</v>
      </c>
      <c r="E262">
        <v>0</v>
      </c>
      <c r="F262">
        <v>0</v>
      </c>
      <c r="G262">
        <v>29.786100000000001</v>
      </c>
      <c r="H262">
        <v>0</v>
      </c>
      <c r="I262">
        <v>0</v>
      </c>
      <c r="J262">
        <v>0</v>
      </c>
      <c r="K262">
        <v>0</v>
      </c>
      <c r="L262">
        <v>100</v>
      </c>
      <c r="M262">
        <v>145</v>
      </c>
      <c r="N262" t="s">
        <v>27</v>
      </c>
      <c r="O262" s="3">
        <v>44825</v>
      </c>
      <c r="P262">
        <v>-1</v>
      </c>
      <c r="T262" t="s">
        <v>52</v>
      </c>
      <c r="U262">
        <v>152</v>
      </c>
      <c r="V262">
        <v>18.7</v>
      </c>
    </row>
    <row r="263" spans="1:22" x14ac:dyDescent="0.35">
      <c r="A263" s="3">
        <v>44680</v>
      </c>
      <c r="B263" t="s">
        <v>28</v>
      </c>
      <c r="C263">
        <v>0</v>
      </c>
      <c r="D263">
        <v>0</v>
      </c>
      <c r="E263">
        <v>0</v>
      </c>
      <c r="F263">
        <v>0</v>
      </c>
      <c r="G263">
        <v>31.208500000000001</v>
      </c>
      <c r="H263">
        <v>0</v>
      </c>
      <c r="I263">
        <v>0</v>
      </c>
      <c r="J263">
        <v>0</v>
      </c>
      <c r="K263">
        <v>0</v>
      </c>
      <c r="L263">
        <v>32</v>
      </c>
      <c r="M263">
        <v>47</v>
      </c>
      <c r="N263" t="s">
        <v>28</v>
      </c>
      <c r="O263" s="3">
        <v>44727</v>
      </c>
      <c r="P263">
        <v>-1</v>
      </c>
      <c r="S263" s="3">
        <v>43780</v>
      </c>
      <c r="T263" t="s">
        <v>55</v>
      </c>
      <c r="U263">
        <v>87</v>
      </c>
      <c r="V263">
        <v>18.074999999999999</v>
      </c>
    </row>
    <row r="264" spans="1:22" x14ac:dyDescent="0.35">
      <c r="A264" s="3">
        <v>44680</v>
      </c>
      <c r="B264" t="s">
        <v>21</v>
      </c>
      <c r="C264">
        <v>0</v>
      </c>
      <c r="D264">
        <v>0</v>
      </c>
      <c r="E264">
        <v>0</v>
      </c>
      <c r="F264">
        <v>0</v>
      </c>
      <c r="G264">
        <v>27.824999999999999</v>
      </c>
      <c r="H264">
        <v>0</v>
      </c>
      <c r="I264">
        <v>0</v>
      </c>
      <c r="J264">
        <v>0</v>
      </c>
      <c r="K264">
        <v>0</v>
      </c>
      <c r="L264">
        <v>164</v>
      </c>
      <c r="M264">
        <v>236</v>
      </c>
      <c r="N264" t="s">
        <v>21</v>
      </c>
      <c r="O264" s="3">
        <v>44916</v>
      </c>
      <c r="P264">
        <v>-1</v>
      </c>
      <c r="T264" t="s">
        <v>54</v>
      </c>
      <c r="U264">
        <v>107</v>
      </c>
      <c r="V264">
        <v>18.375</v>
      </c>
    </row>
    <row r="265" spans="1:22" x14ac:dyDescent="0.35">
      <c r="A265" s="3">
        <v>44680</v>
      </c>
      <c r="B265" t="s">
        <v>22</v>
      </c>
      <c r="C265">
        <v>0</v>
      </c>
      <c r="D265">
        <v>0</v>
      </c>
      <c r="E265">
        <v>0</v>
      </c>
      <c r="F265">
        <v>0</v>
      </c>
      <c r="G265">
        <v>30.6328</v>
      </c>
      <c r="H265">
        <v>0</v>
      </c>
      <c r="I265">
        <v>0</v>
      </c>
      <c r="J265">
        <v>0</v>
      </c>
      <c r="K265">
        <v>0</v>
      </c>
      <c r="L265">
        <v>56</v>
      </c>
      <c r="M265">
        <v>82</v>
      </c>
      <c r="N265" t="s">
        <v>22</v>
      </c>
      <c r="O265" s="3">
        <v>44762</v>
      </c>
      <c r="P265">
        <v>-1</v>
      </c>
      <c r="T265" t="s">
        <v>53</v>
      </c>
      <c r="U265">
        <v>132</v>
      </c>
      <c r="V265">
        <v>18.475000000000001</v>
      </c>
    </row>
    <row r="266" spans="1:22" x14ac:dyDescent="0.35">
      <c r="A266" s="3">
        <v>44680</v>
      </c>
      <c r="B266" t="s">
        <v>23</v>
      </c>
      <c r="C266">
        <v>0</v>
      </c>
      <c r="D266">
        <v>0</v>
      </c>
      <c r="E266">
        <v>0</v>
      </c>
      <c r="F266">
        <v>0</v>
      </c>
      <c r="G266">
        <v>27.824999999999999</v>
      </c>
      <c r="H266">
        <v>0</v>
      </c>
      <c r="I266">
        <v>0</v>
      </c>
      <c r="J266">
        <v>0</v>
      </c>
      <c r="K266">
        <v>0</v>
      </c>
      <c r="L266">
        <v>181</v>
      </c>
      <c r="M266">
        <v>264</v>
      </c>
      <c r="N266" t="s">
        <v>23</v>
      </c>
      <c r="O266" s="3">
        <v>44944</v>
      </c>
      <c r="P266">
        <v>-1</v>
      </c>
      <c r="T266" t="s">
        <v>52</v>
      </c>
      <c r="U266">
        <v>151</v>
      </c>
      <c r="V266">
        <v>18.600000000000001</v>
      </c>
    </row>
    <row r="267" spans="1:22" x14ac:dyDescent="0.35">
      <c r="A267" s="3">
        <v>44680</v>
      </c>
      <c r="B267" t="s">
        <v>29</v>
      </c>
      <c r="C267">
        <v>0</v>
      </c>
      <c r="D267">
        <v>0</v>
      </c>
      <c r="E267">
        <v>0</v>
      </c>
      <c r="F267">
        <v>0</v>
      </c>
      <c r="G267">
        <v>31.648700000000002</v>
      </c>
      <c r="H267">
        <v>0</v>
      </c>
      <c r="I267">
        <v>0</v>
      </c>
      <c r="J267">
        <v>0</v>
      </c>
      <c r="K267">
        <v>0</v>
      </c>
      <c r="L267">
        <v>13</v>
      </c>
      <c r="M267">
        <v>19</v>
      </c>
      <c r="N267" t="s">
        <v>29</v>
      </c>
      <c r="O267" s="3">
        <v>44699</v>
      </c>
      <c r="P267">
        <v>-1</v>
      </c>
      <c r="T267" t="s">
        <v>51</v>
      </c>
      <c r="U267">
        <v>176</v>
      </c>
      <c r="V267">
        <v>18.7</v>
      </c>
    </row>
    <row r="268" spans="1:22" x14ac:dyDescent="0.35">
      <c r="A268" s="3">
        <v>44680</v>
      </c>
      <c r="B268" t="s">
        <v>25</v>
      </c>
      <c r="C268">
        <v>0</v>
      </c>
      <c r="D268">
        <v>0</v>
      </c>
      <c r="E268">
        <v>0</v>
      </c>
      <c r="F268">
        <v>0</v>
      </c>
      <c r="G268">
        <v>29.5078</v>
      </c>
      <c r="H268">
        <v>0</v>
      </c>
      <c r="I268">
        <v>0</v>
      </c>
      <c r="J268">
        <v>0</v>
      </c>
      <c r="K268">
        <v>0</v>
      </c>
      <c r="L268">
        <v>120</v>
      </c>
      <c r="M268">
        <v>173</v>
      </c>
      <c r="N268" t="s">
        <v>25</v>
      </c>
      <c r="O268" s="3">
        <v>44853</v>
      </c>
      <c r="P268">
        <v>-1</v>
      </c>
      <c r="S268" s="3">
        <v>43781</v>
      </c>
      <c r="T268" t="s">
        <v>55</v>
      </c>
      <c r="U268">
        <v>86</v>
      </c>
      <c r="V268">
        <v>18.175000000000001</v>
      </c>
    </row>
    <row r="269" spans="1:22" x14ac:dyDescent="0.35">
      <c r="A269" s="3">
        <v>44680</v>
      </c>
      <c r="B269" t="s">
        <v>20</v>
      </c>
      <c r="C269">
        <v>0</v>
      </c>
      <c r="D269">
        <v>0</v>
      </c>
      <c r="E269">
        <v>0</v>
      </c>
      <c r="F269">
        <v>0</v>
      </c>
      <c r="G269">
        <v>28.7865</v>
      </c>
      <c r="H269">
        <v>0</v>
      </c>
      <c r="I269">
        <v>0</v>
      </c>
      <c r="J269">
        <v>0</v>
      </c>
      <c r="K269">
        <v>0</v>
      </c>
      <c r="L269">
        <v>140</v>
      </c>
      <c r="M269">
        <v>201</v>
      </c>
      <c r="N269" t="s">
        <v>20</v>
      </c>
      <c r="O269" s="3">
        <v>44881</v>
      </c>
      <c r="P269">
        <v>-1</v>
      </c>
      <c r="T269" t="s">
        <v>54</v>
      </c>
      <c r="U269">
        <v>106</v>
      </c>
      <c r="V269">
        <v>18.425000000000001</v>
      </c>
    </row>
    <row r="270" spans="1:22" x14ac:dyDescent="0.35">
      <c r="A270" s="3">
        <v>44679</v>
      </c>
      <c r="B270" t="s">
        <v>21</v>
      </c>
      <c r="C270">
        <v>0</v>
      </c>
      <c r="D270">
        <v>0</v>
      </c>
      <c r="E270">
        <v>0</v>
      </c>
      <c r="F270">
        <v>0</v>
      </c>
      <c r="G270">
        <v>27.05</v>
      </c>
      <c r="H270">
        <v>0</v>
      </c>
      <c r="I270">
        <v>0</v>
      </c>
      <c r="J270">
        <v>0</v>
      </c>
      <c r="K270">
        <v>0</v>
      </c>
      <c r="L270">
        <v>165</v>
      </c>
      <c r="M270">
        <v>237</v>
      </c>
      <c r="N270" t="s">
        <v>21</v>
      </c>
      <c r="O270" s="3">
        <v>44916</v>
      </c>
      <c r="P270">
        <v>-1</v>
      </c>
      <c r="T270" t="s">
        <v>53</v>
      </c>
      <c r="U270">
        <v>131</v>
      </c>
      <c r="V270">
        <v>18.524999999999999</v>
      </c>
    </row>
    <row r="271" spans="1:22" x14ac:dyDescent="0.35">
      <c r="A271" s="3">
        <v>44679</v>
      </c>
      <c r="B271" t="s">
        <v>22</v>
      </c>
      <c r="C271">
        <v>0</v>
      </c>
      <c r="D271">
        <v>0</v>
      </c>
      <c r="E271">
        <v>0</v>
      </c>
      <c r="F271">
        <v>0</v>
      </c>
      <c r="G271">
        <v>29.221</v>
      </c>
      <c r="H271">
        <v>0</v>
      </c>
      <c r="I271">
        <v>0</v>
      </c>
      <c r="J271">
        <v>0</v>
      </c>
      <c r="K271">
        <v>0</v>
      </c>
      <c r="L271">
        <v>57</v>
      </c>
      <c r="M271">
        <v>83</v>
      </c>
      <c r="N271" t="s">
        <v>22</v>
      </c>
      <c r="O271" s="3">
        <v>44762</v>
      </c>
      <c r="P271">
        <v>-1</v>
      </c>
      <c r="T271" t="s">
        <v>52</v>
      </c>
      <c r="U271">
        <v>150</v>
      </c>
      <c r="V271">
        <v>18.625</v>
      </c>
    </row>
    <row r="272" spans="1:22" x14ac:dyDescent="0.35">
      <c r="A272" s="3">
        <v>44679</v>
      </c>
      <c r="B272" t="s">
        <v>23</v>
      </c>
      <c r="C272">
        <v>0</v>
      </c>
      <c r="D272">
        <v>0</v>
      </c>
      <c r="E272">
        <v>0</v>
      </c>
      <c r="F272">
        <v>0</v>
      </c>
      <c r="G272">
        <v>27.35</v>
      </c>
      <c r="H272">
        <v>0</v>
      </c>
      <c r="I272">
        <v>0</v>
      </c>
      <c r="J272">
        <v>0</v>
      </c>
      <c r="K272">
        <v>0</v>
      </c>
      <c r="L272">
        <v>182</v>
      </c>
      <c r="M272">
        <v>265</v>
      </c>
      <c r="N272" t="s">
        <v>23</v>
      </c>
      <c r="O272" s="3">
        <v>44944</v>
      </c>
      <c r="P272">
        <v>-1</v>
      </c>
      <c r="T272" t="s">
        <v>51</v>
      </c>
      <c r="U272">
        <v>175</v>
      </c>
      <c r="V272">
        <v>18.774999999999999</v>
      </c>
    </row>
    <row r="273" spans="1:22" x14ac:dyDescent="0.35">
      <c r="A273" s="3">
        <v>44679</v>
      </c>
      <c r="B273" t="s">
        <v>29</v>
      </c>
      <c r="C273">
        <v>0</v>
      </c>
      <c r="D273">
        <v>0</v>
      </c>
      <c r="E273">
        <v>0</v>
      </c>
      <c r="F273">
        <v>0</v>
      </c>
      <c r="G273">
        <v>29.2407</v>
      </c>
      <c r="H273">
        <v>0</v>
      </c>
      <c r="I273">
        <v>0</v>
      </c>
      <c r="J273">
        <v>0</v>
      </c>
      <c r="K273">
        <v>0</v>
      </c>
      <c r="L273">
        <v>14</v>
      </c>
      <c r="M273">
        <v>20</v>
      </c>
      <c r="N273" t="s">
        <v>29</v>
      </c>
      <c r="O273" s="3">
        <v>44699</v>
      </c>
      <c r="P273">
        <v>-1</v>
      </c>
      <c r="S273" s="3">
        <v>43782</v>
      </c>
      <c r="T273" t="s">
        <v>55</v>
      </c>
      <c r="U273">
        <v>85</v>
      </c>
      <c r="V273">
        <v>18.125</v>
      </c>
    </row>
    <row r="274" spans="1:22" x14ac:dyDescent="0.35">
      <c r="A274" s="3">
        <v>44679</v>
      </c>
      <c r="B274" t="s">
        <v>25</v>
      </c>
      <c r="C274">
        <v>0</v>
      </c>
      <c r="D274">
        <v>0</v>
      </c>
      <c r="E274">
        <v>0</v>
      </c>
      <c r="F274">
        <v>0</v>
      </c>
      <c r="G274">
        <v>28.733799999999999</v>
      </c>
      <c r="H274">
        <v>0</v>
      </c>
      <c r="I274">
        <v>0</v>
      </c>
      <c r="J274">
        <v>0</v>
      </c>
      <c r="K274">
        <v>0</v>
      </c>
      <c r="L274">
        <v>121</v>
      </c>
      <c r="M274">
        <v>174</v>
      </c>
      <c r="N274" t="s">
        <v>25</v>
      </c>
      <c r="O274" s="3">
        <v>44853</v>
      </c>
      <c r="P274">
        <v>-1</v>
      </c>
      <c r="T274" t="s">
        <v>54</v>
      </c>
      <c r="U274">
        <v>105</v>
      </c>
      <c r="V274">
        <v>18.425000000000001</v>
      </c>
    </row>
    <row r="275" spans="1:22" x14ac:dyDescent="0.35">
      <c r="A275" s="3">
        <v>44679</v>
      </c>
      <c r="B275" t="s">
        <v>20</v>
      </c>
      <c r="C275">
        <v>0</v>
      </c>
      <c r="D275">
        <v>0</v>
      </c>
      <c r="E275">
        <v>0</v>
      </c>
      <c r="F275">
        <v>0</v>
      </c>
      <c r="G275">
        <v>28.046399999999998</v>
      </c>
      <c r="H275">
        <v>0</v>
      </c>
      <c r="I275">
        <v>0</v>
      </c>
      <c r="J275">
        <v>0</v>
      </c>
      <c r="K275">
        <v>0</v>
      </c>
      <c r="L275">
        <v>141</v>
      </c>
      <c r="M275">
        <v>202</v>
      </c>
      <c r="N275" t="s">
        <v>20</v>
      </c>
      <c r="O275" s="3">
        <v>44881</v>
      </c>
      <c r="P275">
        <v>-1</v>
      </c>
      <c r="T275" t="s">
        <v>53</v>
      </c>
      <c r="U275">
        <v>130</v>
      </c>
      <c r="V275">
        <v>18.524999999999999</v>
      </c>
    </row>
    <row r="276" spans="1:22" x14ac:dyDescent="0.35">
      <c r="A276" s="3">
        <v>44679</v>
      </c>
      <c r="B276" t="s">
        <v>26</v>
      </c>
      <c r="C276">
        <v>0</v>
      </c>
      <c r="D276">
        <v>0</v>
      </c>
      <c r="E276">
        <v>0</v>
      </c>
      <c r="F276">
        <v>0</v>
      </c>
      <c r="G276">
        <v>28.9084</v>
      </c>
      <c r="H276">
        <v>0</v>
      </c>
      <c r="I276">
        <v>0</v>
      </c>
      <c r="J276">
        <v>0</v>
      </c>
      <c r="K276">
        <v>0</v>
      </c>
      <c r="L276">
        <v>77</v>
      </c>
      <c r="M276">
        <v>111</v>
      </c>
      <c r="N276" t="s">
        <v>26</v>
      </c>
      <c r="O276" s="3">
        <v>44790</v>
      </c>
      <c r="P276">
        <v>-1</v>
      </c>
      <c r="T276" t="s">
        <v>52</v>
      </c>
      <c r="U276">
        <v>149</v>
      </c>
      <c r="V276">
        <v>18.625</v>
      </c>
    </row>
    <row r="277" spans="1:22" x14ac:dyDescent="0.35">
      <c r="A277" s="3">
        <v>44679</v>
      </c>
      <c r="B277" t="s">
        <v>27</v>
      </c>
      <c r="C277">
        <v>0</v>
      </c>
      <c r="D277">
        <v>0</v>
      </c>
      <c r="E277">
        <v>0</v>
      </c>
      <c r="F277">
        <v>0</v>
      </c>
      <c r="G277">
        <v>28.843499999999999</v>
      </c>
      <c r="H277">
        <v>0</v>
      </c>
      <c r="I277">
        <v>0</v>
      </c>
      <c r="J277">
        <v>0</v>
      </c>
      <c r="K277">
        <v>0</v>
      </c>
      <c r="L277">
        <v>101</v>
      </c>
      <c r="M277">
        <v>146</v>
      </c>
      <c r="N277" t="s">
        <v>27</v>
      </c>
      <c r="O277" s="3">
        <v>44825</v>
      </c>
      <c r="P277">
        <v>-1</v>
      </c>
      <c r="T277" t="s">
        <v>51</v>
      </c>
      <c r="U277">
        <v>174</v>
      </c>
      <c r="V277">
        <v>18.725000000000001</v>
      </c>
    </row>
    <row r="278" spans="1:22" x14ac:dyDescent="0.35">
      <c r="A278" s="3">
        <v>44679</v>
      </c>
      <c r="B278" t="s">
        <v>28</v>
      </c>
      <c r="C278">
        <v>0</v>
      </c>
      <c r="D278">
        <v>0</v>
      </c>
      <c r="E278">
        <v>0</v>
      </c>
      <c r="F278">
        <v>0</v>
      </c>
      <c r="G278">
        <v>29.281500000000001</v>
      </c>
      <c r="H278">
        <v>0</v>
      </c>
      <c r="I278">
        <v>0</v>
      </c>
      <c r="J278">
        <v>0</v>
      </c>
      <c r="K278">
        <v>0</v>
      </c>
      <c r="L278">
        <v>33</v>
      </c>
      <c r="M278">
        <v>48</v>
      </c>
      <c r="N278" t="s">
        <v>28</v>
      </c>
      <c r="O278" s="3">
        <v>44727</v>
      </c>
      <c r="P278">
        <v>-1</v>
      </c>
      <c r="S278" s="3">
        <v>43783</v>
      </c>
      <c r="T278" t="s">
        <v>55</v>
      </c>
      <c r="U278">
        <v>84</v>
      </c>
      <c r="V278">
        <v>17.975000000000001</v>
      </c>
    </row>
    <row r="279" spans="1:22" x14ac:dyDescent="0.35">
      <c r="A279" s="3">
        <v>44678</v>
      </c>
      <c r="B279" t="s">
        <v>26</v>
      </c>
      <c r="C279">
        <v>0</v>
      </c>
      <c r="D279">
        <v>0</v>
      </c>
      <c r="E279">
        <v>0</v>
      </c>
      <c r="F279">
        <v>0</v>
      </c>
      <c r="G279">
        <v>29.5974</v>
      </c>
      <c r="H279">
        <v>0</v>
      </c>
      <c r="I279">
        <v>0</v>
      </c>
      <c r="J279">
        <v>0</v>
      </c>
      <c r="K279">
        <v>0</v>
      </c>
      <c r="L279">
        <v>78</v>
      </c>
      <c r="M279">
        <v>112</v>
      </c>
      <c r="N279" t="s">
        <v>26</v>
      </c>
      <c r="O279" s="3">
        <v>44790</v>
      </c>
      <c r="P279">
        <v>-1</v>
      </c>
      <c r="T279" t="s">
        <v>54</v>
      </c>
      <c r="U279">
        <v>104</v>
      </c>
      <c r="V279">
        <v>18.324999999999999</v>
      </c>
    </row>
    <row r="280" spans="1:22" x14ac:dyDescent="0.35">
      <c r="A280" s="3">
        <v>44678</v>
      </c>
      <c r="B280" t="s">
        <v>27</v>
      </c>
      <c r="C280">
        <v>0</v>
      </c>
      <c r="D280">
        <v>0</v>
      </c>
      <c r="E280">
        <v>0</v>
      </c>
      <c r="F280">
        <v>0</v>
      </c>
      <c r="G280">
        <v>29.401399999999999</v>
      </c>
      <c r="H280">
        <v>0</v>
      </c>
      <c r="I280">
        <v>0</v>
      </c>
      <c r="J280">
        <v>0</v>
      </c>
      <c r="K280">
        <v>0</v>
      </c>
      <c r="L280">
        <v>102</v>
      </c>
      <c r="M280">
        <v>147</v>
      </c>
      <c r="N280" t="s">
        <v>27</v>
      </c>
      <c r="O280" s="3">
        <v>44825</v>
      </c>
      <c r="P280">
        <v>-1</v>
      </c>
      <c r="T280" t="s">
        <v>53</v>
      </c>
      <c r="U280">
        <v>129</v>
      </c>
      <c r="V280">
        <v>18.425000000000001</v>
      </c>
    </row>
    <row r="281" spans="1:22" x14ac:dyDescent="0.35">
      <c r="A281" s="3">
        <v>44678</v>
      </c>
      <c r="B281" t="s">
        <v>28</v>
      </c>
      <c r="C281">
        <v>0</v>
      </c>
      <c r="D281">
        <v>0</v>
      </c>
      <c r="E281">
        <v>0</v>
      </c>
      <c r="F281">
        <v>0</v>
      </c>
      <c r="G281">
        <v>30.394200000000001</v>
      </c>
      <c r="H281">
        <v>0</v>
      </c>
      <c r="I281">
        <v>0</v>
      </c>
      <c r="J281">
        <v>0</v>
      </c>
      <c r="K281">
        <v>0</v>
      </c>
      <c r="L281">
        <v>34</v>
      </c>
      <c r="M281">
        <v>49</v>
      </c>
      <c r="N281" t="s">
        <v>28</v>
      </c>
      <c r="O281" s="3">
        <v>44727</v>
      </c>
      <c r="P281">
        <v>-1</v>
      </c>
      <c r="T281" t="s">
        <v>52</v>
      </c>
      <c r="U281">
        <v>148</v>
      </c>
      <c r="V281">
        <v>18.55</v>
      </c>
    </row>
    <row r="282" spans="1:22" x14ac:dyDescent="0.35">
      <c r="A282" s="3">
        <v>44678</v>
      </c>
      <c r="B282" t="s">
        <v>21</v>
      </c>
      <c r="C282">
        <v>0</v>
      </c>
      <c r="D282">
        <v>0</v>
      </c>
      <c r="E282">
        <v>0</v>
      </c>
      <c r="F282">
        <v>0</v>
      </c>
      <c r="G282">
        <v>27.45</v>
      </c>
      <c r="H282">
        <v>0</v>
      </c>
      <c r="I282">
        <v>0</v>
      </c>
      <c r="J282">
        <v>0</v>
      </c>
      <c r="K282">
        <v>0</v>
      </c>
      <c r="L282">
        <v>166</v>
      </c>
      <c r="M282">
        <v>238</v>
      </c>
      <c r="N282" t="s">
        <v>21</v>
      </c>
      <c r="O282" s="3">
        <v>44916</v>
      </c>
      <c r="P282">
        <v>-1</v>
      </c>
      <c r="T282" t="s">
        <v>51</v>
      </c>
      <c r="U282">
        <v>173</v>
      </c>
      <c r="V282">
        <v>18.649999999999999</v>
      </c>
    </row>
    <row r="283" spans="1:22" x14ac:dyDescent="0.35">
      <c r="A283" s="3">
        <v>44678</v>
      </c>
      <c r="B283" t="s">
        <v>22</v>
      </c>
      <c r="C283">
        <v>0</v>
      </c>
      <c r="D283">
        <v>0</v>
      </c>
      <c r="E283">
        <v>0</v>
      </c>
      <c r="F283">
        <v>0</v>
      </c>
      <c r="G283">
        <v>30.0578</v>
      </c>
      <c r="H283">
        <v>0</v>
      </c>
      <c r="I283">
        <v>0</v>
      </c>
      <c r="J283">
        <v>0</v>
      </c>
      <c r="K283">
        <v>0</v>
      </c>
      <c r="L283">
        <v>58</v>
      </c>
      <c r="M283">
        <v>84</v>
      </c>
      <c r="N283" t="s">
        <v>22</v>
      </c>
      <c r="O283" s="3">
        <v>44762</v>
      </c>
      <c r="P283">
        <v>-1</v>
      </c>
      <c r="S283" s="3">
        <v>43784</v>
      </c>
      <c r="T283" t="s">
        <v>55</v>
      </c>
      <c r="U283">
        <v>83</v>
      </c>
      <c r="V283">
        <v>17.824999999999999</v>
      </c>
    </row>
    <row r="284" spans="1:22" x14ac:dyDescent="0.35">
      <c r="A284" s="3">
        <v>44678</v>
      </c>
      <c r="B284" t="s">
        <v>23</v>
      </c>
      <c r="C284">
        <v>0</v>
      </c>
      <c r="D284">
        <v>0</v>
      </c>
      <c r="E284">
        <v>0</v>
      </c>
      <c r="F284">
        <v>0</v>
      </c>
      <c r="G284">
        <v>27.75</v>
      </c>
      <c r="H284">
        <v>0</v>
      </c>
      <c r="I284">
        <v>0</v>
      </c>
      <c r="J284">
        <v>0</v>
      </c>
      <c r="K284">
        <v>0</v>
      </c>
      <c r="L284">
        <v>183</v>
      </c>
      <c r="M284">
        <v>266</v>
      </c>
      <c r="N284" t="s">
        <v>23</v>
      </c>
      <c r="O284" s="3">
        <v>44944</v>
      </c>
      <c r="P284">
        <v>-1</v>
      </c>
      <c r="T284" t="s">
        <v>54</v>
      </c>
      <c r="U284">
        <v>103</v>
      </c>
      <c r="V284">
        <v>18.125</v>
      </c>
    </row>
    <row r="285" spans="1:22" x14ac:dyDescent="0.35">
      <c r="A285" s="3">
        <v>44678</v>
      </c>
      <c r="B285" t="s">
        <v>29</v>
      </c>
      <c r="C285">
        <v>0</v>
      </c>
      <c r="D285">
        <v>0</v>
      </c>
      <c r="E285">
        <v>0</v>
      </c>
      <c r="F285">
        <v>0</v>
      </c>
      <c r="G285">
        <v>30.8249</v>
      </c>
      <c r="H285">
        <v>0</v>
      </c>
      <c r="I285">
        <v>0</v>
      </c>
      <c r="J285">
        <v>0</v>
      </c>
      <c r="K285">
        <v>0</v>
      </c>
      <c r="L285">
        <v>15</v>
      </c>
      <c r="M285">
        <v>21</v>
      </c>
      <c r="N285" t="s">
        <v>29</v>
      </c>
      <c r="O285" s="3">
        <v>44699</v>
      </c>
      <c r="P285">
        <v>-1</v>
      </c>
      <c r="T285" t="s">
        <v>53</v>
      </c>
      <c r="U285">
        <v>128</v>
      </c>
      <c r="V285">
        <v>18.25</v>
      </c>
    </row>
    <row r="286" spans="1:22" x14ac:dyDescent="0.35">
      <c r="A286" s="3">
        <v>44678</v>
      </c>
      <c r="B286" t="s">
        <v>25</v>
      </c>
      <c r="C286">
        <v>0</v>
      </c>
      <c r="D286">
        <v>0</v>
      </c>
      <c r="E286">
        <v>0</v>
      </c>
      <c r="F286">
        <v>0</v>
      </c>
      <c r="G286">
        <v>29.199300000000001</v>
      </c>
      <c r="H286">
        <v>0</v>
      </c>
      <c r="I286">
        <v>0</v>
      </c>
      <c r="J286">
        <v>0</v>
      </c>
      <c r="K286">
        <v>0</v>
      </c>
      <c r="L286">
        <v>122</v>
      </c>
      <c r="M286">
        <v>175</v>
      </c>
      <c r="N286" t="s">
        <v>25</v>
      </c>
      <c r="O286" s="3">
        <v>44853</v>
      </c>
      <c r="P286">
        <v>-1</v>
      </c>
      <c r="T286" t="s">
        <v>52</v>
      </c>
      <c r="U286">
        <v>147</v>
      </c>
      <c r="V286">
        <v>18.399999999999999</v>
      </c>
    </row>
    <row r="287" spans="1:22" x14ac:dyDescent="0.35">
      <c r="A287" s="3">
        <v>44678</v>
      </c>
      <c r="B287" t="s">
        <v>20</v>
      </c>
      <c r="C287">
        <v>0</v>
      </c>
      <c r="D287">
        <v>0</v>
      </c>
      <c r="E287">
        <v>0</v>
      </c>
      <c r="F287">
        <v>0</v>
      </c>
      <c r="G287">
        <v>28.558900000000001</v>
      </c>
      <c r="H287">
        <v>0</v>
      </c>
      <c r="I287">
        <v>0</v>
      </c>
      <c r="J287">
        <v>0</v>
      </c>
      <c r="K287">
        <v>0</v>
      </c>
      <c r="L287">
        <v>142</v>
      </c>
      <c r="M287">
        <v>203</v>
      </c>
      <c r="N287" t="s">
        <v>20</v>
      </c>
      <c r="O287" s="3">
        <v>44881</v>
      </c>
      <c r="P287">
        <v>-1</v>
      </c>
      <c r="T287" t="s">
        <v>51</v>
      </c>
      <c r="U287">
        <v>172</v>
      </c>
      <c r="V287">
        <v>18.5</v>
      </c>
    </row>
    <row r="288" spans="1:22" x14ac:dyDescent="0.35">
      <c r="A288" s="3">
        <v>44677</v>
      </c>
      <c r="B288" t="s">
        <v>21</v>
      </c>
      <c r="C288">
        <v>0</v>
      </c>
      <c r="D288">
        <v>0</v>
      </c>
      <c r="E288">
        <v>0</v>
      </c>
      <c r="F288">
        <v>0</v>
      </c>
      <c r="G288">
        <v>27.678599999999999</v>
      </c>
      <c r="H288">
        <v>0</v>
      </c>
      <c r="I288">
        <v>0</v>
      </c>
      <c r="J288">
        <v>0</v>
      </c>
      <c r="K288">
        <v>0</v>
      </c>
      <c r="L288">
        <v>167</v>
      </c>
      <c r="M288">
        <v>239</v>
      </c>
      <c r="N288" t="s">
        <v>21</v>
      </c>
      <c r="O288" s="3">
        <v>44916</v>
      </c>
      <c r="P288">
        <v>-1</v>
      </c>
      <c r="S288" s="3">
        <v>43787</v>
      </c>
      <c r="T288" t="s">
        <v>55</v>
      </c>
      <c r="U288">
        <v>82</v>
      </c>
      <c r="V288">
        <v>17.725000000000001</v>
      </c>
    </row>
    <row r="289" spans="1:22" x14ac:dyDescent="0.35">
      <c r="A289" s="3">
        <v>44677</v>
      </c>
      <c r="B289" t="s">
        <v>22</v>
      </c>
      <c r="C289">
        <v>0</v>
      </c>
      <c r="D289">
        <v>0</v>
      </c>
      <c r="E289">
        <v>0</v>
      </c>
      <c r="F289">
        <v>0</v>
      </c>
      <c r="G289">
        <v>29.792400000000001</v>
      </c>
      <c r="H289">
        <v>0</v>
      </c>
      <c r="I289">
        <v>0</v>
      </c>
      <c r="J289">
        <v>0</v>
      </c>
      <c r="K289">
        <v>0</v>
      </c>
      <c r="L289">
        <v>59</v>
      </c>
      <c r="M289">
        <v>85</v>
      </c>
      <c r="N289" t="s">
        <v>22</v>
      </c>
      <c r="O289" s="3">
        <v>44762</v>
      </c>
      <c r="P289">
        <v>-1</v>
      </c>
      <c r="T289" t="s">
        <v>54</v>
      </c>
      <c r="U289">
        <v>102</v>
      </c>
      <c r="V289">
        <v>18.074999999999999</v>
      </c>
    </row>
    <row r="290" spans="1:22" x14ac:dyDescent="0.35">
      <c r="A290" s="3">
        <v>44677</v>
      </c>
      <c r="B290" t="s">
        <v>23</v>
      </c>
      <c r="C290">
        <v>0</v>
      </c>
      <c r="D290">
        <v>0</v>
      </c>
      <c r="E290">
        <v>0</v>
      </c>
      <c r="F290">
        <v>0</v>
      </c>
      <c r="G290">
        <v>27.8</v>
      </c>
      <c r="H290">
        <v>0</v>
      </c>
      <c r="I290">
        <v>0</v>
      </c>
      <c r="J290">
        <v>0</v>
      </c>
      <c r="K290">
        <v>0</v>
      </c>
      <c r="L290">
        <v>184</v>
      </c>
      <c r="M290">
        <v>267</v>
      </c>
      <c r="N290" t="s">
        <v>23</v>
      </c>
      <c r="O290" s="3">
        <v>44944</v>
      </c>
      <c r="P290">
        <v>-1</v>
      </c>
      <c r="T290" t="s">
        <v>53</v>
      </c>
      <c r="U290">
        <v>127</v>
      </c>
      <c r="V290">
        <v>18.225000000000001</v>
      </c>
    </row>
    <row r="291" spans="1:22" x14ac:dyDescent="0.35">
      <c r="A291" s="3">
        <v>44677</v>
      </c>
      <c r="B291" t="s">
        <v>29</v>
      </c>
      <c r="C291">
        <v>0</v>
      </c>
      <c r="D291">
        <v>0</v>
      </c>
      <c r="E291">
        <v>0</v>
      </c>
      <c r="F291">
        <v>0</v>
      </c>
      <c r="G291">
        <v>30.3018</v>
      </c>
      <c r="H291">
        <v>0</v>
      </c>
      <c r="I291">
        <v>0</v>
      </c>
      <c r="J291">
        <v>0</v>
      </c>
      <c r="K291">
        <v>0</v>
      </c>
      <c r="L291">
        <v>16</v>
      </c>
      <c r="M291">
        <v>22</v>
      </c>
      <c r="N291" t="s">
        <v>29</v>
      </c>
      <c r="O291" s="3">
        <v>44699</v>
      </c>
      <c r="P291">
        <v>-1</v>
      </c>
      <c r="T291" t="s">
        <v>52</v>
      </c>
      <c r="U291">
        <v>146</v>
      </c>
      <c r="V291">
        <v>18.350000000000001</v>
      </c>
    </row>
    <row r="292" spans="1:22" x14ac:dyDescent="0.35">
      <c r="A292" s="3">
        <v>44677</v>
      </c>
      <c r="B292" t="s">
        <v>25</v>
      </c>
      <c r="C292">
        <v>0</v>
      </c>
      <c r="D292">
        <v>0</v>
      </c>
      <c r="E292">
        <v>0</v>
      </c>
      <c r="F292">
        <v>0</v>
      </c>
      <c r="G292">
        <v>29.255299999999998</v>
      </c>
      <c r="H292">
        <v>0</v>
      </c>
      <c r="I292">
        <v>0</v>
      </c>
      <c r="J292">
        <v>0</v>
      </c>
      <c r="K292">
        <v>0</v>
      </c>
      <c r="L292">
        <v>123</v>
      </c>
      <c r="M292">
        <v>176</v>
      </c>
      <c r="N292" t="s">
        <v>25</v>
      </c>
      <c r="O292" s="3">
        <v>44853</v>
      </c>
      <c r="P292">
        <v>-1</v>
      </c>
      <c r="T292" t="s">
        <v>51</v>
      </c>
      <c r="U292">
        <v>171</v>
      </c>
      <c r="V292">
        <v>18.45</v>
      </c>
    </row>
    <row r="293" spans="1:22" x14ac:dyDescent="0.35">
      <c r="A293" s="3">
        <v>44677</v>
      </c>
      <c r="B293" t="s">
        <v>20</v>
      </c>
      <c r="C293">
        <v>0</v>
      </c>
      <c r="D293">
        <v>0</v>
      </c>
      <c r="E293">
        <v>0</v>
      </c>
      <c r="F293">
        <v>0</v>
      </c>
      <c r="G293">
        <v>28.7135</v>
      </c>
      <c r="H293">
        <v>0</v>
      </c>
      <c r="I293">
        <v>0</v>
      </c>
      <c r="J293">
        <v>0</v>
      </c>
      <c r="K293">
        <v>0</v>
      </c>
      <c r="L293">
        <v>143</v>
      </c>
      <c r="M293">
        <v>204</v>
      </c>
      <c r="N293" t="s">
        <v>20</v>
      </c>
      <c r="O293" s="3">
        <v>44881</v>
      </c>
      <c r="P293">
        <v>-1</v>
      </c>
      <c r="S293" s="3">
        <v>43788</v>
      </c>
      <c r="T293" t="s">
        <v>55</v>
      </c>
      <c r="U293">
        <v>81</v>
      </c>
      <c r="V293">
        <v>17.875</v>
      </c>
    </row>
    <row r="294" spans="1:22" x14ac:dyDescent="0.35">
      <c r="A294" s="3">
        <v>44677</v>
      </c>
      <c r="B294" t="s">
        <v>26</v>
      </c>
      <c r="C294">
        <v>0</v>
      </c>
      <c r="D294">
        <v>0</v>
      </c>
      <c r="E294">
        <v>0</v>
      </c>
      <c r="F294">
        <v>0</v>
      </c>
      <c r="G294">
        <v>29.412800000000001</v>
      </c>
      <c r="H294">
        <v>0</v>
      </c>
      <c r="I294">
        <v>0</v>
      </c>
      <c r="J294">
        <v>0</v>
      </c>
      <c r="K294">
        <v>0</v>
      </c>
      <c r="L294">
        <v>79</v>
      </c>
      <c r="M294">
        <v>113</v>
      </c>
      <c r="N294" t="s">
        <v>26</v>
      </c>
      <c r="O294" s="3">
        <v>44790</v>
      </c>
      <c r="P294">
        <v>-1</v>
      </c>
      <c r="T294" t="s">
        <v>54</v>
      </c>
      <c r="U294">
        <v>101</v>
      </c>
      <c r="V294">
        <v>18.225000000000001</v>
      </c>
    </row>
    <row r="295" spans="1:22" x14ac:dyDescent="0.35">
      <c r="A295" s="3">
        <v>44677</v>
      </c>
      <c r="B295" t="s">
        <v>27</v>
      </c>
      <c r="C295">
        <v>0</v>
      </c>
      <c r="D295">
        <v>0</v>
      </c>
      <c r="E295">
        <v>0</v>
      </c>
      <c r="F295">
        <v>0</v>
      </c>
      <c r="G295">
        <v>29.343800000000002</v>
      </c>
      <c r="H295">
        <v>0</v>
      </c>
      <c r="I295">
        <v>0</v>
      </c>
      <c r="J295">
        <v>0</v>
      </c>
      <c r="K295">
        <v>0</v>
      </c>
      <c r="L295">
        <v>103</v>
      </c>
      <c r="M295">
        <v>148</v>
      </c>
      <c r="N295" t="s">
        <v>27</v>
      </c>
      <c r="O295" s="3">
        <v>44825</v>
      </c>
      <c r="P295">
        <v>-1</v>
      </c>
      <c r="T295" t="s">
        <v>53</v>
      </c>
      <c r="U295">
        <v>126</v>
      </c>
      <c r="V295">
        <v>18.375</v>
      </c>
    </row>
    <row r="296" spans="1:22" x14ac:dyDescent="0.35">
      <c r="A296" s="3">
        <v>44677</v>
      </c>
      <c r="B296" t="s">
        <v>28</v>
      </c>
      <c r="C296">
        <v>0</v>
      </c>
      <c r="D296">
        <v>0</v>
      </c>
      <c r="E296">
        <v>0</v>
      </c>
      <c r="F296">
        <v>0</v>
      </c>
      <c r="G296">
        <v>29.954599999999999</v>
      </c>
      <c r="H296">
        <v>0</v>
      </c>
      <c r="I296">
        <v>0</v>
      </c>
      <c r="J296">
        <v>0</v>
      </c>
      <c r="K296">
        <v>0</v>
      </c>
      <c r="L296">
        <v>35</v>
      </c>
      <c r="M296">
        <v>50</v>
      </c>
      <c r="N296" t="s">
        <v>28</v>
      </c>
      <c r="O296" s="3">
        <v>44727</v>
      </c>
      <c r="P296">
        <v>-1</v>
      </c>
      <c r="T296" t="s">
        <v>52</v>
      </c>
      <c r="U296">
        <v>145</v>
      </c>
      <c r="V296">
        <v>18.475000000000001</v>
      </c>
    </row>
    <row r="297" spans="1:22" x14ac:dyDescent="0.35">
      <c r="A297" s="3">
        <v>44676</v>
      </c>
      <c r="B297" t="s">
        <v>26</v>
      </c>
      <c r="C297">
        <v>0</v>
      </c>
      <c r="D297">
        <v>0</v>
      </c>
      <c r="E297">
        <v>0</v>
      </c>
      <c r="F297">
        <v>0</v>
      </c>
      <c r="G297">
        <v>28.050699999999999</v>
      </c>
      <c r="H297">
        <v>0</v>
      </c>
      <c r="I297">
        <v>0</v>
      </c>
      <c r="J297">
        <v>0</v>
      </c>
      <c r="K297">
        <v>0</v>
      </c>
      <c r="L297">
        <v>80</v>
      </c>
      <c r="M297">
        <v>114</v>
      </c>
      <c r="N297" t="s">
        <v>26</v>
      </c>
      <c r="O297" s="3">
        <v>44790</v>
      </c>
      <c r="P297">
        <v>-1</v>
      </c>
      <c r="T297" t="s">
        <v>51</v>
      </c>
      <c r="U297">
        <v>170</v>
      </c>
      <c r="V297">
        <v>18.55</v>
      </c>
    </row>
    <row r="298" spans="1:22" x14ac:dyDescent="0.35">
      <c r="A298" s="3">
        <v>44676</v>
      </c>
      <c r="B298" t="s">
        <v>27</v>
      </c>
      <c r="C298">
        <v>0</v>
      </c>
      <c r="D298">
        <v>0</v>
      </c>
      <c r="E298">
        <v>0</v>
      </c>
      <c r="F298">
        <v>0</v>
      </c>
      <c r="G298">
        <v>28.2453</v>
      </c>
      <c r="H298">
        <v>0</v>
      </c>
      <c r="I298">
        <v>0</v>
      </c>
      <c r="J298">
        <v>0</v>
      </c>
      <c r="K298">
        <v>0</v>
      </c>
      <c r="L298">
        <v>104</v>
      </c>
      <c r="M298">
        <v>149</v>
      </c>
      <c r="N298" t="s">
        <v>27</v>
      </c>
      <c r="O298" s="3">
        <v>44825</v>
      </c>
      <c r="P298">
        <v>-1</v>
      </c>
      <c r="S298" s="3">
        <v>43789</v>
      </c>
      <c r="T298" t="s">
        <v>55</v>
      </c>
      <c r="U298">
        <v>80</v>
      </c>
      <c r="V298">
        <v>18.074999999999999</v>
      </c>
    </row>
    <row r="299" spans="1:22" x14ac:dyDescent="0.35">
      <c r="A299" s="3">
        <v>44676</v>
      </c>
      <c r="B299" t="s">
        <v>28</v>
      </c>
      <c r="C299">
        <v>0</v>
      </c>
      <c r="D299">
        <v>0</v>
      </c>
      <c r="E299">
        <v>0</v>
      </c>
      <c r="F299">
        <v>0</v>
      </c>
      <c r="G299">
        <v>27.705100000000002</v>
      </c>
      <c r="H299">
        <v>0</v>
      </c>
      <c r="I299">
        <v>0</v>
      </c>
      <c r="J299">
        <v>0</v>
      </c>
      <c r="K299">
        <v>0</v>
      </c>
      <c r="L299">
        <v>36</v>
      </c>
      <c r="M299">
        <v>51</v>
      </c>
      <c r="N299" t="s">
        <v>28</v>
      </c>
      <c r="O299" s="3">
        <v>44727</v>
      </c>
      <c r="P299">
        <v>-1</v>
      </c>
      <c r="T299" t="s">
        <v>54</v>
      </c>
      <c r="U299">
        <v>100</v>
      </c>
      <c r="V299">
        <v>18.425000000000001</v>
      </c>
    </row>
    <row r="300" spans="1:22" x14ac:dyDescent="0.35">
      <c r="A300" s="3">
        <v>44676</v>
      </c>
      <c r="B300" t="s">
        <v>21</v>
      </c>
      <c r="C300">
        <v>0</v>
      </c>
      <c r="D300">
        <v>0</v>
      </c>
      <c r="E300">
        <v>0</v>
      </c>
      <c r="F300">
        <v>0</v>
      </c>
      <c r="G300">
        <v>27</v>
      </c>
      <c r="H300">
        <v>0</v>
      </c>
      <c r="I300">
        <v>0</v>
      </c>
      <c r="J300">
        <v>0</v>
      </c>
      <c r="K300">
        <v>0</v>
      </c>
      <c r="L300">
        <v>168</v>
      </c>
      <c r="M300">
        <v>240</v>
      </c>
      <c r="N300" t="s">
        <v>21</v>
      </c>
      <c r="O300" s="3">
        <v>44916</v>
      </c>
      <c r="P300">
        <v>-1</v>
      </c>
      <c r="T300" t="s">
        <v>53</v>
      </c>
      <c r="U300">
        <v>125</v>
      </c>
      <c r="V300">
        <v>18.574999999999999</v>
      </c>
    </row>
    <row r="301" spans="1:22" x14ac:dyDescent="0.35">
      <c r="A301" s="3">
        <v>44676</v>
      </c>
      <c r="B301" t="s">
        <v>22</v>
      </c>
      <c r="C301">
        <v>0</v>
      </c>
      <c r="D301">
        <v>0</v>
      </c>
      <c r="E301">
        <v>0</v>
      </c>
      <c r="F301">
        <v>0</v>
      </c>
      <c r="G301">
        <v>28.1008</v>
      </c>
      <c r="H301">
        <v>0</v>
      </c>
      <c r="I301">
        <v>0</v>
      </c>
      <c r="J301">
        <v>0</v>
      </c>
      <c r="K301">
        <v>0</v>
      </c>
      <c r="L301">
        <v>60</v>
      </c>
      <c r="M301">
        <v>86</v>
      </c>
      <c r="N301" t="s">
        <v>22</v>
      </c>
      <c r="O301" s="3">
        <v>44762</v>
      </c>
      <c r="P301">
        <v>-1</v>
      </c>
      <c r="T301" t="s">
        <v>52</v>
      </c>
      <c r="U301">
        <v>144</v>
      </c>
      <c r="V301">
        <v>18.675000000000001</v>
      </c>
    </row>
    <row r="302" spans="1:22" x14ac:dyDescent="0.35">
      <c r="A302" s="3">
        <v>44676</v>
      </c>
      <c r="B302" t="s">
        <v>23</v>
      </c>
      <c r="C302">
        <v>0</v>
      </c>
      <c r="D302">
        <v>0</v>
      </c>
      <c r="E302">
        <v>0</v>
      </c>
      <c r="F302">
        <v>0</v>
      </c>
      <c r="G302">
        <v>27.25</v>
      </c>
      <c r="H302">
        <v>0</v>
      </c>
      <c r="I302">
        <v>0</v>
      </c>
      <c r="J302">
        <v>0</v>
      </c>
      <c r="K302">
        <v>0</v>
      </c>
      <c r="L302">
        <v>185</v>
      </c>
      <c r="M302">
        <v>268</v>
      </c>
      <c r="N302" t="s">
        <v>23</v>
      </c>
      <c r="O302" s="3">
        <v>44944</v>
      </c>
      <c r="P302">
        <v>-1</v>
      </c>
      <c r="T302" t="s">
        <v>51</v>
      </c>
      <c r="U302">
        <v>169</v>
      </c>
      <c r="V302">
        <v>18.8</v>
      </c>
    </row>
    <row r="303" spans="1:22" x14ac:dyDescent="0.35">
      <c r="A303" s="3">
        <v>44676</v>
      </c>
      <c r="B303" t="s">
        <v>29</v>
      </c>
      <c r="C303">
        <v>0</v>
      </c>
      <c r="D303">
        <v>0</v>
      </c>
      <c r="E303">
        <v>0</v>
      </c>
      <c r="F303">
        <v>0</v>
      </c>
      <c r="G303">
        <v>27.2576</v>
      </c>
      <c r="H303">
        <v>0</v>
      </c>
      <c r="I303">
        <v>0</v>
      </c>
      <c r="J303">
        <v>0</v>
      </c>
      <c r="K303">
        <v>0</v>
      </c>
      <c r="L303">
        <v>17</v>
      </c>
      <c r="M303">
        <v>23</v>
      </c>
      <c r="N303" t="s">
        <v>29</v>
      </c>
      <c r="O303" s="3">
        <v>44699</v>
      </c>
      <c r="P303">
        <v>-1</v>
      </c>
      <c r="S303" s="3">
        <v>43790</v>
      </c>
      <c r="T303" t="s">
        <v>55</v>
      </c>
      <c r="U303">
        <v>79</v>
      </c>
      <c r="V303">
        <v>18.274999999999999</v>
      </c>
    </row>
    <row r="304" spans="1:22" x14ac:dyDescent="0.35">
      <c r="A304" s="3">
        <v>44676</v>
      </c>
      <c r="B304" t="s">
        <v>25</v>
      </c>
      <c r="C304">
        <v>0</v>
      </c>
      <c r="D304">
        <v>0</v>
      </c>
      <c r="E304">
        <v>0</v>
      </c>
      <c r="F304">
        <v>0</v>
      </c>
      <c r="G304">
        <v>28.395299999999999</v>
      </c>
      <c r="H304">
        <v>0</v>
      </c>
      <c r="I304">
        <v>0</v>
      </c>
      <c r="J304">
        <v>0</v>
      </c>
      <c r="K304">
        <v>0</v>
      </c>
      <c r="L304">
        <v>124</v>
      </c>
      <c r="M304">
        <v>177</v>
      </c>
      <c r="N304" t="s">
        <v>25</v>
      </c>
      <c r="O304" s="3">
        <v>44853</v>
      </c>
      <c r="P304">
        <v>-1</v>
      </c>
      <c r="T304" t="s">
        <v>54</v>
      </c>
      <c r="U304">
        <v>99</v>
      </c>
      <c r="V304">
        <v>18.625</v>
      </c>
    </row>
    <row r="305" spans="1:22" x14ac:dyDescent="0.35">
      <c r="A305" s="3">
        <v>44676</v>
      </c>
      <c r="B305" t="s">
        <v>20</v>
      </c>
      <c r="C305">
        <v>0</v>
      </c>
      <c r="D305">
        <v>0</v>
      </c>
      <c r="E305">
        <v>0</v>
      </c>
      <c r="F305">
        <v>0</v>
      </c>
      <c r="G305">
        <v>27.85</v>
      </c>
      <c r="H305">
        <v>0</v>
      </c>
      <c r="I305">
        <v>0</v>
      </c>
      <c r="J305">
        <v>0</v>
      </c>
      <c r="K305">
        <v>0</v>
      </c>
      <c r="L305">
        <v>144</v>
      </c>
      <c r="M305">
        <v>205</v>
      </c>
      <c r="N305" t="s">
        <v>20</v>
      </c>
      <c r="O305" s="3">
        <v>44881</v>
      </c>
      <c r="P305">
        <v>-1</v>
      </c>
      <c r="T305" t="s">
        <v>53</v>
      </c>
      <c r="U305">
        <v>124</v>
      </c>
      <c r="V305">
        <v>18.774999999999999</v>
      </c>
    </row>
    <row r="306" spans="1:22" x14ac:dyDescent="0.35">
      <c r="A306" s="3">
        <v>44673</v>
      </c>
      <c r="B306" t="s">
        <v>21</v>
      </c>
      <c r="C306">
        <v>0</v>
      </c>
      <c r="D306">
        <v>0</v>
      </c>
      <c r="E306">
        <v>0</v>
      </c>
      <c r="F306">
        <v>0</v>
      </c>
      <c r="G306">
        <v>27.35</v>
      </c>
      <c r="H306">
        <v>0</v>
      </c>
      <c r="I306">
        <v>0</v>
      </c>
      <c r="J306">
        <v>0</v>
      </c>
      <c r="K306">
        <v>0</v>
      </c>
      <c r="L306">
        <v>169</v>
      </c>
      <c r="M306">
        <v>243</v>
      </c>
      <c r="N306" t="s">
        <v>21</v>
      </c>
      <c r="O306" s="3">
        <v>44916</v>
      </c>
      <c r="P306">
        <v>-1</v>
      </c>
      <c r="T306" t="s">
        <v>52</v>
      </c>
      <c r="U306">
        <v>143</v>
      </c>
      <c r="V306">
        <v>18.875</v>
      </c>
    </row>
    <row r="307" spans="1:22" x14ac:dyDescent="0.35">
      <c r="A307" s="3">
        <v>44673</v>
      </c>
      <c r="B307" t="s">
        <v>22</v>
      </c>
      <c r="C307">
        <v>0</v>
      </c>
      <c r="D307">
        <v>0</v>
      </c>
      <c r="E307">
        <v>0</v>
      </c>
      <c r="F307">
        <v>0</v>
      </c>
      <c r="G307">
        <v>28.579799999999999</v>
      </c>
      <c r="H307">
        <v>0</v>
      </c>
      <c r="I307">
        <v>0</v>
      </c>
      <c r="J307">
        <v>0</v>
      </c>
      <c r="K307">
        <v>0</v>
      </c>
      <c r="L307">
        <v>61</v>
      </c>
      <c r="M307">
        <v>89</v>
      </c>
      <c r="N307" t="s">
        <v>22</v>
      </c>
      <c r="O307" s="3">
        <v>44762</v>
      </c>
      <c r="P307">
        <v>-1</v>
      </c>
      <c r="T307" t="s">
        <v>51</v>
      </c>
      <c r="U307">
        <v>168</v>
      </c>
      <c r="V307">
        <v>18.975000000000001</v>
      </c>
    </row>
    <row r="308" spans="1:22" x14ac:dyDescent="0.35">
      <c r="A308" s="3">
        <v>44673</v>
      </c>
      <c r="B308" t="s">
        <v>29</v>
      </c>
      <c r="C308">
        <v>0</v>
      </c>
      <c r="D308">
        <v>0</v>
      </c>
      <c r="E308">
        <v>0</v>
      </c>
      <c r="F308">
        <v>0</v>
      </c>
      <c r="G308">
        <v>27.9879</v>
      </c>
      <c r="H308">
        <v>0</v>
      </c>
      <c r="I308">
        <v>0</v>
      </c>
      <c r="J308">
        <v>0</v>
      </c>
      <c r="K308">
        <v>0</v>
      </c>
      <c r="L308">
        <v>18</v>
      </c>
      <c r="M308">
        <v>26</v>
      </c>
      <c r="N308" t="s">
        <v>29</v>
      </c>
      <c r="O308" s="3">
        <v>44699</v>
      </c>
      <c r="P308">
        <v>-1</v>
      </c>
      <c r="S308" s="3">
        <v>43791</v>
      </c>
      <c r="T308" t="s">
        <v>55</v>
      </c>
      <c r="U308">
        <v>78</v>
      </c>
      <c r="V308">
        <v>18.074999999999999</v>
      </c>
    </row>
    <row r="309" spans="1:22" x14ac:dyDescent="0.35">
      <c r="A309" s="3">
        <v>44673</v>
      </c>
      <c r="B309" t="s">
        <v>25</v>
      </c>
      <c r="C309">
        <v>0</v>
      </c>
      <c r="D309">
        <v>0</v>
      </c>
      <c r="E309">
        <v>0</v>
      </c>
      <c r="F309">
        <v>0</v>
      </c>
      <c r="G309">
        <v>28.758800000000001</v>
      </c>
      <c r="H309">
        <v>0</v>
      </c>
      <c r="I309">
        <v>0</v>
      </c>
      <c r="J309">
        <v>0</v>
      </c>
      <c r="K309">
        <v>0</v>
      </c>
      <c r="L309">
        <v>125</v>
      </c>
      <c r="M309">
        <v>180</v>
      </c>
      <c r="N309" t="s">
        <v>25</v>
      </c>
      <c r="O309" s="3">
        <v>44853</v>
      </c>
      <c r="P309">
        <v>-1</v>
      </c>
      <c r="T309" t="s">
        <v>54</v>
      </c>
      <c r="U309">
        <v>98</v>
      </c>
      <c r="V309">
        <v>18.425000000000001</v>
      </c>
    </row>
    <row r="310" spans="1:22" x14ac:dyDescent="0.35">
      <c r="A310" s="3">
        <v>44673</v>
      </c>
      <c r="B310" t="s">
        <v>20</v>
      </c>
      <c r="C310">
        <v>0</v>
      </c>
      <c r="D310">
        <v>0</v>
      </c>
      <c r="E310">
        <v>0</v>
      </c>
      <c r="F310">
        <v>0</v>
      </c>
      <c r="G310">
        <v>28.193200000000001</v>
      </c>
      <c r="H310">
        <v>0</v>
      </c>
      <c r="I310">
        <v>0</v>
      </c>
      <c r="J310">
        <v>0</v>
      </c>
      <c r="K310">
        <v>0</v>
      </c>
      <c r="L310">
        <v>145</v>
      </c>
      <c r="M310">
        <v>208</v>
      </c>
      <c r="N310" t="s">
        <v>20</v>
      </c>
      <c r="O310" s="3">
        <v>44881</v>
      </c>
      <c r="P310">
        <v>-1</v>
      </c>
      <c r="T310" t="s">
        <v>53</v>
      </c>
      <c r="U310">
        <v>123</v>
      </c>
      <c r="V310">
        <v>18.625</v>
      </c>
    </row>
    <row r="311" spans="1:22" x14ac:dyDescent="0.35">
      <c r="A311" s="3">
        <v>44673</v>
      </c>
      <c r="B311" t="s">
        <v>26</v>
      </c>
      <c r="C311">
        <v>0</v>
      </c>
      <c r="D311">
        <v>0</v>
      </c>
      <c r="E311">
        <v>0</v>
      </c>
      <c r="F311">
        <v>0</v>
      </c>
      <c r="G311">
        <v>28.4132</v>
      </c>
      <c r="H311">
        <v>0</v>
      </c>
      <c r="I311">
        <v>0</v>
      </c>
      <c r="J311">
        <v>0</v>
      </c>
      <c r="K311">
        <v>0</v>
      </c>
      <c r="L311">
        <v>81</v>
      </c>
      <c r="M311">
        <v>117</v>
      </c>
      <c r="N311" t="s">
        <v>26</v>
      </c>
      <c r="O311" s="3">
        <v>44790</v>
      </c>
      <c r="P311">
        <v>-1</v>
      </c>
      <c r="T311" t="s">
        <v>52</v>
      </c>
      <c r="U311">
        <v>142</v>
      </c>
      <c r="V311">
        <v>18.75</v>
      </c>
    </row>
    <row r="312" spans="1:22" x14ac:dyDescent="0.35">
      <c r="A312" s="3">
        <v>44673</v>
      </c>
      <c r="B312" t="s">
        <v>27</v>
      </c>
      <c r="C312">
        <v>0</v>
      </c>
      <c r="D312">
        <v>0</v>
      </c>
      <c r="E312">
        <v>0</v>
      </c>
      <c r="F312">
        <v>0</v>
      </c>
      <c r="G312">
        <v>28.638500000000001</v>
      </c>
      <c r="H312">
        <v>0</v>
      </c>
      <c r="I312">
        <v>0</v>
      </c>
      <c r="J312">
        <v>0</v>
      </c>
      <c r="K312">
        <v>0</v>
      </c>
      <c r="L312">
        <v>105</v>
      </c>
      <c r="M312">
        <v>152</v>
      </c>
      <c r="N312" t="s">
        <v>27</v>
      </c>
      <c r="O312" s="3">
        <v>44825</v>
      </c>
      <c r="P312">
        <v>-1</v>
      </c>
      <c r="T312" t="s">
        <v>51</v>
      </c>
      <c r="U312">
        <v>167</v>
      </c>
      <c r="V312">
        <v>18.899999999999999</v>
      </c>
    </row>
    <row r="313" spans="1:22" x14ac:dyDescent="0.35">
      <c r="A313" s="3">
        <v>44673</v>
      </c>
      <c r="B313" t="s">
        <v>28</v>
      </c>
      <c r="C313">
        <v>0</v>
      </c>
      <c r="D313">
        <v>0</v>
      </c>
      <c r="E313">
        <v>0</v>
      </c>
      <c r="F313">
        <v>0</v>
      </c>
      <c r="G313">
        <v>28.217099999999999</v>
      </c>
      <c r="H313">
        <v>0</v>
      </c>
      <c r="I313">
        <v>0</v>
      </c>
      <c r="J313">
        <v>0</v>
      </c>
      <c r="K313">
        <v>0</v>
      </c>
      <c r="L313">
        <v>37</v>
      </c>
      <c r="M313">
        <v>54</v>
      </c>
      <c r="N313" t="s">
        <v>28</v>
      </c>
      <c r="O313" s="3">
        <v>44727</v>
      </c>
      <c r="P313">
        <v>-1</v>
      </c>
      <c r="S313" s="3">
        <v>43794</v>
      </c>
      <c r="T313" t="s">
        <v>55</v>
      </c>
      <c r="U313">
        <v>77</v>
      </c>
      <c r="V313">
        <v>17.725000000000001</v>
      </c>
    </row>
    <row r="314" spans="1:22" x14ac:dyDescent="0.35">
      <c r="A314" s="3">
        <v>44672</v>
      </c>
      <c r="B314" t="s">
        <v>26</v>
      </c>
      <c r="C314">
        <v>0</v>
      </c>
      <c r="D314">
        <v>0</v>
      </c>
      <c r="E314">
        <v>0</v>
      </c>
      <c r="F314">
        <v>0</v>
      </c>
      <c r="G314">
        <v>27.180199999999999</v>
      </c>
      <c r="H314">
        <v>0</v>
      </c>
      <c r="I314">
        <v>0</v>
      </c>
      <c r="J314">
        <v>0</v>
      </c>
      <c r="K314">
        <v>0</v>
      </c>
      <c r="L314">
        <v>82</v>
      </c>
      <c r="M314">
        <v>118</v>
      </c>
      <c r="N314" t="s">
        <v>26</v>
      </c>
      <c r="O314" s="3">
        <v>44790</v>
      </c>
      <c r="P314">
        <v>-1</v>
      </c>
      <c r="T314" t="s">
        <v>54</v>
      </c>
      <c r="U314">
        <v>97</v>
      </c>
      <c r="V314">
        <v>18.074999999999999</v>
      </c>
    </row>
    <row r="315" spans="1:22" x14ac:dyDescent="0.35">
      <c r="A315" s="3">
        <v>44672</v>
      </c>
      <c r="B315" t="s">
        <v>27</v>
      </c>
      <c r="C315">
        <v>0</v>
      </c>
      <c r="D315">
        <v>0</v>
      </c>
      <c r="E315">
        <v>0</v>
      </c>
      <c r="F315">
        <v>0</v>
      </c>
      <c r="G315">
        <v>27.6006</v>
      </c>
      <c r="H315">
        <v>0</v>
      </c>
      <c r="I315">
        <v>0</v>
      </c>
      <c r="J315">
        <v>0</v>
      </c>
      <c r="K315">
        <v>0</v>
      </c>
      <c r="L315">
        <v>106</v>
      </c>
      <c r="M315">
        <v>153</v>
      </c>
      <c r="N315" t="s">
        <v>27</v>
      </c>
      <c r="O315" s="3">
        <v>44825</v>
      </c>
      <c r="P315">
        <v>-1</v>
      </c>
      <c r="T315" t="s">
        <v>53</v>
      </c>
      <c r="U315">
        <v>122</v>
      </c>
      <c r="V315">
        <v>18.324999999999999</v>
      </c>
    </row>
    <row r="316" spans="1:22" x14ac:dyDescent="0.35">
      <c r="A316" s="3">
        <v>44672</v>
      </c>
      <c r="B316" t="s">
        <v>28</v>
      </c>
      <c r="C316">
        <v>0</v>
      </c>
      <c r="D316">
        <v>0</v>
      </c>
      <c r="E316">
        <v>0</v>
      </c>
      <c r="F316">
        <v>0</v>
      </c>
      <c r="G316">
        <v>25.985499999999998</v>
      </c>
      <c r="H316">
        <v>0</v>
      </c>
      <c r="I316">
        <v>0</v>
      </c>
      <c r="J316">
        <v>0</v>
      </c>
      <c r="K316">
        <v>0</v>
      </c>
      <c r="L316">
        <v>38</v>
      </c>
      <c r="M316">
        <v>55</v>
      </c>
      <c r="N316" t="s">
        <v>28</v>
      </c>
      <c r="O316" s="3">
        <v>44727</v>
      </c>
      <c r="P316">
        <v>-1</v>
      </c>
      <c r="T316" t="s">
        <v>52</v>
      </c>
      <c r="U316">
        <v>141</v>
      </c>
      <c r="V316">
        <v>18.425000000000001</v>
      </c>
    </row>
    <row r="317" spans="1:22" x14ac:dyDescent="0.35">
      <c r="A317" s="3">
        <v>44672</v>
      </c>
      <c r="B317" t="s">
        <v>21</v>
      </c>
      <c r="C317">
        <v>0</v>
      </c>
      <c r="D317">
        <v>0</v>
      </c>
      <c r="E317">
        <v>0</v>
      </c>
      <c r="F317">
        <v>0</v>
      </c>
      <c r="G317">
        <v>26.524999999999999</v>
      </c>
      <c r="H317">
        <v>0</v>
      </c>
      <c r="I317">
        <v>0</v>
      </c>
      <c r="J317">
        <v>0</v>
      </c>
      <c r="K317">
        <v>0</v>
      </c>
      <c r="L317">
        <v>170</v>
      </c>
      <c r="M317">
        <v>244</v>
      </c>
      <c r="N317" t="s">
        <v>21</v>
      </c>
      <c r="O317" s="3">
        <v>44916</v>
      </c>
      <c r="P317">
        <v>-1</v>
      </c>
      <c r="T317" t="s">
        <v>51</v>
      </c>
      <c r="U317">
        <v>166</v>
      </c>
      <c r="V317">
        <v>18.625</v>
      </c>
    </row>
    <row r="318" spans="1:22" x14ac:dyDescent="0.35">
      <c r="A318" s="3">
        <v>44672</v>
      </c>
      <c r="B318" t="s">
        <v>22</v>
      </c>
      <c r="C318">
        <v>0</v>
      </c>
      <c r="D318">
        <v>0</v>
      </c>
      <c r="E318">
        <v>0</v>
      </c>
      <c r="F318">
        <v>0</v>
      </c>
      <c r="G318">
        <v>26.982900000000001</v>
      </c>
      <c r="H318">
        <v>0</v>
      </c>
      <c r="I318">
        <v>0</v>
      </c>
      <c r="J318">
        <v>0</v>
      </c>
      <c r="K318">
        <v>0</v>
      </c>
      <c r="L318">
        <v>62</v>
      </c>
      <c r="M318">
        <v>90</v>
      </c>
      <c r="N318" t="s">
        <v>22</v>
      </c>
      <c r="O318" s="3">
        <v>44762</v>
      </c>
      <c r="P318">
        <v>-1</v>
      </c>
      <c r="T318" t="s">
        <v>50</v>
      </c>
      <c r="U318">
        <v>186</v>
      </c>
      <c r="V318">
        <v>18.75</v>
      </c>
    </row>
    <row r="319" spans="1:22" x14ac:dyDescent="0.35">
      <c r="A319" s="3">
        <v>44672</v>
      </c>
      <c r="B319" t="s">
        <v>29</v>
      </c>
      <c r="C319">
        <v>0</v>
      </c>
      <c r="D319">
        <v>0</v>
      </c>
      <c r="E319">
        <v>0</v>
      </c>
      <c r="F319">
        <v>0</v>
      </c>
      <c r="G319">
        <v>24.6907</v>
      </c>
      <c r="H319">
        <v>0</v>
      </c>
      <c r="I319">
        <v>0</v>
      </c>
      <c r="J319">
        <v>0</v>
      </c>
      <c r="K319">
        <v>0</v>
      </c>
      <c r="L319">
        <v>19</v>
      </c>
      <c r="M319">
        <v>27</v>
      </c>
      <c r="N319" t="s">
        <v>29</v>
      </c>
      <c r="O319" s="3">
        <v>44699</v>
      </c>
      <c r="P319">
        <v>-1</v>
      </c>
      <c r="S319" s="3">
        <v>43795</v>
      </c>
      <c r="T319" t="s">
        <v>55</v>
      </c>
      <c r="U319">
        <v>76</v>
      </c>
      <c r="V319">
        <v>17.574999999999999</v>
      </c>
    </row>
    <row r="320" spans="1:22" x14ac:dyDescent="0.35">
      <c r="A320" s="3">
        <v>44672</v>
      </c>
      <c r="B320" t="s">
        <v>25</v>
      </c>
      <c r="C320">
        <v>0</v>
      </c>
      <c r="D320">
        <v>0</v>
      </c>
      <c r="E320">
        <v>0</v>
      </c>
      <c r="F320">
        <v>0</v>
      </c>
      <c r="G320">
        <v>27.886900000000001</v>
      </c>
      <c r="H320">
        <v>0</v>
      </c>
      <c r="I320">
        <v>0</v>
      </c>
      <c r="J320">
        <v>0</v>
      </c>
      <c r="K320">
        <v>0</v>
      </c>
      <c r="L320">
        <v>126</v>
      </c>
      <c r="M320">
        <v>181</v>
      </c>
      <c r="N320" t="s">
        <v>25</v>
      </c>
      <c r="O320" s="3">
        <v>44853</v>
      </c>
      <c r="P320">
        <v>-1</v>
      </c>
      <c r="T320" t="s">
        <v>54</v>
      </c>
      <c r="U320">
        <v>96</v>
      </c>
      <c r="V320">
        <v>17.975000000000001</v>
      </c>
    </row>
    <row r="321" spans="1:22" x14ac:dyDescent="0.35">
      <c r="A321" s="3">
        <v>44672</v>
      </c>
      <c r="B321" t="s">
        <v>20</v>
      </c>
      <c r="C321">
        <v>0</v>
      </c>
      <c r="D321">
        <v>0</v>
      </c>
      <c r="E321">
        <v>0</v>
      </c>
      <c r="F321">
        <v>0</v>
      </c>
      <c r="G321">
        <v>27.359500000000001</v>
      </c>
      <c r="H321">
        <v>0</v>
      </c>
      <c r="I321">
        <v>0</v>
      </c>
      <c r="J321">
        <v>0</v>
      </c>
      <c r="K321">
        <v>0</v>
      </c>
      <c r="L321">
        <v>146</v>
      </c>
      <c r="M321">
        <v>209</v>
      </c>
      <c r="N321" t="s">
        <v>20</v>
      </c>
      <c r="O321" s="3">
        <v>44881</v>
      </c>
      <c r="P321">
        <v>-1</v>
      </c>
      <c r="T321" t="s">
        <v>53</v>
      </c>
      <c r="U321">
        <v>121</v>
      </c>
      <c r="V321">
        <v>18.175000000000001</v>
      </c>
    </row>
    <row r="322" spans="1:22" x14ac:dyDescent="0.35">
      <c r="A322" s="3">
        <v>44671</v>
      </c>
      <c r="B322" t="s">
        <v>21</v>
      </c>
      <c r="C322">
        <v>0</v>
      </c>
      <c r="D322">
        <v>0</v>
      </c>
      <c r="E322">
        <v>0</v>
      </c>
      <c r="F322">
        <v>0</v>
      </c>
      <c r="G322">
        <v>25.85</v>
      </c>
      <c r="H322">
        <v>0</v>
      </c>
      <c r="I322">
        <v>0</v>
      </c>
      <c r="J322">
        <v>0</v>
      </c>
      <c r="K322">
        <v>0</v>
      </c>
      <c r="L322">
        <v>171</v>
      </c>
      <c r="M322">
        <v>245</v>
      </c>
      <c r="N322" t="s">
        <v>21</v>
      </c>
      <c r="O322" s="3">
        <v>44916</v>
      </c>
      <c r="P322">
        <v>-1</v>
      </c>
      <c r="T322" t="s">
        <v>52</v>
      </c>
      <c r="U322">
        <v>140</v>
      </c>
      <c r="V322">
        <v>18.324999999999999</v>
      </c>
    </row>
    <row r="323" spans="1:22" x14ac:dyDescent="0.35">
      <c r="A323" s="3">
        <v>44671</v>
      </c>
      <c r="B323" t="s">
        <v>22</v>
      </c>
      <c r="C323">
        <v>0</v>
      </c>
      <c r="D323">
        <v>0</v>
      </c>
      <c r="E323">
        <v>0</v>
      </c>
      <c r="F323">
        <v>0</v>
      </c>
      <c r="G323">
        <v>25.743200000000002</v>
      </c>
      <c r="H323">
        <v>0</v>
      </c>
      <c r="I323">
        <v>0</v>
      </c>
      <c r="J323">
        <v>0</v>
      </c>
      <c r="K323">
        <v>0</v>
      </c>
      <c r="L323">
        <v>63</v>
      </c>
      <c r="M323">
        <v>91</v>
      </c>
      <c r="N323" t="s">
        <v>22</v>
      </c>
      <c r="O323" s="3">
        <v>44762</v>
      </c>
      <c r="P323">
        <v>-1</v>
      </c>
      <c r="T323" t="s">
        <v>51</v>
      </c>
      <c r="U323">
        <v>165</v>
      </c>
      <c r="V323">
        <v>18.524999999999999</v>
      </c>
    </row>
    <row r="324" spans="1:22" x14ac:dyDescent="0.35">
      <c r="A324" s="3">
        <v>44671</v>
      </c>
      <c r="B324" t="s">
        <v>29</v>
      </c>
      <c r="C324">
        <v>0</v>
      </c>
      <c r="D324">
        <v>0</v>
      </c>
      <c r="E324">
        <v>0</v>
      </c>
      <c r="F324">
        <v>0</v>
      </c>
      <c r="G324">
        <v>22.991900000000001</v>
      </c>
      <c r="H324">
        <v>0</v>
      </c>
      <c r="I324">
        <v>0</v>
      </c>
      <c r="J324">
        <v>0</v>
      </c>
      <c r="K324">
        <v>0</v>
      </c>
      <c r="L324">
        <v>20</v>
      </c>
      <c r="M324">
        <v>28</v>
      </c>
      <c r="N324" t="s">
        <v>29</v>
      </c>
      <c r="O324" s="3">
        <v>44699</v>
      </c>
      <c r="P324">
        <v>-1</v>
      </c>
      <c r="T324" t="s">
        <v>50</v>
      </c>
      <c r="U324">
        <v>185</v>
      </c>
      <c r="V324">
        <v>18.55</v>
      </c>
    </row>
    <row r="325" spans="1:22" x14ac:dyDescent="0.35">
      <c r="A325" s="3">
        <v>44671</v>
      </c>
      <c r="B325" t="s">
        <v>25</v>
      </c>
      <c r="C325">
        <v>0</v>
      </c>
      <c r="D325">
        <v>0</v>
      </c>
      <c r="E325">
        <v>0</v>
      </c>
      <c r="F325">
        <v>0</v>
      </c>
      <c r="G325">
        <v>27.212499999999999</v>
      </c>
      <c r="H325">
        <v>0</v>
      </c>
      <c r="I325">
        <v>0</v>
      </c>
      <c r="J325">
        <v>0</v>
      </c>
      <c r="K325">
        <v>0</v>
      </c>
      <c r="L325">
        <v>127</v>
      </c>
      <c r="M325">
        <v>182</v>
      </c>
      <c r="N325" t="s">
        <v>25</v>
      </c>
      <c r="O325" s="3">
        <v>44853</v>
      </c>
      <c r="P325">
        <v>-1</v>
      </c>
      <c r="S325" s="3">
        <v>43796</v>
      </c>
      <c r="T325" t="s">
        <v>55</v>
      </c>
      <c r="U325">
        <v>75</v>
      </c>
      <c r="V325">
        <v>17.574999999999999</v>
      </c>
    </row>
    <row r="326" spans="1:22" x14ac:dyDescent="0.35">
      <c r="A326" s="3">
        <v>44671</v>
      </c>
      <c r="B326" t="s">
        <v>20</v>
      </c>
      <c r="C326">
        <v>0</v>
      </c>
      <c r="D326">
        <v>0</v>
      </c>
      <c r="E326">
        <v>0</v>
      </c>
      <c r="F326">
        <v>0</v>
      </c>
      <c r="G326">
        <v>26.7</v>
      </c>
      <c r="H326">
        <v>0</v>
      </c>
      <c r="I326">
        <v>0</v>
      </c>
      <c r="J326">
        <v>0</v>
      </c>
      <c r="K326">
        <v>0</v>
      </c>
      <c r="L326">
        <v>147</v>
      </c>
      <c r="M326">
        <v>210</v>
      </c>
      <c r="N326" t="s">
        <v>20</v>
      </c>
      <c r="O326" s="3">
        <v>44881</v>
      </c>
      <c r="P326">
        <v>-1</v>
      </c>
      <c r="T326" t="s">
        <v>54</v>
      </c>
      <c r="U326">
        <v>95</v>
      </c>
      <c r="V326">
        <v>18.024999999999999</v>
      </c>
    </row>
    <row r="327" spans="1:22" x14ac:dyDescent="0.35">
      <c r="A327" s="3">
        <v>44671</v>
      </c>
      <c r="B327" t="s">
        <v>30</v>
      </c>
      <c r="C327">
        <v>0</v>
      </c>
      <c r="D327">
        <v>0</v>
      </c>
      <c r="E327">
        <v>0</v>
      </c>
      <c r="F327">
        <v>0</v>
      </c>
      <c r="G327">
        <v>20.3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30</v>
      </c>
      <c r="O327" s="3">
        <v>44671</v>
      </c>
      <c r="P327">
        <v>-1</v>
      </c>
      <c r="T327" t="s">
        <v>53</v>
      </c>
      <c r="U327">
        <v>120</v>
      </c>
      <c r="V327">
        <v>18.225000000000001</v>
      </c>
    </row>
    <row r="328" spans="1:22" x14ac:dyDescent="0.35">
      <c r="A328" s="3">
        <v>44671</v>
      </c>
      <c r="B328" t="s">
        <v>26</v>
      </c>
      <c r="C328">
        <v>0</v>
      </c>
      <c r="D328">
        <v>0</v>
      </c>
      <c r="E328">
        <v>0</v>
      </c>
      <c r="F328">
        <v>0</v>
      </c>
      <c r="G328">
        <v>26.169899999999998</v>
      </c>
      <c r="H328">
        <v>0</v>
      </c>
      <c r="I328">
        <v>0</v>
      </c>
      <c r="J328">
        <v>0</v>
      </c>
      <c r="K328">
        <v>0</v>
      </c>
      <c r="L328">
        <v>83</v>
      </c>
      <c r="M328">
        <v>119</v>
      </c>
      <c r="N328" t="s">
        <v>26</v>
      </c>
      <c r="O328" s="3">
        <v>44790</v>
      </c>
      <c r="P328">
        <v>-1</v>
      </c>
      <c r="T328" t="s">
        <v>52</v>
      </c>
      <c r="U328">
        <v>139</v>
      </c>
      <c r="V328">
        <v>18.324999999999999</v>
      </c>
    </row>
    <row r="329" spans="1:22" x14ac:dyDescent="0.35">
      <c r="A329" s="3">
        <v>44671</v>
      </c>
      <c r="B329" t="s">
        <v>27</v>
      </c>
      <c r="C329">
        <v>0</v>
      </c>
      <c r="D329">
        <v>0</v>
      </c>
      <c r="E329">
        <v>0</v>
      </c>
      <c r="F329">
        <v>0</v>
      </c>
      <c r="G329">
        <v>26.8263</v>
      </c>
      <c r="H329">
        <v>0</v>
      </c>
      <c r="I329">
        <v>0</v>
      </c>
      <c r="J329">
        <v>0</v>
      </c>
      <c r="K329">
        <v>0</v>
      </c>
      <c r="L329">
        <v>107</v>
      </c>
      <c r="M329">
        <v>154</v>
      </c>
      <c r="N329" t="s">
        <v>27</v>
      </c>
      <c r="O329" s="3">
        <v>44825</v>
      </c>
      <c r="P329">
        <v>-1</v>
      </c>
      <c r="T329" t="s">
        <v>51</v>
      </c>
      <c r="U329">
        <v>164</v>
      </c>
      <c r="V329">
        <v>18.55</v>
      </c>
    </row>
    <row r="330" spans="1:22" x14ac:dyDescent="0.35">
      <c r="A330" s="3">
        <v>44671</v>
      </c>
      <c r="B330" t="s">
        <v>28</v>
      </c>
      <c r="C330">
        <v>0</v>
      </c>
      <c r="D330">
        <v>0</v>
      </c>
      <c r="E330">
        <v>0</v>
      </c>
      <c r="F330">
        <v>0</v>
      </c>
      <c r="G330">
        <v>24.497900000000001</v>
      </c>
      <c r="H330">
        <v>0</v>
      </c>
      <c r="I330">
        <v>0</v>
      </c>
      <c r="J330">
        <v>0</v>
      </c>
      <c r="K330">
        <v>0</v>
      </c>
      <c r="L330">
        <v>39</v>
      </c>
      <c r="M330">
        <v>56</v>
      </c>
      <c r="N330" t="s">
        <v>28</v>
      </c>
      <c r="O330" s="3">
        <v>44727</v>
      </c>
      <c r="P330">
        <v>-1</v>
      </c>
      <c r="T330" t="s">
        <v>50</v>
      </c>
      <c r="U330">
        <v>184</v>
      </c>
      <c r="V330">
        <v>18.55</v>
      </c>
    </row>
    <row r="331" spans="1:22" x14ac:dyDescent="0.35">
      <c r="A331" s="3">
        <v>44670</v>
      </c>
      <c r="B331" t="s">
        <v>30</v>
      </c>
      <c r="C331">
        <v>0</v>
      </c>
      <c r="D331">
        <v>0</v>
      </c>
      <c r="E331">
        <v>0</v>
      </c>
      <c r="F331">
        <v>0</v>
      </c>
      <c r="G331">
        <v>21.148900000000001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 t="s">
        <v>30</v>
      </c>
      <c r="O331" s="3">
        <v>44671</v>
      </c>
      <c r="P331">
        <v>-1</v>
      </c>
      <c r="S331" s="3">
        <v>43798</v>
      </c>
      <c r="T331" t="s">
        <v>55</v>
      </c>
      <c r="U331">
        <v>74</v>
      </c>
      <c r="V331">
        <v>17.875</v>
      </c>
    </row>
    <row r="332" spans="1:22" x14ac:dyDescent="0.35">
      <c r="A332" s="3">
        <v>44670</v>
      </c>
      <c r="B332" t="s">
        <v>26</v>
      </c>
      <c r="C332">
        <v>0</v>
      </c>
      <c r="D332">
        <v>0</v>
      </c>
      <c r="E332">
        <v>0</v>
      </c>
      <c r="F332">
        <v>0</v>
      </c>
      <c r="G332">
        <v>26.599599999999999</v>
      </c>
      <c r="H332">
        <v>0</v>
      </c>
      <c r="I332">
        <v>0</v>
      </c>
      <c r="J332">
        <v>0</v>
      </c>
      <c r="K332">
        <v>0</v>
      </c>
      <c r="L332">
        <v>84</v>
      </c>
      <c r="M332">
        <v>120</v>
      </c>
      <c r="N332" t="s">
        <v>26</v>
      </c>
      <c r="O332" s="3">
        <v>44790</v>
      </c>
      <c r="P332">
        <v>-1</v>
      </c>
      <c r="T332" t="s">
        <v>54</v>
      </c>
      <c r="U332">
        <v>94</v>
      </c>
      <c r="V332">
        <v>18.225000000000001</v>
      </c>
    </row>
    <row r="333" spans="1:22" x14ac:dyDescent="0.35">
      <c r="A333" s="3">
        <v>44670</v>
      </c>
      <c r="B333" t="s">
        <v>27</v>
      </c>
      <c r="C333">
        <v>0</v>
      </c>
      <c r="D333">
        <v>0</v>
      </c>
      <c r="E333">
        <v>0</v>
      </c>
      <c r="F333">
        <v>0</v>
      </c>
      <c r="G333">
        <v>27.151399999999999</v>
      </c>
      <c r="H333">
        <v>0</v>
      </c>
      <c r="I333">
        <v>0</v>
      </c>
      <c r="J333">
        <v>0</v>
      </c>
      <c r="K333">
        <v>0</v>
      </c>
      <c r="L333">
        <v>108</v>
      </c>
      <c r="M333">
        <v>155</v>
      </c>
      <c r="N333" t="s">
        <v>27</v>
      </c>
      <c r="O333" s="3">
        <v>44825</v>
      </c>
      <c r="P333">
        <v>-1</v>
      </c>
      <c r="T333" t="s">
        <v>53</v>
      </c>
      <c r="U333">
        <v>119</v>
      </c>
      <c r="V333">
        <v>18.375</v>
      </c>
    </row>
    <row r="334" spans="1:22" x14ac:dyDescent="0.35">
      <c r="A334" s="3">
        <v>44670</v>
      </c>
      <c r="B334" t="s">
        <v>28</v>
      </c>
      <c r="C334">
        <v>0</v>
      </c>
      <c r="D334">
        <v>0</v>
      </c>
      <c r="E334">
        <v>0</v>
      </c>
      <c r="F334">
        <v>0</v>
      </c>
      <c r="G334">
        <v>24.982900000000001</v>
      </c>
      <c r="H334">
        <v>0</v>
      </c>
      <c r="I334">
        <v>0</v>
      </c>
      <c r="J334">
        <v>0</v>
      </c>
      <c r="K334">
        <v>0</v>
      </c>
      <c r="L334">
        <v>40</v>
      </c>
      <c r="M334">
        <v>57</v>
      </c>
      <c r="N334" t="s">
        <v>28</v>
      </c>
      <c r="O334" s="3">
        <v>44727</v>
      </c>
      <c r="P334">
        <v>-1</v>
      </c>
      <c r="T334" t="s">
        <v>52</v>
      </c>
      <c r="U334">
        <v>138</v>
      </c>
      <c r="V334">
        <v>18.5</v>
      </c>
    </row>
    <row r="335" spans="1:22" x14ac:dyDescent="0.35">
      <c r="A335" s="3">
        <v>44670</v>
      </c>
      <c r="B335" t="s">
        <v>21</v>
      </c>
      <c r="C335">
        <v>0</v>
      </c>
      <c r="D335">
        <v>0</v>
      </c>
      <c r="E335">
        <v>0</v>
      </c>
      <c r="F335">
        <v>0</v>
      </c>
      <c r="G335">
        <v>26.1</v>
      </c>
      <c r="H335">
        <v>0</v>
      </c>
      <c r="I335">
        <v>0</v>
      </c>
      <c r="J335">
        <v>0</v>
      </c>
      <c r="K335">
        <v>0</v>
      </c>
      <c r="L335">
        <v>172</v>
      </c>
      <c r="M335">
        <v>246</v>
      </c>
      <c r="N335" t="s">
        <v>21</v>
      </c>
      <c r="O335" s="3">
        <v>44916</v>
      </c>
      <c r="P335">
        <v>-1</v>
      </c>
      <c r="T335" t="s">
        <v>51</v>
      </c>
      <c r="U335">
        <v>163</v>
      </c>
      <c r="V335">
        <v>18.649999999999999</v>
      </c>
    </row>
    <row r="336" spans="1:22" x14ac:dyDescent="0.35">
      <c r="A336" s="3">
        <v>44670</v>
      </c>
      <c r="B336" t="s">
        <v>22</v>
      </c>
      <c r="C336">
        <v>0</v>
      </c>
      <c r="D336">
        <v>0</v>
      </c>
      <c r="E336">
        <v>0</v>
      </c>
      <c r="F336">
        <v>0</v>
      </c>
      <c r="G336">
        <v>26.198599999999999</v>
      </c>
      <c r="H336">
        <v>0</v>
      </c>
      <c r="I336">
        <v>0</v>
      </c>
      <c r="J336">
        <v>0</v>
      </c>
      <c r="K336">
        <v>0</v>
      </c>
      <c r="L336">
        <v>64</v>
      </c>
      <c r="M336">
        <v>92</v>
      </c>
      <c r="N336" t="s">
        <v>22</v>
      </c>
      <c r="O336" s="3">
        <v>44762</v>
      </c>
      <c r="P336">
        <v>-1</v>
      </c>
      <c r="T336" t="s">
        <v>50</v>
      </c>
      <c r="U336">
        <v>183</v>
      </c>
      <c r="V336">
        <v>18.625</v>
      </c>
    </row>
    <row r="337" spans="1:22" x14ac:dyDescent="0.35">
      <c r="A337" s="3">
        <v>44670</v>
      </c>
      <c r="B337" t="s">
        <v>29</v>
      </c>
      <c r="C337">
        <v>0</v>
      </c>
      <c r="D337">
        <v>0</v>
      </c>
      <c r="E337">
        <v>0</v>
      </c>
      <c r="F337">
        <v>0</v>
      </c>
      <c r="G337">
        <v>23.541599999999999</v>
      </c>
      <c r="H337">
        <v>0</v>
      </c>
      <c r="I337">
        <v>0</v>
      </c>
      <c r="J337">
        <v>0</v>
      </c>
      <c r="K337">
        <v>0</v>
      </c>
      <c r="L337">
        <v>21</v>
      </c>
      <c r="M337">
        <v>29</v>
      </c>
      <c r="N337" t="s">
        <v>29</v>
      </c>
      <c r="O337" s="3">
        <v>44699</v>
      </c>
      <c r="P337">
        <v>-1</v>
      </c>
      <c r="S337" s="3">
        <v>43801</v>
      </c>
      <c r="T337" t="s">
        <v>55</v>
      </c>
      <c r="U337">
        <v>73</v>
      </c>
      <c r="V337">
        <v>18.274999999999999</v>
      </c>
    </row>
    <row r="338" spans="1:22" x14ac:dyDescent="0.35">
      <c r="A338" s="3">
        <v>44670</v>
      </c>
      <c r="B338" t="s">
        <v>25</v>
      </c>
      <c r="C338">
        <v>0</v>
      </c>
      <c r="D338">
        <v>0</v>
      </c>
      <c r="E338">
        <v>0</v>
      </c>
      <c r="F338">
        <v>0</v>
      </c>
      <c r="G338">
        <v>27.55</v>
      </c>
      <c r="H338">
        <v>0</v>
      </c>
      <c r="I338">
        <v>0</v>
      </c>
      <c r="J338">
        <v>0</v>
      </c>
      <c r="K338">
        <v>0</v>
      </c>
      <c r="L338">
        <v>128</v>
      </c>
      <c r="M338">
        <v>183</v>
      </c>
      <c r="N338" t="s">
        <v>25</v>
      </c>
      <c r="O338" s="3">
        <v>44853</v>
      </c>
      <c r="P338">
        <v>-1</v>
      </c>
      <c r="T338" t="s">
        <v>54</v>
      </c>
      <c r="U338">
        <v>93</v>
      </c>
      <c r="V338">
        <v>18.725000000000001</v>
      </c>
    </row>
    <row r="339" spans="1:22" x14ac:dyDescent="0.35">
      <c r="A339" s="3">
        <v>44670</v>
      </c>
      <c r="B339" t="s">
        <v>20</v>
      </c>
      <c r="C339">
        <v>0</v>
      </c>
      <c r="D339">
        <v>0</v>
      </c>
      <c r="E339">
        <v>0</v>
      </c>
      <c r="F339">
        <v>0</v>
      </c>
      <c r="G339">
        <v>26.95</v>
      </c>
      <c r="H339">
        <v>0</v>
      </c>
      <c r="I339">
        <v>0</v>
      </c>
      <c r="J339">
        <v>0</v>
      </c>
      <c r="K339">
        <v>0</v>
      </c>
      <c r="L339">
        <v>148</v>
      </c>
      <c r="M339">
        <v>211</v>
      </c>
      <c r="N339" t="s">
        <v>20</v>
      </c>
      <c r="O339" s="3">
        <v>44881</v>
      </c>
      <c r="P339">
        <v>-1</v>
      </c>
      <c r="T339" t="s">
        <v>53</v>
      </c>
      <c r="U339">
        <v>118</v>
      </c>
      <c r="V339">
        <v>18.824999999999999</v>
      </c>
    </row>
    <row r="340" spans="1:22" x14ac:dyDescent="0.35">
      <c r="A340" s="3">
        <v>44669</v>
      </c>
      <c r="B340" t="s">
        <v>21</v>
      </c>
      <c r="C340">
        <v>0</v>
      </c>
      <c r="D340">
        <v>0</v>
      </c>
      <c r="E340">
        <v>0</v>
      </c>
      <c r="F340">
        <v>0</v>
      </c>
      <c r="G340">
        <v>26.55</v>
      </c>
      <c r="H340">
        <v>0</v>
      </c>
      <c r="I340">
        <v>0</v>
      </c>
      <c r="J340">
        <v>0</v>
      </c>
      <c r="K340">
        <v>0</v>
      </c>
      <c r="L340">
        <v>173</v>
      </c>
      <c r="M340">
        <v>247</v>
      </c>
      <c r="N340" t="s">
        <v>21</v>
      </c>
      <c r="O340" s="3">
        <v>44916</v>
      </c>
      <c r="P340">
        <v>-1</v>
      </c>
      <c r="T340" t="s">
        <v>52</v>
      </c>
      <c r="U340">
        <v>137</v>
      </c>
      <c r="V340">
        <v>18.925000000000001</v>
      </c>
    </row>
    <row r="341" spans="1:22" x14ac:dyDescent="0.35">
      <c r="A341" s="3">
        <v>44669</v>
      </c>
      <c r="B341" t="s">
        <v>22</v>
      </c>
      <c r="C341">
        <v>0</v>
      </c>
      <c r="D341">
        <v>0</v>
      </c>
      <c r="E341">
        <v>0</v>
      </c>
      <c r="F341">
        <v>0</v>
      </c>
      <c r="G341">
        <v>27</v>
      </c>
      <c r="H341">
        <v>0</v>
      </c>
      <c r="I341">
        <v>0</v>
      </c>
      <c r="J341">
        <v>0</v>
      </c>
      <c r="K341">
        <v>0</v>
      </c>
      <c r="L341">
        <v>65</v>
      </c>
      <c r="M341">
        <v>93</v>
      </c>
      <c r="N341" t="s">
        <v>22</v>
      </c>
      <c r="O341" s="3">
        <v>44762</v>
      </c>
      <c r="P341">
        <v>-1</v>
      </c>
      <c r="T341" t="s">
        <v>51</v>
      </c>
      <c r="U341">
        <v>162</v>
      </c>
      <c r="V341">
        <v>19.05</v>
      </c>
    </row>
    <row r="342" spans="1:22" x14ac:dyDescent="0.35">
      <c r="A342" s="3">
        <v>44669</v>
      </c>
      <c r="B342" t="s">
        <v>29</v>
      </c>
      <c r="C342">
        <v>0</v>
      </c>
      <c r="D342">
        <v>0</v>
      </c>
      <c r="E342">
        <v>0</v>
      </c>
      <c r="F342">
        <v>0</v>
      </c>
      <c r="G342">
        <v>24.7867</v>
      </c>
      <c r="H342">
        <v>0</v>
      </c>
      <c r="I342">
        <v>0</v>
      </c>
      <c r="J342">
        <v>0</v>
      </c>
      <c r="K342">
        <v>0</v>
      </c>
      <c r="L342">
        <v>22</v>
      </c>
      <c r="M342">
        <v>30</v>
      </c>
      <c r="N342" t="s">
        <v>29</v>
      </c>
      <c r="O342" s="3">
        <v>44699</v>
      </c>
      <c r="P342">
        <v>-1</v>
      </c>
      <c r="T342" t="s">
        <v>50</v>
      </c>
      <c r="U342">
        <v>182</v>
      </c>
      <c r="V342">
        <v>19.05</v>
      </c>
    </row>
    <row r="343" spans="1:22" x14ac:dyDescent="0.35">
      <c r="A343" s="3">
        <v>44669</v>
      </c>
      <c r="B343" t="s">
        <v>25</v>
      </c>
      <c r="C343">
        <v>0</v>
      </c>
      <c r="D343">
        <v>0</v>
      </c>
      <c r="E343">
        <v>0</v>
      </c>
      <c r="F343">
        <v>0</v>
      </c>
      <c r="G343">
        <v>28.086200000000002</v>
      </c>
      <c r="H343">
        <v>0</v>
      </c>
      <c r="I343">
        <v>0</v>
      </c>
      <c r="J343">
        <v>0</v>
      </c>
      <c r="K343">
        <v>0</v>
      </c>
      <c r="L343">
        <v>129</v>
      </c>
      <c r="M343">
        <v>184</v>
      </c>
      <c r="N343" t="s">
        <v>25</v>
      </c>
      <c r="O343" s="3">
        <v>44853</v>
      </c>
      <c r="P343">
        <v>-1</v>
      </c>
      <c r="S343" s="3">
        <v>43802</v>
      </c>
      <c r="T343" t="s">
        <v>55</v>
      </c>
      <c r="U343">
        <v>72</v>
      </c>
      <c r="V343">
        <v>18.524999999999999</v>
      </c>
    </row>
    <row r="344" spans="1:22" x14ac:dyDescent="0.35">
      <c r="A344" s="3">
        <v>44669</v>
      </c>
      <c r="B344" t="s">
        <v>20</v>
      </c>
      <c r="C344">
        <v>0</v>
      </c>
      <c r="D344">
        <v>0</v>
      </c>
      <c r="E344">
        <v>0</v>
      </c>
      <c r="F344">
        <v>0</v>
      </c>
      <c r="G344">
        <v>27.45</v>
      </c>
      <c r="H344">
        <v>0</v>
      </c>
      <c r="I344">
        <v>0</v>
      </c>
      <c r="J344">
        <v>0</v>
      </c>
      <c r="K344">
        <v>0</v>
      </c>
      <c r="L344">
        <v>149</v>
      </c>
      <c r="M344">
        <v>212</v>
      </c>
      <c r="N344" t="s">
        <v>20</v>
      </c>
      <c r="O344" s="3">
        <v>44881</v>
      </c>
      <c r="P344">
        <v>-1</v>
      </c>
      <c r="T344" t="s">
        <v>54</v>
      </c>
      <c r="U344">
        <v>92</v>
      </c>
      <c r="V344">
        <v>18.875</v>
      </c>
    </row>
    <row r="345" spans="1:22" x14ac:dyDescent="0.35">
      <c r="A345" s="3">
        <v>44669</v>
      </c>
      <c r="B345" t="s">
        <v>30</v>
      </c>
      <c r="C345">
        <v>0</v>
      </c>
      <c r="D345">
        <v>0</v>
      </c>
      <c r="E345">
        <v>0</v>
      </c>
      <c r="F345">
        <v>0</v>
      </c>
      <c r="G345">
        <v>22.951799999999999</v>
      </c>
      <c r="H345">
        <v>0</v>
      </c>
      <c r="I345">
        <v>0</v>
      </c>
      <c r="J345">
        <v>0</v>
      </c>
      <c r="K345">
        <v>0</v>
      </c>
      <c r="L345">
        <v>2</v>
      </c>
      <c r="M345">
        <v>2</v>
      </c>
      <c r="N345" t="s">
        <v>30</v>
      </c>
      <c r="O345" s="3">
        <v>44671</v>
      </c>
      <c r="P345">
        <v>-1</v>
      </c>
      <c r="T345" t="s">
        <v>53</v>
      </c>
      <c r="U345">
        <v>117</v>
      </c>
      <c r="V345">
        <v>19.024999999999999</v>
      </c>
    </row>
    <row r="346" spans="1:22" x14ac:dyDescent="0.35">
      <c r="A346" s="3">
        <v>44669</v>
      </c>
      <c r="B346" t="s">
        <v>26</v>
      </c>
      <c r="C346">
        <v>0</v>
      </c>
      <c r="D346">
        <v>0</v>
      </c>
      <c r="E346">
        <v>0</v>
      </c>
      <c r="F346">
        <v>0</v>
      </c>
      <c r="G346">
        <v>27.3</v>
      </c>
      <c r="H346">
        <v>0</v>
      </c>
      <c r="I346">
        <v>0</v>
      </c>
      <c r="J346">
        <v>0</v>
      </c>
      <c r="K346">
        <v>0</v>
      </c>
      <c r="L346">
        <v>85</v>
      </c>
      <c r="M346">
        <v>121</v>
      </c>
      <c r="N346" t="s">
        <v>26</v>
      </c>
      <c r="O346" s="3">
        <v>44790</v>
      </c>
      <c r="P346">
        <v>-1</v>
      </c>
      <c r="T346" t="s">
        <v>52</v>
      </c>
      <c r="U346">
        <v>136</v>
      </c>
      <c r="V346">
        <v>19.125</v>
      </c>
    </row>
    <row r="347" spans="1:22" x14ac:dyDescent="0.35">
      <c r="A347" s="3">
        <v>44669</v>
      </c>
      <c r="B347" t="s">
        <v>27</v>
      </c>
      <c r="C347">
        <v>0</v>
      </c>
      <c r="D347">
        <v>0</v>
      </c>
      <c r="E347">
        <v>0</v>
      </c>
      <c r="F347">
        <v>0</v>
      </c>
      <c r="G347">
        <v>27.799199999999999</v>
      </c>
      <c r="H347">
        <v>0</v>
      </c>
      <c r="I347">
        <v>0</v>
      </c>
      <c r="J347">
        <v>0</v>
      </c>
      <c r="K347">
        <v>0</v>
      </c>
      <c r="L347">
        <v>109</v>
      </c>
      <c r="M347">
        <v>156</v>
      </c>
      <c r="N347" t="s">
        <v>27</v>
      </c>
      <c r="O347" s="3">
        <v>44825</v>
      </c>
      <c r="P347">
        <v>-1</v>
      </c>
      <c r="T347" t="s">
        <v>51</v>
      </c>
      <c r="U347">
        <v>161</v>
      </c>
      <c r="V347">
        <v>19.324999999999999</v>
      </c>
    </row>
    <row r="348" spans="1:22" x14ac:dyDescent="0.35">
      <c r="A348" s="3">
        <v>44669</v>
      </c>
      <c r="B348" t="s">
        <v>28</v>
      </c>
      <c r="C348">
        <v>0</v>
      </c>
      <c r="D348">
        <v>0</v>
      </c>
      <c r="E348">
        <v>0</v>
      </c>
      <c r="F348">
        <v>0</v>
      </c>
      <c r="G348">
        <v>25.9709</v>
      </c>
      <c r="H348">
        <v>0</v>
      </c>
      <c r="I348">
        <v>0</v>
      </c>
      <c r="J348">
        <v>0</v>
      </c>
      <c r="K348">
        <v>0</v>
      </c>
      <c r="L348">
        <v>41</v>
      </c>
      <c r="M348">
        <v>58</v>
      </c>
      <c r="N348" t="s">
        <v>28</v>
      </c>
      <c r="O348" s="3">
        <v>44727</v>
      </c>
      <c r="P348">
        <v>-1</v>
      </c>
      <c r="T348" t="s">
        <v>50</v>
      </c>
      <c r="U348">
        <v>181</v>
      </c>
      <c r="V348">
        <v>19.375</v>
      </c>
    </row>
    <row r="349" spans="1:22" x14ac:dyDescent="0.35">
      <c r="A349" s="3">
        <v>44665</v>
      </c>
      <c r="B349" t="s">
        <v>30</v>
      </c>
      <c r="C349">
        <v>0</v>
      </c>
      <c r="D349">
        <v>0</v>
      </c>
      <c r="E349">
        <v>0</v>
      </c>
      <c r="F349">
        <v>0</v>
      </c>
      <c r="G349">
        <v>23.421099999999999</v>
      </c>
      <c r="H349">
        <v>0</v>
      </c>
      <c r="I349">
        <v>0</v>
      </c>
      <c r="J349">
        <v>0</v>
      </c>
      <c r="K349">
        <v>0</v>
      </c>
      <c r="L349">
        <v>4</v>
      </c>
      <c r="M349">
        <v>6</v>
      </c>
      <c r="N349" t="s">
        <v>30</v>
      </c>
      <c r="O349" s="3">
        <v>44671</v>
      </c>
      <c r="P349">
        <v>-1</v>
      </c>
      <c r="S349" s="3">
        <v>43803</v>
      </c>
      <c r="T349" t="s">
        <v>55</v>
      </c>
      <c r="U349">
        <v>71</v>
      </c>
      <c r="V349">
        <v>18.225000000000001</v>
      </c>
    </row>
    <row r="350" spans="1:22" x14ac:dyDescent="0.35">
      <c r="A350" s="3">
        <v>44665</v>
      </c>
      <c r="B350" t="s">
        <v>26</v>
      </c>
      <c r="C350">
        <v>0</v>
      </c>
      <c r="D350">
        <v>0</v>
      </c>
      <c r="E350">
        <v>0</v>
      </c>
      <c r="F350">
        <v>0</v>
      </c>
      <c r="G350">
        <v>27.337399999999999</v>
      </c>
      <c r="H350">
        <v>0</v>
      </c>
      <c r="I350">
        <v>0</v>
      </c>
      <c r="J350">
        <v>0</v>
      </c>
      <c r="K350">
        <v>0</v>
      </c>
      <c r="L350">
        <v>87</v>
      </c>
      <c r="M350">
        <v>125</v>
      </c>
      <c r="N350" t="s">
        <v>26</v>
      </c>
      <c r="O350" s="3">
        <v>44790</v>
      </c>
      <c r="P350">
        <v>-1</v>
      </c>
      <c r="T350" t="s">
        <v>54</v>
      </c>
      <c r="U350">
        <v>91</v>
      </c>
      <c r="V350">
        <v>18.625</v>
      </c>
    </row>
    <row r="351" spans="1:22" x14ac:dyDescent="0.35">
      <c r="A351" s="3">
        <v>44665</v>
      </c>
      <c r="B351" t="s">
        <v>27</v>
      </c>
      <c r="C351">
        <v>0</v>
      </c>
      <c r="D351">
        <v>0</v>
      </c>
      <c r="E351">
        <v>0</v>
      </c>
      <c r="F351">
        <v>0</v>
      </c>
      <c r="G351">
        <v>27.700800000000001</v>
      </c>
      <c r="H351">
        <v>0</v>
      </c>
      <c r="I351">
        <v>0</v>
      </c>
      <c r="J351">
        <v>0</v>
      </c>
      <c r="K351">
        <v>0</v>
      </c>
      <c r="L351">
        <v>111</v>
      </c>
      <c r="M351">
        <v>160</v>
      </c>
      <c r="N351" t="s">
        <v>27</v>
      </c>
      <c r="O351" s="3">
        <v>44825</v>
      </c>
      <c r="P351">
        <v>-1</v>
      </c>
      <c r="T351" t="s">
        <v>53</v>
      </c>
      <c r="U351">
        <v>116</v>
      </c>
      <c r="V351">
        <v>18.8</v>
      </c>
    </row>
    <row r="352" spans="1:22" x14ac:dyDescent="0.35">
      <c r="A352" s="3">
        <v>44665</v>
      </c>
      <c r="B352" t="s">
        <v>28</v>
      </c>
      <c r="C352">
        <v>0</v>
      </c>
      <c r="D352">
        <v>0</v>
      </c>
      <c r="E352">
        <v>0</v>
      </c>
      <c r="F352">
        <v>0</v>
      </c>
      <c r="G352">
        <v>26.151599999999998</v>
      </c>
      <c r="H352">
        <v>0</v>
      </c>
      <c r="I352">
        <v>0</v>
      </c>
      <c r="J352">
        <v>0</v>
      </c>
      <c r="K352">
        <v>0</v>
      </c>
      <c r="L352">
        <v>43</v>
      </c>
      <c r="M352">
        <v>62</v>
      </c>
      <c r="N352" t="s">
        <v>28</v>
      </c>
      <c r="O352" s="3">
        <v>44727</v>
      </c>
      <c r="P352">
        <v>-1</v>
      </c>
      <c r="T352" t="s">
        <v>52</v>
      </c>
      <c r="U352">
        <v>135</v>
      </c>
      <c r="V352">
        <v>18.875</v>
      </c>
    </row>
    <row r="353" spans="1:22" x14ac:dyDescent="0.35">
      <c r="A353" s="3">
        <v>44665</v>
      </c>
      <c r="B353" t="s">
        <v>21</v>
      </c>
      <c r="C353">
        <v>0</v>
      </c>
      <c r="D353">
        <v>0</v>
      </c>
      <c r="E353">
        <v>0</v>
      </c>
      <c r="F353">
        <v>0</v>
      </c>
      <c r="G353">
        <v>26.375</v>
      </c>
      <c r="H353">
        <v>0</v>
      </c>
      <c r="I353">
        <v>0</v>
      </c>
      <c r="J353">
        <v>0</v>
      </c>
      <c r="K353">
        <v>0</v>
      </c>
      <c r="L353">
        <v>175</v>
      </c>
      <c r="M353">
        <v>251</v>
      </c>
      <c r="N353" t="s">
        <v>21</v>
      </c>
      <c r="O353" s="3">
        <v>44916</v>
      </c>
      <c r="P353">
        <v>-1</v>
      </c>
      <c r="T353" t="s">
        <v>51</v>
      </c>
      <c r="U353">
        <v>160</v>
      </c>
      <c r="V353">
        <v>19.125</v>
      </c>
    </row>
    <row r="354" spans="1:22" x14ac:dyDescent="0.35">
      <c r="A354" s="3">
        <v>44665</v>
      </c>
      <c r="B354" t="s">
        <v>22</v>
      </c>
      <c r="C354">
        <v>0</v>
      </c>
      <c r="D354">
        <v>0</v>
      </c>
      <c r="E354">
        <v>0</v>
      </c>
      <c r="F354">
        <v>0</v>
      </c>
      <c r="G354">
        <v>27.1</v>
      </c>
      <c r="H354">
        <v>0</v>
      </c>
      <c r="I354">
        <v>0</v>
      </c>
      <c r="J354">
        <v>0</v>
      </c>
      <c r="K354">
        <v>0</v>
      </c>
      <c r="L354">
        <v>67</v>
      </c>
      <c r="M354">
        <v>97</v>
      </c>
      <c r="N354" t="s">
        <v>22</v>
      </c>
      <c r="O354" s="3">
        <v>44762</v>
      </c>
      <c r="P354">
        <v>-1</v>
      </c>
      <c r="T354" t="s">
        <v>50</v>
      </c>
      <c r="U354">
        <v>180</v>
      </c>
      <c r="V354">
        <v>19.175000000000001</v>
      </c>
    </row>
    <row r="355" spans="1:22" x14ac:dyDescent="0.35">
      <c r="A355" s="3">
        <v>44665</v>
      </c>
      <c r="B355" t="s">
        <v>29</v>
      </c>
      <c r="C355">
        <v>0</v>
      </c>
      <c r="D355">
        <v>0</v>
      </c>
      <c r="E355">
        <v>0</v>
      </c>
      <c r="F355">
        <v>0</v>
      </c>
      <c r="G355">
        <v>25.098299999999998</v>
      </c>
      <c r="H355">
        <v>0</v>
      </c>
      <c r="I355">
        <v>0</v>
      </c>
      <c r="J355">
        <v>0</v>
      </c>
      <c r="K355">
        <v>0</v>
      </c>
      <c r="L355">
        <v>24</v>
      </c>
      <c r="M355">
        <v>34</v>
      </c>
      <c r="N355" t="s">
        <v>29</v>
      </c>
      <c r="O355" s="3">
        <v>44699</v>
      </c>
      <c r="P355">
        <v>-1</v>
      </c>
      <c r="S355" s="3">
        <v>43804</v>
      </c>
      <c r="T355" t="s">
        <v>55</v>
      </c>
      <c r="U355">
        <v>70</v>
      </c>
      <c r="V355">
        <v>18.074999999999999</v>
      </c>
    </row>
    <row r="356" spans="1:22" x14ac:dyDescent="0.35">
      <c r="A356" s="3">
        <v>44665</v>
      </c>
      <c r="B356" t="s">
        <v>25</v>
      </c>
      <c r="C356">
        <v>0</v>
      </c>
      <c r="D356">
        <v>0</v>
      </c>
      <c r="E356">
        <v>0</v>
      </c>
      <c r="F356">
        <v>0</v>
      </c>
      <c r="G356">
        <v>27.971699999999998</v>
      </c>
      <c r="H356">
        <v>0</v>
      </c>
      <c r="I356">
        <v>0</v>
      </c>
      <c r="J356">
        <v>0</v>
      </c>
      <c r="K356">
        <v>0</v>
      </c>
      <c r="L356">
        <v>131</v>
      </c>
      <c r="M356">
        <v>188</v>
      </c>
      <c r="N356" t="s">
        <v>25</v>
      </c>
      <c r="O356" s="3">
        <v>44853</v>
      </c>
      <c r="P356">
        <v>-1</v>
      </c>
      <c r="T356" t="s">
        <v>54</v>
      </c>
      <c r="U356">
        <v>90</v>
      </c>
      <c r="V356">
        <v>18.524999999999999</v>
      </c>
    </row>
    <row r="357" spans="1:22" x14ac:dyDescent="0.35">
      <c r="A357" s="3">
        <v>44665</v>
      </c>
      <c r="B357" t="s">
        <v>20</v>
      </c>
      <c r="C357">
        <v>0</v>
      </c>
      <c r="D357">
        <v>0</v>
      </c>
      <c r="E357">
        <v>0</v>
      </c>
      <c r="F357">
        <v>0</v>
      </c>
      <c r="G357">
        <v>27.324999999999999</v>
      </c>
      <c r="H357">
        <v>0</v>
      </c>
      <c r="I357">
        <v>0</v>
      </c>
      <c r="J357">
        <v>0</v>
      </c>
      <c r="K357">
        <v>0</v>
      </c>
      <c r="L357">
        <v>151</v>
      </c>
      <c r="M357">
        <v>216</v>
      </c>
      <c r="N357" t="s">
        <v>20</v>
      </c>
      <c r="O357" s="3">
        <v>44881</v>
      </c>
      <c r="P357">
        <v>-1</v>
      </c>
      <c r="T357" t="s">
        <v>53</v>
      </c>
      <c r="U357">
        <v>115</v>
      </c>
      <c r="V357">
        <v>18.675000000000001</v>
      </c>
    </row>
    <row r="358" spans="1:22" x14ac:dyDescent="0.35">
      <c r="A358" s="3">
        <v>44664</v>
      </c>
      <c r="B358" t="s">
        <v>21</v>
      </c>
      <c r="C358">
        <v>0</v>
      </c>
      <c r="D358">
        <v>0</v>
      </c>
      <c r="E358">
        <v>0</v>
      </c>
      <c r="F358">
        <v>0</v>
      </c>
      <c r="G358">
        <v>26.125</v>
      </c>
      <c r="H358">
        <v>0</v>
      </c>
      <c r="I358">
        <v>0</v>
      </c>
      <c r="J358">
        <v>0</v>
      </c>
      <c r="K358">
        <v>0</v>
      </c>
      <c r="L358">
        <v>176</v>
      </c>
      <c r="M358">
        <v>252</v>
      </c>
      <c r="N358" t="s">
        <v>21</v>
      </c>
      <c r="O358" s="3">
        <v>44916</v>
      </c>
      <c r="P358">
        <v>-1</v>
      </c>
      <c r="T358" t="s">
        <v>52</v>
      </c>
      <c r="U358">
        <v>134</v>
      </c>
      <c r="V358">
        <v>18.774999999999999</v>
      </c>
    </row>
    <row r="359" spans="1:22" x14ac:dyDescent="0.35">
      <c r="A359" s="3">
        <v>44664</v>
      </c>
      <c r="B359" t="s">
        <v>22</v>
      </c>
      <c r="C359">
        <v>0</v>
      </c>
      <c r="D359">
        <v>0</v>
      </c>
      <c r="E359">
        <v>0</v>
      </c>
      <c r="F359">
        <v>0</v>
      </c>
      <c r="G359">
        <v>26.6828</v>
      </c>
      <c r="H359">
        <v>0</v>
      </c>
      <c r="I359">
        <v>0</v>
      </c>
      <c r="J359">
        <v>0</v>
      </c>
      <c r="K359">
        <v>0</v>
      </c>
      <c r="L359">
        <v>68</v>
      </c>
      <c r="M359">
        <v>98</v>
      </c>
      <c r="N359" t="s">
        <v>22</v>
      </c>
      <c r="O359" s="3">
        <v>44762</v>
      </c>
      <c r="P359">
        <v>-1</v>
      </c>
      <c r="T359" t="s">
        <v>51</v>
      </c>
      <c r="U359">
        <v>159</v>
      </c>
      <c r="V359">
        <v>19</v>
      </c>
    </row>
    <row r="360" spans="1:22" x14ac:dyDescent="0.35">
      <c r="A360" s="3">
        <v>44664</v>
      </c>
      <c r="B360" t="s">
        <v>29</v>
      </c>
      <c r="C360">
        <v>0</v>
      </c>
      <c r="D360">
        <v>0</v>
      </c>
      <c r="E360">
        <v>0</v>
      </c>
      <c r="F360">
        <v>0</v>
      </c>
      <c r="G360">
        <v>24.428899999999999</v>
      </c>
      <c r="H360">
        <v>0</v>
      </c>
      <c r="I360">
        <v>0</v>
      </c>
      <c r="J360">
        <v>0</v>
      </c>
      <c r="K360">
        <v>0</v>
      </c>
      <c r="L360">
        <v>25</v>
      </c>
      <c r="M360">
        <v>35</v>
      </c>
      <c r="N360" t="s">
        <v>29</v>
      </c>
      <c r="O360" s="3">
        <v>44699</v>
      </c>
      <c r="P360">
        <v>-1</v>
      </c>
      <c r="T360" t="s">
        <v>50</v>
      </c>
      <c r="U360">
        <v>179</v>
      </c>
      <c r="V360">
        <v>19.125</v>
      </c>
    </row>
    <row r="361" spans="1:22" x14ac:dyDescent="0.35">
      <c r="A361" s="3">
        <v>44664</v>
      </c>
      <c r="B361" t="s">
        <v>25</v>
      </c>
      <c r="C361">
        <v>0</v>
      </c>
      <c r="D361">
        <v>0</v>
      </c>
      <c r="E361">
        <v>0</v>
      </c>
      <c r="F361">
        <v>0</v>
      </c>
      <c r="G361">
        <v>27.5656</v>
      </c>
      <c r="H361">
        <v>0</v>
      </c>
      <c r="I361">
        <v>0</v>
      </c>
      <c r="J361">
        <v>0</v>
      </c>
      <c r="K361">
        <v>0</v>
      </c>
      <c r="L361">
        <v>132</v>
      </c>
      <c r="M361">
        <v>189</v>
      </c>
      <c r="N361" t="s">
        <v>25</v>
      </c>
      <c r="O361" s="3">
        <v>44853</v>
      </c>
      <c r="P361">
        <v>-1</v>
      </c>
      <c r="S361" s="3">
        <v>43805</v>
      </c>
      <c r="T361" t="s">
        <v>55</v>
      </c>
      <c r="U361">
        <v>69</v>
      </c>
      <c r="V361">
        <v>17.675000000000001</v>
      </c>
    </row>
    <row r="362" spans="1:22" x14ac:dyDescent="0.35">
      <c r="A362" s="3">
        <v>44664</v>
      </c>
      <c r="B362" t="s">
        <v>20</v>
      </c>
      <c r="C362">
        <v>0</v>
      </c>
      <c r="D362">
        <v>0</v>
      </c>
      <c r="E362">
        <v>0</v>
      </c>
      <c r="F362">
        <v>0</v>
      </c>
      <c r="G362">
        <v>26.975000000000001</v>
      </c>
      <c r="H362">
        <v>0</v>
      </c>
      <c r="I362">
        <v>0</v>
      </c>
      <c r="J362">
        <v>0</v>
      </c>
      <c r="K362">
        <v>0</v>
      </c>
      <c r="L362">
        <v>152</v>
      </c>
      <c r="M362">
        <v>217</v>
      </c>
      <c r="N362" t="s">
        <v>20</v>
      </c>
      <c r="O362" s="3">
        <v>44881</v>
      </c>
      <c r="P362">
        <v>-1</v>
      </c>
      <c r="T362" t="s">
        <v>54</v>
      </c>
      <c r="U362">
        <v>89</v>
      </c>
      <c r="V362">
        <v>18.225000000000001</v>
      </c>
    </row>
    <row r="363" spans="1:22" x14ac:dyDescent="0.35">
      <c r="A363" s="3">
        <v>44664</v>
      </c>
      <c r="B363" t="s">
        <v>30</v>
      </c>
      <c r="C363">
        <v>0</v>
      </c>
      <c r="D363">
        <v>0</v>
      </c>
      <c r="E363">
        <v>0</v>
      </c>
      <c r="F363">
        <v>0</v>
      </c>
      <c r="G363">
        <v>22.6858</v>
      </c>
      <c r="H363">
        <v>0</v>
      </c>
      <c r="I363">
        <v>0</v>
      </c>
      <c r="J363">
        <v>0</v>
      </c>
      <c r="K363">
        <v>0</v>
      </c>
      <c r="L363">
        <v>5</v>
      </c>
      <c r="M363">
        <v>7</v>
      </c>
      <c r="N363" t="s">
        <v>30</v>
      </c>
      <c r="O363" s="3">
        <v>44671</v>
      </c>
      <c r="P363">
        <v>-1</v>
      </c>
      <c r="T363" t="s">
        <v>53</v>
      </c>
      <c r="U363">
        <v>114</v>
      </c>
      <c r="V363">
        <v>18.425000000000001</v>
      </c>
    </row>
    <row r="364" spans="1:22" x14ac:dyDescent="0.35">
      <c r="A364" s="3">
        <v>44664</v>
      </c>
      <c r="B364" t="s">
        <v>26</v>
      </c>
      <c r="C364">
        <v>0</v>
      </c>
      <c r="D364">
        <v>0</v>
      </c>
      <c r="E364">
        <v>0</v>
      </c>
      <c r="F364">
        <v>0</v>
      </c>
      <c r="G364">
        <v>26.9</v>
      </c>
      <c r="H364">
        <v>0</v>
      </c>
      <c r="I364">
        <v>0</v>
      </c>
      <c r="J364">
        <v>0</v>
      </c>
      <c r="K364">
        <v>0</v>
      </c>
      <c r="L364">
        <v>88</v>
      </c>
      <c r="M364">
        <v>126</v>
      </c>
      <c r="N364" t="s">
        <v>26</v>
      </c>
      <c r="O364" s="3">
        <v>44790</v>
      </c>
      <c r="P364">
        <v>-1</v>
      </c>
      <c r="T364" t="s">
        <v>52</v>
      </c>
      <c r="U364">
        <v>133</v>
      </c>
      <c r="V364">
        <v>18.524999999999999</v>
      </c>
    </row>
    <row r="365" spans="1:22" x14ac:dyDescent="0.35">
      <c r="A365" s="3">
        <v>44664</v>
      </c>
      <c r="B365" t="s">
        <v>27</v>
      </c>
      <c r="C365">
        <v>0</v>
      </c>
      <c r="D365">
        <v>0</v>
      </c>
      <c r="E365">
        <v>0</v>
      </c>
      <c r="F365">
        <v>0</v>
      </c>
      <c r="G365">
        <v>27.3</v>
      </c>
      <c r="H365">
        <v>0</v>
      </c>
      <c r="I365">
        <v>0</v>
      </c>
      <c r="J365">
        <v>0</v>
      </c>
      <c r="K365">
        <v>0</v>
      </c>
      <c r="L365">
        <v>112</v>
      </c>
      <c r="M365">
        <v>161</v>
      </c>
      <c r="N365" t="s">
        <v>27</v>
      </c>
      <c r="O365" s="3">
        <v>44825</v>
      </c>
      <c r="P365">
        <v>-1</v>
      </c>
      <c r="T365" t="s">
        <v>51</v>
      </c>
      <c r="U365">
        <v>158</v>
      </c>
      <c r="V365">
        <v>18.8</v>
      </c>
    </row>
    <row r="366" spans="1:22" x14ac:dyDescent="0.35">
      <c r="A366" s="3">
        <v>44664</v>
      </c>
      <c r="B366" t="s">
        <v>28</v>
      </c>
      <c r="C366">
        <v>0</v>
      </c>
      <c r="D366">
        <v>0</v>
      </c>
      <c r="E366">
        <v>0</v>
      </c>
      <c r="F366">
        <v>0</v>
      </c>
      <c r="G366">
        <v>25.7499</v>
      </c>
      <c r="H366">
        <v>0</v>
      </c>
      <c r="I366">
        <v>0</v>
      </c>
      <c r="J366">
        <v>0</v>
      </c>
      <c r="K366">
        <v>0</v>
      </c>
      <c r="L366">
        <v>44</v>
      </c>
      <c r="M366">
        <v>63</v>
      </c>
      <c r="N366" t="s">
        <v>28</v>
      </c>
      <c r="O366" s="3">
        <v>44727</v>
      </c>
      <c r="P366">
        <v>-1</v>
      </c>
      <c r="T366" t="s">
        <v>50</v>
      </c>
      <c r="U366">
        <v>178</v>
      </c>
      <c r="V366">
        <v>18.850000000000001</v>
      </c>
    </row>
    <row r="367" spans="1:22" x14ac:dyDescent="0.35">
      <c r="A367" s="3">
        <v>44663</v>
      </c>
      <c r="B367" t="s">
        <v>30</v>
      </c>
      <c r="C367">
        <v>0</v>
      </c>
      <c r="D367">
        <v>0</v>
      </c>
      <c r="E367">
        <v>0</v>
      </c>
      <c r="F367">
        <v>0</v>
      </c>
      <c r="G367">
        <v>25.0641</v>
      </c>
      <c r="H367">
        <v>0</v>
      </c>
      <c r="I367">
        <v>0</v>
      </c>
      <c r="J367">
        <v>0</v>
      </c>
      <c r="K367">
        <v>0</v>
      </c>
      <c r="L367">
        <v>6</v>
      </c>
      <c r="M367">
        <v>8</v>
      </c>
      <c r="N367" t="s">
        <v>30</v>
      </c>
      <c r="O367" s="3">
        <v>44671</v>
      </c>
      <c r="P367">
        <v>-1</v>
      </c>
      <c r="S367" s="3">
        <v>43808</v>
      </c>
      <c r="T367" t="s">
        <v>55</v>
      </c>
      <c r="U367">
        <v>68</v>
      </c>
      <c r="V367">
        <v>18.074999999999999</v>
      </c>
    </row>
    <row r="368" spans="1:22" x14ac:dyDescent="0.35">
      <c r="A368" s="3">
        <v>44663</v>
      </c>
      <c r="B368" t="s">
        <v>26</v>
      </c>
      <c r="C368">
        <v>0</v>
      </c>
      <c r="D368">
        <v>0</v>
      </c>
      <c r="E368">
        <v>0</v>
      </c>
      <c r="F368">
        <v>0</v>
      </c>
      <c r="G368">
        <v>27.6</v>
      </c>
      <c r="H368">
        <v>0</v>
      </c>
      <c r="I368">
        <v>0</v>
      </c>
      <c r="J368">
        <v>0</v>
      </c>
      <c r="K368">
        <v>0</v>
      </c>
      <c r="L368">
        <v>89</v>
      </c>
      <c r="M368">
        <v>127</v>
      </c>
      <c r="N368" t="s">
        <v>26</v>
      </c>
      <c r="O368" s="3">
        <v>44790</v>
      </c>
      <c r="P368">
        <v>-1</v>
      </c>
      <c r="T368" t="s">
        <v>54</v>
      </c>
      <c r="U368">
        <v>88</v>
      </c>
      <c r="V368">
        <v>18.574999999999999</v>
      </c>
    </row>
    <row r="369" spans="1:22" x14ac:dyDescent="0.35">
      <c r="A369" s="3">
        <v>44663</v>
      </c>
      <c r="B369" t="s">
        <v>27</v>
      </c>
      <c r="C369">
        <v>0</v>
      </c>
      <c r="D369">
        <v>0</v>
      </c>
      <c r="E369">
        <v>0</v>
      </c>
      <c r="F369">
        <v>0</v>
      </c>
      <c r="G369">
        <v>27.8535</v>
      </c>
      <c r="H369">
        <v>0</v>
      </c>
      <c r="I369">
        <v>0</v>
      </c>
      <c r="J369">
        <v>0</v>
      </c>
      <c r="K369">
        <v>0</v>
      </c>
      <c r="L369">
        <v>113</v>
      </c>
      <c r="M369">
        <v>162</v>
      </c>
      <c r="N369" t="s">
        <v>27</v>
      </c>
      <c r="O369" s="3">
        <v>44825</v>
      </c>
      <c r="P369">
        <v>-1</v>
      </c>
      <c r="T369" t="s">
        <v>53</v>
      </c>
      <c r="U369">
        <v>113</v>
      </c>
      <c r="V369">
        <v>18.675000000000001</v>
      </c>
    </row>
    <row r="370" spans="1:22" x14ac:dyDescent="0.35">
      <c r="A370" s="3">
        <v>44663</v>
      </c>
      <c r="B370" t="s">
        <v>28</v>
      </c>
      <c r="C370">
        <v>0</v>
      </c>
      <c r="D370">
        <v>0</v>
      </c>
      <c r="E370">
        <v>0</v>
      </c>
      <c r="F370">
        <v>0</v>
      </c>
      <c r="G370">
        <v>26.847799999999999</v>
      </c>
      <c r="H370">
        <v>0</v>
      </c>
      <c r="I370">
        <v>0</v>
      </c>
      <c r="J370">
        <v>0</v>
      </c>
      <c r="K370">
        <v>0</v>
      </c>
      <c r="L370">
        <v>45</v>
      </c>
      <c r="M370">
        <v>64</v>
      </c>
      <c r="N370" t="s">
        <v>28</v>
      </c>
      <c r="O370" s="3">
        <v>44727</v>
      </c>
      <c r="P370">
        <v>-1</v>
      </c>
      <c r="T370" t="s">
        <v>52</v>
      </c>
      <c r="U370">
        <v>132</v>
      </c>
      <c r="V370">
        <v>18.774999999999999</v>
      </c>
    </row>
    <row r="371" spans="1:22" x14ac:dyDescent="0.35">
      <c r="A371" s="3">
        <v>44663</v>
      </c>
      <c r="B371" t="s">
        <v>21</v>
      </c>
      <c r="C371">
        <v>0</v>
      </c>
      <c r="D371">
        <v>0</v>
      </c>
      <c r="E371">
        <v>0</v>
      </c>
      <c r="F371">
        <v>0</v>
      </c>
      <c r="G371">
        <v>26.4</v>
      </c>
      <c r="H371">
        <v>0</v>
      </c>
      <c r="I371">
        <v>0</v>
      </c>
      <c r="J371">
        <v>0</v>
      </c>
      <c r="K371">
        <v>0</v>
      </c>
      <c r="L371">
        <v>177</v>
      </c>
      <c r="M371">
        <v>253</v>
      </c>
      <c r="N371" t="s">
        <v>21</v>
      </c>
      <c r="O371" s="3">
        <v>44916</v>
      </c>
      <c r="P371">
        <v>-1</v>
      </c>
      <c r="T371" t="s">
        <v>51</v>
      </c>
      <c r="U371">
        <v>157</v>
      </c>
      <c r="V371">
        <v>18.975000000000001</v>
      </c>
    </row>
    <row r="372" spans="1:22" x14ac:dyDescent="0.35">
      <c r="A372" s="3">
        <v>44663</v>
      </c>
      <c r="B372" t="s">
        <v>22</v>
      </c>
      <c r="C372">
        <v>0</v>
      </c>
      <c r="D372">
        <v>0</v>
      </c>
      <c r="E372">
        <v>0</v>
      </c>
      <c r="F372">
        <v>0</v>
      </c>
      <c r="G372">
        <v>27.496200000000002</v>
      </c>
      <c r="H372">
        <v>0</v>
      </c>
      <c r="I372">
        <v>0</v>
      </c>
      <c r="J372">
        <v>0</v>
      </c>
      <c r="K372">
        <v>0</v>
      </c>
      <c r="L372">
        <v>69</v>
      </c>
      <c r="M372">
        <v>99</v>
      </c>
      <c r="N372" t="s">
        <v>22</v>
      </c>
      <c r="O372" s="3">
        <v>44762</v>
      </c>
      <c r="P372">
        <v>-1</v>
      </c>
      <c r="T372" t="s">
        <v>50</v>
      </c>
      <c r="U372">
        <v>177</v>
      </c>
      <c r="V372">
        <v>19.074999999999999</v>
      </c>
    </row>
    <row r="373" spans="1:22" x14ac:dyDescent="0.35">
      <c r="A373" s="3">
        <v>44663</v>
      </c>
      <c r="B373" t="s">
        <v>29</v>
      </c>
      <c r="C373">
        <v>0</v>
      </c>
      <c r="D373">
        <v>0</v>
      </c>
      <c r="E373">
        <v>0</v>
      </c>
      <c r="F373">
        <v>0</v>
      </c>
      <c r="G373">
        <v>26.204699999999999</v>
      </c>
      <c r="H373">
        <v>0</v>
      </c>
      <c r="I373">
        <v>0</v>
      </c>
      <c r="J373">
        <v>0</v>
      </c>
      <c r="K373">
        <v>0</v>
      </c>
      <c r="L373">
        <v>26</v>
      </c>
      <c r="M373">
        <v>36</v>
      </c>
      <c r="N373" t="s">
        <v>29</v>
      </c>
      <c r="O373" s="3">
        <v>44699</v>
      </c>
      <c r="P373">
        <v>-1</v>
      </c>
      <c r="T373" t="s">
        <v>48</v>
      </c>
      <c r="U373">
        <v>221</v>
      </c>
      <c r="V373">
        <v>20.274999999999999</v>
      </c>
    </row>
    <row r="374" spans="1:22" x14ac:dyDescent="0.35">
      <c r="A374" s="3">
        <v>44663</v>
      </c>
      <c r="B374" t="s">
        <v>25</v>
      </c>
      <c r="C374">
        <v>0</v>
      </c>
      <c r="D374">
        <v>0</v>
      </c>
      <c r="E374">
        <v>0</v>
      </c>
      <c r="F374">
        <v>0</v>
      </c>
      <c r="G374">
        <v>28.05</v>
      </c>
      <c r="H374">
        <v>0</v>
      </c>
      <c r="I374">
        <v>0</v>
      </c>
      <c r="J374">
        <v>0</v>
      </c>
      <c r="K374">
        <v>0</v>
      </c>
      <c r="L374">
        <v>133</v>
      </c>
      <c r="M374">
        <v>190</v>
      </c>
      <c r="N374" t="s">
        <v>25</v>
      </c>
      <c r="O374" s="3">
        <v>44853</v>
      </c>
      <c r="P374">
        <v>-1</v>
      </c>
      <c r="T374" t="s">
        <v>47</v>
      </c>
      <c r="U374">
        <v>241</v>
      </c>
      <c r="V374">
        <v>19.125</v>
      </c>
    </row>
    <row r="375" spans="1:22" x14ac:dyDescent="0.35">
      <c r="A375" s="3">
        <v>44663</v>
      </c>
      <c r="B375" t="s">
        <v>20</v>
      </c>
      <c r="C375">
        <v>0</v>
      </c>
      <c r="D375">
        <v>0</v>
      </c>
      <c r="E375">
        <v>0</v>
      </c>
      <c r="F375">
        <v>0</v>
      </c>
      <c r="G375">
        <v>27.4</v>
      </c>
      <c r="H375">
        <v>0</v>
      </c>
      <c r="I375">
        <v>0</v>
      </c>
      <c r="J375">
        <v>0</v>
      </c>
      <c r="K375">
        <v>0</v>
      </c>
      <c r="L375">
        <v>153</v>
      </c>
      <c r="M375">
        <v>218</v>
      </c>
      <c r="N375" t="s">
        <v>20</v>
      </c>
      <c r="O375" s="3">
        <v>44881</v>
      </c>
      <c r="P375">
        <v>-1</v>
      </c>
      <c r="S375" s="3">
        <v>43809</v>
      </c>
      <c r="T375" t="s">
        <v>55</v>
      </c>
      <c r="U375">
        <v>67</v>
      </c>
      <c r="V375">
        <v>18.024999999999999</v>
      </c>
    </row>
    <row r="376" spans="1:22" x14ac:dyDescent="0.35">
      <c r="A376" s="3">
        <v>44662</v>
      </c>
      <c r="B376" t="s">
        <v>21</v>
      </c>
      <c r="C376">
        <v>0</v>
      </c>
      <c r="D376">
        <v>0</v>
      </c>
      <c r="E376">
        <v>0</v>
      </c>
      <c r="F376">
        <v>0</v>
      </c>
      <c r="G376">
        <v>26.2</v>
      </c>
      <c r="H376">
        <v>0</v>
      </c>
      <c r="I376">
        <v>0</v>
      </c>
      <c r="J376">
        <v>0</v>
      </c>
      <c r="K376">
        <v>0</v>
      </c>
      <c r="L376">
        <v>178</v>
      </c>
      <c r="M376">
        <v>254</v>
      </c>
      <c r="N376" t="s">
        <v>21</v>
      </c>
      <c r="O376" s="3">
        <v>44916</v>
      </c>
      <c r="P376">
        <v>-1</v>
      </c>
      <c r="T376" t="s">
        <v>54</v>
      </c>
      <c r="U376">
        <v>87</v>
      </c>
      <c r="V376">
        <v>18.524999999999999</v>
      </c>
    </row>
    <row r="377" spans="1:22" x14ac:dyDescent="0.35">
      <c r="A377" s="3">
        <v>44662</v>
      </c>
      <c r="B377" t="s">
        <v>22</v>
      </c>
      <c r="C377">
        <v>0</v>
      </c>
      <c r="D377">
        <v>0</v>
      </c>
      <c r="E377">
        <v>0</v>
      </c>
      <c r="F377">
        <v>0</v>
      </c>
      <c r="G377">
        <v>27.282900000000001</v>
      </c>
      <c r="H377">
        <v>0</v>
      </c>
      <c r="I377">
        <v>0</v>
      </c>
      <c r="J377">
        <v>0</v>
      </c>
      <c r="K377">
        <v>0</v>
      </c>
      <c r="L377">
        <v>70</v>
      </c>
      <c r="M377">
        <v>100</v>
      </c>
      <c r="N377" t="s">
        <v>22</v>
      </c>
      <c r="O377" s="3">
        <v>44762</v>
      </c>
      <c r="P377">
        <v>-1</v>
      </c>
      <c r="T377" t="s">
        <v>53</v>
      </c>
      <c r="U377">
        <v>112</v>
      </c>
      <c r="V377">
        <v>18.574999999999999</v>
      </c>
    </row>
    <row r="378" spans="1:22" x14ac:dyDescent="0.35">
      <c r="A378" s="3">
        <v>44662</v>
      </c>
      <c r="B378" t="s">
        <v>29</v>
      </c>
      <c r="C378">
        <v>0</v>
      </c>
      <c r="D378">
        <v>0</v>
      </c>
      <c r="E378">
        <v>0</v>
      </c>
      <c r="F378">
        <v>0</v>
      </c>
      <c r="G378">
        <v>25.921900000000001</v>
      </c>
      <c r="H378">
        <v>0</v>
      </c>
      <c r="I378">
        <v>0</v>
      </c>
      <c r="J378">
        <v>0</v>
      </c>
      <c r="K378">
        <v>0</v>
      </c>
      <c r="L378">
        <v>27</v>
      </c>
      <c r="M378">
        <v>37</v>
      </c>
      <c r="N378" t="s">
        <v>29</v>
      </c>
      <c r="O378" s="3">
        <v>44699</v>
      </c>
      <c r="P378">
        <v>-1</v>
      </c>
      <c r="T378" t="s">
        <v>52</v>
      </c>
      <c r="U378">
        <v>131</v>
      </c>
      <c r="V378">
        <v>18.675000000000001</v>
      </c>
    </row>
    <row r="379" spans="1:22" x14ac:dyDescent="0.35">
      <c r="A379" s="3">
        <v>44662</v>
      </c>
      <c r="B379" t="s">
        <v>25</v>
      </c>
      <c r="C379">
        <v>0</v>
      </c>
      <c r="D379">
        <v>0</v>
      </c>
      <c r="E379">
        <v>0</v>
      </c>
      <c r="F379">
        <v>0</v>
      </c>
      <c r="G379">
        <v>27.85</v>
      </c>
      <c r="H379">
        <v>0</v>
      </c>
      <c r="I379">
        <v>0</v>
      </c>
      <c r="J379">
        <v>0</v>
      </c>
      <c r="K379">
        <v>0</v>
      </c>
      <c r="L379">
        <v>134</v>
      </c>
      <c r="M379">
        <v>191</v>
      </c>
      <c r="N379" t="s">
        <v>25</v>
      </c>
      <c r="O379" s="3">
        <v>44853</v>
      </c>
      <c r="P379">
        <v>-1</v>
      </c>
      <c r="T379" t="s">
        <v>51</v>
      </c>
      <c r="U379">
        <v>156</v>
      </c>
      <c r="V379">
        <v>18.925000000000001</v>
      </c>
    </row>
    <row r="380" spans="1:22" x14ac:dyDescent="0.35">
      <c r="A380" s="3">
        <v>44662</v>
      </c>
      <c r="B380" t="s">
        <v>20</v>
      </c>
      <c r="C380">
        <v>0</v>
      </c>
      <c r="D380">
        <v>0</v>
      </c>
      <c r="E380">
        <v>0</v>
      </c>
      <c r="F380">
        <v>0</v>
      </c>
      <c r="G380">
        <v>27.15</v>
      </c>
      <c r="H380">
        <v>0</v>
      </c>
      <c r="I380">
        <v>0</v>
      </c>
      <c r="J380">
        <v>0</v>
      </c>
      <c r="K380">
        <v>0</v>
      </c>
      <c r="L380">
        <v>154</v>
      </c>
      <c r="M380">
        <v>219</v>
      </c>
      <c r="N380" t="s">
        <v>20</v>
      </c>
      <c r="O380" s="3">
        <v>44881</v>
      </c>
      <c r="P380">
        <v>-1</v>
      </c>
      <c r="T380" t="s">
        <v>50</v>
      </c>
      <c r="U380">
        <v>176</v>
      </c>
      <c r="V380">
        <v>19.05</v>
      </c>
    </row>
    <row r="381" spans="1:22" x14ac:dyDescent="0.35">
      <c r="A381" s="3">
        <v>44662</v>
      </c>
      <c r="B381" t="s">
        <v>30</v>
      </c>
      <c r="C381">
        <v>0</v>
      </c>
      <c r="D381">
        <v>0</v>
      </c>
      <c r="E381">
        <v>0</v>
      </c>
      <c r="F381">
        <v>0</v>
      </c>
      <c r="G381">
        <v>24.7042</v>
      </c>
      <c r="H381">
        <v>0</v>
      </c>
      <c r="I381">
        <v>0</v>
      </c>
      <c r="J381">
        <v>0</v>
      </c>
      <c r="K381">
        <v>0</v>
      </c>
      <c r="L381">
        <v>7</v>
      </c>
      <c r="M381">
        <v>9</v>
      </c>
      <c r="N381" t="s">
        <v>30</v>
      </c>
      <c r="O381" s="3">
        <v>44671</v>
      </c>
      <c r="P381">
        <v>-1</v>
      </c>
      <c r="T381" t="s">
        <v>48</v>
      </c>
      <c r="U381">
        <v>220</v>
      </c>
      <c r="V381">
        <v>19.675000000000001</v>
      </c>
    </row>
    <row r="382" spans="1:22" x14ac:dyDescent="0.35">
      <c r="A382" s="3">
        <v>44662</v>
      </c>
      <c r="B382" t="s">
        <v>26</v>
      </c>
      <c r="C382">
        <v>0</v>
      </c>
      <c r="D382">
        <v>0</v>
      </c>
      <c r="E382">
        <v>0</v>
      </c>
      <c r="F382">
        <v>0</v>
      </c>
      <c r="G382">
        <v>27.398399999999999</v>
      </c>
      <c r="H382">
        <v>0</v>
      </c>
      <c r="I382">
        <v>0</v>
      </c>
      <c r="J382">
        <v>0</v>
      </c>
      <c r="K382">
        <v>0</v>
      </c>
      <c r="L382">
        <v>90</v>
      </c>
      <c r="M382">
        <v>128</v>
      </c>
      <c r="N382" t="s">
        <v>26</v>
      </c>
      <c r="O382" s="3">
        <v>44790</v>
      </c>
      <c r="P382">
        <v>-1</v>
      </c>
      <c r="T382" t="s">
        <v>47</v>
      </c>
      <c r="U382">
        <v>240</v>
      </c>
      <c r="V382">
        <v>19.45</v>
      </c>
    </row>
    <row r="383" spans="1:22" x14ac:dyDescent="0.35">
      <c r="A383" s="3">
        <v>44662</v>
      </c>
      <c r="B383" t="s">
        <v>27</v>
      </c>
      <c r="C383">
        <v>0</v>
      </c>
      <c r="D383">
        <v>0</v>
      </c>
      <c r="E383">
        <v>0</v>
      </c>
      <c r="F383">
        <v>0</v>
      </c>
      <c r="G383">
        <v>27.7</v>
      </c>
      <c r="H383">
        <v>0</v>
      </c>
      <c r="I383">
        <v>0</v>
      </c>
      <c r="J383">
        <v>0</v>
      </c>
      <c r="K383">
        <v>0</v>
      </c>
      <c r="L383">
        <v>114</v>
      </c>
      <c r="M383">
        <v>163</v>
      </c>
      <c r="N383" t="s">
        <v>27</v>
      </c>
      <c r="O383" s="3">
        <v>44825</v>
      </c>
      <c r="P383">
        <v>-1</v>
      </c>
      <c r="S383" s="3">
        <v>43810</v>
      </c>
      <c r="T383" t="s">
        <v>55</v>
      </c>
      <c r="U383">
        <v>66</v>
      </c>
      <c r="V383">
        <v>17.824999999999999</v>
      </c>
    </row>
    <row r="384" spans="1:22" x14ac:dyDescent="0.35">
      <c r="A384" s="3">
        <v>44662</v>
      </c>
      <c r="B384" t="s">
        <v>28</v>
      </c>
      <c r="C384">
        <v>0</v>
      </c>
      <c r="D384">
        <v>0</v>
      </c>
      <c r="E384">
        <v>0</v>
      </c>
      <c r="F384">
        <v>0</v>
      </c>
      <c r="G384">
        <v>26.617799999999999</v>
      </c>
      <c r="H384">
        <v>0</v>
      </c>
      <c r="I384">
        <v>0</v>
      </c>
      <c r="J384">
        <v>0</v>
      </c>
      <c r="K384">
        <v>0</v>
      </c>
      <c r="L384">
        <v>46</v>
      </c>
      <c r="M384">
        <v>65</v>
      </c>
      <c r="N384" t="s">
        <v>28</v>
      </c>
      <c r="O384" s="3">
        <v>44727</v>
      </c>
      <c r="P384">
        <v>-1</v>
      </c>
      <c r="T384" t="s">
        <v>54</v>
      </c>
      <c r="U384">
        <v>86</v>
      </c>
      <c r="V384">
        <v>18.324999999999999</v>
      </c>
    </row>
    <row r="385" spans="1:22" x14ac:dyDescent="0.35">
      <c r="A385" s="3">
        <v>44659</v>
      </c>
      <c r="B385" t="s">
        <v>30</v>
      </c>
      <c r="C385">
        <v>0</v>
      </c>
      <c r="D385">
        <v>0</v>
      </c>
      <c r="E385">
        <v>0</v>
      </c>
      <c r="F385">
        <v>0</v>
      </c>
      <c r="G385">
        <v>22.8475</v>
      </c>
      <c r="H385">
        <v>0</v>
      </c>
      <c r="I385">
        <v>0</v>
      </c>
      <c r="J385">
        <v>0</v>
      </c>
      <c r="K385">
        <v>0</v>
      </c>
      <c r="L385">
        <v>8</v>
      </c>
      <c r="M385">
        <v>12</v>
      </c>
      <c r="N385" t="s">
        <v>30</v>
      </c>
      <c r="O385" s="3">
        <v>44671</v>
      </c>
      <c r="P385">
        <v>-1</v>
      </c>
      <c r="T385" t="s">
        <v>53</v>
      </c>
      <c r="U385">
        <v>111</v>
      </c>
      <c r="V385">
        <v>18.375</v>
      </c>
    </row>
    <row r="386" spans="1:22" x14ac:dyDescent="0.35">
      <c r="A386" s="3">
        <v>44659</v>
      </c>
      <c r="B386" t="s">
        <v>26</v>
      </c>
      <c r="C386">
        <v>0</v>
      </c>
      <c r="D386">
        <v>0</v>
      </c>
      <c r="E386">
        <v>0</v>
      </c>
      <c r="F386">
        <v>0</v>
      </c>
      <c r="G386">
        <v>26.735600000000002</v>
      </c>
      <c r="H386">
        <v>0</v>
      </c>
      <c r="I386">
        <v>0</v>
      </c>
      <c r="J386">
        <v>0</v>
      </c>
      <c r="K386">
        <v>0</v>
      </c>
      <c r="L386">
        <v>91</v>
      </c>
      <c r="M386">
        <v>131</v>
      </c>
      <c r="N386" t="s">
        <v>26</v>
      </c>
      <c r="O386" s="3">
        <v>44790</v>
      </c>
      <c r="P386">
        <v>-1</v>
      </c>
      <c r="T386" t="s">
        <v>52</v>
      </c>
      <c r="U386">
        <v>130</v>
      </c>
      <c r="V386">
        <v>18.524999999999999</v>
      </c>
    </row>
    <row r="387" spans="1:22" x14ac:dyDescent="0.35">
      <c r="A387" s="3">
        <v>44659</v>
      </c>
      <c r="B387" t="s">
        <v>27</v>
      </c>
      <c r="C387">
        <v>0</v>
      </c>
      <c r="D387">
        <v>0</v>
      </c>
      <c r="E387">
        <v>0</v>
      </c>
      <c r="F387">
        <v>0</v>
      </c>
      <c r="G387">
        <v>27.1</v>
      </c>
      <c r="H387">
        <v>0</v>
      </c>
      <c r="I387">
        <v>0</v>
      </c>
      <c r="J387">
        <v>0</v>
      </c>
      <c r="K387">
        <v>0</v>
      </c>
      <c r="L387">
        <v>115</v>
      </c>
      <c r="M387">
        <v>166</v>
      </c>
      <c r="N387" t="s">
        <v>27</v>
      </c>
      <c r="O387" s="3">
        <v>44825</v>
      </c>
      <c r="P387">
        <v>-1</v>
      </c>
      <c r="T387" t="s">
        <v>51</v>
      </c>
      <c r="U387">
        <v>155</v>
      </c>
      <c r="V387">
        <v>18.774999999999999</v>
      </c>
    </row>
    <row r="388" spans="1:22" x14ac:dyDescent="0.35">
      <c r="A388" s="3">
        <v>44659</v>
      </c>
      <c r="B388" t="s">
        <v>28</v>
      </c>
      <c r="C388">
        <v>0</v>
      </c>
      <c r="D388">
        <v>0</v>
      </c>
      <c r="E388">
        <v>0</v>
      </c>
      <c r="F388">
        <v>0</v>
      </c>
      <c r="G388">
        <v>25.652100000000001</v>
      </c>
      <c r="H388">
        <v>0</v>
      </c>
      <c r="I388">
        <v>0</v>
      </c>
      <c r="J388">
        <v>0</v>
      </c>
      <c r="K388">
        <v>0</v>
      </c>
      <c r="L388">
        <v>47</v>
      </c>
      <c r="M388">
        <v>68</v>
      </c>
      <c r="N388" t="s">
        <v>28</v>
      </c>
      <c r="O388" s="3">
        <v>44727</v>
      </c>
      <c r="P388">
        <v>-1</v>
      </c>
      <c r="T388" t="s">
        <v>50</v>
      </c>
      <c r="U388">
        <v>175</v>
      </c>
      <c r="V388">
        <v>18.850000000000001</v>
      </c>
    </row>
    <row r="389" spans="1:22" x14ac:dyDescent="0.35">
      <c r="A389" s="3">
        <v>44659</v>
      </c>
      <c r="B389" t="s">
        <v>21</v>
      </c>
      <c r="C389">
        <v>0</v>
      </c>
      <c r="D389">
        <v>0</v>
      </c>
      <c r="E389">
        <v>0</v>
      </c>
      <c r="F389">
        <v>0</v>
      </c>
      <c r="G389">
        <v>25.824999999999999</v>
      </c>
      <c r="H389">
        <v>0</v>
      </c>
      <c r="I389">
        <v>0</v>
      </c>
      <c r="J389">
        <v>0</v>
      </c>
      <c r="K389">
        <v>0</v>
      </c>
      <c r="L389">
        <v>179</v>
      </c>
      <c r="M389">
        <v>257</v>
      </c>
      <c r="N389" t="s">
        <v>21</v>
      </c>
      <c r="O389" s="3">
        <v>44916</v>
      </c>
      <c r="P389">
        <v>-1</v>
      </c>
      <c r="S389" s="3">
        <v>43811</v>
      </c>
      <c r="T389" t="s">
        <v>55</v>
      </c>
      <c r="U389">
        <v>65</v>
      </c>
      <c r="V389">
        <v>17.375</v>
      </c>
    </row>
    <row r="390" spans="1:22" x14ac:dyDescent="0.35">
      <c r="A390" s="3">
        <v>44659</v>
      </c>
      <c r="B390" t="s">
        <v>22</v>
      </c>
      <c r="C390">
        <v>0</v>
      </c>
      <c r="D390">
        <v>0</v>
      </c>
      <c r="E390">
        <v>0</v>
      </c>
      <c r="F390">
        <v>0</v>
      </c>
      <c r="G390">
        <v>26.4968</v>
      </c>
      <c r="H390">
        <v>0</v>
      </c>
      <c r="I390">
        <v>0</v>
      </c>
      <c r="J390">
        <v>0</v>
      </c>
      <c r="K390">
        <v>0</v>
      </c>
      <c r="L390">
        <v>71</v>
      </c>
      <c r="M390">
        <v>103</v>
      </c>
      <c r="N390" t="s">
        <v>22</v>
      </c>
      <c r="O390" s="3">
        <v>44762</v>
      </c>
      <c r="P390">
        <v>-1</v>
      </c>
      <c r="T390" t="s">
        <v>54</v>
      </c>
      <c r="U390">
        <v>85</v>
      </c>
      <c r="V390">
        <v>17.925000000000001</v>
      </c>
    </row>
    <row r="391" spans="1:22" x14ac:dyDescent="0.35">
      <c r="A391" s="3">
        <v>44659</v>
      </c>
      <c r="B391" t="s">
        <v>29</v>
      </c>
      <c r="C391">
        <v>0</v>
      </c>
      <c r="D391">
        <v>0</v>
      </c>
      <c r="E391">
        <v>0</v>
      </c>
      <c r="F391">
        <v>0</v>
      </c>
      <c r="G391">
        <v>24.748899999999999</v>
      </c>
      <c r="H391">
        <v>0</v>
      </c>
      <c r="I391">
        <v>0</v>
      </c>
      <c r="J391">
        <v>0</v>
      </c>
      <c r="K391">
        <v>0</v>
      </c>
      <c r="L391">
        <v>28</v>
      </c>
      <c r="M391">
        <v>40</v>
      </c>
      <c r="N391" t="s">
        <v>29</v>
      </c>
      <c r="O391" s="3">
        <v>44699</v>
      </c>
      <c r="P391">
        <v>-1</v>
      </c>
      <c r="T391" t="s">
        <v>53</v>
      </c>
      <c r="U391">
        <v>110</v>
      </c>
      <c r="V391">
        <v>18.024999999999999</v>
      </c>
    </row>
    <row r="392" spans="1:22" x14ac:dyDescent="0.35">
      <c r="A392" s="3">
        <v>44659</v>
      </c>
      <c r="B392" t="s">
        <v>25</v>
      </c>
      <c r="C392">
        <v>0</v>
      </c>
      <c r="D392">
        <v>0</v>
      </c>
      <c r="E392">
        <v>0</v>
      </c>
      <c r="F392">
        <v>0</v>
      </c>
      <c r="G392">
        <v>27.38</v>
      </c>
      <c r="H392">
        <v>0</v>
      </c>
      <c r="I392">
        <v>0</v>
      </c>
      <c r="J392">
        <v>0</v>
      </c>
      <c r="K392">
        <v>0</v>
      </c>
      <c r="L392">
        <v>135</v>
      </c>
      <c r="M392">
        <v>194</v>
      </c>
      <c r="N392" t="s">
        <v>25</v>
      </c>
      <c r="O392" s="3">
        <v>44853</v>
      </c>
      <c r="P392">
        <v>-1</v>
      </c>
      <c r="T392" t="s">
        <v>52</v>
      </c>
      <c r="U392">
        <v>129</v>
      </c>
      <c r="V392">
        <v>18.2</v>
      </c>
    </row>
    <row r="393" spans="1:22" x14ac:dyDescent="0.35">
      <c r="A393" s="3">
        <v>44659</v>
      </c>
      <c r="B393" t="s">
        <v>20</v>
      </c>
      <c r="C393">
        <v>0</v>
      </c>
      <c r="D393">
        <v>0</v>
      </c>
      <c r="E393">
        <v>0</v>
      </c>
      <c r="F393">
        <v>0</v>
      </c>
      <c r="G393">
        <v>26.7</v>
      </c>
      <c r="H393">
        <v>0</v>
      </c>
      <c r="I393">
        <v>0</v>
      </c>
      <c r="J393">
        <v>0</v>
      </c>
      <c r="K393">
        <v>0</v>
      </c>
      <c r="L393">
        <v>155</v>
      </c>
      <c r="M393">
        <v>222</v>
      </c>
      <c r="N393" t="s">
        <v>20</v>
      </c>
      <c r="O393" s="3">
        <v>44881</v>
      </c>
      <c r="P393">
        <v>-1</v>
      </c>
      <c r="T393" t="s">
        <v>51</v>
      </c>
      <c r="U393">
        <v>154</v>
      </c>
      <c r="V393">
        <v>18.475000000000001</v>
      </c>
    </row>
    <row r="394" spans="1:22" x14ac:dyDescent="0.35">
      <c r="A394" s="3">
        <v>44658</v>
      </c>
      <c r="B394" t="s">
        <v>21</v>
      </c>
      <c r="C394">
        <v>0</v>
      </c>
      <c r="D394">
        <v>0</v>
      </c>
      <c r="E394">
        <v>0</v>
      </c>
      <c r="F394">
        <v>0</v>
      </c>
      <c r="G394">
        <v>25.75</v>
      </c>
      <c r="H394">
        <v>0</v>
      </c>
      <c r="I394">
        <v>0</v>
      </c>
      <c r="J394">
        <v>0</v>
      </c>
      <c r="K394">
        <v>0</v>
      </c>
      <c r="L394">
        <v>180</v>
      </c>
      <c r="M394">
        <v>258</v>
      </c>
      <c r="N394" t="s">
        <v>21</v>
      </c>
      <c r="O394" s="3">
        <v>44916</v>
      </c>
      <c r="P394">
        <v>-1</v>
      </c>
      <c r="T394" t="s">
        <v>50</v>
      </c>
      <c r="U394">
        <v>174</v>
      </c>
      <c r="V394">
        <v>18.600000000000001</v>
      </c>
    </row>
    <row r="395" spans="1:22" x14ac:dyDescent="0.35">
      <c r="A395" s="3">
        <v>44658</v>
      </c>
      <c r="B395" t="s">
        <v>22</v>
      </c>
      <c r="C395">
        <v>0</v>
      </c>
      <c r="D395">
        <v>0</v>
      </c>
      <c r="E395">
        <v>0</v>
      </c>
      <c r="F395">
        <v>0</v>
      </c>
      <c r="G395">
        <v>26.432700000000001</v>
      </c>
      <c r="H395">
        <v>0</v>
      </c>
      <c r="I395">
        <v>0</v>
      </c>
      <c r="J395">
        <v>0</v>
      </c>
      <c r="K395">
        <v>0</v>
      </c>
      <c r="L395">
        <v>72</v>
      </c>
      <c r="M395">
        <v>104</v>
      </c>
      <c r="N395" t="s">
        <v>22</v>
      </c>
      <c r="O395" s="3">
        <v>44762</v>
      </c>
      <c r="P395">
        <v>-1</v>
      </c>
      <c r="T395" t="s">
        <v>49</v>
      </c>
      <c r="U395">
        <v>193</v>
      </c>
      <c r="V395">
        <v>19.100000000000001</v>
      </c>
    </row>
    <row r="396" spans="1:22" x14ac:dyDescent="0.35">
      <c r="A396" s="3">
        <v>44658</v>
      </c>
      <c r="B396" t="s">
        <v>29</v>
      </c>
      <c r="C396">
        <v>0</v>
      </c>
      <c r="D396">
        <v>0</v>
      </c>
      <c r="E396">
        <v>0</v>
      </c>
      <c r="F396">
        <v>0</v>
      </c>
      <c r="G396">
        <v>24.712800000000001</v>
      </c>
      <c r="H396">
        <v>0</v>
      </c>
      <c r="I396">
        <v>0</v>
      </c>
      <c r="J396">
        <v>0</v>
      </c>
      <c r="K396">
        <v>0</v>
      </c>
      <c r="L396">
        <v>29</v>
      </c>
      <c r="M396">
        <v>41</v>
      </c>
      <c r="N396" t="s">
        <v>29</v>
      </c>
      <c r="O396" s="3">
        <v>44699</v>
      </c>
      <c r="P396">
        <v>-1</v>
      </c>
      <c r="T396" t="s">
        <v>48</v>
      </c>
      <c r="U396">
        <v>218</v>
      </c>
      <c r="V396">
        <v>19.475000000000001</v>
      </c>
    </row>
    <row r="397" spans="1:22" x14ac:dyDescent="0.35">
      <c r="A397" s="3">
        <v>44658</v>
      </c>
      <c r="B397" t="s">
        <v>25</v>
      </c>
      <c r="C397">
        <v>0</v>
      </c>
      <c r="D397">
        <v>0</v>
      </c>
      <c r="E397">
        <v>0</v>
      </c>
      <c r="F397">
        <v>0</v>
      </c>
      <c r="G397">
        <v>27.2</v>
      </c>
      <c r="H397">
        <v>0</v>
      </c>
      <c r="I397">
        <v>0</v>
      </c>
      <c r="J397">
        <v>0</v>
      </c>
      <c r="K397">
        <v>0</v>
      </c>
      <c r="L397">
        <v>136</v>
      </c>
      <c r="M397">
        <v>195</v>
      </c>
      <c r="N397" t="s">
        <v>25</v>
      </c>
      <c r="O397" s="3">
        <v>44853</v>
      </c>
      <c r="P397">
        <v>-1</v>
      </c>
      <c r="T397" t="s">
        <v>47</v>
      </c>
      <c r="U397">
        <v>238</v>
      </c>
      <c r="V397">
        <v>19.125</v>
      </c>
    </row>
    <row r="398" spans="1:22" x14ac:dyDescent="0.35">
      <c r="A398" s="3">
        <v>44658</v>
      </c>
      <c r="B398" t="s">
        <v>20</v>
      </c>
      <c r="C398">
        <v>0</v>
      </c>
      <c r="D398">
        <v>0</v>
      </c>
      <c r="E398">
        <v>0</v>
      </c>
      <c r="F398">
        <v>0</v>
      </c>
      <c r="G398">
        <v>26.574999999999999</v>
      </c>
      <c r="H398">
        <v>0</v>
      </c>
      <c r="I398">
        <v>0</v>
      </c>
      <c r="J398">
        <v>0</v>
      </c>
      <c r="K398">
        <v>0</v>
      </c>
      <c r="L398">
        <v>156</v>
      </c>
      <c r="M398">
        <v>223</v>
      </c>
      <c r="N398" t="s">
        <v>20</v>
      </c>
      <c r="O398" s="3">
        <v>44881</v>
      </c>
      <c r="P398">
        <v>-1</v>
      </c>
      <c r="S398" s="3">
        <v>43812</v>
      </c>
      <c r="T398" t="s">
        <v>55</v>
      </c>
      <c r="U398">
        <v>64</v>
      </c>
      <c r="V398">
        <v>16.975000000000001</v>
      </c>
    </row>
    <row r="399" spans="1:22" x14ac:dyDescent="0.35">
      <c r="A399" s="3">
        <v>44658</v>
      </c>
      <c r="B399" t="s">
        <v>30</v>
      </c>
      <c r="C399">
        <v>0</v>
      </c>
      <c r="D399">
        <v>0</v>
      </c>
      <c r="E399">
        <v>0</v>
      </c>
      <c r="F399">
        <v>0</v>
      </c>
      <c r="G399">
        <v>22.976900000000001</v>
      </c>
      <c r="H399">
        <v>0</v>
      </c>
      <c r="I399">
        <v>0</v>
      </c>
      <c r="J399">
        <v>0</v>
      </c>
      <c r="K399">
        <v>0</v>
      </c>
      <c r="L399">
        <v>9</v>
      </c>
      <c r="M399">
        <v>13</v>
      </c>
      <c r="N399" t="s">
        <v>30</v>
      </c>
      <c r="O399" s="3">
        <v>44671</v>
      </c>
      <c r="P399">
        <v>-1</v>
      </c>
      <c r="T399" t="s">
        <v>54</v>
      </c>
      <c r="U399">
        <v>84</v>
      </c>
      <c r="V399">
        <v>17.574999999999999</v>
      </c>
    </row>
    <row r="400" spans="1:22" x14ac:dyDescent="0.35">
      <c r="A400" s="3">
        <v>44658</v>
      </c>
      <c r="B400" t="s">
        <v>26</v>
      </c>
      <c r="C400">
        <v>0</v>
      </c>
      <c r="D400">
        <v>0</v>
      </c>
      <c r="E400">
        <v>0</v>
      </c>
      <c r="F400">
        <v>0</v>
      </c>
      <c r="G400">
        <v>26.650500000000001</v>
      </c>
      <c r="H400">
        <v>0</v>
      </c>
      <c r="I400">
        <v>0</v>
      </c>
      <c r="J400">
        <v>0</v>
      </c>
      <c r="K400">
        <v>0</v>
      </c>
      <c r="L400">
        <v>92</v>
      </c>
      <c r="M400">
        <v>132</v>
      </c>
      <c r="N400" t="s">
        <v>26</v>
      </c>
      <c r="O400" s="3">
        <v>44790</v>
      </c>
      <c r="P400">
        <v>-1</v>
      </c>
      <c r="T400" t="s">
        <v>53</v>
      </c>
      <c r="U400">
        <v>109</v>
      </c>
      <c r="V400">
        <v>17.625</v>
      </c>
    </row>
    <row r="401" spans="1:22" x14ac:dyDescent="0.35">
      <c r="A401" s="3">
        <v>44658</v>
      </c>
      <c r="B401" t="s">
        <v>27</v>
      </c>
      <c r="C401">
        <v>0</v>
      </c>
      <c r="D401">
        <v>0</v>
      </c>
      <c r="E401">
        <v>0</v>
      </c>
      <c r="F401">
        <v>0</v>
      </c>
      <c r="G401">
        <v>26.9788</v>
      </c>
      <c r="H401">
        <v>0</v>
      </c>
      <c r="I401">
        <v>0</v>
      </c>
      <c r="J401">
        <v>0</v>
      </c>
      <c r="K401">
        <v>0</v>
      </c>
      <c r="L401">
        <v>116</v>
      </c>
      <c r="M401">
        <v>167</v>
      </c>
      <c r="N401" t="s">
        <v>27</v>
      </c>
      <c r="O401" s="3">
        <v>44825</v>
      </c>
      <c r="P401">
        <v>-1</v>
      </c>
      <c r="T401" t="s">
        <v>52</v>
      </c>
      <c r="U401">
        <v>128</v>
      </c>
      <c r="V401">
        <v>17.824999999999999</v>
      </c>
    </row>
    <row r="402" spans="1:22" x14ac:dyDescent="0.35">
      <c r="A402" s="3">
        <v>44658</v>
      </c>
      <c r="B402" t="s">
        <v>28</v>
      </c>
      <c r="C402">
        <v>0</v>
      </c>
      <c r="D402">
        <v>0</v>
      </c>
      <c r="E402">
        <v>0</v>
      </c>
      <c r="F402">
        <v>0</v>
      </c>
      <c r="G402">
        <v>25.65</v>
      </c>
      <c r="H402">
        <v>0</v>
      </c>
      <c r="I402">
        <v>0</v>
      </c>
      <c r="J402">
        <v>0</v>
      </c>
      <c r="K402">
        <v>0</v>
      </c>
      <c r="L402">
        <v>48</v>
      </c>
      <c r="M402">
        <v>69</v>
      </c>
      <c r="N402" t="s">
        <v>28</v>
      </c>
      <c r="O402" s="3">
        <v>44727</v>
      </c>
      <c r="P402">
        <v>-1</v>
      </c>
      <c r="T402" t="s">
        <v>51</v>
      </c>
      <c r="U402">
        <v>153</v>
      </c>
      <c r="V402">
        <v>18.125</v>
      </c>
    </row>
    <row r="403" spans="1:22" x14ac:dyDescent="0.35">
      <c r="A403" s="3">
        <v>44657</v>
      </c>
      <c r="B403" t="s">
        <v>30</v>
      </c>
      <c r="C403">
        <v>0</v>
      </c>
      <c r="D403">
        <v>0</v>
      </c>
      <c r="E403">
        <v>0</v>
      </c>
      <c r="F403">
        <v>0</v>
      </c>
      <c r="G403">
        <v>23.702200000000001</v>
      </c>
      <c r="H403">
        <v>0</v>
      </c>
      <c r="I403">
        <v>0</v>
      </c>
      <c r="J403">
        <v>0</v>
      </c>
      <c r="K403">
        <v>0</v>
      </c>
      <c r="L403">
        <v>10</v>
      </c>
      <c r="M403">
        <v>14</v>
      </c>
      <c r="N403" t="s">
        <v>30</v>
      </c>
      <c r="O403" s="3">
        <v>44671</v>
      </c>
      <c r="P403">
        <v>-1</v>
      </c>
      <c r="T403" t="s">
        <v>50</v>
      </c>
      <c r="U403">
        <v>173</v>
      </c>
      <c r="V403">
        <v>18.25</v>
      </c>
    </row>
    <row r="404" spans="1:22" x14ac:dyDescent="0.35">
      <c r="A404" s="3">
        <v>44657</v>
      </c>
      <c r="B404" t="s">
        <v>26</v>
      </c>
      <c r="C404">
        <v>0</v>
      </c>
      <c r="D404">
        <v>0</v>
      </c>
      <c r="E404">
        <v>0</v>
      </c>
      <c r="F404">
        <v>0</v>
      </c>
      <c r="G404">
        <v>26.85</v>
      </c>
      <c r="H404">
        <v>0</v>
      </c>
      <c r="I404">
        <v>0</v>
      </c>
      <c r="J404">
        <v>0</v>
      </c>
      <c r="K404">
        <v>0</v>
      </c>
      <c r="L404">
        <v>93</v>
      </c>
      <c r="M404">
        <v>133</v>
      </c>
      <c r="N404" t="s">
        <v>26</v>
      </c>
      <c r="O404" s="3">
        <v>44790</v>
      </c>
      <c r="P404">
        <v>-1</v>
      </c>
      <c r="T404" t="s">
        <v>49</v>
      </c>
      <c r="U404">
        <v>192</v>
      </c>
      <c r="V404">
        <v>18.75</v>
      </c>
    </row>
    <row r="405" spans="1:22" x14ac:dyDescent="0.35">
      <c r="A405" s="3">
        <v>44657</v>
      </c>
      <c r="B405" t="s">
        <v>27</v>
      </c>
      <c r="C405">
        <v>0</v>
      </c>
      <c r="D405">
        <v>0</v>
      </c>
      <c r="E405">
        <v>0</v>
      </c>
      <c r="F405">
        <v>0</v>
      </c>
      <c r="G405">
        <v>27.128499999999999</v>
      </c>
      <c r="H405">
        <v>0</v>
      </c>
      <c r="I405">
        <v>0</v>
      </c>
      <c r="J405">
        <v>0</v>
      </c>
      <c r="K405">
        <v>0</v>
      </c>
      <c r="L405">
        <v>117</v>
      </c>
      <c r="M405">
        <v>168</v>
      </c>
      <c r="N405" t="s">
        <v>27</v>
      </c>
      <c r="O405" s="3">
        <v>44825</v>
      </c>
      <c r="P405">
        <v>-1</v>
      </c>
      <c r="T405" t="s">
        <v>48</v>
      </c>
      <c r="U405">
        <v>217</v>
      </c>
      <c r="V405">
        <v>19.225000000000001</v>
      </c>
    </row>
    <row r="406" spans="1:22" x14ac:dyDescent="0.35">
      <c r="A406" s="3">
        <v>44657</v>
      </c>
      <c r="B406" t="s">
        <v>28</v>
      </c>
      <c r="C406">
        <v>0</v>
      </c>
      <c r="D406">
        <v>0</v>
      </c>
      <c r="E406">
        <v>0</v>
      </c>
      <c r="F406">
        <v>0</v>
      </c>
      <c r="G406">
        <v>26.035</v>
      </c>
      <c r="H406">
        <v>0</v>
      </c>
      <c r="I406">
        <v>0</v>
      </c>
      <c r="J406">
        <v>0</v>
      </c>
      <c r="K406">
        <v>0</v>
      </c>
      <c r="L406">
        <v>49</v>
      </c>
      <c r="M406">
        <v>70</v>
      </c>
      <c r="N406" t="s">
        <v>28</v>
      </c>
      <c r="O406" s="3">
        <v>44727</v>
      </c>
      <c r="P406">
        <v>-1</v>
      </c>
      <c r="T406" t="s">
        <v>47</v>
      </c>
      <c r="U406">
        <v>237</v>
      </c>
      <c r="V406">
        <v>18.975000000000001</v>
      </c>
    </row>
    <row r="407" spans="1:22" x14ac:dyDescent="0.35">
      <c r="A407" s="3">
        <v>44657</v>
      </c>
      <c r="B407" t="s">
        <v>21</v>
      </c>
      <c r="C407">
        <v>0</v>
      </c>
      <c r="D407">
        <v>0</v>
      </c>
      <c r="E407">
        <v>0</v>
      </c>
      <c r="F407">
        <v>0</v>
      </c>
      <c r="G407">
        <v>25.9</v>
      </c>
      <c r="H407">
        <v>0</v>
      </c>
      <c r="I407">
        <v>0</v>
      </c>
      <c r="J407">
        <v>0</v>
      </c>
      <c r="K407">
        <v>0</v>
      </c>
      <c r="L407">
        <v>181</v>
      </c>
      <c r="M407">
        <v>259</v>
      </c>
      <c r="N407" t="s">
        <v>21</v>
      </c>
      <c r="O407" s="3">
        <v>44916</v>
      </c>
      <c r="P407">
        <v>-1</v>
      </c>
      <c r="S407" s="3">
        <v>43815</v>
      </c>
      <c r="T407" t="s">
        <v>55</v>
      </c>
      <c r="U407">
        <v>63</v>
      </c>
      <c r="V407">
        <v>16.774999999999999</v>
      </c>
    </row>
    <row r="408" spans="1:22" x14ac:dyDescent="0.35">
      <c r="A408" s="3">
        <v>44657</v>
      </c>
      <c r="B408" t="s">
        <v>22</v>
      </c>
      <c r="C408">
        <v>0</v>
      </c>
      <c r="D408">
        <v>0</v>
      </c>
      <c r="E408">
        <v>0</v>
      </c>
      <c r="F408">
        <v>0</v>
      </c>
      <c r="G408">
        <v>26.704799999999999</v>
      </c>
      <c r="H408">
        <v>0</v>
      </c>
      <c r="I408">
        <v>0</v>
      </c>
      <c r="J408">
        <v>0</v>
      </c>
      <c r="K408">
        <v>0</v>
      </c>
      <c r="L408">
        <v>73</v>
      </c>
      <c r="M408">
        <v>105</v>
      </c>
      <c r="N408" t="s">
        <v>22</v>
      </c>
      <c r="O408" s="3">
        <v>44762</v>
      </c>
      <c r="P408">
        <v>-1</v>
      </c>
      <c r="T408" t="s">
        <v>54</v>
      </c>
      <c r="U408">
        <v>83</v>
      </c>
      <c r="V408">
        <v>17.324999999999999</v>
      </c>
    </row>
    <row r="409" spans="1:22" x14ac:dyDescent="0.35">
      <c r="A409" s="3">
        <v>44657</v>
      </c>
      <c r="B409" t="s">
        <v>29</v>
      </c>
      <c r="C409">
        <v>0</v>
      </c>
      <c r="D409">
        <v>0</v>
      </c>
      <c r="E409">
        <v>0</v>
      </c>
      <c r="F409">
        <v>0</v>
      </c>
      <c r="G409">
        <v>25.336300000000001</v>
      </c>
      <c r="H409">
        <v>0</v>
      </c>
      <c r="I409">
        <v>0</v>
      </c>
      <c r="J409">
        <v>0</v>
      </c>
      <c r="K409">
        <v>0</v>
      </c>
      <c r="L409">
        <v>30</v>
      </c>
      <c r="M409">
        <v>42</v>
      </c>
      <c r="N409" t="s">
        <v>29</v>
      </c>
      <c r="O409" s="3">
        <v>44699</v>
      </c>
      <c r="P409">
        <v>-1</v>
      </c>
      <c r="T409" t="s">
        <v>53</v>
      </c>
      <c r="U409">
        <v>108</v>
      </c>
      <c r="V409">
        <v>17.425000000000001</v>
      </c>
    </row>
    <row r="410" spans="1:22" x14ac:dyDescent="0.35">
      <c r="A410" s="3">
        <v>44657</v>
      </c>
      <c r="B410" t="s">
        <v>25</v>
      </c>
      <c r="C410">
        <v>0</v>
      </c>
      <c r="D410">
        <v>0</v>
      </c>
      <c r="E410">
        <v>0</v>
      </c>
      <c r="F410">
        <v>0</v>
      </c>
      <c r="G410">
        <v>27.3</v>
      </c>
      <c r="H410">
        <v>0</v>
      </c>
      <c r="I410">
        <v>0</v>
      </c>
      <c r="J410">
        <v>0</v>
      </c>
      <c r="K410">
        <v>0</v>
      </c>
      <c r="L410">
        <v>137</v>
      </c>
      <c r="M410">
        <v>196</v>
      </c>
      <c r="N410" t="s">
        <v>25</v>
      </c>
      <c r="O410" s="3">
        <v>44853</v>
      </c>
      <c r="P410">
        <v>-1</v>
      </c>
      <c r="T410" t="s">
        <v>52</v>
      </c>
      <c r="U410">
        <v>127</v>
      </c>
      <c r="V410">
        <v>17.625</v>
      </c>
    </row>
    <row r="411" spans="1:22" x14ac:dyDescent="0.35">
      <c r="A411" s="3">
        <v>44657</v>
      </c>
      <c r="B411" t="s">
        <v>20</v>
      </c>
      <c r="C411">
        <v>0</v>
      </c>
      <c r="D411">
        <v>0</v>
      </c>
      <c r="E411">
        <v>0</v>
      </c>
      <c r="F411">
        <v>0</v>
      </c>
      <c r="G411">
        <v>26.7</v>
      </c>
      <c r="H411">
        <v>0</v>
      </c>
      <c r="I411">
        <v>0</v>
      </c>
      <c r="J411">
        <v>0</v>
      </c>
      <c r="K411">
        <v>0</v>
      </c>
      <c r="L411">
        <v>157</v>
      </c>
      <c r="M411">
        <v>224</v>
      </c>
      <c r="N411" t="s">
        <v>20</v>
      </c>
      <c r="O411" s="3">
        <v>44881</v>
      </c>
      <c r="P411">
        <v>-1</v>
      </c>
      <c r="T411" t="s">
        <v>51</v>
      </c>
      <c r="U411">
        <v>152</v>
      </c>
      <c r="V411">
        <v>17.975000000000001</v>
      </c>
    </row>
    <row r="412" spans="1:22" x14ac:dyDescent="0.35">
      <c r="A412" s="3">
        <v>44656</v>
      </c>
      <c r="B412" t="s">
        <v>21</v>
      </c>
      <c r="C412">
        <v>0</v>
      </c>
      <c r="D412">
        <v>0</v>
      </c>
      <c r="E412">
        <v>0</v>
      </c>
      <c r="F412">
        <v>0</v>
      </c>
      <c r="G412">
        <v>25.7</v>
      </c>
      <c r="H412">
        <v>0</v>
      </c>
      <c r="I412">
        <v>0</v>
      </c>
      <c r="J412">
        <v>0</v>
      </c>
      <c r="K412">
        <v>0</v>
      </c>
      <c r="L412">
        <v>182</v>
      </c>
      <c r="M412">
        <v>260</v>
      </c>
      <c r="N412" t="s">
        <v>21</v>
      </c>
      <c r="O412" s="3">
        <v>44916</v>
      </c>
      <c r="P412">
        <v>-1</v>
      </c>
      <c r="T412" t="s">
        <v>50</v>
      </c>
      <c r="U412">
        <v>172</v>
      </c>
      <c r="V412">
        <v>18.074999999999999</v>
      </c>
    </row>
    <row r="413" spans="1:22" x14ac:dyDescent="0.35">
      <c r="A413" s="3">
        <v>44656</v>
      </c>
      <c r="B413" t="s">
        <v>22</v>
      </c>
      <c r="C413">
        <v>0</v>
      </c>
      <c r="D413">
        <v>0</v>
      </c>
      <c r="E413">
        <v>0</v>
      </c>
      <c r="F413">
        <v>0</v>
      </c>
      <c r="G413">
        <v>26.405899999999999</v>
      </c>
      <c r="H413">
        <v>0</v>
      </c>
      <c r="I413">
        <v>0</v>
      </c>
      <c r="J413">
        <v>0</v>
      </c>
      <c r="K413">
        <v>0</v>
      </c>
      <c r="L413">
        <v>74</v>
      </c>
      <c r="M413">
        <v>106</v>
      </c>
      <c r="N413" t="s">
        <v>22</v>
      </c>
      <c r="O413" s="3">
        <v>44762</v>
      </c>
      <c r="P413">
        <v>-1</v>
      </c>
      <c r="T413" t="s">
        <v>48</v>
      </c>
      <c r="U413">
        <v>216</v>
      </c>
      <c r="V413">
        <v>19.074999999999999</v>
      </c>
    </row>
    <row r="414" spans="1:22" x14ac:dyDescent="0.35">
      <c r="A414" s="3">
        <v>44656</v>
      </c>
      <c r="B414" t="s">
        <v>29</v>
      </c>
      <c r="C414">
        <v>0</v>
      </c>
      <c r="D414">
        <v>0</v>
      </c>
      <c r="E414">
        <v>0</v>
      </c>
      <c r="F414">
        <v>0</v>
      </c>
      <c r="G414">
        <v>24.841200000000001</v>
      </c>
      <c r="H414">
        <v>0</v>
      </c>
      <c r="I414">
        <v>0</v>
      </c>
      <c r="J414">
        <v>0</v>
      </c>
      <c r="K414">
        <v>0</v>
      </c>
      <c r="L414">
        <v>31</v>
      </c>
      <c r="M414">
        <v>43</v>
      </c>
      <c r="N414" t="s">
        <v>29</v>
      </c>
      <c r="O414" s="3">
        <v>44699</v>
      </c>
      <c r="P414">
        <v>-1</v>
      </c>
      <c r="S414" s="3">
        <v>43816</v>
      </c>
      <c r="T414" t="s">
        <v>55</v>
      </c>
      <c r="U414">
        <v>62</v>
      </c>
      <c r="V414">
        <v>16.875</v>
      </c>
    </row>
    <row r="415" spans="1:22" x14ac:dyDescent="0.35">
      <c r="A415" s="3">
        <v>44656</v>
      </c>
      <c r="B415" t="s">
        <v>25</v>
      </c>
      <c r="C415">
        <v>0</v>
      </c>
      <c r="D415">
        <v>0</v>
      </c>
      <c r="E415">
        <v>0</v>
      </c>
      <c r="F415">
        <v>0</v>
      </c>
      <c r="G415">
        <v>27.177800000000001</v>
      </c>
      <c r="H415">
        <v>0</v>
      </c>
      <c r="I415">
        <v>0</v>
      </c>
      <c r="J415">
        <v>0</v>
      </c>
      <c r="K415">
        <v>0</v>
      </c>
      <c r="L415">
        <v>138</v>
      </c>
      <c r="M415">
        <v>197</v>
      </c>
      <c r="N415" t="s">
        <v>25</v>
      </c>
      <c r="O415" s="3">
        <v>44853</v>
      </c>
      <c r="P415">
        <v>-1</v>
      </c>
      <c r="T415" t="s">
        <v>54</v>
      </c>
      <c r="U415">
        <v>82</v>
      </c>
      <c r="V415">
        <v>17.475000000000001</v>
      </c>
    </row>
    <row r="416" spans="1:22" x14ac:dyDescent="0.35">
      <c r="A416" s="3">
        <v>44656</v>
      </c>
      <c r="B416" t="s">
        <v>20</v>
      </c>
      <c r="C416">
        <v>0</v>
      </c>
      <c r="D416">
        <v>0</v>
      </c>
      <c r="E416">
        <v>0</v>
      </c>
      <c r="F416">
        <v>0</v>
      </c>
      <c r="G416">
        <v>26.55</v>
      </c>
      <c r="H416">
        <v>0</v>
      </c>
      <c r="I416">
        <v>0</v>
      </c>
      <c r="J416">
        <v>0</v>
      </c>
      <c r="K416">
        <v>0</v>
      </c>
      <c r="L416">
        <v>158</v>
      </c>
      <c r="M416">
        <v>225</v>
      </c>
      <c r="N416" t="s">
        <v>20</v>
      </c>
      <c r="O416" s="3">
        <v>44881</v>
      </c>
      <c r="P416">
        <v>-1</v>
      </c>
      <c r="T416" t="s">
        <v>53</v>
      </c>
      <c r="U416">
        <v>107</v>
      </c>
      <c r="V416">
        <v>17.625</v>
      </c>
    </row>
    <row r="417" spans="1:22" x14ac:dyDescent="0.35">
      <c r="A417" s="3">
        <v>44656</v>
      </c>
      <c r="B417" t="s">
        <v>30</v>
      </c>
      <c r="C417">
        <v>0</v>
      </c>
      <c r="D417">
        <v>0</v>
      </c>
      <c r="E417">
        <v>0</v>
      </c>
      <c r="F417">
        <v>0</v>
      </c>
      <c r="G417">
        <v>23.2559</v>
      </c>
      <c r="H417">
        <v>0</v>
      </c>
      <c r="I417">
        <v>0</v>
      </c>
      <c r="J417">
        <v>0</v>
      </c>
      <c r="K417">
        <v>0</v>
      </c>
      <c r="L417">
        <v>11</v>
      </c>
      <c r="M417">
        <v>15</v>
      </c>
      <c r="N417" t="s">
        <v>30</v>
      </c>
      <c r="O417" s="3">
        <v>44671</v>
      </c>
      <c r="P417">
        <v>-1</v>
      </c>
      <c r="T417" t="s">
        <v>52</v>
      </c>
      <c r="U417">
        <v>126</v>
      </c>
      <c r="V417">
        <v>17.925000000000001</v>
      </c>
    </row>
    <row r="418" spans="1:22" x14ac:dyDescent="0.35">
      <c r="A418" s="3">
        <v>44656</v>
      </c>
      <c r="B418" t="s">
        <v>26</v>
      </c>
      <c r="C418">
        <v>0</v>
      </c>
      <c r="D418">
        <v>0</v>
      </c>
      <c r="E418">
        <v>0</v>
      </c>
      <c r="F418">
        <v>0</v>
      </c>
      <c r="G418">
        <v>26.561699999999998</v>
      </c>
      <c r="H418">
        <v>0</v>
      </c>
      <c r="I418">
        <v>0</v>
      </c>
      <c r="J418">
        <v>0</v>
      </c>
      <c r="K418">
        <v>0</v>
      </c>
      <c r="L418">
        <v>94</v>
      </c>
      <c r="M418">
        <v>134</v>
      </c>
      <c r="N418" t="s">
        <v>26</v>
      </c>
      <c r="O418" s="3">
        <v>44790</v>
      </c>
      <c r="P418">
        <v>-1</v>
      </c>
      <c r="T418" t="s">
        <v>51</v>
      </c>
      <c r="U418">
        <v>151</v>
      </c>
      <c r="V418">
        <v>18.149999999999999</v>
      </c>
    </row>
    <row r="419" spans="1:22" x14ac:dyDescent="0.35">
      <c r="A419" s="3">
        <v>44656</v>
      </c>
      <c r="B419" t="s">
        <v>27</v>
      </c>
      <c r="C419">
        <v>0</v>
      </c>
      <c r="D419">
        <v>0</v>
      </c>
      <c r="E419">
        <v>0</v>
      </c>
      <c r="F419">
        <v>0</v>
      </c>
      <c r="G419">
        <v>26.928999999999998</v>
      </c>
      <c r="H419">
        <v>0</v>
      </c>
      <c r="I419">
        <v>0</v>
      </c>
      <c r="J419">
        <v>0</v>
      </c>
      <c r="K419">
        <v>0</v>
      </c>
      <c r="L419">
        <v>118</v>
      </c>
      <c r="M419">
        <v>169</v>
      </c>
      <c r="N419" t="s">
        <v>27</v>
      </c>
      <c r="O419" s="3">
        <v>44825</v>
      </c>
      <c r="P419">
        <v>-1</v>
      </c>
      <c r="T419" t="s">
        <v>50</v>
      </c>
      <c r="U419">
        <v>171</v>
      </c>
      <c r="V419">
        <v>18.225000000000001</v>
      </c>
    </row>
    <row r="420" spans="1:22" x14ac:dyDescent="0.35">
      <c r="A420" s="3">
        <v>44656</v>
      </c>
      <c r="B420" t="s">
        <v>28</v>
      </c>
      <c r="C420">
        <v>0</v>
      </c>
      <c r="D420">
        <v>0</v>
      </c>
      <c r="E420">
        <v>0</v>
      </c>
      <c r="F420">
        <v>0</v>
      </c>
      <c r="G420">
        <v>25.6493</v>
      </c>
      <c r="H420">
        <v>0</v>
      </c>
      <c r="I420">
        <v>0</v>
      </c>
      <c r="J420">
        <v>0</v>
      </c>
      <c r="K420">
        <v>0</v>
      </c>
      <c r="L420">
        <v>50</v>
      </c>
      <c r="M420">
        <v>71</v>
      </c>
      <c r="N420" t="s">
        <v>28</v>
      </c>
      <c r="O420" s="3">
        <v>44727</v>
      </c>
      <c r="P420">
        <v>-1</v>
      </c>
      <c r="T420" t="s">
        <v>49</v>
      </c>
      <c r="U420">
        <v>190</v>
      </c>
      <c r="V420">
        <v>18.649999999999999</v>
      </c>
    </row>
    <row r="421" spans="1:22" x14ac:dyDescent="0.35">
      <c r="A421" s="3">
        <v>44655</v>
      </c>
      <c r="B421" t="s">
        <v>30</v>
      </c>
      <c r="C421">
        <v>0</v>
      </c>
      <c r="D421">
        <v>0</v>
      </c>
      <c r="E421">
        <v>0</v>
      </c>
      <c r="F421">
        <v>0</v>
      </c>
      <c r="G421">
        <v>20.9619</v>
      </c>
      <c r="H421">
        <v>0</v>
      </c>
      <c r="I421">
        <v>0</v>
      </c>
      <c r="J421">
        <v>0</v>
      </c>
      <c r="K421">
        <v>0</v>
      </c>
      <c r="L421">
        <v>12</v>
      </c>
      <c r="M421">
        <v>16</v>
      </c>
      <c r="N421" t="s">
        <v>30</v>
      </c>
      <c r="O421" s="3">
        <v>44671</v>
      </c>
      <c r="P421">
        <v>-1</v>
      </c>
      <c r="T421" t="s">
        <v>48</v>
      </c>
      <c r="U421">
        <v>215</v>
      </c>
      <c r="V421">
        <v>19.3</v>
      </c>
    </row>
    <row r="422" spans="1:22" x14ac:dyDescent="0.35">
      <c r="A422" s="3">
        <v>44655</v>
      </c>
      <c r="B422" t="s">
        <v>26</v>
      </c>
      <c r="C422">
        <v>0</v>
      </c>
      <c r="D422">
        <v>0</v>
      </c>
      <c r="E422">
        <v>0</v>
      </c>
      <c r="F422">
        <v>0</v>
      </c>
      <c r="G422">
        <v>25.697700000000001</v>
      </c>
      <c r="H422">
        <v>0</v>
      </c>
      <c r="I422">
        <v>0</v>
      </c>
      <c r="J422">
        <v>0</v>
      </c>
      <c r="K422">
        <v>0</v>
      </c>
      <c r="L422">
        <v>95</v>
      </c>
      <c r="M422">
        <v>135</v>
      </c>
      <c r="N422" t="s">
        <v>26</v>
      </c>
      <c r="O422" s="3">
        <v>44790</v>
      </c>
      <c r="P422">
        <v>-1</v>
      </c>
      <c r="T422" t="s">
        <v>47</v>
      </c>
      <c r="U422">
        <v>235</v>
      </c>
      <c r="V422">
        <v>18.824999999999999</v>
      </c>
    </row>
    <row r="423" spans="1:22" x14ac:dyDescent="0.35">
      <c r="A423" s="3">
        <v>44655</v>
      </c>
      <c r="B423" t="s">
        <v>27</v>
      </c>
      <c r="C423">
        <v>0</v>
      </c>
      <c r="D423">
        <v>0</v>
      </c>
      <c r="E423">
        <v>0</v>
      </c>
      <c r="F423">
        <v>0</v>
      </c>
      <c r="G423">
        <v>26.1432</v>
      </c>
      <c r="H423">
        <v>0</v>
      </c>
      <c r="I423">
        <v>0</v>
      </c>
      <c r="J423">
        <v>0</v>
      </c>
      <c r="K423">
        <v>0</v>
      </c>
      <c r="L423">
        <v>119</v>
      </c>
      <c r="M423">
        <v>170</v>
      </c>
      <c r="N423" t="s">
        <v>27</v>
      </c>
      <c r="O423" s="3">
        <v>44825</v>
      </c>
      <c r="P423">
        <v>-1</v>
      </c>
      <c r="S423" s="3">
        <v>43817</v>
      </c>
      <c r="T423" t="s">
        <v>55</v>
      </c>
      <c r="U423">
        <v>61</v>
      </c>
      <c r="V423">
        <v>16.824999999999999</v>
      </c>
    </row>
    <row r="424" spans="1:22" x14ac:dyDescent="0.35">
      <c r="A424" s="3">
        <v>44655</v>
      </c>
      <c r="B424" t="s">
        <v>28</v>
      </c>
      <c r="C424">
        <v>0</v>
      </c>
      <c r="D424">
        <v>0</v>
      </c>
      <c r="E424">
        <v>0</v>
      </c>
      <c r="F424">
        <v>0</v>
      </c>
      <c r="G424">
        <v>24.367599999999999</v>
      </c>
      <c r="H424">
        <v>0</v>
      </c>
      <c r="I424">
        <v>0</v>
      </c>
      <c r="J424">
        <v>0</v>
      </c>
      <c r="K424">
        <v>0</v>
      </c>
      <c r="L424">
        <v>51</v>
      </c>
      <c r="M424">
        <v>72</v>
      </c>
      <c r="N424" t="s">
        <v>28</v>
      </c>
      <c r="O424" s="3">
        <v>44727</v>
      </c>
      <c r="P424">
        <v>-1</v>
      </c>
      <c r="T424" t="s">
        <v>54</v>
      </c>
      <c r="U424">
        <v>81</v>
      </c>
      <c r="V424">
        <v>17.425000000000001</v>
      </c>
    </row>
    <row r="425" spans="1:22" x14ac:dyDescent="0.35">
      <c r="A425" s="3">
        <v>44655</v>
      </c>
      <c r="B425" t="s">
        <v>21</v>
      </c>
      <c r="C425">
        <v>0</v>
      </c>
      <c r="D425">
        <v>0</v>
      </c>
      <c r="E425">
        <v>0</v>
      </c>
      <c r="F425">
        <v>0</v>
      </c>
      <c r="G425">
        <v>25.225000000000001</v>
      </c>
      <c r="H425">
        <v>0</v>
      </c>
      <c r="I425">
        <v>0</v>
      </c>
      <c r="J425">
        <v>0</v>
      </c>
      <c r="K425">
        <v>0</v>
      </c>
      <c r="L425">
        <v>183</v>
      </c>
      <c r="M425">
        <v>261</v>
      </c>
      <c r="N425" t="s">
        <v>21</v>
      </c>
      <c r="O425" s="3">
        <v>44916</v>
      </c>
      <c r="P425">
        <v>-1</v>
      </c>
      <c r="T425" t="s">
        <v>53</v>
      </c>
      <c r="U425">
        <v>106</v>
      </c>
      <c r="V425">
        <v>17.574999999999999</v>
      </c>
    </row>
    <row r="426" spans="1:22" x14ac:dyDescent="0.35">
      <c r="A426" s="3">
        <v>44655</v>
      </c>
      <c r="B426" t="s">
        <v>22</v>
      </c>
      <c r="C426">
        <v>0</v>
      </c>
      <c r="D426">
        <v>0</v>
      </c>
      <c r="E426">
        <v>0</v>
      </c>
      <c r="F426">
        <v>0</v>
      </c>
      <c r="G426">
        <v>25.3995</v>
      </c>
      <c r="H426">
        <v>0</v>
      </c>
      <c r="I426">
        <v>0</v>
      </c>
      <c r="J426">
        <v>0</v>
      </c>
      <c r="K426">
        <v>0</v>
      </c>
      <c r="L426">
        <v>75</v>
      </c>
      <c r="M426">
        <v>107</v>
      </c>
      <c r="N426" t="s">
        <v>22</v>
      </c>
      <c r="O426" s="3">
        <v>44762</v>
      </c>
      <c r="P426">
        <v>-1</v>
      </c>
      <c r="T426" t="s">
        <v>52</v>
      </c>
      <c r="U426">
        <v>125</v>
      </c>
      <c r="V426">
        <v>17.875</v>
      </c>
    </row>
    <row r="427" spans="1:22" x14ac:dyDescent="0.35">
      <c r="A427" s="3">
        <v>44655</v>
      </c>
      <c r="B427" t="s">
        <v>29</v>
      </c>
      <c r="C427">
        <v>0</v>
      </c>
      <c r="D427">
        <v>0</v>
      </c>
      <c r="E427">
        <v>0</v>
      </c>
      <c r="F427">
        <v>0</v>
      </c>
      <c r="G427">
        <v>23.147500000000001</v>
      </c>
      <c r="H427">
        <v>0</v>
      </c>
      <c r="I427">
        <v>0</v>
      </c>
      <c r="J427">
        <v>0</v>
      </c>
      <c r="K427">
        <v>0</v>
      </c>
      <c r="L427">
        <v>32</v>
      </c>
      <c r="M427">
        <v>44</v>
      </c>
      <c r="N427" t="s">
        <v>29</v>
      </c>
      <c r="O427" s="3">
        <v>44699</v>
      </c>
      <c r="P427">
        <v>-1</v>
      </c>
      <c r="T427" t="s">
        <v>51</v>
      </c>
      <c r="U427">
        <v>150</v>
      </c>
      <c r="V427">
        <v>18.125</v>
      </c>
    </row>
    <row r="428" spans="1:22" x14ac:dyDescent="0.35">
      <c r="A428" s="3">
        <v>44655</v>
      </c>
      <c r="B428" t="s">
        <v>25</v>
      </c>
      <c r="C428">
        <v>0</v>
      </c>
      <c r="D428">
        <v>0</v>
      </c>
      <c r="E428">
        <v>0</v>
      </c>
      <c r="F428">
        <v>0</v>
      </c>
      <c r="G428">
        <v>26.418199999999999</v>
      </c>
      <c r="H428">
        <v>0</v>
      </c>
      <c r="I428">
        <v>0</v>
      </c>
      <c r="J428">
        <v>0</v>
      </c>
      <c r="K428">
        <v>0</v>
      </c>
      <c r="L428">
        <v>139</v>
      </c>
      <c r="M428">
        <v>198</v>
      </c>
      <c r="N428" t="s">
        <v>25</v>
      </c>
      <c r="O428" s="3">
        <v>44853</v>
      </c>
      <c r="P428">
        <v>-1</v>
      </c>
      <c r="T428" t="s">
        <v>50</v>
      </c>
      <c r="U428">
        <v>170</v>
      </c>
      <c r="V428">
        <v>18.25</v>
      </c>
    </row>
    <row r="429" spans="1:22" x14ac:dyDescent="0.35">
      <c r="A429" s="3">
        <v>44655</v>
      </c>
      <c r="B429" t="s">
        <v>20</v>
      </c>
      <c r="C429">
        <v>0</v>
      </c>
      <c r="D429">
        <v>0</v>
      </c>
      <c r="E429">
        <v>0</v>
      </c>
      <c r="F429">
        <v>0</v>
      </c>
      <c r="G429">
        <v>25.9</v>
      </c>
      <c r="H429">
        <v>0</v>
      </c>
      <c r="I429">
        <v>0</v>
      </c>
      <c r="J429">
        <v>0</v>
      </c>
      <c r="K429">
        <v>0</v>
      </c>
      <c r="L429">
        <v>159</v>
      </c>
      <c r="M429">
        <v>226</v>
      </c>
      <c r="N429" t="s">
        <v>20</v>
      </c>
      <c r="O429" s="3">
        <v>44881</v>
      </c>
      <c r="P429">
        <v>-1</v>
      </c>
      <c r="T429" t="s">
        <v>49</v>
      </c>
      <c r="U429">
        <v>189</v>
      </c>
      <c r="V429">
        <v>18.574999999999999</v>
      </c>
    </row>
    <row r="430" spans="1:22" x14ac:dyDescent="0.35">
      <c r="A430" s="3">
        <v>44652</v>
      </c>
      <c r="B430" t="s">
        <v>21</v>
      </c>
      <c r="C430">
        <v>0</v>
      </c>
      <c r="D430">
        <v>0</v>
      </c>
      <c r="E430">
        <v>0</v>
      </c>
      <c r="F430">
        <v>0</v>
      </c>
      <c r="G430">
        <v>25.45</v>
      </c>
      <c r="H430">
        <v>0</v>
      </c>
      <c r="I430">
        <v>0</v>
      </c>
      <c r="J430">
        <v>0</v>
      </c>
      <c r="K430">
        <v>0</v>
      </c>
      <c r="L430">
        <v>184</v>
      </c>
      <c r="M430">
        <v>264</v>
      </c>
      <c r="N430" t="s">
        <v>21</v>
      </c>
      <c r="O430" s="3">
        <v>44916</v>
      </c>
      <c r="P430">
        <v>-1</v>
      </c>
      <c r="T430" t="s">
        <v>48</v>
      </c>
      <c r="U430">
        <v>214</v>
      </c>
      <c r="V430">
        <v>19.350000000000001</v>
      </c>
    </row>
    <row r="431" spans="1:22" x14ac:dyDescent="0.35">
      <c r="A431" s="3">
        <v>44652</v>
      </c>
      <c r="B431" t="s">
        <v>22</v>
      </c>
      <c r="C431">
        <v>0</v>
      </c>
      <c r="D431">
        <v>0</v>
      </c>
      <c r="E431">
        <v>0</v>
      </c>
      <c r="F431">
        <v>0</v>
      </c>
      <c r="G431">
        <v>25.85</v>
      </c>
      <c r="H431">
        <v>0</v>
      </c>
      <c r="I431">
        <v>0</v>
      </c>
      <c r="J431">
        <v>0</v>
      </c>
      <c r="K431">
        <v>0</v>
      </c>
      <c r="L431">
        <v>76</v>
      </c>
      <c r="M431">
        <v>110</v>
      </c>
      <c r="N431" t="s">
        <v>22</v>
      </c>
      <c r="O431" s="3">
        <v>44762</v>
      </c>
      <c r="P431">
        <v>-1</v>
      </c>
      <c r="T431" t="s">
        <v>47</v>
      </c>
      <c r="U431">
        <v>234</v>
      </c>
      <c r="V431">
        <v>18.75</v>
      </c>
    </row>
    <row r="432" spans="1:22" x14ac:dyDescent="0.35">
      <c r="A432" s="3">
        <v>44652</v>
      </c>
      <c r="B432" t="s">
        <v>29</v>
      </c>
      <c r="C432">
        <v>0</v>
      </c>
      <c r="D432">
        <v>0</v>
      </c>
      <c r="E432">
        <v>0</v>
      </c>
      <c r="F432">
        <v>0</v>
      </c>
      <c r="G432">
        <v>24.214099999999998</v>
      </c>
      <c r="H432">
        <v>0</v>
      </c>
      <c r="I432">
        <v>0</v>
      </c>
      <c r="J432">
        <v>0</v>
      </c>
      <c r="K432">
        <v>0</v>
      </c>
      <c r="L432">
        <v>33</v>
      </c>
      <c r="M432">
        <v>47</v>
      </c>
      <c r="N432" t="s">
        <v>29</v>
      </c>
      <c r="O432" s="3">
        <v>44699</v>
      </c>
      <c r="P432">
        <v>-1</v>
      </c>
      <c r="S432" s="3">
        <v>43818</v>
      </c>
      <c r="T432" t="s">
        <v>55</v>
      </c>
      <c r="U432">
        <v>60</v>
      </c>
      <c r="V432">
        <v>16.625</v>
      </c>
    </row>
    <row r="433" spans="1:22" x14ac:dyDescent="0.35">
      <c r="A433" s="3">
        <v>44652</v>
      </c>
      <c r="B433" t="s">
        <v>25</v>
      </c>
      <c r="C433">
        <v>0</v>
      </c>
      <c r="D433">
        <v>0</v>
      </c>
      <c r="E433">
        <v>0</v>
      </c>
      <c r="F433">
        <v>0</v>
      </c>
      <c r="G433">
        <v>26.8</v>
      </c>
      <c r="H433">
        <v>0</v>
      </c>
      <c r="I433">
        <v>0</v>
      </c>
      <c r="J433">
        <v>0</v>
      </c>
      <c r="K433">
        <v>0</v>
      </c>
      <c r="L433">
        <v>140</v>
      </c>
      <c r="M433">
        <v>201</v>
      </c>
      <c r="N433" t="s">
        <v>25</v>
      </c>
      <c r="O433" s="3">
        <v>44853</v>
      </c>
      <c r="P433">
        <v>-1</v>
      </c>
      <c r="T433" t="s">
        <v>54</v>
      </c>
      <c r="U433">
        <v>80</v>
      </c>
      <c r="V433">
        <v>17.225000000000001</v>
      </c>
    </row>
    <row r="434" spans="1:22" x14ac:dyDescent="0.35">
      <c r="A434" s="3">
        <v>44652</v>
      </c>
      <c r="B434" t="s">
        <v>20</v>
      </c>
      <c r="C434">
        <v>0</v>
      </c>
      <c r="D434">
        <v>0</v>
      </c>
      <c r="E434">
        <v>0</v>
      </c>
      <c r="F434">
        <v>0</v>
      </c>
      <c r="G434">
        <v>26.15</v>
      </c>
      <c r="H434">
        <v>0</v>
      </c>
      <c r="I434">
        <v>0</v>
      </c>
      <c r="J434">
        <v>0</v>
      </c>
      <c r="K434">
        <v>0</v>
      </c>
      <c r="L434">
        <v>160</v>
      </c>
      <c r="M434">
        <v>229</v>
      </c>
      <c r="N434" t="s">
        <v>20</v>
      </c>
      <c r="O434" s="3">
        <v>44881</v>
      </c>
      <c r="P434">
        <v>-1</v>
      </c>
      <c r="T434" t="s">
        <v>53</v>
      </c>
      <c r="U434">
        <v>105</v>
      </c>
      <c r="V434">
        <v>17.375</v>
      </c>
    </row>
    <row r="435" spans="1:22" x14ac:dyDescent="0.35">
      <c r="A435" s="3">
        <v>44652</v>
      </c>
      <c r="B435" t="s">
        <v>30</v>
      </c>
      <c r="C435">
        <v>0</v>
      </c>
      <c r="D435">
        <v>0</v>
      </c>
      <c r="E435">
        <v>0</v>
      </c>
      <c r="F435">
        <v>0</v>
      </c>
      <c r="G435">
        <v>22.3324</v>
      </c>
      <c r="H435">
        <v>0</v>
      </c>
      <c r="I435">
        <v>0</v>
      </c>
      <c r="J435">
        <v>0</v>
      </c>
      <c r="K435">
        <v>0</v>
      </c>
      <c r="L435">
        <v>13</v>
      </c>
      <c r="M435">
        <v>19</v>
      </c>
      <c r="N435" t="s">
        <v>30</v>
      </c>
      <c r="O435" s="3">
        <v>44671</v>
      </c>
      <c r="P435">
        <v>-1</v>
      </c>
      <c r="T435" t="s">
        <v>52</v>
      </c>
      <c r="U435">
        <v>124</v>
      </c>
      <c r="V435">
        <v>17.725000000000001</v>
      </c>
    </row>
    <row r="436" spans="1:22" x14ac:dyDescent="0.35">
      <c r="A436" s="3">
        <v>44652</v>
      </c>
      <c r="B436" t="s">
        <v>26</v>
      </c>
      <c r="C436">
        <v>0</v>
      </c>
      <c r="D436">
        <v>0</v>
      </c>
      <c r="E436">
        <v>0</v>
      </c>
      <c r="F436">
        <v>0</v>
      </c>
      <c r="G436">
        <v>26.091799999999999</v>
      </c>
      <c r="H436">
        <v>0</v>
      </c>
      <c r="I436">
        <v>0</v>
      </c>
      <c r="J436">
        <v>0</v>
      </c>
      <c r="K436">
        <v>0</v>
      </c>
      <c r="L436">
        <v>96</v>
      </c>
      <c r="M436">
        <v>138</v>
      </c>
      <c r="N436" t="s">
        <v>26</v>
      </c>
      <c r="O436" s="3">
        <v>44790</v>
      </c>
      <c r="P436">
        <v>-1</v>
      </c>
      <c r="T436" t="s">
        <v>51</v>
      </c>
      <c r="U436">
        <v>149</v>
      </c>
      <c r="V436">
        <v>17.975000000000001</v>
      </c>
    </row>
    <row r="437" spans="1:22" x14ac:dyDescent="0.35">
      <c r="A437" s="3">
        <v>44652</v>
      </c>
      <c r="B437" t="s">
        <v>27</v>
      </c>
      <c r="C437">
        <v>0</v>
      </c>
      <c r="D437">
        <v>0</v>
      </c>
      <c r="E437">
        <v>0</v>
      </c>
      <c r="F437">
        <v>0</v>
      </c>
      <c r="G437">
        <v>26.5</v>
      </c>
      <c r="H437">
        <v>0</v>
      </c>
      <c r="I437">
        <v>0</v>
      </c>
      <c r="J437">
        <v>0</v>
      </c>
      <c r="K437">
        <v>0</v>
      </c>
      <c r="L437">
        <v>120</v>
      </c>
      <c r="M437">
        <v>173</v>
      </c>
      <c r="N437" t="s">
        <v>27</v>
      </c>
      <c r="O437" s="3">
        <v>44825</v>
      </c>
      <c r="P437">
        <v>-1</v>
      </c>
      <c r="T437" t="s">
        <v>50</v>
      </c>
      <c r="U437">
        <v>169</v>
      </c>
      <c r="V437">
        <v>18.125</v>
      </c>
    </row>
    <row r="438" spans="1:22" x14ac:dyDescent="0.35">
      <c r="A438" s="3">
        <v>44652</v>
      </c>
      <c r="B438" t="s">
        <v>28</v>
      </c>
      <c r="C438">
        <v>0</v>
      </c>
      <c r="D438">
        <v>0</v>
      </c>
      <c r="E438">
        <v>0</v>
      </c>
      <c r="F438">
        <v>0</v>
      </c>
      <c r="G438">
        <v>25.040500000000002</v>
      </c>
      <c r="H438">
        <v>0</v>
      </c>
      <c r="I438">
        <v>0</v>
      </c>
      <c r="J438">
        <v>0</v>
      </c>
      <c r="K438">
        <v>0</v>
      </c>
      <c r="L438">
        <v>52</v>
      </c>
      <c r="M438">
        <v>75</v>
      </c>
      <c r="N438" t="s">
        <v>28</v>
      </c>
      <c r="O438" s="3">
        <v>44727</v>
      </c>
      <c r="P438">
        <v>-1</v>
      </c>
      <c r="T438" t="s">
        <v>49</v>
      </c>
      <c r="U438">
        <v>188</v>
      </c>
      <c r="V438">
        <v>18.475000000000001</v>
      </c>
    </row>
    <row r="439" spans="1:22" x14ac:dyDescent="0.35">
      <c r="A439" s="3">
        <v>44651</v>
      </c>
      <c r="B439" t="s">
        <v>30</v>
      </c>
      <c r="C439">
        <v>0</v>
      </c>
      <c r="D439">
        <v>0</v>
      </c>
      <c r="E439">
        <v>0</v>
      </c>
      <c r="F439">
        <v>0</v>
      </c>
      <c r="G439">
        <v>23.469000000000001</v>
      </c>
      <c r="H439">
        <v>0</v>
      </c>
      <c r="I439">
        <v>0</v>
      </c>
      <c r="J439">
        <v>0</v>
      </c>
      <c r="K439">
        <v>0</v>
      </c>
      <c r="L439">
        <v>14</v>
      </c>
      <c r="M439">
        <v>20</v>
      </c>
      <c r="N439" t="s">
        <v>30</v>
      </c>
      <c r="O439" s="3">
        <v>44671</v>
      </c>
      <c r="P439">
        <v>-1</v>
      </c>
      <c r="T439" t="s">
        <v>48</v>
      </c>
      <c r="U439">
        <v>213</v>
      </c>
      <c r="V439">
        <v>19.574999999999999</v>
      </c>
    </row>
    <row r="440" spans="1:22" x14ac:dyDescent="0.35">
      <c r="A440" s="3">
        <v>44651</v>
      </c>
      <c r="B440" t="s">
        <v>26</v>
      </c>
      <c r="C440">
        <v>0</v>
      </c>
      <c r="D440">
        <v>0</v>
      </c>
      <c r="E440">
        <v>0</v>
      </c>
      <c r="F440">
        <v>0</v>
      </c>
      <c r="G440">
        <v>26.254899999999999</v>
      </c>
      <c r="H440">
        <v>0</v>
      </c>
      <c r="I440">
        <v>0</v>
      </c>
      <c r="J440">
        <v>0</v>
      </c>
      <c r="K440">
        <v>0</v>
      </c>
      <c r="L440">
        <v>97</v>
      </c>
      <c r="M440">
        <v>139</v>
      </c>
      <c r="N440" t="s">
        <v>26</v>
      </c>
      <c r="O440" s="3">
        <v>44790</v>
      </c>
      <c r="P440">
        <v>-1</v>
      </c>
      <c r="T440" t="s">
        <v>47</v>
      </c>
      <c r="U440">
        <v>233</v>
      </c>
      <c r="V440">
        <v>18.75</v>
      </c>
    </row>
    <row r="441" spans="1:22" x14ac:dyDescent="0.35">
      <c r="A441" s="3">
        <v>44651</v>
      </c>
      <c r="B441" t="s">
        <v>27</v>
      </c>
      <c r="C441">
        <v>0</v>
      </c>
      <c r="D441">
        <v>0</v>
      </c>
      <c r="E441">
        <v>0</v>
      </c>
      <c r="F441">
        <v>0</v>
      </c>
      <c r="G441">
        <v>26.601400000000002</v>
      </c>
      <c r="H441">
        <v>0</v>
      </c>
      <c r="I441">
        <v>0</v>
      </c>
      <c r="J441">
        <v>0</v>
      </c>
      <c r="K441">
        <v>0</v>
      </c>
      <c r="L441">
        <v>121</v>
      </c>
      <c r="M441">
        <v>174</v>
      </c>
      <c r="N441" t="s">
        <v>27</v>
      </c>
      <c r="O441" s="3">
        <v>44825</v>
      </c>
      <c r="P441">
        <v>-1</v>
      </c>
      <c r="S441" s="3">
        <v>43819</v>
      </c>
      <c r="T441" t="s">
        <v>55</v>
      </c>
      <c r="U441">
        <v>59</v>
      </c>
      <c r="V441">
        <v>16.725000000000001</v>
      </c>
    </row>
    <row r="442" spans="1:22" x14ac:dyDescent="0.35">
      <c r="A442" s="3">
        <v>44651</v>
      </c>
      <c r="B442" t="s">
        <v>28</v>
      </c>
      <c r="C442">
        <v>0</v>
      </c>
      <c r="D442">
        <v>0</v>
      </c>
      <c r="E442">
        <v>0</v>
      </c>
      <c r="F442">
        <v>0</v>
      </c>
      <c r="G442">
        <v>25.4773</v>
      </c>
      <c r="H442">
        <v>0</v>
      </c>
      <c r="I442">
        <v>0</v>
      </c>
      <c r="J442">
        <v>0</v>
      </c>
      <c r="K442">
        <v>0</v>
      </c>
      <c r="L442">
        <v>53</v>
      </c>
      <c r="M442">
        <v>76</v>
      </c>
      <c r="N442" t="s">
        <v>28</v>
      </c>
      <c r="O442" s="3">
        <v>44727</v>
      </c>
      <c r="P442">
        <v>-1</v>
      </c>
      <c r="T442" t="s">
        <v>54</v>
      </c>
      <c r="U442">
        <v>79</v>
      </c>
      <c r="V442">
        <v>17.274999999999999</v>
      </c>
    </row>
    <row r="443" spans="1:22" x14ac:dyDescent="0.35">
      <c r="A443" s="3">
        <v>44651</v>
      </c>
      <c r="B443" t="s">
        <v>21</v>
      </c>
      <c r="C443">
        <v>0</v>
      </c>
      <c r="D443">
        <v>0</v>
      </c>
      <c r="E443">
        <v>0</v>
      </c>
      <c r="F443">
        <v>0</v>
      </c>
      <c r="G443">
        <v>25.625</v>
      </c>
      <c r="H443">
        <v>0</v>
      </c>
      <c r="I443">
        <v>0</v>
      </c>
      <c r="J443">
        <v>0</v>
      </c>
      <c r="K443">
        <v>0</v>
      </c>
      <c r="L443">
        <v>185</v>
      </c>
      <c r="M443">
        <v>265</v>
      </c>
      <c r="N443" t="s">
        <v>21</v>
      </c>
      <c r="O443" s="3">
        <v>44916</v>
      </c>
      <c r="P443">
        <v>-1</v>
      </c>
      <c r="T443" t="s">
        <v>53</v>
      </c>
      <c r="U443">
        <v>104</v>
      </c>
      <c r="V443">
        <v>17.425000000000001</v>
      </c>
    </row>
    <row r="444" spans="1:22" x14ac:dyDescent="0.35">
      <c r="A444" s="3">
        <v>44651</v>
      </c>
      <c r="B444" t="s">
        <v>22</v>
      </c>
      <c r="C444">
        <v>0</v>
      </c>
      <c r="D444">
        <v>0</v>
      </c>
      <c r="E444">
        <v>0</v>
      </c>
      <c r="F444">
        <v>0</v>
      </c>
      <c r="G444">
        <v>26.105499999999999</v>
      </c>
      <c r="H444">
        <v>0</v>
      </c>
      <c r="I444">
        <v>0</v>
      </c>
      <c r="J444">
        <v>0</v>
      </c>
      <c r="K444">
        <v>0</v>
      </c>
      <c r="L444">
        <v>77</v>
      </c>
      <c r="M444">
        <v>111</v>
      </c>
      <c r="N444" t="s">
        <v>22</v>
      </c>
      <c r="O444" s="3">
        <v>44762</v>
      </c>
      <c r="P444">
        <v>-1</v>
      </c>
      <c r="T444" t="s">
        <v>52</v>
      </c>
      <c r="U444">
        <v>123</v>
      </c>
      <c r="V444">
        <v>17.7</v>
      </c>
    </row>
    <row r="445" spans="1:22" x14ac:dyDescent="0.35">
      <c r="A445" s="3">
        <v>44651</v>
      </c>
      <c r="B445" t="s">
        <v>29</v>
      </c>
      <c r="C445">
        <v>0</v>
      </c>
      <c r="D445">
        <v>0</v>
      </c>
      <c r="E445">
        <v>0</v>
      </c>
      <c r="F445">
        <v>0</v>
      </c>
      <c r="G445">
        <v>24.9877</v>
      </c>
      <c r="H445">
        <v>0</v>
      </c>
      <c r="I445">
        <v>0</v>
      </c>
      <c r="J445">
        <v>0</v>
      </c>
      <c r="K445">
        <v>0</v>
      </c>
      <c r="L445">
        <v>34</v>
      </c>
      <c r="M445">
        <v>48</v>
      </c>
      <c r="N445" t="s">
        <v>29</v>
      </c>
      <c r="O445" s="3">
        <v>44699</v>
      </c>
      <c r="P445">
        <v>-1</v>
      </c>
      <c r="T445" t="s">
        <v>51</v>
      </c>
      <c r="U445">
        <v>148</v>
      </c>
      <c r="V445">
        <v>17.975000000000001</v>
      </c>
    </row>
    <row r="446" spans="1:22" x14ac:dyDescent="0.35">
      <c r="A446" s="3">
        <v>44651</v>
      </c>
      <c r="B446" t="s">
        <v>25</v>
      </c>
      <c r="C446">
        <v>0</v>
      </c>
      <c r="D446">
        <v>0</v>
      </c>
      <c r="E446">
        <v>0</v>
      </c>
      <c r="F446">
        <v>0</v>
      </c>
      <c r="G446">
        <v>26.861499999999999</v>
      </c>
      <c r="H446">
        <v>0</v>
      </c>
      <c r="I446">
        <v>0</v>
      </c>
      <c r="J446">
        <v>0</v>
      </c>
      <c r="K446">
        <v>0</v>
      </c>
      <c r="L446">
        <v>141</v>
      </c>
      <c r="M446">
        <v>202</v>
      </c>
      <c r="N446" t="s">
        <v>25</v>
      </c>
      <c r="O446" s="3">
        <v>44853</v>
      </c>
      <c r="P446">
        <v>-1</v>
      </c>
      <c r="T446" t="s">
        <v>50</v>
      </c>
      <c r="U446">
        <v>168</v>
      </c>
      <c r="V446">
        <v>18.149999999999999</v>
      </c>
    </row>
    <row r="447" spans="1:22" x14ac:dyDescent="0.35">
      <c r="A447" s="3">
        <v>44651</v>
      </c>
      <c r="B447" t="s">
        <v>20</v>
      </c>
      <c r="C447">
        <v>0</v>
      </c>
      <c r="D447">
        <v>0</v>
      </c>
      <c r="E447">
        <v>0</v>
      </c>
      <c r="F447">
        <v>0</v>
      </c>
      <c r="G447">
        <v>26.3</v>
      </c>
      <c r="H447">
        <v>0</v>
      </c>
      <c r="I447">
        <v>0</v>
      </c>
      <c r="J447">
        <v>0</v>
      </c>
      <c r="K447">
        <v>0</v>
      </c>
      <c r="L447">
        <v>161</v>
      </c>
      <c r="M447">
        <v>230</v>
      </c>
      <c r="N447" t="s">
        <v>20</v>
      </c>
      <c r="O447" s="3">
        <v>44881</v>
      </c>
      <c r="P447">
        <v>-1</v>
      </c>
      <c r="T447" t="s">
        <v>49</v>
      </c>
      <c r="U447">
        <v>187</v>
      </c>
      <c r="V447">
        <v>18.425000000000001</v>
      </c>
    </row>
    <row r="448" spans="1:22" x14ac:dyDescent="0.35">
      <c r="A448" s="3">
        <v>44650</v>
      </c>
      <c r="B448" t="s">
        <v>21</v>
      </c>
      <c r="C448">
        <v>0</v>
      </c>
      <c r="D448">
        <v>0</v>
      </c>
      <c r="E448">
        <v>0</v>
      </c>
      <c r="F448">
        <v>0</v>
      </c>
      <c r="G448">
        <v>25.425000000000001</v>
      </c>
      <c r="H448">
        <v>0</v>
      </c>
      <c r="I448">
        <v>0</v>
      </c>
      <c r="J448">
        <v>0</v>
      </c>
      <c r="K448">
        <v>0</v>
      </c>
      <c r="L448">
        <v>186</v>
      </c>
      <c r="M448">
        <v>266</v>
      </c>
      <c r="N448" t="s">
        <v>21</v>
      </c>
      <c r="O448" s="3">
        <v>44916</v>
      </c>
      <c r="P448">
        <v>-1</v>
      </c>
      <c r="T448" t="s">
        <v>48</v>
      </c>
      <c r="U448">
        <v>212</v>
      </c>
      <c r="V448">
        <v>19.55</v>
      </c>
    </row>
    <row r="449" spans="1:22" x14ac:dyDescent="0.35">
      <c r="A449" s="3">
        <v>44650</v>
      </c>
      <c r="B449" t="s">
        <v>22</v>
      </c>
      <c r="C449">
        <v>0</v>
      </c>
      <c r="D449">
        <v>0</v>
      </c>
      <c r="E449">
        <v>0</v>
      </c>
      <c r="F449">
        <v>0</v>
      </c>
      <c r="G449">
        <v>25.6294</v>
      </c>
      <c r="H449">
        <v>0</v>
      </c>
      <c r="I449">
        <v>0</v>
      </c>
      <c r="J449">
        <v>0</v>
      </c>
      <c r="K449">
        <v>0</v>
      </c>
      <c r="L449">
        <v>78</v>
      </c>
      <c r="M449">
        <v>112</v>
      </c>
      <c r="N449" t="s">
        <v>22</v>
      </c>
      <c r="O449" s="3">
        <v>44762</v>
      </c>
      <c r="P449">
        <v>-1</v>
      </c>
      <c r="T449" t="s">
        <v>47</v>
      </c>
      <c r="U449">
        <v>232</v>
      </c>
      <c r="V449">
        <v>18.75</v>
      </c>
    </row>
    <row r="450" spans="1:22" x14ac:dyDescent="0.35">
      <c r="A450" s="3">
        <v>44650</v>
      </c>
      <c r="B450" t="s">
        <v>29</v>
      </c>
      <c r="C450">
        <v>0</v>
      </c>
      <c r="D450">
        <v>0</v>
      </c>
      <c r="E450">
        <v>0</v>
      </c>
      <c r="F450">
        <v>0</v>
      </c>
      <c r="G450">
        <v>24.073499999999999</v>
      </c>
      <c r="H450">
        <v>0</v>
      </c>
      <c r="I450">
        <v>0</v>
      </c>
      <c r="J450">
        <v>0</v>
      </c>
      <c r="K450">
        <v>0</v>
      </c>
      <c r="L450">
        <v>35</v>
      </c>
      <c r="M450">
        <v>49</v>
      </c>
      <c r="N450" t="s">
        <v>29</v>
      </c>
      <c r="O450" s="3">
        <v>44699</v>
      </c>
      <c r="P450">
        <v>-1</v>
      </c>
      <c r="S450" s="3">
        <v>43822</v>
      </c>
      <c r="T450" t="s">
        <v>55</v>
      </c>
      <c r="U450">
        <v>58</v>
      </c>
      <c r="V450">
        <v>16.774999999999999</v>
      </c>
    </row>
    <row r="451" spans="1:22" x14ac:dyDescent="0.35">
      <c r="A451" s="3">
        <v>44650</v>
      </c>
      <c r="B451" t="s">
        <v>25</v>
      </c>
      <c r="C451">
        <v>0</v>
      </c>
      <c r="D451">
        <v>0</v>
      </c>
      <c r="E451">
        <v>0</v>
      </c>
      <c r="F451">
        <v>0</v>
      </c>
      <c r="G451">
        <v>26.5</v>
      </c>
      <c r="H451">
        <v>0</v>
      </c>
      <c r="I451">
        <v>0</v>
      </c>
      <c r="J451">
        <v>0</v>
      </c>
      <c r="K451">
        <v>0</v>
      </c>
      <c r="L451">
        <v>142</v>
      </c>
      <c r="M451">
        <v>203</v>
      </c>
      <c r="N451" t="s">
        <v>25</v>
      </c>
      <c r="O451" s="3">
        <v>44853</v>
      </c>
      <c r="P451">
        <v>-1</v>
      </c>
      <c r="T451" t="s">
        <v>54</v>
      </c>
      <c r="U451">
        <v>78</v>
      </c>
      <c r="V451">
        <v>17.274999999999999</v>
      </c>
    </row>
    <row r="452" spans="1:22" x14ac:dyDescent="0.35">
      <c r="A452" s="3">
        <v>44650</v>
      </c>
      <c r="B452" t="s">
        <v>20</v>
      </c>
      <c r="C452">
        <v>0</v>
      </c>
      <c r="D452">
        <v>0</v>
      </c>
      <c r="E452">
        <v>0</v>
      </c>
      <c r="F452">
        <v>0</v>
      </c>
      <c r="G452">
        <v>25.95</v>
      </c>
      <c r="H452">
        <v>0</v>
      </c>
      <c r="I452">
        <v>0</v>
      </c>
      <c r="J452">
        <v>0</v>
      </c>
      <c r="K452">
        <v>0</v>
      </c>
      <c r="L452">
        <v>162</v>
      </c>
      <c r="M452">
        <v>231</v>
      </c>
      <c r="N452" t="s">
        <v>20</v>
      </c>
      <c r="O452" s="3">
        <v>44881</v>
      </c>
      <c r="P452">
        <v>-1</v>
      </c>
      <c r="T452" t="s">
        <v>53</v>
      </c>
      <c r="U452">
        <v>103</v>
      </c>
      <c r="V452">
        <v>17.425000000000001</v>
      </c>
    </row>
    <row r="453" spans="1:22" x14ac:dyDescent="0.35">
      <c r="A453" s="3">
        <v>44650</v>
      </c>
      <c r="B453" t="s">
        <v>30</v>
      </c>
      <c r="C453">
        <v>0</v>
      </c>
      <c r="D453">
        <v>0</v>
      </c>
      <c r="E453">
        <v>0</v>
      </c>
      <c r="F453">
        <v>0</v>
      </c>
      <c r="G453">
        <v>22.07</v>
      </c>
      <c r="H453">
        <v>0</v>
      </c>
      <c r="I453">
        <v>0</v>
      </c>
      <c r="J453">
        <v>0</v>
      </c>
      <c r="K453">
        <v>0</v>
      </c>
      <c r="L453">
        <v>15</v>
      </c>
      <c r="M453">
        <v>21</v>
      </c>
      <c r="N453" t="s">
        <v>30</v>
      </c>
      <c r="O453" s="3">
        <v>44671</v>
      </c>
      <c r="P453">
        <v>-1</v>
      </c>
      <c r="T453" t="s">
        <v>52</v>
      </c>
      <c r="U453">
        <v>122</v>
      </c>
      <c r="V453">
        <v>17.725000000000001</v>
      </c>
    </row>
    <row r="454" spans="1:22" x14ac:dyDescent="0.35">
      <c r="A454" s="3">
        <v>44650</v>
      </c>
      <c r="B454" t="s">
        <v>26</v>
      </c>
      <c r="C454">
        <v>0</v>
      </c>
      <c r="D454">
        <v>0</v>
      </c>
      <c r="E454">
        <v>0</v>
      </c>
      <c r="F454">
        <v>0</v>
      </c>
      <c r="G454">
        <v>25.831099999999999</v>
      </c>
      <c r="H454">
        <v>0</v>
      </c>
      <c r="I454">
        <v>0</v>
      </c>
      <c r="J454">
        <v>0</v>
      </c>
      <c r="K454">
        <v>0</v>
      </c>
      <c r="L454">
        <v>98</v>
      </c>
      <c r="M454">
        <v>140</v>
      </c>
      <c r="N454" t="s">
        <v>26</v>
      </c>
      <c r="O454" s="3">
        <v>44790</v>
      </c>
      <c r="P454">
        <v>-1</v>
      </c>
      <c r="T454" t="s">
        <v>51</v>
      </c>
      <c r="U454">
        <v>147</v>
      </c>
      <c r="V454">
        <v>18.024999999999999</v>
      </c>
    </row>
    <row r="455" spans="1:22" x14ac:dyDescent="0.35">
      <c r="A455" s="3">
        <v>44650</v>
      </c>
      <c r="B455" t="s">
        <v>27</v>
      </c>
      <c r="C455">
        <v>0</v>
      </c>
      <c r="D455">
        <v>0</v>
      </c>
      <c r="E455">
        <v>0</v>
      </c>
      <c r="F455">
        <v>0</v>
      </c>
      <c r="G455">
        <v>26.228300000000001</v>
      </c>
      <c r="H455">
        <v>0</v>
      </c>
      <c r="I455">
        <v>0</v>
      </c>
      <c r="J455">
        <v>0</v>
      </c>
      <c r="K455">
        <v>0</v>
      </c>
      <c r="L455">
        <v>122</v>
      </c>
      <c r="M455">
        <v>175</v>
      </c>
      <c r="N455" t="s">
        <v>27</v>
      </c>
      <c r="O455" s="3">
        <v>44825</v>
      </c>
      <c r="P455">
        <v>-1</v>
      </c>
      <c r="T455" t="s">
        <v>50</v>
      </c>
      <c r="U455">
        <v>167</v>
      </c>
      <c r="V455">
        <v>18.125</v>
      </c>
    </row>
    <row r="456" spans="1:22" x14ac:dyDescent="0.35">
      <c r="A456" s="3">
        <v>44650</v>
      </c>
      <c r="B456" t="s">
        <v>28</v>
      </c>
      <c r="C456">
        <v>0</v>
      </c>
      <c r="D456">
        <v>0</v>
      </c>
      <c r="E456">
        <v>0</v>
      </c>
      <c r="F456">
        <v>0</v>
      </c>
      <c r="G456">
        <v>24.8721</v>
      </c>
      <c r="H456">
        <v>0</v>
      </c>
      <c r="I456">
        <v>0</v>
      </c>
      <c r="J456">
        <v>0</v>
      </c>
      <c r="K456">
        <v>0</v>
      </c>
      <c r="L456">
        <v>54</v>
      </c>
      <c r="M456">
        <v>77</v>
      </c>
      <c r="N456" t="s">
        <v>28</v>
      </c>
      <c r="O456" s="3">
        <v>44727</v>
      </c>
      <c r="P456">
        <v>-1</v>
      </c>
      <c r="T456" t="s">
        <v>49</v>
      </c>
      <c r="U456">
        <v>186</v>
      </c>
      <c r="V456">
        <v>18.45</v>
      </c>
    </row>
    <row r="457" spans="1:22" x14ac:dyDescent="0.35">
      <c r="A457" s="3">
        <v>44649</v>
      </c>
      <c r="B457" t="s">
        <v>30</v>
      </c>
      <c r="C457">
        <v>0</v>
      </c>
      <c r="D457">
        <v>0</v>
      </c>
      <c r="E457">
        <v>0</v>
      </c>
      <c r="F457">
        <v>0</v>
      </c>
      <c r="G457">
        <v>21.7532</v>
      </c>
      <c r="H457">
        <v>0</v>
      </c>
      <c r="I457">
        <v>0</v>
      </c>
      <c r="J457">
        <v>0</v>
      </c>
      <c r="K457">
        <v>0</v>
      </c>
      <c r="L457">
        <v>16</v>
      </c>
      <c r="M457">
        <v>22</v>
      </c>
      <c r="N457" t="s">
        <v>30</v>
      </c>
      <c r="O457" s="3">
        <v>44671</v>
      </c>
      <c r="P457">
        <v>-1</v>
      </c>
      <c r="T457" t="s">
        <v>48</v>
      </c>
      <c r="U457">
        <v>211</v>
      </c>
      <c r="V457">
        <v>19.574999999999999</v>
      </c>
    </row>
    <row r="458" spans="1:22" x14ac:dyDescent="0.35">
      <c r="A458" s="3">
        <v>44649</v>
      </c>
      <c r="B458" t="s">
        <v>26</v>
      </c>
      <c r="C458">
        <v>0</v>
      </c>
      <c r="D458">
        <v>0</v>
      </c>
      <c r="E458">
        <v>0</v>
      </c>
      <c r="F458">
        <v>0</v>
      </c>
      <c r="G458">
        <v>25.599499999999999</v>
      </c>
      <c r="H458">
        <v>0</v>
      </c>
      <c r="I458">
        <v>0</v>
      </c>
      <c r="J458">
        <v>0</v>
      </c>
      <c r="K458">
        <v>0</v>
      </c>
      <c r="L458">
        <v>99</v>
      </c>
      <c r="M458">
        <v>141</v>
      </c>
      <c r="N458" t="s">
        <v>26</v>
      </c>
      <c r="O458" s="3">
        <v>44790</v>
      </c>
      <c r="P458">
        <v>-1</v>
      </c>
      <c r="T458" t="s">
        <v>47</v>
      </c>
      <c r="U458">
        <v>231</v>
      </c>
      <c r="V458">
        <v>18.75</v>
      </c>
    </row>
    <row r="459" spans="1:22" x14ac:dyDescent="0.35">
      <c r="A459" s="3">
        <v>44649</v>
      </c>
      <c r="B459" t="s">
        <v>27</v>
      </c>
      <c r="C459">
        <v>0</v>
      </c>
      <c r="D459">
        <v>0</v>
      </c>
      <c r="E459">
        <v>0</v>
      </c>
      <c r="F459">
        <v>0</v>
      </c>
      <c r="G459">
        <v>26.017299999999999</v>
      </c>
      <c r="H459">
        <v>0</v>
      </c>
      <c r="I459">
        <v>0</v>
      </c>
      <c r="J459">
        <v>0</v>
      </c>
      <c r="K459">
        <v>0</v>
      </c>
      <c r="L459">
        <v>123</v>
      </c>
      <c r="M459">
        <v>176</v>
      </c>
      <c r="N459" t="s">
        <v>27</v>
      </c>
      <c r="O459" s="3">
        <v>44825</v>
      </c>
      <c r="P459">
        <v>-1</v>
      </c>
      <c r="S459" s="3">
        <v>43823</v>
      </c>
      <c r="T459" t="s">
        <v>55</v>
      </c>
      <c r="U459">
        <v>57</v>
      </c>
      <c r="V459">
        <v>16.725000000000001</v>
      </c>
    </row>
    <row r="460" spans="1:22" x14ac:dyDescent="0.35">
      <c r="A460" s="3">
        <v>44649</v>
      </c>
      <c r="B460" t="s">
        <v>28</v>
      </c>
      <c r="C460">
        <v>0</v>
      </c>
      <c r="D460">
        <v>0</v>
      </c>
      <c r="E460">
        <v>0</v>
      </c>
      <c r="F460">
        <v>0</v>
      </c>
      <c r="G460">
        <v>24.601800000000001</v>
      </c>
      <c r="H460">
        <v>0</v>
      </c>
      <c r="I460">
        <v>0</v>
      </c>
      <c r="J460">
        <v>0</v>
      </c>
      <c r="K460">
        <v>0</v>
      </c>
      <c r="L460">
        <v>55</v>
      </c>
      <c r="M460">
        <v>78</v>
      </c>
      <c r="N460" t="s">
        <v>28</v>
      </c>
      <c r="O460" s="3">
        <v>44727</v>
      </c>
      <c r="P460">
        <v>-1</v>
      </c>
      <c r="T460" t="s">
        <v>54</v>
      </c>
      <c r="U460">
        <v>77</v>
      </c>
      <c r="V460">
        <v>17.225000000000001</v>
      </c>
    </row>
    <row r="461" spans="1:22" x14ac:dyDescent="0.35">
      <c r="A461" s="3">
        <v>44649</v>
      </c>
      <c r="B461" t="s">
        <v>21</v>
      </c>
      <c r="C461">
        <v>0</v>
      </c>
      <c r="D461">
        <v>0</v>
      </c>
      <c r="E461">
        <v>0</v>
      </c>
      <c r="F461">
        <v>0</v>
      </c>
      <c r="G461">
        <v>25.25</v>
      </c>
      <c r="H461">
        <v>0</v>
      </c>
      <c r="I461">
        <v>0</v>
      </c>
      <c r="J461">
        <v>0</v>
      </c>
      <c r="K461">
        <v>0</v>
      </c>
      <c r="L461">
        <v>187</v>
      </c>
      <c r="M461">
        <v>267</v>
      </c>
      <c r="N461" t="s">
        <v>21</v>
      </c>
      <c r="O461" s="3">
        <v>44916</v>
      </c>
      <c r="P461">
        <v>-1</v>
      </c>
      <c r="T461" t="s">
        <v>53</v>
      </c>
      <c r="U461">
        <v>102</v>
      </c>
      <c r="V461">
        <v>17.375</v>
      </c>
    </row>
    <row r="462" spans="1:22" x14ac:dyDescent="0.35">
      <c r="A462" s="3">
        <v>44649</v>
      </c>
      <c r="B462" t="s">
        <v>22</v>
      </c>
      <c r="C462">
        <v>0</v>
      </c>
      <c r="D462">
        <v>0</v>
      </c>
      <c r="E462">
        <v>0</v>
      </c>
      <c r="F462">
        <v>0</v>
      </c>
      <c r="G462">
        <v>25.3995</v>
      </c>
      <c r="H462">
        <v>0</v>
      </c>
      <c r="I462">
        <v>0</v>
      </c>
      <c r="J462">
        <v>0</v>
      </c>
      <c r="K462">
        <v>0</v>
      </c>
      <c r="L462">
        <v>79</v>
      </c>
      <c r="M462">
        <v>113</v>
      </c>
      <c r="N462" t="s">
        <v>22</v>
      </c>
      <c r="O462" s="3">
        <v>44762</v>
      </c>
      <c r="P462">
        <v>-1</v>
      </c>
      <c r="T462" t="s">
        <v>52</v>
      </c>
      <c r="U462">
        <v>121</v>
      </c>
      <c r="V462">
        <v>17.725000000000001</v>
      </c>
    </row>
    <row r="463" spans="1:22" x14ac:dyDescent="0.35">
      <c r="A463" s="3">
        <v>44649</v>
      </c>
      <c r="B463" t="s">
        <v>29</v>
      </c>
      <c r="C463">
        <v>0</v>
      </c>
      <c r="D463">
        <v>0</v>
      </c>
      <c r="E463">
        <v>0</v>
      </c>
      <c r="F463">
        <v>0</v>
      </c>
      <c r="G463">
        <v>23.714500000000001</v>
      </c>
      <c r="H463">
        <v>0</v>
      </c>
      <c r="I463">
        <v>0</v>
      </c>
      <c r="J463">
        <v>0</v>
      </c>
      <c r="K463">
        <v>0</v>
      </c>
      <c r="L463">
        <v>36</v>
      </c>
      <c r="M463">
        <v>50</v>
      </c>
      <c r="N463" t="s">
        <v>29</v>
      </c>
      <c r="O463" s="3">
        <v>44699</v>
      </c>
      <c r="P463">
        <v>-1</v>
      </c>
      <c r="T463" t="s">
        <v>51</v>
      </c>
      <c r="U463">
        <v>146</v>
      </c>
      <c r="V463">
        <v>18.024999999999999</v>
      </c>
    </row>
    <row r="464" spans="1:22" x14ac:dyDescent="0.35">
      <c r="A464" s="3">
        <v>44649</v>
      </c>
      <c r="B464" t="s">
        <v>25</v>
      </c>
      <c r="C464">
        <v>0</v>
      </c>
      <c r="D464">
        <v>0</v>
      </c>
      <c r="E464">
        <v>0</v>
      </c>
      <c r="F464">
        <v>0</v>
      </c>
      <c r="G464">
        <v>26.370799999999999</v>
      </c>
      <c r="H464">
        <v>0</v>
      </c>
      <c r="I464">
        <v>0</v>
      </c>
      <c r="J464">
        <v>0</v>
      </c>
      <c r="K464">
        <v>0</v>
      </c>
      <c r="L464">
        <v>143</v>
      </c>
      <c r="M464">
        <v>204</v>
      </c>
      <c r="N464" t="s">
        <v>25</v>
      </c>
      <c r="O464" s="3">
        <v>44853</v>
      </c>
      <c r="P464">
        <v>-1</v>
      </c>
      <c r="T464" t="s">
        <v>50</v>
      </c>
      <c r="U464">
        <v>166</v>
      </c>
      <c r="V464">
        <v>18.149999999999999</v>
      </c>
    </row>
    <row r="465" spans="1:22" x14ac:dyDescent="0.35">
      <c r="A465" s="3">
        <v>44649</v>
      </c>
      <c r="B465" t="s">
        <v>20</v>
      </c>
      <c r="C465">
        <v>0</v>
      </c>
      <c r="D465">
        <v>0</v>
      </c>
      <c r="E465">
        <v>0</v>
      </c>
      <c r="F465">
        <v>0</v>
      </c>
      <c r="G465">
        <v>25.824999999999999</v>
      </c>
      <c r="H465">
        <v>0</v>
      </c>
      <c r="I465">
        <v>0</v>
      </c>
      <c r="J465">
        <v>0</v>
      </c>
      <c r="K465">
        <v>0</v>
      </c>
      <c r="L465">
        <v>163</v>
      </c>
      <c r="M465">
        <v>232</v>
      </c>
      <c r="N465" t="s">
        <v>20</v>
      </c>
      <c r="O465" s="3">
        <v>44881</v>
      </c>
      <c r="P465">
        <v>-1</v>
      </c>
      <c r="T465" t="s">
        <v>49</v>
      </c>
      <c r="U465">
        <v>185</v>
      </c>
      <c r="V465">
        <v>18.475000000000001</v>
      </c>
    </row>
    <row r="466" spans="1:22" x14ac:dyDescent="0.35">
      <c r="A466" s="3">
        <v>44648</v>
      </c>
      <c r="B466" t="s">
        <v>21</v>
      </c>
      <c r="C466">
        <v>0</v>
      </c>
      <c r="D466">
        <v>0</v>
      </c>
      <c r="E466">
        <v>0</v>
      </c>
      <c r="F466">
        <v>0</v>
      </c>
      <c r="G466">
        <v>25.5</v>
      </c>
      <c r="H466">
        <v>0</v>
      </c>
      <c r="I466">
        <v>0</v>
      </c>
      <c r="J466">
        <v>0</v>
      </c>
      <c r="K466">
        <v>0</v>
      </c>
      <c r="L466">
        <v>188</v>
      </c>
      <c r="M466">
        <v>268</v>
      </c>
      <c r="N466" t="s">
        <v>21</v>
      </c>
      <c r="O466" s="3">
        <v>44916</v>
      </c>
      <c r="P466">
        <v>-1</v>
      </c>
      <c r="T466" t="s">
        <v>48</v>
      </c>
      <c r="U466">
        <v>210</v>
      </c>
      <c r="V466">
        <v>19.600000000000001</v>
      </c>
    </row>
    <row r="467" spans="1:22" x14ac:dyDescent="0.35">
      <c r="A467" s="3">
        <v>44648</v>
      </c>
      <c r="B467" t="s">
        <v>22</v>
      </c>
      <c r="C467">
        <v>0</v>
      </c>
      <c r="D467">
        <v>0</v>
      </c>
      <c r="E467">
        <v>0</v>
      </c>
      <c r="F467">
        <v>0</v>
      </c>
      <c r="G467">
        <v>25.863700000000001</v>
      </c>
      <c r="H467">
        <v>0</v>
      </c>
      <c r="I467">
        <v>0</v>
      </c>
      <c r="J467">
        <v>0</v>
      </c>
      <c r="K467">
        <v>0</v>
      </c>
      <c r="L467">
        <v>80</v>
      </c>
      <c r="M467">
        <v>114</v>
      </c>
      <c r="N467" t="s">
        <v>22</v>
      </c>
      <c r="O467" s="3">
        <v>44762</v>
      </c>
      <c r="P467">
        <v>-1</v>
      </c>
      <c r="T467" t="s">
        <v>47</v>
      </c>
      <c r="U467">
        <v>230</v>
      </c>
      <c r="V467">
        <v>18.725000000000001</v>
      </c>
    </row>
    <row r="468" spans="1:22" x14ac:dyDescent="0.35">
      <c r="A468" s="3">
        <v>44648</v>
      </c>
      <c r="B468" t="s">
        <v>29</v>
      </c>
      <c r="C468">
        <v>0</v>
      </c>
      <c r="D468">
        <v>0</v>
      </c>
      <c r="E468">
        <v>0</v>
      </c>
      <c r="F468">
        <v>0</v>
      </c>
      <c r="G468">
        <v>24.611499999999999</v>
      </c>
      <c r="H468">
        <v>0</v>
      </c>
      <c r="I468">
        <v>0</v>
      </c>
      <c r="J468">
        <v>0</v>
      </c>
      <c r="K468">
        <v>0</v>
      </c>
      <c r="L468">
        <v>37</v>
      </c>
      <c r="M468">
        <v>51</v>
      </c>
      <c r="N468" t="s">
        <v>29</v>
      </c>
      <c r="O468" s="3">
        <v>44699</v>
      </c>
      <c r="P468">
        <v>-1</v>
      </c>
      <c r="S468" s="3">
        <v>43825</v>
      </c>
      <c r="T468" t="s">
        <v>55</v>
      </c>
      <c r="U468">
        <v>56</v>
      </c>
      <c r="V468">
        <v>16.774999999999999</v>
      </c>
    </row>
    <row r="469" spans="1:22" x14ac:dyDescent="0.35">
      <c r="A469" s="3">
        <v>44648</v>
      </c>
      <c r="B469" t="s">
        <v>25</v>
      </c>
      <c r="C469">
        <v>0</v>
      </c>
      <c r="D469">
        <v>0</v>
      </c>
      <c r="E469">
        <v>0</v>
      </c>
      <c r="F469">
        <v>0</v>
      </c>
      <c r="G469">
        <v>26.5672</v>
      </c>
      <c r="H469">
        <v>0</v>
      </c>
      <c r="I469">
        <v>0</v>
      </c>
      <c r="J469">
        <v>0</v>
      </c>
      <c r="K469">
        <v>0</v>
      </c>
      <c r="L469">
        <v>144</v>
      </c>
      <c r="M469">
        <v>205</v>
      </c>
      <c r="N469" t="s">
        <v>25</v>
      </c>
      <c r="O469" s="3">
        <v>44853</v>
      </c>
      <c r="P469">
        <v>-1</v>
      </c>
      <c r="T469" t="s">
        <v>54</v>
      </c>
      <c r="U469">
        <v>76</v>
      </c>
      <c r="V469">
        <v>17.225000000000001</v>
      </c>
    </row>
    <row r="470" spans="1:22" x14ac:dyDescent="0.35">
      <c r="A470" s="3">
        <v>44648</v>
      </c>
      <c r="B470" t="s">
        <v>20</v>
      </c>
      <c r="C470">
        <v>0</v>
      </c>
      <c r="D470">
        <v>0</v>
      </c>
      <c r="E470">
        <v>0</v>
      </c>
      <c r="F470">
        <v>0</v>
      </c>
      <c r="G470">
        <v>26.05</v>
      </c>
      <c r="H470">
        <v>0</v>
      </c>
      <c r="I470">
        <v>0</v>
      </c>
      <c r="J470">
        <v>0</v>
      </c>
      <c r="K470">
        <v>0</v>
      </c>
      <c r="L470">
        <v>164</v>
      </c>
      <c r="M470">
        <v>233</v>
      </c>
      <c r="N470" t="s">
        <v>20</v>
      </c>
      <c r="O470" s="3">
        <v>44881</v>
      </c>
      <c r="P470">
        <v>-1</v>
      </c>
      <c r="T470" t="s">
        <v>53</v>
      </c>
      <c r="U470">
        <v>101</v>
      </c>
      <c r="V470">
        <v>17.375</v>
      </c>
    </row>
    <row r="471" spans="1:22" x14ac:dyDescent="0.35">
      <c r="A471" s="3">
        <v>44648</v>
      </c>
      <c r="B471" t="s">
        <v>30</v>
      </c>
      <c r="C471">
        <v>0</v>
      </c>
      <c r="D471">
        <v>0</v>
      </c>
      <c r="E471">
        <v>0</v>
      </c>
      <c r="F471">
        <v>0</v>
      </c>
      <c r="G471">
        <v>22.994599999999998</v>
      </c>
      <c r="H471">
        <v>0</v>
      </c>
      <c r="I471">
        <v>0</v>
      </c>
      <c r="J471">
        <v>0</v>
      </c>
      <c r="K471">
        <v>0</v>
      </c>
      <c r="L471">
        <v>17</v>
      </c>
      <c r="M471">
        <v>23</v>
      </c>
      <c r="N471" t="s">
        <v>30</v>
      </c>
      <c r="O471" s="3">
        <v>44671</v>
      </c>
      <c r="P471">
        <v>-1</v>
      </c>
      <c r="T471" t="s">
        <v>52</v>
      </c>
      <c r="U471">
        <v>120</v>
      </c>
      <c r="V471">
        <v>17.675000000000001</v>
      </c>
    </row>
    <row r="472" spans="1:22" x14ac:dyDescent="0.35">
      <c r="A472" s="3">
        <v>44648</v>
      </c>
      <c r="B472" t="s">
        <v>26</v>
      </c>
      <c r="C472">
        <v>0</v>
      </c>
      <c r="D472">
        <v>0</v>
      </c>
      <c r="E472">
        <v>0</v>
      </c>
      <c r="F472">
        <v>0</v>
      </c>
      <c r="G472">
        <v>25.988800000000001</v>
      </c>
      <c r="H472">
        <v>0</v>
      </c>
      <c r="I472">
        <v>0</v>
      </c>
      <c r="J472">
        <v>0</v>
      </c>
      <c r="K472">
        <v>0</v>
      </c>
      <c r="L472">
        <v>100</v>
      </c>
      <c r="M472">
        <v>142</v>
      </c>
      <c r="N472" t="s">
        <v>26</v>
      </c>
      <c r="O472" s="3">
        <v>44790</v>
      </c>
      <c r="P472">
        <v>-1</v>
      </c>
      <c r="T472" t="s">
        <v>51</v>
      </c>
      <c r="U472">
        <v>145</v>
      </c>
      <c r="V472">
        <v>17.975000000000001</v>
      </c>
    </row>
    <row r="473" spans="1:22" x14ac:dyDescent="0.35">
      <c r="A473" s="3">
        <v>44648</v>
      </c>
      <c r="B473" t="s">
        <v>27</v>
      </c>
      <c r="C473">
        <v>0</v>
      </c>
      <c r="D473">
        <v>0</v>
      </c>
      <c r="E473">
        <v>0</v>
      </c>
      <c r="F473">
        <v>0</v>
      </c>
      <c r="G473">
        <v>26.351299999999998</v>
      </c>
      <c r="H473">
        <v>0</v>
      </c>
      <c r="I473">
        <v>0</v>
      </c>
      <c r="J473">
        <v>0</v>
      </c>
      <c r="K473">
        <v>0</v>
      </c>
      <c r="L473">
        <v>124</v>
      </c>
      <c r="M473">
        <v>177</v>
      </c>
      <c r="N473" t="s">
        <v>27</v>
      </c>
      <c r="O473" s="3">
        <v>44825</v>
      </c>
      <c r="P473">
        <v>-1</v>
      </c>
      <c r="T473" t="s">
        <v>50</v>
      </c>
      <c r="U473">
        <v>165</v>
      </c>
      <c r="V473">
        <v>18.05</v>
      </c>
    </row>
    <row r="474" spans="1:22" x14ac:dyDescent="0.35">
      <c r="A474" s="3">
        <v>44648</v>
      </c>
      <c r="B474" t="s">
        <v>28</v>
      </c>
      <c r="C474">
        <v>0</v>
      </c>
      <c r="D474">
        <v>0</v>
      </c>
      <c r="E474">
        <v>0</v>
      </c>
      <c r="F474">
        <v>0</v>
      </c>
      <c r="G474">
        <v>25.261299999999999</v>
      </c>
      <c r="H474">
        <v>0</v>
      </c>
      <c r="I474">
        <v>0</v>
      </c>
      <c r="J474">
        <v>0</v>
      </c>
      <c r="K474">
        <v>0</v>
      </c>
      <c r="L474">
        <v>56</v>
      </c>
      <c r="M474">
        <v>79</v>
      </c>
      <c r="N474" t="s">
        <v>28</v>
      </c>
      <c r="O474" s="3">
        <v>44727</v>
      </c>
      <c r="P474">
        <v>-1</v>
      </c>
      <c r="T474" t="s">
        <v>49</v>
      </c>
      <c r="U474">
        <v>184</v>
      </c>
      <c r="V474">
        <v>18.399999999999999</v>
      </c>
    </row>
    <row r="475" spans="1:22" x14ac:dyDescent="0.35">
      <c r="A475" s="3">
        <v>44645</v>
      </c>
      <c r="B475" t="s">
        <v>30</v>
      </c>
      <c r="C475">
        <v>0</v>
      </c>
      <c r="D475">
        <v>0</v>
      </c>
      <c r="E475">
        <v>0</v>
      </c>
      <c r="F475">
        <v>0</v>
      </c>
      <c r="G475">
        <v>23.455200000000001</v>
      </c>
      <c r="H475">
        <v>0</v>
      </c>
      <c r="I475">
        <v>0</v>
      </c>
      <c r="J475">
        <v>0</v>
      </c>
      <c r="K475">
        <v>0</v>
      </c>
      <c r="L475">
        <v>18</v>
      </c>
      <c r="M475">
        <v>26</v>
      </c>
      <c r="N475" t="s">
        <v>30</v>
      </c>
      <c r="O475" s="3">
        <v>44671</v>
      </c>
      <c r="P475">
        <v>-1</v>
      </c>
      <c r="T475" t="s">
        <v>48</v>
      </c>
      <c r="U475">
        <v>209</v>
      </c>
      <c r="V475">
        <v>19.574999999999999</v>
      </c>
    </row>
    <row r="476" spans="1:22" x14ac:dyDescent="0.35">
      <c r="A476" s="3">
        <v>44645</v>
      </c>
      <c r="B476" t="s">
        <v>26</v>
      </c>
      <c r="C476">
        <v>0</v>
      </c>
      <c r="D476">
        <v>0</v>
      </c>
      <c r="E476">
        <v>0</v>
      </c>
      <c r="F476">
        <v>0</v>
      </c>
      <c r="G476">
        <v>26.092099999999999</v>
      </c>
      <c r="H476">
        <v>0</v>
      </c>
      <c r="I476">
        <v>0</v>
      </c>
      <c r="J476">
        <v>0</v>
      </c>
      <c r="K476">
        <v>0</v>
      </c>
      <c r="L476">
        <v>101</v>
      </c>
      <c r="M476">
        <v>145</v>
      </c>
      <c r="N476" t="s">
        <v>26</v>
      </c>
      <c r="O476" s="3">
        <v>44790</v>
      </c>
      <c r="P476">
        <v>-1</v>
      </c>
      <c r="T476" t="s">
        <v>47</v>
      </c>
      <c r="U476">
        <v>229</v>
      </c>
      <c r="V476">
        <v>18.7</v>
      </c>
    </row>
    <row r="477" spans="1:22" x14ac:dyDescent="0.35">
      <c r="A477" s="3">
        <v>44645</v>
      </c>
      <c r="B477" t="s">
        <v>27</v>
      </c>
      <c r="C477">
        <v>0</v>
      </c>
      <c r="D477">
        <v>0</v>
      </c>
      <c r="E477">
        <v>0</v>
      </c>
      <c r="F477">
        <v>0</v>
      </c>
      <c r="G477">
        <v>26.4</v>
      </c>
      <c r="H477">
        <v>0</v>
      </c>
      <c r="I477">
        <v>0</v>
      </c>
      <c r="J477">
        <v>0</v>
      </c>
      <c r="K477">
        <v>0</v>
      </c>
      <c r="L477">
        <v>125</v>
      </c>
      <c r="M477">
        <v>180</v>
      </c>
      <c r="N477" t="s">
        <v>27</v>
      </c>
      <c r="O477" s="3">
        <v>44825</v>
      </c>
      <c r="P477">
        <v>-1</v>
      </c>
      <c r="S477" s="3">
        <v>43826</v>
      </c>
      <c r="T477" t="s">
        <v>55</v>
      </c>
      <c r="U477">
        <v>55</v>
      </c>
      <c r="V477">
        <v>17.175000000000001</v>
      </c>
    </row>
    <row r="478" spans="1:22" x14ac:dyDescent="0.35">
      <c r="A478" s="3">
        <v>44645</v>
      </c>
      <c r="B478" t="s">
        <v>28</v>
      </c>
      <c r="C478">
        <v>0</v>
      </c>
      <c r="D478">
        <v>0</v>
      </c>
      <c r="E478">
        <v>0</v>
      </c>
      <c r="F478">
        <v>0</v>
      </c>
      <c r="G478">
        <v>25.4985</v>
      </c>
      <c r="H478">
        <v>0</v>
      </c>
      <c r="I478">
        <v>0</v>
      </c>
      <c r="J478">
        <v>0</v>
      </c>
      <c r="K478">
        <v>0</v>
      </c>
      <c r="L478">
        <v>57</v>
      </c>
      <c r="M478">
        <v>82</v>
      </c>
      <c r="N478" t="s">
        <v>28</v>
      </c>
      <c r="O478" s="3">
        <v>44727</v>
      </c>
      <c r="P478">
        <v>-1</v>
      </c>
      <c r="T478" t="s">
        <v>54</v>
      </c>
      <c r="U478">
        <v>75</v>
      </c>
      <c r="V478">
        <v>17.625</v>
      </c>
    </row>
    <row r="479" spans="1:22" x14ac:dyDescent="0.35">
      <c r="A479" s="3">
        <v>44645</v>
      </c>
      <c r="B479" t="s">
        <v>21</v>
      </c>
      <c r="C479">
        <v>0</v>
      </c>
      <c r="D479">
        <v>0</v>
      </c>
      <c r="E479">
        <v>0</v>
      </c>
      <c r="F479">
        <v>0</v>
      </c>
      <c r="G479">
        <v>25.574999999999999</v>
      </c>
      <c r="H479">
        <v>0</v>
      </c>
      <c r="I479">
        <v>0</v>
      </c>
      <c r="J479">
        <v>0</v>
      </c>
      <c r="K479">
        <v>0</v>
      </c>
      <c r="L479">
        <v>189</v>
      </c>
      <c r="M479">
        <v>271</v>
      </c>
      <c r="N479" t="s">
        <v>21</v>
      </c>
      <c r="O479" s="3">
        <v>44916</v>
      </c>
      <c r="P479">
        <v>-1</v>
      </c>
      <c r="T479" t="s">
        <v>53</v>
      </c>
      <c r="U479">
        <v>100</v>
      </c>
      <c r="V479">
        <v>17.774999999999999</v>
      </c>
    </row>
    <row r="480" spans="1:22" x14ac:dyDescent="0.35">
      <c r="A480" s="3">
        <v>44645</v>
      </c>
      <c r="B480" t="s">
        <v>22</v>
      </c>
      <c r="C480">
        <v>0</v>
      </c>
      <c r="D480">
        <v>0</v>
      </c>
      <c r="E480">
        <v>0</v>
      </c>
      <c r="F480">
        <v>0</v>
      </c>
      <c r="G480">
        <v>26.0502</v>
      </c>
      <c r="H480">
        <v>0</v>
      </c>
      <c r="I480">
        <v>0</v>
      </c>
      <c r="J480">
        <v>0</v>
      </c>
      <c r="K480">
        <v>0</v>
      </c>
      <c r="L480">
        <v>81</v>
      </c>
      <c r="M480">
        <v>117</v>
      </c>
      <c r="N480" t="s">
        <v>22</v>
      </c>
      <c r="O480" s="3">
        <v>44762</v>
      </c>
      <c r="P480">
        <v>-1</v>
      </c>
      <c r="T480" t="s">
        <v>52</v>
      </c>
      <c r="U480">
        <v>119</v>
      </c>
      <c r="V480">
        <v>18.024999999999999</v>
      </c>
    </row>
    <row r="481" spans="1:22" x14ac:dyDescent="0.35">
      <c r="A481" s="3">
        <v>44645</v>
      </c>
      <c r="B481" t="s">
        <v>29</v>
      </c>
      <c r="C481">
        <v>0</v>
      </c>
      <c r="D481">
        <v>0</v>
      </c>
      <c r="E481">
        <v>0</v>
      </c>
      <c r="F481">
        <v>0</v>
      </c>
      <c r="G481">
        <v>24.856400000000001</v>
      </c>
      <c r="H481">
        <v>0</v>
      </c>
      <c r="I481">
        <v>0</v>
      </c>
      <c r="J481">
        <v>0</v>
      </c>
      <c r="K481">
        <v>0</v>
      </c>
      <c r="L481">
        <v>38</v>
      </c>
      <c r="M481">
        <v>54</v>
      </c>
      <c r="N481" t="s">
        <v>29</v>
      </c>
      <c r="O481" s="3">
        <v>44699</v>
      </c>
      <c r="P481">
        <v>-1</v>
      </c>
      <c r="T481" t="s">
        <v>51</v>
      </c>
      <c r="U481">
        <v>144</v>
      </c>
      <c r="V481">
        <v>18.225000000000001</v>
      </c>
    </row>
    <row r="482" spans="1:22" x14ac:dyDescent="0.35">
      <c r="A482" s="3">
        <v>44645</v>
      </c>
      <c r="B482" t="s">
        <v>25</v>
      </c>
      <c r="C482">
        <v>0</v>
      </c>
      <c r="D482">
        <v>0</v>
      </c>
      <c r="E482">
        <v>0</v>
      </c>
      <c r="F482">
        <v>0</v>
      </c>
      <c r="G482">
        <v>26.6172</v>
      </c>
      <c r="H482">
        <v>0</v>
      </c>
      <c r="I482">
        <v>0</v>
      </c>
      <c r="J482">
        <v>0</v>
      </c>
      <c r="K482">
        <v>0</v>
      </c>
      <c r="L482">
        <v>145</v>
      </c>
      <c r="M482">
        <v>208</v>
      </c>
      <c r="N482" t="s">
        <v>25</v>
      </c>
      <c r="O482" s="3">
        <v>44853</v>
      </c>
      <c r="P482">
        <v>-1</v>
      </c>
      <c r="T482" t="s">
        <v>50</v>
      </c>
      <c r="U482">
        <v>164</v>
      </c>
      <c r="V482">
        <v>18.274999999999999</v>
      </c>
    </row>
    <row r="483" spans="1:22" x14ac:dyDescent="0.35">
      <c r="A483" s="3">
        <v>44645</v>
      </c>
      <c r="B483" t="s">
        <v>20</v>
      </c>
      <c r="C483">
        <v>0</v>
      </c>
      <c r="D483">
        <v>0</v>
      </c>
      <c r="E483">
        <v>0</v>
      </c>
      <c r="F483">
        <v>0</v>
      </c>
      <c r="G483">
        <v>26.05</v>
      </c>
      <c r="H483">
        <v>0</v>
      </c>
      <c r="I483">
        <v>0</v>
      </c>
      <c r="J483">
        <v>0</v>
      </c>
      <c r="K483">
        <v>0</v>
      </c>
      <c r="L483">
        <v>165</v>
      </c>
      <c r="M483">
        <v>236</v>
      </c>
      <c r="N483" t="s">
        <v>20</v>
      </c>
      <c r="O483" s="3">
        <v>44881</v>
      </c>
      <c r="P483">
        <v>-1</v>
      </c>
      <c r="T483" t="s">
        <v>49</v>
      </c>
      <c r="U483">
        <v>183</v>
      </c>
      <c r="V483">
        <v>18.55</v>
      </c>
    </row>
    <row r="484" spans="1:22" x14ac:dyDescent="0.35">
      <c r="A484" s="3">
        <v>44644</v>
      </c>
      <c r="B484" t="s">
        <v>21</v>
      </c>
      <c r="C484">
        <v>0</v>
      </c>
      <c r="D484">
        <v>0</v>
      </c>
      <c r="E484">
        <v>0</v>
      </c>
      <c r="F484">
        <v>0</v>
      </c>
      <c r="G484">
        <v>25.75</v>
      </c>
      <c r="H484">
        <v>0</v>
      </c>
      <c r="I484">
        <v>0</v>
      </c>
      <c r="J484">
        <v>0</v>
      </c>
      <c r="K484">
        <v>0</v>
      </c>
      <c r="L484">
        <v>190</v>
      </c>
      <c r="M484">
        <v>272</v>
      </c>
      <c r="N484" t="s">
        <v>21</v>
      </c>
      <c r="O484" s="3">
        <v>44916</v>
      </c>
      <c r="P484">
        <v>-1</v>
      </c>
      <c r="T484" t="s">
        <v>48</v>
      </c>
      <c r="U484">
        <v>208</v>
      </c>
      <c r="V484">
        <v>19.925000000000001</v>
      </c>
    </row>
    <row r="485" spans="1:22" x14ac:dyDescent="0.35">
      <c r="A485" s="3">
        <v>44644</v>
      </c>
      <c r="B485" t="s">
        <v>22</v>
      </c>
      <c r="C485">
        <v>0</v>
      </c>
      <c r="D485">
        <v>0</v>
      </c>
      <c r="E485">
        <v>0</v>
      </c>
      <c r="F485">
        <v>0</v>
      </c>
      <c r="G485">
        <v>26.449300000000001</v>
      </c>
      <c r="H485">
        <v>0</v>
      </c>
      <c r="I485">
        <v>0</v>
      </c>
      <c r="J485">
        <v>0</v>
      </c>
      <c r="K485">
        <v>0</v>
      </c>
      <c r="L485">
        <v>82</v>
      </c>
      <c r="M485">
        <v>118</v>
      </c>
      <c r="N485" t="s">
        <v>22</v>
      </c>
      <c r="O485" s="3">
        <v>44762</v>
      </c>
      <c r="P485">
        <v>-1</v>
      </c>
      <c r="T485" t="s">
        <v>47</v>
      </c>
      <c r="U485">
        <v>228</v>
      </c>
      <c r="V485">
        <v>18.75</v>
      </c>
    </row>
    <row r="486" spans="1:22" x14ac:dyDescent="0.35">
      <c r="A486" s="3">
        <v>44644</v>
      </c>
      <c r="B486" t="s">
        <v>29</v>
      </c>
      <c r="C486">
        <v>0</v>
      </c>
      <c r="D486">
        <v>0</v>
      </c>
      <c r="E486">
        <v>0</v>
      </c>
      <c r="F486">
        <v>0</v>
      </c>
      <c r="G486">
        <v>25.451799999999999</v>
      </c>
      <c r="H486">
        <v>0</v>
      </c>
      <c r="I486">
        <v>0</v>
      </c>
      <c r="J486">
        <v>0</v>
      </c>
      <c r="K486">
        <v>0</v>
      </c>
      <c r="L486">
        <v>39</v>
      </c>
      <c r="M486">
        <v>55</v>
      </c>
      <c r="N486" t="s">
        <v>29</v>
      </c>
      <c r="O486" s="3">
        <v>44699</v>
      </c>
      <c r="P486">
        <v>-1</v>
      </c>
      <c r="S486" s="3">
        <v>43829</v>
      </c>
      <c r="T486" t="s">
        <v>55</v>
      </c>
      <c r="U486">
        <v>54</v>
      </c>
      <c r="V486">
        <v>17.524999999999999</v>
      </c>
    </row>
    <row r="487" spans="1:22" x14ac:dyDescent="0.35">
      <c r="A487" s="3">
        <v>44644</v>
      </c>
      <c r="B487" t="s">
        <v>25</v>
      </c>
      <c r="C487">
        <v>0</v>
      </c>
      <c r="D487">
        <v>0</v>
      </c>
      <c r="E487">
        <v>0</v>
      </c>
      <c r="F487">
        <v>0</v>
      </c>
      <c r="G487">
        <v>26.895</v>
      </c>
      <c r="H487">
        <v>0</v>
      </c>
      <c r="I487">
        <v>0</v>
      </c>
      <c r="J487">
        <v>0</v>
      </c>
      <c r="K487">
        <v>0</v>
      </c>
      <c r="L487">
        <v>146</v>
      </c>
      <c r="M487">
        <v>209</v>
      </c>
      <c r="N487" t="s">
        <v>25</v>
      </c>
      <c r="O487" s="3">
        <v>44853</v>
      </c>
      <c r="P487">
        <v>-1</v>
      </c>
      <c r="T487" t="s">
        <v>54</v>
      </c>
      <c r="U487">
        <v>74</v>
      </c>
      <c r="V487">
        <v>17.899999999999999</v>
      </c>
    </row>
    <row r="488" spans="1:22" x14ac:dyDescent="0.35">
      <c r="A488" s="3">
        <v>44644</v>
      </c>
      <c r="B488" t="s">
        <v>20</v>
      </c>
      <c r="C488">
        <v>0</v>
      </c>
      <c r="D488">
        <v>0</v>
      </c>
      <c r="E488">
        <v>0</v>
      </c>
      <c r="F488">
        <v>0</v>
      </c>
      <c r="G488">
        <v>26.324999999999999</v>
      </c>
      <c r="H488">
        <v>0</v>
      </c>
      <c r="I488">
        <v>0</v>
      </c>
      <c r="J488">
        <v>0</v>
      </c>
      <c r="K488">
        <v>0</v>
      </c>
      <c r="L488">
        <v>166</v>
      </c>
      <c r="M488">
        <v>237</v>
      </c>
      <c r="N488" t="s">
        <v>20</v>
      </c>
      <c r="O488" s="3">
        <v>44881</v>
      </c>
      <c r="P488">
        <v>-1</v>
      </c>
      <c r="T488" t="s">
        <v>53</v>
      </c>
      <c r="U488">
        <v>99</v>
      </c>
      <c r="V488">
        <v>18.024999999999999</v>
      </c>
    </row>
    <row r="489" spans="1:22" x14ac:dyDescent="0.35">
      <c r="A489" s="3">
        <v>44644</v>
      </c>
      <c r="B489" t="s">
        <v>30</v>
      </c>
      <c r="C489">
        <v>0</v>
      </c>
      <c r="D489">
        <v>0</v>
      </c>
      <c r="E489">
        <v>0</v>
      </c>
      <c r="F489">
        <v>0</v>
      </c>
      <c r="G489">
        <v>24.2654</v>
      </c>
      <c r="H489">
        <v>0</v>
      </c>
      <c r="I489">
        <v>0</v>
      </c>
      <c r="J489">
        <v>0</v>
      </c>
      <c r="K489">
        <v>0</v>
      </c>
      <c r="L489">
        <v>19</v>
      </c>
      <c r="M489">
        <v>27</v>
      </c>
      <c r="N489" t="s">
        <v>30</v>
      </c>
      <c r="O489" s="3">
        <v>44671</v>
      </c>
      <c r="P489">
        <v>-1</v>
      </c>
      <c r="T489" t="s">
        <v>52</v>
      </c>
      <c r="U489">
        <v>118</v>
      </c>
      <c r="V489">
        <v>18.324999999999999</v>
      </c>
    </row>
    <row r="490" spans="1:22" x14ac:dyDescent="0.35">
      <c r="A490" s="3">
        <v>44644</v>
      </c>
      <c r="B490" t="s">
        <v>26</v>
      </c>
      <c r="C490">
        <v>0</v>
      </c>
      <c r="D490">
        <v>0</v>
      </c>
      <c r="E490">
        <v>0</v>
      </c>
      <c r="F490">
        <v>0</v>
      </c>
      <c r="G490">
        <v>26.4404</v>
      </c>
      <c r="H490">
        <v>0</v>
      </c>
      <c r="I490">
        <v>0</v>
      </c>
      <c r="J490">
        <v>0</v>
      </c>
      <c r="K490">
        <v>0</v>
      </c>
      <c r="L490">
        <v>102</v>
      </c>
      <c r="M490">
        <v>146</v>
      </c>
      <c r="N490" t="s">
        <v>26</v>
      </c>
      <c r="O490" s="3">
        <v>44790</v>
      </c>
      <c r="P490">
        <v>-1</v>
      </c>
      <c r="T490" t="s">
        <v>51</v>
      </c>
      <c r="U490">
        <v>143</v>
      </c>
      <c r="V490">
        <v>18.475000000000001</v>
      </c>
    </row>
    <row r="491" spans="1:22" x14ac:dyDescent="0.35">
      <c r="A491" s="3">
        <v>44644</v>
      </c>
      <c r="B491" t="s">
        <v>27</v>
      </c>
      <c r="C491">
        <v>0</v>
      </c>
      <c r="D491">
        <v>0</v>
      </c>
      <c r="E491">
        <v>0</v>
      </c>
      <c r="F491">
        <v>0</v>
      </c>
      <c r="G491">
        <v>26.688500000000001</v>
      </c>
      <c r="H491">
        <v>0</v>
      </c>
      <c r="I491">
        <v>0</v>
      </c>
      <c r="J491">
        <v>0</v>
      </c>
      <c r="K491">
        <v>0</v>
      </c>
      <c r="L491">
        <v>126</v>
      </c>
      <c r="M491">
        <v>181</v>
      </c>
      <c r="N491" t="s">
        <v>27</v>
      </c>
      <c r="O491" s="3">
        <v>44825</v>
      </c>
      <c r="P491">
        <v>-1</v>
      </c>
      <c r="T491" t="s">
        <v>50</v>
      </c>
      <c r="U491">
        <v>163</v>
      </c>
      <c r="V491">
        <v>18.524999999999999</v>
      </c>
    </row>
    <row r="492" spans="1:22" x14ac:dyDescent="0.35">
      <c r="A492" s="3">
        <v>44644</v>
      </c>
      <c r="B492" t="s">
        <v>28</v>
      </c>
      <c r="C492">
        <v>0</v>
      </c>
      <c r="D492">
        <v>0</v>
      </c>
      <c r="E492">
        <v>0</v>
      </c>
      <c r="F492">
        <v>0</v>
      </c>
      <c r="G492">
        <v>25.991900000000001</v>
      </c>
      <c r="H492">
        <v>0</v>
      </c>
      <c r="I492">
        <v>0</v>
      </c>
      <c r="J492">
        <v>0</v>
      </c>
      <c r="K492">
        <v>0</v>
      </c>
      <c r="L492">
        <v>58</v>
      </c>
      <c r="M492">
        <v>83</v>
      </c>
      <c r="N492" t="s">
        <v>28</v>
      </c>
      <c r="O492" s="3">
        <v>44727</v>
      </c>
      <c r="P492">
        <v>-1</v>
      </c>
      <c r="T492" t="s">
        <v>49</v>
      </c>
      <c r="U492">
        <v>182</v>
      </c>
      <c r="V492">
        <v>18.649999999999999</v>
      </c>
    </row>
    <row r="493" spans="1:22" x14ac:dyDescent="0.35">
      <c r="A493" s="3">
        <v>44643</v>
      </c>
      <c r="B493" t="s">
        <v>30</v>
      </c>
      <c r="C493">
        <v>0</v>
      </c>
      <c r="D493">
        <v>0</v>
      </c>
      <c r="E493">
        <v>0</v>
      </c>
      <c r="F493">
        <v>0</v>
      </c>
      <c r="G493">
        <v>24.892499999999998</v>
      </c>
      <c r="H493">
        <v>0</v>
      </c>
      <c r="I493">
        <v>0</v>
      </c>
      <c r="J493">
        <v>0</v>
      </c>
      <c r="K493">
        <v>0</v>
      </c>
      <c r="L493">
        <v>20</v>
      </c>
      <c r="M493">
        <v>28</v>
      </c>
      <c r="N493" t="s">
        <v>30</v>
      </c>
      <c r="O493" s="3">
        <v>44671</v>
      </c>
      <c r="P493">
        <v>-1</v>
      </c>
      <c r="T493" t="s">
        <v>48</v>
      </c>
      <c r="U493">
        <v>207</v>
      </c>
      <c r="V493">
        <v>19.875</v>
      </c>
    </row>
    <row r="494" spans="1:22" x14ac:dyDescent="0.35">
      <c r="A494" s="3">
        <v>44643</v>
      </c>
      <c r="B494" t="s">
        <v>26</v>
      </c>
      <c r="C494">
        <v>0</v>
      </c>
      <c r="D494">
        <v>0</v>
      </c>
      <c r="E494">
        <v>0</v>
      </c>
      <c r="F494">
        <v>0</v>
      </c>
      <c r="G494">
        <v>26.553599999999999</v>
      </c>
      <c r="H494">
        <v>0</v>
      </c>
      <c r="I494">
        <v>0</v>
      </c>
      <c r="J494">
        <v>0</v>
      </c>
      <c r="K494">
        <v>0</v>
      </c>
      <c r="L494">
        <v>103</v>
      </c>
      <c r="M494">
        <v>147</v>
      </c>
      <c r="N494" t="s">
        <v>26</v>
      </c>
      <c r="O494" s="3">
        <v>44790</v>
      </c>
      <c r="P494">
        <v>-1</v>
      </c>
      <c r="T494" t="s">
        <v>47</v>
      </c>
      <c r="U494">
        <v>227</v>
      </c>
      <c r="V494">
        <v>18.95</v>
      </c>
    </row>
    <row r="495" spans="1:22" x14ac:dyDescent="0.35">
      <c r="A495" s="3">
        <v>44643</v>
      </c>
      <c r="B495" t="s">
        <v>27</v>
      </c>
      <c r="C495">
        <v>0</v>
      </c>
      <c r="D495">
        <v>0</v>
      </c>
      <c r="E495">
        <v>0</v>
      </c>
      <c r="F495">
        <v>0</v>
      </c>
      <c r="G495">
        <v>26.75</v>
      </c>
      <c r="H495">
        <v>0</v>
      </c>
      <c r="I495">
        <v>0</v>
      </c>
      <c r="J495">
        <v>0</v>
      </c>
      <c r="K495">
        <v>0</v>
      </c>
      <c r="L495">
        <v>127</v>
      </c>
      <c r="M495">
        <v>182</v>
      </c>
      <c r="N495" t="s">
        <v>27</v>
      </c>
      <c r="O495" s="3">
        <v>44825</v>
      </c>
      <c r="P495">
        <v>-1</v>
      </c>
      <c r="S495" s="3">
        <v>43830</v>
      </c>
      <c r="T495" t="s">
        <v>55</v>
      </c>
      <c r="U495">
        <v>53</v>
      </c>
      <c r="V495">
        <v>16.925000000000001</v>
      </c>
    </row>
    <row r="496" spans="1:22" x14ac:dyDescent="0.35">
      <c r="A496" s="3">
        <v>44643</v>
      </c>
      <c r="B496" t="s">
        <v>28</v>
      </c>
      <c r="C496">
        <v>0</v>
      </c>
      <c r="D496">
        <v>0</v>
      </c>
      <c r="E496">
        <v>0</v>
      </c>
      <c r="F496">
        <v>0</v>
      </c>
      <c r="G496">
        <v>26.153300000000002</v>
      </c>
      <c r="H496">
        <v>0</v>
      </c>
      <c r="I496">
        <v>0</v>
      </c>
      <c r="J496">
        <v>0</v>
      </c>
      <c r="K496">
        <v>0</v>
      </c>
      <c r="L496">
        <v>59</v>
      </c>
      <c r="M496">
        <v>84</v>
      </c>
      <c r="N496" t="s">
        <v>28</v>
      </c>
      <c r="O496" s="3">
        <v>44727</v>
      </c>
      <c r="P496">
        <v>-1</v>
      </c>
      <c r="T496" t="s">
        <v>54</v>
      </c>
      <c r="U496">
        <v>73</v>
      </c>
      <c r="V496">
        <v>17.425000000000001</v>
      </c>
    </row>
    <row r="497" spans="1:22" x14ac:dyDescent="0.35">
      <c r="A497" s="3">
        <v>44643</v>
      </c>
      <c r="B497" t="s">
        <v>21</v>
      </c>
      <c r="C497">
        <v>0</v>
      </c>
      <c r="D497">
        <v>0</v>
      </c>
      <c r="E497">
        <v>0</v>
      </c>
      <c r="F497">
        <v>0</v>
      </c>
      <c r="G497">
        <v>25.774999999999999</v>
      </c>
      <c r="H497">
        <v>0</v>
      </c>
      <c r="I497">
        <v>0</v>
      </c>
      <c r="J497">
        <v>0</v>
      </c>
      <c r="K497">
        <v>0</v>
      </c>
      <c r="L497">
        <v>191</v>
      </c>
      <c r="M497">
        <v>273</v>
      </c>
      <c r="N497" t="s">
        <v>21</v>
      </c>
      <c r="O497" s="3">
        <v>44916</v>
      </c>
      <c r="P497">
        <v>-1</v>
      </c>
      <c r="T497" t="s">
        <v>53</v>
      </c>
      <c r="U497">
        <v>98</v>
      </c>
      <c r="V497">
        <v>17.574999999999999</v>
      </c>
    </row>
    <row r="498" spans="1:22" x14ac:dyDescent="0.35">
      <c r="A498" s="3">
        <v>44643</v>
      </c>
      <c r="B498" t="s">
        <v>22</v>
      </c>
      <c r="C498">
        <v>0</v>
      </c>
      <c r="D498">
        <v>0</v>
      </c>
      <c r="E498">
        <v>0</v>
      </c>
      <c r="F498">
        <v>0</v>
      </c>
      <c r="G498">
        <v>26.624500000000001</v>
      </c>
      <c r="H498">
        <v>0</v>
      </c>
      <c r="I498">
        <v>0</v>
      </c>
      <c r="J498">
        <v>0</v>
      </c>
      <c r="K498">
        <v>0</v>
      </c>
      <c r="L498">
        <v>83</v>
      </c>
      <c r="M498">
        <v>119</v>
      </c>
      <c r="N498" t="s">
        <v>22</v>
      </c>
      <c r="O498" s="3">
        <v>44762</v>
      </c>
      <c r="P498">
        <v>-1</v>
      </c>
      <c r="T498" t="s">
        <v>52</v>
      </c>
      <c r="U498">
        <v>117</v>
      </c>
      <c r="V498">
        <v>17.875</v>
      </c>
    </row>
    <row r="499" spans="1:22" x14ac:dyDescent="0.35">
      <c r="A499" s="3">
        <v>44643</v>
      </c>
      <c r="B499" t="s">
        <v>29</v>
      </c>
      <c r="C499">
        <v>0</v>
      </c>
      <c r="D499">
        <v>0</v>
      </c>
      <c r="E499">
        <v>0</v>
      </c>
      <c r="F499">
        <v>0</v>
      </c>
      <c r="G499">
        <v>25.7515</v>
      </c>
      <c r="H499">
        <v>0</v>
      </c>
      <c r="I499">
        <v>0</v>
      </c>
      <c r="J499">
        <v>0</v>
      </c>
      <c r="K499">
        <v>0</v>
      </c>
      <c r="L499">
        <v>40</v>
      </c>
      <c r="M499">
        <v>56</v>
      </c>
      <c r="N499" t="s">
        <v>29</v>
      </c>
      <c r="O499" s="3">
        <v>44699</v>
      </c>
      <c r="P499">
        <v>-1</v>
      </c>
      <c r="T499" t="s">
        <v>51</v>
      </c>
      <c r="U499">
        <v>142</v>
      </c>
      <c r="V499">
        <v>18.125</v>
      </c>
    </row>
    <row r="500" spans="1:22" x14ac:dyDescent="0.35">
      <c r="A500" s="3">
        <v>44643</v>
      </c>
      <c r="B500" t="s">
        <v>25</v>
      </c>
      <c r="C500">
        <v>0</v>
      </c>
      <c r="D500">
        <v>0</v>
      </c>
      <c r="E500">
        <v>0</v>
      </c>
      <c r="F500">
        <v>0</v>
      </c>
      <c r="G500">
        <v>26.9</v>
      </c>
      <c r="H500">
        <v>0</v>
      </c>
      <c r="I500">
        <v>0</v>
      </c>
      <c r="J500">
        <v>0</v>
      </c>
      <c r="K500">
        <v>0</v>
      </c>
      <c r="L500">
        <v>147</v>
      </c>
      <c r="M500">
        <v>210</v>
      </c>
      <c r="N500" t="s">
        <v>25</v>
      </c>
      <c r="O500" s="3">
        <v>44853</v>
      </c>
      <c r="P500">
        <v>-1</v>
      </c>
      <c r="T500" t="s">
        <v>50</v>
      </c>
      <c r="U500">
        <v>162</v>
      </c>
      <c r="V500">
        <v>18.175000000000001</v>
      </c>
    </row>
    <row r="501" spans="1:22" x14ac:dyDescent="0.35">
      <c r="A501" s="3">
        <v>44643</v>
      </c>
      <c r="B501" t="s">
        <v>20</v>
      </c>
      <c r="C501">
        <v>0</v>
      </c>
      <c r="D501">
        <v>0</v>
      </c>
      <c r="E501">
        <v>0</v>
      </c>
      <c r="F501">
        <v>0</v>
      </c>
      <c r="G501">
        <v>26.324999999999999</v>
      </c>
      <c r="H501">
        <v>0</v>
      </c>
      <c r="I501">
        <v>0</v>
      </c>
      <c r="J501">
        <v>0</v>
      </c>
      <c r="K501">
        <v>0</v>
      </c>
      <c r="L501">
        <v>167</v>
      </c>
      <c r="M501">
        <v>238</v>
      </c>
      <c r="N501" t="s">
        <v>20</v>
      </c>
      <c r="O501" s="3">
        <v>44881</v>
      </c>
      <c r="P501">
        <v>-1</v>
      </c>
      <c r="T501" t="s">
        <v>49</v>
      </c>
      <c r="U501">
        <v>181</v>
      </c>
      <c r="V501">
        <v>18.5</v>
      </c>
    </row>
    <row r="502" spans="1:22" x14ac:dyDescent="0.35">
      <c r="A502" s="3">
        <v>44642</v>
      </c>
      <c r="B502" t="s">
        <v>21</v>
      </c>
      <c r="C502">
        <v>0</v>
      </c>
      <c r="D502">
        <v>0</v>
      </c>
      <c r="E502">
        <v>0</v>
      </c>
      <c r="F502">
        <v>0</v>
      </c>
      <c r="G502">
        <v>25.725000000000001</v>
      </c>
      <c r="H502">
        <v>0</v>
      </c>
      <c r="I502">
        <v>0</v>
      </c>
      <c r="J502">
        <v>0</v>
      </c>
      <c r="K502">
        <v>0</v>
      </c>
      <c r="L502">
        <v>192</v>
      </c>
      <c r="M502">
        <v>274</v>
      </c>
      <c r="N502" t="s">
        <v>21</v>
      </c>
      <c r="O502" s="3">
        <v>44916</v>
      </c>
      <c r="P502">
        <v>-1</v>
      </c>
      <c r="T502" t="s">
        <v>48</v>
      </c>
      <c r="U502">
        <v>206</v>
      </c>
      <c r="V502">
        <v>19.75</v>
      </c>
    </row>
    <row r="503" spans="1:22" x14ac:dyDescent="0.35">
      <c r="A503" s="3">
        <v>44642</v>
      </c>
      <c r="B503" t="s">
        <v>22</v>
      </c>
      <c r="C503">
        <v>0</v>
      </c>
      <c r="D503">
        <v>0</v>
      </c>
      <c r="E503">
        <v>0</v>
      </c>
      <c r="F503">
        <v>0</v>
      </c>
      <c r="G503">
        <v>26.636399999999998</v>
      </c>
      <c r="H503">
        <v>0</v>
      </c>
      <c r="I503">
        <v>0</v>
      </c>
      <c r="J503">
        <v>0</v>
      </c>
      <c r="K503">
        <v>0</v>
      </c>
      <c r="L503">
        <v>84</v>
      </c>
      <c r="M503">
        <v>120</v>
      </c>
      <c r="N503" t="s">
        <v>22</v>
      </c>
      <c r="O503" s="3">
        <v>44762</v>
      </c>
      <c r="P503">
        <v>-1</v>
      </c>
      <c r="T503" t="s">
        <v>47</v>
      </c>
      <c r="U503">
        <v>226</v>
      </c>
      <c r="V503">
        <v>18.8</v>
      </c>
    </row>
    <row r="504" spans="1:22" x14ac:dyDescent="0.35">
      <c r="A504" s="3">
        <v>44642</v>
      </c>
      <c r="B504" t="s">
        <v>29</v>
      </c>
      <c r="C504">
        <v>0</v>
      </c>
      <c r="D504">
        <v>0</v>
      </c>
      <c r="E504">
        <v>0</v>
      </c>
      <c r="F504">
        <v>0</v>
      </c>
      <c r="G504">
        <v>25.718599999999999</v>
      </c>
      <c r="H504">
        <v>0</v>
      </c>
      <c r="I504">
        <v>0</v>
      </c>
      <c r="J504">
        <v>0</v>
      </c>
      <c r="K504">
        <v>0</v>
      </c>
      <c r="L504">
        <v>41</v>
      </c>
      <c r="M504">
        <v>57</v>
      </c>
      <c r="N504" t="s">
        <v>29</v>
      </c>
      <c r="O504" s="3">
        <v>44699</v>
      </c>
      <c r="P504">
        <v>-1</v>
      </c>
      <c r="S504" s="3">
        <v>43832</v>
      </c>
      <c r="T504" t="s">
        <v>55</v>
      </c>
      <c r="U504">
        <v>52</v>
      </c>
      <c r="V504">
        <v>16.524999999999999</v>
      </c>
    </row>
    <row r="505" spans="1:22" x14ac:dyDescent="0.35">
      <c r="A505" s="3">
        <v>44642</v>
      </c>
      <c r="B505" t="s">
        <v>25</v>
      </c>
      <c r="C505">
        <v>0</v>
      </c>
      <c r="D505">
        <v>0</v>
      </c>
      <c r="E505">
        <v>0</v>
      </c>
      <c r="F505">
        <v>0</v>
      </c>
      <c r="G505">
        <v>26.883299999999998</v>
      </c>
      <c r="H505">
        <v>0</v>
      </c>
      <c r="I505">
        <v>0</v>
      </c>
      <c r="J505">
        <v>0</v>
      </c>
      <c r="K505">
        <v>0</v>
      </c>
      <c r="L505">
        <v>148</v>
      </c>
      <c r="M505">
        <v>211</v>
      </c>
      <c r="N505" t="s">
        <v>25</v>
      </c>
      <c r="O505" s="3">
        <v>44853</v>
      </c>
      <c r="P505">
        <v>-1</v>
      </c>
      <c r="T505" t="s">
        <v>54</v>
      </c>
      <c r="U505">
        <v>72</v>
      </c>
      <c r="V505">
        <v>17.024999999999999</v>
      </c>
    </row>
    <row r="506" spans="1:22" x14ac:dyDescent="0.35">
      <c r="A506" s="3">
        <v>44642</v>
      </c>
      <c r="B506" t="s">
        <v>20</v>
      </c>
      <c r="C506">
        <v>0</v>
      </c>
      <c r="D506">
        <v>0</v>
      </c>
      <c r="E506">
        <v>0</v>
      </c>
      <c r="F506">
        <v>0</v>
      </c>
      <c r="G506">
        <v>26.274999999999999</v>
      </c>
      <c r="H506">
        <v>0</v>
      </c>
      <c r="I506">
        <v>0</v>
      </c>
      <c r="J506">
        <v>0</v>
      </c>
      <c r="K506">
        <v>0</v>
      </c>
      <c r="L506">
        <v>168</v>
      </c>
      <c r="M506">
        <v>239</v>
      </c>
      <c r="N506" t="s">
        <v>20</v>
      </c>
      <c r="O506" s="3">
        <v>44881</v>
      </c>
      <c r="P506">
        <v>-1</v>
      </c>
      <c r="T506" t="s">
        <v>53</v>
      </c>
      <c r="U506">
        <v>97</v>
      </c>
      <c r="V506">
        <v>17.175000000000001</v>
      </c>
    </row>
    <row r="507" spans="1:22" x14ac:dyDescent="0.35">
      <c r="A507" s="3">
        <v>44642</v>
      </c>
      <c r="B507" t="s">
        <v>30</v>
      </c>
      <c r="C507">
        <v>0</v>
      </c>
      <c r="D507">
        <v>0</v>
      </c>
      <c r="E507">
        <v>0</v>
      </c>
      <c r="F507">
        <v>0</v>
      </c>
      <c r="G507">
        <v>24.998899999999999</v>
      </c>
      <c r="H507">
        <v>0</v>
      </c>
      <c r="I507">
        <v>0</v>
      </c>
      <c r="J507">
        <v>0</v>
      </c>
      <c r="K507">
        <v>0</v>
      </c>
      <c r="L507">
        <v>21</v>
      </c>
      <c r="M507">
        <v>29</v>
      </c>
      <c r="N507" t="s">
        <v>30</v>
      </c>
      <c r="O507" s="3">
        <v>44671</v>
      </c>
      <c r="P507">
        <v>-1</v>
      </c>
      <c r="T507" t="s">
        <v>52</v>
      </c>
      <c r="U507">
        <v>116</v>
      </c>
      <c r="V507">
        <v>17.475000000000001</v>
      </c>
    </row>
    <row r="508" spans="1:22" x14ac:dyDescent="0.35">
      <c r="A508" s="3">
        <v>44642</v>
      </c>
      <c r="B508" t="s">
        <v>26</v>
      </c>
      <c r="C508">
        <v>0</v>
      </c>
      <c r="D508">
        <v>0</v>
      </c>
      <c r="E508">
        <v>0</v>
      </c>
      <c r="F508">
        <v>0</v>
      </c>
      <c r="G508">
        <v>26.503</v>
      </c>
      <c r="H508">
        <v>0</v>
      </c>
      <c r="I508">
        <v>0</v>
      </c>
      <c r="J508">
        <v>0</v>
      </c>
      <c r="K508">
        <v>0</v>
      </c>
      <c r="L508">
        <v>104</v>
      </c>
      <c r="M508">
        <v>148</v>
      </c>
      <c r="N508" t="s">
        <v>26</v>
      </c>
      <c r="O508" s="3">
        <v>44790</v>
      </c>
      <c r="P508">
        <v>-1</v>
      </c>
      <c r="T508" t="s">
        <v>51</v>
      </c>
      <c r="U508">
        <v>141</v>
      </c>
      <c r="V508">
        <v>17.725000000000001</v>
      </c>
    </row>
    <row r="509" spans="1:22" x14ac:dyDescent="0.35">
      <c r="A509" s="3">
        <v>44642</v>
      </c>
      <c r="B509" t="s">
        <v>27</v>
      </c>
      <c r="C509">
        <v>0</v>
      </c>
      <c r="D509">
        <v>0</v>
      </c>
      <c r="E509">
        <v>0</v>
      </c>
      <c r="F509">
        <v>0</v>
      </c>
      <c r="G509">
        <v>26.7425</v>
      </c>
      <c r="H509">
        <v>0</v>
      </c>
      <c r="I509">
        <v>0</v>
      </c>
      <c r="J509">
        <v>0</v>
      </c>
      <c r="K509">
        <v>0</v>
      </c>
      <c r="L509">
        <v>128</v>
      </c>
      <c r="M509">
        <v>183</v>
      </c>
      <c r="N509" t="s">
        <v>27</v>
      </c>
      <c r="O509" s="3">
        <v>44825</v>
      </c>
      <c r="P509">
        <v>-1</v>
      </c>
      <c r="T509" t="s">
        <v>50</v>
      </c>
      <c r="U509">
        <v>161</v>
      </c>
      <c r="V509">
        <v>17.824999999999999</v>
      </c>
    </row>
    <row r="510" spans="1:22" x14ac:dyDescent="0.35">
      <c r="A510" s="3">
        <v>44642</v>
      </c>
      <c r="B510" t="s">
        <v>28</v>
      </c>
      <c r="C510">
        <v>0</v>
      </c>
      <c r="D510">
        <v>0</v>
      </c>
      <c r="E510">
        <v>0</v>
      </c>
      <c r="F510">
        <v>0</v>
      </c>
      <c r="G510">
        <v>26.166699999999999</v>
      </c>
      <c r="H510">
        <v>0</v>
      </c>
      <c r="I510">
        <v>0</v>
      </c>
      <c r="J510">
        <v>0</v>
      </c>
      <c r="K510">
        <v>0</v>
      </c>
      <c r="L510">
        <v>60</v>
      </c>
      <c r="M510">
        <v>85</v>
      </c>
      <c r="N510" t="s">
        <v>28</v>
      </c>
      <c r="O510" s="3">
        <v>44727</v>
      </c>
      <c r="P510">
        <v>-1</v>
      </c>
      <c r="T510" t="s">
        <v>49</v>
      </c>
      <c r="U510">
        <v>180</v>
      </c>
      <c r="V510">
        <v>18.225000000000001</v>
      </c>
    </row>
    <row r="511" spans="1:22" x14ac:dyDescent="0.35">
      <c r="A511" s="3">
        <v>44641</v>
      </c>
      <c r="B511" t="s">
        <v>30</v>
      </c>
      <c r="C511">
        <v>0</v>
      </c>
      <c r="D511">
        <v>0</v>
      </c>
      <c r="E511">
        <v>0</v>
      </c>
      <c r="F511">
        <v>0</v>
      </c>
      <c r="G511">
        <v>25.481999999999999</v>
      </c>
      <c r="H511">
        <v>0</v>
      </c>
      <c r="I511">
        <v>0</v>
      </c>
      <c r="J511">
        <v>0</v>
      </c>
      <c r="K511">
        <v>0</v>
      </c>
      <c r="L511">
        <v>22</v>
      </c>
      <c r="M511">
        <v>30</v>
      </c>
      <c r="N511" t="s">
        <v>30</v>
      </c>
      <c r="O511" s="3">
        <v>44671</v>
      </c>
      <c r="P511">
        <v>-1</v>
      </c>
      <c r="T511" t="s">
        <v>48</v>
      </c>
      <c r="U511">
        <v>205</v>
      </c>
      <c r="V511">
        <v>19.850000000000001</v>
      </c>
    </row>
    <row r="512" spans="1:22" x14ac:dyDescent="0.35">
      <c r="A512" s="3">
        <v>44641</v>
      </c>
      <c r="B512" t="s">
        <v>26</v>
      </c>
      <c r="C512">
        <v>0</v>
      </c>
      <c r="D512">
        <v>0</v>
      </c>
      <c r="E512">
        <v>0</v>
      </c>
      <c r="F512">
        <v>0</v>
      </c>
      <c r="G512">
        <v>26.890499999999999</v>
      </c>
      <c r="H512">
        <v>0</v>
      </c>
      <c r="I512">
        <v>0</v>
      </c>
      <c r="J512">
        <v>0</v>
      </c>
      <c r="K512">
        <v>0</v>
      </c>
      <c r="L512">
        <v>105</v>
      </c>
      <c r="M512">
        <v>149</v>
      </c>
      <c r="N512" t="s">
        <v>26</v>
      </c>
      <c r="O512" s="3">
        <v>44790</v>
      </c>
      <c r="P512">
        <v>-1</v>
      </c>
      <c r="T512" t="s">
        <v>47</v>
      </c>
      <c r="U512">
        <v>225</v>
      </c>
      <c r="V512">
        <v>18.675000000000001</v>
      </c>
    </row>
    <row r="513" spans="1:22" x14ac:dyDescent="0.35">
      <c r="A513" s="3">
        <v>44641</v>
      </c>
      <c r="B513" t="s">
        <v>27</v>
      </c>
      <c r="C513">
        <v>0</v>
      </c>
      <c r="D513">
        <v>0</v>
      </c>
      <c r="E513">
        <v>0</v>
      </c>
      <c r="F513">
        <v>0</v>
      </c>
      <c r="G513">
        <v>27.092500000000001</v>
      </c>
      <c r="H513">
        <v>0</v>
      </c>
      <c r="I513">
        <v>0</v>
      </c>
      <c r="J513">
        <v>0</v>
      </c>
      <c r="K513">
        <v>0</v>
      </c>
      <c r="L513">
        <v>129</v>
      </c>
      <c r="M513">
        <v>184</v>
      </c>
      <c r="N513" t="s">
        <v>27</v>
      </c>
      <c r="O513" s="3">
        <v>44825</v>
      </c>
      <c r="P513">
        <v>-1</v>
      </c>
      <c r="S513" s="3">
        <v>43833</v>
      </c>
      <c r="T513" t="s">
        <v>55</v>
      </c>
      <c r="U513">
        <v>51</v>
      </c>
      <c r="V513">
        <v>16.875</v>
      </c>
    </row>
    <row r="514" spans="1:22" x14ac:dyDescent="0.35">
      <c r="A514" s="3">
        <v>44641</v>
      </c>
      <c r="B514" t="s">
        <v>28</v>
      </c>
      <c r="C514">
        <v>0</v>
      </c>
      <c r="D514">
        <v>0</v>
      </c>
      <c r="E514">
        <v>0</v>
      </c>
      <c r="F514">
        <v>0</v>
      </c>
      <c r="G514">
        <v>26.6432</v>
      </c>
      <c r="H514">
        <v>0</v>
      </c>
      <c r="I514">
        <v>0</v>
      </c>
      <c r="J514">
        <v>0</v>
      </c>
      <c r="K514">
        <v>0</v>
      </c>
      <c r="L514">
        <v>61</v>
      </c>
      <c r="M514">
        <v>86</v>
      </c>
      <c r="N514" t="s">
        <v>28</v>
      </c>
      <c r="O514" s="3">
        <v>44727</v>
      </c>
      <c r="P514">
        <v>-1</v>
      </c>
      <c r="T514" t="s">
        <v>54</v>
      </c>
      <c r="U514">
        <v>71</v>
      </c>
      <c r="V514">
        <v>17.324999999999999</v>
      </c>
    </row>
    <row r="515" spans="1:22" x14ac:dyDescent="0.35">
      <c r="A515" s="3">
        <v>44641</v>
      </c>
      <c r="B515" t="s">
        <v>21</v>
      </c>
      <c r="C515">
        <v>0</v>
      </c>
      <c r="D515">
        <v>0</v>
      </c>
      <c r="E515">
        <v>0</v>
      </c>
      <c r="F515">
        <v>0</v>
      </c>
      <c r="G515">
        <v>26.55</v>
      </c>
      <c r="H515">
        <v>0</v>
      </c>
      <c r="I515">
        <v>0</v>
      </c>
      <c r="J515">
        <v>0</v>
      </c>
      <c r="K515">
        <v>0</v>
      </c>
      <c r="L515">
        <v>193</v>
      </c>
      <c r="M515">
        <v>275</v>
      </c>
      <c r="N515" t="s">
        <v>21</v>
      </c>
      <c r="O515" s="3">
        <v>44916</v>
      </c>
      <c r="P515">
        <v>-1</v>
      </c>
      <c r="T515" t="s">
        <v>53</v>
      </c>
      <c r="U515">
        <v>96</v>
      </c>
      <c r="V515">
        <v>17.475000000000001</v>
      </c>
    </row>
    <row r="516" spans="1:22" x14ac:dyDescent="0.35">
      <c r="A516" s="3">
        <v>44641</v>
      </c>
      <c r="B516" t="s">
        <v>22</v>
      </c>
      <c r="C516">
        <v>0</v>
      </c>
      <c r="D516">
        <v>0</v>
      </c>
      <c r="E516">
        <v>0</v>
      </c>
      <c r="F516">
        <v>0</v>
      </c>
      <c r="G516">
        <v>27.036999999999999</v>
      </c>
      <c r="H516">
        <v>0</v>
      </c>
      <c r="I516">
        <v>0</v>
      </c>
      <c r="J516">
        <v>0</v>
      </c>
      <c r="K516">
        <v>0</v>
      </c>
      <c r="L516">
        <v>85</v>
      </c>
      <c r="M516">
        <v>121</v>
      </c>
      <c r="N516" t="s">
        <v>22</v>
      </c>
      <c r="O516" s="3">
        <v>44762</v>
      </c>
      <c r="P516">
        <v>-1</v>
      </c>
      <c r="T516" t="s">
        <v>52</v>
      </c>
      <c r="U516">
        <v>115</v>
      </c>
      <c r="V516">
        <v>17.774999999999999</v>
      </c>
    </row>
    <row r="517" spans="1:22" x14ac:dyDescent="0.35">
      <c r="A517" s="3">
        <v>44641</v>
      </c>
      <c r="B517" t="s">
        <v>29</v>
      </c>
      <c r="C517">
        <v>0</v>
      </c>
      <c r="D517">
        <v>0</v>
      </c>
      <c r="E517">
        <v>0</v>
      </c>
      <c r="F517">
        <v>0</v>
      </c>
      <c r="G517">
        <v>26.173100000000002</v>
      </c>
      <c r="H517">
        <v>0</v>
      </c>
      <c r="I517">
        <v>0</v>
      </c>
      <c r="J517">
        <v>0</v>
      </c>
      <c r="K517">
        <v>0</v>
      </c>
      <c r="L517">
        <v>42</v>
      </c>
      <c r="M517">
        <v>58</v>
      </c>
      <c r="N517" t="s">
        <v>29</v>
      </c>
      <c r="O517" s="3">
        <v>44699</v>
      </c>
      <c r="P517">
        <v>-1</v>
      </c>
      <c r="T517" t="s">
        <v>51</v>
      </c>
      <c r="U517">
        <v>140</v>
      </c>
      <c r="V517">
        <v>18.024999999999999</v>
      </c>
    </row>
    <row r="518" spans="1:22" x14ac:dyDescent="0.35">
      <c r="A518" s="3">
        <v>44641</v>
      </c>
      <c r="B518" t="s">
        <v>25</v>
      </c>
      <c r="C518">
        <v>0</v>
      </c>
      <c r="D518">
        <v>0</v>
      </c>
      <c r="E518">
        <v>0</v>
      </c>
      <c r="F518">
        <v>0</v>
      </c>
      <c r="G518">
        <v>27.226900000000001</v>
      </c>
      <c r="H518">
        <v>0</v>
      </c>
      <c r="I518">
        <v>0</v>
      </c>
      <c r="J518">
        <v>0</v>
      </c>
      <c r="K518">
        <v>0</v>
      </c>
      <c r="L518">
        <v>149</v>
      </c>
      <c r="M518">
        <v>212</v>
      </c>
      <c r="N518" t="s">
        <v>25</v>
      </c>
      <c r="O518" s="3">
        <v>44853</v>
      </c>
      <c r="P518">
        <v>-1</v>
      </c>
      <c r="T518" t="s">
        <v>50</v>
      </c>
      <c r="U518">
        <v>160</v>
      </c>
      <c r="V518">
        <v>18.074999999999999</v>
      </c>
    </row>
    <row r="519" spans="1:22" x14ac:dyDescent="0.35">
      <c r="A519" s="3">
        <v>44641</v>
      </c>
      <c r="B519" t="s">
        <v>20</v>
      </c>
      <c r="C519">
        <v>0</v>
      </c>
      <c r="D519">
        <v>0</v>
      </c>
      <c r="E519">
        <v>0</v>
      </c>
      <c r="F519">
        <v>0</v>
      </c>
      <c r="G519">
        <v>26.55</v>
      </c>
      <c r="H519">
        <v>0</v>
      </c>
      <c r="I519">
        <v>0</v>
      </c>
      <c r="J519">
        <v>0</v>
      </c>
      <c r="K519">
        <v>0</v>
      </c>
      <c r="L519">
        <v>169</v>
      </c>
      <c r="M519">
        <v>240</v>
      </c>
      <c r="N519" t="s">
        <v>20</v>
      </c>
      <c r="O519" s="3">
        <v>44881</v>
      </c>
      <c r="P519">
        <v>-1</v>
      </c>
      <c r="T519" t="s">
        <v>49</v>
      </c>
      <c r="U519">
        <v>179</v>
      </c>
      <c r="V519">
        <v>18.375</v>
      </c>
    </row>
    <row r="520" spans="1:22" x14ac:dyDescent="0.35">
      <c r="A520" s="3">
        <v>44638</v>
      </c>
      <c r="B520" t="s">
        <v>22</v>
      </c>
      <c r="C520">
        <v>0</v>
      </c>
      <c r="D520">
        <v>0</v>
      </c>
      <c r="E520">
        <v>0</v>
      </c>
      <c r="F520">
        <v>0</v>
      </c>
      <c r="G520">
        <v>26.927900000000001</v>
      </c>
      <c r="H520">
        <v>0</v>
      </c>
      <c r="I520">
        <v>0</v>
      </c>
      <c r="J520">
        <v>0</v>
      </c>
      <c r="K520">
        <v>0</v>
      </c>
      <c r="L520">
        <v>86</v>
      </c>
      <c r="M520">
        <v>124</v>
      </c>
      <c r="N520" t="s">
        <v>22</v>
      </c>
      <c r="O520" s="3">
        <v>44762</v>
      </c>
      <c r="P520">
        <v>-1</v>
      </c>
      <c r="T520" t="s">
        <v>48</v>
      </c>
      <c r="U520">
        <v>204</v>
      </c>
      <c r="V520">
        <v>19.925000000000001</v>
      </c>
    </row>
    <row r="521" spans="1:22" x14ac:dyDescent="0.35">
      <c r="A521" s="3">
        <v>44638</v>
      </c>
      <c r="B521" t="s">
        <v>29</v>
      </c>
      <c r="C521">
        <v>0</v>
      </c>
      <c r="D521">
        <v>0</v>
      </c>
      <c r="E521">
        <v>0</v>
      </c>
      <c r="F521">
        <v>0</v>
      </c>
      <c r="G521">
        <v>26.218499999999999</v>
      </c>
      <c r="H521">
        <v>0</v>
      </c>
      <c r="I521">
        <v>0</v>
      </c>
      <c r="J521">
        <v>0</v>
      </c>
      <c r="K521">
        <v>0</v>
      </c>
      <c r="L521">
        <v>43</v>
      </c>
      <c r="M521">
        <v>61</v>
      </c>
      <c r="N521" t="s">
        <v>29</v>
      </c>
      <c r="O521" s="3">
        <v>44699</v>
      </c>
      <c r="P521">
        <v>-1</v>
      </c>
      <c r="T521" t="s">
        <v>47</v>
      </c>
      <c r="U521">
        <v>224</v>
      </c>
      <c r="V521">
        <v>18.774999999999999</v>
      </c>
    </row>
    <row r="522" spans="1:22" x14ac:dyDescent="0.35">
      <c r="A522" s="3">
        <v>44638</v>
      </c>
      <c r="B522" t="s">
        <v>25</v>
      </c>
      <c r="C522">
        <v>0</v>
      </c>
      <c r="D522">
        <v>0</v>
      </c>
      <c r="E522">
        <v>0</v>
      </c>
      <c r="F522">
        <v>0</v>
      </c>
      <c r="G522">
        <v>27.1739</v>
      </c>
      <c r="H522">
        <v>0</v>
      </c>
      <c r="I522">
        <v>0</v>
      </c>
      <c r="J522">
        <v>0</v>
      </c>
      <c r="K522">
        <v>0</v>
      </c>
      <c r="L522">
        <v>150</v>
      </c>
      <c r="M522">
        <v>215</v>
      </c>
      <c r="N522" t="s">
        <v>25</v>
      </c>
      <c r="O522" s="3">
        <v>44853</v>
      </c>
      <c r="P522">
        <v>-1</v>
      </c>
      <c r="S522" s="3">
        <v>43836</v>
      </c>
      <c r="T522" t="s">
        <v>55</v>
      </c>
      <c r="U522">
        <v>50</v>
      </c>
      <c r="V522">
        <v>16.875</v>
      </c>
    </row>
    <row r="523" spans="1:22" x14ac:dyDescent="0.35">
      <c r="A523" s="3">
        <v>44638</v>
      </c>
      <c r="B523" t="s">
        <v>20</v>
      </c>
      <c r="C523">
        <v>0</v>
      </c>
      <c r="D523">
        <v>0</v>
      </c>
      <c r="E523">
        <v>0</v>
      </c>
      <c r="F523">
        <v>0</v>
      </c>
      <c r="G523">
        <v>26.75</v>
      </c>
      <c r="H523">
        <v>0</v>
      </c>
      <c r="I523">
        <v>0</v>
      </c>
      <c r="J523">
        <v>0</v>
      </c>
      <c r="K523">
        <v>0</v>
      </c>
      <c r="L523">
        <v>170</v>
      </c>
      <c r="M523">
        <v>243</v>
      </c>
      <c r="N523" t="s">
        <v>20</v>
      </c>
      <c r="O523" s="3">
        <v>44881</v>
      </c>
      <c r="P523">
        <v>-1</v>
      </c>
      <c r="T523" t="s">
        <v>54</v>
      </c>
      <c r="U523">
        <v>70</v>
      </c>
      <c r="V523">
        <v>17.274999999999999</v>
      </c>
    </row>
    <row r="524" spans="1:22" x14ac:dyDescent="0.35">
      <c r="A524" s="3">
        <v>44638</v>
      </c>
      <c r="B524" t="s">
        <v>30</v>
      </c>
      <c r="C524">
        <v>0</v>
      </c>
      <c r="D524">
        <v>0</v>
      </c>
      <c r="E524">
        <v>0</v>
      </c>
      <c r="F524">
        <v>0</v>
      </c>
      <c r="G524">
        <v>25.640599999999999</v>
      </c>
      <c r="H524">
        <v>0</v>
      </c>
      <c r="I524">
        <v>0</v>
      </c>
      <c r="J524">
        <v>0</v>
      </c>
      <c r="K524">
        <v>0</v>
      </c>
      <c r="L524">
        <v>23</v>
      </c>
      <c r="M524">
        <v>33</v>
      </c>
      <c r="N524" t="s">
        <v>30</v>
      </c>
      <c r="O524" s="3">
        <v>44671</v>
      </c>
      <c r="P524">
        <v>-1</v>
      </c>
      <c r="T524" t="s">
        <v>53</v>
      </c>
      <c r="U524">
        <v>95</v>
      </c>
      <c r="V524">
        <v>17.425000000000001</v>
      </c>
    </row>
    <row r="525" spans="1:22" x14ac:dyDescent="0.35">
      <c r="A525" s="3">
        <v>44638</v>
      </c>
      <c r="B525" t="s">
        <v>26</v>
      </c>
      <c r="C525">
        <v>0</v>
      </c>
      <c r="D525">
        <v>0</v>
      </c>
      <c r="E525">
        <v>0</v>
      </c>
      <c r="F525">
        <v>0</v>
      </c>
      <c r="G525">
        <v>26.815100000000001</v>
      </c>
      <c r="H525">
        <v>0</v>
      </c>
      <c r="I525">
        <v>0</v>
      </c>
      <c r="J525">
        <v>0</v>
      </c>
      <c r="K525">
        <v>0</v>
      </c>
      <c r="L525">
        <v>106</v>
      </c>
      <c r="M525">
        <v>152</v>
      </c>
      <c r="N525" t="s">
        <v>26</v>
      </c>
      <c r="O525" s="3">
        <v>44790</v>
      </c>
      <c r="P525">
        <v>-1</v>
      </c>
      <c r="T525" t="s">
        <v>52</v>
      </c>
      <c r="U525">
        <v>114</v>
      </c>
      <c r="V525">
        <v>17.725000000000001</v>
      </c>
    </row>
    <row r="526" spans="1:22" x14ac:dyDescent="0.35">
      <c r="A526" s="3">
        <v>44638</v>
      </c>
      <c r="B526" t="s">
        <v>27</v>
      </c>
      <c r="C526">
        <v>0</v>
      </c>
      <c r="D526">
        <v>0</v>
      </c>
      <c r="E526">
        <v>0</v>
      </c>
      <c r="F526">
        <v>0</v>
      </c>
      <c r="G526">
        <v>27.022400000000001</v>
      </c>
      <c r="H526">
        <v>0</v>
      </c>
      <c r="I526">
        <v>0</v>
      </c>
      <c r="J526">
        <v>0</v>
      </c>
      <c r="K526">
        <v>0</v>
      </c>
      <c r="L526">
        <v>130</v>
      </c>
      <c r="M526">
        <v>187</v>
      </c>
      <c r="N526" t="s">
        <v>27</v>
      </c>
      <c r="O526" s="3">
        <v>44825</v>
      </c>
      <c r="P526">
        <v>-1</v>
      </c>
      <c r="T526" t="s">
        <v>51</v>
      </c>
      <c r="U526">
        <v>139</v>
      </c>
      <c r="V526">
        <v>17.975000000000001</v>
      </c>
    </row>
    <row r="527" spans="1:22" x14ac:dyDescent="0.35">
      <c r="A527" s="3">
        <v>44638</v>
      </c>
      <c r="B527" t="s">
        <v>28</v>
      </c>
      <c r="C527">
        <v>0</v>
      </c>
      <c r="D527">
        <v>0</v>
      </c>
      <c r="E527">
        <v>0</v>
      </c>
      <c r="F527">
        <v>0</v>
      </c>
      <c r="G527">
        <v>26.528500000000001</v>
      </c>
      <c r="H527">
        <v>0</v>
      </c>
      <c r="I527">
        <v>0</v>
      </c>
      <c r="J527">
        <v>0</v>
      </c>
      <c r="K527">
        <v>0</v>
      </c>
      <c r="L527">
        <v>62</v>
      </c>
      <c r="M527">
        <v>89</v>
      </c>
      <c r="N527" t="s">
        <v>28</v>
      </c>
      <c r="O527" s="3">
        <v>44727</v>
      </c>
      <c r="P527">
        <v>-1</v>
      </c>
      <c r="T527" t="s">
        <v>50</v>
      </c>
      <c r="U527">
        <v>159</v>
      </c>
      <c r="V527">
        <v>18.074999999999999</v>
      </c>
    </row>
    <row r="528" spans="1:22" x14ac:dyDescent="0.35">
      <c r="A528" s="3">
        <v>44637</v>
      </c>
      <c r="B528" t="s">
        <v>30</v>
      </c>
      <c r="C528">
        <v>0</v>
      </c>
      <c r="D528">
        <v>0</v>
      </c>
      <c r="E528">
        <v>0</v>
      </c>
      <c r="F528">
        <v>0</v>
      </c>
      <c r="G528">
        <v>27.1143</v>
      </c>
      <c r="H528">
        <v>0</v>
      </c>
      <c r="I528">
        <v>0</v>
      </c>
      <c r="J528">
        <v>0</v>
      </c>
      <c r="K528">
        <v>0</v>
      </c>
      <c r="L528">
        <v>24</v>
      </c>
      <c r="M528">
        <v>34</v>
      </c>
      <c r="N528" t="s">
        <v>30</v>
      </c>
      <c r="O528" s="3">
        <v>44671</v>
      </c>
      <c r="P528">
        <v>-1</v>
      </c>
      <c r="T528" t="s">
        <v>49</v>
      </c>
      <c r="U528">
        <v>178</v>
      </c>
      <c r="V528">
        <v>18.3</v>
      </c>
    </row>
    <row r="529" spans="1:22" x14ac:dyDescent="0.35">
      <c r="A529" s="3">
        <v>44637</v>
      </c>
      <c r="B529" t="s">
        <v>26</v>
      </c>
      <c r="C529">
        <v>0</v>
      </c>
      <c r="D529">
        <v>0</v>
      </c>
      <c r="E529">
        <v>0</v>
      </c>
      <c r="F529">
        <v>0</v>
      </c>
      <c r="G529">
        <v>27.572199999999999</v>
      </c>
      <c r="H529">
        <v>0</v>
      </c>
      <c r="I529">
        <v>0</v>
      </c>
      <c r="J529">
        <v>0</v>
      </c>
      <c r="K529">
        <v>0</v>
      </c>
      <c r="L529">
        <v>107</v>
      </c>
      <c r="M529">
        <v>153</v>
      </c>
      <c r="N529" t="s">
        <v>26</v>
      </c>
      <c r="O529" s="3">
        <v>44790</v>
      </c>
      <c r="P529">
        <v>-1</v>
      </c>
      <c r="T529" t="s">
        <v>48</v>
      </c>
      <c r="U529">
        <v>203</v>
      </c>
      <c r="V529">
        <v>20</v>
      </c>
    </row>
    <row r="530" spans="1:22" x14ac:dyDescent="0.35">
      <c r="A530" s="3">
        <v>44637</v>
      </c>
      <c r="B530" t="s">
        <v>27</v>
      </c>
      <c r="C530">
        <v>0</v>
      </c>
      <c r="D530">
        <v>0</v>
      </c>
      <c r="E530">
        <v>0</v>
      </c>
      <c r="F530">
        <v>0</v>
      </c>
      <c r="G530">
        <v>27.65</v>
      </c>
      <c r="H530">
        <v>0</v>
      </c>
      <c r="I530">
        <v>0</v>
      </c>
      <c r="J530">
        <v>0</v>
      </c>
      <c r="K530">
        <v>0</v>
      </c>
      <c r="L530">
        <v>131</v>
      </c>
      <c r="M530">
        <v>188</v>
      </c>
      <c r="N530" t="s">
        <v>27</v>
      </c>
      <c r="O530" s="3">
        <v>44825</v>
      </c>
      <c r="P530">
        <v>-1</v>
      </c>
      <c r="T530" t="s">
        <v>47</v>
      </c>
      <c r="U530">
        <v>223</v>
      </c>
      <c r="V530">
        <v>18.7</v>
      </c>
    </row>
    <row r="531" spans="1:22" x14ac:dyDescent="0.35">
      <c r="A531" s="3">
        <v>44637</v>
      </c>
      <c r="B531" t="s">
        <v>28</v>
      </c>
      <c r="C531">
        <v>0</v>
      </c>
      <c r="D531">
        <v>0</v>
      </c>
      <c r="E531">
        <v>0</v>
      </c>
      <c r="F531">
        <v>0</v>
      </c>
      <c r="G531">
        <v>27.660499999999999</v>
      </c>
      <c r="H531">
        <v>0</v>
      </c>
      <c r="I531">
        <v>0</v>
      </c>
      <c r="J531">
        <v>0</v>
      </c>
      <c r="K531">
        <v>0</v>
      </c>
      <c r="L531">
        <v>63</v>
      </c>
      <c r="M531">
        <v>90</v>
      </c>
      <c r="N531" t="s">
        <v>28</v>
      </c>
      <c r="O531" s="3">
        <v>44727</v>
      </c>
      <c r="P531">
        <v>-1</v>
      </c>
      <c r="S531" s="3">
        <v>43837</v>
      </c>
      <c r="T531" t="s">
        <v>55</v>
      </c>
      <c r="U531">
        <v>49</v>
      </c>
      <c r="V531">
        <v>16.824999999999999</v>
      </c>
    </row>
    <row r="532" spans="1:22" x14ac:dyDescent="0.35">
      <c r="A532" s="3">
        <v>44637</v>
      </c>
      <c r="B532" t="s">
        <v>22</v>
      </c>
      <c r="C532">
        <v>0</v>
      </c>
      <c r="D532">
        <v>0</v>
      </c>
      <c r="E532">
        <v>0</v>
      </c>
      <c r="F532">
        <v>0</v>
      </c>
      <c r="G532">
        <v>27.849799999999998</v>
      </c>
      <c r="H532">
        <v>0</v>
      </c>
      <c r="I532">
        <v>0</v>
      </c>
      <c r="J532">
        <v>0</v>
      </c>
      <c r="K532">
        <v>0</v>
      </c>
      <c r="L532">
        <v>87</v>
      </c>
      <c r="M532">
        <v>125</v>
      </c>
      <c r="N532" t="s">
        <v>22</v>
      </c>
      <c r="O532" s="3">
        <v>44762</v>
      </c>
      <c r="P532">
        <v>-1</v>
      </c>
      <c r="T532" t="s">
        <v>54</v>
      </c>
      <c r="U532">
        <v>69</v>
      </c>
      <c r="V532">
        <v>17.225000000000001</v>
      </c>
    </row>
    <row r="533" spans="1:22" x14ac:dyDescent="0.35">
      <c r="A533" s="3">
        <v>44637</v>
      </c>
      <c r="B533" t="s">
        <v>29</v>
      </c>
      <c r="C533">
        <v>0</v>
      </c>
      <c r="D533">
        <v>0</v>
      </c>
      <c r="E533">
        <v>0</v>
      </c>
      <c r="F533">
        <v>0</v>
      </c>
      <c r="G533">
        <v>27.459299999999999</v>
      </c>
      <c r="H533">
        <v>0</v>
      </c>
      <c r="I533">
        <v>0</v>
      </c>
      <c r="J533">
        <v>0</v>
      </c>
      <c r="K533">
        <v>0</v>
      </c>
      <c r="L533">
        <v>44</v>
      </c>
      <c r="M533">
        <v>62</v>
      </c>
      <c r="N533" t="s">
        <v>29</v>
      </c>
      <c r="O533" s="3">
        <v>44699</v>
      </c>
      <c r="P533">
        <v>-1</v>
      </c>
      <c r="T533" t="s">
        <v>53</v>
      </c>
      <c r="U533">
        <v>94</v>
      </c>
      <c r="V533">
        <v>17.375</v>
      </c>
    </row>
    <row r="534" spans="1:22" x14ac:dyDescent="0.35">
      <c r="A534" s="3">
        <v>44637</v>
      </c>
      <c r="B534" t="s">
        <v>25</v>
      </c>
      <c r="C534">
        <v>0</v>
      </c>
      <c r="D534">
        <v>0</v>
      </c>
      <c r="E534">
        <v>0</v>
      </c>
      <c r="F534">
        <v>0</v>
      </c>
      <c r="G534">
        <v>27.76</v>
      </c>
      <c r="H534">
        <v>0</v>
      </c>
      <c r="I534">
        <v>0</v>
      </c>
      <c r="J534">
        <v>0</v>
      </c>
      <c r="K534">
        <v>0</v>
      </c>
      <c r="L534">
        <v>151</v>
      </c>
      <c r="M534">
        <v>216</v>
      </c>
      <c r="N534" t="s">
        <v>25</v>
      </c>
      <c r="O534" s="3">
        <v>44853</v>
      </c>
      <c r="P534">
        <v>-1</v>
      </c>
      <c r="T534" t="s">
        <v>52</v>
      </c>
      <c r="U534">
        <v>113</v>
      </c>
      <c r="V534">
        <v>17.625</v>
      </c>
    </row>
    <row r="535" spans="1:22" x14ac:dyDescent="0.35">
      <c r="A535" s="3">
        <v>44637</v>
      </c>
      <c r="B535" t="s">
        <v>20</v>
      </c>
      <c r="C535">
        <v>0</v>
      </c>
      <c r="D535">
        <v>0</v>
      </c>
      <c r="E535">
        <v>0</v>
      </c>
      <c r="F535">
        <v>0</v>
      </c>
      <c r="G535">
        <v>27.1</v>
      </c>
      <c r="H535">
        <v>0</v>
      </c>
      <c r="I535">
        <v>0</v>
      </c>
      <c r="J535">
        <v>0</v>
      </c>
      <c r="K535">
        <v>0</v>
      </c>
      <c r="L535">
        <v>171</v>
      </c>
      <c r="M535">
        <v>244</v>
      </c>
      <c r="N535" t="s">
        <v>20</v>
      </c>
      <c r="O535" s="3">
        <v>44881</v>
      </c>
      <c r="P535">
        <v>-1</v>
      </c>
      <c r="T535" t="s">
        <v>51</v>
      </c>
      <c r="U535">
        <v>138</v>
      </c>
      <c r="V535">
        <v>17.824999999999999</v>
      </c>
    </row>
    <row r="536" spans="1:22" x14ac:dyDescent="0.35">
      <c r="A536" s="3">
        <v>44636</v>
      </c>
      <c r="B536" t="s">
        <v>22</v>
      </c>
      <c r="C536">
        <v>0</v>
      </c>
      <c r="D536">
        <v>0</v>
      </c>
      <c r="E536">
        <v>0</v>
      </c>
      <c r="F536">
        <v>0</v>
      </c>
      <c r="G536">
        <v>28.2453</v>
      </c>
      <c r="H536">
        <v>0</v>
      </c>
      <c r="I536">
        <v>0</v>
      </c>
      <c r="J536">
        <v>0</v>
      </c>
      <c r="K536">
        <v>0</v>
      </c>
      <c r="L536">
        <v>88</v>
      </c>
      <c r="M536">
        <v>126</v>
      </c>
      <c r="N536" t="s">
        <v>22</v>
      </c>
      <c r="O536" s="3">
        <v>44762</v>
      </c>
      <c r="P536">
        <v>-1</v>
      </c>
      <c r="T536" t="s">
        <v>50</v>
      </c>
      <c r="U536">
        <v>158</v>
      </c>
      <c r="V536">
        <v>17.899999999999999</v>
      </c>
    </row>
    <row r="537" spans="1:22" x14ac:dyDescent="0.35">
      <c r="A537" s="3">
        <v>44636</v>
      </c>
      <c r="B537" t="s">
        <v>29</v>
      </c>
      <c r="C537">
        <v>0</v>
      </c>
      <c r="D537">
        <v>0</v>
      </c>
      <c r="E537">
        <v>0</v>
      </c>
      <c r="F537">
        <v>0</v>
      </c>
      <c r="G537">
        <v>27.9725</v>
      </c>
      <c r="H537">
        <v>0</v>
      </c>
      <c r="I537">
        <v>0</v>
      </c>
      <c r="J537">
        <v>0</v>
      </c>
      <c r="K537">
        <v>0</v>
      </c>
      <c r="L537">
        <v>45</v>
      </c>
      <c r="M537">
        <v>63</v>
      </c>
      <c r="N537" t="s">
        <v>29</v>
      </c>
      <c r="O537" s="3">
        <v>44699</v>
      </c>
      <c r="P537">
        <v>-1</v>
      </c>
      <c r="T537" t="s">
        <v>49</v>
      </c>
      <c r="U537">
        <v>177</v>
      </c>
      <c r="V537">
        <v>18.25</v>
      </c>
    </row>
    <row r="538" spans="1:22" x14ac:dyDescent="0.35">
      <c r="A538" s="3">
        <v>44636</v>
      </c>
      <c r="B538" t="s">
        <v>25</v>
      </c>
      <c r="C538">
        <v>0</v>
      </c>
      <c r="D538">
        <v>0</v>
      </c>
      <c r="E538">
        <v>0</v>
      </c>
      <c r="F538">
        <v>0</v>
      </c>
      <c r="G538">
        <v>28.1</v>
      </c>
      <c r="H538">
        <v>0</v>
      </c>
      <c r="I538">
        <v>0</v>
      </c>
      <c r="J538">
        <v>0</v>
      </c>
      <c r="K538">
        <v>0</v>
      </c>
      <c r="L538">
        <v>152</v>
      </c>
      <c r="M538">
        <v>217</v>
      </c>
      <c r="N538" t="s">
        <v>25</v>
      </c>
      <c r="O538" s="3">
        <v>44853</v>
      </c>
      <c r="P538">
        <v>-1</v>
      </c>
      <c r="T538" t="s">
        <v>48</v>
      </c>
      <c r="U538">
        <v>202</v>
      </c>
      <c r="V538">
        <v>20.024999999999999</v>
      </c>
    </row>
    <row r="539" spans="1:22" x14ac:dyDescent="0.35">
      <c r="A539" s="3">
        <v>44636</v>
      </c>
      <c r="B539" t="s">
        <v>20</v>
      </c>
      <c r="C539">
        <v>0</v>
      </c>
      <c r="D539">
        <v>0</v>
      </c>
      <c r="E539">
        <v>0</v>
      </c>
      <c r="F539">
        <v>0</v>
      </c>
      <c r="G539">
        <v>27.375</v>
      </c>
      <c r="H539">
        <v>0</v>
      </c>
      <c r="I539">
        <v>0</v>
      </c>
      <c r="J539">
        <v>0</v>
      </c>
      <c r="K539">
        <v>0</v>
      </c>
      <c r="L539">
        <v>172</v>
      </c>
      <c r="M539">
        <v>245</v>
      </c>
      <c r="N539" t="s">
        <v>20</v>
      </c>
      <c r="O539" s="3">
        <v>44881</v>
      </c>
      <c r="P539">
        <v>-1</v>
      </c>
      <c r="T539" t="s">
        <v>47</v>
      </c>
      <c r="U539">
        <v>222</v>
      </c>
      <c r="V539">
        <v>18.850000000000001</v>
      </c>
    </row>
    <row r="540" spans="1:22" x14ac:dyDescent="0.35">
      <c r="A540" s="3">
        <v>44636</v>
      </c>
      <c r="B540" t="s">
        <v>30</v>
      </c>
      <c r="C540">
        <v>0</v>
      </c>
      <c r="D540">
        <v>0</v>
      </c>
      <c r="E540">
        <v>0</v>
      </c>
      <c r="F540">
        <v>0</v>
      </c>
      <c r="G540">
        <v>27.5411</v>
      </c>
      <c r="H540">
        <v>0</v>
      </c>
      <c r="I540">
        <v>0</v>
      </c>
      <c r="J540">
        <v>0</v>
      </c>
      <c r="K540">
        <v>0</v>
      </c>
      <c r="L540">
        <v>25</v>
      </c>
      <c r="M540">
        <v>35</v>
      </c>
      <c r="N540" t="s">
        <v>30</v>
      </c>
      <c r="O540" s="3">
        <v>44671</v>
      </c>
      <c r="P540">
        <v>-1</v>
      </c>
      <c r="S540" s="3">
        <v>43838</v>
      </c>
      <c r="T540" t="s">
        <v>55</v>
      </c>
      <c r="U540">
        <v>48</v>
      </c>
      <c r="V540">
        <v>16.425000000000001</v>
      </c>
    </row>
    <row r="541" spans="1:22" x14ac:dyDescent="0.35">
      <c r="A541" s="3">
        <v>44636</v>
      </c>
      <c r="B541" t="s">
        <v>26</v>
      </c>
      <c r="C541">
        <v>0</v>
      </c>
      <c r="D541">
        <v>0</v>
      </c>
      <c r="E541">
        <v>0</v>
      </c>
      <c r="F541">
        <v>0</v>
      </c>
      <c r="G541">
        <v>27.932200000000002</v>
      </c>
      <c r="H541">
        <v>0</v>
      </c>
      <c r="I541">
        <v>0</v>
      </c>
      <c r="J541">
        <v>0</v>
      </c>
      <c r="K541">
        <v>0</v>
      </c>
      <c r="L541">
        <v>108</v>
      </c>
      <c r="M541">
        <v>154</v>
      </c>
      <c r="N541" t="s">
        <v>26</v>
      </c>
      <c r="O541" s="3">
        <v>44790</v>
      </c>
      <c r="P541">
        <v>-1</v>
      </c>
      <c r="T541" t="s">
        <v>54</v>
      </c>
      <c r="U541">
        <v>68</v>
      </c>
      <c r="V541">
        <v>16.925000000000001</v>
      </c>
    </row>
    <row r="542" spans="1:22" x14ac:dyDescent="0.35">
      <c r="A542" s="3">
        <v>44636</v>
      </c>
      <c r="B542" t="s">
        <v>27</v>
      </c>
      <c r="C542">
        <v>0</v>
      </c>
      <c r="D542">
        <v>0</v>
      </c>
      <c r="E542">
        <v>0</v>
      </c>
      <c r="F542">
        <v>0</v>
      </c>
      <c r="G542">
        <v>28.004999999999999</v>
      </c>
      <c r="H542">
        <v>0</v>
      </c>
      <c r="I542">
        <v>0</v>
      </c>
      <c r="J542">
        <v>0</v>
      </c>
      <c r="K542">
        <v>0</v>
      </c>
      <c r="L542">
        <v>132</v>
      </c>
      <c r="M542">
        <v>189</v>
      </c>
      <c r="N542" t="s">
        <v>27</v>
      </c>
      <c r="O542" s="3">
        <v>44825</v>
      </c>
      <c r="P542">
        <v>-1</v>
      </c>
      <c r="T542" t="s">
        <v>53</v>
      </c>
      <c r="U542">
        <v>93</v>
      </c>
      <c r="V542">
        <v>17.074999999999999</v>
      </c>
    </row>
    <row r="543" spans="1:22" x14ac:dyDescent="0.35">
      <c r="A543" s="3">
        <v>44636</v>
      </c>
      <c r="B543" t="s">
        <v>28</v>
      </c>
      <c r="C543">
        <v>0</v>
      </c>
      <c r="D543">
        <v>0</v>
      </c>
      <c r="E543">
        <v>0</v>
      </c>
      <c r="F543">
        <v>0</v>
      </c>
      <c r="G543">
        <v>28.111000000000001</v>
      </c>
      <c r="H543">
        <v>0</v>
      </c>
      <c r="I543">
        <v>0</v>
      </c>
      <c r="J543">
        <v>0</v>
      </c>
      <c r="K543">
        <v>0</v>
      </c>
      <c r="L543">
        <v>64</v>
      </c>
      <c r="M543">
        <v>91</v>
      </c>
      <c r="N543" t="s">
        <v>28</v>
      </c>
      <c r="O543" s="3">
        <v>44727</v>
      </c>
      <c r="P543">
        <v>-1</v>
      </c>
      <c r="T543" t="s">
        <v>52</v>
      </c>
      <c r="U543">
        <v>112</v>
      </c>
      <c r="V543">
        <v>17.375</v>
      </c>
    </row>
    <row r="544" spans="1:22" x14ac:dyDescent="0.35">
      <c r="A544" s="3">
        <v>44635</v>
      </c>
      <c r="B544" t="s">
        <v>30</v>
      </c>
      <c r="C544">
        <v>0</v>
      </c>
      <c r="D544">
        <v>0</v>
      </c>
      <c r="E544">
        <v>0</v>
      </c>
      <c r="F544">
        <v>0</v>
      </c>
      <c r="G544">
        <v>30.726099999999999</v>
      </c>
      <c r="H544">
        <v>0</v>
      </c>
      <c r="I544">
        <v>0</v>
      </c>
      <c r="J544">
        <v>0</v>
      </c>
      <c r="K544">
        <v>0</v>
      </c>
      <c r="L544">
        <v>26</v>
      </c>
      <c r="M544">
        <v>36</v>
      </c>
      <c r="N544" t="s">
        <v>30</v>
      </c>
      <c r="O544" s="3">
        <v>44671</v>
      </c>
      <c r="P544">
        <v>-1</v>
      </c>
      <c r="T544" t="s">
        <v>51</v>
      </c>
      <c r="U544">
        <v>137</v>
      </c>
      <c r="V544">
        <v>17.625</v>
      </c>
    </row>
    <row r="545" spans="1:22" x14ac:dyDescent="0.35">
      <c r="A545" s="3">
        <v>44635</v>
      </c>
      <c r="B545" t="s">
        <v>26</v>
      </c>
      <c r="C545">
        <v>0</v>
      </c>
      <c r="D545">
        <v>0</v>
      </c>
      <c r="E545">
        <v>0</v>
      </c>
      <c r="F545">
        <v>0</v>
      </c>
      <c r="G545">
        <v>28.991700000000002</v>
      </c>
      <c r="H545">
        <v>0</v>
      </c>
      <c r="I545">
        <v>0</v>
      </c>
      <c r="J545">
        <v>0</v>
      </c>
      <c r="K545">
        <v>0</v>
      </c>
      <c r="L545">
        <v>109</v>
      </c>
      <c r="M545">
        <v>155</v>
      </c>
      <c r="N545" t="s">
        <v>26</v>
      </c>
      <c r="O545" s="3">
        <v>44790</v>
      </c>
      <c r="P545">
        <v>-1</v>
      </c>
      <c r="T545" t="s">
        <v>50</v>
      </c>
      <c r="U545">
        <v>157</v>
      </c>
      <c r="V545">
        <v>17.75</v>
      </c>
    </row>
    <row r="546" spans="1:22" x14ac:dyDescent="0.35">
      <c r="A546" s="3">
        <v>44635</v>
      </c>
      <c r="B546" t="s">
        <v>27</v>
      </c>
      <c r="C546">
        <v>0</v>
      </c>
      <c r="D546">
        <v>0</v>
      </c>
      <c r="E546">
        <v>0</v>
      </c>
      <c r="F546">
        <v>0</v>
      </c>
      <c r="G546">
        <v>28.798500000000001</v>
      </c>
      <c r="H546">
        <v>0</v>
      </c>
      <c r="I546">
        <v>0</v>
      </c>
      <c r="J546">
        <v>0</v>
      </c>
      <c r="K546">
        <v>0</v>
      </c>
      <c r="L546">
        <v>133</v>
      </c>
      <c r="M546">
        <v>190</v>
      </c>
      <c r="N546" t="s">
        <v>27</v>
      </c>
      <c r="O546" s="3">
        <v>44825</v>
      </c>
      <c r="P546">
        <v>-1</v>
      </c>
      <c r="T546" t="s">
        <v>49</v>
      </c>
      <c r="U546">
        <v>176</v>
      </c>
      <c r="V546">
        <v>18.100000000000001</v>
      </c>
    </row>
    <row r="547" spans="1:22" x14ac:dyDescent="0.35">
      <c r="A547" s="3">
        <v>44635</v>
      </c>
      <c r="B547" t="s">
        <v>28</v>
      </c>
      <c r="C547">
        <v>0</v>
      </c>
      <c r="D547">
        <v>0</v>
      </c>
      <c r="E547">
        <v>0</v>
      </c>
      <c r="F547">
        <v>0</v>
      </c>
      <c r="G547">
        <v>29.788799999999998</v>
      </c>
      <c r="H547">
        <v>0</v>
      </c>
      <c r="I547">
        <v>0</v>
      </c>
      <c r="J547">
        <v>0</v>
      </c>
      <c r="K547">
        <v>0</v>
      </c>
      <c r="L547">
        <v>65</v>
      </c>
      <c r="M547">
        <v>92</v>
      </c>
      <c r="N547" t="s">
        <v>28</v>
      </c>
      <c r="O547" s="3">
        <v>44727</v>
      </c>
      <c r="P547">
        <v>-1</v>
      </c>
      <c r="T547" t="s">
        <v>48</v>
      </c>
      <c r="U547">
        <v>201</v>
      </c>
      <c r="V547">
        <v>19.975000000000001</v>
      </c>
    </row>
    <row r="548" spans="1:22" x14ac:dyDescent="0.35">
      <c r="A548" s="3">
        <v>44635</v>
      </c>
      <c r="B548" t="s">
        <v>22</v>
      </c>
      <c r="C548">
        <v>0</v>
      </c>
      <c r="D548">
        <v>0</v>
      </c>
      <c r="E548">
        <v>0</v>
      </c>
      <c r="F548">
        <v>0</v>
      </c>
      <c r="G548">
        <v>29.5916</v>
      </c>
      <c r="H548">
        <v>0</v>
      </c>
      <c r="I548">
        <v>0</v>
      </c>
      <c r="J548">
        <v>0</v>
      </c>
      <c r="K548">
        <v>0</v>
      </c>
      <c r="L548">
        <v>89</v>
      </c>
      <c r="M548">
        <v>127</v>
      </c>
      <c r="N548" t="s">
        <v>22</v>
      </c>
      <c r="O548" s="3">
        <v>44762</v>
      </c>
      <c r="P548">
        <v>-1</v>
      </c>
      <c r="T548" t="s">
        <v>47</v>
      </c>
      <c r="U548">
        <v>221</v>
      </c>
      <c r="V548">
        <v>18.574999999999999</v>
      </c>
    </row>
    <row r="549" spans="1:22" x14ac:dyDescent="0.35">
      <c r="A549" s="3">
        <v>44635</v>
      </c>
      <c r="B549" t="s">
        <v>29</v>
      </c>
      <c r="C549">
        <v>0</v>
      </c>
      <c r="D549">
        <v>0</v>
      </c>
      <c r="E549">
        <v>0</v>
      </c>
      <c r="F549">
        <v>0</v>
      </c>
      <c r="G549">
        <v>30.229199999999999</v>
      </c>
      <c r="H549">
        <v>0</v>
      </c>
      <c r="I549">
        <v>0</v>
      </c>
      <c r="J549">
        <v>0</v>
      </c>
      <c r="K549">
        <v>0</v>
      </c>
      <c r="L549">
        <v>46</v>
      </c>
      <c r="M549">
        <v>64</v>
      </c>
      <c r="N549" t="s">
        <v>29</v>
      </c>
      <c r="O549" s="3">
        <v>44699</v>
      </c>
      <c r="P549">
        <v>-1</v>
      </c>
      <c r="S549" s="3">
        <v>43839</v>
      </c>
      <c r="T549" t="s">
        <v>55</v>
      </c>
      <c r="U549">
        <v>47</v>
      </c>
      <c r="V549">
        <v>16.125</v>
      </c>
    </row>
    <row r="550" spans="1:22" x14ac:dyDescent="0.35">
      <c r="A550" s="3">
        <v>44635</v>
      </c>
      <c r="B550" t="s">
        <v>31</v>
      </c>
      <c r="C550">
        <v>0</v>
      </c>
      <c r="D550">
        <v>0</v>
      </c>
      <c r="E550">
        <v>0</v>
      </c>
      <c r="F550">
        <v>0</v>
      </c>
      <c r="G550">
        <v>32.28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31</v>
      </c>
      <c r="O550" s="3">
        <v>44635</v>
      </c>
      <c r="P550">
        <v>-1</v>
      </c>
      <c r="T550" t="s">
        <v>54</v>
      </c>
      <c r="U550">
        <v>67</v>
      </c>
      <c r="V550">
        <v>16.675000000000001</v>
      </c>
    </row>
    <row r="551" spans="1:22" x14ac:dyDescent="0.35">
      <c r="A551" s="3">
        <v>44635</v>
      </c>
      <c r="B551" t="s">
        <v>25</v>
      </c>
      <c r="C551">
        <v>0</v>
      </c>
      <c r="D551">
        <v>0</v>
      </c>
      <c r="E551">
        <v>0</v>
      </c>
      <c r="F551">
        <v>0</v>
      </c>
      <c r="G551">
        <v>28.77</v>
      </c>
      <c r="H551">
        <v>0</v>
      </c>
      <c r="I551">
        <v>0</v>
      </c>
      <c r="J551">
        <v>0</v>
      </c>
      <c r="K551">
        <v>0</v>
      </c>
      <c r="L551">
        <v>153</v>
      </c>
      <c r="M551">
        <v>218</v>
      </c>
      <c r="N551" t="s">
        <v>25</v>
      </c>
      <c r="O551" s="3">
        <v>44853</v>
      </c>
      <c r="P551">
        <v>-1</v>
      </c>
      <c r="T551" t="s">
        <v>53</v>
      </c>
      <c r="U551">
        <v>92</v>
      </c>
      <c r="V551">
        <v>16.875</v>
      </c>
    </row>
    <row r="552" spans="1:22" x14ac:dyDescent="0.35">
      <c r="A552" s="3">
        <v>44635</v>
      </c>
      <c r="B552" t="s">
        <v>20</v>
      </c>
      <c r="C552">
        <v>0</v>
      </c>
      <c r="D552">
        <v>0</v>
      </c>
      <c r="E552">
        <v>0</v>
      </c>
      <c r="F552">
        <v>0</v>
      </c>
      <c r="G552">
        <v>27.916699999999999</v>
      </c>
      <c r="H552">
        <v>0</v>
      </c>
      <c r="I552">
        <v>0</v>
      </c>
      <c r="J552">
        <v>0</v>
      </c>
      <c r="K552">
        <v>0</v>
      </c>
      <c r="L552">
        <v>173</v>
      </c>
      <c r="M552">
        <v>246</v>
      </c>
      <c r="N552" t="s">
        <v>20</v>
      </c>
      <c r="O552" s="3">
        <v>44881</v>
      </c>
      <c r="P552">
        <v>-1</v>
      </c>
      <c r="T552" t="s">
        <v>52</v>
      </c>
      <c r="U552">
        <v>111</v>
      </c>
      <c r="V552">
        <v>17.175000000000001</v>
      </c>
    </row>
    <row r="553" spans="1:22" x14ac:dyDescent="0.35">
      <c r="A553" s="3">
        <v>44634</v>
      </c>
      <c r="B553" t="s">
        <v>22</v>
      </c>
      <c r="C553">
        <v>0</v>
      </c>
      <c r="D553">
        <v>0</v>
      </c>
      <c r="E553">
        <v>0</v>
      </c>
      <c r="F553">
        <v>0</v>
      </c>
      <c r="G553">
        <v>30.055499999999999</v>
      </c>
      <c r="H553">
        <v>0</v>
      </c>
      <c r="I553">
        <v>0</v>
      </c>
      <c r="J553">
        <v>0</v>
      </c>
      <c r="K553">
        <v>0</v>
      </c>
      <c r="L553">
        <v>90</v>
      </c>
      <c r="M553">
        <v>128</v>
      </c>
      <c r="N553" t="s">
        <v>22</v>
      </c>
      <c r="O553" s="3">
        <v>44762</v>
      </c>
      <c r="P553">
        <v>-1</v>
      </c>
      <c r="T553" t="s">
        <v>51</v>
      </c>
      <c r="U553">
        <v>136</v>
      </c>
      <c r="V553">
        <v>17.425000000000001</v>
      </c>
    </row>
    <row r="554" spans="1:22" x14ac:dyDescent="0.35">
      <c r="A554" s="3">
        <v>44634</v>
      </c>
      <c r="B554" t="s">
        <v>29</v>
      </c>
      <c r="C554">
        <v>0</v>
      </c>
      <c r="D554">
        <v>0</v>
      </c>
      <c r="E554">
        <v>0</v>
      </c>
      <c r="F554">
        <v>0</v>
      </c>
      <c r="G554">
        <v>30.998100000000001</v>
      </c>
      <c r="H554">
        <v>0</v>
      </c>
      <c r="I554">
        <v>0</v>
      </c>
      <c r="J554">
        <v>0</v>
      </c>
      <c r="K554">
        <v>0</v>
      </c>
      <c r="L554">
        <v>47</v>
      </c>
      <c r="M554">
        <v>65</v>
      </c>
      <c r="N554" t="s">
        <v>29</v>
      </c>
      <c r="O554" s="3">
        <v>44699</v>
      </c>
      <c r="P554">
        <v>-1</v>
      </c>
      <c r="T554" t="s">
        <v>50</v>
      </c>
      <c r="U554">
        <v>156</v>
      </c>
      <c r="V554">
        <v>17.524999999999999</v>
      </c>
    </row>
    <row r="555" spans="1:22" x14ac:dyDescent="0.35">
      <c r="A555" s="3">
        <v>44634</v>
      </c>
      <c r="B555" t="s">
        <v>31</v>
      </c>
      <c r="C555">
        <v>0</v>
      </c>
      <c r="D555">
        <v>0</v>
      </c>
      <c r="E555">
        <v>0</v>
      </c>
      <c r="F555">
        <v>0</v>
      </c>
      <c r="G555">
        <v>31.803599999999999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1</v>
      </c>
      <c r="N555" t="s">
        <v>31</v>
      </c>
      <c r="O555" s="3">
        <v>44635</v>
      </c>
      <c r="P555">
        <v>-1</v>
      </c>
      <c r="T555" t="s">
        <v>49</v>
      </c>
      <c r="U555">
        <v>175</v>
      </c>
      <c r="V555">
        <v>17.975000000000001</v>
      </c>
    </row>
    <row r="556" spans="1:22" x14ac:dyDescent="0.35">
      <c r="A556" s="3">
        <v>44634</v>
      </c>
      <c r="B556" t="s">
        <v>25</v>
      </c>
      <c r="C556">
        <v>0</v>
      </c>
      <c r="D556">
        <v>0</v>
      </c>
      <c r="E556">
        <v>0</v>
      </c>
      <c r="F556">
        <v>0</v>
      </c>
      <c r="G556">
        <v>29.3</v>
      </c>
      <c r="H556">
        <v>0</v>
      </c>
      <c r="I556">
        <v>0</v>
      </c>
      <c r="J556">
        <v>0</v>
      </c>
      <c r="K556">
        <v>0</v>
      </c>
      <c r="L556">
        <v>154</v>
      </c>
      <c r="M556">
        <v>219</v>
      </c>
      <c r="N556" t="s">
        <v>25</v>
      </c>
      <c r="O556" s="3">
        <v>44853</v>
      </c>
      <c r="P556">
        <v>-1</v>
      </c>
      <c r="T556" t="s">
        <v>48</v>
      </c>
      <c r="U556">
        <v>200</v>
      </c>
      <c r="V556">
        <v>20.074999999999999</v>
      </c>
    </row>
    <row r="557" spans="1:22" x14ac:dyDescent="0.35">
      <c r="A557" s="3">
        <v>44634</v>
      </c>
      <c r="B557" t="s">
        <v>20</v>
      </c>
      <c r="C557">
        <v>0</v>
      </c>
      <c r="D557">
        <v>0</v>
      </c>
      <c r="E557">
        <v>0</v>
      </c>
      <c r="F557">
        <v>0</v>
      </c>
      <c r="G557">
        <v>28.175000000000001</v>
      </c>
      <c r="H557">
        <v>0</v>
      </c>
      <c r="I557">
        <v>0</v>
      </c>
      <c r="J557">
        <v>0</v>
      </c>
      <c r="K557">
        <v>0</v>
      </c>
      <c r="L557">
        <v>174</v>
      </c>
      <c r="M557">
        <v>247</v>
      </c>
      <c r="N557" t="s">
        <v>20</v>
      </c>
      <c r="O557" s="3">
        <v>44881</v>
      </c>
      <c r="P557">
        <v>-1</v>
      </c>
      <c r="T557" t="s">
        <v>47</v>
      </c>
      <c r="U557">
        <v>220</v>
      </c>
      <c r="V557">
        <v>18.524999999999999</v>
      </c>
    </row>
    <row r="558" spans="1:22" x14ac:dyDescent="0.35">
      <c r="A558" s="3">
        <v>44634</v>
      </c>
      <c r="B558" t="s">
        <v>30</v>
      </c>
      <c r="C558">
        <v>0</v>
      </c>
      <c r="D558">
        <v>0</v>
      </c>
      <c r="E558">
        <v>0</v>
      </c>
      <c r="F558">
        <v>0</v>
      </c>
      <c r="G558">
        <v>31.723500000000001</v>
      </c>
      <c r="H558">
        <v>0</v>
      </c>
      <c r="I558">
        <v>0</v>
      </c>
      <c r="J558">
        <v>0</v>
      </c>
      <c r="K558">
        <v>0</v>
      </c>
      <c r="L558">
        <v>27</v>
      </c>
      <c r="M558">
        <v>37</v>
      </c>
      <c r="N558" t="s">
        <v>30</v>
      </c>
      <c r="O558" s="3">
        <v>44671</v>
      </c>
      <c r="P558">
        <v>-1</v>
      </c>
      <c r="S558" s="3">
        <v>43840</v>
      </c>
      <c r="T558" t="s">
        <v>55</v>
      </c>
      <c r="U558">
        <v>46</v>
      </c>
      <c r="V558">
        <v>16.074999999999999</v>
      </c>
    </row>
    <row r="559" spans="1:22" x14ac:dyDescent="0.35">
      <c r="A559" s="3">
        <v>44634</v>
      </c>
      <c r="B559" t="s">
        <v>26</v>
      </c>
      <c r="C559">
        <v>0</v>
      </c>
      <c r="D559">
        <v>0</v>
      </c>
      <c r="E559">
        <v>0</v>
      </c>
      <c r="F559">
        <v>0</v>
      </c>
      <c r="G559">
        <v>29.548100000000002</v>
      </c>
      <c r="H559">
        <v>0</v>
      </c>
      <c r="I559">
        <v>0</v>
      </c>
      <c r="J559">
        <v>0</v>
      </c>
      <c r="K559">
        <v>0</v>
      </c>
      <c r="L559">
        <v>110</v>
      </c>
      <c r="M559">
        <v>156</v>
      </c>
      <c r="N559" t="s">
        <v>26</v>
      </c>
      <c r="O559" s="3">
        <v>44790</v>
      </c>
      <c r="P559">
        <v>-1</v>
      </c>
      <c r="T559" t="s">
        <v>54</v>
      </c>
      <c r="U559">
        <v>66</v>
      </c>
      <c r="V559">
        <v>16.574999999999999</v>
      </c>
    </row>
    <row r="560" spans="1:22" x14ac:dyDescent="0.35">
      <c r="A560" s="3">
        <v>44634</v>
      </c>
      <c r="B560" t="s">
        <v>27</v>
      </c>
      <c r="C560">
        <v>0</v>
      </c>
      <c r="D560">
        <v>0</v>
      </c>
      <c r="E560">
        <v>0</v>
      </c>
      <c r="F560">
        <v>0</v>
      </c>
      <c r="G560">
        <v>29.416699999999999</v>
      </c>
      <c r="H560">
        <v>0</v>
      </c>
      <c r="I560">
        <v>0</v>
      </c>
      <c r="J560">
        <v>0</v>
      </c>
      <c r="K560">
        <v>0</v>
      </c>
      <c r="L560">
        <v>134</v>
      </c>
      <c r="M560">
        <v>191</v>
      </c>
      <c r="N560" t="s">
        <v>27</v>
      </c>
      <c r="O560" s="3">
        <v>44825</v>
      </c>
      <c r="P560">
        <v>-1</v>
      </c>
      <c r="T560" t="s">
        <v>53</v>
      </c>
      <c r="U560">
        <v>91</v>
      </c>
      <c r="V560">
        <v>16.824999999999999</v>
      </c>
    </row>
    <row r="561" spans="1:22" x14ac:dyDescent="0.35">
      <c r="A561" s="3">
        <v>44634</v>
      </c>
      <c r="B561" t="s">
        <v>28</v>
      </c>
      <c r="C561">
        <v>0</v>
      </c>
      <c r="D561">
        <v>0</v>
      </c>
      <c r="E561">
        <v>0</v>
      </c>
      <c r="F561">
        <v>0</v>
      </c>
      <c r="G561">
        <v>30.2362</v>
      </c>
      <c r="H561">
        <v>0</v>
      </c>
      <c r="I561">
        <v>0</v>
      </c>
      <c r="J561">
        <v>0</v>
      </c>
      <c r="K561">
        <v>0</v>
      </c>
      <c r="L561">
        <v>66</v>
      </c>
      <c r="M561">
        <v>93</v>
      </c>
      <c r="N561" t="s">
        <v>28</v>
      </c>
      <c r="O561" s="3">
        <v>44727</v>
      </c>
      <c r="P561">
        <v>-1</v>
      </c>
      <c r="T561" t="s">
        <v>52</v>
      </c>
      <c r="U561">
        <v>110</v>
      </c>
      <c r="V561">
        <v>17.125</v>
      </c>
    </row>
    <row r="562" spans="1:22" x14ac:dyDescent="0.35">
      <c r="A562" s="3">
        <v>44631</v>
      </c>
      <c r="B562" t="s">
        <v>30</v>
      </c>
      <c r="C562">
        <v>0</v>
      </c>
      <c r="D562">
        <v>0</v>
      </c>
      <c r="E562">
        <v>0</v>
      </c>
      <c r="F562">
        <v>0</v>
      </c>
      <c r="G562">
        <v>30.78</v>
      </c>
      <c r="H562">
        <v>0</v>
      </c>
      <c r="I562">
        <v>0</v>
      </c>
      <c r="J562">
        <v>0</v>
      </c>
      <c r="K562">
        <v>0</v>
      </c>
      <c r="L562">
        <v>28</v>
      </c>
      <c r="M562">
        <v>40</v>
      </c>
      <c r="N562" t="s">
        <v>30</v>
      </c>
      <c r="O562" s="3">
        <v>44671</v>
      </c>
      <c r="P562">
        <v>-1</v>
      </c>
      <c r="T562" t="s">
        <v>51</v>
      </c>
      <c r="U562">
        <v>135</v>
      </c>
      <c r="V562">
        <v>17.375</v>
      </c>
    </row>
    <row r="563" spans="1:22" x14ac:dyDescent="0.35">
      <c r="A563" s="3">
        <v>44631</v>
      </c>
      <c r="B563" t="s">
        <v>26</v>
      </c>
      <c r="C563">
        <v>0</v>
      </c>
      <c r="D563">
        <v>0</v>
      </c>
      <c r="E563">
        <v>0</v>
      </c>
      <c r="F563">
        <v>0</v>
      </c>
      <c r="G563">
        <v>28.9727</v>
      </c>
      <c r="H563">
        <v>0</v>
      </c>
      <c r="I563">
        <v>0</v>
      </c>
      <c r="J563">
        <v>0</v>
      </c>
      <c r="K563">
        <v>0</v>
      </c>
      <c r="L563">
        <v>111</v>
      </c>
      <c r="M563">
        <v>159</v>
      </c>
      <c r="N563" t="s">
        <v>26</v>
      </c>
      <c r="O563" s="3">
        <v>44790</v>
      </c>
      <c r="P563">
        <v>-1</v>
      </c>
      <c r="T563" t="s">
        <v>50</v>
      </c>
      <c r="U563">
        <v>155</v>
      </c>
      <c r="V563">
        <v>17.524999999999999</v>
      </c>
    </row>
    <row r="564" spans="1:22" x14ac:dyDescent="0.35">
      <c r="A564" s="3">
        <v>44631</v>
      </c>
      <c r="B564" t="s">
        <v>27</v>
      </c>
      <c r="C564">
        <v>0</v>
      </c>
      <c r="D564">
        <v>0</v>
      </c>
      <c r="E564">
        <v>0</v>
      </c>
      <c r="F564">
        <v>0</v>
      </c>
      <c r="G564">
        <v>28.763200000000001</v>
      </c>
      <c r="H564">
        <v>0</v>
      </c>
      <c r="I564">
        <v>0</v>
      </c>
      <c r="J564">
        <v>0</v>
      </c>
      <c r="K564">
        <v>0</v>
      </c>
      <c r="L564">
        <v>135</v>
      </c>
      <c r="M564">
        <v>194</v>
      </c>
      <c r="N564" t="s">
        <v>27</v>
      </c>
      <c r="O564" s="3">
        <v>44825</v>
      </c>
      <c r="P564">
        <v>-1</v>
      </c>
      <c r="T564" t="s">
        <v>49</v>
      </c>
      <c r="U564">
        <v>174</v>
      </c>
      <c r="V564">
        <v>17.95</v>
      </c>
    </row>
    <row r="565" spans="1:22" x14ac:dyDescent="0.35">
      <c r="A565" s="3">
        <v>44631</v>
      </c>
      <c r="B565" t="s">
        <v>28</v>
      </c>
      <c r="C565">
        <v>0</v>
      </c>
      <c r="D565">
        <v>0</v>
      </c>
      <c r="E565">
        <v>0</v>
      </c>
      <c r="F565">
        <v>0</v>
      </c>
      <c r="G565">
        <v>29.805700000000002</v>
      </c>
      <c r="H565">
        <v>0</v>
      </c>
      <c r="I565">
        <v>0</v>
      </c>
      <c r="J565">
        <v>0</v>
      </c>
      <c r="K565">
        <v>0</v>
      </c>
      <c r="L565">
        <v>67</v>
      </c>
      <c r="M565">
        <v>96</v>
      </c>
      <c r="N565" t="s">
        <v>28</v>
      </c>
      <c r="O565" s="3">
        <v>44727</v>
      </c>
      <c r="P565">
        <v>-1</v>
      </c>
      <c r="T565" t="s">
        <v>48</v>
      </c>
      <c r="U565">
        <v>199</v>
      </c>
      <c r="V565">
        <v>20.05</v>
      </c>
    </row>
    <row r="566" spans="1:22" x14ac:dyDescent="0.35">
      <c r="A566" s="3">
        <v>44631</v>
      </c>
      <c r="B566" t="s">
        <v>22</v>
      </c>
      <c r="C566">
        <v>0</v>
      </c>
      <c r="D566">
        <v>0</v>
      </c>
      <c r="E566">
        <v>0</v>
      </c>
      <c r="F566">
        <v>0</v>
      </c>
      <c r="G566">
        <v>29.594000000000001</v>
      </c>
      <c r="H566">
        <v>0</v>
      </c>
      <c r="I566">
        <v>0</v>
      </c>
      <c r="J566">
        <v>0</v>
      </c>
      <c r="K566">
        <v>0</v>
      </c>
      <c r="L566">
        <v>91</v>
      </c>
      <c r="M566">
        <v>131</v>
      </c>
      <c r="N566" t="s">
        <v>22</v>
      </c>
      <c r="O566" s="3">
        <v>44762</v>
      </c>
      <c r="P566">
        <v>-1</v>
      </c>
      <c r="T566" t="s">
        <v>47</v>
      </c>
      <c r="U566">
        <v>219</v>
      </c>
      <c r="V566">
        <v>18.55</v>
      </c>
    </row>
    <row r="567" spans="1:22" x14ac:dyDescent="0.35">
      <c r="A567" s="3">
        <v>44631</v>
      </c>
      <c r="B567" t="s">
        <v>29</v>
      </c>
      <c r="C567">
        <v>0</v>
      </c>
      <c r="D567">
        <v>0</v>
      </c>
      <c r="E567">
        <v>0</v>
      </c>
      <c r="F567">
        <v>0</v>
      </c>
      <c r="G567">
        <v>30.219100000000001</v>
      </c>
      <c r="H567">
        <v>0</v>
      </c>
      <c r="I567">
        <v>0</v>
      </c>
      <c r="J567">
        <v>0</v>
      </c>
      <c r="K567">
        <v>0</v>
      </c>
      <c r="L567">
        <v>48</v>
      </c>
      <c r="M567">
        <v>68</v>
      </c>
      <c r="N567" t="s">
        <v>29</v>
      </c>
      <c r="O567" s="3">
        <v>44699</v>
      </c>
      <c r="P567">
        <v>-1</v>
      </c>
      <c r="S567" s="3">
        <v>43843</v>
      </c>
      <c r="T567" t="s">
        <v>55</v>
      </c>
      <c r="U567">
        <v>45</v>
      </c>
      <c r="V567">
        <v>15.775</v>
      </c>
    </row>
    <row r="568" spans="1:22" x14ac:dyDescent="0.35">
      <c r="A568" s="3">
        <v>44631</v>
      </c>
      <c r="B568" t="s">
        <v>31</v>
      </c>
      <c r="C568">
        <v>0</v>
      </c>
      <c r="D568">
        <v>0</v>
      </c>
      <c r="E568">
        <v>0</v>
      </c>
      <c r="F568">
        <v>0</v>
      </c>
      <c r="G568">
        <v>31.002400000000002</v>
      </c>
      <c r="H568">
        <v>0</v>
      </c>
      <c r="I568">
        <v>0</v>
      </c>
      <c r="J568">
        <v>0</v>
      </c>
      <c r="K568">
        <v>0</v>
      </c>
      <c r="L568">
        <v>2</v>
      </c>
      <c r="M568">
        <v>4</v>
      </c>
      <c r="N568" t="s">
        <v>31</v>
      </c>
      <c r="O568" s="3">
        <v>44635</v>
      </c>
      <c r="P568">
        <v>-1</v>
      </c>
      <c r="T568" t="s">
        <v>54</v>
      </c>
      <c r="U568">
        <v>65</v>
      </c>
      <c r="V568">
        <v>16.375</v>
      </c>
    </row>
    <row r="569" spans="1:22" x14ac:dyDescent="0.35">
      <c r="A569" s="3">
        <v>44631</v>
      </c>
      <c r="B569" t="s">
        <v>25</v>
      </c>
      <c r="C569">
        <v>0</v>
      </c>
      <c r="D569">
        <v>0</v>
      </c>
      <c r="E569">
        <v>0</v>
      </c>
      <c r="F569">
        <v>0</v>
      </c>
      <c r="G569">
        <v>28.625</v>
      </c>
      <c r="H569">
        <v>0</v>
      </c>
      <c r="I569">
        <v>0</v>
      </c>
      <c r="J569">
        <v>0</v>
      </c>
      <c r="K569">
        <v>0</v>
      </c>
      <c r="L569">
        <v>155</v>
      </c>
      <c r="M569">
        <v>222</v>
      </c>
      <c r="N569" t="s">
        <v>25</v>
      </c>
      <c r="O569" s="3">
        <v>44853</v>
      </c>
      <c r="P569">
        <v>-1</v>
      </c>
      <c r="T569" t="s">
        <v>53</v>
      </c>
      <c r="U569">
        <v>90</v>
      </c>
      <c r="V569">
        <v>16.625</v>
      </c>
    </row>
    <row r="570" spans="1:22" x14ac:dyDescent="0.35">
      <c r="A570" s="3">
        <v>44631</v>
      </c>
      <c r="B570" t="s">
        <v>20</v>
      </c>
      <c r="C570">
        <v>0</v>
      </c>
      <c r="D570">
        <v>0</v>
      </c>
      <c r="E570">
        <v>0</v>
      </c>
      <c r="F570">
        <v>0</v>
      </c>
      <c r="G570">
        <v>27.574999999999999</v>
      </c>
      <c r="H570">
        <v>0</v>
      </c>
      <c r="I570">
        <v>0</v>
      </c>
      <c r="J570">
        <v>0</v>
      </c>
      <c r="K570">
        <v>0</v>
      </c>
      <c r="L570">
        <v>175</v>
      </c>
      <c r="M570">
        <v>250</v>
      </c>
      <c r="N570" t="s">
        <v>20</v>
      </c>
      <c r="O570" s="3">
        <v>44881</v>
      </c>
      <c r="P570">
        <v>-1</v>
      </c>
      <c r="T570" t="s">
        <v>52</v>
      </c>
      <c r="U570">
        <v>109</v>
      </c>
      <c r="V570">
        <v>16.975000000000001</v>
      </c>
    </row>
    <row r="571" spans="1:22" x14ac:dyDescent="0.35">
      <c r="A571" s="3">
        <v>44630</v>
      </c>
      <c r="B571" t="s">
        <v>22</v>
      </c>
      <c r="C571">
        <v>0</v>
      </c>
      <c r="D571">
        <v>0</v>
      </c>
      <c r="E571">
        <v>0</v>
      </c>
      <c r="F571">
        <v>0</v>
      </c>
      <c r="G571">
        <v>29.264500000000002</v>
      </c>
      <c r="H571">
        <v>0</v>
      </c>
      <c r="I571">
        <v>0</v>
      </c>
      <c r="J571">
        <v>0</v>
      </c>
      <c r="K571">
        <v>0</v>
      </c>
      <c r="L571">
        <v>92</v>
      </c>
      <c r="M571">
        <v>132</v>
      </c>
      <c r="N571" t="s">
        <v>22</v>
      </c>
      <c r="O571" s="3">
        <v>44762</v>
      </c>
      <c r="P571">
        <v>-1</v>
      </c>
      <c r="T571" t="s">
        <v>51</v>
      </c>
      <c r="U571">
        <v>134</v>
      </c>
      <c r="V571">
        <v>17.225000000000001</v>
      </c>
    </row>
    <row r="572" spans="1:22" x14ac:dyDescent="0.35">
      <c r="A572" s="3">
        <v>44630</v>
      </c>
      <c r="B572" t="s">
        <v>29</v>
      </c>
      <c r="C572">
        <v>0</v>
      </c>
      <c r="D572">
        <v>0</v>
      </c>
      <c r="E572">
        <v>0</v>
      </c>
      <c r="F572">
        <v>0</v>
      </c>
      <c r="G572">
        <v>29.75</v>
      </c>
      <c r="H572">
        <v>0</v>
      </c>
      <c r="I572">
        <v>0</v>
      </c>
      <c r="J572">
        <v>0</v>
      </c>
      <c r="K572">
        <v>0</v>
      </c>
      <c r="L572">
        <v>49</v>
      </c>
      <c r="M572">
        <v>69</v>
      </c>
      <c r="N572" t="s">
        <v>29</v>
      </c>
      <c r="O572" s="3">
        <v>44699</v>
      </c>
      <c r="P572">
        <v>-1</v>
      </c>
      <c r="T572" t="s">
        <v>50</v>
      </c>
      <c r="U572">
        <v>154</v>
      </c>
      <c r="V572">
        <v>17.375</v>
      </c>
    </row>
    <row r="573" spans="1:22" x14ac:dyDescent="0.35">
      <c r="A573" s="3">
        <v>44630</v>
      </c>
      <c r="B573" t="s">
        <v>31</v>
      </c>
      <c r="C573">
        <v>0</v>
      </c>
      <c r="D573">
        <v>0</v>
      </c>
      <c r="E573">
        <v>0</v>
      </c>
      <c r="F573">
        <v>0</v>
      </c>
      <c r="G573">
        <v>30.415500000000002</v>
      </c>
      <c r="H573">
        <v>0</v>
      </c>
      <c r="I573">
        <v>0</v>
      </c>
      <c r="J573">
        <v>0</v>
      </c>
      <c r="K573">
        <v>0</v>
      </c>
      <c r="L573">
        <v>3</v>
      </c>
      <c r="M573">
        <v>5</v>
      </c>
      <c r="N573" t="s">
        <v>31</v>
      </c>
      <c r="O573" s="3">
        <v>44635</v>
      </c>
      <c r="P573">
        <v>-1</v>
      </c>
      <c r="T573" t="s">
        <v>49</v>
      </c>
      <c r="U573">
        <v>173</v>
      </c>
      <c r="V573">
        <v>17.7</v>
      </c>
    </row>
    <row r="574" spans="1:22" x14ac:dyDescent="0.35">
      <c r="A574" s="3">
        <v>44630</v>
      </c>
      <c r="B574" t="s">
        <v>25</v>
      </c>
      <c r="C574">
        <v>0</v>
      </c>
      <c r="D574">
        <v>0</v>
      </c>
      <c r="E574">
        <v>0</v>
      </c>
      <c r="F574">
        <v>0</v>
      </c>
      <c r="G574">
        <v>28.524999999999999</v>
      </c>
      <c r="H574">
        <v>0</v>
      </c>
      <c r="I574">
        <v>0</v>
      </c>
      <c r="J574">
        <v>0</v>
      </c>
      <c r="K574">
        <v>0</v>
      </c>
      <c r="L574">
        <v>156</v>
      </c>
      <c r="M574">
        <v>223</v>
      </c>
      <c r="N574" t="s">
        <v>25</v>
      </c>
      <c r="O574" s="3">
        <v>44853</v>
      </c>
      <c r="P574">
        <v>-1</v>
      </c>
      <c r="T574" t="s">
        <v>48</v>
      </c>
      <c r="U574">
        <v>198</v>
      </c>
      <c r="V574">
        <v>19.850000000000001</v>
      </c>
    </row>
    <row r="575" spans="1:22" x14ac:dyDescent="0.35">
      <c r="A575" s="3">
        <v>44630</v>
      </c>
      <c r="B575" t="s">
        <v>20</v>
      </c>
      <c r="C575">
        <v>0</v>
      </c>
      <c r="D575">
        <v>0</v>
      </c>
      <c r="E575">
        <v>0</v>
      </c>
      <c r="F575">
        <v>0</v>
      </c>
      <c r="G575">
        <v>27.6</v>
      </c>
      <c r="H575">
        <v>0</v>
      </c>
      <c r="I575">
        <v>0</v>
      </c>
      <c r="J575">
        <v>0</v>
      </c>
      <c r="K575">
        <v>0</v>
      </c>
      <c r="L575">
        <v>176</v>
      </c>
      <c r="M575">
        <v>251</v>
      </c>
      <c r="N575" t="s">
        <v>20</v>
      </c>
      <c r="O575" s="3">
        <v>44881</v>
      </c>
      <c r="P575">
        <v>-1</v>
      </c>
      <c r="T575" t="s">
        <v>47</v>
      </c>
      <c r="U575">
        <v>218</v>
      </c>
      <c r="V575">
        <v>18.324999999999999</v>
      </c>
    </row>
    <row r="576" spans="1:22" x14ac:dyDescent="0.35">
      <c r="A576" s="3">
        <v>44630</v>
      </c>
      <c r="B576" t="s">
        <v>30</v>
      </c>
      <c r="C576">
        <v>0</v>
      </c>
      <c r="D576">
        <v>0</v>
      </c>
      <c r="E576">
        <v>0</v>
      </c>
      <c r="F576">
        <v>0</v>
      </c>
      <c r="G576">
        <v>30.126300000000001</v>
      </c>
      <c r="H576">
        <v>0</v>
      </c>
      <c r="I576">
        <v>0</v>
      </c>
      <c r="J576">
        <v>0</v>
      </c>
      <c r="K576">
        <v>0</v>
      </c>
      <c r="L576">
        <v>29</v>
      </c>
      <c r="M576">
        <v>41</v>
      </c>
      <c r="N576" t="s">
        <v>30</v>
      </c>
      <c r="O576" s="3">
        <v>44671</v>
      </c>
      <c r="P576">
        <v>-1</v>
      </c>
      <c r="S576" s="3">
        <v>43844</v>
      </c>
      <c r="T576" t="s">
        <v>55</v>
      </c>
      <c r="U576">
        <v>44</v>
      </c>
      <c r="V576">
        <v>15.675000000000001</v>
      </c>
    </row>
    <row r="577" spans="1:22" x14ac:dyDescent="0.35">
      <c r="A577" s="3">
        <v>44630</v>
      </c>
      <c r="B577" t="s">
        <v>26</v>
      </c>
      <c r="C577">
        <v>0</v>
      </c>
      <c r="D577">
        <v>0</v>
      </c>
      <c r="E577">
        <v>0</v>
      </c>
      <c r="F577">
        <v>0</v>
      </c>
      <c r="G577">
        <v>28.762</v>
      </c>
      <c r="H577">
        <v>0</v>
      </c>
      <c r="I577">
        <v>0</v>
      </c>
      <c r="J577">
        <v>0</v>
      </c>
      <c r="K577">
        <v>0</v>
      </c>
      <c r="L577">
        <v>112</v>
      </c>
      <c r="M577">
        <v>160</v>
      </c>
      <c r="N577" t="s">
        <v>26</v>
      </c>
      <c r="O577" s="3">
        <v>44790</v>
      </c>
      <c r="P577">
        <v>-1</v>
      </c>
      <c r="T577" t="s">
        <v>54</v>
      </c>
      <c r="U577">
        <v>64</v>
      </c>
      <c r="V577">
        <v>16.3</v>
      </c>
    </row>
    <row r="578" spans="1:22" x14ac:dyDescent="0.35">
      <c r="A578" s="3">
        <v>44630</v>
      </c>
      <c r="B578" t="s">
        <v>27</v>
      </c>
      <c r="C578">
        <v>0</v>
      </c>
      <c r="D578">
        <v>0</v>
      </c>
      <c r="E578">
        <v>0</v>
      </c>
      <c r="F578">
        <v>0</v>
      </c>
      <c r="G578">
        <v>28.6419</v>
      </c>
      <c r="H578">
        <v>0</v>
      </c>
      <c r="I578">
        <v>0</v>
      </c>
      <c r="J578">
        <v>0</v>
      </c>
      <c r="K578">
        <v>0</v>
      </c>
      <c r="L578">
        <v>136</v>
      </c>
      <c r="M578">
        <v>195</v>
      </c>
      <c r="N578" t="s">
        <v>27</v>
      </c>
      <c r="O578" s="3">
        <v>44825</v>
      </c>
      <c r="P578">
        <v>-1</v>
      </c>
      <c r="T578" t="s">
        <v>53</v>
      </c>
      <c r="U578">
        <v>89</v>
      </c>
      <c r="V578">
        <v>16.574999999999999</v>
      </c>
    </row>
    <row r="579" spans="1:22" x14ac:dyDescent="0.35">
      <c r="A579" s="3">
        <v>44630</v>
      </c>
      <c r="B579" t="s">
        <v>28</v>
      </c>
      <c r="C579">
        <v>0</v>
      </c>
      <c r="D579">
        <v>0</v>
      </c>
      <c r="E579">
        <v>0</v>
      </c>
      <c r="F579">
        <v>0</v>
      </c>
      <c r="G579">
        <v>29.333100000000002</v>
      </c>
      <c r="H579">
        <v>0</v>
      </c>
      <c r="I579">
        <v>0</v>
      </c>
      <c r="J579">
        <v>0</v>
      </c>
      <c r="K579">
        <v>0</v>
      </c>
      <c r="L579">
        <v>68</v>
      </c>
      <c r="M579">
        <v>97</v>
      </c>
      <c r="N579" t="s">
        <v>28</v>
      </c>
      <c r="O579" s="3">
        <v>44727</v>
      </c>
      <c r="P579">
        <v>-1</v>
      </c>
      <c r="T579" t="s">
        <v>52</v>
      </c>
      <c r="U579">
        <v>108</v>
      </c>
      <c r="V579">
        <v>16.975000000000001</v>
      </c>
    </row>
    <row r="580" spans="1:22" x14ac:dyDescent="0.35">
      <c r="A580" s="3">
        <v>44629</v>
      </c>
      <c r="B580" t="s">
        <v>30</v>
      </c>
      <c r="C580">
        <v>0</v>
      </c>
      <c r="D580">
        <v>0</v>
      </c>
      <c r="E580">
        <v>0</v>
      </c>
      <c r="F580">
        <v>0</v>
      </c>
      <c r="G580">
        <v>31.492699999999999</v>
      </c>
      <c r="H580">
        <v>0</v>
      </c>
      <c r="I580">
        <v>0</v>
      </c>
      <c r="J580">
        <v>0</v>
      </c>
      <c r="K580">
        <v>0</v>
      </c>
      <c r="L580">
        <v>30</v>
      </c>
      <c r="M580">
        <v>42</v>
      </c>
      <c r="N580" t="s">
        <v>30</v>
      </c>
      <c r="O580" s="3">
        <v>44671</v>
      </c>
      <c r="P580">
        <v>-1</v>
      </c>
      <c r="T580" t="s">
        <v>51</v>
      </c>
      <c r="U580">
        <v>133</v>
      </c>
      <c r="V580">
        <v>17.25</v>
      </c>
    </row>
    <row r="581" spans="1:22" x14ac:dyDescent="0.35">
      <c r="A581" s="3">
        <v>44629</v>
      </c>
      <c r="B581" t="s">
        <v>26</v>
      </c>
      <c r="C581">
        <v>0</v>
      </c>
      <c r="D581">
        <v>0</v>
      </c>
      <c r="E581">
        <v>0</v>
      </c>
      <c r="F581">
        <v>0</v>
      </c>
      <c r="G581">
        <v>28.888500000000001</v>
      </c>
      <c r="H581">
        <v>0</v>
      </c>
      <c r="I581">
        <v>0</v>
      </c>
      <c r="J581">
        <v>0</v>
      </c>
      <c r="K581">
        <v>0</v>
      </c>
      <c r="L581">
        <v>113</v>
      </c>
      <c r="M581">
        <v>161</v>
      </c>
      <c r="N581" t="s">
        <v>26</v>
      </c>
      <c r="O581" s="3">
        <v>44790</v>
      </c>
      <c r="P581">
        <v>-1</v>
      </c>
      <c r="T581" t="s">
        <v>50</v>
      </c>
      <c r="U581">
        <v>153</v>
      </c>
      <c r="V581">
        <v>17.375</v>
      </c>
    </row>
    <row r="582" spans="1:22" x14ac:dyDescent="0.35">
      <c r="A582" s="3">
        <v>44629</v>
      </c>
      <c r="B582" t="s">
        <v>27</v>
      </c>
      <c r="C582">
        <v>0</v>
      </c>
      <c r="D582">
        <v>0</v>
      </c>
      <c r="E582">
        <v>0</v>
      </c>
      <c r="F582">
        <v>0</v>
      </c>
      <c r="G582">
        <v>28.615100000000002</v>
      </c>
      <c r="H582">
        <v>0</v>
      </c>
      <c r="I582">
        <v>0</v>
      </c>
      <c r="J582">
        <v>0</v>
      </c>
      <c r="K582">
        <v>0</v>
      </c>
      <c r="L582">
        <v>137</v>
      </c>
      <c r="M582">
        <v>196</v>
      </c>
      <c r="N582" t="s">
        <v>27</v>
      </c>
      <c r="O582" s="3">
        <v>44825</v>
      </c>
      <c r="P582">
        <v>-1</v>
      </c>
      <c r="T582" t="s">
        <v>49</v>
      </c>
      <c r="U582">
        <v>172</v>
      </c>
      <c r="V582">
        <v>17.675000000000001</v>
      </c>
    </row>
    <row r="583" spans="1:22" x14ac:dyDescent="0.35">
      <c r="A583" s="3">
        <v>44629</v>
      </c>
      <c r="B583" t="s">
        <v>28</v>
      </c>
      <c r="C583">
        <v>0</v>
      </c>
      <c r="D583">
        <v>0</v>
      </c>
      <c r="E583">
        <v>0</v>
      </c>
      <c r="F583">
        <v>0</v>
      </c>
      <c r="G583">
        <v>29.9072</v>
      </c>
      <c r="H583">
        <v>0</v>
      </c>
      <c r="I583">
        <v>0</v>
      </c>
      <c r="J583">
        <v>0</v>
      </c>
      <c r="K583">
        <v>0</v>
      </c>
      <c r="L583">
        <v>69</v>
      </c>
      <c r="M583">
        <v>98</v>
      </c>
      <c r="N583" t="s">
        <v>28</v>
      </c>
      <c r="O583" s="3">
        <v>44727</v>
      </c>
      <c r="P583">
        <v>-1</v>
      </c>
      <c r="T583" t="s">
        <v>48</v>
      </c>
      <c r="U583">
        <v>197</v>
      </c>
      <c r="V583">
        <v>19.850000000000001</v>
      </c>
    </row>
    <row r="584" spans="1:22" x14ac:dyDescent="0.35">
      <c r="A584" s="3">
        <v>44629</v>
      </c>
      <c r="B584" t="s">
        <v>22</v>
      </c>
      <c r="C584">
        <v>0</v>
      </c>
      <c r="D584">
        <v>0</v>
      </c>
      <c r="E584">
        <v>0</v>
      </c>
      <c r="F584">
        <v>0</v>
      </c>
      <c r="G584">
        <v>29.568100000000001</v>
      </c>
      <c r="H584">
        <v>0</v>
      </c>
      <c r="I584">
        <v>0</v>
      </c>
      <c r="J584">
        <v>0</v>
      </c>
      <c r="K584">
        <v>0</v>
      </c>
      <c r="L584">
        <v>93</v>
      </c>
      <c r="M584">
        <v>133</v>
      </c>
      <c r="N584" t="s">
        <v>22</v>
      </c>
      <c r="O584" s="3">
        <v>44762</v>
      </c>
      <c r="P584">
        <v>-1</v>
      </c>
      <c r="T584" t="s">
        <v>47</v>
      </c>
      <c r="U584">
        <v>217</v>
      </c>
      <c r="V584">
        <v>18.175000000000001</v>
      </c>
    </row>
    <row r="585" spans="1:22" x14ac:dyDescent="0.35">
      <c r="A585" s="3">
        <v>44629</v>
      </c>
      <c r="B585" t="s">
        <v>29</v>
      </c>
      <c r="C585">
        <v>0</v>
      </c>
      <c r="D585">
        <v>0</v>
      </c>
      <c r="E585">
        <v>0</v>
      </c>
      <c r="F585">
        <v>0</v>
      </c>
      <c r="G585">
        <v>30.595500000000001</v>
      </c>
      <c r="H585">
        <v>0</v>
      </c>
      <c r="I585">
        <v>0</v>
      </c>
      <c r="J585">
        <v>0</v>
      </c>
      <c r="K585">
        <v>0</v>
      </c>
      <c r="L585">
        <v>50</v>
      </c>
      <c r="M585">
        <v>70</v>
      </c>
      <c r="N585" t="s">
        <v>29</v>
      </c>
      <c r="O585" s="3">
        <v>44699</v>
      </c>
      <c r="P585">
        <v>-1</v>
      </c>
      <c r="S585" s="3">
        <v>43845</v>
      </c>
      <c r="T585" t="s">
        <v>55</v>
      </c>
      <c r="U585">
        <v>43</v>
      </c>
      <c r="V585">
        <v>15.574999999999999</v>
      </c>
    </row>
    <row r="586" spans="1:22" x14ac:dyDescent="0.35">
      <c r="A586" s="3">
        <v>44629</v>
      </c>
      <c r="B586" t="s">
        <v>31</v>
      </c>
      <c r="C586">
        <v>0</v>
      </c>
      <c r="D586">
        <v>0</v>
      </c>
      <c r="E586">
        <v>0</v>
      </c>
      <c r="F586">
        <v>0</v>
      </c>
      <c r="G586">
        <v>32.119300000000003</v>
      </c>
      <c r="H586">
        <v>0</v>
      </c>
      <c r="I586">
        <v>0</v>
      </c>
      <c r="J586">
        <v>0</v>
      </c>
      <c r="K586">
        <v>0</v>
      </c>
      <c r="L586">
        <v>4</v>
      </c>
      <c r="M586">
        <v>6</v>
      </c>
      <c r="N586" t="s">
        <v>31</v>
      </c>
      <c r="O586" s="3">
        <v>44635</v>
      </c>
      <c r="P586">
        <v>-1</v>
      </c>
      <c r="T586" t="s">
        <v>54</v>
      </c>
      <c r="U586">
        <v>63</v>
      </c>
      <c r="V586">
        <v>16.175000000000001</v>
      </c>
    </row>
    <row r="587" spans="1:22" x14ac:dyDescent="0.35">
      <c r="A587" s="3">
        <v>44629</v>
      </c>
      <c r="B587" t="s">
        <v>25</v>
      </c>
      <c r="C587">
        <v>0</v>
      </c>
      <c r="D587">
        <v>0</v>
      </c>
      <c r="E587">
        <v>0</v>
      </c>
      <c r="F587">
        <v>0</v>
      </c>
      <c r="G587">
        <v>28.425000000000001</v>
      </c>
      <c r="H587">
        <v>0</v>
      </c>
      <c r="I587">
        <v>0</v>
      </c>
      <c r="J587">
        <v>0</v>
      </c>
      <c r="K587">
        <v>0</v>
      </c>
      <c r="L587">
        <v>157</v>
      </c>
      <c r="M587">
        <v>224</v>
      </c>
      <c r="N587" t="s">
        <v>25</v>
      </c>
      <c r="O587" s="3">
        <v>44853</v>
      </c>
      <c r="P587">
        <v>-1</v>
      </c>
      <c r="T587" t="s">
        <v>53</v>
      </c>
      <c r="U587">
        <v>88</v>
      </c>
      <c r="V587">
        <v>16.425000000000001</v>
      </c>
    </row>
    <row r="588" spans="1:22" x14ac:dyDescent="0.35">
      <c r="A588" s="3">
        <v>44629</v>
      </c>
      <c r="B588" t="s">
        <v>20</v>
      </c>
      <c r="C588">
        <v>0</v>
      </c>
      <c r="D588">
        <v>0</v>
      </c>
      <c r="E588">
        <v>0</v>
      </c>
      <c r="F588">
        <v>0</v>
      </c>
      <c r="G588">
        <v>27.55</v>
      </c>
      <c r="H588">
        <v>0</v>
      </c>
      <c r="I588">
        <v>0</v>
      </c>
      <c r="J588">
        <v>0</v>
      </c>
      <c r="K588">
        <v>0</v>
      </c>
      <c r="L588">
        <v>177</v>
      </c>
      <c r="M588">
        <v>252</v>
      </c>
      <c r="N588" t="s">
        <v>20</v>
      </c>
      <c r="O588" s="3">
        <v>44881</v>
      </c>
      <c r="P588">
        <v>-1</v>
      </c>
      <c r="T588" t="s">
        <v>52</v>
      </c>
      <c r="U588">
        <v>107</v>
      </c>
      <c r="V588">
        <v>16.824999999999999</v>
      </c>
    </row>
    <row r="589" spans="1:22" x14ac:dyDescent="0.35">
      <c r="A589" s="3">
        <v>44628</v>
      </c>
      <c r="B589" t="s">
        <v>22</v>
      </c>
      <c r="C589">
        <v>0</v>
      </c>
      <c r="D589">
        <v>0</v>
      </c>
      <c r="E589">
        <v>0</v>
      </c>
      <c r="F589">
        <v>0</v>
      </c>
      <c r="G589">
        <v>29.986599999999999</v>
      </c>
      <c r="H589">
        <v>0</v>
      </c>
      <c r="I589">
        <v>0</v>
      </c>
      <c r="J589">
        <v>0</v>
      </c>
      <c r="K589">
        <v>0</v>
      </c>
      <c r="L589">
        <v>94</v>
      </c>
      <c r="M589">
        <v>134</v>
      </c>
      <c r="N589" t="s">
        <v>22</v>
      </c>
      <c r="O589" s="3">
        <v>44762</v>
      </c>
      <c r="P589">
        <v>-1</v>
      </c>
      <c r="T589" t="s">
        <v>51</v>
      </c>
      <c r="U589">
        <v>132</v>
      </c>
      <c r="V589">
        <v>17.125</v>
      </c>
    </row>
    <row r="590" spans="1:22" x14ac:dyDescent="0.35">
      <c r="A590" s="3">
        <v>44628</v>
      </c>
      <c r="B590" t="s">
        <v>29</v>
      </c>
      <c r="C590">
        <v>0</v>
      </c>
      <c r="D590">
        <v>0</v>
      </c>
      <c r="E590">
        <v>0</v>
      </c>
      <c r="F590">
        <v>0</v>
      </c>
      <c r="G590">
        <v>31.355499999999999</v>
      </c>
      <c r="H590">
        <v>0</v>
      </c>
      <c r="I590">
        <v>0</v>
      </c>
      <c r="J590">
        <v>0</v>
      </c>
      <c r="K590">
        <v>0</v>
      </c>
      <c r="L590">
        <v>51</v>
      </c>
      <c r="M590">
        <v>71</v>
      </c>
      <c r="N590" t="s">
        <v>29</v>
      </c>
      <c r="O590" s="3">
        <v>44699</v>
      </c>
      <c r="P590">
        <v>-1</v>
      </c>
      <c r="T590" t="s">
        <v>50</v>
      </c>
      <c r="U590">
        <v>152</v>
      </c>
      <c r="V590">
        <v>17.274999999999999</v>
      </c>
    </row>
    <row r="591" spans="1:22" x14ac:dyDescent="0.35">
      <c r="A591" s="3">
        <v>44628</v>
      </c>
      <c r="B591" t="s">
        <v>31</v>
      </c>
      <c r="C591">
        <v>0</v>
      </c>
      <c r="D591">
        <v>0</v>
      </c>
      <c r="E591">
        <v>0</v>
      </c>
      <c r="F591">
        <v>0</v>
      </c>
      <c r="G591">
        <v>33.918599999999998</v>
      </c>
      <c r="H591">
        <v>0</v>
      </c>
      <c r="I591">
        <v>0</v>
      </c>
      <c r="J591">
        <v>0</v>
      </c>
      <c r="K591">
        <v>0</v>
      </c>
      <c r="L591">
        <v>5</v>
      </c>
      <c r="M591">
        <v>7</v>
      </c>
      <c r="N591" t="s">
        <v>31</v>
      </c>
      <c r="O591" s="3">
        <v>44635</v>
      </c>
      <c r="P591">
        <v>-1</v>
      </c>
      <c r="T591" t="s">
        <v>49</v>
      </c>
      <c r="U591">
        <v>171</v>
      </c>
      <c r="V591">
        <v>17.600000000000001</v>
      </c>
    </row>
    <row r="592" spans="1:22" x14ac:dyDescent="0.35">
      <c r="A592" s="3">
        <v>44628</v>
      </c>
      <c r="B592" t="s">
        <v>25</v>
      </c>
      <c r="C592">
        <v>0</v>
      </c>
      <c r="D592">
        <v>0</v>
      </c>
      <c r="E592">
        <v>0</v>
      </c>
      <c r="F592">
        <v>0</v>
      </c>
      <c r="G592">
        <v>28.45</v>
      </c>
      <c r="H592">
        <v>0</v>
      </c>
      <c r="I592">
        <v>0</v>
      </c>
      <c r="J592">
        <v>0</v>
      </c>
      <c r="K592">
        <v>0</v>
      </c>
      <c r="L592">
        <v>158</v>
      </c>
      <c r="M592">
        <v>225</v>
      </c>
      <c r="N592" t="s">
        <v>25</v>
      </c>
      <c r="O592" s="3">
        <v>44853</v>
      </c>
      <c r="P592">
        <v>-1</v>
      </c>
      <c r="T592" t="s">
        <v>48</v>
      </c>
      <c r="U592">
        <v>196</v>
      </c>
      <c r="V592">
        <v>19.850000000000001</v>
      </c>
    </row>
    <row r="593" spans="1:22" x14ac:dyDescent="0.35">
      <c r="A593" s="3">
        <v>44628</v>
      </c>
      <c r="B593" t="s">
        <v>20</v>
      </c>
      <c r="C593">
        <v>0</v>
      </c>
      <c r="D593">
        <v>0</v>
      </c>
      <c r="E593">
        <v>0</v>
      </c>
      <c r="F593">
        <v>0</v>
      </c>
      <c r="G593">
        <v>27.4</v>
      </c>
      <c r="H593">
        <v>0</v>
      </c>
      <c r="I593">
        <v>0</v>
      </c>
      <c r="J593">
        <v>0</v>
      </c>
      <c r="K593">
        <v>0</v>
      </c>
      <c r="L593">
        <v>178</v>
      </c>
      <c r="M593">
        <v>253</v>
      </c>
      <c r="N593" t="s">
        <v>20</v>
      </c>
      <c r="O593" s="3">
        <v>44881</v>
      </c>
      <c r="P593">
        <v>-1</v>
      </c>
      <c r="T593" t="s">
        <v>47</v>
      </c>
      <c r="U593">
        <v>216</v>
      </c>
      <c r="V593">
        <v>18.100000000000001</v>
      </c>
    </row>
    <row r="594" spans="1:22" x14ac:dyDescent="0.35">
      <c r="A594" s="3">
        <v>44628</v>
      </c>
      <c r="B594" t="s">
        <v>30</v>
      </c>
      <c r="C594">
        <v>0</v>
      </c>
      <c r="D594">
        <v>0</v>
      </c>
      <c r="E594">
        <v>0</v>
      </c>
      <c r="F594">
        <v>0</v>
      </c>
      <c r="G594">
        <v>32.606499999999997</v>
      </c>
      <c r="H594">
        <v>0</v>
      </c>
      <c r="I594">
        <v>0</v>
      </c>
      <c r="J594">
        <v>0</v>
      </c>
      <c r="K594">
        <v>0</v>
      </c>
      <c r="L594">
        <v>31</v>
      </c>
      <c r="M594">
        <v>43</v>
      </c>
      <c r="N594" t="s">
        <v>30</v>
      </c>
      <c r="O594" s="3">
        <v>44671</v>
      </c>
      <c r="P594">
        <v>-1</v>
      </c>
      <c r="S594" s="3">
        <v>43846</v>
      </c>
      <c r="T594" t="s">
        <v>55</v>
      </c>
      <c r="U594">
        <v>42</v>
      </c>
      <c r="V594">
        <v>15.375</v>
      </c>
    </row>
    <row r="595" spans="1:22" x14ac:dyDescent="0.35">
      <c r="A595" s="3">
        <v>44628</v>
      </c>
      <c r="B595" t="s">
        <v>26</v>
      </c>
      <c r="C595">
        <v>0</v>
      </c>
      <c r="D595">
        <v>0</v>
      </c>
      <c r="E595">
        <v>0</v>
      </c>
      <c r="F595">
        <v>0</v>
      </c>
      <c r="G595">
        <v>29.1494</v>
      </c>
      <c r="H595">
        <v>0</v>
      </c>
      <c r="I595">
        <v>0</v>
      </c>
      <c r="J595">
        <v>0</v>
      </c>
      <c r="K595">
        <v>0</v>
      </c>
      <c r="L595">
        <v>114</v>
      </c>
      <c r="M595">
        <v>162</v>
      </c>
      <c r="N595" t="s">
        <v>26</v>
      </c>
      <c r="O595" s="3">
        <v>44790</v>
      </c>
      <c r="P595">
        <v>-1</v>
      </c>
      <c r="T595" t="s">
        <v>54</v>
      </c>
      <c r="U595">
        <v>62</v>
      </c>
      <c r="V595">
        <v>15.975</v>
      </c>
    </row>
    <row r="596" spans="1:22" x14ac:dyDescent="0.35">
      <c r="A596" s="3">
        <v>44628</v>
      </c>
      <c r="B596" t="s">
        <v>27</v>
      </c>
      <c r="C596">
        <v>0</v>
      </c>
      <c r="D596">
        <v>0</v>
      </c>
      <c r="E596">
        <v>0</v>
      </c>
      <c r="F596">
        <v>0</v>
      </c>
      <c r="G596">
        <v>28.758900000000001</v>
      </c>
      <c r="H596">
        <v>0</v>
      </c>
      <c r="I596">
        <v>0</v>
      </c>
      <c r="J596">
        <v>0</v>
      </c>
      <c r="K596">
        <v>0</v>
      </c>
      <c r="L596">
        <v>138</v>
      </c>
      <c r="M596">
        <v>197</v>
      </c>
      <c r="N596" t="s">
        <v>27</v>
      </c>
      <c r="O596" s="3">
        <v>44825</v>
      </c>
      <c r="P596">
        <v>-1</v>
      </c>
      <c r="T596" t="s">
        <v>53</v>
      </c>
      <c r="U596">
        <v>87</v>
      </c>
      <c r="V596">
        <v>16.225000000000001</v>
      </c>
    </row>
    <row r="597" spans="1:22" x14ac:dyDescent="0.35">
      <c r="A597" s="3">
        <v>44628</v>
      </c>
      <c r="B597" t="s">
        <v>28</v>
      </c>
      <c r="C597">
        <v>0</v>
      </c>
      <c r="D597">
        <v>0</v>
      </c>
      <c r="E597">
        <v>0</v>
      </c>
      <c r="F597">
        <v>0</v>
      </c>
      <c r="G597">
        <v>30.3992</v>
      </c>
      <c r="H597">
        <v>0</v>
      </c>
      <c r="I597">
        <v>0</v>
      </c>
      <c r="J597">
        <v>0</v>
      </c>
      <c r="K597">
        <v>0</v>
      </c>
      <c r="L597">
        <v>70</v>
      </c>
      <c r="M597">
        <v>99</v>
      </c>
      <c r="N597" t="s">
        <v>28</v>
      </c>
      <c r="O597" s="3">
        <v>44727</v>
      </c>
      <c r="P597">
        <v>-1</v>
      </c>
      <c r="T597" t="s">
        <v>52</v>
      </c>
      <c r="U597">
        <v>106</v>
      </c>
      <c r="V597">
        <v>16.625</v>
      </c>
    </row>
    <row r="598" spans="1:22" x14ac:dyDescent="0.35">
      <c r="A598" s="3">
        <v>44627</v>
      </c>
      <c r="B598" t="s">
        <v>30</v>
      </c>
      <c r="C598">
        <v>0</v>
      </c>
      <c r="D598">
        <v>0</v>
      </c>
      <c r="E598">
        <v>0</v>
      </c>
      <c r="F598">
        <v>0</v>
      </c>
      <c r="G598">
        <v>32.86</v>
      </c>
      <c r="H598">
        <v>0</v>
      </c>
      <c r="I598">
        <v>0</v>
      </c>
      <c r="J598">
        <v>0</v>
      </c>
      <c r="K598">
        <v>0</v>
      </c>
      <c r="L598">
        <v>32</v>
      </c>
      <c r="M598">
        <v>44</v>
      </c>
      <c r="N598" t="s">
        <v>30</v>
      </c>
      <c r="O598" s="3">
        <v>44671</v>
      </c>
      <c r="P598">
        <v>-1</v>
      </c>
      <c r="T598" t="s">
        <v>51</v>
      </c>
      <c r="U598">
        <v>131</v>
      </c>
      <c r="V598">
        <v>16.975000000000001</v>
      </c>
    </row>
    <row r="599" spans="1:22" x14ac:dyDescent="0.35">
      <c r="A599" s="3">
        <v>44627</v>
      </c>
      <c r="B599" t="s">
        <v>26</v>
      </c>
      <c r="C599">
        <v>0</v>
      </c>
      <c r="D599">
        <v>0</v>
      </c>
      <c r="E599">
        <v>0</v>
      </c>
      <c r="F599">
        <v>0</v>
      </c>
      <c r="G599">
        <v>29.175999999999998</v>
      </c>
      <c r="H599">
        <v>0</v>
      </c>
      <c r="I599">
        <v>0</v>
      </c>
      <c r="J599">
        <v>0</v>
      </c>
      <c r="K599">
        <v>0</v>
      </c>
      <c r="L599">
        <v>115</v>
      </c>
      <c r="M599">
        <v>163</v>
      </c>
      <c r="N599" t="s">
        <v>26</v>
      </c>
      <c r="O599" s="3">
        <v>44790</v>
      </c>
      <c r="P599">
        <v>-1</v>
      </c>
      <c r="T599" t="s">
        <v>50</v>
      </c>
      <c r="U599">
        <v>151</v>
      </c>
      <c r="V599">
        <v>17.125</v>
      </c>
    </row>
    <row r="600" spans="1:22" x14ac:dyDescent="0.35">
      <c r="A600" s="3">
        <v>44627</v>
      </c>
      <c r="B600" t="s">
        <v>27</v>
      </c>
      <c r="C600">
        <v>0</v>
      </c>
      <c r="D600">
        <v>0</v>
      </c>
      <c r="E600">
        <v>0</v>
      </c>
      <c r="F600">
        <v>0</v>
      </c>
      <c r="G600">
        <v>28.716699999999999</v>
      </c>
      <c r="H600">
        <v>0</v>
      </c>
      <c r="I600">
        <v>0</v>
      </c>
      <c r="J600">
        <v>0</v>
      </c>
      <c r="K600">
        <v>0</v>
      </c>
      <c r="L600">
        <v>139</v>
      </c>
      <c r="M600">
        <v>198</v>
      </c>
      <c r="N600" t="s">
        <v>27</v>
      </c>
      <c r="O600" s="3">
        <v>44825</v>
      </c>
      <c r="P600">
        <v>-1</v>
      </c>
      <c r="T600" t="s">
        <v>49</v>
      </c>
      <c r="U600">
        <v>170</v>
      </c>
      <c r="V600">
        <v>17.475000000000001</v>
      </c>
    </row>
    <row r="601" spans="1:22" x14ac:dyDescent="0.35">
      <c r="A601" s="3">
        <v>44627</v>
      </c>
      <c r="B601" t="s">
        <v>28</v>
      </c>
      <c r="C601">
        <v>0</v>
      </c>
      <c r="D601">
        <v>0</v>
      </c>
      <c r="E601">
        <v>0</v>
      </c>
      <c r="F601">
        <v>0</v>
      </c>
      <c r="G601">
        <v>30.466999999999999</v>
      </c>
      <c r="H601">
        <v>0</v>
      </c>
      <c r="I601">
        <v>0</v>
      </c>
      <c r="J601">
        <v>0</v>
      </c>
      <c r="K601">
        <v>0</v>
      </c>
      <c r="L601">
        <v>71</v>
      </c>
      <c r="M601">
        <v>100</v>
      </c>
      <c r="N601" t="s">
        <v>28</v>
      </c>
      <c r="O601" s="3">
        <v>44727</v>
      </c>
      <c r="P601">
        <v>-1</v>
      </c>
      <c r="T601" t="s">
        <v>48</v>
      </c>
      <c r="U601">
        <v>195</v>
      </c>
      <c r="V601">
        <v>19.824999999999999</v>
      </c>
    </row>
    <row r="602" spans="1:22" x14ac:dyDescent="0.35">
      <c r="A602" s="3">
        <v>44627</v>
      </c>
      <c r="B602" t="s">
        <v>22</v>
      </c>
      <c r="C602">
        <v>0</v>
      </c>
      <c r="D602">
        <v>0</v>
      </c>
      <c r="E602">
        <v>0</v>
      </c>
      <c r="F602">
        <v>0</v>
      </c>
      <c r="G602">
        <v>30.003699999999998</v>
      </c>
      <c r="H602">
        <v>0</v>
      </c>
      <c r="I602">
        <v>0</v>
      </c>
      <c r="J602">
        <v>0</v>
      </c>
      <c r="K602">
        <v>0</v>
      </c>
      <c r="L602">
        <v>95</v>
      </c>
      <c r="M602">
        <v>135</v>
      </c>
      <c r="N602" t="s">
        <v>22</v>
      </c>
      <c r="O602" s="3">
        <v>44762</v>
      </c>
      <c r="P602">
        <v>-1</v>
      </c>
      <c r="T602" t="s">
        <v>47</v>
      </c>
      <c r="U602">
        <v>215</v>
      </c>
      <c r="V602">
        <v>17.975000000000001</v>
      </c>
    </row>
    <row r="603" spans="1:22" x14ac:dyDescent="0.35">
      <c r="A603" s="3">
        <v>44627</v>
      </c>
      <c r="B603" t="s">
        <v>29</v>
      </c>
      <c r="C603">
        <v>0</v>
      </c>
      <c r="D603">
        <v>0</v>
      </c>
      <c r="E603">
        <v>0</v>
      </c>
      <c r="F603">
        <v>0</v>
      </c>
      <c r="G603">
        <v>31.4682</v>
      </c>
      <c r="H603">
        <v>0</v>
      </c>
      <c r="I603">
        <v>0</v>
      </c>
      <c r="J603">
        <v>0</v>
      </c>
      <c r="K603">
        <v>0</v>
      </c>
      <c r="L603">
        <v>52</v>
      </c>
      <c r="M603">
        <v>72</v>
      </c>
      <c r="N603" t="s">
        <v>29</v>
      </c>
      <c r="O603" s="3">
        <v>44699</v>
      </c>
      <c r="P603">
        <v>-1</v>
      </c>
      <c r="S603" s="3">
        <v>43847</v>
      </c>
      <c r="T603" t="s">
        <v>55</v>
      </c>
      <c r="U603">
        <v>41</v>
      </c>
      <c r="V603">
        <v>15.375</v>
      </c>
    </row>
    <row r="604" spans="1:22" x14ac:dyDescent="0.35">
      <c r="A604" s="3">
        <v>44627</v>
      </c>
      <c r="B604" t="s">
        <v>31</v>
      </c>
      <c r="C604">
        <v>0</v>
      </c>
      <c r="D604">
        <v>0</v>
      </c>
      <c r="E604">
        <v>0</v>
      </c>
      <c r="F604">
        <v>0</v>
      </c>
      <c r="G604">
        <v>34.810499999999998</v>
      </c>
      <c r="H604">
        <v>0</v>
      </c>
      <c r="I604">
        <v>0</v>
      </c>
      <c r="J604">
        <v>0</v>
      </c>
      <c r="K604">
        <v>0</v>
      </c>
      <c r="L604">
        <v>6</v>
      </c>
      <c r="M604">
        <v>8</v>
      </c>
      <c r="N604" t="s">
        <v>31</v>
      </c>
      <c r="O604" s="3">
        <v>44635</v>
      </c>
      <c r="P604">
        <v>-1</v>
      </c>
      <c r="T604" t="s">
        <v>54</v>
      </c>
      <c r="U604">
        <v>61</v>
      </c>
      <c r="V604">
        <v>16.024999999999999</v>
      </c>
    </row>
    <row r="605" spans="1:22" x14ac:dyDescent="0.35">
      <c r="A605" s="3">
        <v>44627</v>
      </c>
      <c r="B605" t="s">
        <v>25</v>
      </c>
      <c r="C605">
        <v>0</v>
      </c>
      <c r="D605">
        <v>0</v>
      </c>
      <c r="E605">
        <v>0</v>
      </c>
      <c r="F605">
        <v>0</v>
      </c>
      <c r="G605">
        <v>28.5</v>
      </c>
      <c r="H605">
        <v>0</v>
      </c>
      <c r="I605">
        <v>0</v>
      </c>
      <c r="J605">
        <v>0</v>
      </c>
      <c r="K605">
        <v>0</v>
      </c>
      <c r="L605">
        <v>159</v>
      </c>
      <c r="M605">
        <v>226</v>
      </c>
      <c r="N605" t="s">
        <v>25</v>
      </c>
      <c r="O605" s="3">
        <v>44853</v>
      </c>
      <c r="P605">
        <v>-1</v>
      </c>
      <c r="T605" t="s">
        <v>53</v>
      </c>
      <c r="U605">
        <v>86</v>
      </c>
      <c r="V605">
        <v>16.324999999999999</v>
      </c>
    </row>
    <row r="606" spans="1:22" x14ac:dyDescent="0.35">
      <c r="A606" s="3">
        <v>44627</v>
      </c>
      <c r="B606" t="s">
        <v>20</v>
      </c>
      <c r="C606">
        <v>0</v>
      </c>
      <c r="D606">
        <v>0</v>
      </c>
      <c r="E606">
        <v>0</v>
      </c>
      <c r="F606">
        <v>0</v>
      </c>
      <c r="G606">
        <v>27.5</v>
      </c>
      <c r="H606">
        <v>0</v>
      </c>
      <c r="I606">
        <v>0</v>
      </c>
      <c r="J606">
        <v>0</v>
      </c>
      <c r="K606">
        <v>0</v>
      </c>
      <c r="L606">
        <v>179</v>
      </c>
      <c r="M606">
        <v>254</v>
      </c>
      <c r="N606" t="s">
        <v>20</v>
      </c>
      <c r="O606" s="3">
        <v>44881</v>
      </c>
      <c r="P606">
        <v>-1</v>
      </c>
      <c r="T606" t="s">
        <v>52</v>
      </c>
      <c r="U606">
        <v>105</v>
      </c>
      <c r="V606">
        <v>16.725000000000001</v>
      </c>
    </row>
    <row r="607" spans="1:22" x14ac:dyDescent="0.35">
      <c r="A607" s="3">
        <v>44624</v>
      </c>
      <c r="B607" t="s">
        <v>22</v>
      </c>
      <c r="C607">
        <v>0</v>
      </c>
      <c r="D607">
        <v>0</v>
      </c>
      <c r="E607">
        <v>0</v>
      </c>
      <c r="F607">
        <v>0</v>
      </c>
      <c r="G607">
        <v>28.493500000000001</v>
      </c>
      <c r="H607">
        <v>0</v>
      </c>
      <c r="I607">
        <v>0</v>
      </c>
      <c r="J607">
        <v>0</v>
      </c>
      <c r="K607">
        <v>0</v>
      </c>
      <c r="L607">
        <v>96</v>
      </c>
      <c r="M607">
        <v>138</v>
      </c>
      <c r="N607" t="s">
        <v>22</v>
      </c>
      <c r="O607" s="3">
        <v>44762</v>
      </c>
      <c r="P607">
        <v>-1</v>
      </c>
      <c r="T607" t="s">
        <v>51</v>
      </c>
      <c r="U607">
        <v>130</v>
      </c>
      <c r="V607">
        <v>17.024999999999999</v>
      </c>
    </row>
    <row r="608" spans="1:22" x14ac:dyDescent="0.35">
      <c r="A608" s="3">
        <v>44624</v>
      </c>
      <c r="B608" t="s">
        <v>29</v>
      </c>
      <c r="C608">
        <v>0</v>
      </c>
      <c r="D608">
        <v>0</v>
      </c>
      <c r="E608">
        <v>0</v>
      </c>
      <c r="F608">
        <v>0</v>
      </c>
      <c r="G608">
        <v>29.311</v>
      </c>
      <c r="H608">
        <v>0</v>
      </c>
      <c r="I608">
        <v>0</v>
      </c>
      <c r="J608">
        <v>0</v>
      </c>
      <c r="K608">
        <v>0</v>
      </c>
      <c r="L608">
        <v>53</v>
      </c>
      <c r="M608">
        <v>75</v>
      </c>
      <c r="N608" t="s">
        <v>29</v>
      </c>
      <c r="O608" s="3">
        <v>44699</v>
      </c>
      <c r="P608">
        <v>-1</v>
      </c>
      <c r="T608" t="s">
        <v>50</v>
      </c>
      <c r="U608">
        <v>150</v>
      </c>
      <c r="V608">
        <v>17.175000000000001</v>
      </c>
    </row>
    <row r="609" spans="1:22" x14ac:dyDescent="0.35">
      <c r="A609" s="3">
        <v>44624</v>
      </c>
      <c r="B609" t="s">
        <v>31</v>
      </c>
      <c r="C609">
        <v>0</v>
      </c>
      <c r="D609">
        <v>0</v>
      </c>
      <c r="E609">
        <v>0</v>
      </c>
      <c r="F609">
        <v>0</v>
      </c>
      <c r="G609">
        <v>31.5274</v>
      </c>
      <c r="H609">
        <v>0</v>
      </c>
      <c r="I609">
        <v>0</v>
      </c>
      <c r="J609">
        <v>0</v>
      </c>
      <c r="K609">
        <v>0</v>
      </c>
      <c r="L609">
        <v>7</v>
      </c>
      <c r="M609">
        <v>11</v>
      </c>
      <c r="N609" t="s">
        <v>31</v>
      </c>
      <c r="O609" s="3">
        <v>44635</v>
      </c>
      <c r="P609">
        <v>-1</v>
      </c>
      <c r="T609" t="s">
        <v>49</v>
      </c>
      <c r="U609">
        <v>169</v>
      </c>
      <c r="V609">
        <v>17.475000000000001</v>
      </c>
    </row>
    <row r="610" spans="1:22" x14ac:dyDescent="0.35">
      <c r="A610" s="3">
        <v>44624</v>
      </c>
      <c r="B610" t="s">
        <v>25</v>
      </c>
      <c r="C610">
        <v>0</v>
      </c>
      <c r="D610">
        <v>0</v>
      </c>
      <c r="E610">
        <v>0</v>
      </c>
      <c r="F610">
        <v>0</v>
      </c>
      <c r="G610">
        <v>27.574999999999999</v>
      </c>
      <c r="H610">
        <v>0</v>
      </c>
      <c r="I610">
        <v>0</v>
      </c>
      <c r="J610">
        <v>0</v>
      </c>
      <c r="K610">
        <v>0</v>
      </c>
      <c r="L610">
        <v>160</v>
      </c>
      <c r="M610">
        <v>229</v>
      </c>
      <c r="N610" t="s">
        <v>25</v>
      </c>
      <c r="O610" s="3">
        <v>44853</v>
      </c>
      <c r="P610">
        <v>-1</v>
      </c>
      <c r="T610" t="s">
        <v>48</v>
      </c>
      <c r="U610">
        <v>194</v>
      </c>
      <c r="V610">
        <v>19.925000000000001</v>
      </c>
    </row>
    <row r="611" spans="1:22" x14ac:dyDescent="0.35">
      <c r="A611" s="3">
        <v>44624</v>
      </c>
      <c r="B611" t="s">
        <v>20</v>
      </c>
      <c r="C611">
        <v>0</v>
      </c>
      <c r="D611">
        <v>0</v>
      </c>
      <c r="E611">
        <v>0</v>
      </c>
      <c r="F611">
        <v>0</v>
      </c>
      <c r="G611">
        <v>26.824999999999999</v>
      </c>
      <c r="H611">
        <v>0</v>
      </c>
      <c r="I611">
        <v>0</v>
      </c>
      <c r="J611">
        <v>0</v>
      </c>
      <c r="K611">
        <v>0</v>
      </c>
      <c r="L611">
        <v>180</v>
      </c>
      <c r="M611">
        <v>257</v>
      </c>
      <c r="N611" t="s">
        <v>20</v>
      </c>
      <c r="O611" s="3">
        <v>44881</v>
      </c>
      <c r="P611">
        <v>-1</v>
      </c>
      <c r="T611" t="s">
        <v>47</v>
      </c>
      <c r="U611">
        <v>214</v>
      </c>
      <c r="V611">
        <v>17.824999999999999</v>
      </c>
    </row>
    <row r="612" spans="1:22" x14ac:dyDescent="0.35">
      <c r="A612" s="3">
        <v>44624</v>
      </c>
      <c r="B612" t="s">
        <v>30</v>
      </c>
      <c r="C612">
        <v>0</v>
      </c>
      <c r="D612">
        <v>0</v>
      </c>
      <c r="E612">
        <v>0</v>
      </c>
      <c r="F612">
        <v>0</v>
      </c>
      <c r="G612">
        <v>30.301200000000001</v>
      </c>
      <c r="H612">
        <v>0</v>
      </c>
      <c r="I612">
        <v>0</v>
      </c>
      <c r="J612">
        <v>0</v>
      </c>
      <c r="K612">
        <v>0</v>
      </c>
      <c r="L612">
        <v>33</v>
      </c>
      <c r="M612">
        <v>47</v>
      </c>
      <c r="N612" t="s">
        <v>30</v>
      </c>
      <c r="O612" s="3">
        <v>44671</v>
      </c>
      <c r="P612">
        <v>-1</v>
      </c>
      <c r="S612" s="3">
        <v>43851</v>
      </c>
      <c r="T612" t="s">
        <v>55</v>
      </c>
      <c r="U612">
        <v>40</v>
      </c>
      <c r="V612">
        <v>15.525</v>
      </c>
    </row>
    <row r="613" spans="1:22" x14ac:dyDescent="0.35">
      <c r="A613" s="3">
        <v>44624</v>
      </c>
      <c r="B613" t="s">
        <v>26</v>
      </c>
      <c r="C613">
        <v>0</v>
      </c>
      <c r="D613">
        <v>0</v>
      </c>
      <c r="E613">
        <v>0</v>
      </c>
      <c r="F613">
        <v>0</v>
      </c>
      <c r="G613">
        <v>27.8992</v>
      </c>
      <c r="H613">
        <v>0</v>
      </c>
      <c r="I613">
        <v>0</v>
      </c>
      <c r="J613">
        <v>0</v>
      </c>
      <c r="K613">
        <v>0</v>
      </c>
      <c r="L613">
        <v>116</v>
      </c>
      <c r="M613">
        <v>166</v>
      </c>
      <c r="N613" t="s">
        <v>26</v>
      </c>
      <c r="O613" s="3">
        <v>44790</v>
      </c>
      <c r="P613">
        <v>-1</v>
      </c>
      <c r="T613" t="s">
        <v>54</v>
      </c>
      <c r="U613">
        <v>60</v>
      </c>
      <c r="V613">
        <v>16.024999999999999</v>
      </c>
    </row>
    <row r="614" spans="1:22" x14ac:dyDescent="0.35">
      <c r="A614" s="3">
        <v>44624</v>
      </c>
      <c r="B614" t="s">
        <v>27</v>
      </c>
      <c r="C614">
        <v>0</v>
      </c>
      <c r="D614">
        <v>0</v>
      </c>
      <c r="E614">
        <v>0</v>
      </c>
      <c r="F614">
        <v>0</v>
      </c>
      <c r="G614">
        <v>27.731300000000001</v>
      </c>
      <c r="H614">
        <v>0</v>
      </c>
      <c r="I614">
        <v>0</v>
      </c>
      <c r="J614">
        <v>0</v>
      </c>
      <c r="K614">
        <v>0</v>
      </c>
      <c r="L614">
        <v>140</v>
      </c>
      <c r="M614">
        <v>201</v>
      </c>
      <c r="N614" t="s">
        <v>27</v>
      </c>
      <c r="O614" s="3">
        <v>44825</v>
      </c>
      <c r="P614">
        <v>-1</v>
      </c>
      <c r="T614" t="s">
        <v>53</v>
      </c>
      <c r="U614">
        <v>85</v>
      </c>
      <c r="V614">
        <v>16.25</v>
      </c>
    </row>
    <row r="615" spans="1:22" x14ac:dyDescent="0.35">
      <c r="A615" s="3">
        <v>44624</v>
      </c>
      <c r="B615" t="s">
        <v>28</v>
      </c>
      <c r="C615">
        <v>0</v>
      </c>
      <c r="D615">
        <v>0</v>
      </c>
      <c r="E615">
        <v>0</v>
      </c>
      <c r="F615">
        <v>0</v>
      </c>
      <c r="G615">
        <v>28.635999999999999</v>
      </c>
      <c r="H615">
        <v>0</v>
      </c>
      <c r="I615">
        <v>0</v>
      </c>
      <c r="J615">
        <v>0</v>
      </c>
      <c r="K615">
        <v>0</v>
      </c>
      <c r="L615">
        <v>72</v>
      </c>
      <c r="M615">
        <v>103</v>
      </c>
      <c r="N615" t="s">
        <v>28</v>
      </c>
      <c r="O615" s="3">
        <v>44727</v>
      </c>
      <c r="P615">
        <v>-1</v>
      </c>
      <c r="T615" t="s">
        <v>52</v>
      </c>
      <c r="U615">
        <v>104</v>
      </c>
      <c r="V615">
        <v>16.675000000000001</v>
      </c>
    </row>
    <row r="616" spans="1:22" x14ac:dyDescent="0.35">
      <c r="A616" s="3">
        <v>44623</v>
      </c>
      <c r="B616" t="s">
        <v>30</v>
      </c>
      <c r="C616">
        <v>0</v>
      </c>
      <c r="D616">
        <v>0</v>
      </c>
      <c r="E616">
        <v>0</v>
      </c>
      <c r="F616">
        <v>0</v>
      </c>
      <c r="G616">
        <v>29.4694</v>
      </c>
      <c r="H616">
        <v>0</v>
      </c>
      <c r="I616">
        <v>0</v>
      </c>
      <c r="J616">
        <v>0</v>
      </c>
      <c r="K616">
        <v>0</v>
      </c>
      <c r="L616">
        <v>34</v>
      </c>
      <c r="M616">
        <v>48</v>
      </c>
      <c r="N616" t="s">
        <v>30</v>
      </c>
      <c r="O616" s="3">
        <v>44671</v>
      </c>
      <c r="P616">
        <v>-1</v>
      </c>
      <c r="T616" t="s">
        <v>51</v>
      </c>
      <c r="U616">
        <v>129</v>
      </c>
      <c r="V616">
        <v>17</v>
      </c>
    </row>
    <row r="617" spans="1:22" x14ac:dyDescent="0.35">
      <c r="A617" s="3">
        <v>44623</v>
      </c>
      <c r="B617" t="s">
        <v>26</v>
      </c>
      <c r="C617">
        <v>0</v>
      </c>
      <c r="D617">
        <v>0</v>
      </c>
      <c r="E617">
        <v>0</v>
      </c>
      <c r="F617">
        <v>0</v>
      </c>
      <c r="G617">
        <v>27.546900000000001</v>
      </c>
      <c r="H617">
        <v>0</v>
      </c>
      <c r="I617">
        <v>0</v>
      </c>
      <c r="J617">
        <v>0</v>
      </c>
      <c r="K617">
        <v>0</v>
      </c>
      <c r="L617">
        <v>117</v>
      </c>
      <c r="M617">
        <v>167</v>
      </c>
      <c r="N617" t="s">
        <v>26</v>
      </c>
      <c r="O617" s="3">
        <v>44790</v>
      </c>
      <c r="P617">
        <v>-1</v>
      </c>
      <c r="T617" t="s">
        <v>50</v>
      </c>
      <c r="U617">
        <v>149</v>
      </c>
      <c r="V617">
        <v>17.175000000000001</v>
      </c>
    </row>
    <row r="618" spans="1:22" x14ac:dyDescent="0.35">
      <c r="A618" s="3">
        <v>44623</v>
      </c>
      <c r="B618" t="s">
        <v>27</v>
      </c>
      <c r="C618">
        <v>0</v>
      </c>
      <c r="D618">
        <v>0</v>
      </c>
      <c r="E618">
        <v>0</v>
      </c>
      <c r="F618">
        <v>0</v>
      </c>
      <c r="G618">
        <v>27.43</v>
      </c>
      <c r="H618">
        <v>0</v>
      </c>
      <c r="I618">
        <v>0</v>
      </c>
      <c r="J618">
        <v>0</v>
      </c>
      <c r="K618">
        <v>0</v>
      </c>
      <c r="L618">
        <v>141</v>
      </c>
      <c r="M618">
        <v>202</v>
      </c>
      <c r="N618" t="s">
        <v>27</v>
      </c>
      <c r="O618" s="3">
        <v>44825</v>
      </c>
      <c r="P618">
        <v>-1</v>
      </c>
      <c r="T618" t="s">
        <v>49</v>
      </c>
      <c r="U618">
        <v>168</v>
      </c>
      <c r="V618">
        <v>17.5</v>
      </c>
    </row>
    <row r="619" spans="1:22" x14ac:dyDescent="0.35">
      <c r="A619" s="3">
        <v>44623</v>
      </c>
      <c r="B619" t="s">
        <v>28</v>
      </c>
      <c r="C619">
        <v>0</v>
      </c>
      <c r="D619">
        <v>0</v>
      </c>
      <c r="E619">
        <v>0</v>
      </c>
      <c r="F619">
        <v>0</v>
      </c>
      <c r="G619">
        <v>28.149899999999999</v>
      </c>
      <c r="H619">
        <v>0</v>
      </c>
      <c r="I619">
        <v>0</v>
      </c>
      <c r="J619">
        <v>0</v>
      </c>
      <c r="K619">
        <v>0</v>
      </c>
      <c r="L619">
        <v>73</v>
      </c>
      <c r="M619">
        <v>104</v>
      </c>
      <c r="N619" t="s">
        <v>28</v>
      </c>
      <c r="O619" s="3">
        <v>44727</v>
      </c>
      <c r="P619">
        <v>-1</v>
      </c>
      <c r="T619" t="s">
        <v>48</v>
      </c>
      <c r="U619">
        <v>193</v>
      </c>
      <c r="V619">
        <v>19.95</v>
      </c>
    </row>
    <row r="620" spans="1:22" x14ac:dyDescent="0.35">
      <c r="A620" s="3">
        <v>44623</v>
      </c>
      <c r="B620" t="s">
        <v>22</v>
      </c>
      <c r="C620">
        <v>0</v>
      </c>
      <c r="D620">
        <v>0</v>
      </c>
      <c r="E620">
        <v>0</v>
      </c>
      <c r="F620">
        <v>0</v>
      </c>
      <c r="G620">
        <v>28.0411</v>
      </c>
      <c r="H620">
        <v>0</v>
      </c>
      <c r="I620">
        <v>0</v>
      </c>
      <c r="J620">
        <v>0</v>
      </c>
      <c r="K620">
        <v>0</v>
      </c>
      <c r="L620">
        <v>97</v>
      </c>
      <c r="M620">
        <v>139</v>
      </c>
      <c r="N620" t="s">
        <v>22</v>
      </c>
      <c r="O620" s="3">
        <v>44762</v>
      </c>
      <c r="P620">
        <v>-1</v>
      </c>
      <c r="T620" t="s">
        <v>47</v>
      </c>
      <c r="U620">
        <v>213</v>
      </c>
      <c r="V620">
        <v>17.8</v>
      </c>
    </row>
    <row r="621" spans="1:22" x14ac:dyDescent="0.35">
      <c r="A621" s="3">
        <v>44623</v>
      </c>
      <c r="B621" t="s">
        <v>29</v>
      </c>
      <c r="C621">
        <v>0</v>
      </c>
      <c r="D621">
        <v>0</v>
      </c>
      <c r="E621">
        <v>0</v>
      </c>
      <c r="F621">
        <v>0</v>
      </c>
      <c r="G621">
        <v>28.738600000000002</v>
      </c>
      <c r="H621">
        <v>0</v>
      </c>
      <c r="I621">
        <v>0</v>
      </c>
      <c r="J621">
        <v>0</v>
      </c>
      <c r="K621">
        <v>0</v>
      </c>
      <c r="L621">
        <v>54</v>
      </c>
      <c r="M621">
        <v>76</v>
      </c>
      <c r="N621" t="s">
        <v>29</v>
      </c>
      <c r="O621" s="3">
        <v>44699</v>
      </c>
      <c r="P621">
        <v>-1</v>
      </c>
      <c r="S621" s="3">
        <v>43852</v>
      </c>
      <c r="T621" t="s">
        <v>55</v>
      </c>
      <c r="U621">
        <v>39</v>
      </c>
      <c r="V621">
        <v>15.725</v>
      </c>
    </row>
    <row r="622" spans="1:22" x14ac:dyDescent="0.35">
      <c r="A622" s="3">
        <v>44623</v>
      </c>
      <c r="B622" t="s">
        <v>31</v>
      </c>
      <c r="C622">
        <v>0</v>
      </c>
      <c r="D622">
        <v>0</v>
      </c>
      <c r="E622">
        <v>0</v>
      </c>
      <c r="F622">
        <v>0</v>
      </c>
      <c r="G622">
        <v>29.9057</v>
      </c>
      <c r="H622">
        <v>0</v>
      </c>
      <c r="I622">
        <v>0</v>
      </c>
      <c r="J622">
        <v>0</v>
      </c>
      <c r="K622">
        <v>0</v>
      </c>
      <c r="L622">
        <v>8</v>
      </c>
      <c r="M622">
        <v>12</v>
      </c>
      <c r="N622" t="s">
        <v>31</v>
      </c>
      <c r="O622" s="3">
        <v>44635</v>
      </c>
      <c r="P622">
        <v>-1</v>
      </c>
      <c r="T622" t="s">
        <v>54</v>
      </c>
      <c r="U622">
        <v>59</v>
      </c>
      <c r="V622">
        <v>16.274999999999999</v>
      </c>
    </row>
    <row r="623" spans="1:22" x14ac:dyDescent="0.35">
      <c r="A623" s="3">
        <v>44623</v>
      </c>
      <c r="B623" t="s">
        <v>25</v>
      </c>
      <c r="C623">
        <v>0</v>
      </c>
      <c r="D623">
        <v>0</v>
      </c>
      <c r="E623">
        <v>0</v>
      </c>
      <c r="F623">
        <v>0</v>
      </c>
      <c r="G623">
        <v>27.35</v>
      </c>
      <c r="H623">
        <v>0</v>
      </c>
      <c r="I623">
        <v>0</v>
      </c>
      <c r="J623">
        <v>0</v>
      </c>
      <c r="K623">
        <v>0</v>
      </c>
      <c r="L623">
        <v>161</v>
      </c>
      <c r="M623">
        <v>230</v>
      </c>
      <c r="N623" t="s">
        <v>25</v>
      </c>
      <c r="O623" s="3">
        <v>44853</v>
      </c>
      <c r="P623">
        <v>-1</v>
      </c>
      <c r="T623" t="s">
        <v>53</v>
      </c>
      <c r="U623">
        <v>84</v>
      </c>
      <c r="V623">
        <v>16.524999999999999</v>
      </c>
    </row>
    <row r="624" spans="1:22" x14ac:dyDescent="0.35">
      <c r="A624" s="3">
        <v>44623</v>
      </c>
      <c r="B624" t="s">
        <v>20</v>
      </c>
      <c r="C624">
        <v>0</v>
      </c>
      <c r="D624">
        <v>0</v>
      </c>
      <c r="E624">
        <v>0</v>
      </c>
      <c r="F624">
        <v>0</v>
      </c>
      <c r="G624">
        <v>26.675000000000001</v>
      </c>
      <c r="H624">
        <v>0</v>
      </c>
      <c r="I624">
        <v>0</v>
      </c>
      <c r="J624">
        <v>0</v>
      </c>
      <c r="K624">
        <v>0</v>
      </c>
      <c r="L624">
        <v>181</v>
      </c>
      <c r="M624">
        <v>258</v>
      </c>
      <c r="N624" t="s">
        <v>20</v>
      </c>
      <c r="O624" s="3">
        <v>44881</v>
      </c>
      <c r="P624">
        <v>-1</v>
      </c>
      <c r="T624" t="s">
        <v>52</v>
      </c>
      <c r="U624">
        <v>103</v>
      </c>
      <c r="V624">
        <v>16.875</v>
      </c>
    </row>
    <row r="625" spans="1:22" x14ac:dyDescent="0.35">
      <c r="A625" s="3">
        <v>44622</v>
      </c>
      <c r="B625" t="s">
        <v>22</v>
      </c>
      <c r="C625">
        <v>0</v>
      </c>
      <c r="D625">
        <v>0</v>
      </c>
      <c r="E625">
        <v>0</v>
      </c>
      <c r="F625">
        <v>0</v>
      </c>
      <c r="G625">
        <v>27.739699999999999</v>
      </c>
      <c r="H625">
        <v>0</v>
      </c>
      <c r="I625">
        <v>0</v>
      </c>
      <c r="J625">
        <v>0</v>
      </c>
      <c r="K625">
        <v>0</v>
      </c>
      <c r="L625">
        <v>98</v>
      </c>
      <c r="M625">
        <v>140</v>
      </c>
      <c r="N625" t="s">
        <v>22</v>
      </c>
      <c r="O625" s="3">
        <v>44762</v>
      </c>
      <c r="P625">
        <v>-1</v>
      </c>
      <c r="T625" t="s">
        <v>51</v>
      </c>
      <c r="U625">
        <v>128</v>
      </c>
      <c r="V625">
        <v>17.125</v>
      </c>
    </row>
    <row r="626" spans="1:22" x14ac:dyDescent="0.35">
      <c r="A626" s="3">
        <v>44622</v>
      </c>
      <c r="B626" t="s">
        <v>29</v>
      </c>
      <c r="C626">
        <v>0</v>
      </c>
      <c r="D626">
        <v>0</v>
      </c>
      <c r="E626">
        <v>0</v>
      </c>
      <c r="F626">
        <v>0</v>
      </c>
      <c r="G626">
        <v>28.324200000000001</v>
      </c>
      <c r="H626">
        <v>0</v>
      </c>
      <c r="I626">
        <v>0</v>
      </c>
      <c r="J626">
        <v>0</v>
      </c>
      <c r="K626">
        <v>0</v>
      </c>
      <c r="L626">
        <v>55</v>
      </c>
      <c r="M626">
        <v>77</v>
      </c>
      <c r="N626" t="s">
        <v>29</v>
      </c>
      <c r="O626" s="3">
        <v>44699</v>
      </c>
      <c r="P626">
        <v>-1</v>
      </c>
      <c r="T626" t="s">
        <v>50</v>
      </c>
      <c r="U626">
        <v>148</v>
      </c>
      <c r="V626">
        <v>17.324999999999999</v>
      </c>
    </row>
    <row r="627" spans="1:22" x14ac:dyDescent="0.35">
      <c r="A627" s="3">
        <v>44622</v>
      </c>
      <c r="B627" t="s">
        <v>31</v>
      </c>
      <c r="C627">
        <v>0</v>
      </c>
      <c r="D627">
        <v>0</v>
      </c>
      <c r="E627">
        <v>0</v>
      </c>
      <c r="F627">
        <v>0</v>
      </c>
      <c r="G627">
        <v>29.6145</v>
      </c>
      <c r="H627">
        <v>0</v>
      </c>
      <c r="I627">
        <v>0</v>
      </c>
      <c r="J627">
        <v>0</v>
      </c>
      <c r="K627">
        <v>0</v>
      </c>
      <c r="L627">
        <v>9</v>
      </c>
      <c r="M627">
        <v>13</v>
      </c>
      <c r="N627" t="s">
        <v>31</v>
      </c>
      <c r="O627" s="3">
        <v>44635</v>
      </c>
      <c r="P627">
        <v>-1</v>
      </c>
      <c r="T627" t="s">
        <v>49</v>
      </c>
      <c r="U627">
        <v>167</v>
      </c>
      <c r="V627">
        <v>17.574999999999999</v>
      </c>
    </row>
    <row r="628" spans="1:22" x14ac:dyDescent="0.35">
      <c r="A628" s="3">
        <v>44622</v>
      </c>
      <c r="B628" t="s">
        <v>25</v>
      </c>
      <c r="C628">
        <v>0</v>
      </c>
      <c r="D628">
        <v>0</v>
      </c>
      <c r="E628">
        <v>0</v>
      </c>
      <c r="F628">
        <v>0</v>
      </c>
      <c r="G628">
        <v>27.1</v>
      </c>
      <c r="H628">
        <v>0</v>
      </c>
      <c r="I628">
        <v>0</v>
      </c>
      <c r="J628">
        <v>0</v>
      </c>
      <c r="K628">
        <v>0</v>
      </c>
      <c r="L628">
        <v>162</v>
      </c>
      <c r="M628">
        <v>231</v>
      </c>
      <c r="N628" t="s">
        <v>25</v>
      </c>
      <c r="O628" s="3">
        <v>44853</v>
      </c>
      <c r="P628">
        <v>-1</v>
      </c>
      <c r="T628" t="s">
        <v>48</v>
      </c>
      <c r="U628">
        <v>192</v>
      </c>
      <c r="V628">
        <v>19.899999999999999</v>
      </c>
    </row>
    <row r="629" spans="1:22" x14ac:dyDescent="0.35">
      <c r="A629" s="3">
        <v>44622</v>
      </c>
      <c r="B629" t="s">
        <v>20</v>
      </c>
      <c r="C629">
        <v>0</v>
      </c>
      <c r="D629">
        <v>0</v>
      </c>
      <c r="E629">
        <v>0</v>
      </c>
      <c r="F629">
        <v>0</v>
      </c>
      <c r="G629">
        <v>26.4</v>
      </c>
      <c r="H629">
        <v>0</v>
      </c>
      <c r="I629">
        <v>0</v>
      </c>
      <c r="J629">
        <v>0</v>
      </c>
      <c r="K629">
        <v>0</v>
      </c>
      <c r="L629">
        <v>182</v>
      </c>
      <c r="M629">
        <v>259</v>
      </c>
      <c r="N629" t="s">
        <v>20</v>
      </c>
      <c r="O629" s="3">
        <v>44881</v>
      </c>
      <c r="P629">
        <v>-1</v>
      </c>
      <c r="T629" t="s">
        <v>47</v>
      </c>
      <c r="U629">
        <v>212</v>
      </c>
      <c r="V629">
        <v>17.725000000000001</v>
      </c>
    </row>
    <row r="630" spans="1:22" x14ac:dyDescent="0.35">
      <c r="A630" s="3">
        <v>44622</v>
      </c>
      <c r="B630" t="s">
        <v>30</v>
      </c>
      <c r="C630">
        <v>0</v>
      </c>
      <c r="D630">
        <v>0</v>
      </c>
      <c r="E630">
        <v>0</v>
      </c>
      <c r="F630">
        <v>0</v>
      </c>
      <c r="G630">
        <v>29.0901</v>
      </c>
      <c r="H630">
        <v>0</v>
      </c>
      <c r="I630">
        <v>0</v>
      </c>
      <c r="J630">
        <v>0</v>
      </c>
      <c r="K630">
        <v>0</v>
      </c>
      <c r="L630">
        <v>35</v>
      </c>
      <c r="M630">
        <v>49</v>
      </c>
      <c r="N630" t="s">
        <v>30</v>
      </c>
      <c r="O630" s="3">
        <v>44671</v>
      </c>
      <c r="P630">
        <v>-1</v>
      </c>
      <c r="S630" s="3">
        <v>43853</v>
      </c>
      <c r="T630" t="s">
        <v>55</v>
      </c>
      <c r="U630">
        <v>38</v>
      </c>
      <c r="V630">
        <v>15.675000000000001</v>
      </c>
    </row>
    <row r="631" spans="1:22" x14ac:dyDescent="0.35">
      <c r="A631" s="3">
        <v>44622</v>
      </c>
      <c r="B631" t="s">
        <v>26</v>
      </c>
      <c r="C631">
        <v>0</v>
      </c>
      <c r="D631">
        <v>0</v>
      </c>
      <c r="E631">
        <v>0</v>
      </c>
      <c r="F631">
        <v>0</v>
      </c>
      <c r="G631">
        <v>27.241900000000001</v>
      </c>
      <c r="H631">
        <v>0</v>
      </c>
      <c r="I631">
        <v>0</v>
      </c>
      <c r="J631">
        <v>0</v>
      </c>
      <c r="K631">
        <v>0</v>
      </c>
      <c r="L631">
        <v>118</v>
      </c>
      <c r="M631">
        <v>168</v>
      </c>
      <c r="N631" t="s">
        <v>26</v>
      </c>
      <c r="O631" s="3">
        <v>44790</v>
      </c>
      <c r="P631">
        <v>-1</v>
      </c>
      <c r="T631" t="s">
        <v>54</v>
      </c>
      <c r="U631">
        <v>58</v>
      </c>
      <c r="V631">
        <v>16.274999999999999</v>
      </c>
    </row>
    <row r="632" spans="1:22" x14ac:dyDescent="0.35">
      <c r="A632" s="3">
        <v>44622</v>
      </c>
      <c r="B632" t="s">
        <v>27</v>
      </c>
      <c r="C632">
        <v>0</v>
      </c>
      <c r="D632">
        <v>0</v>
      </c>
      <c r="E632">
        <v>0</v>
      </c>
      <c r="F632">
        <v>0</v>
      </c>
      <c r="G632">
        <v>27.175000000000001</v>
      </c>
      <c r="H632">
        <v>0</v>
      </c>
      <c r="I632">
        <v>0</v>
      </c>
      <c r="J632">
        <v>0</v>
      </c>
      <c r="K632">
        <v>0</v>
      </c>
      <c r="L632">
        <v>142</v>
      </c>
      <c r="M632">
        <v>203</v>
      </c>
      <c r="N632" t="s">
        <v>27</v>
      </c>
      <c r="O632" s="3">
        <v>44825</v>
      </c>
      <c r="P632">
        <v>-1</v>
      </c>
      <c r="T632" t="s">
        <v>53</v>
      </c>
      <c r="U632">
        <v>83</v>
      </c>
      <c r="V632">
        <v>16.475000000000001</v>
      </c>
    </row>
    <row r="633" spans="1:22" x14ac:dyDescent="0.35">
      <c r="A633" s="3">
        <v>44622</v>
      </c>
      <c r="B633" t="s">
        <v>28</v>
      </c>
      <c r="C633">
        <v>0</v>
      </c>
      <c r="D633">
        <v>0</v>
      </c>
      <c r="E633">
        <v>0</v>
      </c>
      <c r="F633">
        <v>0</v>
      </c>
      <c r="G633">
        <v>27.741399999999999</v>
      </c>
      <c r="H633">
        <v>0</v>
      </c>
      <c r="I633">
        <v>0</v>
      </c>
      <c r="J633">
        <v>0</v>
      </c>
      <c r="K633">
        <v>0</v>
      </c>
      <c r="L633">
        <v>74</v>
      </c>
      <c r="M633">
        <v>105</v>
      </c>
      <c r="N633" t="s">
        <v>28</v>
      </c>
      <c r="O633" s="3">
        <v>44727</v>
      </c>
      <c r="P633">
        <v>-1</v>
      </c>
      <c r="T633" t="s">
        <v>52</v>
      </c>
      <c r="U633">
        <v>102</v>
      </c>
      <c r="V633">
        <v>16.824999999999999</v>
      </c>
    </row>
    <row r="634" spans="1:22" x14ac:dyDescent="0.35">
      <c r="A634" s="3">
        <v>44621</v>
      </c>
      <c r="B634" t="s">
        <v>30</v>
      </c>
      <c r="C634">
        <v>0</v>
      </c>
      <c r="D634">
        <v>0</v>
      </c>
      <c r="E634">
        <v>0</v>
      </c>
      <c r="F634">
        <v>0</v>
      </c>
      <c r="G634">
        <v>30.676200000000001</v>
      </c>
      <c r="H634">
        <v>0</v>
      </c>
      <c r="I634">
        <v>0</v>
      </c>
      <c r="J634">
        <v>0</v>
      </c>
      <c r="K634">
        <v>0</v>
      </c>
      <c r="L634">
        <v>36</v>
      </c>
      <c r="M634">
        <v>50</v>
      </c>
      <c r="N634" t="s">
        <v>30</v>
      </c>
      <c r="O634" s="3">
        <v>44671</v>
      </c>
      <c r="P634">
        <v>-1</v>
      </c>
      <c r="T634" t="s">
        <v>51</v>
      </c>
      <c r="U634">
        <v>127</v>
      </c>
      <c r="V634">
        <v>17.074999999999999</v>
      </c>
    </row>
    <row r="635" spans="1:22" x14ac:dyDescent="0.35">
      <c r="A635" s="3">
        <v>44621</v>
      </c>
      <c r="B635" t="s">
        <v>26</v>
      </c>
      <c r="C635">
        <v>0</v>
      </c>
      <c r="D635">
        <v>0</v>
      </c>
      <c r="E635">
        <v>0</v>
      </c>
      <c r="F635">
        <v>0</v>
      </c>
      <c r="G635">
        <v>27.876000000000001</v>
      </c>
      <c r="H635">
        <v>0</v>
      </c>
      <c r="I635">
        <v>0</v>
      </c>
      <c r="J635">
        <v>0</v>
      </c>
      <c r="K635">
        <v>0</v>
      </c>
      <c r="L635">
        <v>119</v>
      </c>
      <c r="M635">
        <v>169</v>
      </c>
      <c r="N635" t="s">
        <v>26</v>
      </c>
      <c r="O635" s="3">
        <v>44790</v>
      </c>
      <c r="P635">
        <v>-1</v>
      </c>
      <c r="T635" t="s">
        <v>50</v>
      </c>
      <c r="U635">
        <v>147</v>
      </c>
      <c r="V635">
        <v>17.225000000000001</v>
      </c>
    </row>
    <row r="636" spans="1:22" x14ac:dyDescent="0.35">
      <c r="A636" s="3">
        <v>44621</v>
      </c>
      <c r="B636" t="s">
        <v>27</v>
      </c>
      <c r="C636">
        <v>0</v>
      </c>
      <c r="D636">
        <v>0</v>
      </c>
      <c r="E636">
        <v>0</v>
      </c>
      <c r="F636">
        <v>0</v>
      </c>
      <c r="G636">
        <v>27.7</v>
      </c>
      <c r="H636">
        <v>0</v>
      </c>
      <c r="I636">
        <v>0</v>
      </c>
      <c r="J636">
        <v>0</v>
      </c>
      <c r="K636">
        <v>0</v>
      </c>
      <c r="L636">
        <v>143</v>
      </c>
      <c r="M636">
        <v>204</v>
      </c>
      <c r="N636" t="s">
        <v>27</v>
      </c>
      <c r="O636" s="3">
        <v>44825</v>
      </c>
      <c r="P636">
        <v>-1</v>
      </c>
      <c r="T636" t="s">
        <v>49</v>
      </c>
      <c r="U636">
        <v>166</v>
      </c>
      <c r="V636">
        <v>17.5</v>
      </c>
    </row>
    <row r="637" spans="1:22" x14ac:dyDescent="0.35">
      <c r="A637" s="3">
        <v>44621</v>
      </c>
      <c r="B637" t="s">
        <v>28</v>
      </c>
      <c r="C637">
        <v>0</v>
      </c>
      <c r="D637">
        <v>0</v>
      </c>
      <c r="E637">
        <v>0</v>
      </c>
      <c r="F637">
        <v>0</v>
      </c>
      <c r="G637">
        <v>28.774699999999999</v>
      </c>
      <c r="H637">
        <v>0</v>
      </c>
      <c r="I637">
        <v>0</v>
      </c>
      <c r="J637">
        <v>0</v>
      </c>
      <c r="K637">
        <v>0</v>
      </c>
      <c r="L637">
        <v>75</v>
      </c>
      <c r="M637">
        <v>106</v>
      </c>
      <c r="N637" t="s">
        <v>28</v>
      </c>
      <c r="O637" s="3">
        <v>44727</v>
      </c>
      <c r="P637">
        <v>-1</v>
      </c>
      <c r="T637" t="s">
        <v>48</v>
      </c>
      <c r="U637">
        <v>191</v>
      </c>
      <c r="V637">
        <v>19.7</v>
      </c>
    </row>
    <row r="638" spans="1:22" x14ac:dyDescent="0.35">
      <c r="A638" s="3">
        <v>44621</v>
      </c>
      <c r="B638" t="s">
        <v>22</v>
      </c>
      <c r="C638">
        <v>0</v>
      </c>
      <c r="D638">
        <v>0</v>
      </c>
      <c r="E638">
        <v>0</v>
      </c>
      <c r="F638">
        <v>0</v>
      </c>
      <c r="G638">
        <v>28.5411</v>
      </c>
      <c r="H638">
        <v>0</v>
      </c>
      <c r="I638">
        <v>0</v>
      </c>
      <c r="J638">
        <v>0</v>
      </c>
      <c r="K638">
        <v>0</v>
      </c>
      <c r="L638">
        <v>99</v>
      </c>
      <c r="M638">
        <v>141</v>
      </c>
      <c r="N638" t="s">
        <v>22</v>
      </c>
      <c r="O638" s="3">
        <v>44762</v>
      </c>
      <c r="P638">
        <v>-1</v>
      </c>
      <c r="T638" t="s">
        <v>47</v>
      </c>
      <c r="U638">
        <v>211</v>
      </c>
      <c r="V638">
        <v>17.8</v>
      </c>
    </row>
    <row r="639" spans="1:22" x14ac:dyDescent="0.35">
      <c r="A639" s="3">
        <v>44621</v>
      </c>
      <c r="B639" t="s">
        <v>29</v>
      </c>
      <c r="C639">
        <v>0</v>
      </c>
      <c r="D639">
        <v>0</v>
      </c>
      <c r="E639">
        <v>0</v>
      </c>
      <c r="F639">
        <v>0</v>
      </c>
      <c r="G639">
        <v>29.588200000000001</v>
      </c>
      <c r="H639">
        <v>0</v>
      </c>
      <c r="I639">
        <v>0</v>
      </c>
      <c r="J639">
        <v>0</v>
      </c>
      <c r="K639">
        <v>0</v>
      </c>
      <c r="L639">
        <v>56</v>
      </c>
      <c r="M639">
        <v>78</v>
      </c>
      <c r="N639" t="s">
        <v>29</v>
      </c>
      <c r="O639" s="3">
        <v>44699</v>
      </c>
      <c r="P639">
        <v>-1</v>
      </c>
      <c r="S639" s="3">
        <v>43854</v>
      </c>
      <c r="T639" t="s">
        <v>55</v>
      </c>
      <c r="U639">
        <v>37</v>
      </c>
      <c r="V639">
        <v>16.225000000000001</v>
      </c>
    </row>
    <row r="640" spans="1:22" x14ac:dyDescent="0.35">
      <c r="A640" s="3">
        <v>44621</v>
      </c>
      <c r="B640" t="s">
        <v>31</v>
      </c>
      <c r="C640">
        <v>0</v>
      </c>
      <c r="D640">
        <v>0</v>
      </c>
      <c r="E640">
        <v>0</v>
      </c>
      <c r="F640">
        <v>0</v>
      </c>
      <c r="G640">
        <v>32.124099999999999</v>
      </c>
      <c r="H640">
        <v>0</v>
      </c>
      <c r="I640">
        <v>0</v>
      </c>
      <c r="J640">
        <v>0</v>
      </c>
      <c r="K640">
        <v>0</v>
      </c>
      <c r="L640">
        <v>10</v>
      </c>
      <c r="M640">
        <v>14</v>
      </c>
      <c r="N640" t="s">
        <v>31</v>
      </c>
      <c r="O640" s="3">
        <v>44635</v>
      </c>
      <c r="P640">
        <v>-1</v>
      </c>
      <c r="T640" t="s">
        <v>54</v>
      </c>
      <c r="U640">
        <v>57</v>
      </c>
      <c r="V640">
        <v>16.675000000000001</v>
      </c>
    </row>
    <row r="641" spans="1:22" x14ac:dyDescent="0.35">
      <c r="A641" s="3">
        <v>44621</v>
      </c>
      <c r="B641" t="s">
        <v>25</v>
      </c>
      <c r="C641">
        <v>0</v>
      </c>
      <c r="D641">
        <v>0</v>
      </c>
      <c r="E641">
        <v>0</v>
      </c>
      <c r="F641">
        <v>0</v>
      </c>
      <c r="G641">
        <v>27.6</v>
      </c>
      <c r="H641">
        <v>0</v>
      </c>
      <c r="I641">
        <v>0</v>
      </c>
      <c r="J641">
        <v>0</v>
      </c>
      <c r="K641">
        <v>0</v>
      </c>
      <c r="L641">
        <v>163</v>
      </c>
      <c r="M641">
        <v>232</v>
      </c>
      <c r="N641" t="s">
        <v>25</v>
      </c>
      <c r="O641" s="3">
        <v>44853</v>
      </c>
      <c r="P641">
        <v>-1</v>
      </c>
      <c r="T641" t="s">
        <v>53</v>
      </c>
      <c r="U641">
        <v>82</v>
      </c>
      <c r="V641">
        <v>16.725000000000001</v>
      </c>
    </row>
    <row r="642" spans="1:22" x14ac:dyDescent="0.35">
      <c r="A642" s="3">
        <v>44621</v>
      </c>
      <c r="B642" t="s">
        <v>20</v>
      </c>
      <c r="C642">
        <v>0</v>
      </c>
      <c r="D642">
        <v>0</v>
      </c>
      <c r="E642">
        <v>0</v>
      </c>
      <c r="F642">
        <v>0</v>
      </c>
      <c r="G642">
        <v>27</v>
      </c>
      <c r="H642">
        <v>0</v>
      </c>
      <c r="I642">
        <v>0</v>
      </c>
      <c r="J642">
        <v>0</v>
      </c>
      <c r="K642">
        <v>0</v>
      </c>
      <c r="L642">
        <v>183</v>
      </c>
      <c r="M642">
        <v>260</v>
      </c>
      <c r="N642" t="s">
        <v>20</v>
      </c>
      <c r="O642" s="3">
        <v>44881</v>
      </c>
      <c r="P642">
        <v>-1</v>
      </c>
      <c r="T642" t="s">
        <v>52</v>
      </c>
      <c r="U642">
        <v>101</v>
      </c>
      <c r="V642">
        <v>17.125</v>
      </c>
    </row>
    <row r="643" spans="1:22" x14ac:dyDescent="0.35">
      <c r="A643" s="3">
        <v>44620</v>
      </c>
      <c r="B643" t="s">
        <v>22</v>
      </c>
      <c r="C643">
        <v>0</v>
      </c>
      <c r="D643">
        <v>0</v>
      </c>
      <c r="E643">
        <v>0</v>
      </c>
      <c r="F643">
        <v>0</v>
      </c>
      <c r="G643">
        <v>27.275300000000001</v>
      </c>
      <c r="H643">
        <v>0</v>
      </c>
      <c r="I643">
        <v>0</v>
      </c>
      <c r="J643">
        <v>0</v>
      </c>
      <c r="K643">
        <v>0</v>
      </c>
      <c r="L643">
        <v>100</v>
      </c>
      <c r="M643">
        <v>142</v>
      </c>
      <c r="N643" t="s">
        <v>22</v>
      </c>
      <c r="O643" s="3">
        <v>44762</v>
      </c>
      <c r="P643">
        <v>-1</v>
      </c>
      <c r="T643" t="s">
        <v>51</v>
      </c>
      <c r="U643">
        <v>126</v>
      </c>
      <c r="V643">
        <v>17.324999999999999</v>
      </c>
    </row>
    <row r="644" spans="1:22" x14ac:dyDescent="0.35">
      <c r="A644" s="3">
        <v>44620</v>
      </c>
      <c r="B644" t="s">
        <v>29</v>
      </c>
      <c r="C644">
        <v>0</v>
      </c>
      <c r="D644">
        <v>0</v>
      </c>
      <c r="E644">
        <v>0</v>
      </c>
      <c r="F644">
        <v>0</v>
      </c>
      <c r="G644">
        <v>27.6021</v>
      </c>
      <c r="H644">
        <v>0</v>
      </c>
      <c r="I644">
        <v>0</v>
      </c>
      <c r="J644">
        <v>0</v>
      </c>
      <c r="K644">
        <v>0</v>
      </c>
      <c r="L644">
        <v>57</v>
      </c>
      <c r="M644">
        <v>79</v>
      </c>
      <c r="N644" t="s">
        <v>29</v>
      </c>
      <c r="O644" s="3">
        <v>44699</v>
      </c>
      <c r="P644">
        <v>-1</v>
      </c>
      <c r="T644" t="s">
        <v>50</v>
      </c>
      <c r="U644">
        <v>146</v>
      </c>
      <c r="V644">
        <v>17.475000000000001</v>
      </c>
    </row>
    <row r="645" spans="1:22" x14ac:dyDescent="0.35">
      <c r="A645" s="3">
        <v>44620</v>
      </c>
      <c r="B645" t="s">
        <v>31</v>
      </c>
      <c r="C645">
        <v>0</v>
      </c>
      <c r="D645">
        <v>0</v>
      </c>
      <c r="E645">
        <v>0</v>
      </c>
      <c r="F645">
        <v>0</v>
      </c>
      <c r="G645">
        <v>28.616900000000001</v>
      </c>
      <c r="H645">
        <v>0</v>
      </c>
      <c r="I645">
        <v>0</v>
      </c>
      <c r="J645">
        <v>0</v>
      </c>
      <c r="K645">
        <v>0</v>
      </c>
      <c r="L645">
        <v>11</v>
      </c>
      <c r="M645">
        <v>15</v>
      </c>
      <c r="N645" t="s">
        <v>31</v>
      </c>
      <c r="O645" s="3">
        <v>44635</v>
      </c>
      <c r="P645">
        <v>-1</v>
      </c>
      <c r="T645" t="s">
        <v>49</v>
      </c>
      <c r="U645">
        <v>165</v>
      </c>
      <c r="V645">
        <v>17.725000000000001</v>
      </c>
    </row>
    <row r="646" spans="1:22" x14ac:dyDescent="0.35">
      <c r="A646" s="3">
        <v>44620</v>
      </c>
      <c r="B646" t="s">
        <v>25</v>
      </c>
      <c r="C646">
        <v>0</v>
      </c>
      <c r="D646">
        <v>0</v>
      </c>
      <c r="E646">
        <v>0</v>
      </c>
      <c r="F646">
        <v>0</v>
      </c>
      <c r="G646">
        <v>26.875</v>
      </c>
      <c r="H646">
        <v>0</v>
      </c>
      <c r="I646">
        <v>0</v>
      </c>
      <c r="J646">
        <v>0</v>
      </c>
      <c r="K646">
        <v>0</v>
      </c>
      <c r="L646">
        <v>164</v>
      </c>
      <c r="M646">
        <v>233</v>
      </c>
      <c r="N646" t="s">
        <v>25</v>
      </c>
      <c r="O646" s="3">
        <v>44853</v>
      </c>
      <c r="P646">
        <v>-1</v>
      </c>
      <c r="T646" t="s">
        <v>48</v>
      </c>
      <c r="U646">
        <v>190</v>
      </c>
      <c r="V646">
        <v>19.925000000000001</v>
      </c>
    </row>
    <row r="647" spans="1:22" x14ac:dyDescent="0.35">
      <c r="A647" s="3">
        <v>44620</v>
      </c>
      <c r="B647" t="s">
        <v>20</v>
      </c>
      <c r="C647">
        <v>0</v>
      </c>
      <c r="D647">
        <v>0</v>
      </c>
      <c r="E647">
        <v>0</v>
      </c>
      <c r="F647">
        <v>0</v>
      </c>
      <c r="G647">
        <v>26.475000000000001</v>
      </c>
      <c r="H647">
        <v>0</v>
      </c>
      <c r="I647">
        <v>0</v>
      </c>
      <c r="J647">
        <v>0</v>
      </c>
      <c r="K647">
        <v>0</v>
      </c>
      <c r="L647">
        <v>184</v>
      </c>
      <c r="M647">
        <v>261</v>
      </c>
      <c r="N647" t="s">
        <v>20</v>
      </c>
      <c r="O647" s="3">
        <v>44881</v>
      </c>
      <c r="P647">
        <v>-1</v>
      </c>
      <c r="T647" t="s">
        <v>47</v>
      </c>
      <c r="U647">
        <v>210</v>
      </c>
      <c r="V647">
        <v>17.899999999999999</v>
      </c>
    </row>
    <row r="648" spans="1:22" x14ac:dyDescent="0.35">
      <c r="A648" s="3">
        <v>44620</v>
      </c>
      <c r="B648" t="s">
        <v>30</v>
      </c>
      <c r="C648">
        <v>0</v>
      </c>
      <c r="D648">
        <v>0</v>
      </c>
      <c r="E648">
        <v>0</v>
      </c>
      <c r="F648">
        <v>0</v>
      </c>
      <c r="G648">
        <v>28.150099999999998</v>
      </c>
      <c r="H648">
        <v>0</v>
      </c>
      <c r="I648">
        <v>0</v>
      </c>
      <c r="J648">
        <v>0</v>
      </c>
      <c r="K648">
        <v>0</v>
      </c>
      <c r="L648">
        <v>37</v>
      </c>
      <c r="M648">
        <v>51</v>
      </c>
      <c r="N648" t="s">
        <v>30</v>
      </c>
      <c r="O648" s="3">
        <v>44671</v>
      </c>
      <c r="P648">
        <v>-1</v>
      </c>
      <c r="S648" s="3">
        <v>43857</v>
      </c>
      <c r="T648" t="s">
        <v>55</v>
      </c>
      <c r="U648">
        <v>36</v>
      </c>
      <c r="V648">
        <v>17.324999999999999</v>
      </c>
    </row>
    <row r="649" spans="1:22" x14ac:dyDescent="0.35">
      <c r="A649" s="3">
        <v>44620</v>
      </c>
      <c r="B649" t="s">
        <v>26</v>
      </c>
      <c r="C649">
        <v>0</v>
      </c>
      <c r="D649">
        <v>0</v>
      </c>
      <c r="E649">
        <v>0</v>
      </c>
      <c r="F649">
        <v>0</v>
      </c>
      <c r="G649">
        <v>26.848800000000001</v>
      </c>
      <c r="H649">
        <v>0</v>
      </c>
      <c r="I649">
        <v>0</v>
      </c>
      <c r="J649">
        <v>0</v>
      </c>
      <c r="K649">
        <v>0</v>
      </c>
      <c r="L649">
        <v>120</v>
      </c>
      <c r="M649">
        <v>170</v>
      </c>
      <c r="N649" t="s">
        <v>26</v>
      </c>
      <c r="O649" s="3">
        <v>44790</v>
      </c>
      <c r="P649">
        <v>-1</v>
      </c>
      <c r="T649" t="s">
        <v>54</v>
      </c>
      <c r="U649">
        <v>56</v>
      </c>
      <c r="V649">
        <v>17.524999999999999</v>
      </c>
    </row>
    <row r="650" spans="1:22" x14ac:dyDescent="0.35">
      <c r="A650" s="3">
        <v>44620</v>
      </c>
      <c r="B650" t="s">
        <v>27</v>
      </c>
      <c r="C650">
        <v>0</v>
      </c>
      <c r="D650">
        <v>0</v>
      </c>
      <c r="E650">
        <v>0</v>
      </c>
      <c r="F650">
        <v>0</v>
      </c>
      <c r="G650">
        <v>26.843800000000002</v>
      </c>
      <c r="H650">
        <v>0</v>
      </c>
      <c r="I650">
        <v>0</v>
      </c>
      <c r="J650">
        <v>0</v>
      </c>
      <c r="K650">
        <v>0</v>
      </c>
      <c r="L650">
        <v>144</v>
      </c>
      <c r="M650">
        <v>205</v>
      </c>
      <c r="N650" t="s">
        <v>27</v>
      </c>
      <c r="O650" s="3">
        <v>44825</v>
      </c>
      <c r="P650">
        <v>-1</v>
      </c>
      <c r="T650" t="s">
        <v>53</v>
      </c>
      <c r="U650">
        <v>81</v>
      </c>
      <c r="V650">
        <v>17.425000000000001</v>
      </c>
    </row>
    <row r="651" spans="1:22" x14ac:dyDescent="0.35">
      <c r="A651" s="3">
        <v>44620</v>
      </c>
      <c r="B651" t="s">
        <v>28</v>
      </c>
      <c r="C651">
        <v>0</v>
      </c>
      <c r="D651">
        <v>0</v>
      </c>
      <c r="E651">
        <v>0</v>
      </c>
      <c r="F651">
        <v>0</v>
      </c>
      <c r="G651">
        <v>27.2058</v>
      </c>
      <c r="H651">
        <v>0</v>
      </c>
      <c r="I651">
        <v>0</v>
      </c>
      <c r="J651">
        <v>0</v>
      </c>
      <c r="K651">
        <v>0</v>
      </c>
      <c r="L651">
        <v>76</v>
      </c>
      <c r="M651">
        <v>107</v>
      </c>
      <c r="N651" t="s">
        <v>28</v>
      </c>
      <c r="O651" s="3">
        <v>44727</v>
      </c>
      <c r="P651">
        <v>-1</v>
      </c>
      <c r="T651" t="s">
        <v>52</v>
      </c>
      <c r="U651">
        <v>100</v>
      </c>
      <c r="V651">
        <v>17.774999999999999</v>
      </c>
    </row>
    <row r="652" spans="1:22" x14ac:dyDescent="0.35">
      <c r="A652" s="3">
        <v>44619</v>
      </c>
      <c r="B652" t="s">
        <v>30</v>
      </c>
      <c r="C652">
        <v>0</v>
      </c>
      <c r="D652">
        <v>0</v>
      </c>
      <c r="E652">
        <v>0</v>
      </c>
      <c r="F652">
        <v>0</v>
      </c>
      <c r="G652">
        <v>26.9481</v>
      </c>
      <c r="H652">
        <v>0</v>
      </c>
      <c r="I652">
        <v>0</v>
      </c>
      <c r="J652">
        <v>0</v>
      </c>
      <c r="K652">
        <v>0</v>
      </c>
      <c r="L652">
        <v>37</v>
      </c>
      <c r="M652">
        <v>52</v>
      </c>
      <c r="N652" t="s">
        <v>30</v>
      </c>
      <c r="O652" s="3">
        <v>44671</v>
      </c>
      <c r="P652">
        <v>-1</v>
      </c>
      <c r="T652" t="s">
        <v>51</v>
      </c>
      <c r="U652">
        <v>125</v>
      </c>
      <c r="V652">
        <v>17.975000000000001</v>
      </c>
    </row>
    <row r="653" spans="1:22" x14ac:dyDescent="0.35">
      <c r="A653" s="3">
        <v>44619</v>
      </c>
      <c r="B653" t="s">
        <v>26</v>
      </c>
      <c r="C653">
        <v>0</v>
      </c>
      <c r="D653">
        <v>0</v>
      </c>
      <c r="E653">
        <v>0</v>
      </c>
      <c r="F653">
        <v>0</v>
      </c>
      <c r="G653">
        <v>26.1981</v>
      </c>
      <c r="H653">
        <v>0</v>
      </c>
      <c r="I653">
        <v>0</v>
      </c>
      <c r="J653">
        <v>0</v>
      </c>
      <c r="K653">
        <v>0</v>
      </c>
      <c r="L653">
        <v>120</v>
      </c>
      <c r="M653">
        <v>171</v>
      </c>
      <c r="N653" t="s">
        <v>26</v>
      </c>
      <c r="O653" s="3">
        <v>44790</v>
      </c>
      <c r="P653">
        <v>-1</v>
      </c>
      <c r="T653" t="s">
        <v>50</v>
      </c>
      <c r="U653">
        <v>145</v>
      </c>
      <c r="V653">
        <v>18.074999999999999</v>
      </c>
    </row>
    <row r="654" spans="1:22" x14ac:dyDescent="0.35">
      <c r="A654" s="3">
        <v>44619</v>
      </c>
      <c r="B654" t="s">
        <v>27</v>
      </c>
      <c r="C654">
        <v>0</v>
      </c>
      <c r="D654">
        <v>0</v>
      </c>
      <c r="E654">
        <v>0</v>
      </c>
      <c r="F654">
        <v>0</v>
      </c>
      <c r="G654">
        <v>26.3</v>
      </c>
      <c r="H654">
        <v>0</v>
      </c>
      <c r="I654">
        <v>0</v>
      </c>
      <c r="J654">
        <v>0</v>
      </c>
      <c r="K654">
        <v>0</v>
      </c>
      <c r="L654">
        <v>144</v>
      </c>
      <c r="M654">
        <v>206</v>
      </c>
      <c r="N654" t="s">
        <v>27</v>
      </c>
      <c r="O654" s="3">
        <v>44825</v>
      </c>
      <c r="P654">
        <v>-1</v>
      </c>
      <c r="T654" t="s">
        <v>49</v>
      </c>
      <c r="U654">
        <v>164</v>
      </c>
      <c r="V654">
        <v>18.125</v>
      </c>
    </row>
    <row r="655" spans="1:22" x14ac:dyDescent="0.35">
      <c r="A655" s="3">
        <v>44619</v>
      </c>
      <c r="B655" t="s">
        <v>28</v>
      </c>
      <c r="C655">
        <v>0</v>
      </c>
      <c r="D655">
        <v>0</v>
      </c>
      <c r="E655">
        <v>0</v>
      </c>
      <c r="F655">
        <v>0</v>
      </c>
      <c r="G655">
        <v>26.250399999999999</v>
      </c>
      <c r="H655">
        <v>0</v>
      </c>
      <c r="I655">
        <v>0</v>
      </c>
      <c r="J655">
        <v>0</v>
      </c>
      <c r="K655">
        <v>0</v>
      </c>
      <c r="L655">
        <v>76</v>
      </c>
      <c r="M655">
        <v>108</v>
      </c>
      <c r="N655" t="s">
        <v>28</v>
      </c>
      <c r="O655" s="3">
        <v>44727</v>
      </c>
      <c r="P655">
        <v>-1</v>
      </c>
      <c r="T655" t="s">
        <v>48</v>
      </c>
      <c r="U655">
        <v>189</v>
      </c>
      <c r="V655">
        <v>20.125</v>
      </c>
    </row>
    <row r="656" spans="1:22" x14ac:dyDescent="0.35">
      <c r="A656" s="3">
        <v>44619</v>
      </c>
      <c r="B656" t="s">
        <v>22</v>
      </c>
      <c r="C656">
        <v>0</v>
      </c>
      <c r="D656">
        <v>0</v>
      </c>
      <c r="E656">
        <v>0</v>
      </c>
      <c r="F656">
        <v>0</v>
      </c>
      <c r="G656">
        <v>26.4101</v>
      </c>
      <c r="H656">
        <v>0</v>
      </c>
      <c r="I656">
        <v>0</v>
      </c>
      <c r="J656">
        <v>0</v>
      </c>
      <c r="K656">
        <v>0</v>
      </c>
      <c r="L656">
        <v>100</v>
      </c>
      <c r="M656">
        <v>143</v>
      </c>
      <c r="N656" t="s">
        <v>22</v>
      </c>
      <c r="O656" s="3">
        <v>44762</v>
      </c>
      <c r="P656">
        <v>-1</v>
      </c>
      <c r="T656" t="s">
        <v>47</v>
      </c>
      <c r="U656">
        <v>209</v>
      </c>
      <c r="V656">
        <v>18.149999999999999</v>
      </c>
    </row>
    <row r="657" spans="1:22" x14ac:dyDescent="0.35">
      <c r="A657" s="3">
        <v>44619</v>
      </c>
      <c r="B657" t="s">
        <v>29</v>
      </c>
      <c r="C657">
        <v>0</v>
      </c>
      <c r="D657">
        <v>0</v>
      </c>
      <c r="E657">
        <v>0</v>
      </c>
      <c r="F657">
        <v>0</v>
      </c>
      <c r="G657">
        <v>26.55</v>
      </c>
      <c r="H657">
        <v>0</v>
      </c>
      <c r="I657">
        <v>0</v>
      </c>
      <c r="J657">
        <v>0</v>
      </c>
      <c r="K657">
        <v>0</v>
      </c>
      <c r="L657">
        <v>57</v>
      </c>
      <c r="M657">
        <v>80</v>
      </c>
      <c r="N657" t="s">
        <v>29</v>
      </c>
      <c r="O657" s="3">
        <v>44699</v>
      </c>
      <c r="P657">
        <v>-1</v>
      </c>
      <c r="S657" s="3">
        <v>43858</v>
      </c>
      <c r="T657" t="s">
        <v>55</v>
      </c>
      <c r="U657">
        <v>35</v>
      </c>
      <c r="V657">
        <v>16.824999999999999</v>
      </c>
    </row>
    <row r="658" spans="1:22" x14ac:dyDescent="0.35">
      <c r="A658" s="3">
        <v>44619</v>
      </c>
      <c r="B658" t="s">
        <v>31</v>
      </c>
      <c r="C658">
        <v>0</v>
      </c>
      <c r="D658">
        <v>0</v>
      </c>
      <c r="E658">
        <v>0</v>
      </c>
      <c r="F658">
        <v>0</v>
      </c>
      <c r="G658">
        <v>27.257200000000001</v>
      </c>
      <c r="H658">
        <v>0</v>
      </c>
      <c r="I658">
        <v>0</v>
      </c>
      <c r="J658">
        <v>0</v>
      </c>
      <c r="K658">
        <v>0</v>
      </c>
      <c r="L658">
        <v>11</v>
      </c>
      <c r="M658">
        <v>16</v>
      </c>
      <c r="N658" t="s">
        <v>31</v>
      </c>
      <c r="O658" s="3">
        <v>44635</v>
      </c>
      <c r="P658">
        <v>-1</v>
      </c>
      <c r="T658" t="s">
        <v>54</v>
      </c>
      <c r="U658">
        <v>55</v>
      </c>
      <c r="V658">
        <v>17.074999999999999</v>
      </c>
    </row>
    <row r="659" spans="1:22" x14ac:dyDescent="0.35">
      <c r="A659" s="3">
        <v>44619</v>
      </c>
      <c r="B659" t="s">
        <v>25</v>
      </c>
      <c r="C659">
        <v>0</v>
      </c>
      <c r="D659">
        <v>0</v>
      </c>
      <c r="E659">
        <v>0</v>
      </c>
      <c r="F659">
        <v>0</v>
      </c>
      <c r="G659">
        <v>26.4</v>
      </c>
      <c r="H659">
        <v>0</v>
      </c>
      <c r="I659">
        <v>0</v>
      </c>
      <c r="J659">
        <v>0</v>
      </c>
      <c r="K659">
        <v>0</v>
      </c>
      <c r="L659">
        <v>164</v>
      </c>
      <c r="M659">
        <v>234</v>
      </c>
      <c r="N659" t="s">
        <v>25</v>
      </c>
      <c r="O659" s="3">
        <v>44853</v>
      </c>
      <c r="P659">
        <v>-1</v>
      </c>
      <c r="T659" t="s">
        <v>53</v>
      </c>
      <c r="U659">
        <v>80</v>
      </c>
      <c r="V659">
        <v>16.975000000000001</v>
      </c>
    </row>
    <row r="660" spans="1:22" x14ac:dyDescent="0.35">
      <c r="A660" s="3">
        <v>44619</v>
      </c>
      <c r="B660" t="s">
        <v>20</v>
      </c>
      <c r="C660">
        <v>0</v>
      </c>
      <c r="D660">
        <v>0</v>
      </c>
      <c r="E660">
        <v>0</v>
      </c>
      <c r="F660">
        <v>0</v>
      </c>
      <c r="G660">
        <v>26.125</v>
      </c>
      <c r="H660">
        <v>0</v>
      </c>
      <c r="I660">
        <v>0</v>
      </c>
      <c r="J660">
        <v>0</v>
      </c>
      <c r="K660">
        <v>0</v>
      </c>
      <c r="L660">
        <v>184</v>
      </c>
      <c r="M660">
        <v>262</v>
      </c>
      <c r="N660" t="s">
        <v>20</v>
      </c>
      <c r="O660" s="3">
        <v>44881</v>
      </c>
      <c r="P660">
        <v>-1</v>
      </c>
      <c r="T660" t="s">
        <v>52</v>
      </c>
      <c r="U660">
        <v>99</v>
      </c>
      <c r="V660">
        <v>17.274999999999999</v>
      </c>
    </row>
    <row r="661" spans="1:22" x14ac:dyDescent="0.35">
      <c r="A661" s="3">
        <v>44617</v>
      </c>
      <c r="B661" t="s">
        <v>22</v>
      </c>
      <c r="C661">
        <v>0</v>
      </c>
      <c r="D661">
        <v>0</v>
      </c>
      <c r="E661">
        <v>0</v>
      </c>
      <c r="F661">
        <v>0</v>
      </c>
      <c r="G661">
        <v>26.4101</v>
      </c>
      <c r="H661">
        <v>0</v>
      </c>
      <c r="I661">
        <v>0</v>
      </c>
      <c r="J661">
        <v>0</v>
      </c>
      <c r="K661">
        <v>0</v>
      </c>
      <c r="L661">
        <v>101</v>
      </c>
      <c r="M661">
        <v>145</v>
      </c>
      <c r="N661" t="s">
        <v>22</v>
      </c>
      <c r="O661" s="3">
        <v>44762</v>
      </c>
      <c r="P661">
        <v>-1</v>
      </c>
      <c r="T661" t="s">
        <v>51</v>
      </c>
      <c r="U661">
        <v>124</v>
      </c>
      <c r="V661">
        <v>17.524999999999999</v>
      </c>
    </row>
    <row r="662" spans="1:22" x14ac:dyDescent="0.35">
      <c r="A662" s="3">
        <v>44617</v>
      </c>
      <c r="B662" t="s">
        <v>29</v>
      </c>
      <c r="C662">
        <v>0</v>
      </c>
      <c r="D662">
        <v>0</v>
      </c>
      <c r="E662">
        <v>0</v>
      </c>
      <c r="F662">
        <v>0</v>
      </c>
      <c r="G662">
        <v>26.55</v>
      </c>
      <c r="H662">
        <v>0</v>
      </c>
      <c r="I662">
        <v>0</v>
      </c>
      <c r="J662">
        <v>0</v>
      </c>
      <c r="K662">
        <v>0</v>
      </c>
      <c r="L662">
        <v>58</v>
      </c>
      <c r="M662">
        <v>82</v>
      </c>
      <c r="N662" t="s">
        <v>29</v>
      </c>
      <c r="O662" s="3">
        <v>44699</v>
      </c>
      <c r="P662">
        <v>-1</v>
      </c>
      <c r="T662" t="s">
        <v>50</v>
      </c>
      <c r="U662">
        <v>144</v>
      </c>
      <c r="V662">
        <v>17.625</v>
      </c>
    </row>
    <row r="663" spans="1:22" x14ac:dyDescent="0.35">
      <c r="A663" s="3">
        <v>44617</v>
      </c>
      <c r="B663" t="s">
        <v>31</v>
      </c>
      <c r="C663">
        <v>0</v>
      </c>
      <c r="D663">
        <v>0</v>
      </c>
      <c r="E663">
        <v>0</v>
      </c>
      <c r="F663">
        <v>0</v>
      </c>
      <c r="G663">
        <v>27.257200000000001</v>
      </c>
      <c r="H663">
        <v>0</v>
      </c>
      <c r="I663">
        <v>0</v>
      </c>
      <c r="J663">
        <v>0</v>
      </c>
      <c r="K663">
        <v>0</v>
      </c>
      <c r="L663">
        <v>12</v>
      </c>
      <c r="M663">
        <v>18</v>
      </c>
      <c r="N663" t="s">
        <v>31</v>
      </c>
      <c r="O663" s="3">
        <v>44635</v>
      </c>
      <c r="P663">
        <v>-1</v>
      </c>
      <c r="T663" t="s">
        <v>49</v>
      </c>
      <c r="U663">
        <v>163</v>
      </c>
      <c r="V663">
        <v>17.8</v>
      </c>
    </row>
    <row r="664" spans="1:22" x14ac:dyDescent="0.35">
      <c r="A664" s="3">
        <v>44617</v>
      </c>
      <c r="B664" t="s">
        <v>25</v>
      </c>
      <c r="C664">
        <v>0</v>
      </c>
      <c r="D664">
        <v>0</v>
      </c>
      <c r="E664">
        <v>0</v>
      </c>
      <c r="F664">
        <v>0</v>
      </c>
      <c r="G664">
        <v>26.4</v>
      </c>
      <c r="H664">
        <v>0</v>
      </c>
      <c r="I664">
        <v>0</v>
      </c>
      <c r="J664">
        <v>0</v>
      </c>
      <c r="K664">
        <v>0</v>
      </c>
      <c r="L664">
        <v>165</v>
      </c>
      <c r="M664">
        <v>236</v>
      </c>
      <c r="N664" t="s">
        <v>25</v>
      </c>
      <c r="O664" s="3">
        <v>44853</v>
      </c>
      <c r="P664">
        <v>-1</v>
      </c>
      <c r="T664" t="s">
        <v>48</v>
      </c>
      <c r="U664">
        <v>188</v>
      </c>
      <c r="V664">
        <v>19.975000000000001</v>
      </c>
    </row>
    <row r="665" spans="1:22" x14ac:dyDescent="0.35">
      <c r="A665" s="3">
        <v>44617</v>
      </c>
      <c r="B665" t="s">
        <v>20</v>
      </c>
      <c r="C665">
        <v>0</v>
      </c>
      <c r="D665">
        <v>0</v>
      </c>
      <c r="E665">
        <v>0</v>
      </c>
      <c r="F665">
        <v>0</v>
      </c>
      <c r="G665">
        <v>26.125</v>
      </c>
      <c r="H665">
        <v>0</v>
      </c>
      <c r="I665">
        <v>0</v>
      </c>
      <c r="J665">
        <v>0</v>
      </c>
      <c r="K665">
        <v>0</v>
      </c>
      <c r="L665">
        <v>185</v>
      </c>
      <c r="M665">
        <v>264</v>
      </c>
      <c r="N665" t="s">
        <v>20</v>
      </c>
      <c r="O665" s="3">
        <v>44881</v>
      </c>
      <c r="P665">
        <v>-1</v>
      </c>
      <c r="T665" t="s">
        <v>47</v>
      </c>
      <c r="U665">
        <v>208</v>
      </c>
      <c r="V665">
        <v>18.074999999999999</v>
      </c>
    </row>
    <row r="666" spans="1:22" x14ac:dyDescent="0.35">
      <c r="A666" s="3">
        <v>44617</v>
      </c>
      <c r="B666" t="s">
        <v>26</v>
      </c>
      <c r="C666">
        <v>0</v>
      </c>
      <c r="D666">
        <v>0</v>
      </c>
      <c r="E666">
        <v>0</v>
      </c>
      <c r="F666">
        <v>0</v>
      </c>
      <c r="G666">
        <v>26.1981</v>
      </c>
      <c r="H666">
        <v>0</v>
      </c>
      <c r="I666">
        <v>0</v>
      </c>
      <c r="J666">
        <v>0</v>
      </c>
      <c r="K666">
        <v>0</v>
      </c>
      <c r="L666">
        <v>121</v>
      </c>
      <c r="M666">
        <v>173</v>
      </c>
      <c r="N666" t="s">
        <v>26</v>
      </c>
      <c r="O666" s="3">
        <v>44790</v>
      </c>
      <c r="P666">
        <v>-1</v>
      </c>
      <c r="S666" s="3">
        <v>43859</v>
      </c>
      <c r="T666" t="s">
        <v>55</v>
      </c>
      <c r="U666">
        <v>34</v>
      </c>
      <c r="V666">
        <v>16.774999999999999</v>
      </c>
    </row>
    <row r="667" spans="1:22" x14ac:dyDescent="0.35">
      <c r="A667" s="3">
        <v>44617</v>
      </c>
      <c r="B667" t="s">
        <v>27</v>
      </c>
      <c r="C667">
        <v>0</v>
      </c>
      <c r="D667">
        <v>0</v>
      </c>
      <c r="E667">
        <v>0</v>
      </c>
      <c r="F667">
        <v>0</v>
      </c>
      <c r="G667">
        <v>26.3</v>
      </c>
      <c r="H667">
        <v>0</v>
      </c>
      <c r="I667">
        <v>0</v>
      </c>
      <c r="J667">
        <v>0</v>
      </c>
      <c r="K667">
        <v>0</v>
      </c>
      <c r="L667">
        <v>145</v>
      </c>
      <c r="M667">
        <v>208</v>
      </c>
      <c r="N667" t="s">
        <v>27</v>
      </c>
      <c r="O667" s="3">
        <v>44825</v>
      </c>
      <c r="P667">
        <v>-1</v>
      </c>
      <c r="T667" t="s">
        <v>54</v>
      </c>
      <c r="U667">
        <v>54</v>
      </c>
      <c r="V667">
        <v>17.074999999999999</v>
      </c>
    </row>
    <row r="668" spans="1:22" x14ac:dyDescent="0.35">
      <c r="A668" s="3">
        <v>44617</v>
      </c>
      <c r="B668" t="s">
        <v>28</v>
      </c>
      <c r="C668">
        <v>0</v>
      </c>
      <c r="D668">
        <v>0</v>
      </c>
      <c r="E668">
        <v>0</v>
      </c>
      <c r="F668">
        <v>0</v>
      </c>
      <c r="G668">
        <v>26.250399999999999</v>
      </c>
      <c r="H668">
        <v>0</v>
      </c>
      <c r="I668">
        <v>0</v>
      </c>
      <c r="J668">
        <v>0</v>
      </c>
      <c r="K668">
        <v>0</v>
      </c>
      <c r="L668">
        <v>77</v>
      </c>
      <c r="M668">
        <v>110</v>
      </c>
      <c r="N668" t="s">
        <v>28</v>
      </c>
      <c r="O668" s="3">
        <v>44727</v>
      </c>
      <c r="P668">
        <v>-1</v>
      </c>
      <c r="T668" t="s">
        <v>53</v>
      </c>
      <c r="U668">
        <v>79</v>
      </c>
      <c r="V668">
        <v>17.024999999999999</v>
      </c>
    </row>
    <row r="669" spans="1:22" x14ac:dyDescent="0.35">
      <c r="A669" s="3">
        <v>44617</v>
      </c>
      <c r="B669" t="s">
        <v>30</v>
      </c>
      <c r="C669">
        <v>0</v>
      </c>
      <c r="D669">
        <v>0</v>
      </c>
      <c r="E669">
        <v>0</v>
      </c>
      <c r="F669">
        <v>0</v>
      </c>
      <c r="G669">
        <v>26.9481</v>
      </c>
      <c r="H669">
        <v>0</v>
      </c>
      <c r="I669">
        <v>0</v>
      </c>
      <c r="J669">
        <v>0</v>
      </c>
      <c r="K669">
        <v>0</v>
      </c>
      <c r="L669">
        <v>38</v>
      </c>
      <c r="M669">
        <v>54</v>
      </c>
      <c r="N669" t="s">
        <v>30</v>
      </c>
      <c r="O669" s="3">
        <v>44671</v>
      </c>
      <c r="P669">
        <v>-1</v>
      </c>
      <c r="T669" t="s">
        <v>52</v>
      </c>
      <c r="U669">
        <v>98</v>
      </c>
      <c r="V669">
        <v>17.375</v>
      </c>
    </row>
    <row r="670" spans="1:22" x14ac:dyDescent="0.35">
      <c r="A670" s="3">
        <v>44616</v>
      </c>
      <c r="B670" t="s">
        <v>26</v>
      </c>
      <c r="C670">
        <v>0</v>
      </c>
      <c r="D670">
        <v>0</v>
      </c>
      <c r="E670">
        <v>0</v>
      </c>
      <c r="F670">
        <v>0</v>
      </c>
      <c r="G670">
        <v>26.506599999999999</v>
      </c>
      <c r="H670">
        <v>0</v>
      </c>
      <c r="I670">
        <v>0</v>
      </c>
      <c r="J670">
        <v>0</v>
      </c>
      <c r="K670">
        <v>0</v>
      </c>
      <c r="L670">
        <v>122</v>
      </c>
      <c r="M670">
        <v>174</v>
      </c>
      <c r="N670" t="s">
        <v>26</v>
      </c>
      <c r="O670" s="3">
        <v>44790</v>
      </c>
      <c r="P670">
        <v>-1</v>
      </c>
      <c r="T670" t="s">
        <v>51</v>
      </c>
      <c r="U670">
        <v>123</v>
      </c>
      <c r="V670">
        <v>17.574999999999999</v>
      </c>
    </row>
    <row r="671" spans="1:22" x14ac:dyDescent="0.35">
      <c r="A671" s="3">
        <v>44616</v>
      </c>
      <c r="B671" t="s">
        <v>27</v>
      </c>
      <c r="C671">
        <v>0</v>
      </c>
      <c r="D671">
        <v>0</v>
      </c>
      <c r="E671">
        <v>0</v>
      </c>
      <c r="F671">
        <v>0</v>
      </c>
      <c r="G671">
        <v>26.5871</v>
      </c>
      <c r="H671">
        <v>0</v>
      </c>
      <c r="I671">
        <v>0</v>
      </c>
      <c r="J671">
        <v>0</v>
      </c>
      <c r="K671">
        <v>0</v>
      </c>
      <c r="L671">
        <v>146</v>
      </c>
      <c r="M671">
        <v>209</v>
      </c>
      <c r="N671" t="s">
        <v>27</v>
      </c>
      <c r="O671" s="3">
        <v>44825</v>
      </c>
      <c r="P671">
        <v>-1</v>
      </c>
      <c r="T671" t="s">
        <v>50</v>
      </c>
      <c r="U671">
        <v>143</v>
      </c>
      <c r="V671">
        <v>17.675000000000001</v>
      </c>
    </row>
    <row r="672" spans="1:22" x14ac:dyDescent="0.35">
      <c r="A672" s="3">
        <v>44616</v>
      </c>
      <c r="B672" t="s">
        <v>28</v>
      </c>
      <c r="C672">
        <v>0</v>
      </c>
      <c r="D672">
        <v>0</v>
      </c>
      <c r="E672">
        <v>0</v>
      </c>
      <c r="F672">
        <v>0</v>
      </c>
      <c r="G672">
        <v>26.757300000000001</v>
      </c>
      <c r="H672">
        <v>0</v>
      </c>
      <c r="I672">
        <v>0</v>
      </c>
      <c r="J672">
        <v>0</v>
      </c>
      <c r="K672">
        <v>0</v>
      </c>
      <c r="L672">
        <v>78</v>
      </c>
      <c r="M672">
        <v>111</v>
      </c>
      <c r="N672" t="s">
        <v>28</v>
      </c>
      <c r="O672" s="3">
        <v>44727</v>
      </c>
      <c r="P672">
        <v>-1</v>
      </c>
      <c r="T672" t="s">
        <v>49</v>
      </c>
      <c r="U672">
        <v>162</v>
      </c>
      <c r="V672">
        <v>17.875</v>
      </c>
    </row>
    <row r="673" spans="1:22" x14ac:dyDescent="0.35">
      <c r="A673" s="3">
        <v>44616</v>
      </c>
      <c r="B673" t="s">
        <v>30</v>
      </c>
      <c r="C673">
        <v>0</v>
      </c>
      <c r="D673">
        <v>0</v>
      </c>
      <c r="E673">
        <v>0</v>
      </c>
      <c r="F673">
        <v>0</v>
      </c>
      <c r="G673">
        <v>27.721800000000002</v>
      </c>
      <c r="H673">
        <v>0</v>
      </c>
      <c r="I673">
        <v>0</v>
      </c>
      <c r="J673">
        <v>0</v>
      </c>
      <c r="K673">
        <v>0</v>
      </c>
      <c r="L673">
        <v>39</v>
      </c>
      <c r="M673">
        <v>55</v>
      </c>
      <c r="N673" t="s">
        <v>30</v>
      </c>
      <c r="O673" s="3">
        <v>44671</v>
      </c>
      <c r="P673">
        <v>-1</v>
      </c>
      <c r="T673" t="s">
        <v>48</v>
      </c>
      <c r="U673">
        <v>187</v>
      </c>
      <c r="V673">
        <v>20</v>
      </c>
    </row>
    <row r="674" spans="1:22" x14ac:dyDescent="0.35">
      <c r="A674" s="3">
        <v>44616</v>
      </c>
      <c r="B674" t="s">
        <v>22</v>
      </c>
      <c r="C674">
        <v>0</v>
      </c>
      <c r="D674">
        <v>0</v>
      </c>
      <c r="E674">
        <v>0</v>
      </c>
      <c r="F674">
        <v>0</v>
      </c>
      <c r="G674">
        <v>26.8553</v>
      </c>
      <c r="H674">
        <v>0</v>
      </c>
      <c r="I674">
        <v>0</v>
      </c>
      <c r="J674">
        <v>0</v>
      </c>
      <c r="K674">
        <v>0</v>
      </c>
      <c r="L674">
        <v>102</v>
      </c>
      <c r="M674">
        <v>146</v>
      </c>
      <c r="N674" t="s">
        <v>22</v>
      </c>
      <c r="O674" s="3">
        <v>44762</v>
      </c>
      <c r="P674">
        <v>-1</v>
      </c>
      <c r="T674" t="s">
        <v>47</v>
      </c>
      <c r="U674">
        <v>207</v>
      </c>
      <c r="V674">
        <v>18.149999999999999</v>
      </c>
    </row>
    <row r="675" spans="1:22" x14ac:dyDescent="0.35">
      <c r="A675" s="3">
        <v>44616</v>
      </c>
      <c r="B675" t="s">
        <v>29</v>
      </c>
      <c r="C675">
        <v>0</v>
      </c>
      <c r="D675">
        <v>0</v>
      </c>
      <c r="E675">
        <v>0</v>
      </c>
      <c r="F675">
        <v>0</v>
      </c>
      <c r="G675">
        <v>27.126899999999999</v>
      </c>
      <c r="H675">
        <v>0</v>
      </c>
      <c r="I675">
        <v>0</v>
      </c>
      <c r="J675">
        <v>0</v>
      </c>
      <c r="K675">
        <v>0</v>
      </c>
      <c r="L675">
        <v>59</v>
      </c>
      <c r="M675">
        <v>83</v>
      </c>
      <c r="N675" t="s">
        <v>29</v>
      </c>
      <c r="O675" s="3">
        <v>44699</v>
      </c>
      <c r="P675">
        <v>-1</v>
      </c>
      <c r="S675" s="3">
        <v>43860</v>
      </c>
      <c r="T675" t="s">
        <v>55</v>
      </c>
      <c r="U675">
        <v>33</v>
      </c>
      <c r="V675">
        <v>16.425000000000001</v>
      </c>
    </row>
    <row r="676" spans="1:22" x14ac:dyDescent="0.35">
      <c r="A676" s="3">
        <v>44616</v>
      </c>
      <c r="B676" t="s">
        <v>31</v>
      </c>
      <c r="C676">
        <v>0</v>
      </c>
      <c r="D676">
        <v>0</v>
      </c>
      <c r="E676">
        <v>0</v>
      </c>
      <c r="F676">
        <v>0</v>
      </c>
      <c r="G676">
        <v>28.5487</v>
      </c>
      <c r="H676">
        <v>0</v>
      </c>
      <c r="I676">
        <v>0</v>
      </c>
      <c r="J676">
        <v>0</v>
      </c>
      <c r="K676">
        <v>0</v>
      </c>
      <c r="L676">
        <v>13</v>
      </c>
      <c r="M676">
        <v>19</v>
      </c>
      <c r="N676" t="s">
        <v>31</v>
      </c>
      <c r="O676" s="3">
        <v>44635</v>
      </c>
      <c r="P676">
        <v>-1</v>
      </c>
      <c r="T676" t="s">
        <v>54</v>
      </c>
      <c r="U676">
        <v>53</v>
      </c>
      <c r="V676">
        <v>16.725000000000001</v>
      </c>
    </row>
    <row r="677" spans="1:22" x14ac:dyDescent="0.35">
      <c r="A677" s="3">
        <v>44616</v>
      </c>
      <c r="B677" t="s">
        <v>25</v>
      </c>
      <c r="C677">
        <v>0</v>
      </c>
      <c r="D677">
        <v>0</v>
      </c>
      <c r="E677">
        <v>0</v>
      </c>
      <c r="F677">
        <v>0</v>
      </c>
      <c r="G677">
        <v>26.625</v>
      </c>
      <c r="H677">
        <v>0</v>
      </c>
      <c r="I677">
        <v>0</v>
      </c>
      <c r="J677">
        <v>0</v>
      </c>
      <c r="K677">
        <v>0</v>
      </c>
      <c r="L677">
        <v>166</v>
      </c>
      <c r="M677">
        <v>237</v>
      </c>
      <c r="N677" t="s">
        <v>25</v>
      </c>
      <c r="O677" s="3">
        <v>44853</v>
      </c>
      <c r="P677">
        <v>-1</v>
      </c>
      <c r="T677" t="s">
        <v>53</v>
      </c>
      <c r="U677">
        <v>78</v>
      </c>
      <c r="V677">
        <v>16.725000000000001</v>
      </c>
    </row>
    <row r="678" spans="1:22" x14ac:dyDescent="0.35">
      <c r="A678" s="3">
        <v>44616</v>
      </c>
      <c r="B678" t="s">
        <v>20</v>
      </c>
      <c r="C678">
        <v>0</v>
      </c>
      <c r="D678">
        <v>0</v>
      </c>
      <c r="E678">
        <v>0</v>
      </c>
      <c r="F678">
        <v>0</v>
      </c>
      <c r="G678">
        <v>26.35</v>
      </c>
      <c r="H678">
        <v>0</v>
      </c>
      <c r="I678">
        <v>0</v>
      </c>
      <c r="J678">
        <v>0</v>
      </c>
      <c r="K678">
        <v>0</v>
      </c>
      <c r="L678">
        <v>186</v>
      </c>
      <c r="M678">
        <v>265</v>
      </c>
      <c r="N678" t="s">
        <v>20</v>
      </c>
      <c r="O678" s="3">
        <v>44881</v>
      </c>
      <c r="P678">
        <v>-1</v>
      </c>
      <c r="T678" t="s">
        <v>52</v>
      </c>
      <c r="U678">
        <v>97</v>
      </c>
      <c r="V678">
        <v>17.074999999999999</v>
      </c>
    </row>
    <row r="679" spans="1:22" x14ac:dyDescent="0.35">
      <c r="A679" s="3">
        <v>44615</v>
      </c>
      <c r="B679" t="s">
        <v>22</v>
      </c>
      <c r="C679">
        <v>0</v>
      </c>
      <c r="D679">
        <v>0</v>
      </c>
      <c r="E679">
        <v>0</v>
      </c>
      <c r="F679">
        <v>0</v>
      </c>
      <c r="G679">
        <v>27.383099999999999</v>
      </c>
      <c r="H679">
        <v>0</v>
      </c>
      <c r="I679">
        <v>0</v>
      </c>
      <c r="J679">
        <v>0</v>
      </c>
      <c r="K679">
        <v>0</v>
      </c>
      <c r="L679">
        <v>103</v>
      </c>
      <c r="M679">
        <v>147</v>
      </c>
      <c r="N679" t="s">
        <v>22</v>
      </c>
      <c r="O679" s="3">
        <v>44762</v>
      </c>
      <c r="P679">
        <v>-1</v>
      </c>
      <c r="T679" t="s">
        <v>51</v>
      </c>
      <c r="U679">
        <v>122</v>
      </c>
      <c r="V679">
        <v>17.324999999999999</v>
      </c>
    </row>
    <row r="680" spans="1:22" x14ac:dyDescent="0.35">
      <c r="A680" s="3">
        <v>44615</v>
      </c>
      <c r="B680" t="s">
        <v>29</v>
      </c>
      <c r="C680">
        <v>0</v>
      </c>
      <c r="D680">
        <v>0</v>
      </c>
      <c r="E680">
        <v>0</v>
      </c>
      <c r="F680">
        <v>0</v>
      </c>
      <c r="G680">
        <v>27.8291</v>
      </c>
      <c r="H680">
        <v>0</v>
      </c>
      <c r="I680">
        <v>0</v>
      </c>
      <c r="J680">
        <v>0</v>
      </c>
      <c r="K680">
        <v>0</v>
      </c>
      <c r="L680">
        <v>60</v>
      </c>
      <c r="M680">
        <v>84</v>
      </c>
      <c r="N680" t="s">
        <v>29</v>
      </c>
      <c r="O680" s="3">
        <v>44699</v>
      </c>
      <c r="P680">
        <v>-1</v>
      </c>
      <c r="T680" t="s">
        <v>50</v>
      </c>
      <c r="U680">
        <v>142</v>
      </c>
      <c r="V680">
        <v>17.375</v>
      </c>
    </row>
    <row r="681" spans="1:22" x14ac:dyDescent="0.35">
      <c r="A681" s="3">
        <v>44615</v>
      </c>
      <c r="B681" t="s">
        <v>31</v>
      </c>
      <c r="C681">
        <v>0</v>
      </c>
      <c r="D681">
        <v>0</v>
      </c>
      <c r="E681">
        <v>0</v>
      </c>
      <c r="F681">
        <v>0</v>
      </c>
      <c r="G681">
        <v>29.6693</v>
      </c>
      <c r="H681">
        <v>0</v>
      </c>
      <c r="I681">
        <v>0</v>
      </c>
      <c r="J681">
        <v>0</v>
      </c>
      <c r="K681">
        <v>0</v>
      </c>
      <c r="L681">
        <v>14</v>
      </c>
      <c r="M681">
        <v>20</v>
      </c>
      <c r="N681" t="s">
        <v>31</v>
      </c>
      <c r="O681" s="3">
        <v>44635</v>
      </c>
      <c r="P681">
        <v>-1</v>
      </c>
      <c r="T681" t="s">
        <v>49</v>
      </c>
      <c r="U681">
        <v>161</v>
      </c>
      <c r="V681">
        <v>17.600000000000001</v>
      </c>
    </row>
    <row r="682" spans="1:22" x14ac:dyDescent="0.35">
      <c r="A682" s="3">
        <v>44615</v>
      </c>
      <c r="B682" t="s">
        <v>25</v>
      </c>
      <c r="C682">
        <v>0</v>
      </c>
      <c r="D682">
        <v>0</v>
      </c>
      <c r="E682">
        <v>0</v>
      </c>
      <c r="F682">
        <v>0</v>
      </c>
      <c r="G682">
        <v>27.05</v>
      </c>
      <c r="H682">
        <v>0</v>
      </c>
      <c r="I682">
        <v>0</v>
      </c>
      <c r="J682">
        <v>0</v>
      </c>
      <c r="K682">
        <v>0</v>
      </c>
      <c r="L682">
        <v>167</v>
      </c>
      <c r="M682">
        <v>238</v>
      </c>
      <c r="N682" t="s">
        <v>25</v>
      </c>
      <c r="O682" s="3">
        <v>44853</v>
      </c>
      <c r="P682">
        <v>-1</v>
      </c>
      <c r="T682" t="s">
        <v>48</v>
      </c>
      <c r="U682">
        <v>186</v>
      </c>
      <c r="V682">
        <v>19.725000000000001</v>
      </c>
    </row>
    <row r="683" spans="1:22" x14ac:dyDescent="0.35">
      <c r="A683" s="3">
        <v>44615</v>
      </c>
      <c r="B683" t="s">
        <v>20</v>
      </c>
      <c r="C683">
        <v>0</v>
      </c>
      <c r="D683">
        <v>0</v>
      </c>
      <c r="E683">
        <v>0</v>
      </c>
      <c r="F683">
        <v>0</v>
      </c>
      <c r="G683">
        <v>26.824999999999999</v>
      </c>
      <c r="H683">
        <v>0</v>
      </c>
      <c r="I683">
        <v>0</v>
      </c>
      <c r="J683">
        <v>0</v>
      </c>
      <c r="K683">
        <v>0</v>
      </c>
      <c r="L683">
        <v>187</v>
      </c>
      <c r="M683">
        <v>266</v>
      </c>
      <c r="N683" t="s">
        <v>20</v>
      </c>
      <c r="O683" s="3">
        <v>44881</v>
      </c>
      <c r="P683">
        <v>-1</v>
      </c>
      <c r="T683" t="s">
        <v>47</v>
      </c>
      <c r="U683">
        <v>206</v>
      </c>
      <c r="V683">
        <v>17.95</v>
      </c>
    </row>
    <row r="684" spans="1:22" x14ac:dyDescent="0.35">
      <c r="A684" s="3">
        <v>44615</v>
      </c>
      <c r="B684" t="s">
        <v>26</v>
      </c>
      <c r="C684">
        <v>0</v>
      </c>
      <c r="D684">
        <v>0</v>
      </c>
      <c r="E684">
        <v>0</v>
      </c>
      <c r="F684">
        <v>0</v>
      </c>
      <c r="G684">
        <v>27.031099999999999</v>
      </c>
      <c r="H684">
        <v>0</v>
      </c>
      <c r="I684">
        <v>0</v>
      </c>
      <c r="J684">
        <v>0</v>
      </c>
      <c r="K684">
        <v>0</v>
      </c>
      <c r="L684">
        <v>123</v>
      </c>
      <c r="M684">
        <v>175</v>
      </c>
      <c r="N684" t="s">
        <v>26</v>
      </c>
      <c r="O684" s="3">
        <v>44790</v>
      </c>
      <c r="P684">
        <v>-1</v>
      </c>
      <c r="S684" s="3">
        <v>43861</v>
      </c>
      <c r="T684" t="s">
        <v>55</v>
      </c>
      <c r="U684">
        <v>32</v>
      </c>
      <c r="V684">
        <v>17.725000000000001</v>
      </c>
    </row>
    <row r="685" spans="1:22" x14ac:dyDescent="0.35">
      <c r="A685" s="3">
        <v>44615</v>
      </c>
      <c r="B685" t="s">
        <v>27</v>
      </c>
      <c r="C685">
        <v>0</v>
      </c>
      <c r="D685">
        <v>0</v>
      </c>
      <c r="E685">
        <v>0</v>
      </c>
      <c r="F685">
        <v>0</v>
      </c>
      <c r="G685">
        <v>27.0288</v>
      </c>
      <c r="H685">
        <v>0</v>
      </c>
      <c r="I685">
        <v>0</v>
      </c>
      <c r="J685">
        <v>0</v>
      </c>
      <c r="K685">
        <v>0</v>
      </c>
      <c r="L685">
        <v>147</v>
      </c>
      <c r="M685">
        <v>210</v>
      </c>
      <c r="N685" t="s">
        <v>27</v>
      </c>
      <c r="O685" s="3">
        <v>44825</v>
      </c>
      <c r="P685">
        <v>-1</v>
      </c>
      <c r="T685" t="s">
        <v>54</v>
      </c>
      <c r="U685">
        <v>52</v>
      </c>
      <c r="V685">
        <v>17.824999999999999</v>
      </c>
    </row>
    <row r="686" spans="1:22" x14ac:dyDescent="0.35">
      <c r="A686" s="3">
        <v>44615</v>
      </c>
      <c r="B686" t="s">
        <v>28</v>
      </c>
      <c r="C686">
        <v>0</v>
      </c>
      <c r="D686">
        <v>0</v>
      </c>
      <c r="E686">
        <v>0</v>
      </c>
      <c r="F686">
        <v>0</v>
      </c>
      <c r="G686">
        <v>27.348700000000001</v>
      </c>
      <c r="H686">
        <v>0</v>
      </c>
      <c r="I686">
        <v>0</v>
      </c>
      <c r="J686">
        <v>0</v>
      </c>
      <c r="K686">
        <v>0</v>
      </c>
      <c r="L686">
        <v>79</v>
      </c>
      <c r="M686">
        <v>112</v>
      </c>
      <c r="N686" t="s">
        <v>28</v>
      </c>
      <c r="O686" s="3">
        <v>44727</v>
      </c>
      <c r="P686">
        <v>-1</v>
      </c>
      <c r="T686" t="s">
        <v>53</v>
      </c>
      <c r="U686">
        <v>77</v>
      </c>
      <c r="V686">
        <v>17.574999999999999</v>
      </c>
    </row>
    <row r="687" spans="1:22" x14ac:dyDescent="0.35">
      <c r="A687" s="3">
        <v>44615</v>
      </c>
      <c r="B687" t="s">
        <v>30</v>
      </c>
      <c r="C687">
        <v>0</v>
      </c>
      <c r="D687">
        <v>0</v>
      </c>
      <c r="E687">
        <v>0</v>
      </c>
      <c r="F687">
        <v>0</v>
      </c>
      <c r="G687">
        <v>28.513200000000001</v>
      </c>
      <c r="H687">
        <v>0</v>
      </c>
      <c r="I687">
        <v>0</v>
      </c>
      <c r="J687">
        <v>0</v>
      </c>
      <c r="K687">
        <v>0</v>
      </c>
      <c r="L687">
        <v>40</v>
      </c>
      <c r="M687">
        <v>56</v>
      </c>
      <c r="N687" t="s">
        <v>30</v>
      </c>
      <c r="O687" s="3">
        <v>44671</v>
      </c>
      <c r="P687">
        <v>-1</v>
      </c>
      <c r="T687" t="s">
        <v>52</v>
      </c>
      <c r="U687">
        <v>96</v>
      </c>
      <c r="V687">
        <v>17.850000000000001</v>
      </c>
    </row>
    <row r="688" spans="1:22" x14ac:dyDescent="0.35">
      <c r="A688" s="3">
        <v>44614</v>
      </c>
      <c r="B688" t="s">
        <v>26</v>
      </c>
      <c r="C688">
        <v>0</v>
      </c>
      <c r="D688">
        <v>0</v>
      </c>
      <c r="E688">
        <v>0</v>
      </c>
      <c r="F688">
        <v>0</v>
      </c>
      <c r="G688">
        <v>26.35</v>
      </c>
      <c r="H688">
        <v>0</v>
      </c>
      <c r="I688">
        <v>0</v>
      </c>
      <c r="J688">
        <v>0</v>
      </c>
      <c r="K688">
        <v>0</v>
      </c>
      <c r="L688">
        <v>124</v>
      </c>
      <c r="M688">
        <v>176</v>
      </c>
      <c r="N688" t="s">
        <v>26</v>
      </c>
      <c r="O688" s="3">
        <v>44790</v>
      </c>
      <c r="P688">
        <v>-1</v>
      </c>
      <c r="T688" t="s">
        <v>51</v>
      </c>
      <c r="U688">
        <v>121</v>
      </c>
      <c r="V688">
        <v>17.975000000000001</v>
      </c>
    </row>
    <row r="689" spans="1:22" x14ac:dyDescent="0.35">
      <c r="A689" s="3">
        <v>44614</v>
      </c>
      <c r="B689" t="s">
        <v>27</v>
      </c>
      <c r="C689">
        <v>0</v>
      </c>
      <c r="D689">
        <v>0</v>
      </c>
      <c r="E689">
        <v>0</v>
      </c>
      <c r="F689">
        <v>0</v>
      </c>
      <c r="G689">
        <v>26.45</v>
      </c>
      <c r="H689">
        <v>0</v>
      </c>
      <c r="I689">
        <v>0</v>
      </c>
      <c r="J689">
        <v>0</v>
      </c>
      <c r="K689">
        <v>0</v>
      </c>
      <c r="L689">
        <v>148</v>
      </c>
      <c r="M689">
        <v>211</v>
      </c>
      <c r="N689" t="s">
        <v>27</v>
      </c>
      <c r="O689" s="3">
        <v>44825</v>
      </c>
      <c r="P689">
        <v>-1</v>
      </c>
      <c r="T689" t="s">
        <v>50</v>
      </c>
      <c r="U689">
        <v>141</v>
      </c>
      <c r="V689">
        <v>17.975000000000001</v>
      </c>
    </row>
    <row r="690" spans="1:22" x14ac:dyDescent="0.35">
      <c r="A690" s="3">
        <v>44614</v>
      </c>
      <c r="B690" t="s">
        <v>28</v>
      </c>
      <c r="C690">
        <v>0</v>
      </c>
      <c r="D690">
        <v>0</v>
      </c>
      <c r="E690">
        <v>0</v>
      </c>
      <c r="F690">
        <v>0</v>
      </c>
      <c r="G690">
        <v>26.398700000000002</v>
      </c>
      <c r="H690">
        <v>0</v>
      </c>
      <c r="I690">
        <v>0</v>
      </c>
      <c r="J690">
        <v>0</v>
      </c>
      <c r="K690">
        <v>0</v>
      </c>
      <c r="L690">
        <v>80</v>
      </c>
      <c r="M690">
        <v>113</v>
      </c>
      <c r="N690" t="s">
        <v>28</v>
      </c>
      <c r="O690" s="3">
        <v>44727</v>
      </c>
      <c r="P690">
        <v>-1</v>
      </c>
      <c r="T690" t="s">
        <v>49</v>
      </c>
      <c r="U690">
        <v>160</v>
      </c>
      <c r="V690">
        <v>18.125</v>
      </c>
    </row>
    <row r="691" spans="1:22" x14ac:dyDescent="0.35">
      <c r="A691" s="3">
        <v>44614</v>
      </c>
      <c r="B691" t="s">
        <v>30</v>
      </c>
      <c r="C691">
        <v>0</v>
      </c>
      <c r="D691">
        <v>0</v>
      </c>
      <c r="E691">
        <v>0</v>
      </c>
      <c r="F691">
        <v>0</v>
      </c>
      <c r="G691">
        <v>27.085100000000001</v>
      </c>
      <c r="H691">
        <v>0</v>
      </c>
      <c r="I691">
        <v>0</v>
      </c>
      <c r="J691">
        <v>0</v>
      </c>
      <c r="K691">
        <v>0</v>
      </c>
      <c r="L691">
        <v>41</v>
      </c>
      <c r="M691">
        <v>57</v>
      </c>
      <c r="N691" t="s">
        <v>30</v>
      </c>
      <c r="O691" s="3">
        <v>44671</v>
      </c>
      <c r="P691">
        <v>-1</v>
      </c>
      <c r="T691" t="s">
        <v>48</v>
      </c>
      <c r="U691">
        <v>185</v>
      </c>
      <c r="V691">
        <v>20.175000000000001</v>
      </c>
    </row>
    <row r="692" spans="1:22" x14ac:dyDescent="0.35">
      <c r="A692" s="3">
        <v>44614</v>
      </c>
      <c r="B692" t="s">
        <v>22</v>
      </c>
      <c r="C692">
        <v>0</v>
      </c>
      <c r="D692">
        <v>0</v>
      </c>
      <c r="E692">
        <v>0</v>
      </c>
      <c r="F692">
        <v>0</v>
      </c>
      <c r="G692">
        <v>26.5976</v>
      </c>
      <c r="H692">
        <v>0</v>
      </c>
      <c r="I692">
        <v>0</v>
      </c>
      <c r="J692">
        <v>0</v>
      </c>
      <c r="K692">
        <v>0</v>
      </c>
      <c r="L692">
        <v>104</v>
      </c>
      <c r="M692">
        <v>148</v>
      </c>
      <c r="N692" t="s">
        <v>22</v>
      </c>
      <c r="O692" s="3">
        <v>44762</v>
      </c>
      <c r="P692">
        <v>-1</v>
      </c>
      <c r="T692" t="s">
        <v>47</v>
      </c>
      <c r="U692">
        <v>205</v>
      </c>
      <c r="V692">
        <v>18.2</v>
      </c>
    </row>
    <row r="693" spans="1:22" x14ac:dyDescent="0.35">
      <c r="A693" s="3">
        <v>44614</v>
      </c>
      <c r="B693" t="s">
        <v>29</v>
      </c>
      <c r="C693">
        <v>0</v>
      </c>
      <c r="D693">
        <v>0</v>
      </c>
      <c r="E693">
        <v>0</v>
      </c>
      <c r="F693">
        <v>0</v>
      </c>
      <c r="G693">
        <v>26.647500000000001</v>
      </c>
      <c r="H693">
        <v>0</v>
      </c>
      <c r="I693">
        <v>0</v>
      </c>
      <c r="J693">
        <v>0</v>
      </c>
      <c r="K693">
        <v>0</v>
      </c>
      <c r="L693">
        <v>61</v>
      </c>
      <c r="M693">
        <v>85</v>
      </c>
      <c r="N693" t="s">
        <v>29</v>
      </c>
      <c r="O693" s="3">
        <v>44699</v>
      </c>
      <c r="P693">
        <v>-1</v>
      </c>
      <c r="S693" s="3">
        <v>43864</v>
      </c>
      <c r="T693" t="s">
        <v>55</v>
      </c>
      <c r="U693">
        <v>31</v>
      </c>
      <c r="V693">
        <v>17.425000000000001</v>
      </c>
    </row>
    <row r="694" spans="1:22" x14ac:dyDescent="0.35">
      <c r="A694" s="3">
        <v>44614</v>
      </c>
      <c r="B694" t="s">
        <v>31</v>
      </c>
      <c r="C694">
        <v>0</v>
      </c>
      <c r="D694">
        <v>0</v>
      </c>
      <c r="E694">
        <v>0</v>
      </c>
      <c r="F694">
        <v>0</v>
      </c>
      <c r="G694">
        <v>27.960100000000001</v>
      </c>
      <c r="H694">
        <v>0</v>
      </c>
      <c r="I694">
        <v>0</v>
      </c>
      <c r="J694">
        <v>0</v>
      </c>
      <c r="K694">
        <v>0</v>
      </c>
      <c r="L694">
        <v>15</v>
      </c>
      <c r="M694">
        <v>21</v>
      </c>
      <c r="N694" t="s">
        <v>31</v>
      </c>
      <c r="O694" s="3">
        <v>44635</v>
      </c>
      <c r="P694">
        <v>-1</v>
      </c>
      <c r="T694" t="s">
        <v>54</v>
      </c>
      <c r="U694">
        <v>51</v>
      </c>
      <c r="V694">
        <v>17.475000000000001</v>
      </c>
    </row>
    <row r="695" spans="1:22" x14ac:dyDescent="0.35">
      <c r="A695" s="3">
        <v>44614</v>
      </c>
      <c r="B695" t="s">
        <v>25</v>
      </c>
      <c r="C695">
        <v>0</v>
      </c>
      <c r="D695">
        <v>0</v>
      </c>
      <c r="E695">
        <v>0</v>
      </c>
      <c r="F695">
        <v>0</v>
      </c>
      <c r="G695">
        <v>26.5</v>
      </c>
      <c r="H695">
        <v>0</v>
      </c>
      <c r="I695">
        <v>0</v>
      </c>
      <c r="J695">
        <v>0</v>
      </c>
      <c r="K695">
        <v>0</v>
      </c>
      <c r="L695">
        <v>168</v>
      </c>
      <c r="M695">
        <v>239</v>
      </c>
      <c r="N695" t="s">
        <v>25</v>
      </c>
      <c r="O695" s="3">
        <v>44853</v>
      </c>
      <c r="P695">
        <v>-1</v>
      </c>
      <c r="T695" t="s">
        <v>53</v>
      </c>
      <c r="U695">
        <v>76</v>
      </c>
      <c r="V695">
        <v>17.274999999999999</v>
      </c>
    </row>
    <row r="696" spans="1:22" x14ac:dyDescent="0.35">
      <c r="A696" s="3">
        <v>44614</v>
      </c>
      <c r="B696" t="s">
        <v>20</v>
      </c>
      <c r="C696">
        <v>0</v>
      </c>
      <c r="D696">
        <v>0</v>
      </c>
      <c r="E696">
        <v>0</v>
      </c>
      <c r="F696">
        <v>0</v>
      </c>
      <c r="G696">
        <v>26.125</v>
      </c>
      <c r="H696">
        <v>0</v>
      </c>
      <c r="I696">
        <v>0</v>
      </c>
      <c r="J696">
        <v>0</v>
      </c>
      <c r="K696">
        <v>0</v>
      </c>
      <c r="L696">
        <v>188</v>
      </c>
      <c r="M696">
        <v>267</v>
      </c>
      <c r="N696" t="s">
        <v>20</v>
      </c>
      <c r="O696" s="3">
        <v>44881</v>
      </c>
      <c r="P696">
        <v>-1</v>
      </c>
      <c r="T696" t="s">
        <v>52</v>
      </c>
      <c r="U696">
        <v>95</v>
      </c>
      <c r="V696">
        <v>17.524999999999999</v>
      </c>
    </row>
    <row r="697" spans="1:22" x14ac:dyDescent="0.35">
      <c r="A697" s="3">
        <v>44610</v>
      </c>
      <c r="B697" t="s">
        <v>22</v>
      </c>
      <c r="C697">
        <v>0</v>
      </c>
      <c r="D697">
        <v>0</v>
      </c>
      <c r="E697">
        <v>0</v>
      </c>
      <c r="F697">
        <v>0</v>
      </c>
      <c r="G697">
        <v>26.704999999999998</v>
      </c>
      <c r="H697">
        <v>0</v>
      </c>
      <c r="I697">
        <v>0</v>
      </c>
      <c r="J697">
        <v>0</v>
      </c>
      <c r="K697">
        <v>0</v>
      </c>
      <c r="L697">
        <v>105</v>
      </c>
      <c r="M697">
        <v>152</v>
      </c>
      <c r="N697" t="s">
        <v>22</v>
      </c>
      <c r="O697" s="3">
        <v>44762</v>
      </c>
      <c r="P697">
        <v>-1</v>
      </c>
      <c r="T697" t="s">
        <v>51</v>
      </c>
      <c r="U697">
        <v>120</v>
      </c>
      <c r="V697">
        <v>17.725000000000001</v>
      </c>
    </row>
    <row r="698" spans="1:22" x14ac:dyDescent="0.35">
      <c r="A698" s="3">
        <v>44610</v>
      </c>
      <c r="B698" t="s">
        <v>29</v>
      </c>
      <c r="C698">
        <v>0</v>
      </c>
      <c r="D698">
        <v>0</v>
      </c>
      <c r="E698">
        <v>0</v>
      </c>
      <c r="F698">
        <v>0</v>
      </c>
      <c r="G698">
        <v>26.851700000000001</v>
      </c>
      <c r="H698">
        <v>0</v>
      </c>
      <c r="I698">
        <v>0</v>
      </c>
      <c r="J698">
        <v>0</v>
      </c>
      <c r="K698">
        <v>0</v>
      </c>
      <c r="L698">
        <v>62</v>
      </c>
      <c r="M698">
        <v>89</v>
      </c>
      <c r="N698" t="s">
        <v>29</v>
      </c>
      <c r="O698" s="3">
        <v>44699</v>
      </c>
      <c r="P698">
        <v>-1</v>
      </c>
      <c r="T698" t="s">
        <v>50</v>
      </c>
      <c r="U698">
        <v>140</v>
      </c>
      <c r="V698">
        <v>17.725000000000001</v>
      </c>
    </row>
    <row r="699" spans="1:22" x14ac:dyDescent="0.35">
      <c r="A699" s="3">
        <v>44610</v>
      </c>
      <c r="B699" t="s">
        <v>31</v>
      </c>
      <c r="C699">
        <v>0</v>
      </c>
      <c r="D699">
        <v>0</v>
      </c>
      <c r="E699">
        <v>0</v>
      </c>
      <c r="F699">
        <v>0</v>
      </c>
      <c r="G699">
        <v>28.148199999999999</v>
      </c>
      <c r="H699">
        <v>0</v>
      </c>
      <c r="I699">
        <v>0</v>
      </c>
      <c r="J699">
        <v>0</v>
      </c>
      <c r="K699">
        <v>0</v>
      </c>
      <c r="L699">
        <v>16</v>
      </c>
      <c r="M699">
        <v>25</v>
      </c>
      <c r="N699" t="s">
        <v>31</v>
      </c>
      <c r="O699" s="3">
        <v>44635</v>
      </c>
      <c r="P699">
        <v>-1</v>
      </c>
      <c r="T699" t="s">
        <v>49</v>
      </c>
      <c r="U699">
        <v>159</v>
      </c>
      <c r="V699">
        <v>17.899999999999999</v>
      </c>
    </row>
    <row r="700" spans="1:22" x14ac:dyDescent="0.35">
      <c r="A700" s="3">
        <v>44610</v>
      </c>
      <c r="B700" t="s">
        <v>25</v>
      </c>
      <c r="C700">
        <v>0</v>
      </c>
      <c r="D700">
        <v>0</v>
      </c>
      <c r="E700">
        <v>0</v>
      </c>
      <c r="F700">
        <v>0</v>
      </c>
      <c r="G700">
        <v>26.625</v>
      </c>
      <c r="H700">
        <v>0</v>
      </c>
      <c r="I700">
        <v>0</v>
      </c>
      <c r="J700">
        <v>0</v>
      </c>
      <c r="K700">
        <v>0</v>
      </c>
      <c r="L700">
        <v>169</v>
      </c>
      <c r="M700">
        <v>243</v>
      </c>
      <c r="N700" t="s">
        <v>25</v>
      </c>
      <c r="O700" s="3">
        <v>44853</v>
      </c>
      <c r="P700">
        <v>-1</v>
      </c>
      <c r="T700" t="s">
        <v>48</v>
      </c>
      <c r="U700">
        <v>184</v>
      </c>
      <c r="V700">
        <v>20.074999999999999</v>
      </c>
    </row>
    <row r="701" spans="1:22" x14ac:dyDescent="0.35">
      <c r="A701" s="3">
        <v>44610</v>
      </c>
      <c r="B701" t="s">
        <v>26</v>
      </c>
      <c r="C701">
        <v>0</v>
      </c>
      <c r="D701">
        <v>0</v>
      </c>
      <c r="E701">
        <v>0</v>
      </c>
      <c r="F701">
        <v>0</v>
      </c>
      <c r="G701">
        <v>26.444400000000002</v>
      </c>
      <c r="H701">
        <v>0</v>
      </c>
      <c r="I701">
        <v>0</v>
      </c>
      <c r="J701">
        <v>0</v>
      </c>
      <c r="K701">
        <v>0</v>
      </c>
      <c r="L701">
        <v>125</v>
      </c>
      <c r="M701">
        <v>180</v>
      </c>
      <c r="N701" t="s">
        <v>26</v>
      </c>
      <c r="O701" s="3">
        <v>44790</v>
      </c>
      <c r="P701">
        <v>-1</v>
      </c>
      <c r="T701" t="s">
        <v>47</v>
      </c>
      <c r="U701">
        <v>204</v>
      </c>
      <c r="V701">
        <v>18.149999999999999</v>
      </c>
    </row>
    <row r="702" spans="1:22" x14ac:dyDescent="0.35">
      <c r="A702" s="3">
        <v>44610</v>
      </c>
      <c r="B702" t="s">
        <v>27</v>
      </c>
      <c r="C702">
        <v>0</v>
      </c>
      <c r="D702">
        <v>0</v>
      </c>
      <c r="E702">
        <v>0</v>
      </c>
      <c r="F702">
        <v>0</v>
      </c>
      <c r="G702">
        <v>26.5733</v>
      </c>
      <c r="H702">
        <v>0</v>
      </c>
      <c r="I702">
        <v>0</v>
      </c>
      <c r="J702">
        <v>0</v>
      </c>
      <c r="K702">
        <v>0</v>
      </c>
      <c r="L702">
        <v>149</v>
      </c>
      <c r="M702">
        <v>215</v>
      </c>
      <c r="N702" t="s">
        <v>27</v>
      </c>
      <c r="O702" s="3">
        <v>44825</v>
      </c>
      <c r="P702">
        <v>-1</v>
      </c>
      <c r="S702" s="3">
        <v>43865</v>
      </c>
      <c r="T702" t="s">
        <v>55</v>
      </c>
      <c r="U702">
        <v>30</v>
      </c>
      <c r="V702">
        <v>16.524999999999999</v>
      </c>
    </row>
    <row r="703" spans="1:22" x14ac:dyDescent="0.35">
      <c r="A703" s="3">
        <v>44610</v>
      </c>
      <c r="B703" t="s">
        <v>28</v>
      </c>
      <c r="C703">
        <v>0</v>
      </c>
      <c r="D703">
        <v>0</v>
      </c>
      <c r="E703">
        <v>0</v>
      </c>
      <c r="F703">
        <v>0</v>
      </c>
      <c r="G703">
        <v>26.524100000000001</v>
      </c>
      <c r="H703">
        <v>0</v>
      </c>
      <c r="I703">
        <v>0</v>
      </c>
      <c r="J703">
        <v>0</v>
      </c>
      <c r="K703">
        <v>0</v>
      </c>
      <c r="L703">
        <v>81</v>
      </c>
      <c r="M703">
        <v>117</v>
      </c>
      <c r="N703" t="s">
        <v>28</v>
      </c>
      <c r="O703" s="3">
        <v>44727</v>
      </c>
      <c r="P703">
        <v>-1</v>
      </c>
      <c r="T703" t="s">
        <v>54</v>
      </c>
      <c r="U703">
        <v>50</v>
      </c>
      <c r="V703">
        <v>16.774999999999999</v>
      </c>
    </row>
    <row r="704" spans="1:22" x14ac:dyDescent="0.35">
      <c r="A704" s="3">
        <v>44610</v>
      </c>
      <c r="B704" t="s">
        <v>30</v>
      </c>
      <c r="C704">
        <v>0</v>
      </c>
      <c r="D704">
        <v>0</v>
      </c>
      <c r="E704">
        <v>0</v>
      </c>
      <c r="F704">
        <v>0</v>
      </c>
      <c r="G704">
        <v>27.276700000000002</v>
      </c>
      <c r="H704">
        <v>0</v>
      </c>
      <c r="I704">
        <v>0</v>
      </c>
      <c r="J704">
        <v>0</v>
      </c>
      <c r="K704">
        <v>0</v>
      </c>
      <c r="L704">
        <v>42</v>
      </c>
      <c r="M704">
        <v>61</v>
      </c>
      <c r="N704" t="s">
        <v>30</v>
      </c>
      <c r="O704" s="3">
        <v>44671</v>
      </c>
      <c r="P704">
        <v>-1</v>
      </c>
      <c r="T704" t="s">
        <v>53</v>
      </c>
      <c r="U704">
        <v>75</v>
      </c>
      <c r="V704">
        <v>16.675000000000001</v>
      </c>
    </row>
    <row r="705" spans="1:22" x14ac:dyDescent="0.35">
      <c r="A705" s="3">
        <v>44609</v>
      </c>
      <c r="B705" t="s">
        <v>32</v>
      </c>
      <c r="C705">
        <v>0</v>
      </c>
      <c r="D705">
        <v>0</v>
      </c>
      <c r="E705">
        <v>0</v>
      </c>
      <c r="F705">
        <v>0</v>
      </c>
      <c r="G705">
        <v>26.37</v>
      </c>
      <c r="H705">
        <v>0</v>
      </c>
      <c r="I705">
        <v>0</v>
      </c>
      <c r="J705">
        <v>0</v>
      </c>
      <c r="K705">
        <v>0</v>
      </c>
      <c r="L705">
        <v>-1</v>
      </c>
      <c r="M705">
        <v>-1</v>
      </c>
      <c r="N705" t="s">
        <v>32</v>
      </c>
      <c r="O705" s="3">
        <v>44608</v>
      </c>
      <c r="P705">
        <v>-1</v>
      </c>
      <c r="T705" t="s">
        <v>52</v>
      </c>
      <c r="U705">
        <v>94</v>
      </c>
      <c r="V705">
        <v>16.925000000000001</v>
      </c>
    </row>
    <row r="706" spans="1:22" x14ac:dyDescent="0.35">
      <c r="A706" s="3">
        <v>44608</v>
      </c>
      <c r="B706" t="s">
        <v>32</v>
      </c>
      <c r="C706">
        <v>0</v>
      </c>
      <c r="D706">
        <v>0</v>
      </c>
      <c r="E706">
        <v>0</v>
      </c>
      <c r="F706">
        <v>0</v>
      </c>
      <c r="G706">
        <v>26.37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32</v>
      </c>
      <c r="O706" s="3">
        <v>44608</v>
      </c>
      <c r="P706">
        <v>-1</v>
      </c>
      <c r="T706" t="s">
        <v>51</v>
      </c>
      <c r="U706">
        <v>119</v>
      </c>
      <c r="V706">
        <v>17.125</v>
      </c>
    </row>
    <row r="707" spans="1:22" x14ac:dyDescent="0.35">
      <c r="A707" s="3">
        <v>44607</v>
      </c>
      <c r="B707" t="s">
        <v>26</v>
      </c>
      <c r="C707">
        <v>0</v>
      </c>
      <c r="D707">
        <v>0</v>
      </c>
      <c r="E707">
        <v>0</v>
      </c>
      <c r="F707">
        <v>0</v>
      </c>
      <c r="G707">
        <v>25.720600000000001</v>
      </c>
      <c r="H707">
        <v>0</v>
      </c>
      <c r="I707">
        <v>0</v>
      </c>
      <c r="J707">
        <v>0</v>
      </c>
      <c r="K707">
        <v>0</v>
      </c>
      <c r="L707">
        <v>128</v>
      </c>
      <c r="M707">
        <v>183</v>
      </c>
      <c r="N707" t="s">
        <v>26</v>
      </c>
      <c r="O707" s="3">
        <v>44790</v>
      </c>
      <c r="P707">
        <v>-1</v>
      </c>
      <c r="T707" t="s">
        <v>50</v>
      </c>
      <c r="U707">
        <v>139</v>
      </c>
      <c r="V707">
        <v>17.175000000000001</v>
      </c>
    </row>
    <row r="708" spans="1:22" x14ac:dyDescent="0.35">
      <c r="A708" s="3">
        <v>44607</v>
      </c>
      <c r="B708" t="s">
        <v>32</v>
      </c>
      <c r="C708">
        <v>0</v>
      </c>
      <c r="D708">
        <v>0</v>
      </c>
      <c r="E708">
        <v>0</v>
      </c>
      <c r="F708">
        <v>0</v>
      </c>
      <c r="G708">
        <v>25.383299999999998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1</v>
      </c>
      <c r="N708" t="s">
        <v>32</v>
      </c>
      <c r="O708" s="3">
        <v>44608</v>
      </c>
      <c r="P708">
        <v>-1</v>
      </c>
      <c r="T708" t="s">
        <v>49</v>
      </c>
      <c r="U708">
        <v>158</v>
      </c>
      <c r="V708">
        <v>17.350000000000001</v>
      </c>
    </row>
    <row r="709" spans="1:22" x14ac:dyDescent="0.35">
      <c r="A709" s="3">
        <v>44607</v>
      </c>
      <c r="B709" t="s">
        <v>27</v>
      </c>
      <c r="C709">
        <v>0</v>
      </c>
      <c r="D709">
        <v>0</v>
      </c>
      <c r="E709">
        <v>0</v>
      </c>
      <c r="F709">
        <v>0</v>
      </c>
      <c r="G709">
        <v>25.925000000000001</v>
      </c>
      <c r="H709">
        <v>0</v>
      </c>
      <c r="I709">
        <v>0</v>
      </c>
      <c r="J709">
        <v>0</v>
      </c>
      <c r="K709">
        <v>0</v>
      </c>
      <c r="L709">
        <v>152</v>
      </c>
      <c r="M709">
        <v>218</v>
      </c>
      <c r="N709" t="s">
        <v>27</v>
      </c>
      <c r="O709" s="3">
        <v>44825</v>
      </c>
      <c r="P709">
        <v>-1</v>
      </c>
      <c r="T709" t="s">
        <v>48</v>
      </c>
      <c r="U709">
        <v>183</v>
      </c>
      <c r="V709">
        <v>19.925000000000001</v>
      </c>
    </row>
    <row r="710" spans="1:22" x14ac:dyDescent="0.35">
      <c r="A710" s="3">
        <v>44607</v>
      </c>
      <c r="B710" t="s">
        <v>28</v>
      </c>
      <c r="C710">
        <v>0</v>
      </c>
      <c r="D710">
        <v>0</v>
      </c>
      <c r="E710">
        <v>0</v>
      </c>
      <c r="F710">
        <v>0</v>
      </c>
      <c r="G710">
        <v>25.6538</v>
      </c>
      <c r="H710">
        <v>0</v>
      </c>
      <c r="I710">
        <v>0</v>
      </c>
      <c r="J710">
        <v>0</v>
      </c>
      <c r="K710">
        <v>0</v>
      </c>
      <c r="L710">
        <v>84</v>
      </c>
      <c r="M710">
        <v>120</v>
      </c>
      <c r="N710" t="s">
        <v>28</v>
      </c>
      <c r="O710" s="3">
        <v>44727</v>
      </c>
      <c r="P710">
        <v>-1</v>
      </c>
      <c r="T710" t="s">
        <v>47</v>
      </c>
      <c r="U710">
        <v>203</v>
      </c>
      <c r="V710">
        <v>17.975000000000001</v>
      </c>
    </row>
    <row r="711" spans="1:22" x14ac:dyDescent="0.35">
      <c r="A711" s="3">
        <v>44607</v>
      </c>
      <c r="B711" t="s">
        <v>30</v>
      </c>
      <c r="C711">
        <v>0</v>
      </c>
      <c r="D711">
        <v>0</v>
      </c>
      <c r="E711">
        <v>0</v>
      </c>
      <c r="F711">
        <v>0</v>
      </c>
      <c r="G711">
        <v>25.614999999999998</v>
      </c>
      <c r="H711">
        <v>0</v>
      </c>
      <c r="I711">
        <v>0</v>
      </c>
      <c r="J711">
        <v>0</v>
      </c>
      <c r="K711">
        <v>0</v>
      </c>
      <c r="L711">
        <v>45</v>
      </c>
      <c r="M711">
        <v>64</v>
      </c>
      <c r="N711" t="s">
        <v>30</v>
      </c>
      <c r="O711" s="3">
        <v>44671</v>
      </c>
      <c r="P711">
        <v>-1</v>
      </c>
      <c r="S711" s="3">
        <v>43866</v>
      </c>
      <c r="T711" t="s">
        <v>55</v>
      </c>
      <c r="U711">
        <v>29</v>
      </c>
      <c r="V711">
        <v>16.125</v>
      </c>
    </row>
    <row r="712" spans="1:22" x14ac:dyDescent="0.35">
      <c r="A712" s="3">
        <v>44607</v>
      </c>
      <c r="B712" t="s">
        <v>22</v>
      </c>
      <c r="C712">
        <v>0</v>
      </c>
      <c r="D712">
        <v>0</v>
      </c>
      <c r="E712">
        <v>0</v>
      </c>
      <c r="F712">
        <v>0</v>
      </c>
      <c r="G712">
        <v>25.917400000000001</v>
      </c>
      <c r="H712">
        <v>0</v>
      </c>
      <c r="I712">
        <v>0</v>
      </c>
      <c r="J712">
        <v>0</v>
      </c>
      <c r="K712">
        <v>0</v>
      </c>
      <c r="L712">
        <v>108</v>
      </c>
      <c r="M712">
        <v>155</v>
      </c>
      <c r="N712" t="s">
        <v>22</v>
      </c>
      <c r="O712" s="3">
        <v>44762</v>
      </c>
      <c r="P712">
        <v>-1</v>
      </c>
      <c r="T712" t="s">
        <v>54</v>
      </c>
      <c r="U712">
        <v>49</v>
      </c>
      <c r="V712">
        <v>16.524999999999999</v>
      </c>
    </row>
    <row r="713" spans="1:22" x14ac:dyDescent="0.35">
      <c r="A713" s="3">
        <v>44607</v>
      </c>
      <c r="B713" t="s">
        <v>29</v>
      </c>
      <c r="C713">
        <v>0</v>
      </c>
      <c r="D713">
        <v>0</v>
      </c>
      <c r="E713">
        <v>0</v>
      </c>
      <c r="F713">
        <v>0</v>
      </c>
      <c r="G713">
        <v>25.685199999999998</v>
      </c>
      <c r="H713">
        <v>0</v>
      </c>
      <c r="I713">
        <v>0</v>
      </c>
      <c r="J713">
        <v>0</v>
      </c>
      <c r="K713">
        <v>0</v>
      </c>
      <c r="L713">
        <v>65</v>
      </c>
      <c r="M713">
        <v>92</v>
      </c>
      <c r="N713" t="s">
        <v>29</v>
      </c>
      <c r="O713" s="3">
        <v>44699</v>
      </c>
      <c r="P713">
        <v>-1</v>
      </c>
      <c r="T713" t="s">
        <v>53</v>
      </c>
      <c r="U713">
        <v>74</v>
      </c>
      <c r="V713">
        <v>16.524999999999999</v>
      </c>
    </row>
    <row r="714" spans="1:22" x14ac:dyDescent="0.35">
      <c r="A714" s="3">
        <v>44607</v>
      </c>
      <c r="B714" t="s">
        <v>31</v>
      </c>
      <c r="C714">
        <v>0</v>
      </c>
      <c r="D714">
        <v>0</v>
      </c>
      <c r="E714">
        <v>0</v>
      </c>
      <c r="F714">
        <v>0</v>
      </c>
      <c r="G714">
        <v>25.548400000000001</v>
      </c>
      <c r="H714">
        <v>0</v>
      </c>
      <c r="I714">
        <v>0</v>
      </c>
      <c r="J714">
        <v>0</v>
      </c>
      <c r="K714">
        <v>0</v>
      </c>
      <c r="L714">
        <v>19</v>
      </c>
      <c r="M714">
        <v>28</v>
      </c>
      <c r="N714" t="s">
        <v>31</v>
      </c>
      <c r="O714" s="3">
        <v>44635</v>
      </c>
      <c r="P714">
        <v>-1</v>
      </c>
      <c r="T714" t="s">
        <v>52</v>
      </c>
      <c r="U714">
        <v>93</v>
      </c>
      <c r="V714">
        <v>16.875</v>
      </c>
    </row>
    <row r="715" spans="1:22" x14ac:dyDescent="0.35">
      <c r="A715" s="3">
        <v>44607</v>
      </c>
      <c r="B715" t="s">
        <v>25</v>
      </c>
      <c r="C715">
        <v>0</v>
      </c>
      <c r="D715">
        <v>0</v>
      </c>
      <c r="E715">
        <v>0</v>
      </c>
      <c r="F715">
        <v>0</v>
      </c>
      <c r="G715">
        <v>26</v>
      </c>
      <c r="H715">
        <v>0</v>
      </c>
      <c r="I715">
        <v>0</v>
      </c>
      <c r="J715">
        <v>0</v>
      </c>
      <c r="K715">
        <v>0</v>
      </c>
      <c r="L715">
        <v>172</v>
      </c>
      <c r="M715">
        <v>246</v>
      </c>
      <c r="N715" t="s">
        <v>25</v>
      </c>
      <c r="O715" s="3">
        <v>44853</v>
      </c>
      <c r="P715">
        <v>-1</v>
      </c>
      <c r="T715" t="s">
        <v>51</v>
      </c>
      <c r="U715">
        <v>118</v>
      </c>
      <c r="V715">
        <v>17.125</v>
      </c>
    </row>
    <row r="716" spans="1:22" x14ac:dyDescent="0.35">
      <c r="A716" s="3">
        <v>44606</v>
      </c>
      <c r="B716" t="s">
        <v>22</v>
      </c>
      <c r="C716">
        <v>0</v>
      </c>
      <c r="D716">
        <v>0</v>
      </c>
      <c r="E716">
        <v>0</v>
      </c>
      <c r="F716">
        <v>0</v>
      </c>
      <c r="G716">
        <v>26.651399999999999</v>
      </c>
      <c r="H716">
        <v>0</v>
      </c>
      <c r="I716">
        <v>0</v>
      </c>
      <c r="J716">
        <v>0</v>
      </c>
      <c r="K716">
        <v>0</v>
      </c>
      <c r="L716">
        <v>109</v>
      </c>
      <c r="M716">
        <v>156</v>
      </c>
      <c r="N716" t="s">
        <v>22</v>
      </c>
      <c r="O716" s="3">
        <v>44762</v>
      </c>
      <c r="P716">
        <v>-1</v>
      </c>
      <c r="T716" t="s">
        <v>50</v>
      </c>
      <c r="U716">
        <v>138</v>
      </c>
      <c r="V716">
        <v>17.175000000000001</v>
      </c>
    </row>
    <row r="717" spans="1:22" x14ac:dyDescent="0.35">
      <c r="A717" s="3">
        <v>44606</v>
      </c>
      <c r="B717" t="s">
        <v>29</v>
      </c>
      <c r="C717">
        <v>0</v>
      </c>
      <c r="D717">
        <v>0</v>
      </c>
      <c r="E717">
        <v>0</v>
      </c>
      <c r="F717">
        <v>0</v>
      </c>
      <c r="G717">
        <v>26.6707</v>
      </c>
      <c r="H717">
        <v>0</v>
      </c>
      <c r="I717">
        <v>0</v>
      </c>
      <c r="J717">
        <v>0</v>
      </c>
      <c r="K717">
        <v>0</v>
      </c>
      <c r="L717">
        <v>66</v>
      </c>
      <c r="M717">
        <v>93</v>
      </c>
      <c r="N717" t="s">
        <v>29</v>
      </c>
      <c r="O717" s="3">
        <v>44699</v>
      </c>
      <c r="P717">
        <v>-1</v>
      </c>
      <c r="T717" t="s">
        <v>49</v>
      </c>
      <c r="U717">
        <v>157</v>
      </c>
      <c r="V717">
        <v>17.399999999999999</v>
      </c>
    </row>
    <row r="718" spans="1:22" x14ac:dyDescent="0.35">
      <c r="A718" s="3">
        <v>44606</v>
      </c>
      <c r="B718" t="s">
        <v>31</v>
      </c>
      <c r="C718">
        <v>0</v>
      </c>
      <c r="D718">
        <v>0</v>
      </c>
      <c r="E718">
        <v>0</v>
      </c>
      <c r="F718">
        <v>0</v>
      </c>
      <c r="G718">
        <v>27.747599999999998</v>
      </c>
      <c r="H718">
        <v>0</v>
      </c>
      <c r="I718">
        <v>0</v>
      </c>
      <c r="J718">
        <v>0</v>
      </c>
      <c r="K718">
        <v>0</v>
      </c>
      <c r="L718">
        <v>20</v>
      </c>
      <c r="M718">
        <v>29</v>
      </c>
      <c r="N718" t="s">
        <v>31</v>
      </c>
      <c r="O718" s="3">
        <v>44635</v>
      </c>
      <c r="P718">
        <v>-1</v>
      </c>
      <c r="T718" t="s">
        <v>48</v>
      </c>
      <c r="U718">
        <v>182</v>
      </c>
      <c r="V718">
        <v>19.824999999999999</v>
      </c>
    </row>
    <row r="719" spans="1:22" x14ac:dyDescent="0.35">
      <c r="A719" s="3">
        <v>44606</v>
      </c>
      <c r="B719" t="s">
        <v>25</v>
      </c>
      <c r="C719">
        <v>0</v>
      </c>
      <c r="D719">
        <v>0</v>
      </c>
      <c r="E719">
        <v>0</v>
      </c>
      <c r="F719">
        <v>0</v>
      </c>
      <c r="G719">
        <v>26.725000000000001</v>
      </c>
      <c r="H719">
        <v>0</v>
      </c>
      <c r="I719">
        <v>0</v>
      </c>
      <c r="J719">
        <v>0</v>
      </c>
      <c r="K719">
        <v>0</v>
      </c>
      <c r="L719">
        <v>173</v>
      </c>
      <c r="M719">
        <v>247</v>
      </c>
      <c r="N719" t="s">
        <v>25</v>
      </c>
      <c r="O719" s="3">
        <v>44853</v>
      </c>
      <c r="P719">
        <v>-1</v>
      </c>
      <c r="T719" t="s">
        <v>47</v>
      </c>
      <c r="U719">
        <v>202</v>
      </c>
      <c r="V719">
        <v>17.925000000000001</v>
      </c>
    </row>
    <row r="720" spans="1:22" x14ac:dyDescent="0.35">
      <c r="A720" s="3">
        <v>44606</v>
      </c>
      <c r="B720" t="s">
        <v>26</v>
      </c>
      <c r="C720">
        <v>0</v>
      </c>
      <c r="D720">
        <v>0</v>
      </c>
      <c r="E720">
        <v>0</v>
      </c>
      <c r="F720">
        <v>0</v>
      </c>
      <c r="G720">
        <v>26.454499999999999</v>
      </c>
      <c r="H720">
        <v>0</v>
      </c>
      <c r="I720">
        <v>0</v>
      </c>
      <c r="J720">
        <v>0</v>
      </c>
      <c r="K720">
        <v>0</v>
      </c>
      <c r="L720">
        <v>129</v>
      </c>
      <c r="M720">
        <v>184</v>
      </c>
      <c r="N720" t="s">
        <v>26</v>
      </c>
      <c r="O720" s="3">
        <v>44790</v>
      </c>
      <c r="P720">
        <v>-1</v>
      </c>
      <c r="S720" s="3">
        <v>43867</v>
      </c>
      <c r="T720" t="s">
        <v>55</v>
      </c>
      <c r="U720">
        <v>28</v>
      </c>
      <c r="V720">
        <v>15.975</v>
      </c>
    </row>
    <row r="721" spans="1:22" x14ac:dyDescent="0.35">
      <c r="A721" s="3">
        <v>44606</v>
      </c>
      <c r="B721" t="s">
        <v>32</v>
      </c>
      <c r="C721">
        <v>0</v>
      </c>
      <c r="D721">
        <v>0</v>
      </c>
      <c r="E721">
        <v>0</v>
      </c>
      <c r="F721">
        <v>0</v>
      </c>
      <c r="G721">
        <v>28.337399999999999</v>
      </c>
      <c r="H721">
        <v>0</v>
      </c>
      <c r="I721">
        <v>0</v>
      </c>
      <c r="J721">
        <v>0</v>
      </c>
      <c r="K721">
        <v>0</v>
      </c>
      <c r="L721">
        <v>2</v>
      </c>
      <c r="M721">
        <v>2</v>
      </c>
      <c r="N721" t="s">
        <v>32</v>
      </c>
      <c r="O721" s="3">
        <v>44608</v>
      </c>
      <c r="P721">
        <v>-1</v>
      </c>
      <c r="T721" t="s">
        <v>54</v>
      </c>
      <c r="U721">
        <v>48</v>
      </c>
      <c r="V721">
        <v>16.375</v>
      </c>
    </row>
    <row r="722" spans="1:22" x14ac:dyDescent="0.35">
      <c r="A722" s="3">
        <v>44606</v>
      </c>
      <c r="B722" t="s">
        <v>27</v>
      </c>
      <c r="C722">
        <v>0</v>
      </c>
      <c r="D722">
        <v>0</v>
      </c>
      <c r="E722">
        <v>0</v>
      </c>
      <c r="F722">
        <v>0</v>
      </c>
      <c r="G722">
        <v>26.65</v>
      </c>
      <c r="H722">
        <v>0</v>
      </c>
      <c r="I722">
        <v>0</v>
      </c>
      <c r="J722">
        <v>0</v>
      </c>
      <c r="K722">
        <v>0</v>
      </c>
      <c r="L722">
        <v>153</v>
      </c>
      <c r="M722">
        <v>219</v>
      </c>
      <c r="N722" t="s">
        <v>27</v>
      </c>
      <c r="O722" s="3">
        <v>44825</v>
      </c>
      <c r="P722">
        <v>-1</v>
      </c>
      <c r="T722" t="s">
        <v>53</v>
      </c>
      <c r="U722">
        <v>73</v>
      </c>
      <c r="V722">
        <v>16.399999999999999</v>
      </c>
    </row>
    <row r="723" spans="1:22" x14ac:dyDescent="0.35">
      <c r="A723" s="3">
        <v>44606</v>
      </c>
      <c r="B723" t="s">
        <v>28</v>
      </c>
      <c r="C723">
        <v>0</v>
      </c>
      <c r="D723">
        <v>0</v>
      </c>
      <c r="E723">
        <v>0</v>
      </c>
      <c r="F723">
        <v>0</v>
      </c>
      <c r="G723">
        <v>26.483000000000001</v>
      </c>
      <c r="H723">
        <v>0</v>
      </c>
      <c r="I723">
        <v>0</v>
      </c>
      <c r="J723">
        <v>0</v>
      </c>
      <c r="K723">
        <v>0</v>
      </c>
      <c r="L723">
        <v>85</v>
      </c>
      <c r="M723">
        <v>121</v>
      </c>
      <c r="N723" t="s">
        <v>28</v>
      </c>
      <c r="O723" s="3">
        <v>44727</v>
      </c>
      <c r="P723">
        <v>-1</v>
      </c>
      <c r="T723" t="s">
        <v>52</v>
      </c>
      <c r="U723">
        <v>92</v>
      </c>
      <c r="V723">
        <v>16.774999999999999</v>
      </c>
    </row>
    <row r="724" spans="1:22" x14ac:dyDescent="0.35">
      <c r="A724" s="3">
        <v>44606</v>
      </c>
      <c r="B724" t="s">
        <v>30</v>
      </c>
      <c r="C724">
        <v>0</v>
      </c>
      <c r="D724">
        <v>0</v>
      </c>
      <c r="E724">
        <v>0</v>
      </c>
      <c r="F724">
        <v>0</v>
      </c>
      <c r="G724">
        <v>27.020700000000001</v>
      </c>
      <c r="H724">
        <v>0</v>
      </c>
      <c r="I724">
        <v>0</v>
      </c>
      <c r="J724">
        <v>0</v>
      </c>
      <c r="K724">
        <v>0</v>
      </c>
      <c r="L724">
        <v>46</v>
      </c>
      <c r="M724">
        <v>65</v>
      </c>
      <c r="N724" t="s">
        <v>30</v>
      </c>
      <c r="O724" s="3">
        <v>44671</v>
      </c>
      <c r="P724">
        <v>-1</v>
      </c>
      <c r="T724" t="s">
        <v>51</v>
      </c>
      <c r="U724">
        <v>117</v>
      </c>
      <c r="V724">
        <v>17.024999999999999</v>
      </c>
    </row>
    <row r="725" spans="1:22" x14ac:dyDescent="0.35">
      <c r="A725" s="3">
        <v>44603</v>
      </c>
      <c r="B725" t="s">
        <v>26</v>
      </c>
      <c r="C725">
        <v>0</v>
      </c>
      <c r="D725">
        <v>0</v>
      </c>
      <c r="E725">
        <v>0</v>
      </c>
      <c r="F725">
        <v>0</v>
      </c>
      <c r="G725">
        <v>26.573699999999999</v>
      </c>
      <c r="H725">
        <v>0</v>
      </c>
      <c r="I725">
        <v>0</v>
      </c>
      <c r="J725">
        <v>0</v>
      </c>
      <c r="K725">
        <v>0</v>
      </c>
      <c r="L725">
        <v>130</v>
      </c>
      <c r="M725">
        <v>187</v>
      </c>
      <c r="N725" t="s">
        <v>26</v>
      </c>
      <c r="O725" s="3">
        <v>44790</v>
      </c>
      <c r="P725">
        <v>-1</v>
      </c>
      <c r="T725" t="s">
        <v>50</v>
      </c>
      <c r="U725">
        <v>137</v>
      </c>
      <c r="V725">
        <v>17.100000000000001</v>
      </c>
    </row>
    <row r="726" spans="1:22" x14ac:dyDescent="0.35">
      <c r="A726" s="3">
        <v>44603</v>
      </c>
      <c r="B726" t="s">
        <v>32</v>
      </c>
      <c r="C726">
        <v>0</v>
      </c>
      <c r="D726">
        <v>0</v>
      </c>
      <c r="E726">
        <v>0</v>
      </c>
      <c r="F726">
        <v>0</v>
      </c>
      <c r="G726">
        <v>27.814</v>
      </c>
      <c r="H726">
        <v>0</v>
      </c>
      <c r="I726">
        <v>0</v>
      </c>
      <c r="J726">
        <v>0</v>
      </c>
      <c r="K726">
        <v>0</v>
      </c>
      <c r="L726">
        <v>3</v>
      </c>
      <c r="M726">
        <v>5</v>
      </c>
      <c r="N726" t="s">
        <v>32</v>
      </c>
      <c r="O726" s="3">
        <v>44608</v>
      </c>
      <c r="P726">
        <v>-1</v>
      </c>
      <c r="T726" t="s">
        <v>49</v>
      </c>
      <c r="U726">
        <v>156</v>
      </c>
      <c r="V726">
        <v>17.375</v>
      </c>
    </row>
    <row r="727" spans="1:22" x14ac:dyDescent="0.35">
      <c r="A727" s="3">
        <v>44603</v>
      </c>
      <c r="B727" t="s">
        <v>27</v>
      </c>
      <c r="C727">
        <v>0</v>
      </c>
      <c r="D727">
        <v>0</v>
      </c>
      <c r="E727">
        <v>0</v>
      </c>
      <c r="F727">
        <v>0</v>
      </c>
      <c r="G727">
        <v>26.925000000000001</v>
      </c>
      <c r="H727">
        <v>0</v>
      </c>
      <c r="I727">
        <v>0</v>
      </c>
      <c r="J727">
        <v>0</v>
      </c>
      <c r="K727">
        <v>0</v>
      </c>
      <c r="L727">
        <v>154</v>
      </c>
      <c r="M727">
        <v>222</v>
      </c>
      <c r="N727" t="s">
        <v>27</v>
      </c>
      <c r="O727" s="3">
        <v>44825</v>
      </c>
      <c r="P727">
        <v>-1</v>
      </c>
      <c r="T727" t="s">
        <v>48</v>
      </c>
      <c r="U727">
        <v>181</v>
      </c>
      <c r="V727">
        <v>19.824999999999999</v>
      </c>
    </row>
    <row r="728" spans="1:22" x14ac:dyDescent="0.35">
      <c r="A728" s="3">
        <v>44603</v>
      </c>
      <c r="B728" t="s">
        <v>28</v>
      </c>
      <c r="C728">
        <v>0</v>
      </c>
      <c r="D728">
        <v>0</v>
      </c>
      <c r="E728">
        <v>0</v>
      </c>
      <c r="F728">
        <v>0</v>
      </c>
      <c r="G728">
        <v>26.5581</v>
      </c>
      <c r="H728">
        <v>0</v>
      </c>
      <c r="I728">
        <v>0</v>
      </c>
      <c r="J728">
        <v>0</v>
      </c>
      <c r="K728">
        <v>0</v>
      </c>
      <c r="L728">
        <v>86</v>
      </c>
      <c r="M728">
        <v>124</v>
      </c>
      <c r="N728" t="s">
        <v>28</v>
      </c>
      <c r="O728" s="3">
        <v>44727</v>
      </c>
      <c r="P728">
        <v>-1</v>
      </c>
      <c r="T728" t="s">
        <v>47</v>
      </c>
      <c r="U728">
        <v>201</v>
      </c>
      <c r="V728">
        <v>17.824999999999999</v>
      </c>
    </row>
    <row r="729" spans="1:22" x14ac:dyDescent="0.35">
      <c r="A729" s="3">
        <v>44603</v>
      </c>
      <c r="B729" t="s">
        <v>30</v>
      </c>
      <c r="C729">
        <v>0</v>
      </c>
      <c r="D729">
        <v>0</v>
      </c>
      <c r="E729">
        <v>0</v>
      </c>
      <c r="F729">
        <v>0</v>
      </c>
      <c r="G729">
        <v>27.026599999999998</v>
      </c>
      <c r="H729">
        <v>0</v>
      </c>
      <c r="I729">
        <v>0</v>
      </c>
      <c r="J729">
        <v>0</v>
      </c>
      <c r="K729">
        <v>0</v>
      </c>
      <c r="L729">
        <v>47</v>
      </c>
      <c r="M729">
        <v>68</v>
      </c>
      <c r="N729" t="s">
        <v>30</v>
      </c>
      <c r="O729" s="3">
        <v>44671</v>
      </c>
      <c r="P729">
        <v>-1</v>
      </c>
      <c r="S729" s="3">
        <v>43868</v>
      </c>
      <c r="T729" t="s">
        <v>55</v>
      </c>
      <c r="U729">
        <v>27</v>
      </c>
      <c r="V729">
        <v>16.225000000000001</v>
      </c>
    </row>
    <row r="730" spans="1:22" x14ac:dyDescent="0.35">
      <c r="A730" s="3">
        <v>44603</v>
      </c>
      <c r="B730" t="s">
        <v>22</v>
      </c>
      <c r="C730">
        <v>0</v>
      </c>
      <c r="D730">
        <v>0</v>
      </c>
      <c r="E730">
        <v>0</v>
      </c>
      <c r="F730">
        <v>0</v>
      </c>
      <c r="G730">
        <v>26.730699999999999</v>
      </c>
      <c r="H730">
        <v>0</v>
      </c>
      <c r="I730">
        <v>0</v>
      </c>
      <c r="J730">
        <v>0</v>
      </c>
      <c r="K730">
        <v>0</v>
      </c>
      <c r="L730">
        <v>110</v>
      </c>
      <c r="M730">
        <v>159</v>
      </c>
      <c r="N730" t="s">
        <v>22</v>
      </c>
      <c r="O730" s="3">
        <v>44762</v>
      </c>
      <c r="P730">
        <v>-1</v>
      </c>
      <c r="T730" t="s">
        <v>54</v>
      </c>
      <c r="U730">
        <v>47</v>
      </c>
      <c r="V730">
        <v>16.725000000000001</v>
      </c>
    </row>
    <row r="731" spans="1:22" x14ac:dyDescent="0.35">
      <c r="A731" s="3">
        <v>44603</v>
      </c>
      <c r="B731" t="s">
        <v>29</v>
      </c>
      <c r="C731">
        <v>0</v>
      </c>
      <c r="D731">
        <v>0</v>
      </c>
      <c r="E731">
        <v>0</v>
      </c>
      <c r="F731">
        <v>0</v>
      </c>
      <c r="G731">
        <v>26.7377</v>
      </c>
      <c r="H731">
        <v>0</v>
      </c>
      <c r="I731">
        <v>0</v>
      </c>
      <c r="J731">
        <v>0</v>
      </c>
      <c r="K731">
        <v>0</v>
      </c>
      <c r="L731">
        <v>67</v>
      </c>
      <c r="M731">
        <v>96</v>
      </c>
      <c r="N731" t="s">
        <v>29</v>
      </c>
      <c r="O731" s="3">
        <v>44699</v>
      </c>
      <c r="P731">
        <v>-1</v>
      </c>
      <c r="T731" t="s">
        <v>53</v>
      </c>
      <c r="U731">
        <v>72</v>
      </c>
      <c r="V731">
        <v>16.675000000000001</v>
      </c>
    </row>
    <row r="732" spans="1:22" x14ac:dyDescent="0.35">
      <c r="A732" s="3">
        <v>44603</v>
      </c>
      <c r="B732" t="s">
        <v>31</v>
      </c>
      <c r="C732">
        <v>0</v>
      </c>
      <c r="D732">
        <v>0</v>
      </c>
      <c r="E732">
        <v>0</v>
      </c>
      <c r="F732">
        <v>0</v>
      </c>
      <c r="G732">
        <v>27.69</v>
      </c>
      <c r="H732">
        <v>0</v>
      </c>
      <c r="I732">
        <v>0</v>
      </c>
      <c r="J732">
        <v>0</v>
      </c>
      <c r="K732">
        <v>0</v>
      </c>
      <c r="L732">
        <v>21</v>
      </c>
      <c r="M732">
        <v>32</v>
      </c>
      <c r="N732" t="s">
        <v>31</v>
      </c>
      <c r="O732" s="3">
        <v>44635</v>
      </c>
      <c r="P732">
        <v>-1</v>
      </c>
      <c r="T732" t="s">
        <v>52</v>
      </c>
      <c r="U732">
        <v>91</v>
      </c>
      <c r="V732">
        <v>17.024999999999999</v>
      </c>
    </row>
    <row r="733" spans="1:22" x14ac:dyDescent="0.35">
      <c r="A733" s="3">
        <v>44603</v>
      </c>
      <c r="B733" t="s">
        <v>25</v>
      </c>
      <c r="C733">
        <v>0</v>
      </c>
      <c r="D733">
        <v>0</v>
      </c>
      <c r="E733">
        <v>0</v>
      </c>
      <c r="F733">
        <v>0</v>
      </c>
      <c r="G733">
        <v>27.074999999999999</v>
      </c>
      <c r="H733">
        <v>0</v>
      </c>
      <c r="I733">
        <v>0</v>
      </c>
      <c r="J733">
        <v>0</v>
      </c>
      <c r="K733">
        <v>0</v>
      </c>
      <c r="L733">
        <v>174</v>
      </c>
      <c r="M733">
        <v>250</v>
      </c>
      <c r="N733" t="s">
        <v>25</v>
      </c>
      <c r="O733" s="3">
        <v>44853</v>
      </c>
      <c r="P733">
        <v>-1</v>
      </c>
      <c r="T733" t="s">
        <v>51</v>
      </c>
      <c r="U733">
        <v>116</v>
      </c>
      <c r="V733">
        <v>17.225000000000001</v>
      </c>
    </row>
    <row r="734" spans="1:22" x14ac:dyDescent="0.35">
      <c r="A734" s="3">
        <v>44602</v>
      </c>
      <c r="B734" t="s">
        <v>22</v>
      </c>
      <c r="C734">
        <v>0</v>
      </c>
      <c r="D734">
        <v>0</v>
      </c>
      <c r="E734">
        <v>0</v>
      </c>
      <c r="F734">
        <v>0</v>
      </c>
      <c r="G734">
        <v>25.945900000000002</v>
      </c>
      <c r="H734">
        <v>0</v>
      </c>
      <c r="I734">
        <v>0</v>
      </c>
      <c r="J734">
        <v>0</v>
      </c>
      <c r="K734">
        <v>0</v>
      </c>
      <c r="L734">
        <v>111</v>
      </c>
      <c r="M734">
        <v>160</v>
      </c>
      <c r="N734" t="s">
        <v>22</v>
      </c>
      <c r="O734" s="3">
        <v>44762</v>
      </c>
      <c r="P734">
        <v>-1</v>
      </c>
      <c r="T734" t="s">
        <v>50</v>
      </c>
      <c r="U734">
        <v>136</v>
      </c>
      <c r="V734">
        <v>17.25</v>
      </c>
    </row>
    <row r="735" spans="1:22" x14ac:dyDescent="0.35">
      <c r="A735" s="3">
        <v>44602</v>
      </c>
      <c r="B735" t="s">
        <v>29</v>
      </c>
      <c r="C735">
        <v>0</v>
      </c>
      <c r="D735">
        <v>0</v>
      </c>
      <c r="E735">
        <v>0</v>
      </c>
      <c r="F735">
        <v>0</v>
      </c>
      <c r="G735">
        <v>25.357399999999998</v>
      </c>
      <c r="H735">
        <v>0</v>
      </c>
      <c r="I735">
        <v>0</v>
      </c>
      <c r="J735">
        <v>0</v>
      </c>
      <c r="K735">
        <v>0</v>
      </c>
      <c r="L735">
        <v>68</v>
      </c>
      <c r="M735">
        <v>97</v>
      </c>
      <c r="N735" t="s">
        <v>29</v>
      </c>
      <c r="O735" s="3">
        <v>44699</v>
      </c>
      <c r="P735">
        <v>-1</v>
      </c>
      <c r="T735" t="s">
        <v>49</v>
      </c>
      <c r="U735">
        <v>155</v>
      </c>
      <c r="V735">
        <v>17.45</v>
      </c>
    </row>
    <row r="736" spans="1:22" x14ac:dyDescent="0.35">
      <c r="A736" s="3">
        <v>44602</v>
      </c>
      <c r="B736" t="s">
        <v>31</v>
      </c>
      <c r="C736">
        <v>0</v>
      </c>
      <c r="D736">
        <v>0</v>
      </c>
      <c r="E736">
        <v>0</v>
      </c>
      <c r="F736">
        <v>0</v>
      </c>
      <c r="G736">
        <v>24.579899999999999</v>
      </c>
      <c r="H736">
        <v>0</v>
      </c>
      <c r="I736">
        <v>0</v>
      </c>
      <c r="J736">
        <v>0</v>
      </c>
      <c r="K736">
        <v>0</v>
      </c>
      <c r="L736">
        <v>22</v>
      </c>
      <c r="M736">
        <v>33</v>
      </c>
      <c r="N736" t="s">
        <v>31</v>
      </c>
      <c r="O736" s="3">
        <v>44635</v>
      </c>
      <c r="P736">
        <v>-1</v>
      </c>
      <c r="T736" t="s">
        <v>48</v>
      </c>
      <c r="U736">
        <v>180</v>
      </c>
      <c r="V736">
        <v>19.824999999999999</v>
      </c>
    </row>
    <row r="737" spans="1:22" x14ac:dyDescent="0.35">
      <c r="A737" s="3">
        <v>44602</v>
      </c>
      <c r="B737" t="s">
        <v>25</v>
      </c>
      <c r="C737">
        <v>0</v>
      </c>
      <c r="D737">
        <v>0</v>
      </c>
      <c r="E737">
        <v>0</v>
      </c>
      <c r="F737">
        <v>0</v>
      </c>
      <c r="G737">
        <v>26.35</v>
      </c>
      <c r="H737">
        <v>0</v>
      </c>
      <c r="I737">
        <v>0</v>
      </c>
      <c r="J737">
        <v>0</v>
      </c>
      <c r="K737">
        <v>0</v>
      </c>
      <c r="L737">
        <v>175</v>
      </c>
      <c r="M737">
        <v>251</v>
      </c>
      <c r="N737" t="s">
        <v>25</v>
      </c>
      <c r="O737" s="3">
        <v>44853</v>
      </c>
      <c r="P737">
        <v>-1</v>
      </c>
      <c r="T737" t="s">
        <v>47</v>
      </c>
      <c r="U737">
        <v>200</v>
      </c>
      <c r="V737">
        <v>17.925000000000001</v>
      </c>
    </row>
    <row r="738" spans="1:22" x14ac:dyDescent="0.35">
      <c r="A738" s="3">
        <v>44602</v>
      </c>
      <c r="B738" t="s">
        <v>26</v>
      </c>
      <c r="C738">
        <v>0</v>
      </c>
      <c r="D738">
        <v>0</v>
      </c>
      <c r="E738">
        <v>0</v>
      </c>
      <c r="F738">
        <v>0</v>
      </c>
      <c r="G738">
        <v>25.898099999999999</v>
      </c>
      <c r="H738">
        <v>0</v>
      </c>
      <c r="I738">
        <v>0</v>
      </c>
      <c r="J738">
        <v>0</v>
      </c>
      <c r="K738">
        <v>0</v>
      </c>
      <c r="L738">
        <v>131</v>
      </c>
      <c r="M738">
        <v>188</v>
      </c>
      <c r="N738" t="s">
        <v>26</v>
      </c>
      <c r="O738" s="3">
        <v>44790</v>
      </c>
      <c r="P738">
        <v>-1</v>
      </c>
      <c r="S738" s="3">
        <v>43871</v>
      </c>
      <c r="T738" t="s">
        <v>55</v>
      </c>
      <c r="U738">
        <v>26</v>
      </c>
      <c r="V738">
        <v>15.975</v>
      </c>
    </row>
    <row r="739" spans="1:22" x14ac:dyDescent="0.35">
      <c r="A739" s="3">
        <v>44602</v>
      </c>
      <c r="B739" t="s">
        <v>32</v>
      </c>
      <c r="C739">
        <v>0</v>
      </c>
      <c r="D739">
        <v>0</v>
      </c>
      <c r="E739">
        <v>0</v>
      </c>
      <c r="F739">
        <v>0</v>
      </c>
      <c r="G739">
        <v>24.218599999999999</v>
      </c>
      <c r="H739">
        <v>0</v>
      </c>
      <c r="I739">
        <v>0</v>
      </c>
      <c r="J739">
        <v>0</v>
      </c>
      <c r="K739">
        <v>0</v>
      </c>
      <c r="L739">
        <v>4</v>
      </c>
      <c r="M739">
        <v>6</v>
      </c>
      <c r="N739" t="s">
        <v>32</v>
      </c>
      <c r="O739" s="3">
        <v>44608</v>
      </c>
      <c r="P739">
        <v>-1</v>
      </c>
      <c r="T739" t="s">
        <v>54</v>
      </c>
      <c r="U739">
        <v>46</v>
      </c>
      <c r="V739">
        <v>16.475000000000001</v>
      </c>
    </row>
    <row r="740" spans="1:22" x14ac:dyDescent="0.35">
      <c r="A740" s="3">
        <v>44602</v>
      </c>
      <c r="B740" t="s">
        <v>27</v>
      </c>
      <c r="C740">
        <v>0</v>
      </c>
      <c r="D740">
        <v>0</v>
      </c>
      <c r="E740">
        <v>0</v>
      </c>
      <c r="F740">
        <v>0</v>
      </c>
      <c r="G740">
        <v>26.2</v>
      </c>
      <c r="H740">
        <v>0</v>
      </c>
      <c r="I740">
        <v>0</v>
      </c>
      <c r="J740">
        <v>0</v>
      </c>
      <c r="K740">
        <v>0</v>
      </c>
      <c r="L740">
        <v>155</v>
      </c>
      <c r="M740">
        <v>223</v>
      </c>
      <c r="N740" t="s">
        <v>27</v>
      </c>
      <c r="O740" s="3">
        <v>44825</v>
      </c>
      <c r="P740">
        <v>-1</v>
      </c>
      <c r="T740" t="s">
        <v>53</v>
      </c>
      <c r="U740">
        <v>71</v>
      </c>
      <c r="V740">
        <v>16.524999999999999</v>
      </c>
    </row>
    <row r="741" spans="1:22" x14ac:dyDescent="0.35">
      <c r="A741" s="3">
        <v>44602</v>
      </c>
      <c r="B741" t="s">
        <v>28</v>
      </c>
      <c r="C741">
        <v>0</v>
      </c>
      <c r="D741">
        <v>0</v>
      </c>
      <c r="E741">
        <v>0</v>
      </c>
      <c r="F741">
        <v>0</v>
      </c>
      <c r="G741">
        <v>25.5563</v>
      </c>
      <c r="H741">
        <v>0</v>
      </c>
      <c r="I741">
        <v>0</v>
      </c>
      <c r="J741">
        <v>0</v>
      </c>
      <c r="K741">
        <v>0</v>
      </c>
      <c r="L741">
        <v>87</v>
      </c>
      <c r="M741">
        <v>125</v>
      </c>
      <c r="N741" t="s">
        <v>28</v>
      </c>
      <c r="O741" s="3">
        <v>44727</v>
      </c>
      <c r="P741">
        <v>-1</v>
      </c>
      <c r="T741" t="s">
        <v>52</v>
      </c>
      <c r="U741">
        <v>90</v>
      </c>
      <c r="V741">
        <v>16.875</v>
      </c>
    </row>
    <row r="742" spans="1:22" x14ac:dyDescent="0.35">
      <c r="A742" s="3">
        <v>44602</v>
      </c>
      <c r="B742" t="s">
        <v>30</v>
      </c>
      <c r="C742">
        <v>0</v>
      </c>
      <c r="D742">
        <v>0</v>
      </c>
      <c r="E742">
        <v>0</v>
      </c>
      <c r="F742">
        <v>0</v>
      </c>
      <c r="G742">
        <v>25.063600000000001</v>
      </c>
      <c r="H742">
        <v>0</v>
      </c>
      <c r="I742">
        <v>0</v>
      </c>
      <c r="J742">
        <v>0</v>
      </c>
      <c r="K742">
        <v>0</v>
      </c>
      <c r="L742">
        <v>48</v>
      </c>
      <c r="M742">
        <v>69</v>
      </c>
      <c r="N742" t="s">
        <v>30</v>
      </c>
      <c r="O742" s="3">
        <v>44671</v>
      </c>
      <c r="P742">
        <v>-1</v>
      </c>
      <c r="T742" t="s">
        <v>51</v>
      </c>
      <c r="U742">
        <v>115</v>
      </c>
      <c r="V742">
        <v>17.074999999999999</v>
      </c>
    </row>
    <row r="743" spans="1:22" x14ac:dyDescent="0.35">
      <c r="A743" s="3">
        <v>44601</v>
      </c>
      <c r="B743" t="s">
        <v>26</v>
      </c>
      <c r="C743">
        <v>0</v>
      </c>
      <c r="D743">
        <v>0</v>
      </c>
      <c r="E743">
        <v>0</v>
      </c>
      <c r="F743">
        <v>0</v>
      </c>
      <c r="G743">
        <v>25.1023</v>
      </c>
      <c r="H743">
        <v>0</v>
      </c>
      <c r="I743">
        <v>0</v>
      </c>
      <c r="J743">
        <v>0</v>
      </c>
      <c r="K743">
        <v>0</v>
      </c>
      <c r="L743">
        <v>132</v>
      </c>
      <c r="M743">
        <v>189</v>
      </c>
      <c r="N743" t="s">
        <v>26</v>
      </c>
      <c r="O743" s="3">
        <v>44790</v>
      </c>
      <c r="P743">
        <v>-1</v>
      </c>
      <c r="T743" t="s">
        <v>50</v>
      </c>
      <c r="U743">
        <v>135</v>
      </c>
      <c r="V743">
        <v>17.125</v>
      </c>
    </row>
    <row r="744" spans="1:22" x14ac:dyDescent="0.35">
      <c r="A744" s="3">
        <v>44601</v>
      </c>
      <c r="B744" t="s">
        <v>32</v>
      </c>
      <c r="C744">
        <v>0</v>
      </c>
      <c r="D744">
        <v>0</v>
      </c>
      <c r="E744">
        <v>0</v>
      </c>
      <c r="F744">
        <v>0</v>
      </c>
      <c r="G744">
        <v>21.156099999999999</v>
      </c>
      <c r="H744">
        <v>0</v>
      </c>
      <c r="I744">
        <v>0</v>
      </c>
      <c r="J744">
        <v>0</v>
      </c>
      <c r="K744">
        <v>0</v>
      </c>
      <c r="L744">
        <v>5</v>
      </c>
      <c r="M744">
        <v>7</v>
      </c>
      <c r="N744" t="s">
        <v>32</v>
      </c>
      <c r="O744" s="3">
        <v>44608</v>
      </c>
      <c r="P744">
        <v>-1</v>
      </c>
      <c r="T744" t="s">
        <v>49</v>
      </c>
      <c r="U744">
        <v>154</v>
      </c>
      <c r="V744">
        <v>17.324999999999999</v>
      </c>
    </row>
    <row r="745" spans="1:22" x14ac:dyDescent="0.35">
      <c r="A745" s="3">
        <v>44601</v>
      </c>
      <c r="B745" t="s">
        <v>27</v>
      </c>
      <c r="C745">
        <v>0</v>
      </c>
      <c r="D745">
        <v>0</v>
      </c>
      <c r="E745">
        <v>0</v>
      </c>
      <c r="F745">
        <v>0</v>
      </c>
      <c r="G745">
        <v>25.524999999999999</v>
      </c>
      <c r="H745">
        <v>0</v>
      </c>
      <c r="I745">
        <v>0</v>
      </c>
      <c r="J745">
        <v>0</v>
      </c>
      <c r="K745">
        <v>0</v>
      </c>
      <c r="L745">
        <v>156</v>
      </c>
      <c r="M745">
        <v>224</v>
      </c>
      <c r="N745" t="s">
        <v>27</v>
      </c>
      <c r="O745" s="3">
        <v>44825</v>
      </c>
      <c r="P745">
        <v>-1</v>
      </c>
      <c r="T745" t="s">
        <v>48</v>
      </c>
      <c r="U745">
        <v>179</v>
      </c>
      <c r="V745">
        <v>19.625</v>
      </c>
    </row>
    <row r="746" spans="1:22" x14ac:dyDescent="0.35">
      <c r="A746" s="3">
        <v>44601</v>
      </c>
      <c r="B746" t="s">
        <v>28</v>
      </c>
      <c r="C746">
        <v>0</v>
      </c>
      <c r="D746">
        <v>0</v>
      </c>
      <c r="E746">
        <v>0</v>
      </c>
      <c r="F746">
        <v>0</v>
      </c>
      <c r="G746">
        <v>24.599499999999999</v>
      </c>
      <c r="H746">
        <v>0</v>
      </c>
      <c r="I746">
        <v>0</v>
      </c>
      <c r="J746">
        <v>0</v>
      </c>
      <c r="K746">
        <v>0</v>
      </c>
      <c r="L746">
        <v>88</v>
      </c>
      <c r="M746">
        <v>126</v>
      </c>
      <c r="N746" t="s">
        <v>28</v>
      </c>
      <c r="O746" s="3">
        <v>44727</v>
      </c>
      <c r="P746">
        <v>-1</v>
      </c>
      <c r="T746" t="s">
        <v>47</v>
      </c>
      <c r="U746">
        <v>199</v>
      </c>
      <c r="V746">
        <v>17.8</v>
      </c>
    </row>
    <row r="747" spans="1:22" x14ac:dyDescent="0.35">
      <c r="A747" s="3">
        <v>44601</v>
      </c>
      <c r="B747" t="s">
        <v>30</v>
      </c>
      <c r="C747">
        <v>0</v>
      </c>
      <c r="D747">
        <v>0</v>
      </c>
      <c r="E747">
        <v>0</v>
      </c>
      <c r="F747">
        <v>0</v>
      </c>
      <c r="G747">
        <v>23.695</v>
      </c>
      <c r="H747">
        <v>0</v>
      </c>
      <c r="I747">
        <v>0</v>
      </c>
      <c r="J747">
        <v>0</v>
      </c>
      <c r="K747">
        <v>0</v>
      </c>
      <c r="L747">
        <v>49</v>
      </c>
      <c r="M747">
        <v>70</v>
      </c>
      <c r="N747" t="s">
        <v>30</v>
      </c>
      <c r="O747" s="3">
        <v>44671</v>
      </c>
      <c r="P747">
        <v>-1</v>
      </c>
      <c r="S747" s="3">
        <v>43872</v>
      </c>
      <c r="T747" t="s">
        <v>55</v>
      </c>
      <c r="U747">
        <v>25</v>
      </c>
      <c r="V747">
        <v>15.925000000000001</v>
      </c>
    </row>
    <row r="748" spans="1:22" x14ac:dyDescent="0.35">
      <c r="A748" s="3">
        <v>44601</v>
      </c>
      <c r="B748" t="s">
        <v>22</v>
      </c>
      <c r="C748">
        <v>0</v>
      </c>
      <c r="D748">
        <v>0</v>
      </c>
      <c r="E748">
        <v>0</v>
      </c>
      <c r="F748">
        <v>0</v>
      </c>
      <c r="G748">
        <v>25.146100000000001</v>
      </c>
      <c r="H748">
        <v>0</v>
      </c>
      <c r="I748">
        <v>0</v>
      </c>
      <c r="J748">
        <v>0</v>
      </c>
      <c r="K748">
        <v>0</v>
      </c>
      <c r="L748">
        <v>112</v>
      </c>
      <c r="M748">
        <v>161</v>
      </c>
      <c r="N748" t="s">
        <v>22</v>
      </c>
      <c r="O748" s="3">
        <v>44762</v>
      </c>
      <c r="P748">
        <v>-1</v>
      </c>
      <c r="T748" t="s">
        <v>54</v>
      </c>
      <c r="U748">
        <v>45</v>
      </c>
      <c r="V748">
        <v>16.475000000000001</v>
      </c>
    </row>
    <row r="749" spans="1:22" x14ac:dyDescent="0.35">
      <c r="A749" s="3">
        <v>44601</v>
      </c>
      <c r="B749" t="s">
        <v>29</v>
      </c>
      <c r="C749">
        <v>0</v>
      </c>
      <c r="D749">
        <v>0</v>
      </c>
      <c r="E749">
        <v>0</v>
      </c>
      <c r="F749">
        <v>0</v>
      </c>
      <c r="G749">
        <v>24.247800000000002</v>
      </c>
      <c r="H749">
        <v>0</v>
      </c>
      <c r="I749">
        <v>0</v>
      </c>
      <c r="J749">
        <v>0</v>
      </c>
      <c r="K749">
        <v>0</v>
      </c>
      <c r="L749">
        <v>69</v>
      </c>
      <c r="M749">
        <v>98</v>
      </c>
      <c r="N749" t="s">
        <v>29</v>
      </c>
      <c r="O749" s="3">
        <v>44699</v>
      </c>
      <c r="P749">
        <v>-1</v>
      </c>
      <c r="T749" t="s">
        <v>53</v>
      </c>
      <c r="U749">
        <v>70</v>
      </c>
      <c r="V749">
        <v>16.574999999999999</v>
      </c>
    </row>
    <row r="750" spans="1:22" x14ac:dyDescent="0.35">
      <c r="A750" s="3">
        <v>44601</v>
      </c>
      <c r="B750" t="s">
        <v>31</v>
      </c>
      <c r="C750">
        <v>0</v>
      </c>
      <c r="D750">
        <v>0</v>
      </c>
      <c r="E750">
        <v>0</v>
      </c>
      <c r="F750">
        <v>0</v>
      </c>
      <c r="G750">
        <v>22.668700000000001</v>
      </c>
      <c r="H750">
        <v>0</v>
      </c>
      <c r="I750">
        <v>0</v>
      </c>
      <c r="J750">
        <v>0</v>
      </c>
      <c r="K750">
        <v>0</v>
      </c>
      <c r="L750">
        <v>23</v>
      </c>
      <c r="M750">
        <v>34</v>
      </c>
      <c r="N750" t="s">
        <v>31</v>
      </c>
      <c r="O750" s="3">
        <v>44635</v>
      </c>
      <c r="P750">
        <v>-1</v>
      </c>
      <c r="T750" t="s">
        <v>52</v>
      </c>
      <c r="U750">
        <v>89</v>
      </c>
      <c r="V750">
        <v>16.925000000000001</v>
      </c>
    </row>
    <row r="751" spans="1:22" x14ac:dyDescent="0.35">
      <c r="A751" s="3">
        <v>44601</v>
      </c>
      <c r="B751" t="s">
        <v>25</v>
      </c>
      <c r="C751">
        <v>0</v>
      </c>
      <c r="D751">
        <v>0</v>
      </c>
      <c r="E751">
        <v>0</v>
      </c>
      <c r="F751">
        <v>0</v>
      </c>
      <c r="G751">
        <v>25.625</v>
      </c>
      <c r="H751">
        <v>0</v>
      </c>
      <c r="I751">
        <v>0</v>
      </c>
      <c r="J751">
        <v>0</v>
      </c>
      <c r="K751">
        <v>0</v>
      </c>
      <c r="L751">
        <v>176</v>
      </c>
      <c r="M751">
        <v>252</v>
      </c>
      <c r="N751" t="s">
        <v>25</v>
      </c>
      <c r="O751" s="3">
        <v>44853</v>
      </c>
      <c r="P751">
        <v>-1</v>
      </c>
      <c r="T751" t="s">
        <v>51</v>
      </c>
      <c r="U751">
        <v>114</v>
      </c>
      <c r="V751">
        <v>17.125</v>
      </c>
    </row>
    <row r="752" spans="1:22" x14ac:dyDescent="0.35">
      <c r="A752" s="3">
        <v>44600</v>
      </c>
      <c r="B752" t="s">
        <v>22</v>
      </c>
      <c r="C752">
        <v>0</v>
      </c>
      <c r="D752">
        <v>0</v>
      </c>
      <c r="E752">
        <v>0</v>
      </c>
      <c r="F752">
        <v>0</v>
      </c>
      <c r="G752">
        <v>25.558299999999999</v>
      </c>
      <c r="H752">
        <v>0</v>
      </c>
      <c r="I752">
        <v>0</v>
      </c>
      <c r="J752">
        <v>0</v>
      </c>
      <c r="K752">
        <v>0</v>
      </c>
      <c r="L752">
        <v>113</v>
      </c>
      <c r="M752">
        <v>162</v>
      </c>
      <c r="N752" t="s">
        <v>22</v>
      </c>
      <c r="O752" s="3">
        <v>44762</v>
      </c>
      <c r="P752">
        <v>-1</v>
      </c>
      <c r="T752" t="s">
        <v>50</v>
      </c>
      <c r="U752">
        <v>134</v>
      </c>
      <c r="V752">
        <v>17.175000000000001</v>
      </c>
    </row>
    <row r="753" spans="1:22" x14ac:dyDescent="0.35">
      <c r="A753" s="3">
        <v>44600</v>
      </c>
      <c r="B753" t="s">
        <v>29</v>
      </c>
      <c r="C753">
        <v>0</v>
      </c>
      <c r="D753">
        <v>0</v>
      </c>
      <c r="E753">
        <v>0</v>
      </c>
      <c r="F753">
        <v>0</v>
      </c>
      <c r="G753">
        <v>24.704000000000001</v>
      </c>
      <c r="H753">
        <v>0</v>
      </c>
      <c r="I753">
        <v>0</v>
      </c>
      <c r="J753">
        <v>0</v>
      </c>
      <c r="K753">
        <v>0</v>
      </c>
      <c r="L753">
        <v>70</v>
      </c>
      <c r="M753">
        <v>99</v>
      </c>
      <c r="N753" t="s">
        <v>29</v>
      </c>
      <c r="O753" s="3">
        <v>44699</v>
      </c>
      <c r="P753">
        <v>-1</v>
      </c>
      <c r="T753" t="s">
        <v>49</v>
      </c>
      <c r="U753">
        <v>153</v>
      </c>
      <c r="V753">
        <v>17.375</v>
      </c>
    </row>
    <row r="754" spans="1:22" x14ac:dyDescent="0.35">
      <c r="A754" s="3">
        <v>44600</v>
      </c>
      <c r="B754" t="s">
        <v>31</v>
      </c>
      <c r="C754">
        <v>0</v>
      </c>
      <c r="D754">
        <v>0</v>
      </c>
      <c r="E754">
        <v>0</v>
      </c>
      <c r="F754">
        <v>0</v>
      </c>
      <c r="G754">
        <v>23.409800000000001</v>
      </c>
      <c r="H754">
        <v>0</v>
      </c>
      <c r="I754">
        <v>0</v>
      </c>
      <c r="J754">
        <v>0</v>
      </c>
      <c r="K754">
        <v>0</v>
      </c>
      <c r="L754">
        <v>24</v>
      </c>
      <c r="M754">
        <v>35</v>
      </c>
      <c r="N754" t="s">
        <v>31</v>
      </c>
      <c r="O754" s="3">
        <v>44635</v>
      </c>
      <c r="P754">
        <v>-1</v>
      </c>
      <c r="T754" t="s">
        <v>48</v>
      </c>
      <c r="U754">
        <v>178</v>
      </c>
      <c r="V754">
        <v>19.725000000000001</v>
      </c>
    </row>
    <row r="755" spans="1:22" x14ac:dyDescent="0.35">
      <c r="A755" s="3">
        <v>44600</v>
      </c>
      <c r="B755" t="s">
        <v>25</v>
      </c>
      <c r="C755">
        <v>0</v>
      </c>
      <c r="D755">
        <v>0</v>
      </c>
      <c r="E755">
        <v>0</v>
      </c>
      <c r="F755">
        <v>0</v>
      </c>
      <c r="G755">
        <v>26.05</v>
      </c>
      <c r="H755">
        <v>0</v>
      </c>
      <c r="I755">
        <v>0</v>
      </c>
      <c r="J755">
        <v>0</v>
      </c>
      <c r="K755">
        <v>0</v>
      </c>
      <c r="L755">
        <v>177</v>
      </c>
      <c r="M755">
        <v>253</v>
      </c>
      <c r="N755" t="s">
        <v>25</v>
      </c>
      <c r="O755" s="3">
        <v>44853</v>
      </c>
      <c r="P755">
        <v>-1</v>
      </c>
      <c r="T755" t="s">
        <v>47</v>
      </c>
      <c r="U755">
        <v>198</v>
      </c>
      <c r="V755">
        <v>17.925000000000001</v>
      </c>
    </row>
    <row r="756" spans="1:22" x14ac:dyDescent="0.35">
      <c r="A756" s="3">
        <v>44600</v>
      </c>
      <c r="B756" t="s">
        <v>26</v>
      </c>
      <c r="C756">
        <v>0</v>
      </c>
      <c r="D756">
        <v>0</v>
      </c>
      <c r="E756">
        <v>0</v>
      </c>
      <c r="F756">
        <v>0</v>
      </c>
      <c r="G756">
        <v>25.563099999999999</v>
      </c>
      <c r="H756">
        <v>0</v>
      </c>
      <c r="I756">
        <v>0</v>
      </c>
      <c r="J756">
        <v>0</v>
      </c>
      <c r="K756">
        <v>0</v>
      </c>
      <c r="L756">
        <v>133</v>
      </c>
      <c r="M756">
        <v>190</v>
      </c>
      <c r="N756" t="s">
        <v>26</v>
      </c>
      <c r="O756" s="3">
        <v>44790</v>
      </c>
      <c r="P756">
        <v>-1</v>
      </c>
      <c r="S756" s="3">
        <v>43873</v>
      </c>
      <c r="T756" t="s">
        <v>55</v>
      </c>
      <c r="U756">
        <v>24</v>
      </c>
      <c r="V756">
        <v>15.324999999999999</v>
      </c>
    </row>
    <row r="757" spans="1:22" x14ac:dyDescent="0.35">
      <c r="A757" s="3">
        <v>44600</v>
      </c>
      <c r="B757" t="s">
        <v>32</v>
      </c>
      <c r="C757">
        <v>0</v>
      </c>
      <c r="D757">
        <v>0</v>
      </c>
      <c r="E757">
        <v>0</v>
      </c>
      <c r="F757">
        <v>0</v>
      </c>
      <c r="G757">
        <v>22.311599999999999</v>
      </c>
      <c r="H757">
        <v>0</v>
      </c>
      <c r="I757">
        <v>0</v>
      </c>
      <c r="J757">
        <v>0</v>
      </c>
      <c r="K757">
        <v>0</v>
      </c>
      <c r="L757">
        <v>6</v>
      </c>
      <c r="M757">
        <v>8</v>
      </c>
      <c r="N757" t="s">
        <v>32</v>
      </c>
      <c r="O757" s="3">
        <v>44608</v>
      </c>
      <c r="P757">
        <v>-1</v>
      </c>
      <c r="T757" t="s">
        <v>54</v>
      </c>
      <c r="U757">
        <v>44</v>
      </c>
      <c r="V757">
        <v>16.125</v>
      </c>
    </row>
    <row r="758" spans="1:22" x14ac:dyDescent="0.35">
      <c r="A758" s="3">
        <v>44600</v>
      </c>
      <c r="B758" t="s">
        <v>27</v>
      </c>
      <c r="C758">
        <v>0</v>
      </c>
      <c r="D758">
        <v>0</v>
      </c>
      <c r="E758">
        <v>0</v>
      </c>
      <c r="F758">
        <v>0</v>
      </c>
      <c r="G758">
        <v>25.9</v>
      </c>
      <c r="H758">
        <v>0</v>
      </c>
      <c r="I758">
        <v>0</v>
      </c>
      <c r="J758">
        <v>0</v>
      </c>
      <c r="K758">
        <v>0</v>
      </c>
      <c r="L758">
        <v>157</v>
      </c>
      <c r="M758">
        <v>225</v>
      </c>
      <c r="N758" t="s">
        <v>27</v>
      </c>
      <c r="O758" s="3">
        <v>44825</v>
      </c>
      <c r="P758">
        <v>-1</v>
      </c>
      <c r="T758" t="s">
        <v>53</v>
      </c>
      <c r="U758">
        <v>69</v>
      </c>
      <c r="V758">
        <v>16.274999999999999</v>
      </c>
    </row>
    <row r="759" spans="1:22" x14ac:dyDescent="0.35">
      <c r="A759" s="3">
        <v>44600</v>
      </c>
      <c r="B759" t="s">
        <v>28</v>
      </c>
      <c r="C759">
        <v>0</v>
      </c>
      <c r="D759">
        <v>0</v>
      </c>
      <c r="E759">
        <v>0</v>
      </c>
      <c r="F759">
        <v>0</v>
      </c>
      <c r="G759">
        <v>25.05</v>
      </c>
      <c r="H759">
        <v>0</v>
      </c>
      <c r="I759">
        <v>0</v>
      </c>
      <c r="J759">
        <v>0</v>
      </c>
      <c r="K759">
        <v>0</v>
      </c>
      <c r="L759">
        <v>89</v>
      </c>
      <c r="M759">
        <v>127</v>
      </c>
      <c r="N759" t="s">
        <v>28</v>
      </c>
      <c r="O759" s="3">
        <v>44727</v>
      </c>
      <c r="P759">
        <v>-1</v>
      </c>
      <c r="T759" t="s">
        <v>52</v>
      </c>
      <c r="U759">
        <v>88</v>
      </c>
      <c r="V759">
        <v>16.675000000000001</v>
      </c>
    </row>
    <row r="760" spans="1:22" x14ac:dyDescent="0.35">
      <c r="A760" s="3">
        <v>44600</v>
      </c>
      <c r="B760" t="s">
        <v>30</v>
      </c>
      <c r="C760">
        <v>0</v>
      </c>
      <c r="D760">
        <v>0</v>
      </c>
      <c r="E760">
        <v>0</v>
      </c>
      <c r="F760">
        <v>0</v>
      </c>
      <c r="G760">
        <v>24.257300000000001</v>
      </c>
      <c r="H760">
        <v>0</v>
      </c>
      <c r="I760">
        <v>0</v>
      </c>
      <c r="J760">
        <v>0</v>
      </c>
      <c r="K760">
        <v>0</v>
      </c>
      <c r="L760">
        <v>50</v>
      </c>
      <c r="M760">
        <v>71</v>
      </c>
      <c r="N760" t="s">
        <v>30</v>
      </c>
      <c r="O760" s="3">
        <v>44671</v>
      </c>
      <c r="P760">
        <v>-1</v>
      </c>
      <c r="T760" t="s">
        <v>51</v>
      </c>
      <c r="U760">
        <v>113</v>
      </c>
      <c r="V760">
        <v>16.925000000000001</v>
      </c>
    </row>
    <row r="761" spans="1:22" x14ac:dyDescent="0.35">
      <c r="A761" s="3">
        <v>44599</v>
      </c>
      <c r="B761" t="s">
        <v>26</v>
      </c>
      <c r="C761">
        <v>0</v>
      </c>
      <c r="D761">
        <v>0</v>
      </c>
      <c r="E761">
        <v>0</v>
      </c>
      <c r="F761">
        <v>0</v>
      </c>
      <c r="G761">
        <v>25.970800000000001</v>
      </c>
      <c r="H761">
        <v>0</v>
      </c>
      <c r="I761">
        <v>0</v>
      </c>
      <c r="J761">
        <v>0</v>
      </c>
      <c r="K761">
        <v>0</v>
      </c>
      <c r="L761">
        <v>134</v>
      </c>
      <c r="M761">
        <v>191</v>
      </c>
      <c r="N761" t="s">
        <v>26</v>
      </c>
      <c r="O761" s="3">
        <v>44790</v>
      </c>
      <c r="P761">
        <v>-1</v>
      </c>
      <c r="T761" t="s">
        <v>50</v>
      </c>
      <c r="U761">
        <v>133</v>
      </c>
      <c r="V761">
        <v>16.975000000000001</v>
      </c>
    </row>
    <row r="762" spans="1:22" x14ac:dyDescent="0.35">
      <c r="A762" s="3">
        <v>44599</v>
      </c>
      <c r="B762" t="s">
        <v>32</v>
      </c>
      <c r="C762">
        <v>0</v>
      </c>
      <c r="D762">
        <v>0</v>
      </c>
      <c r="E762">
        <v>0</v>
      </c>
      <c r="F762">
        <v>0</v>
      </c>
      <c r="G762">
        <v>23.652100000000001</v>
      </c>
      <c r="H762">
        <v>0</v>
      </c>
      <c r="I762">
        <v>0</v>
      </c>
      <c r="J762">
        <v>0</v>
      </c>
      <c r="K762">
        <v>0</v>
      </c>
      <c r="L762">
        <v>7</v>
      </c>
      <c r="M762">
        <v>9</v>
      </c>
      <c r="N762" t="s">
        <v>32</v>
      </c>
      <c r="O762" s="3">
        <v>44608</v>
      </c>
      <c r="P762">
        <v>-1</v>
      </c>
      <c r="T762" t="s">
        <v>49</v>
      </c>
      <c r="U762">
        <v>152</v>
      </c>
      <c r="V762">
        <v>17.149999999999999</v>
      </c>
    </row>
    <row r="763" spans="1:22" x14ac:dyDescent="0.35">
      <c r="A763" s="3">
        <v>44599</v>
      </c>
      <c r="B763" t="s">
        <v>27</v>
      </c>
      <c r="C763">
        <v>0</v>
      </c>
      <c r="D763">
        <v>0</v>
      </c>
      <c r="E763">
        <v>0</v>
      </c>
      <c r="F763">
        <v>0</v>
      </c>
      <c r="G763">
        <v>26.25</v>
      </c>
      <c r="H763">
        <v>0</v>
      </c>
      <c r="I763">
        <v>0</v>
      </c>
      <c r="J763">
        <v>0</v>
      </c>
      <c r="K763">
        <v>0</v>
      </c>
      <c r="L763">
        <v>158</v>
      </c>
      <c r="M763">
        <v>226</v>
      </c>
      <c r="N763" t="s">
        <v>27</v>
      </c>
      <c r="O763" s="3">
        <v>44825</v>
      </c>
      <c r="P763">
        <v>-1</v>
      </c>
      <c r="T763" t="s">
        <v>48</v>
      </c>
      <c r="U763">
        <v>177</v>
      </c>
      <c r="V763">
        <v>19.574999999999999</v>
      </c>
    </row>
    <row r="764" spans="1:22" x14ac:dyDescent="0.35">
      <c r="A764" s="3">
        <v>44599</v>
      </c>
      <c r="B764" t="s">
        <v>28</v>
      </c>
      <c r="C764">
        <v>0</v>
      </c>
      <c r="D764">
        <v>0</v>
      </c>
      <c r="E764">
        <v>0</v>
      </c>
      <c r="F764">
        <v>0</v>
      </c>
      <c r="G764">
        <v>25.6296</v>
      </c>
      <c r="H764">
        <v>0</v>
      </c>
      <c r="I764">
        <v>0</v>
      </c>
      <c r="J764">
        <v>0</v>
      </c>
      <c r="K764">
        <v>0</v>
      </c>
      <c r="L764">
        <v>90</v>
      </c>
      <c r="M764">
        <v>128</v>
      </c>
      <c r="N764" t="s">
        <v>28</v>
      </c>
      <c r="O764" s="3">
        <v>44727</v>
      </c>
      <c r="P764">
        <v>-1</v>
      </c>
      <c r="T764" t="s">
        <v>47</v>
      </c>
      <c r="U764">
        <v>197</v>
      </c>
      <c r="V764">
        <v>17.850000000000001</v>
      </c>
    </row>
    <row r="765" spans="1:22" x14ac:dyDescent="0.35">
      <c r="A765" s="3">
        <v>44599</v>
      </c>
      <c r="B765" t="s">
        <v>30</v>
      </c>
      <c r="C765">
        <v>0</v>
      </c>
      <c r="D765">
        <v>0</v>
      </c>
      <c r="E765">
        <v>0</v>
      </c>
      <c r="F765">
        <v>0</v>
      </c>
      <c r="G765">
        <v>25.1601</v>
      </c>
      <c r="H765">
        <v>0</v>
      </c>
      <c r="I765">
        <v>0</v>
      </c>
      <c r="J765">
        <v>0</v>
      </c>
      <c r="K765">
        <v>0</v>
      </c>
      <c r="L765">
        <v>51</v>
      </c>
      <c r="M765">
        <v>72</v>
      </c>
      <c r="N765" t="s">
        <v>30</v>
      </c>
      <c r="O765" s="3">
        <v>44671</v>
      </c>
      <c r="P765">
        <v>-1</v>
      </c>
      <c r="S765" s="3">
        <v>43874</v>
      </c>
      <c r="T765" t="s">
        <v>55</v>
      </c>
      <c r="U765">
        <v>23</v>
      </c>
      <c r="V765">
        <v>15.574999999999999</v>
      </c>
    </row>
    <row r="766" spans="1:22" x14ac:dyDescent="0.35">
      <c r="A766" s="3">
        <v>44599</v>
      </c>
      <c r="B766" t="s">
        <v>29</v>
      </c>
      <c r="C766">
        <v>0</v>
      </c>
      <c r="D766">
        <v>0</v>
      </c>
      <c r="E766">
        <v>0</v>
      </c>
      <c r="F766">
        <v>0</v>
      </c>
      <c r="G766">
        <v>25.492899999999999</v>
      </c>
      <c r="H766">
        <v>0</v>
      </c>
      <c r="I766">
        <v>0</v>
      </c>
      <c r="J766">
        <v>0</v>
      </c>
      <c r="K766">
        <v>0</v>
      </c>
      <c r="L766">
        <v>71</v>
      </c>
      <c r="M766">
        <v>100</v>
      </c>
      <c r="N766" t="s">
        <v>29</v>
      </c>
      <c r="O766" s="3">
        <v>44699</v>
      </c>
      <c r="P766">
        <v>-1</v>
      </c>
      <c r="T766" t="s">
        <v>54</v>
      </c>
      <c r="U766">
        <v>43</v>
      </c>
      <c r="V766">
        <v>16.324999999999999</v>
      </c>
    </row>
    <row r="767" spans="1:22" x14ac:dyDescent="0.35">
      <c r="A767" s="3">
        <v>44599</v>
      </c>
      <c r="B767" t="s">
        <v>31</v>
      </c>
      <c r="C767">
        <v>0</v>
      </c>
      <c r="D767">
        <v>0</v>
      </c>
      <c r="E767">
        <v>0</v>
      </c>
      <c r="F767">
        <v>0</v>
      </c>
      <c r="G767">
        <v>24.536300000000001</v>
      </c>
      <c r="H767">
        <v>0</v>
      </c>
      <c r="I767">
        <v>0</v>
      </c>
      <c r="J767">
        <v>0</v>
      </c>
      <c r="K767">
        <v>0</v>
      </c>
      <c r="L767">
        <v>25</v>
      </c>
      <c r="M767">
        <v>36</v>
      </c>
      <c r="N767" t="s">
        <v>31</v>
      </c>
      <c r="O767" s="3">
        <v>44635</v>
      </c>
      <c r="P767">
        <v>-1</v>
      </c>
      <c r="T767" t="s">
        <v>53</v>
      </c>
      <c r="U767">
        <v>68</v>
      </c>
      <c r="V767">
        <v>16.475000000000001</v>
      </c>
    </row>
    <row r="768" spans="1:22" x14ac:dyDescent="0.35">
      <c r="A768" s="3">
        <v>44599</v>
      </c>
      <c r="B768" t="s">
        <v>25</v>
      </c>
      <c r="C768">
        <v>0</v>
      </c>
      <c r="D768">
        <v>0</v>
      </c>
      <c r="E768">
        <v>0</v>
      </c>
      <c r="F768">
        <v>0</v>
      </c>
      <c r="G768">
        <v>26.274999999999999</v>
      </c>
      <c r="H768">
        <v>0</v>
      </c>
      <c r="I768">
        <v>0</v>
      </c>
      <c r="J768">
        <v>0</v>
      </c>
      <c r="K768">
        <v>0</v>
      </c>
      <c r="L768">
        <v>178</v>
      </c>
      <c r="M768">
        <v>254</v>
      </c>
      <c r="N768" t="s">
        <v>25</v>
      </c>
      <c r="O768" s="3">
        <v>44853</v>
      </c>
      <c r="P768">
        <v>-1</v>
      </c>
      <c r="T768" t="s">
        <v>52</v>
      </c>
      <c r="U768">
        <v>87</v>
      </c>
      <c r="V768">
        <v>16.824999999999999</v>
      </c>
    </row>
    <row r="769" spans="1:22" x14ac:dyDescent="0.35">
      <c r="A769" s="3">
        <v>44599</v>
      </c>
      <c r="B769" t="s">
        <v>22</v>
      </c>
      <c r="C769">
        <v>0</v>
      </c>
      <c r="D769">
        <v>0</v>
      </c>
      <c r="E769">
        <v>0</v>
      </c>
      <c r="F769">
        <v>0</v>
      </c>
      <c r="G769">
        <v>26.045500000000001</v>
      </c>
      <c r="H769">
        <v>0</v>
      </c>
      <c r="I769">
        <v>0</v>
      </c>
      <c r="J769">
        <v>0</v>
      </c>
      <c r="K769">
        <v>0</v>
      </c>
      <c r="L769">
        <v>114</v>
      </c>
      <c r="M769">
        <v>163</v>
      </c>
      <c r="N769" t="s">
        <v>22</v>
      </c>
      <c r="O769" s="3">
        <v>44762</v>
      </c>
      <c r="P769">
        <v>-1</v>
      </c>
      <c r="T769" t="s">
        <v>51</v>
      </c>
      <c r="U769">
        <v>112</v>
      </c>
      <c r="V769">
        <v>17.024999999999999</v>
      </c>
    </row>
    <row r="770" spans="1:22" x14ac:dyDescent="0.35">
      <c r="A770" s="3">
        <v>44596</v>
      </c>
      <c r="B770" t="s">
        <v>29</v>
      </c>
      <c r="C770">
        <v>0</v>
      </c>
      <c r="D770">
        <v>0</v>
      </c>
      <c r="E770">
        <v>0</v>
      </c>
      <c r="F770">
        <v>0</v>
      </c>
      <c r="G770">
        <v>25.950500000000002</v>
      </c>
      <c r="H770">
        <v>0</v>
      </c>
      <c r="I770">
        <v>0</v>
      </c>
      <c r="J770">
        <v>0</v>
      </c>
      <c r="K770">
        <v>0</v>
      </c>
      <c r="L770">
        <v>72</v>
      </c>
      <c r="M770">
        <v>103</v>
      </c>
      <c r="N770" t="s">
        <v>29</v>
      </c>
      <c r="O770" s="3">
        <v>44699</v>
      </c>
      <c r="P770">
        <v>-1</v>
      </c>
      <c r="T770" t="s">
        <v>50</v>
      </c>
      <c r="U770">
        <v>132</v>
      </c>
      <c r="V770">
        <v>17.074999999999999</v>
      </c>
    </row>
    <row r="771" spans="1:22" x14ac:dyDescent="0.35">
      <c r="A771" s="3">
        <v>44596</v>
      </c>
      <c r="B771" t="s">
        <v>31</v>
      </c>
      <c r="C771">
        <v>0</v>
      </c>
      <c r="D771">
        <v>0</v>
      </c>
      <c r="E771">
        <v>0</v>
      </c>
      <c r="F771">
        <v>0</v>
      </c>
      <c r="G771">
        <v>25.148399999999999</v>
      </c>
      <c r="H771">
        <v>0</v>
      </c>
      <c r="I771">
        <v>0</v>
      </c>
      <c r="J771">
        <v>0</v>
      </c>
      <c r="K771">
        <v>0</v>
      </c>
      <c r="L771">
        <v>26</v>
      </c>
      <c r="M771">
        <v>39</v>
      </c>
      <c r="N771" t="s">
        <v>31</v>
      </c>
      <c r="O771" s="3">
        <v>44635</v>
      </c>
      <c r="P771">
        <v>-1</v>
      </c>
      <c r="T771" t="s">
        <v>49</v>
      </c>
      <c r="U771">
        <v>151</v>
      </c>
      <c r="V771">
        <v>17.274999999999999</v>
      </c>
    </row>
    <row r="772" spans="1:22" x14ac:dyDescent="0.35">
      <c r="A772" s="3">
        <v>44596</v>
      </c>
      <c r="B772" t="s">
        <v>25</v>
      </c>
      <c r="C772">
        <v>0</v>
      </c>
      <c r="D772">
        <v>0</v>
      </c>
      <c r="E772">
        <v>0</v>
      </c>
      <c r="F772">
        <v>0</v>
      </c>
      <c r="G772">
        <v>26.65</v>
      </c>
      <c r="H772">
        <v>0</v>
      </c>
      <c r="I772">
        <v>0</v>
      </c>
      <c r="J772">
        <v>0</v>
      </c>
      <c r="K772">
        <v>0</v>
      </c>
      <c r="L772">
        <v>179</v>
      </c>
      <c r="M772">
        <v>257</v>
      </c>
      <c r="N772" t="s">
        <v>25</v>
      </c>
      <c r="O772" s="3">
        <v>44853</v>
      </c>
      <c r="P772">
        <v>-1</v>
      </c>
      <c r="T772" t="s">
        <v>48</v>
      </c>
      <c r="U772">
        <v>176</v>
      </c>
      <c r="V772">
        <v>19.675000000000001</v>
      </c>
    </row>
    <row r="773" spans="1:22" x14ac:dyDescent="0.35">
      <c r="A773" s="3">
        <v>44596</v>
      </c>
      <c r="B773" t="s">
        <v>22</v>
      </c>
      <c r="C773">
        <v>0</v>
      </c>
      <c r="D773">
        <v>0</v>
      </c>
      <c r="E773">
        <v>0</v>
      </c>
      <c r="F773">
        <v>0</v>
      </c>
      <c r="G773">
        <v>26.400400000000001</v>
      </c>
      <c r="H773">
        <v>0</v>
      </c>
      <c r="I773">
        <v>0</v>
      </c>
      <c r="J773">
        <v>0</v>
      </c>
      <c r="K773">
        <v>0</v>
      </c>
      <c r="L773">
        <v>115</v>
      </c>
      <c r="M773">
        <v>166</v>
      </c>
      <c r="N773" t="s">
        <v>22</v>
      </c>
      <c r="O773" s="3">
        <v>44762</v>
      </c>
      <c r="P773">
        <v>-1</v>
      </c>
      <c r="T773" t="s">
        <v>47</v>
      </c>
      <c r="U773">
        <v>196</v>
      </c>
      <c r="V773">
        <v>17.899999999999999</v>
      </c>
    </row>
    <row r="774" spans="1:22" x14ac:dyDescent="0.35">
      <c r="A774" s="3">
        <v>44596</v>
      </c>
      <c r="B774" t="s">
        <v>26</v>
      </c>
      <c r="C774">
        <v>0</v>
      </c>
      <c r="D774">
        <v>0</v>
      </c>
      <c r="E774">
        <v>0</v>
      </c>
      <c r="F774">
        <v>0</v>
      </c>
      <c r="G774">
        <v>26.297499999999999</v>
      </c>
      <c r="H774">
        <v>0</v>
      </c>
      <c r="I774">
        <v>0</v>
      </c>
      <c r="J774">
        <v>0</v>
      </c>
      <c r="K774">
        <v>0</v>
      </c>
      <c r="L774">
        <v>135</v>
      </c>
      <c r="M774">
        <v>194</v>
      </c>
      <c r="N774" t="s">
        <v>26</v>
      </c>
      <c r="O774" s="3">
        <v>44790</v>
      </c>
      <c r="P774">
        <v>-1</v>
      </c>
      <c r="S774" s="3">
        <v>43875</v>
      </c>
      <c r="T774" t="s">
        <v>55</v>
      </c>
      <c r="U774">
        <v>22</v>
      </c>
      <c r="V774">
        <v>15.425000000000001</v>
      </c>
    </row>
    <row r="775" spans="1:22" x14ac:dyDescent="0.35">
      <c r="A775" s="3">
        <v>44596</v>
      </c>
      <c r="B775" t="s">
        <v>32</v>
      </c>
      <c r="C775">
        <v>0</v>
      </c>
      <c r="D775">
        <v>0</v>
      </c>
      <c r="E775">
        <v>0</v>
      </c>
      <c r="F775">
        <v>0</v>
      </c>
      <c r="G775">
        <v>24.261299999999999</v>
      </c>
      <c r="H775">
        <v>0</v>
      </c>
      <c r="I775">
        <v>0</v>
      </c>
      <c r="J775">
        <v>0</v>
      </c>
      <c r="K775">
        <v>0</v>
      </c>
      <c r="L775">
        <v>8</v>
      </c>
      <c r="M775">
        <v>12</v>
      </c>
      <c r="N775" t="s">
        <v>32</v>
      </c>
      <c r="O775" s="3">
        <v>44608</v>
      </c>
      <c r="P775">
        <v>-1</v>
      </c>
      <c r="T775" t="s">
        <v>54</v>
      </c>
      <c r="U775">
        <v>42</v>
      </c>
      <c r="V775">
        <v>16.125</v>
      </c>
    </row>
    <row r="776" spans="1:22" x14ac:dyDescent="0.35">
      <c r="A776" s="3">
        <v>44596</v>
      </c>
      <c r="B776" t="s">
        <v>27</v>
      </c>
      <c r="C776">
        <v>0</v>
      </c>
      <c r="D776">
        <v>0</v>
      </c>
      <c r="E776">
        <v>0</v>
      </c>
      <c r="F776">
        <v>0</v>
      </c>
      <c r="G776">
        <v>26.55</v>
      </c>
      <c r="H776">
        <v>0</v>
      </c>
      <c r="I776">
        <v>0</v>
      </c>
      <c r="J776">
        <v>0</v>
      </c>
      <c r="K776">
        <v>0</v>
      </c>
      <c r="L776">
        <v>159</v>
      </c>
      <c r="M776">
        <v>229</v>
      </c>
      <c r="N776" t="s">
        <v>27</v>
      </c>
      <c r="O776" s="3">
        <v>44825</v>
      </c>
      <c r="P776">
        <v>-1</v>
      </c>
      <c r="T776" t="s">
        <v>53</v>
      </c>
      <c r="U776">
        <v>67</v>
      </c>
      <c r="V776">
        <v>16.324999999999999</v>
      </c>
    </row>
    <row r="777" spans="1:22" x14ac:dyDescent="0.35">
      <c r="A777" s="3">
        <v>44596</v>
      </c>
      <c r="B777" t="s">
        <v>28</v>
      </c>
      <c r="C777">
        <v>0</v>
      </c>
      <c r="D777">
        <v>0</v>
      </c>
      <c r="E777">
        <v>0</v>
      </c>
      <c r="F777">
        <v>0</v>
      </c>
      <c r="G777">
        <v>26.000399999999999</v>
      </c>
      <c r="H777">
        <v>0</v>
      </c>
      <c r="I777">
        <v>0</v>
      </c>
      <c r="J777">
        <v>0</v>
      </c>
      <c r="K777">
        <v>0</v>
      </c>
      <c r="L777">
        <v>91</v>
      </c>
      <c r="M777">
        <v>131</v>
      </c>
      <c r="N777" t="s">
        <v>28</v>
      </c>
      <c r="O777" s="3">
        <v>44727</v>
      </c>
      <c r="P777">
        <v>-1</v>
      </c>
      <c r="T777" t="s">
        <v>52</v>
      </c>
      <c r="U777">
        <v>86</v>
      </c>
      <c r="V777">
        <v>16.725000000000001</v>
      </c>
    </row>
    <row r="778" spans="1:22" x14ac:dyDescent="0.35">
      <c r="A778" s="3">
        <v>44596</v>
      </c>
      <c r="B778" t="s">
        <v>30</v>
      </c>
      <c r="C778">
        <v>0</v>
      </c>
      <c r="D778">
        <v>0</v>
      </c>
      <c r="E778">
        <v>0</v>
      </c>
      <c r="F778">
        <v>0</v>
      </c>
      <c r="G778">
        <v>25.703700000000001</v>
      </c>
      <c r="H778">
        <v>0</v>
      </c>
      <c r="I778">
        <v>0</v>
      </c>
      <c r="J778">
        <v>0</v>
      </c>
      <c r="K778">
        <v>0</v>
      </c>
      <c r="L778">
        <v>52</v>
      </c>
      <c r="M778">
        <v>75</v>
      </c>
      <c r="N778" t="s">
        <v>30</v>
      </c>
      <c r="O778" s="3">
        <v>44671</v>
      </c>
      <c r="P778">
        <v>-1</v>
      </c>
      <c r="T778" t="s">
        <v>51</v>
      </c>
      <c r="U778">
        <v>111</v>
      </c>
      <c r="V778">
        <v>16.975000000000001</v>
      </c>
    </row>
    <row r="779" spans="1:22" x14ac:dyDescent="0.35">
      <c r="A779" s="3">
        <v>44595</v>
      </c>
      <c r="B779" t="s">
        <v>26</v>
      </c>
      <c r="C779">
        <v>0</v>
      </c>
      <c r="D779">
        <v>0</v>
      </c>
      <c r="E779">
        <v>0</v>
      </c>
      <c r="F779">
        <v>0</v>
      </c>
      <c r="G779">
        <v>26.2758</v>
      </c>
      <c r="H779">
        <v>0</v>
      </c>
      <c r="I779">
        <v>0</v>
      </c>
      <c r="J779">
        <v>0</v>
      </c>
      <c r="K779">
        <v>0</v>
      </c>
      <c r="L779">
        <v>136</v>
      </c>
      <c r="M779">
        <v>195</v>
      </c>
      <c r="N779" t="s">
        <v>26</v>
      </c>
      <c r="O779" s="3">
        <v>44790</v>
      </c>
      <c r="P779">
        <v>-1</v>
      </c>
      <c r="T779" t="s">
        <v>50</v>
      </c>
      <c r="U779">
        <v>131</v>
      </c>
      <c r="V779">
        <v>16.975000000000001</v>
      </c>
    </row>
    <row r="780" spans="1:22" x14ac:dyDescent="0.35">
      <c r="A780" s="3">
        <v>44595</v>
      </c>
      <c r="B780" t="s">
        <v>32</v>
      </c>
      <c r="C780">
        <v>0</v>
      </c>
      <c r="D780">
        <v>0</v>
      </c>
      <c r="E780">
        <v>0</v>
      </c>
      <c r="F780">
        <v>0</v>
      </c>
      <c r="G780">
        <v>25.730599999999999</v>
      </c>
      <c r="H780">
        <v>0</v>
      </c>
      <c r="I780">
        <v>0</v>
      </c>
      <c r="J780">
        <v>0</v>
      </c>
      <c r="K780">
        <v>0</v>
      </c>
      <c r="L780">
        <v>9</v>
      </c>
      <c r="M780">
        <v>13</v>
      </c>
      <c r="N780" t="s">
        <v>32</v>
      </c>
      <c r="O780" s="3">
        <v>44608</v>
      </c>
      <c r="P780">
        <v>-1</v>
      </c>
      <c r="T780" t="s">
        <v>49</v>
      </c>
      <c r="U780">
        <v>150</v>
      </c>
      <c r="V780">
        <v>17.225000000000001</v>
      </c>
    </row>
    <row r="781" spans="1:22" x14ac:dyDescent="0.35">
      <c r="A781" s="3">
        <v>44595</v>
      </c>
      <c r="B781" t="s">
        <v>27</v>
      </c>
      <c r="C781">
        <v>0</v>
      </c>
      <c r="D781">
        <v>0</v>
      </c>
      <c r="E781">
        <v>0</v>
      </c>
      <c r="F781">
        <v>0</v>
      </c>
      <c r="G781">
        <v>26.5</v>
      </c>
      <c r="H781">
        <v>0</v>
      </c>
      <c r="I781">
        <v>0</v>
      </c>
      <c r="J781">
        <v>0</v>
      </c>
      <c r="K781">
        <v>0</v>
      </c>
      <c r="L781">
        <v>160</v>
      </c>
      <c r="M781">
        <v>230</v>
      </c>
      <c r="N781" t="s">
        <v>27</v>
      </c>
      <c r="O781" s="3">
        <v>44825</v>
      </c>
      <c r="P781">
        <v>-1</v>
      </c>
      <c r="T781" t="s">
        <v>48</v>
      </c>
      <c r="U781">
        <v>175</v>
      </c>
      <c r="V781">
        <v>19.625</v>
      </c>
    </row>
    <row r="782" spans="1:22" x14ac:dyDescent="0.35">
      <c r="A782" s="3">
        <v>44595</v>
      </c>
      <c r="B782" t="s">
        <v>28</v>
      </c>
      <c r="C782">
        <v>0</v>
      </c>
      <c r="D782">
        <v>0</v>
      </c>
      <c r="E782">
        <v>0</v>
      </c>
      <c r="F782">
        <v>0</v>
      </c>
      <c r="G782">
        <v>26.1038</v>
      </c>
      <c r="H782">
        <v>0</v>
      </c>
      <c r="I782">
        <v>0</v>
      </c>
      <c r="J782">
        <v>0</v>
      </c>
      <c r="K782">
        <v>0</v>
      </c>
      <c r="L782">
        <v>92</v>
      </c>
      <c r="M782">
        <v>132</v>
      </c>
      <c r="N782" t="s">
        <v>28</v>
      </c>
      <c r="O782" s="3">
        <v>44727</v>
      </c>
      <c r="P782">
        <v>-1</v>
      </c>
      <c r="T782" t="s">
        <v>47</v>
      </c>
      <c r="U782">
        <v>195</v>
      </c>
      <c r="V782">
        <v>17.850000000000001</v>
      </c>
    </row>
    <row r="783" spans="1:22" x14ac:dyDescent="0.35">
      <c r="A783" s="3">
        <v>44595</v>
      </c>
      <c r="B783" t="s">
        <v>30</v>
      </c>
      <c r="C783">
        <v>0</v>
      </c>
      <c r="D783">
        <v>0</v>
      </c>
      <c r="E783">
        <v>0</v>
      </c>
      <c r="F783">
        <v>0</v>
      </c>
      <c r="G783">
        <v>26.15</v>
      </c>
      <c r="H783">
        <v>0</v>
      </c>
      <c r="I783">
        <v>0</v>
      </c>
      <c r="J783">
        <v>0</v>
      </c>
      <c r="K783">
        <v>0</v>
      </c>
      <c r="L783">
        <v>53</v>
      </c>
      <c r="M783">
        <v>76</v>
      </c>
      <c r="N783" t="s">
        <v>30</v>
      </c>
      <c r="O783" s="3">
        <v>44671</v>
      </c>
      <c r="P783">
        <v>-1</v>
      </c>
      <c r="S783" s="3">
        <v>43879</v>
      </c>
      <c r="T783" t="s">
        <v>55</v>
      </c>
      <c r="U783">
        <v>21</v>
      </c>
      <c r="V783">
        <v>15.824999999999999</v>
      </c>
    </row>
    <row r="784" spans="1:22" x14ac:dyDescent="0.35">
      <c r="A784" s="3">
        <v>44595</v>
      </c>
      <c r="B784" t="s">
        <v>29</v>
      </c>
      <c r="C784">
        <v>0</v>
      </c>
      <c r="D784">
        <v>0</v>
      </c>
      <c r="E784">
        <v>0</v>
      </c>
      <c r="F784">
        <v>0</v>
      </c>
      <c r="G784">
        <v>26.156099999999999</v>
      </c>
      <c r="H784">
        <v>0</v>
      </c>
      <c r="I784">
        <v>0</v>
      </c>
      <c r="J784">
        <v>0</v>
      </c>
      <c r="K784">
        <v>0</v>
      </c>
      <c r="L784">
        <v>73</v>
      </c>
      <c r="M784">
        <v>104</v>
      </c>
      <c r="N784" t="s">
        <v>29</v>
      </c>
      <c r="O784" s="3">
        <v>44699</v>
      </c>
      <c r="P784">
        <v>-1</v>
      </c>
      <c r="T784" t="s">
        <v>54</v>
      </c>
      <c r="U784">
        <v>41</v>
      </c>
      <c r="V784">
        <v>16.524999999999999</v>
      </c>
    </row>
    <row r="785" spans="1:22" x14ac:dyDescent="0.35">
      <c r="A785" s="3">
        <v>44595</v>
      </c>
      <c r="B785" t="s">
        <v>31</v>
      </c>
      <c r="C785">
        <v>0</v>
      </c>
      <c r="D785">
        <v>0</v>
      </c>
      <c r="E785">
        <v>0</v>
      </c>
      <c r="F785">
        <v>0</v>
      </c>
      <c r="G785">
        <v>26.0671</v>
      </c>
      <c r="H785">
        <v>0</v>
      </c>
      <c r="I785">
        <v>0</v>
      </c>
      <c r="J785">
        <v>0</v>
      </c>
      <c r="K785">
        <v>0</v>
      </c>
      <c r="L785">
        <v>27</v>
      </c>
      <c r="M785">
        <v>40</v>
      </c>
      <c r="N785" t="s">
        <v>31</v>
      </c>
      <c r="O785" s="3">
        <v>44635</v>
      </c>
      <c r="P785">
        <v>-1</v>
      </c>
      <c r="T785" t="s">
        <v>53</v>
      </c>
      <c r="U785">
        <v>66</v>
      </c>
      <c r="V785">
        <v>16.675000000000001</v>
      </c>
    </row>
    <row r="786" spans="1:22" x14ac:dyDescent="0.35">
      <c r="A786" s="3">
        <v>44595</v>
      </c>
      <c r="B786" t="s">
        <v>25</v>
      </c>
      <c r="C786">
        <v>0</v>
      </c>
      <c r="D786">
        <v>0</v>
      </c>
      <c r="E786">
        <v>0</v>
      </c>
      <c r="F786">
        <v>0</v>
      </c>
      <c r="G786">
        <v>26.5</v>
      </c>
      <c r="H786">
        <v>0</v>
      </c>
      <c r="I786">
        <v>0</v>
      </c>
      <c r="J786">
        <v>0</v>
      </c>
      <c r="K786">
        <v>0</v>
      </c>
      <c r="L786">
        <v>180</v>
      </c>
      <c r="M786">
        <v>258</v>
      </c>
      <c r="N786" t="s">
        <v>25</v>
      </c>
      <c r="O786" s="3">
        <v>44853</v>
      </c>
      <c r="P786">
        <v>-1</v>
      </c>
      <c r="T786" t="s">
        <v>52</v>
      </c>
      <c r="U786">
        <v>85</v>
      </c>
      <c r="V786">
        <v>17.024999999999999</v>
      </c>
    </row>
    <row r="787" spans="1:22" x14ac:dyDescent="0.35">
      <c r="A787" s="3">
        <v>44595</v>
      </c>
      <c r="B787" t="s">
        <v>22</v>
      </c>
      <c r="C787">
        <v>0</v>
      </c>
      <c r="D787">
        <v>0</v>
      </c>
      <c r="E787">
        <v>0</v>
      </c>
      <c r="F787">
        <v>0</v>
      </c>
      <c r="G787">
        <v>26.397300000000001</v>
      </c>
      <c r="H787">
        <v>0</v>
      </c>
      <c r="I787">
        <v>0</v>
      </c>
      <c r="J787">
        <v>0</v>
      </c>
      <c r="K787">
        <v>0</v>
      </c>
      <c r="L787">
        <v>116</v>
      </c>
      <c r="M787">
        <v>167</v>
      </c>
      <c r="N787" t="s">
        <v>22</v>
      </c>
      <c r="O787" s="3">
        <v>44762</v>
      </c>
      <c r="P787">
        <v>-1</v>
      </c>
      <c r="T787" t="s">
        <v>51</v>
      </c>
      <c r="U787">
        <v>110</v>
      </c>
      <c r="V787">
        <v>17.225000000000001</v>
      </c>
    </row>
    <row r="788" spans="1:22" x14ac:dyDescent="0.35">
      <c r="A788" s="3">
        <v>44594</v>
      </c>
      <c r="B788" t="s">
        <v>29</v>
      </c>
      <c r="C788">
        <v>0</v>
      </c>
      <c r="D788">
        <v>0</v>
      </c>
      <c r="E788">
        <v>0</v>
      </c>
      <c r="F788">
        <v>0</v>
      </c>
      <c r="G788">
        <v>24.715800000000002</v>
      </c>
      <c r="H788">
        <v>0</v>
      </c>
      <c r="I788">
        <v>0</v>
      </c>
      <c r="J788">
        <v>0</v>
      </c>
      <c r="K788">
        <v>0</v>
      </c>
      <c r="L788">
        <v>74</v>
      </c>
      <c r="M788">
        <v>105</v>
      </c>
      <c r="N788" t="s">
        <v>29</v>
      </c>
      <c r="O788" s="3">
        <v>44699</v>
      </c>
      <c r="P788">
        <v>-1</v>
      </c>
      <c r="T788" t="s">
        <v>50</v>
      </c>
      <c r="U788">
        <v>130</v>
      </c>
      <c r="V788">
        <v>17.274999999999999</v>
      </c>
    </row>
    <row r="789" spans="1:22" x14ac:dyDescent="0.35">
      <c r="A789" s="3">
        <v>44594</v>
      </c>
      <c r="B789" t="s">
        <v>31</v>
      </c>
      <c r="C789">
        <v>0</v>
      </c>
      <c r="D789">
        <v>0</v>
      </c>
      <c r="E789">
        <v>0</v>
      </c>
      <c r="F789">
        <v>0</v>
      </c>
      <c r="G789">
        <v>23.631799999999998</v>
      </c>
      <c r="H789">
        <v>0</v>
      </c>
      <c r="I789">
        <v>0</v>
      </c>
      <c r="J789">
        <v>0</v>
      </c>
      <c r="K789">
        <v>0</v>
      </c>
      <c r="L789">
        <v>28</v>
      </c>
      <c r="M789">
        <v>41</v>
      </c>
      <c r="N789" t="s">
        <v>31</v>
      </c>
      <c r="O789" s="3">
        <v>44635</v>
      </c>
      <c r="P789">
        <v>-1</v>
      </c>
      <c r="T789" t="s">
        <v>49</v>
      </c>
      <c r="U789">
        <v>149</v>
      </c>
      <c r="V789">
        <v>17.425000000000001</v>
      </c>
    </row>
    <row r="790" spans="1:22" x14ac:dyDescent="0.35">
      <c r="A790" s="3">
        <v>44594</v>
      </c>
      <c r="B790" t="s">
        <v>25</v>
      </c>
      <c r="C790">
        <v>0</v>
      </c>
      <c r="D790">
        <v>0</v>
      </c>
      <c r="E790">
        <v>0</v>
      </c>
      <c r="F790">
        <v>0</v>
      </c>
      <c r="G790">
        <v>25.65</v>
      </c>
      <c r="H790">
        <v>0</v>
      </c>
      <c r="I790">
        <v>0</v>
      </c>
      <c r="J790">
        <v>0</v>
      </c>
      <c r="K790">
        <v>0</v>
      </c>
      <c r="L790">
        <v>181</v>
      </c>
      <c r="M790">
        <v>259</v>
      </c>
      <c r="N790" t="s">
        <v>25</v>
      </c>
      <c r="O790" s="3">
        <v>44853</v>
      </c>
      <c r="P790">
        <v>-1</v>
      </c>
      <c r="T790" t="s">
        <v>48</v>
      </c>
      <c r="U790">
        <v>174</v>
      </c>
      <c r="V790">
        <v>19.899999999999999</v>
      </c>
    </row>
    <row r="791" spans="1:22" x14ac:dyDescent="0.35">
      <c r="A791" s="3">
        <v>44594</v>
      </c>
      <c r="B791" t="s">
        <v>22</v>
      </c>
      <c r="C791">
        <v>0</v>
      </c>
      <c r="D791">
        <v>0</v>
      </c>
      <c r="E791">
        <v>0</v>
      </c>
      <c r="F791">
        <v>0</v>
      </c>
      <c r="G791">
        <v>25.256399999999999</v>
      </c>
      <c r="H791">
        <v>0</v>
      </c>
      <c r="I791">
        <v>0</v>
      </c>
      <c r="J791">
        <v>0</v>
      </c>
      <c r="K791">
        <v>0</v>
      </c>
      <c r="L791">
        <v>117</v>
      </c>
      <c r="M791">
        <v>168</v>
      </c>
      <c r="N791" t="s">
        <v>22</v>
      </c>
      <c r="O791" s="3">
        <v>44762</v>
      </c>
      <c r="P791">
        <v>-1</v>
      </c>
      <c r="T791" t="s">
        <v>47</v>
      </c>
      <c r="U791">
        <v>194</v>
      </c>
      <c r="V791">
        <v>17.975000000000001</v>
      </c>
    </row>
    <row r="792" spans="1:22" x14ac:dyDescent="0.35">
      <c r="A792" s="3">
        <v>44594</v>
      </c>
      <c r="B792" t="s">
        <v>26</v>
      </c>
      <c r="C792">
        <v>0</v>
      </c>
      <c r="D792">
        <v>0</v>
      </c>
      <c r="E792">
        <v>0</v>
      </c>
      <c r="F792">
        <v>0</v>
      </c>
      <c r="G792">
        <v>25.214200000000002</v>
      </c>
      <c r="H792">
        <v>0</v>
      </c>
      <c r="I792">
        <v>0</v>
      </c>
      <c r="J792">
        <v>0</v>
      </c>
      <c r="K792">
        <v>0</v>
      </c>
      <c r="L792">
        <v>137</v>
      </c>
      <c r="M792">
        <v>196</v>
      </c>
      <c r="N792" t="s">
        <v>26</v>
      </c>
      <c r="O792" s="3">
        <v>44790</v>
      </c>
      <c r="P792">
        <v>-1</v>
      </c>
      <c r="S792" s="3">
        <v>43880</v>
      </c>
      <c r="T792" t="s">
        <v>55</v>
      </c>
      <c r="U792">
        <v>20</v>
      </c>
      <c r="V792">
        <v>15.375</v>
      </c>
    </row>
    <row r="793" spans="1:22" x14ac:dyDescent="0.35">
      <c r="A793" s="3">
        <v>44594</v>
      </c>
      <c r="B793" t="s">
        <v>32</v>
      </c>
      <c r="C793">
        <v>0</v>
      </c>
      <c r="D793">
        <v>0</v>
      </c>
      <c r="E793">
        <v>0</v>
      </c>
      <c r="F793">
        <v>0</v>
      </c>
      <c r="G793">
        <v>22.0259</v>
      </c>
      <c r="H793">
        <v>0</v>
      </c>
      <c r="I793">
        <v>0</v>
      </c>
      <c r="J793">
        <v>0</v>
      </c>
      <c r="K793">
        <v>0</v>
      </c>
      <c r="L793">
        <v>10</v>
      </c>
      <c r="M793">
        <v>14</v>
      </c>
      <c r="N793" t="s">
        <v>32</v>
      </c>
      <c r="O793" s="3">
        <v>44608</v>
      </c>
      <c r="P793">
        <v>-1</v>
      </c>
      <c r="T793" t="s">
        <v>54</v>
      </c>
      <c r="U793">
        <v>40</v>
      </c>
      <c r="V793">
        <v>16.324999999999999</v>
      </c>
    </row>
    <row r="794" spans="1:22" x14ac:dyDescent="0.35">
      <c r="A794" s="3">
        <v>44594</v>
      </c>
      <c r="B794" t="s">
        <v>27</v>
      </c>
      <c r="C794">
        <v>0</v>
      </c>
      <c r="D794">
        <v>0</v>
      </c>
      <c r="E794">
        <v>0</v>
      </c>
      <c r="F794">
        <v>0</v>
      </c>
      <c r="G794">
        <v>25.6</v>
      </c>
      <c r="H794">
        <v>0</v>
      </c>
      <c r="I794">
        <v>0</v>
      </c>
      <c r="J794">
        <v>0</v>
      </c>
      <c r="K794">
        <v>0</v>
      </c>
      <c r="L794">
        <v>161</v>
      </c>
      <c r="M794">
        <v>231</v>
      </c>
      <c r="N794" t="s">
        <v>27</v>
      </c>
      <c r="O794" s="3">
        <v>44825</v>
      </c>
      <c r="P794">
        <v>-1</v>
      </c>
      <c r="T794" t="s">
        <v>53</v>
      </c>
      <c r="U794">
        <v>65</v>
      </c>
      <c r="V794">
        <v>16.524999999999999</v>
      </c>
    </row>
    <row r="795" spans="1:22" x14ac:dyDescent="0.35">
      <c r="A795" s="3">
        <v>44594</v>
      </c>
      <c r="B795" t="s">
        <v>28</v>
      </c>
      <c r="C795">
        <v>0</v>
      </c>
      <c r="D795">
        <v>0</v>
      </c>
      <c r="E795">
        <v>0</v>
      </c>
      <c r="F795">
        <v>0</v>
      </c>
      <c r="G795">
        <v>24.8123</v>
      </c>
      <c r="H795">
        <v>0</v>
      </c>
      <c r="I795">
        <v>0</v>
      </c>
      <c r="J795">
        <v>0</v>
      </c>
      <c r="K795">
        <v>0</v>
      </c>
      <c r="L795">
        <v>93</v>
      </c>
      <c r="M795">
        <v>133</v>
      </c>
      <c r="N795" t="s">
        <v>28</v>
      </c>
      <c r="O795" s="3">
        <v>44727</v>
      </c>
      <c r="P795">
        <v>-1</v>
      </c>
      <c r="T795" t="s">
        <v>52</v>
      </c>
      <c r="U795">
        <v>84</v>
      </c>
      <c r="V795">
        <v>16.925000000000001</v>
      </c>
    </row>
    <row r="796" spans="1:22" x14ac:dyDescent="0.35">
      <c r="A796" s="3">
        <v>44594</v>
      </c>
      <c r="B796" t="s">
        <v>30</v>
      </c>
      <c r="C796">
        <v>0</v>
      </c>
      <c r="D796">
        <v>0</v>
      </c>
      <c r="E796">
        <v>0</v>
      </c>
      <c r="F796">
        <v>0</v>
      </c>
      <c r="G796">
        <v>24.416</v>
      </c>
      <c r="H796">
        <v>0</v>
      </c>
      <c r="I796">
        <v>0</v>
      </c>
      <c r="J796">
        <v>0</v>
      </c>
      <c r="K796">
        <v>0</v>
      </c>
      <c r="L796">
        <v>54</v>
      </c>
      <c r="M796">
        <v>77</v>
      </c>
      <c r="N796" t="s">
        <v>30</v>
      </c>
      <c r="O796" s="3">
        <v>44671</v>
      </c>
      <c r="P796">
        <v>-1</v>
      </c>
      <c r="T796" t="s">
        <v>51</v>
      </c>
      <c r="U796">
        <v>109</v>
      </c>
      <c r="V796">
        <v>17.125</v>
      </c>
    </row>
    <row r="797" spans="1:22" x14ac:dyDescent="0.35">
      <c r="A797" s="3">
        <v>44593</v>
      </c>
      <c r="B797" t="s">
        <v>26</v>
      </c>
      <c r="C797">
        <v>0</v>
      </c>
      <c r="D797">
        <v>0</v>
      </c>
      <c r="E797">
        <v>0</v>
      </c>
      <c r="F797">
        <v>0</v>
      </c>
      <c r="G797">
        <v>25.0962</v>
      </c>
      <c r="H797">
        <v>0</v>
      </c>
      <c r="I797">
        <v>0</v>
      </c>
      <c r="J797">
        <v>0</v>
      </c>
      <c r="K797">
        <v>0</v>
      </c>
      <c r="L797">
        <v>138</v>
      </c>
      <c r="M797">
        <v>197</v>
      </c>
      <c r="N797" t="s">
        <v>26</v>
      </c>
      <c r="O797" s="3">
        <v>44790</v>
      </c>
      <c r="P797">
        <v>-1</v>
      </c>
      <c r="T797" t="s">
        <v>50</v>
      </c>
      <c r="U797">
        <v>129</v>
      </c>
      <c r="V797">
        <v>17.225000000000001</v>
      </c>
    </row>
    <row r="798" spans="1:22" x14ac:dyDescent="0.35">
      <c r="A798" s="3">
        <v>44593</v>
      </c>
      <c r="B798" t="s">
        <v>32</v>
      </c>
      <c r="C798">
        <v>0</v>
      </c>
      <c r="D798">
        <v>0</v>
      </c>
      <c r="E798">
        <v>0</v>
      </c>
      <c r="F798">
        <v>0</v>
      </c>
      <c r="G798">
        <v>22.745799999999999</v>
      </c>
      <c r="H798">
        <v>0</v>
      </c>
      <c r="I798">
        <v>0</v>
      </c>
      <c r="J798">
        <v>0</v>
      </c>
      <c r="K798">
        <v>0</v>
      </c>
      <c r="L798">
        <v>11</v>
      </c>
      <c r="M798">
        <v>15</v>
      </c>
      <c r="N798" t="s">
        <v>32</v>
      </c>
      <c r="O798" s="3">
        <v>44608</v>
      </c>
      <c r="P798">
        <v>-1</v>
      </c>
      <c r="T798" t="s">
        <v>49</v>
      </c>
      <c r="U798">
        <v>148</v>
      </c>
      <c r="V798">
        <v>17.375</v>
      </c>
    </row>
    <row r="799" spans="1:22" x14ac:dyDescent="0.35">
      <c r="A799" s="3">
        <v>44593</v>
      </c>
      <c r="B799" t="s">
        <v>27</v>
      </c>
      <c r="C799">
        <v>0</v>
      </c>
      <c r="D799">
        <v>0</v>
      </c>
      <c r="E799">
        <v>0</v>
      </c>
      <c r="F799">
        <v>0</v>
      </c>
      <c r="G799">
        <v>25.425000000000001</v>
      </c>
      <c r="H799">
        <v>0</v>
      </c>
      <c r="I799">
        <v>0</v>
      </c>
      <c r="J799">
        <v>0</v>
      </c>
      <c r="K799">
        <v>0</v>
      </c>
      <c r="L799">
        <v>162</v>
      </c>
      <c r="M799">
        <v>232</v>
      </c>
      <c r="N799" t="s">
        <v>27</v>
      </c>
      <c r="O799" s="3">
        <v>44825</v>
      </c>
      <c r="P799">
        <v>-1</v>
      </c>
      <c r="T799" t="s">
        <v>48</v>
      </c>
      <c r="U799">
        <v>173</v>
      </c>
      <c r="V799">
        <v>19.875</v>
      </c>
    </row>
    <row r="800" spans="1:22" x14ac:dyDescent="0.35">
      <c r="A800" s="3">
        <v>44593</v>
      </c>
      <c r="B800" t="s">
        <v>28</v>
      </c>
      <c r="C800">
        <v>0</v>
      </c>
      <c r="D800">
        <v>0</v>
      </c>
      <c r="E800">
        <v>0</v>
      </c>
      <c r="F800">
        <v>0</v>
      </c>
      <c r="G800">
        <v>24.698899999999998</v>
      </c>
      <c r="H800">
        <v>0</v>
      </c>
      <c r="I800">
        <v>0</v>
      </c>
      <c r="J800">
        <v>0</v>
      </c>
      <c r="K800">
        <v>0</v>
      </c>
      <c r="L800">
        <v>94</v>
      </c>
      <c r="M800">
        <v>134</v>
      </c>
      <c r="N800" t="s">
        <v>28</v>
      </c>
      <c r="O800" s="3">
        <v>44727</v>
      </c>
      <c r="P800">
        <v>-1</v>
      </c>
      <c r="T800" t="s">
        <v>47</v>
      </c>
      <c r="U800">
        <v>193</v>
      </c>
      <c r="V800">
        <v>17.975000000000001</v>
      </c>
    </row>
    <row r="801" spans="1:22" x14ac:dyDescent="0.35">
      <c r="A801" s="3">
        <v>44593</v>
      </c>
      <c r="B801" t="s">
        <v>30</v>
      </c>
      <c r="C801">
        <v>0</v>
      </c>
      <c r="D801">
        <v>0</v>
      </c>
      <c r="E801">
        <v>0</v>
      </c>
      <c r="F801">
        <v>0</v>
      </c>
      <c r="G801">
        <v>24.453499999999998</v>
      </c>
      <c r="H801">
        <v>0</v>
      </c>
      <c r="I801">
        <v>0</v>
      </c>
      <c r="J801">
        <v>0</v>
      </c>
      <c r="K801">
        <v>0</v>
      </c>
      <c r="L801">
        <v>55</v>
      </c>
      <c r="M801">
        <v>78</v>
      </c>
      <c r="N801" t="s">
        <v>30</v>
      </c>
      <c r="O801" s="3">
        <v>44671</v>
      </c>
      <c r="P801">
        <v>-1</v>
      </c>
      <c r="S801" s="3">
        <v>43881</v>
      </c>
      <c r="T801" t="s">
        <v>55</v>
      </c>
      <c r="U801">
        <v>19</v>
      </c>
      <c r="V801">
        <v>16.074999999999999</v>
      </c>
    </row>
    <row r="802" spans="1:22" x14ac:dyDescent="0.35">
      <c r="A802" s="3">
        <v>44593</v>
      </c>
      <c r="B802" t="s">
        <v>29</v>
      </c>
      <c r="C802">
        <v>0</v>
      </c>
      <c r="D802">
        <v>0</v>
      </c>
      <c r="E802">
        <v>0</v>
      </c>
      <c r="F802">
        <v>0</v>
      </c>
      <c r="G802">
        <v>24.590399999999999</v>
      </c>
      <c r="H802">
        <v>0</v>
      </c>
      <c r="I802">
        <v>0</v>
      </c>
      <c r="J802">
        <v>0</v>
      </c>
      <c r="K802">
        <v>0</v>
      </c>
      <c r="L802">
        <v>75</v>
      </c>
      <c r="M802">
        <v>106</v>
      </c>
      <c r="N802" t="s">
        <v>29</v>
      </c>
      <c r="O802" s="3">
        <v>44699</v>
      </c>
      <c r="P802">
        <v>-1</v>
      </c>
      <c r="T802" t="s">
        <v>54</v>
      </c>
      <c r="U802">
        <v>39</v>
      </c>
      <c r="V802">
        <v>16.824999999999999</v>
      </c>
    </row>
    <row r="803" spans="1:22" x14ac:dyDescent="0.35">
      <c r="A803" s="3">
        <v>44593</v>
      </c>
      <c r="B803" t="s">
        <v>31</v>
      </c>
      <c r="C803">
        <v>0</v>
      </c>
      <c r="D803">
        <v>0</v>
      </c>
      <c r="E803">
        <v>0</v>
      </c>
      <c r="F803">
        <v>0</v>
      </c>
      <c r="G803">
        <v>23.906099999999999</v>
      </c>
      <c r="H803">
        <v>0</v>
      </c>
      <c r="I803">
        <v>0</v>
      </c>
      <c r="J803">
        <v>0</v>
      </c>
      <c r="K803">
        <v>0</v>
      </c>
      <c r="L803">
        <v>29</v>
      </c>
      <c r="M803">
        <v>42</v>
      </c>
      <c r="N803" t="s">
        <v>31</v>
      </c>
      <c r="O803" s="3">
        <v>44635</v>
      </c>
      <c r="P803">
        <v>-1</v>
      </c>
      <c r="T803" t="s">
        <v>53</v>
      </c>
      <c r="U803">
        <v>64</v>
      </c>
      <c r="V803">
        <v>16.824999999999999</v>
      </c>
    </row>
    <row r="804" spans="1:22" x14ac:dyDescent="0.35">
      <c r="A804" s="3">
        <v>44593</v>
      </c>
      <c r="B804" t="s">
        <v>25</v>
      </c>
      <c r="C804">
        <v>0</v>
      </c>
      <c r="D804">
        <v>0</v>
      </c>
      <c r="E804">
        <v>0</v>
      </c>
      <c r="F804">
        <v>0</v>
      </c>
      <c r="G804">
        <v>25.625</v>
      </c>
      <c r="H804">
        <v>0</v>
      </c>
      <c r="I804">
        <v>0</v>
      </c>
      <c r="J804">
        <v>0</v>
      </c>
      <c r="K804">
        <v>0</v>
      </c>
      <c r="L804">
        <v>182</v>
      </c>
      <c r="M804">
        <v>260</v>
      </c>
      <c r="N804" t="s">
        <v>25</v>
      </c>
      <c r="O804" s="3">
        <v>44853</v>
      </c>
      <c r="P804">
        <v>-1</v>
      </c>
      <c r="T804" t="s">
        <v>52</v>
      </c>
      <c r="U804">
        <v>83</v>
      </c>
      <c r="V804">
        <v>17.175000000000001</v>
      </c>
    </row>
    <row r="805" spans="1:22" x14ac:dyDescent="0.35">
      <c r="A805" s="3">
        <v>44593</v>
      </c>
      <c r="B805" t="s">
        <v>22</v>
      </c>
      <c r="C805">
        <v>0</v>
      </c>
      <c r="D805">
        <v>0</v>
      </c>
      <c r="E805">
        <v>0</v>
      </c>
      <c r="F805">
        <v>0</v>
      </c>
      <c r="G805">
        <v>25.104900000000001</v>
      </c>
      <c r="H805">
        <v>0</v>
      </c>
      <c r="I805">
        <v>0</v>
      </c>
      <c r="J805">
        <v>0</v>
      </c>
      <c r="K805">
        <v>0</v>
      </c>
      <c r="L805">
        <v>118</v>
      </c>
      <c r="M805">
        <v>169</v>
      </c>
      <c r="N805" t="s">
        <v>22</v>
      </c>
      <c r="O805" s="3">
        <v>44762</v>
      </c>
      <c r="P805">
        <v>-1</v>
      </c>
      <c r="T805" t="s">
        <v>51</v>
      </c>
      <c r="U805">
        <v>108</v>
      </c>
      <c r="V805">
        <v>17.324999999999999</v>
      </c>
    </row>
    <row r="806" spans="1:22" x14ac:dyDescent="0.35">
      <c r="A806" s="3">
        <v>44592</v>
      </c>
      <c r="B806" t="s">
        <v>29</v>
      </c>
      <c r="C806">
        <v>0</v>
      </c>
      <c r="D806">
        <v>0</v>
      </c>
      <c r="E806">
        <v>0</v>
      </c>
      <c r="F806">
        <v>0</v>
      </c>
      <c r="G806">
        <v>25.575900000000001</v>
      </c>
      <c r="H806">
        <v>0</v>
      </c>
      <c r="I806">
        <v>0</v>
      </c>
      <c r="J806">
        <v>0</v>
      </c>
      <c r="K806">
        <v>0</v>
      </c>
      <c r="L806">
        <v>76</v>
      </c>
      <c r="M806">
        <v>107</v>
      </c>
      <c r="N806" t="s">
        <v>29</v>
      </c>
      <c r="O806" s="3">
        <v>44699</v>
      </c>
      <c r="P806">
        <v>-1</v>
      </c>
      <c r="T806" t="s">
        <v>50</v>
      </c>
      <c r="U806">
        <v>128</v>
      </c>
      <c r="V806">
        <v>17.375</v>
      </c>
    </row>
    <row r="807" spans="1:22" x14ac:dyDescent="0.35">
      <c r="A807" s="3">
        <v>44592</v>
      </c>
      <c r="B807" t="s">
        <v>31</v>
      </c>
      <c r="C807">
        <v>0</v>
      </c>
      <c r="D807">
        <v>0</v>
      </c>
      <c r="E807">
        <v>0</v>
      </c>
      <c r="F807">
        <v>0</v>
      </c>
      <c r="G807">
        <v>25.544799999999999</v>
      </c>
      <c r="H807">
        <v>0</v>
      </c>
      <c r="I807">
        <v>0</v>
      </c>
      <c r="J807">
        <v>0</v>
      </c>
      <c r="K807">
        <v>0</v>
      </c>
      <c r="L807">
        <v>30</v>
      </c>
      <c r="M807">
        <v>43</v>
      </c>
      <c r="N807" t="s">
        <v>31</v>
      </c>
      <c r="O807" s="3">
        <v>44635</v>
      </c>
      <c r="P807">
        <v>-1</v>
      </c>
      <c r="T807" t="s">
        <v>49</v>
      </c>
      <c r="U807">
        <v>147</v>
      </c>
      <c r="V807">
        <v>17.574999999999999</v>
      </c>
    </row>
    <row r="808" spans="1:22" x14ac:dyDescent="0.35">
      <c r="A808" s="3">
        <v>44592</v>
      </c>
      <c r="B808" t="s">
        <v>25</v>
      </c>
      <c r="C808">
        <v>0</v>
      </c>
      <c r="D808">
        <v>0</v>
      </c>
      <c r="E808">
        <v>0</v>
      </c>
      <c r="F808">
        <v>0</v>
      </c>
      <c r="G808">
        <v>26.2</v>
      </c>
      <c r="H808">
        <v>0</v>
      </c>
      <c r="I808">
        <v>0</v>
      </c>
      <c r="J808">
        <v>0</v>
      </c>
      <c r="K808">
        <v>0</v>
      </c>
      <c r="L808">
        <v>183</v>
      </c>
      <c r="M808">
        <v>261</v>
      </c>
      <c r="N808" t="s">
        <v>25</v>
      </c>
      <c r="O808" s="3">
        <v>44853</v>
      </c>
      <c r="P808">
        <v>-1</v>
      </c>
      <c r="T808" t="s">
        <v>48</v>
      </c>
      <c r="U808">
        <v>172</v>
      </c>
      <c r="V808">
        <v>20.125</v>
      </c>
    </row>
    <row r="809" spans="1:22" x14ac:dyDescent="0.35">
      <c r="A809" s="3">
        <v>44592</v>
      </c>
      <c r="B809" t="s">
        <v>22</v>
      </c>
      <c r="C809">
        <v>0</v>
      </c>
      <c r="D809">
        <v>0</v>
      </c>
      <c r="E809">
        <v>0</v>
      </c>
      <c r="F809">
        <v>0</v>
      </c>
      <c r="G809">
        <v>25.8277</v>
      </c>
      <c r="H809">
        <v>0</v>
      </c>
      <c r="I809">
        <v>0</v>
      </c>
      <c r="J809">
        <v>0</v>
      </c>
      <c r="K809">
        <v>0</v>
      </c>
      <c r="L809">
        <v>119</v>
      </c>
      <c r="M809">
        <v>170</v>
      </c>
      <c r="N809" t="s">
        <v>22</v>
      </c>
      <c r="O809" s="3">
        <v>44762</v>
      </c>
      <c r="P809">
        <v>-1</v>
      </c>
      <c r="T809" t="s">
        <v>47</v>
      </c>
      <c r="U809">
        <v>192</v>
      </c>
      <c r="V809">
        <v>18.125</v>
      </c>
    </row>
    <row r="810" spans="1:22" x14ac:dyDescent="0.35">
      <c r="A810" s="3">
        <v>44592</v>
      </c>
      <c r="B810" t="s">
        <v>26</v>
      </c>
      <c r="C810">
        <v>0</v>
      </c>
      <c r="D810">
        <v>0</v>
      </c>
      <c r="E810">
        <v>0</v>
      </c>
      <c r="F810">
        <v>0</v>
      </c>
      <c r="G810">
        <v>25.75</v>
      </c>
      <c r="H810">
        <v>0</v>
      </c>
      <c r="I810">
        <v>0</v>
      </c>
      <c r="J810">
        <v>0</v>
      </c>
      <c r="K810">
        <v>0</v>
      </c>
      <c r="L810">
        <v>139</v>
      </c>
      <c r="M810">
        <v>198</v>
      </c>
      <c r="N810" t="s">
        <v>26</v>
      </c>
      <c r="O810" s="3">
        <v>44790</v>
      </c>
      <c r="P810">
        <v>-1</v>
      </c>
      <c r="S810" s="3">
        <v>43882</v>
      </c>
      <c r="T810" t="s">
        <v>55</v>
      </c>
      <c r="U810">
        <v>18</v>
      </c>
      <c r="V810">
        <v>16.925000000000001</v>
      </c>
    </row>
    <row r="811" spans="1:22" x14ac:dyDescent="0.35">
      <c r="A811" s="3">
        <v>44592</v>
      </c>
      <c r="B811" t="s">
        <v>32</v>
      </c>
      <c r="C811">
        <v>0</v>
      </c>
      <c r="D811">
        <v>0</v>
      </c>
      <c r="E811">
        <v>0</v>
      </c>
      <c r="F811">
        <v>0</v>
      </c>
      <c r="G811">
        <v>24.8523</v>
      </c>
      <c r="H811">
        <v>0</v>
      </c>
      <c r="I811">
        <v>0</v>
      </c>
      <c r="J811">
        <v>0</v>
      </c>
      <c r="K811">
        <v>0</v>
      </c>
      <c r="L811">
        <v>12</v>
      </c>
      <c r="M811">
        <v>16</v>
      </c>
      <c r="N811" t="s">
        <v>32</v>
      </c>
      <c r="O811" s="3">
        <v>44608</v>
      </c>
      <c r="P811">
        <v>-1</v>
      </c>
      <c r="T811" t="s">
        <v>54</v>
      </c>
      <c r="U811">
        <v>38</v>
      </c>
      <c r="V811">
        <v>17.324999999999999</v>
      </c>
    </row>
    <row r="812" spans="1:22" x14ac:dyDescent="0.35">
      <c r="A812" s="3">
        <v>44592</v>
      </c>
      <c r="B812" t="s">
        <v>27</v>
      </c>
      <c r="C812">
        <v>0</v>
      </c>
      <c r="D812">
        <v>0</v>
      </c>
      <c r="E812">
        <v>0</v>
      </c>
      <c r="F812">
        <v>0</v>
      </c>
      <c r="G812">
        <v>26.05</v>
      </c>
      <c r="H812">
        <v>0</v>
      </c>
      <c r="I812">
        <v>0</v>
      </c>
      <c r="J812">
        <v>0</v>
      </c>
      <c r="K812">
        <v>0</v>
      </c>
      <c r="L812">
        <v>163</v>
      </c>
      <c r="M812">
        <v>233</v>
      </c>
      <c r="N812" t="s">
        <v>27</v>
      </c>
      <c r="O812" s="3">
        <v>44825</v>
      </c>
      <c r="P812">
        <v>-1</v>
      </c>
      <c r="T812" t="s">
        <v>53</v>
      </c>
      <c r="U812">
        <v>63</v>
      </c>
      <c r="V812">
        <v>17.175000000000001</v>
      </c>
    </row>
    <row r="813" spans="1:22" x14ac:dyDescent="0.35">
      <c r="A813" s="3">
        <v>44592</v>
      </c>
      <c r="B813" t="s">
        <v>28</v>
      </c>
      <c r="C813">
        <v>0</v>
      </c>
      <c r="D813">
        <v>0</v>
      </c>
      <c r="E813">
        <v>0</v>
      </c>
      <c r="F813">
        <v>0</v>
      </c>
      <c r="G813">
        <v>25.4985</v>
      </c>
      <c r="H813">
        <v>0</v>
      </c>
      <c r="I813">
        <v>0</v>
      </c>
      <c r="J813">
        <v>0</v>
      </c>
      <c r="K813">
        <v>0</v>
      </c>
      <c r="L813">
        <v>95</v>
      </c>
      <c r="M813">
        <v>135</v>
      </c>
      <c r="N813" t="s">
        <v>28</v>
      </c>
      <c r="O813" s="3">
        <v>44727</v>
      </c>
      <c r="P813">
        <v>-1</v>
      </c>
      <c r="T813" t="s">
        <v>52</v>
      </c>
      <c r="U813">
        <v>82</v>
      </c>
      <c r="V813">
        <v>17.375</v>
      </c>
    </row>
    <row r="814" spans="1:22" x14ac:dyDescent="0.35">
      <c r="A814" s="3">
        <v>44592</v>
      </c>
      <c r="B814" t="s">
        <v>30</v>
      </c>
      <c r="C814">
        <v>0</v>
      </c>
      <c r="D814">
        <v>0</v>
      </c>
      <c r="E814">
        <v>0</v>
      </c>
      <c r="F814">
        <v>0</v>
      </c>
      <c r="G814">
        <v>25.6447</v>
      </c>
      <c r="H814">
        <v>0</v>
      </c>
      <c r="I814">
        <v>0</v>
      </c>
      <c r="J814">
        <v>0</v>
      </c>
      <c r="K814">
        <v>0</v>
      </c>
      <c r="L814">
        <v>56</v>
      </c>
      <c r="M814">
        <v>79</v>
      </c>
      <c r="N814" t="s">
        <v>30</v>
      </c>
      <c r="O814" s="3">
        <v>44671</v>
      </c>
      <c r="P814">
        <v>-1</v>
      </c>
      <c r="T814" t="s">
        <v>51</v>
      </c>
      <c r="U814">
        <v>107</v>
      </c>
      <c r="V814">
        <v>17.524999999999999</v>
      </c>
    </row>
    <row r="815" spans="1:22" x14ac:dyDescent="0.35">
      <c r="A815" s="3">
        <v>44591</v>
      </c>
      <c r="B815" t="s">
        <v>26</v>
      </c>
      <c r="C815">
        <v>0</v>
      </c>
      <c r="D815">
        <v>0</v>
      </c>
      <c r="E815">
        <v>0</v>
      </c>
      <c r="F815">
        <v>0</v>
      </c>
      <c r="G815">
        <v>26.284500000000001</v>
      </c>
      <c r="H815">
        <v>0</v>
      </c>
      <c r="I815">
        <v>0</v>
      </c>
      <c r="J815">
        <v>0</v>
      </c>
      <c r="K815">
        <v>0</v>
      </c>
      <c r="L815">
        <v>139</v>
      </c>
      <c r="M815">
        <v>199</v>
      </c>
      <c r="N815" t="s">
        <v>26</v>
      </c>
      <c r="O815" s="3">
        <v>44790</v>
      </c>
      <c r="P815">
        <v>-1</v>
      </c>
      <c r="T815" t="s">
        <v>50</v>
      </c>
      <c r="U815">
        <v>127</v>
      </c>
      <c r="V815">
        <v>17.574999999999999</v>
      </c>
    </row>
    <row r="816" spans="1:22" x14ac:dyDescent="0.35">
      <c r="A816" s="3">
        <v>44591</v>
      </c>
      <c r="B816" t="s">
        <v>32</v>
      </c>
      <c r="C816">
        <v>0</v>
      </c>
      <c r="D816">
        <v>0</v>
      </c>
      <c r="E816">
        <v>0</v>
      </c>
      <c r="F816">
        <v>0</v>
      </c>
      <c r="G816">
        <v>26.8734</v>
      </c>
      <c r="H816">
        <v>0</v>
      </c>
      <c r="I816">
        <v>0</v>
      </c>
      <c r="J816">
        <v>0</v>
      </c>
      <c r="K816">
        <v>0</v>
      </c>
      <c r="L816">
        <v>12</v>
      </c>
      <c r="M816">
        <v>17</v>
      </c>
      <c r="N816" t="s">
        <v>32</v>
      </c>
      <c r="O816" s="3">
        <v>44608</v>
      </c>
      <c r="P816">
        <v>-1</v>
      </c>
      <c r="T816" t="s">
        <v>49</v>
      </c>
      <c r="U816">
        <v>146</v>
      </c>
      <c r="V816">
        <v>17.774999999999999</v>
      </c>
    </row>
    <row r="817" spans="1:22" x14ac:dyDescent="0.35">
      <c r="A817" s="3">
        <v>44591</v>
      </c>
      <c r="B817" t="s">
        <v>27</v>
      </c>
      <c r="C817">
        <v>0</v>
      </c>
      <c r="D817">
        <v>0</v>
      </c>
      <c r="E817">
        <v>0</v>
      </c>
      <c r="F817">
        <v>0</v>
      </c>
      <c r="G817">
        <v>26.574999999999999</v>
      </c>
      <c r="H817">
        <v>0</v>
      </c>
      <c r="I817">
        <v>0</v>
      </c>
      <c r="J817">
        <v>0</v>
      </c>
      <c r="K817">
        <v>0</v>
      </c>
      <c r="L817">
        <v>163</v>
      </c>
      <c r="M817">
        <v>234</v>
      </c>
      <c r="N817" t="s">
        <v>27</v>
      </c>
      <c r="O817" s="3">
        <v>44825</v>
      </c>
      <c r="P817">
        <v>-1</v>
      </c>
      <c r="T817" t="s">
        <v>48</v>
      </c>
      <c r="U817">
        <v>171</v>
      </c>
      <c r="V817">
        <v>20.6</v>
      </c>
    </row>
    <row r="818" spans="1:22" x14ac:dyDescent="0.35">
      <c r="A818" s="3">
        <v>44591</v>
      </c>
      <c r="B818" t="s">
        <v>28</v>
      </c>
      <c r="C818">
        <v>0</v>
      </c>
      <c r="D818">
        <v>0</v>
      </c>
      <c r="E818">
        <v>0</v>
      </c>
      <c r="F818">
        <v>0</v>
      </c>
      <c r="G818">
        <v>26.124300000000002</v>
      </c>
      <c r="H818">
        <v>0</v>
      </c>
      <c r="I818">
        <v>0</v>
      </c>
      <c r="J818">
        <v>0</v>
      </c>
      <c r="K818">
        <v>0</v>
      </c>
      <c r="L818">
        <v>95</v>
      </c>
      <c r="M818">
        <v>136</v>
      </c>
      <c r="N818" t="s">
        <v>28</v>
      </c>
      <c r="O818" s="3">
        <v>44727</v>
      </c>
      <c r="P818">
        <v>-1</v>
      </c>
      <c r="T818" t="s">
        <v>47</v>
      </c>
      <c r="U818">
        <v>191</v>
      </c>
      <c r="V818">
        <v>18.475000000000001</v>
      </c>
    </row>
    <row r="819" spans="1:22" x14ac:dyDescent="0.35">
      <c r="A819" s="3">
        <v>44591</v>
      </c>
      <c r="B819" t="s">
        <v>30</v>
      </c>
      <c r="C819">
        <v>0</v>
      </c>
      <c r="D819">
        <v>0</v>
      </c>
      <c r="E819">
        <v>0</v>
      </c>
      <c r="F819">
        <v>0</v>
      </c>
      <c r="G819">
        <v>26.680700000000002</v>
      </c>
      <c r="H819">
        <v>0</v>
      </c>
      <c r="I819">
        <v>0</v>
      </c>
      <c r="J819">
        <v>0</v>
      </c>
      <c r="K819">
        <v>0</v>
      </c>
      <c r="L819">
        <v>56</v>
      </c>
      <c r="M819">
        <v>80</v>
      </c>
      <c r="N819" t="s">
        <v>30</v>
      </c>
      <c r="O819" s="3">
        <v>44671</v>
      </c>
      <c r="P819">
        <v>-1</v>
      </c>
      <c r="S819" s="3">
        <v>43885</v>
      </c>
      <c r="T819" t="s">
        <v>55</v>
      </c>
      <c r="U819">
        <v>17</v>
      </c>
      <c r="V819">
        <v>20.074999999999999</v>
      </c>
    </row>
    <row r="820" spans="1:22" x14ac:dyDescent="0.35">
      <c r="A820" s="3">
        <v>44591</v>
      </c>
      <c r="B820" t="s">
        <v>29</v>
      </c>
      <c r="C820">
        <v>0</v>
      </c>
      <c r="D820">
        <v>0</v>
      </c>
      <c r="E820">
        <v>0</v>
      </c>
      <c r="F820">
        <v>0</v>
      </c>
      <c r="G820">
        <v>26.3675</v>
      </c>
      <c r="H820">
        <v>0</v>
      </c>
      <c r="I820">
        <v>0</v>
      </c>
      <c r="J820">
        <v>0</v>
      </c>
      <c r="K820">
        <v>0</v>
      </c>
      <c r="L820">
        <v>76</v>
      </c>
      <c r="M820">
        <v>108</v>
      </c>
      <c r="N820" t="s">
        <v>29</v>
      </c>
      <c r="O820" s="3">
        <v>44699</v>
      </c>
      <c r="P820">
        <v>-1</v>
      </c>
      <c r="T820" t="s">
        <v>54</v>
      </c>
      <c r="U820">
        <v>37</v>
      </c>
      <c r="V820">
        <v>19.375</v>
      </c>
    </row>
    <row r="821" spans="1:22" x14ac:dyDescent="0.35">
      <c r="A821" s="3">
        <v>44591</v>
      </c>
      <c r="B821" t="s">
        <v>31</v>
      </c>
      <c r="C821">
        <v>0</v>
      </c>
      <c r="D821">
        <v>0</v>
      </c>
      <c r="E821">
        <v>0</v>
      </c>
      <c r="F821">
        <v>0</v>
      </c>
      <c r="G821">
        <v>27.049299999999999</v>
      </c>
      <c r="H821">
        <v>0</v>
      </c>
      <c r="I821">
        <v>0</v>
      </c>
      <c r="J821">
        <v>0</v>
      </c>
      <c r="K821">
        <v>0</v>
      </c>
      <c r="L821">
        <v>30</v>
      </c>
      <c r="M821">
        <v>44</v>
      </c>
      <c r="N821" t="s">
        <v>31</v>
      </c>
      <c r="O821" s="3">
        <v>44635</v>
      </c>
      <c r="P821">
        <v>-1</v>
      </c>
      <c r="T821" t="s">
        <v>53</v>
      </c>
      <c r="U821">
        <v>62</v>
      </c>
      <c r="V821">
        <v>18.425000000000001</v>
      </c>
    </row>
    <row r="822" spans="1:22" x14ac:dyDescent="0.35">
      <c r="A822" s="3">
        <v>44591</v>
      </c>
      <c r="B822" t="s">
        <v>25</v>
      </c>
      <c r="C822">
        <v>0</v>
      </c>
      <c r="D822">
        <v>0</v>
      </c>
      <c r="E822">
        <v>0</v>
      </c>
      <c r="F822">
        <v>0</v>
      </c>
      <c r="G822">
        <v>26.75</v>
      </c>
      <c r="H822">
        <v>0</v>
      </c>
      <c r="I822">
        <v>0</v>
      </c>
      <c r="J822">
        <v>0</v>
      </c>
      <c r="K822">
        <v>0</v>
      </c>
      <c r="L822">
        <v>183</v>
      </c>
      <c r="M822">
        <v>262</v>
      </c>
      <c r="N822" t="s">
        <v>25</v>
      </c>
      <c r="O822" s="3">
        <v>44853</v>
      </c>
      <c r="P822">
        <v>-1</v>
      </c>
      <c r="T822" t="s">
        <v>52</v>
      </c>
      <c r="U822">
        <v>81</v>
      </c>
      <c r="V822">
        <v>18.375</v>
      </c>
    </row>
    <row r="823" spans="1:22" x14ac:dyDescent="0.35">
      <c r="A823" s="3">
        <v>44591</v>
      </c>
      <c r="B823" t="s">
        <v>22</v>
      </c>
      <c r="C823">
        <v>0</v>
      </c>
      <c r="D823">
        <v>0</v>
      </c>
      <c r="E823">
        <v>0</v>
      </c>
      <c r="F823">
        <v>0</v>
      </c>
      <c r="G823">
        <v>26.398</v>
      </c>
      <c r="H823">
        <v>0</v>
      </c>
      <c r="I823">
        <v>0</v>
      </c>
      <c r="J823">
        <v>0</v>
      </c>
      <c r="K823">
        <v>0</v>
      </c>
      <c r="L823">
        <v>119</v>
      </c>
      <c r="M823">
        <v>171</v>
      </c>
      <c r="N823" t="s">
        <v>22</v>
      </c>
      <c r="O823" s="3">
        <v>44762</v>
      </c>
      <c r="P823">
        <v>-1</v>
      </c>
      <c r="T823" t="s">
        <v>51</v>
      </c>
      <c r="U823">
        <v>106</v>
      </c>
      <c r="V823">
        <v>18.375</v>
      </c>
    </row>
    <row r="824" spans="1:22" x14ac:dyDescent="0.35">
      <c r="A824" s="3">
        <v>44589</v>
      </c>
      <c r="B824" t="s">
        <v>29</v>
      </c>
      <c r="C824">
        <v>0</v>
      </c>
      <c r="D824">
        <v>0</v>
      </c>
      <c r="E824">
        <v>0</v>
      </c>
      <c r="F824">
        <v>0</v>
      </c>
      <c r="G824">
        <v>26.3675</v>
      </c>
      <c r="H824">
        <v>0</v>
      </c>
      <c r="I824">
        <v>0</v>
      </c>
      <c r="J824">
        <v>0</v>
      </c>
      <c r="K824">
        <v>0</v>
      </c>
      <c r="L824">
        <v>77</v>
      </c>
      <c r="M824">
        <v>110</v>
      </c>
      <c r="N824" t="s">
        <v>29</v>
      </c>
      <c r="O824" s="3">
        <v>44699</v>
      </c>
      <c r="P824">
        <v>-1</v>
      </c>
      <c r="T824" t="s">
        <v>50</v>
      </c>
      <c r="U824">
        <v>126</v>
      </c>
      <c r="V824">
        <v>18.324999999999999</v>
      </c>
    </row>
    <row r="825" spans="1:22" x14ac:dyDescent="0.35">
      <c r="A825" s="3">
        <v>44589</v>
      </c>
      <c r="B825" t="s">
        <v>31</v>
      </c>
      <c r="C825">
        <v>0</v>
      </c>
      <c r="D825">
        <v>0</v>
      </c>
      <c r="E825">
        <v>0</v>
      </c>
      <c r="F825">
        <v>0</v>
      </c>
      <c r="G825">
        <v>27.049299999999999</v>
      </c>
      <c r="H825">
        <v>0</v>
      </c>
      <c r="I825">
        <v>0</v>
      </c>
      <c r="J825">
        <v>0</v>
      </c>
      <c r="K825">
        <v>0</v>
      </c>
      <c r="L825">
        <v>31</v>
      </c>
      <c r="M825">
        <v>46</v>
      </c>
      <c r="N825" t="s">
        <v>31</v>
      </c>
      <c r="O825" s="3">
        <v>44635</v>
      </c>
      <c r="P825">
        <v>-1</v>
      </c>
      <c r="T825" t="s">
        <v>49</v>
      </c>
      <c r="U825">
        <v>145</v>
      </c>
      <c r="V825">
        <v>18.45</v>
      </c>
    </row>
    <row r="826" spans="1:22" x14ac:dyDescent="0.35">
      <c r="A826" s="3">
        <v>44589</v>
      </c>
      <c r="B826" t="s">
        <v>25</v>
      </c>
      <c r="C826">
        <v>0</v>
      </c>
      <c r="D826">
        <v>0</v>
      </c>
      <c r="E826">
        <v>0</v>
      </c>
      <c r="F826">
        <v>0</v>
      </c>
      <c r="G826">
        <v>26.75</v>
      </c>
      <c r="H826">
        <v>0</v>
      </c>
      <c r="I826">
        <v>0</v>
      </c>
      <c r="J826">
        <v>0</v>
      </c>
      <c r="K826">
        <v>0</v>
      </c>
      <c r="L826">
        <v>184</v>
      </c>
      <c r="M826">
        <v>264</v>
      </c>
      <c r="N826" t="s">
        <v>25</v>
      </c>
      <c r="O826" s="3">
        <v>44853</v>
      </c>
      <c r="P826">
        <v>-1</v>
      </c>
      <c r="T826" t="s">
        <v>48</v>
      </c>
      <c r="U826">
        <v>170</v>
      </c>
      <c r="V826">
        <v>21.324999999999999</v>
      </c>
    </row>
    <row r="827" spans="1:22" x14ac:dyDescent="0.35">
      <c r="A827" s="3">
        <v>44589</v>
      </c>
      <c r="B827" t="s">
        <v>22</v>
      </c>
      <c r="C827">
        <v>0</v>
      </c>
      <c r="D827">
        <v>0</v>
      </c>
      <c r="E827">
        <v>0</v>
      </c>
      <c r="F827">
        <v>0</v>
      </c>
      <c r="G827">
        <v>26.398</v>
      </c>
      <c r="H827">
        <v>0</v>
      </c>
      <c r="I827">
        <v>0</v>
      </c>
      <c r="J827">
        <v>0</v>
      </c>
      <c r="K827">
        <v>0</v>
      </c>
      <c r="L827">
        <v>120</v>
      </c>
      <c r="M827">
        <v>173</v>
      </c>
      <c r="N827" t="s">
        <v>22</v>
      </c>
      <c r="O827" s="3">
        <v>44762</v>
      </c>
      <c r="P827">
        <v>-1</v>
      </c>
      <c r="T827" t="s">
        <v>47</v>
      </c>
      <c r="U827">
        <v>190</v>
      </c>
      <c r="V827">
        <v>19.149999999999999</v>
      </c>
    </row>
    <row r="828" spans="1:22" x14ac:dyDescent="0.35">
      <c r="A828" s="3">
        <v>44589</v>
      </c>
      <c r="B828" t="s">
        <v>26</v>
      </c>
      <c r="C828">
        <v>0</v>
      </c>
      <c r="D828">
        <v>0</v>
      </c>
      <c r="E828">
        <v>0</v>
      </c>
      <c r="F828">
        <v>0</v>
      </c>
      <c r="G828">
        <v>26.284500000000001</v>
      </c>
      <c r="H828">
        <v>0</v>
      </c>
      <c r="I828">
        <v>0</v>
      </c>
      <c r="J828">
        <v>0</v>
      </c>
      <c r="K828">
        <v>0</v>
      </c>
      <c r="L828">
        <v>140</v>
      </c>
      <c r="M828">
        <v>201</v>
      </c>
      <c r="N828" t="s">
        <v>26</v>
      </c>
      <c r="O828" s="3">
        <v>44790</v>
      </c>
      <c r="P828">
        <v>-1</v>
      </c>
      <c r="S828" s="3">
        <v>43886</v>
      </c>
      <c r="T828" t="s">
        <v>55</v>
      </c>
      <c r="U828">
        <v>16</v>
      </c>
      <c r="V828">
        <v>22.225000000000001</v>
      </c>
    </row>
    <row r="829" spans="1:22" x14ac:dyDescent="0.35">
      <c r="A829" s="3">
        <v>44589</v>
      </c>
      <c r="B829" t="s">
        <v>32</v>
      </c>
      <c r="C829">
        <v>0</v>
      </c>
      <c r="D829">
        <v>0</v>
      </c>
      <c r="E829">
        <v>0</v>
      </c>
      <c r="F829">
        <v>0</v>
      </c>
      <c r="G829">
        <v>26.8734</v>
      </c>
      <c r="H829">
        <v>0</v>
      </c>
      <c r="I829">
        <v>0</v>
      </c>
      <c r="J829">
        <v>0</v>
      </c>
      <c r="K829">
        <v>0</v>
      </c>
      <c r="L829">
        <v>13</v>
      </c>
      <c r="M829">
        <v>19</v>
      </c>
      <c r="N829" t="s">
        <v>32</v>
      </c>
      <c r="O829" s="3">
        <v>44608</v>
      </c>
      <c r="P829">
        <v>-1</v>
      </c>
      <c r="T829" t="s">
        <v>54</v>
      </c>
      <c r="U829">
        <v>36</v>
      </c>
      <c r="V829">
        <v>20.875</v>
      </c>
    </row>
    <row r="830" spans="1:22" x14ac:dyDescent="0.35">
      <c r="A830" s="3">
        <v>44589</v>
      </c>
      <c r="B830" t="s">
        <v>27</v>
      </c>
      <c r="C830">
        <v>0</v>
      </c>
      <c r="D830">
        <v>0</v>
      </c>
      <c r="E830">
        <v>0</v>
      </c>
      <c r="F830">
        <v>0</v>
      </c>
      <c r="G830">
        <v>26.574999999999999</v>
      </c>
      <c r="H830">
        <v>0</v>
      </c>
      <c r="I830">
        <v>0</v>
      </c>
      <c r="J830">
        <v>0</v>
      </c>
      <c r="K830">
        <v>0</v>
      </c>
      <c r="L830">
        <v>164</v>
      </c>
      <c r="M830">
        <v>236</v>
      </c>
      <c r="N830" t="s">
        <v>27</v>
      </c>
      <c r="O830" s="3">
        <v>44825</v>
      </c>
      <c r="P830">
        <v>-1</v>
      </c>
      <c r="T830" t="s">
        <v>53</v>
      </c>
      <c r="U830">
        <v>61</v>
      </c>
      <c r="V830">
        <v>19.574999999999999</v>
      </c>
    </row>
    <row r="831" spans="1:22" x14ac:dyDescent="0.35">
      <c r="A831" s="3">
        <v>44589</v>
      </c>
      <c r="B831" t="s">
        <v>28</v>
      </c>
      <c r="C831">
        <v>0</v>
      </c>
      <c r="D831">
        <v>0</v>
      </c>
      <c r="E831">
        <v>0</v>
      </c>
      <c r="F831">
        <v>0</v>
      </c>
      <c r="G831">
        <v>26.124300000000002</v>
      </c>
      <c r="H831">
        <v>0</v>
      </c>
      <c r="I831">
        <v>0</v>
      </c>
      <c r="J831">
        <v>0</v>
      </c>
      <c r="K831">
        <v>0</v>
      </c>
      <c r="L831">
        <v>96</v>
      </c>
      <c r="M831">
        <v>138</v>
      </c>
      <c r="N831" t="s">
        <v>28</v>
      </c>
      <c r="O831" s="3">
        <v>44727</v>
      </c>
      <c r="P831">
        <v>-1</v>
      </c>
      <c r="T831" t="s">
        <v>52</v>
      </c>
      <c r="U831">
        <v>80</v>
      </c>
      <c r="V831">
        <v>19.274999999999999</v>
      </c>
    </row>
    <row r="832" spans="1:22" x14ac:dyDescent="0.35">
      <c r="A832" s="3">
        <v>44589</v>
      </c>
      <c r="B832" t="s">
        <v>30</v>
      </c>
      <c r="C832">
        <v>0</v>
      </c>
      <c r="D832">
        <v>0</v>
      </c>
      <c r="E832">
        <v>0</v>
      </c>
      <c r="F832">
        <v>0</v>
      </c>
      <c r="G832">
        <v>26.680700000000002</v>
      </c>
      <c r="H832">
        <v>0</v>
      </c>
      <c r="I832">
        <v>0</v>
      </c>
      <c r="J832">
        <v>0</v>
      </c>
      <c r="K832">
        <v>0</v>
      </c>
      <c r="L832">
        <v>57</v>
      </c>
      <c r="M832">
        <v>82</v>
      </c>
      <c r="N832" t="s">
        <v>30</v>
      </c>
      <c r="O832" s="3">
        <v>44671</v>
      </c>
      <c r="P832">
        <v>-1</v>
      </c>
      <c r="T832" t="s">
        <v>51</v>
      </c>
      <c r="U832">
        <v>105</v>
      </c>
      <c r="V832">
        <v>19.074999999999999</v>
      </c>
    </row>
    <row r="833" spans="1:22" x14ac:dyDescent="0.35">
      <c r="A833" s="3">
        <v>44588</v>
      </c>
      <c r="B833" t="s">
        <v>26</v>
      </c>
      <c r="C833">
        <v>0</v>
      </c>
      <c r="D833">
        <v>0</v>
      </c>
      <c r="E833">
        <v>0</v>
      </c>
      <c r="F833">
        <v>0</v>
      </c>
      <c r="G833">
        <v>26.95</v>
      </c>
      <c r="H833">
        <v>0</v>
      </c>
      <c r="I833">
        <v>0</v>
      </c>
      <c r="J833">
        <v>0</v>
      </c>
      <c r="K833">
        <v>0</v>
      </c>
      <c r="L833">
        <v>141</v>
      </c>
      <c r="M833">
        <v>202</v>
      </c>
      <c r="N833" t="s">
        <v>26</v>
      </c>
      <c r="O833" s="3">
        <v>44790</v>
      </c>
      <c r="P833">
        <v>-1</v>
      </c>
      <c r="T833" t="s">
        <v>50</v>
      </c>
      <c r="U833">
        <v>125</v>
      </c>
      <c r="V833">
        <v>18.975000000000001</v>
      </c>
    </row>
    <row r="834" spans="1:22" x14ac:dyDescent="0.35">
      <c r="A834" s="3">
        <v>44588</v>
      </c>
      <c r="B834" t="s">
        <v>32</v>
      </c>
      <c r="C834">
        <v>0</v>
      </c>
      <c r="D834">
        <v>0</v>
      </c>
      <c r="E834">
        <v>0</v>
      </c>
      <c r="F834">
        <v>0</v>
      </c>
      <c r="G834">
        <v>28.8263</v>
      </c>
      <c r="H834">
        <v>0</v>
      </c>
      <c r="I834">
        <v>0</v>
      </c>
      <c r="J834">
        <v>0</v>
      </c>
      <c r="K834">
        <v>0</v>
      </c>
      <c r="L834">
        <v>14</v>
      </c>
      <c r="M834">
        <v>20</v>
      </c>
      <c r="N834" t="s">
        <v>32</v>
      </c>
      <c r="O834" s="3">
        <v>44608</v>
      </c>
      <c r="P834">
        <v>-1</v>
      </c>
      <c r="T834" t="s">
        <v>49</v>
      </c>
      <c r="U834">
        <v>144</v>
      </c>
      <c r="V834">
        <v>19.074999999999999</v>
      </c>
    </row>
    <row r="835" spans="1:22" x14ac:dyDescent="0.35">
      <c r="A835" s="3">
        <v>44588</v>
      </c>
      <c r="B835" t="s">
        <v>27</v>
      </c>
      <c r="C835">
        <v>0</v>
      </c>
      <c r="D835">
        <v>0</v>
      </c>
      <c r="E835">
        <v>0</v>
      </c>
      <c r="F835">
        <v>0</v>
      </c>
      <c r="G835">
        <v>27.225000000000001</v>
      </c>
      <c r="H835">
        <v>0</v>
      </c>
      <c r="I835">
        <v>0</v>
      </c>
      <c r="J835">
        <v>0</v>
      </c>
      <c r="K835">
        <v>0</v>
      </c>
      <c r="L835">
        <v>165</v>
      </c>
      <c r="M835">
        <v>237</v>
      </c>
      <c r="N835" t="s">
        <v>27</v>
      </c>
      <c r="O835" s="3">
        <v>44825</v>
      </c>
      <c r="P835">
        <v>-1</v>
      </c>
      <c r="T835" t="s">
        <v>48</v>
      </c>
      <c r="U835">
        <v>169</v>
      </c>
      <c r="V835">
        <v>22.024999999999999</v>
      </c>
    </row>
    <row r="836" spans="1:22" x14ac:dyDescent="0.35">
      <c r="A836" s="3">
        <v>44588</v>
      </c>
      <c r="B836" t="s">
        <v>28</v>
      </c>
      <c r="C836">
        <v>0</v>
      </c>
      <c r="D836">
        <v>0</v>
      </c>
      <c r="E836">
        <v>0</v>
      </c>
      <c r="F836">
        <v>0</v>
      </c>
      <c r="G836">
        <v>27.034700000000001</v>
      </c>
      <c r="H836">
        <v>0</v>
      </c>
      <c r="I836">
        <v>0</v>
      </c>
      <c r="J836">
        <v>0</v>
      </c>
      <c r="K836">
        <v>0</v>
      </c>
      <c r="L836">
        <v>97</v>
      </c>
      <c r="M836">
        <v>139</v>
      </c>
      <c r="N836" t="s">
        <v>28</v>
      </c>
      <c r="O836" s="3">
        <v>44727</v>
      </c>
      <c r="P836">
        <v>-1</v>
      </c>
      <c r="T836" t="s">
        <v>47</v>
      </c>
      <c r="U836">
        <v>189</v>
      </c>
      <c r="V836">
        <v>19.75</v>
      </c>
    </row>
    <row r="837" spans="1:22" x14ac:dyDescent="0.35">
      <c r="A837" s="3">
        <v>44588</v>
      </c>
      <c r="B837" t="s">
        <v>30</v>
      </c>
      <c r="C837">
        <v>0</v>
      </c>
      <c r="D837">
        <v>0</v>
      </c>
      <c r="E837">
        <v>0</v>
      </c>
      <c r="F837">
        <v>0</v>
      </c>
      <c r="G837">
        <v>27.757899999999999</v>
      </c>
      <c r="H837">
        <v>0</v>
      </c>
      <c r="I837">
        <v>0</v>
      </c>
      <c r="J837">
        <v>0</v>
      </c>
      <c r="K837">
        <v>0</v>
      </c>
      <c r="L837">
        <v>58</v>
      </c>
      <c r="M837">
        <v>83</v>
      </c>
      <c r="N837" t="s">
        <v>30</v>
      </c>
      <c r="O837" s="3">
        <v>44671</v>
      </c>
      <c r="P837">
        <v>-1</v>
      </c>
      <c r="S837" s="3">
        <v>43887</v>
      </c>
      <c r="T837" t="s">
        <v>55</v>
      </c>
      <c r="U837">
        <v>15</v>
      </c>
      <c r="V837">
        <v>22.324999999999999</v>
      </c>
    </row>
    <row r="838" spans="1:22" x14ac:dyDescent="0.35">
      <c r="A838" s="3">
        <v>44588</v>
      </c>
      <c r="B838" t="s">
        <v>29</v>
      </c>
      <c r="C838">
        <v>0</v>
      </c>
      <c r="D838">
        <v>0</v>
      </c>
      <c r="E838">
        <v>0</v>
      </c>
      <c r="F838">
        <v>0</v>
      </c>
      <c r="G838">
        <v>27.317799999999998</v>
      </c>
      <c r="H838">
        <v>0</v>
      </c>
      <c r="I838">
        <v>0</v>
      </c>
      <c r="J838">
        <v>0</v>
      </c>
      <c r="K838">
        <v>0</v>
      </c>
      <c r="L838">
        <v>78</v>
      </c>
      <c r="M838">
        <v>111</v>
      </c>
      <c r="N838" t="s">
        <v>29</v>
      </c>
      <c r="O838" s="3">
        <v>44699</v>
      </c>
      <c r="P838">
        <v>-1</v>
      </c>
      <c r="T838" t="s">
        <v>54</v>
      </c>
      <c r="U838">
        <v>35</v>
      </c>
      <c r="V838">
        <v>20.975000000000001</v>
      </c>
    </row>
    <row r="839" spans="1:22" x14ac:dyDescent="0.35">
      <c r="A839" s="3">
        <v>44588</v>
      </c>
      <c r="B839" t="s">
        <v>31</v>
      </c>
      <c r="C839">
        <v>0</v>
      </c>
      <c r="D839">
        <v>0</v>
      </c>
      <c r="E839">
        <v>0</v>
      </c>
      <c r="F839">
        <v>0</v>
      </c>
      <c r="G839">
        <v>28.486000000000001</v>
      </c>
      <c r="H839">
        <v>0</v>
      </c>
      <c r="I839">
        <v>0</v>
      </c>
      <c r="J839">
        <v>0</v>
      </c>
      <c r="K839">
        <v>0</v>
      </c>
      <c r="L839">
        <v>32</v>
      </c>
      <c r="M839">
        <v>47</v>
      </c>
      <c r="N839" t="s">
        <v>31</v>
      </c>
      <c r="O839" s="3">
        <v>44635</v>
      </c>
      <c r="P839">
        <v>-1</v>
      </c>
      <c r="T839" t="s">
        <v>53</v>
      </c>
      <c r="U839">
        <v>60</v>
      </c>
      <c r="V839">
        <v>19.725000000000001</v>
      </c>
    </row>
    <row r="840" spans="1:22" x14ac:dyDescent="0.35">
      <c r="A840" s="3">
        <v>44588</v>
      </c>
      <c r="B840" t="s">
        <v>25</v>
      </c>
      <c r="C840">
        <v>0</v>
      </c>
      <c r="D840">
        <v>0</v>
      </c>
      <c r="E840">
        <v>0</v>
      </c>
      <c r="F840">
        <v>0</v>
      </c>
      <c r="G840">
        <v>27.25</v>
      </c>
      <c r="H840">
        <v>0</v>
      </c>
      <c r="I840">
        <v>0</v>
      </c>
      <c r="J840">
        <v>0</v>
      </c>
      <c r="K840">
        <v>0</v>
      </c>
      <c r="L840">
        <v>185</v>
      </c>
      <c r="M840">
        <v>265</v>
      </c>
      <c r="N840" t="s">
        <v>25</v>
      </c>
      <c r="O840" s="3">
        <v>44853</v>
      </c>
      <c r="P840">
        <v>-1</v>
      </c>
      <c r="T840" t="s">
        <v>52</v>
      </c>
      <c r="U840">
        <v>79</v>
      </c>
      <c r="V840">
        <v>19.425000000000001</v>
      </c>
    </row>
    <row r="841" spans="1:22" x14ac:dyDescent="0.35">
      <c r="A841" s="3">
        <v>44588</v>
      </c>
      <c r="B841" t="s">
        <v>22</v>
      </c>
      <c r="C841">
        <v>0</v>
      </c>
      <c r="D841">
        <v>0</v>
      </c>
      <c r="E841">
        <v>0</v>
      </c>
      <c r="F841">
        <v>0</v>
      </c>
      <c r="G841">
        <v>27.121400000000001</v>
      </c>
      <c r="H841">
        <v>0</v>
      </c>
      <c r="I841">
        <v>0</v>
      </c>
      <c r="J841">
        <v>0</v>
      </c>
      <c r="K841">
        <v>0</v>
      </c>
      <c r="L841">
        <v>121</v>
      </c>
      <c r="M841">
        <v>174</v>
      </c>
      <c r="N841" t="s">
        <v>22</v>
      </c>
      <c r="O841" s="3">
        <v>44762</v>
      </c>
      <c r="P841">
        <v>-1</v>
      </c>
      <c r="T841" t="s">
        <v>51</v>
      </c>
      <c r="U841">
        <v>104</v>
      </c>
      <c r="V841">
        <v>19.175000000000001</v>
      </c>
    </row>
    <row r="842" spans="1:22" x14ac:dyDescent="0.35">
      <c r="A842" s="3">
        <v>44587</v>
      </c>
      <c r="B842" t="s">
        <v>29</v>
      </c>
      <c r="C842">
        <v>0</v>
      </c>
      <c r="D842">
        <v>0</v>
      </c>
      <c r="E842">
        <v>0</v>
      </c>
      <c r="F842">
        <v>0</v>
      </c>
      <c r="G842">
        <v>27.0837</v>
      </c>
      <c r="H842">
        <v>0</v>
      </c>
      <c r="I842">
        <v>0</v>
      </c>
      <c r="J842">
        <v>0</v>
      </c>
      <c r="K842">
        <v>0</v>
      </c>
      <c r="L842">
        <v>79</v>
      </c>
      <c r="M842">
        <v>112</v>
      </c>
      <c r="N842" t="s">
        <v>29</v>
      </c>
      <c r="O842" s="3">
        <v>44699</v>
      </c>
      <c r="P842">
        <v>-1</v>
      </c>
      <c r="T842" t="s">
        <v>50</v>
      </c>
      <c r="U842">
        <v>124</v>
      </c>
      <c r="V842">
        <v>19.074999999999999</v>
      </c>
    </row>
    <row r="843" spans="1:22" x14ac:dyDescent="0.35">
      <c r="A843" s="3">
        <v>44587</v>
      </c>
      <c r="B843" t="s">
        <v>31</v>
      </c>
      <c r="C843">
        <v>0</v>
      </c>
      <c r="D843">
        <v>0</v>
      </c>
      <c r="E843">
        <v>0</v>
      </c>
      <c r="F843">
        <v>0</v>
      </c>
      <c r="G843">
        <v>28.1099</v>
      </c>
      <c r="H843">
        <v>0</v>
      </c>
      <c r="I843">
        <v>0</v>
      </c>
      <c r="J843">
        <v>0</v>
      </c>
      <c r="K843">
        <v>0</v>
      </c>
      <c r="L843">
        <v>33</v>
      </c>
      <c r="M843">
        <v>48</v>
      </c>
      <c r="N843" t="s">
        <v>31</v>
      </c>
      <c r="O843" s="3">
        <v>44635</v>
      </c>
      <c r="P843">
        <v>-1</v>
      </c>
      <c r="T843" t="s">
        <v>49</v>
      </c>
      <c r="U843">
        <v>143</v>
      </c>
      <c r="V843">
        <v>19.225000000000001</v>
      </c>
    </row>
    <row r="844" spans="1:22" x14ac:dyDescent="0.35">
      <c r="A844" s="3">
        <v>44587</v>
      </c>
      <c r="B844" t="s">
        <v>25</v>
      </c>
      <c r="C844">
        <v>0</v>
      </c>
      <c r="D844">
        <v>0</v>
      </c>
      <c r="E844">
        <v>0</v>
      </c>
      <c r="F844">
        <v>0</v>
      </c>
      <c r="G844">
        <v>27.2</v>
      </c>
      <c r="H844">
        <v>0</v>
      </c>
      <c r="I844">
        <v>0</v>
      </c>
      <c r="J844">
        <v>0</v>
      </c>
      <c r="K844">
        <v>0</v>
      </c>
      <c r="L844">
        <v>186</v>
      </c>
      <c r="M844">
        <v>266</v>
      </c>
      <c r="N844" t="s">
        <v>25</v>
      </c>
      <c r="O844" s="3">
        <v>44853</v>
      </c>
      <c r="P844">
        <v>-1</v>
      </c>
      <c r="T844" t="s">
        <v>48</v>
      </c>
      <c r="U844">
        <v>168</v>
      </c>
      <c r="V844">
        <v>22.2</v>
      </c>
    </row>
    <row r="845" spans="1:22" x14ac:dyDescent="0.35">
      <c r="A845" s="3">
        <v>44587</v>
      </c>
      <c r="B845" t="s">
        <v>22</v>
      </c>
      <c r="C845">
        <v>0</v>
      </c>
      <c r="D845">
        <v>0</v>
      </c>
      <c r="E845">
        <v>0</v>
      </c>
      <c r="F845">
        <v>0</v>
      </c>
      <c r="G845">
        <v>27.039100000000001</v>
      </c>
      <c r="H845">
        <v>0</v>
      </c>
      <c r="I845">
        <v>0</v>
      </c>
      <c r="J845">
        <v>0</v>
      </c>
      <c r="K845">
        <v>0</v>
      </c>
      <c r="L845">
        <v>122</v>
      </c>
      <c r="M845">
        <v>175</v>
      </c>
      <c r="N845" t="s">
        <v>22</v>
      </c>
      <c r="O845" s="3">
        <v>44762</v>
      </c>
      <c r="P845">
        <v>-1</v>
      </c>
      <c r="T845" t="s">
        <v>47</v>
      </c>
      <c r="U845">
        <v>188</v>
      </c>
      <c r="V845">
        <v>19.824999999999999</v>
      </c>
    </row>
    <row r="846" spans="1:22" x14ac:dyDescent="0.35">
      <c r="A846" s="3">
        <v>44587</v>
      </c>
      <c r="B846" t="s">
        <v>26</v>
      </c>
      <c r="C846">
        <v>0</v>
      </c>
      <c r="D846">
        <v>0</v>
      </c>
      <c r="E846">
        <v>0</v>
      </c>
      <c r="F846">
        <v>0</v>
      </c>
      <c r="G846">
        <v>26.925000000000001</v>
      </c>
      <c r="H846">
        <v>0</v>
      </c>
      <c r="I846">
        <v>0</v>
      </c>
      <c r="J846">
        <v>0</v>
      </c>
      <c r="K846">
        <v>0</v>
      </c>
      <c r="L846">
        <v>142</v>
      </c>
      <c r="M846">
        <v>203</v>
      </c>
      <c r="N846" t="s">
        <v>26</v>
      </c>
      <c r="O846" s="3">
        <v>44790</v>
      </c>
      <c r="P846">
        <v>-1</v>
      </c>
      <c r="S846" s="3">
        <v>43888</v>
      </c>
      <c r="T846" t="s">
        <v>55</v>
      </c>
      <c r="U846">
        <v>14</v>
      </c>
      <c r="V846">
        <v>26.274999999999999</v>
      </c>
    </row>
    <row r="847" spans="1:22" x14ac:dyDescent="0.35">
      <c r="A847" s="3">
        <v>44587</v>
      </c>
      <c r="B847" t="s">
        <v>32</v>
      </c>
      <c r="C847">
        <v>0</v>
      </c>
      <c r="D847">
        <v>0</v>
      </c>
      <c r="E847">
        <v>0</v>
      </c>
      <c r="F847">
        <v>0</v>
      </c>
      <c r="G847">
        <v>28.632999999999999</v>
      </c>
      <c r="H847">
        <v>0</v>
      </c>
      <c r="I847">
        <v>0</v>
      </c>
      <c r="J847">
        <v>0</v>
      </c>
      <c r="K847">
        <v>0</v>
      </c>
      <c r="L847">
        <v>15</v>
      </c>
      <c r="M847">
        <v>21</v>
      </c>
      <c r="N847" t="s">
        <v>32</v>
      </c>
      <c r="O847" s="3">
        <v>44608</v>
      </c>
      <c r="P847">
        <v>-1</v>
      </c>
      <c r="T847" t="s">
        <v>54</v>
      </c>
      <c r="U847">
        <v>34</v>
      </c>
      <c r="V847">
        <v>23.524999999999999</v>
      </c>
    </row>
    <row r="848" spans="1:22" x14ac:dyDescent="0.35">
      <c r="A848" s="3">
        <v>44587</v>
      </c>
      <c r="B848" t="s">
        <v>27</v>
      </c>
      <c r="C848">
        <v>0</v>
      </c>
      <c r="D848">
        <v>0</v>
      </c>
      <c r="E848">
        <v>0</v>
      </c>
      <c r="F848">
        <v>0</v>
      </c>
      <c r="G848">
        <v>27.125</v>
      </c>
      <c r="H848">
        <v>0</v>
      </c>
      <c r="I848">
        <v>0</v>
      </c>
      <c r="J848">
        <v>0</v>
      </c>
      <c r="K848">
        <v>0</v>
      </c>
      <c r="L848">
        <v>166</v>
      </c>
      <c r="M848">
        <v>238</v>
      </c>
      <c r="N848" t="s">
        <v>27</v>
      </c>
      <c r="O848" s="3">
        <v>44825</v>
      </c>
      <c r="P848">
        <v>-1</v>
      </c>
      <c r="T848" t="s">
        <v>53</v>
      </c>
      <c r="U848">
        <v>59</v>
      </c>
      <c r="V848">
        <v>21.774999999999999</v>
      </c>
    </row>
    <row r="849" spans="1:22" x14ac:dyDescent="0.35">
      <c r="A849" s="3">
        <v>44587</v>
      </c>
      <c r="B849" t="s">
        <v>28</v>
      </c>
      <c r="C849">
        <v>0</v>
      </c>
      <c r="D849">
        <v>0</v>
      </c>
      <c r="E849">
        <v>0</v>
      </c>
      <c r="F849">
        <v>0</v>
      </c>
      <c r="G849">
        <v>26.836099999999998</v>
      </c>
      <c r="H849">
        <v>0</v>
      </c>
      <c r="I849">
        <v>0</v>
      </c>
      <c r="J849">
        <v>0</v>
      </c>
      <c r="K849">
        <v>0</v>
      </c>
      <c r="L849">
        <v>98</v>
      </c>
      <c r="M849">
        <v>140</v>
      </c>
      <c r="N849" t="s">
        <v>28</v>
      </c>
      <c r="O849" s="3">
        <v>44727</v>
      </c>
      <c r="P849">
        <v>-1</v>
      </c>
      <c r="T849" t="s">
        <v>52</v>
      </c>
      <c r="U849">
        <v>78</v>
      </c>
      <c r="V849">
        <v>20.925000000000001</v>
      </c>
    </row>
    <row r="850" spans="1:22" x14ac:dyDescent="0.35">
      <c r="A850" s="3">
        <v>44587</v>
      </c>
      <c r="B850" t="s">
        <v>30</v>
      </c>
      <c r="C850">
        <v>0</v>
      </c>
      <c r="D850">
        <v>0</v>
      </c>
      <c r="E850">
        <v>0</v>
      </c>
      <c r="F850">
        <v>0</v>
      </c>
      <c r="G850">
        <v>27.453199999999999</v>
      </c>
      <c r="H850">
        <v>0</v>
      </c>
      <c r="I850">
        <v>0</v>
      </c>
      <c r="J850">
        <v>0</v>
      </c>
      <c r="K850">
        <v>0</v>
      </c>
      <c r="L850">
        <v>59</v>
      </c>
      <c r="M850">
        <v>84</v>
      </c>
      <c r="N850" t="s">
        <v>30</v>
      </c>
      <c r="O850" s="3">
        <v>44671</v>
      </c>
      <c r="P850">
        <v>-1</v>
      </c>
      <c r="T850" t="s">
        <v>51</v>
      </c>
      <c r="U850">
        <v>103</v>
      </c>
      <c r="V850">
        <v>20.274999999999999</v>
      </c>
    </row>
    <row r="851" spans="1:22" x14ac:dyDescent="0.35">
      <c r="A851" s="3">
        <v>44586</v>
      </c>
      <c r="B851" t="s">
        <v>26</v>
      </c>
      <c r="C851">
        <v>0</v>
      </c>
      <c r="D851">
        <v>0</v>
      </c>
      <c r="E851">
        <v>0</v>
      </c>
      <c r="F851">
        <v>0</v>
      </c>
      <c r="G851">
        <v>26.85</v>
      </c>
      <c r="H851">
        <v>0</v>
      </c>
      <c r="I851">
        <v>0</v>
      </c>
      <c r="J851">
        <v>0</v>
      </c>
      <c r="K851">
        <v>0</v>
      </c>
      <c r="L851">
        <v>143</v>
      </c>
      <c r="M851">
        <v>204</v>
      </c>
      <c r="N851" t="s">
        <v>26</v>
      </c>
      <c r="O851" s="3">
        <v>44790</v>
      </c>
      <c r="P851">
        <v>-1</v>
      </c>
      <c r="T851" t="s">
        <v>50</v>
      </c>
      <c r="U851">
        <v>123</v>
      </c>
      <c r="V851">
        <v>19.850000000000001</v>
      </c>
    </row>
    <row r="852" spans="1:22" x14ac:dyDescent="0.35">
      <c r="A852" s="3">
        <v>44586</v>
      </c>
      <c r="B852" t="s">
        <v>32</v>
      </c>
      <c r="C852">
        <v>0</v>
      </c>
      <c r="D852">
        <v>0</v>
      </c>
      <c r="E852">
        <v>0</v>
      </c>
      <c r="F852">
        <v>0</v>
      </c>
      <c r="G852">
        <v>28.1645</v>
      </c>
      <c r="H852">
        <v>0</v>
      </c>
      <c r="I852">
        <v>0</v>
      </c>
      <c r="J852">
        <v>0</v>
      </c>
      <c r="K852">
        <v>0</v>
      </c>
      <c r="L852">
        <v>16</v>
      </c>
      <c r="M852">
        <v>22</v>
      </c>
      <c r="N852" t="s">
        <v>32</v>
      </c>
      <c r="O852" s="3">
        <v>44608</v>
      </c>
      <c r="P852">
        <v>-1</v>
      </c>
      <c r="T852" t="s">
        <v>49</v>
      </c>
      <c r="U852">
        <v>142</v>
      </c>
      <c r="V852">
        <v>19.8</v>
      </c>
    </row>
    <row r="853" spans="1:22" x14ac:dyDescent="0.35">
      <c r="A853" s="3">
        <v>44586</v>
      </c>
      <c r="B853" t="s">
        <v>27</v>
      </c>
      <c r="C853">
        <v>0</v>
      </c>
      <c r="D853">
        <v>0</v>
      </c>
      <c r="E853">
        <v>0</v>
      </c>
      <c r="F853">
        <v>0</v>
      </c>
      <c r="G853">
        <v>27.024999999999999</v>
      </c>
      <c r="H853">
        <v>0</v>
      </c>
      <c r="I853">
        <v>0</v>
      </c>
      <c r="J853">
        <v>0</v>
      </c>
      <c r="K853">
        <v>0</v>
      </c>
      <c r="L853">
        <v>167</v>
      </c>
      <c r="M853">
        <v>239</v>
      </c>
      <c r="N853" t="s">
        <v>27</v>
      </c>
      <c r="O853" s="3">
        <v>44825</v>
      </c>
      <c r="P853">
        <v>-1</v>
      </c>
      <c r="T853" t="s">
        <v>48</v>
      </c>
      <c r="U853">
        <v>167</v>
      </c>
      <c r="V853">
        <v>22.75</v>
      </c>
    </row>
    <row r="854" spans="1:22" x14ac:dyDescent="0.35">
      <c r="A854" s="3">
        <v>44586</v>
      </c>
      <c r="B854" t="s">
        <v>28</v>
      </c>
      <c r="C854">
        <v>0</v>
      </c>
      <c r="D854">
        <v>0</v>
      </c>
      <c r="E854">
        <v>0</v>
      </c>
      <c r="F854">
        <v>0</v>
      </c>
      <c r="G854">
        <v>26.751799999999999</v>
      </c>
      <c r="H854">
        <v>0</v>
      </c>
      <c r="I854">
        <v>0</v>
      </c>
      <c r="J854">
        <v>0</v>
      </c>
      <c r="K854">
        <v>0</v>
      </c>
      <c r="L854">
        <v>99</v>
      </c>
      <c r="M854">
        <v>141</v>
      </c>
      <c r="N854" t="s">
        <v>28</v>
      </c>
      <c r="O854" s="3">
        <v>44727</v>
      </c>
      <c r="P854">
        <v>-1</v>
      </c>
      <c r="T854" t="s">
        <v>47</v>
      </c>
      <c r="U854">
        <v>187</v>
      </c>
      <c r="V854">
        <v>20.425000000000001</v>
      </c>
    </row>
    <row r="855" spans="1:22" x14ac:dyDescent="0.35">
      <c r="A855" s="3">
        <v>44586</v>
      </c>
      <c r="B855" t="s">
        <v>30</v>
      </c>
      <c r="C855">
        <v>0</v>
      </c>
      <c r="D855">
        <v>0</v>
      </c>
      <c r="E855">
        <v>0</v>
      </c>
      <c r="F855">
        <v>0</v>
      </c>
      <c r="G855">
        <v>27.210699999999999</v>
      </c>
      <c r="H855">
        <v>0</v>
      </c>
      <c r="I855">
        <v>0</v>
      </c>
      <c r="J855">
        <v>0</v>
      </c>
      <c r="K855">
        <v>0</v>
      </c>
      <c r="L855">
        <v>60</v>
      </c>
      <c r="M855">
        <v>85</v>
      </c>
      <c r="N855" t="s">
        <v>30</v>
      </c>
      <c r="O855" s="3">
        <v>44671</v>
      </c>
      <c r="P855">
        <v>-1</v>
      </c>
      <c r="S855" s="3">
        <v>43889</v>
      </c>
      <c r="T855" t="s">
        <v>55</v>
      </c>
      <c r="U855">
        <v>13</v>
      </c>
      <c r="V855">
        <v>26.324999999999999</v>
      </c>
    </row>
    <row r="856" spans="1:22" x14ac:dyDescent="0.35">
      <c r="A856" s="3">
        <v>44586</v>
      </c>
      <c r="B856" t="s">
        <v>29</v>
      </c>
      <c r="C856">
        <v>0</v>
      </c>
      <c r="D856">
        <v>0</v>
      </c>
      <c r="E856">
        <v>0</v>
      </c>
      <c r="F856">
        <v>0</v>
      </c>
      <c r="G856">
        <v>26.904199999999999</v>
      </c>
      <c r="H856">
        <v>0</v>
      </c>
      <c r="I856">
        <v>0</v>
      </c>
      <c r="J856">
        <v>0</v>
      </c>
      <c r="K856">
        <v>0</v>
      </c>
      <c r="L856">
        <v>80</v>
      </c>
      <c r="M856">
        <v>113</v>
      </c>
      <c r="N856" t="s">
        <v>29</v>
      </c>
      <c r="O856" s="3">
        <v>44699</v>
      </c>
      <c r="P856">
        <v>-1</v>
      </c>
      <c r="T856" t="s">
        <v>54</v>
      </c>
      <c r="U856">
        <v>33</v>
      </c>
      <c r="V856">
        <v>23.024999999999999</v>
      </c>
    </row>
    <row r="857" spans="1:22" x14ac:dyDescent="0.35">
      <c r="A857" s="3">
        <v>44586</v>
      </c>
      <c r="B857" t="s">
        <v>31</v>
      </c>
      <c r="C857">
        <v>0</v>
      </c>
      <c r="D857">
        <v>0</v>
      </c>
      <c r="E857">
        <v>0</v>
      </c>
      <c r="F857">
        <v>0</v>
      </c>
      <c r="G857">
        <v>27.731300000000001</v>
      </c>
      <c r="H857">
        <v>0</v>
      </c>
      <c r="I857">
        <v>0</v>
      </c>
      <c r="J857">
        <v>0</v>
      </c>
      <c r="K857">
        <v>0</v>
      </c>
      <c r="L857">
        <v>34</v>
      </c>
      <c r="M857">
        <v>49</v>
      </c>
      <c r="N857" t="s">
        <v>31</v>
      </c>
      <c r="O857" s="3">
        <v>44635</v>
      </c>
      <c r="P857">
        <v>-1</v>
      </c>
      <c r="T857" t="s">
        <v>53</v>
      </c>
      <c r="U857">
        <v>58</v>
      </c>
      <c r="V857">
        <v>21.274999999999999</v>
      </c>
    </row>
    <row r="858" spans="1:22" x14ac:dyDescent="0.35">
      <c r="A858" s="3">
        <v>44586</v>
      </c>
      <c r="B858" t="s">
        <v>25</v>
      </c>
      <c r="C858">
        <v>0</v>
      </c>
      <c r="D858">
        <v>0</v>
      </c>
      <c r="E858">
        <v>0</v>
      </c>
      <c r="F858">
        <v>0</v>
      </c>
      <c r="G858">
        <v>27.024999999999999</v>
      </c>
      <c r="H858">
        <v>0</v>
      </c>
      <c r="I858">
        <v>0</v>
      </c>
      <c r="J858">
        <v>0</v>
      </c>
      <c r="K858">
        <v>0</v>
      </c>
      <c r="L858">
        <v>187</v>
      </c>
      <c r="M858">
        <v>267</v>
      </c>
      <c r="N858" t="s">
        <v>25</v>
      </c>
      <c r="O858" s="3">
        <v>44853</v>
      </c>
      <c r="P858">
        <v>-1</v>
      </c>
      <c r="T858" t="s">
        <v>52</v>
      </c>
      <c r="U858">
        <v>77</v>
      </c>
      <c r="V858">
        <v>20.375</v>
      </c>
    </row>
    <row r="859" spans="1:22" x14ac:dyDescent="0.35">
      <c r="A859" s="3">
        <v>44586</v>
      </c>
      <c r="B859" t="s">
        <v>22</v>
      </c>
      <c r="C859">
        <v>0</v>
      </c>
      <c r="D859">
        <v>0</v>
      </c>
      <c r="E859">
        <v>0</v>
      </c>
      <c r="F859">
        <v>0</v>
      </c>
      <c r="G859">
        <v>26.922599999999999</v>
      </c>
      <c r="H859">
        <v>0</v>
      </c>
      <c r="I859">
        <v>0</v>
      </c>
      <c r="J859">
        <v>0</v>
      </c>
      <c r="K859">
        <v>0</v>
      </c>
      <c r="L859">
        <v>123</v>
      </c>
      <c r="M859">
        <v>176</v>
      </c>
      <c r="N859" t="s">
        <v>22</v>
      </c>
      <c r="O859" s="3">
        <v>44762</v>
      </c>
      <c r="P859">
        <v>-1</v>
      </c>
      <c r="T859" t="s">
        <v>51</v>
      </c>
      <c r="U859">
        <v>102</v>
      </c>
      <c r="V859">
        <v>19.824999999999999</v>
      </c>
    </row>
    <row r="860" spans="1:22" x14ac:dyDescent="0.35">
      <c r="A860" s="3">
        <v>44585</v>
      </c>
      <c r="B860" t="s">
        <v>29</v>
      </c>
      <c r="C860">
        <v>0</v>
      </c>
      <c r="D860">
        <v>0</v>
      </c>
      <c r="E860">
        <v>0</v>
      </c>
      <c r="F860">
        <v>0</v>
      </c>
      <c r="G860">
        <v>26.652699999999999</v>
      </c>
      <c r="H860">
        <v>0</v>
      </c>
      <c r="I860">
        <v>0</v>
      </c>
      <c r="J860">
        <v>0</v>
      </c>
      <c r="K860">
        <v>0</v>
      </c>
      <c r="L860">
        <v>81</v>
      </c>
      <c r="M860">
        <v>114</v>
      </c>
      <c r="N860" t="s">
        <v>29</v>
      </c>
      <c r="O860" s="3">
        <v>44699</v>
      </c>
      <c r="P860">
        <v>-1</v>
      </c>
      <c r="T860" t="s">
        <v>50</v>
      </c>
      <c r="U860">
        <v>122</v>
      </c>
      <c r="V860">
        <v>19.625</v>
      </c>
    </row>
    <row r="861" spans="1:22" x14ac:dyDescent="0.35">
      <c r="A861" s="3">
        <v>44585</v>
      </c>
      <c r="B861" t="s">
        <v>31</v>
      </c>
      <c r="C861">
        <v>0</v>
      </c>
      <c r="D861">
        <v>0</v>
      </c>
      <c r="E861">
        <v>0</v>
      </c>
      <c r="F861">
        <v>0</v>
      </c>
      <c r="G861">
        <v>27.4498</v>
      </c>
      <c r="H861">
        <v>0</v>
      </c>
      <c r="I861">
        <v>0</v>
      </c>
      <c r="J861">
        <v>0</v>
      </c>
      <c r="K861">
        <v>0</v>
      </c>
      <c r="L861">
        <v>35</v>
      </c>
      <c r="M861">
        <v>50</v>
      </c>
      <c r="N861" t="s">
        <v>31</v>
      </c>
      <c r="O861" s="3">
        <v>44635</v>
      </c>
      <c r="P861">
        <v>-1</v>
      </c>
      <c r="T861" t="s">
        <v>49</v>
      </c>
      <c r="U861">
        <v>141</v>
      </c>
      <c r="V861">
        <v>19.625</v>
      </c>
    </row>
    <row r="862" spans="1:22" x14ac:dyDescent="0.35">
      <c r="A862" s="3">
        <v>44585</v>
      </c>
      <c r="B862" t="s">
        <v>25</v>
      </c>
      <c r="C862">
        <v>0</v>
      </c>
      <c r="D862">
        <v>0</v>
      </c>
      <c r="E862">
        <v>0</v>
      </c>
      <c r="F862">
        <v>0</v>
      </c>
      <c r="G862">
        <v>26.75</v>
      </c>
      <c r="H862">
        <v>0</v>
      </c>
      <c r="I862">
        <v>0</v>
      </c>
      <c r="J862">
        <v>0</v>
      </c>
      <c r="K862">
        <v>0</v>
      </c>
      <c r="L862">
        <v>188</v>
      </c>
      <c r="M862">
        <v>268</v>
      </c>
      <c r="N862" t="s">
        <v>25</v>
      </c>
      <c r="O862" s="3">
        <v>44853</v>
      </c>
      <c r="P862">
        <v>-1</v>
      </c>
      <c r="T862" t="s">
        <v>48</v>
      </c>
      <c r="U862">
        <v>166</v>
      </c>
      <c r="V862">
        <v>22.55</v>
      </c>
    </row>
    <row r="863" spans="1:22" x14ac:dyDescent="0.35">
      <c r="A863" s="3">
        <v>44585</v>
      </c>
      <c r="B863" t="s">
        <v>22</v>
      </c>
      <c r="C863">
        <v>0</v>
      </c>
      <c r="D863">
        <v>0</v>
      </c>
      <c r="E863">
        <v>0</v>
      </c>
      <c r="F863">
        <v>0</v>
      </c>
      <c r="G863">
        <v>26.752600000000001</v>
      </c>
      <c r="H863">
        <v>0</v>
      </c>
      <c r="I863">
        <v>0</v>
      </c>
      <c r="J863">
        <v>0</v>
      </c>
      <c r="K863">
        <v>0</v>
      </c>
      <c r="L863">
        <v>124</v>
      </c>
      <c r="M863">
        <v>177</v>
      </c>
      <c r="N863" t="s">
        <v>22</v>
      </c>
      <c r="O863" s="3">
        <v>44762</v>
      </c>
      <c r="P863">
        <v>-1</v>
      </c>
      <c r="T863" t="s">
        <v>47</v>
      </c>
      <c r="U863">
        <v>186</v>
      </c>
      <c r="V863">
        <v>20.475000000000001</v>
      </c>
    </row>
    <row r="864" spans="1:22" x14ac:dyDescent="0.35">
      <c r="A864" s="3">
        <v>44585</v>
      </c>
      <c r="B864" t="s">
        <v>26</v>
      </c>
      <c r="C864">
        <v>0</v>
      </c>
      <c r="D864">
        <v>0</v>
      </c>
      <c r="E864">
        <v>0</v>
      </c>
      <c r="F864">
        <v>0</v>
      </c>
      <c r="G864">
        <v>26.691700000000001</v>
      </c>
      <c r="H864">
        <v>0</v>
      </c>
      <c r="I864">
        <v>0</v>
      </c>
      <c r="J864">
        <v>0</v>
      </c>
      <c r="K864">
        <v>0</v>
      </c>
      <c r="L864">
        <v>144</v>
      </c>
      <c r="M864">
        <v>205</v>
      </c>
      <c r="N864" t="s">
        <v>26</v>
      </c>
      <c r="O864" s="3">
        <v>44790</v>
      </c>
      <c r="P864">
        <v>-1</v>
      </c>
      <c r="S864" s="3">
        <v>43892</v>
      </c>
      <c r="T864" t="s">
        <v>55</v>
      </c>
      <c r="U864">
        <v>12</v>
      </c>
      <c r="V864">
        <v>26.274999999999999</v>
      </c>
    </row>
    <row r="865" spans="1:22" x14ac:dyDescent="0.35">
      <c r="A865" s="3">
        <v>44585</v>
      </c>
      <c r="B865" t="s">
        <v>32</v>
      </c>
      <c r="C865">
        <v>0</v>
      </c>
      <c r="D865">
        <v>0</v>
      </c>
      <c r="E865">
        <v>0</v>
      </c>
      <c r="F865">
        <v>0</v>
      </c>
      <c r="G865">
        <v>28.068300000000001</v>
      </c>
      <c r="H865">
        <v>0</v>
      </c>
      <c r="I865">
        <v>0</v>
      </c>
      <c r="J865">
        <v>0</v>
      </c>
      <c r="K865">
        <v>0</v>
      </c>
      <c r="L865">
        <v>17</v>
      </c>
      <c r="M865">
        <v>23</v>
      </c>
      <c r="N865" t="s">
        <v>32</v>
      </c>
      <c r="O865" s="3">
        <v>44608</v>
      </c>
      <c r="P865">
        <v>-1</v>
      </c>
      <c r="T865" t="s">
        <v>54</v>
      </c>
      <c r="U865">
        <v>32</v>
      </c>
      <c r="V865">
        <v>23.324999999999999</v>
      </c>
    </row>
    <row r="866" spans="1:22" x14ac:dyDescent="0.35">
      <c r="A866" s="3">
        <v>44585</v>
      </c>
      <c r="B866" t="s">
        <v>27</v>
      </c>
      <c r="C866">
        <v>0</v>
      </c>
      <c r="D866">
        <v>0</v>
      </c>
      <c r="E866">
        <v>0</v>
      </c>
      <c r="F866">
        <v>0</v>
      </c>
      <c r="G866">
        <v>26.95</v>
      </c>
      <c r="H866">
        <v>0</v>
      </c>
      <c r="I866">
        <v>0</v>
      </c>
      <c r="J866">
        <v>0</v>
      </c>
      <c r="K866">
        <v>0</v>
      </c>
      <c r="L866">
        <v>168</v>
      </c>
      <c r="M866">
        <v>240</v>
      </c>
      <c r="N866" t="s">
        <v>27</v>
      </c>
      <c r="O866" s="3">
        <v>44825</v>
      </c>
      <c r="P866">
        <v>-1</v>
      </c>
      <c r="T866" t="s">
        <v>53</v>
      </c>
      <c r="U866">
        <v>57</v>
      </c>
      <c r="V866">
        <v>21.274999999999999</v>
      </c>
    </row>
    <row r="867" spans="1:22" x14ac:dyDescent="0.35">
      <c r="A867" s="3">
        <v>44585</v>
      </c>
      <c r="B867" t="s">
        <v>28</v>
      </c>
      <c r="C867">
        <v>0</v>
      </c>
      <c r="D867">
        <v>0</v>
      </c>
      <c r="E867">
        <v>0</v>
      </c>
      <c r="F867">
        <v>0</v>
      </c>
      <c r="G867">
        <v>26.485399999999998</v>
      </c>
      <c r="H867">
        <v>0</v>
      </c>
      <c r="I867">
        <v>0</v>
      </c>
      <c r="J867">
        <v>0</v>
      </c>
      <c r="K867">
        <v>0</v>
      </c>
      <c r="L867">
        <v>100</v>
      </c>
      <c r="M867">
        <v>142</v>
      </c>
      <c r="N867" t="s">
        <v>28</v>
      </c>
      <c r="O867" s="3">
        <v>44727</v>
      </c>
      <c r="P867">
        <v>-1</v>
      </c>
      <c r="T867" t="s">
        <v>52</v>
      </c>
      <c r="U867">
        <v>76</v>
      </c>
      <c r="V867">
        <v>20.324999999999999</v>
      </c>
    </row>
    <row r="868" spans="1:22" x14ac:dyDescent="0.35">
      <c r="A868" s="3">
        <v>44585</v>
      </c>
      <c r="B868" t="s">
        <v>30</v>
      </c>
      <c r="C868">
        <v>0</v>
      </c>
      <c r="D868">
        <v>0</v>
      </c>
      <c r="E868">
        <v>0</v>
      </c>
      <c r="F868">
        <v>0</v>
      </c>
      <c r="G868">
        <v>26.9069</v>
      </c>
      <c r="H868">
        <v>0</v>
      </c>
      <c r="I868">
        <v>0</v>
      </c>
      <c r="J868">
        <v>0</v>
      </c>
      <c r="K868">
        <v>0</v>
      </c>
      <c r="L868">
        <v>61</v>
      </c>
      <c r="M868">
        <v>86</v>
      </c>
      <c r="N868" t="s">
        <v>30</v>
      </c>
      <c r="O868" s="3">
        <v>44671</v>
      </c>
      <c r="P868">
        <v>-1</v>
      </c>
      <c r="T868" t="s">
        <v>51</v>
      </c>
      <c r="U868">
        <v>101</v>
      </c>
      <c r="V868">
        <v>19.824999999999999</v>
      </c>
    </row>
    <row r="869" spans="1:22" x14ac:dyDescent="0.35">
      <c r="A869" s="3">
        <v>44582</v>
      </c>
      <c r="B869" t="s">
        <v>26</v>
      </c>
      <c r="C869">
        <v>0</v>
      </c>
      <c r="D869">
        <v>0</v>
      </c>
      <c r="E869">
        <v>0</v>
      </c>
      <c r="F869">
        <v>0</v>
      </c>
      <c r="G869">
        <v>26.960899999999999</v>
      </c>
      <c r="H869">
        <v>0</v>
      </c>
      <c r="I869">
        <v>0</v>
      </c>
      <c r="J869">
        <v>0</v>
      </c>
      <c r="K869">
        <v>0</v>
      </c>
      <c r="L869">
        <v>145</v>
      </c>
      <c r="M869">
        <v>208</v>
      </c>
      <c r="N869" t="s">
        <v>26</v>
      </c>
      <c r="O869" s="3">
        <v>44790</v>
      </c>
      <c r="P869">
        <v>-1</v>
      </c>
      <c r="T869" t="s">
        <v>50</v>
      </c>
      <c r="U869">
        <v>121</v>
      </c>
      <c r="V869">
        <v>19.625</v>
      </c>
    </row>
    <row r="870" spans="1:22" x14ac:dyDescent="0.35">
      <c r="A870" s="3">
        <v>44582</v>
      </c>
      <c r="B870" t="s">
        <v>32</v>
      </c>
      <c r="C870">
        <v>0</v>
      </c>
      <c r="D870">
        <v>0</v>
      </c>
      <c r="E870">
        <v>0</v>
      </c>
      <c r="F870">
        <v>0</v>
      </c>
      <c r="G870">
        <v>27.308599999999998</v>
      </c>
      <c r="H870">
        <v>0</v>
      </c>
      <c r="I870">
        <v>0</v>
      </c>
      <c r="J870">
        <v>0</v>
      </c>
      <c r="K870">
        <v>0</v>
      </c>
      <c r="L870">
        <v>18</v>
      </c>
      <c r="M870">
        <v>26</v>
      </c>
      <c r="N870" t="s">
        <v>32</v>
      </c>
      <c r="O870" s="3">
        <v>44608</v>
      </c>
      <c r="P870">
        <v>-1</v>
      </c>
      <c r="T870" t="s">
        <v>49</v>
      </c>
      <c r="U870">
        <v>140</v>
      </c>
      <c r="V870">
        <v>19.824999999999999</v>
      </c>
    </row>
    <row r="871" spans="1:22" x14ac:dyDescent="0.35">
      <c r="A871" s="3">
        <v>44582</v>
      </c>
      <c r="B871" t="s">
        <v>27</v>
      </c>
      <c r="C871">
        <v>0</v>
      </c>
      <c r="D871">
        <v>0</v>
      </c>
      <c r="E871">
        <v>0</v>
      </c>
      <c r="F871">
        <v>0</v>
      </c>
      <c r="G871">
        <v>27.175000000000001</v>
      </c>
      <c r="H871">
        <v>0</v>
      </c>
      <c r="I871">
        <v>0</v>
      </c>
      <c r="J871">
        <v>0</v>
      </c>
      <c r="K871">
        <v>0</v>
      </c>
      <c r="L871">
        <v>169</v>
      </c>
      <c r="M871">
        <v>243</v>
      </c>
      <c r="N871" t="s">
        <v>27</v>
      </c>
      <c r="O871" s="3">
        <v>44825</v>
      </c>
      <c r="P871">
        <v>-1</v>
      </c>
      <c r="T871" t="s">
        <v>48</v>
      </c>
      <c r="U871">
        <v>165</v>
      </c>
      <c r="V871">
        <v>22.625</v>
      </c>
    </row>
    <row r="872" spans="1:22" x14ac:dyDescent="0.35">
      <c r="A872" s="3">
        <v>44582</v>
      </c>
      <c r="B872" t="s">
        <v>28</v>
      </c>
      <c r="C872">
        <v>0</v>
      </c>
      <c r="D872">
        <v>0</v>
      </c>
      <c r="E872">
        <v>0</v>
      </c>
      <c r="F872">
        <v>0</v>
      </c>
      <c r="G872">
        <v>26.684899999999999</v>
      </c>
      <c r="H872">
        <v>0</v>
      </c>
      <c r="I872">
        <v>0</v>
      </c>
      <c r="J872">
        <v>0</v>
      </c>
      <c r="K872">
        <v>0</v>
      </c>
      <c r="L872">
        <v>101</v>
      </c>
      <c r="M872">
        <v>145</v>
      </c>
      <c r="N872" t="s">
        <v>28</v>
      </c>
      <c r="O872" s="3">
        <v>44727</v>
      </c>
      <c r="P872">
        <v>-1</v>
      </c>
      <c r="T872" t="s">
        <v>47</v>
      </c>
      <c r="U872">
        <v>185</v>
      </c>
      <c r="V872">
        <v>20.350000000000001</v>
      </c>
    </row>
    <row r="873" spans="1:22" x14ac:dyDescent="0.35">
      <c r="A873" s="3">
        <v>44582</v>
      </c>
      <c r="B873" t="s">
        <v>30</v>
      </c>
      <c r="C873">
        <v>0</v>
      </c>
      <c r="D873">
        <v>0</v>
      </c>
      <c r="E873">
        <v>0</v>
      </c>
      <c r="F873">
        <v>0</v>
      </c>
      <c r="G873">
        <v>26.652000000000001</v>
      </c>
      <c r="H873">
        <v>0</v>
      </c>
      <c r="I873">
        <v>0</v>
      </c>
      <c r="J873">
        <v>0</v>
      </c>
      <c r="K873">
        <v>0</v>
      </c>
      <c r="L873">
        <v>62</v>
      </c>
      <c r="M873">
        <v>89</v>
      </c>
      <c r="N873" t="s">
        <v>30</v>
      </c>
      <c r="O873" s="3">
        <v>44671</v>
      </c>
      <c r="P873">
        <v>-1</v>
      </c>
      <c r="S873" s="3">
        <v>43893</v>
      </c>
      <c r="T873" t="s">
        <v>55</v>
      </c>
      <c r="U873">
        <v>11</v>
      </c>
      <c r="V873">
        <v>29.175000000000001</v>
      </c>
    </row>
    <row r="874" spans="1:22" x14ac:dyDescent="0.35">
      <c r="A874" s="3">
        <v>44582</v>
      </c>
      <c r="B874" t="s">
        <v>29</v>
      </c>
      <c r="C874">
        <v>0</v>
      </c>
      <c r="D874">
        <v>0</v>
      </c>
      <c r="E874">
        <v>0</v>
      </c>
      <c r="F874">
        <v>0</v>
      </c>
      <c r="G874">
        <v>26.6309</v>
      </c>
      <c r="H874">
        <v>0</v>
      </c>
      <c r="I874">
        <v>0</v>
      </c>
      <c r="J874">
        <v>0</v>
      </c>
      <c r="K874">
        <v>0</v>
      </c>
      <c r="L874">
        <v>82</v>
      </c>
      <c r="M874">
        <v>117</v>
      </c>
      <c r="N874" t="s">
        <v>29</v>
      </c>
      <c r="O874" s="3">
        <v>44699</v>
      </c>
      <c r="P874">
        <v>-1</v>
      </c>
      <c r="T874" t="s">
        <v>54</v>
      </c>
      <c r="U874">
        <v>31</v>
      </c>
      <c r="V874">
        <v>25.524999999999999</v>
      </c>
    </row>
    <row r="875" spans="1:22" x14ac:dyDescent="0.35">
      <c r="A875" s="3">
        <v>44582</v>
      </c>
      <c r="B875" t="s">
        <v>31</v>
      </c>
      <c r="C875">
        <v>0</v>
      </c>
      <c r="D875">
        <v>0</v>
      </c>
      <c r="E875">
        <v>0</v>
      </c>
      <c r="F875">
        <v>0</v>
      </c>
      <c r="G875">
        <v>26.8399</v>
      </c>
      <c r="H875">
        <v>0</v>
      </c>
      <c r="I875">
        <v>0</v>
      </c>
      <c r="J875">
        <v>0</v>
      </c>
      <c r="K875">
        <v>0</v>
      </c>
      <c r="L875">
        <v>36</v>
      </c>
      <c r="M875">
        <v>53</v>
      </c>
      <c r="N875" t="s">
        <v>31</v>
      </c>
      <c r="O875" s="3">
        <v>44635</v>
      </c>
      <c r="P875">
        <v>-1</v>
      </c>
      <c r="T875" t="s">
        <v>53</v>
      </c>
      <c r="U875">
        <v>56</v>
      </c>
      <c r="V875">
        <v>22.824999999999999</v>
      </c>
    </row>
    <row r="876" spans="1:22" x14ac:dyDescent="0.35">
      <c r="A876" s="3">
        <v>44582</v>
      </c>
      <c r="B876" t="s">
        <v>22</v>
      </c>
      <c r="C876">
        <v>0</v>
      </c>
      <c r="D876">
        <v>0</v>
      </c>
      <c r="E876">
        <v>0</v>
      </c>
      <c r="F876">
        <v>0</v>
      </c>
      <c r="G876">
        <v>27.0336</v>
      </c>
      <c r="H876">
        <v>0</v>
      </c>
      <c r="I876">
        <v>0</v>
      </c>
      <c r="J876">
        <v>0</v>
      </c>
      <c r="K876">
        <v>0</v>
      </c>
      <c r="L876">
        <v>125</v>
      </c>
      <c r="M876">
        <v>180</v>
      </c>
      <c r="N876" t="s">
        <v>22</v>
      </c>
      <c r="O876" s="3">
        <v>44762</v>
      </c>
      <c r="P876">
        <v>-1</v>
      </c>
      <c r="T876" t="s">
        <v>52</v>
      </c>
      <c r="U876">
        <v>75</v>
      </c>
      <c r="V876">
        <v>21.574999999999999</v>
      </c>
    </row>
    <row r="877" spans="1:22" x14ac:dyDescent="0.35">
      <c r="A877" s="3">
        <v>44581</v>
      </c>
      <c r="B877" t="s">
        <v>29</v>
      </c>
      <c r="C877">
        <v>0</v>
      </c>
      <c r="D877">
        <v>0</v>
      </c>
      <c r="E877">
        <v>0</v>
      </c>
      <c r="F877">
        <v>0</v>
      </c>
      <c r="G877">
        <v>25.557300000000001</v>
      </c>
      <c r="H877">
        <v>0</v>
      </c>
      <c r="I877">
        <v>0</v>
      </c>
      <c r="J877">
        <v>0</v>
      </c>
      <c r="K877">
        <v>0</v>
      </c>
      <c r="L877">
        <v>83</v>
      </c>
      <c r="M877">
        <v>118</v>
      </c>
      <c r="N877" t="s">
        <v>29</v>
      </c>
      <c r="O877" s="3">
        <v>44699</v>
      </c>
      <c r="P877">
        <v>-1</v>
      </c>
      <c r="T877" t="s">
        <v>51</v>
      </c>
      <c r="U877">
        <v>100</v>
      </c>
      <c r="V877">
        <v>20.7</v>
      </c>
    </row>
    <row r="878" spans="1:22" x14ac:dyDescent="0.35">
      <c r="A878" s="3">
        <v>44581</v>
      </c>
      <c r="B878" t="s">
        <v>31</v>
      </c>
      <c r="C878">
        <v>0</v>
      </c>
      <c r="D878">
        <v>0</v>
      </c>
      <c r="E878">
        <v>0</v>
      </c>
      <c r="F878">
        <v>0</v>
      </c>
      <c r="G878">
        <v>25.106100000000001</v>
      </c>
      <c r="H878">
        <v>0</v>
      </c>
      <c r="I878">
        <v>0</v>
      </c>
      <c r="J878">
        <v>0</v>
      </c>
      <c r="K878">
        <v>0</v>
      </c>
      <c r="L878">
        <v>37</v>
      </c>
      <c r="M878">
        <v>54</v>
      </c>
      <c r="N878" t="s">
        <v>31</v>
      </c>
      <c r="O878" s="3">
        <v>44635</v>
      </c>
      <c r="P878">
        <v>-1</v>
      </c>
      <c r="T878" t="s">
        <v>50</v>
      </c>
      <c r="U878">
        <v>120</v>
      </c>
      <c r="V878">
        <v>20.475000000000001</v>
      </c>
    </row>
    <row r="879" spans="1:22" x14ac:dyDescent="0.35">
      <c r="A879" s="3">
        <v>44581</v>
      </c>
      <c r="B879" t="s">
        <v>22</v>
      </c>
      <c r="C879">
        <v>0</v>
      </c>
      <c r="D879">
        <v>0</v>
      </c>
      <c r="E879">
        <v>0</v>
      </c>
      <c r="F879">
        <v>0</v>
      </c>
      <c r="G879">
        <v>26.290400000000002</v>
      </c>
      <c r="H879">
        <v>0</v>
      </c>
      <c r="I879">
        <v>0</v>
      </c>
      <c r="J879">
        <v>0</v>
      </c>
      <c r="K879">
        <v>0</v>
      </c>
      <c r="L879">
        <v>126</v>
      </c>
      <c r="M879">
        <v>181</v>
      </c>
      <c r="N879" t="s">
        <v>22</v>
      </c>
      <c r="O879" s="3">
        <v>44762</v>
      </c>
      <c r="P879">
        <v>-1</v>
      </c>
      <c r="T879" t="s">
        <v>49</v>
      </c>
      <c r="U879">
        <v>139</v>
      </c>
      <c r="V879">
        <v>20.5</v>
      </c>
    </row>
    <row r="880" spans="1:22" x14ac:dyDescent="0.35">
      <c r="A880" s="3">
        <v>44581</v>
      </c>
      <c r="B880" t="s">
        <v>26</v>
      </c>
      <c r="C880">
        <v>0</v>
      </c>
      <c r="D880">
        <v>0</v>
      </c>
      <c r="E880">
        <v>0</v>
      </c>
      <c r="F880">
        <v>0</v>
      </c>
      <c r="G880">
        <v>26.316700000000001</v>
      </c>
      <c r="H880">
        <v>0</v>
      </c>
      <c r="I880">
        <v>0</v>
      </c>
      <c r="J880">
        <v>0</v>
      </c>
      <c r="K880">
        <v>0</v>
      </c>
      <c r="L880">
        <v>146</v>
      </c>
      <c r="M880">
        <v>209</v>
      </c>
      <c r="N880" t="s">
        <v>26</v>
      </c>
      <c r="O880" s="3">
        <v>44790</v>
      </c>
      <c r="P880">
        <v>-1</v>
      </c>
      <c r="T880" t="s">
        <v>48</v>
      </c>
      <c r="U880">
        <v>164</v>
      </c>
      <c r="V880">
        <v>22.9</v>
      </c>
    </row>
    <row r="881" spans="1:22" x14ac:dyDescent="0.35">
      <c r="A881" s="3">
        <v>44581</v>
      </c>
      <c r="B881" t="s">
        <v>32</v>
      </c>
      <c r="C881">
        <v>0</v>
      </c>
      <c r="D881">
        <v>0</v>
      </c>
      <c r="E881">
        <v>0</v>
      </c>
      <c r="F881">
        <v>0</v>
      </c>
      <c r="G881">
        <v>24.965800000000002</v>
      </c>
      <c r="H881">
        <v>0</v>
      </c>
      <c r="I881">
        <v>0</v>
      </c>
      <c r="J881">
        <v>0</v>
      </c>
      <c r="K881">
        <v>0</v>
      </c>
      <c r="L881">
        <v>19</v>
      </c>
      <c r="M881">
        <v>27</v>
      </c>
      <c r="N881" t="s">
        <v>32</v>
      </c>
      <c r="O881" s="3">
        <v>44608</v>
      </c>
      <c r="P881">
        <v>-1</v>
      </c>
      <c r="T881" t="s">
        <v>47</v>
      </c>
      <c r="U881">
        <v>184</v>
      </c>
      <c r="V881">
        <v>20.625</v>
      </c>
    </row>
    <row r="882" spans="1:22" x14ac:dyDescent="0.35">
      <c r="A882" s="3">
        <v>44581</v>
      </c>
      <c r="B882" t="s">
        <v>27</v>
      </c>
      <c r="C882">
        <v>0</v>
      </c>
      <c r="D882">
        <v>0</v>
      </c>
      <c r="E882">
        <v>0</v>
      </c>
      <c r="F882">
        <v>0</v>
      </c>
      <c r="G882">
        <v>26.55</v>
      </c>
      <c r="H882">
        <v>0</v>
      </c>
      <c r="I882">
        <v>0</v>
      </c>
      <c r="J882">
        <v>0</v>
      </c>
      <c r="K882">
        <v>0</v>
      </c>
      <c r="L882">
        <v>170</v>
      </c>
      <c r="M882">
        <v>244</v>
      </c>
      <c r="N882" t="s">
        <v>27</v>
      </c>
      <c r="O882" s="3">
        <v>44825</v>
      </c>
      <c r="P882">
        <v>-1</v>
      </c>
      <c r="S882" s="3">
        <v>43894</v>
      </c>
      <c r="T882" t="s">
        <v>55</v>
      </c>
      <c r="U882">
        <v>10</v>
      </c>
      <c r="V882">
        <v>27.425000000000001</v>
      </c>
    </row>
    <row r="883" spans="1:22" x14ac:dyDescent="0.35">
      <c r="A883" s="3">
        <v>44581</v>
      </c>
      <c r="B883" t="s">
        <v>28</v>
      </c>
      <c r="C883">
        <v>0</v>
      </c>
      <c r="D883">
        <v>0</v>
      </c>
      <c r="E883">
        <v>0</v>
      </c>
      <c r="F883">
        <v>0</v>
      </c>
      <c r="G883">
        <v>25.7559</v>
      </c>
      <c r="H883">
        <v>0</v>
      </c>
      <c r="I883">
        <v>0</v>
      </c>
      <c r="J883">
        <v>0</v>
      </c>
      <c r="K883">
        <v>0</v>
      </c>
      <c r="L883">
        <v>102</v>
      </c>
      <c r="M883">
        <v>146</v>
      </c>
      <c r="N883" t="s">
        <v>28</v>
      </c>
      <c r="O883" s="3">
        <v>44727</v>
      </c>
      <c r="P883">
        <v>-1</v>
      </c>
      <c r="T883" t="s">
        <v>54</v>
      </c>
      <c r="U883">
        <v>30</v>
      </c>
      <c r="V883">
        <v>24.625</v>
      </c>
    </row>
    <row r="884" spans="1:22" x14ac:dyDescent="0.35">
      <c r="A884" s="3">
        <v>44581</v>
      </c>
      <c r="B884" t="s">
        <v>30</v>
      </c>
      <c r="C884">
        <v>0</v>
      </c>
      <c r="D884">
        <v>0</v>
      </c>
      <c r="E884">
        <v>0</v>
      </c>
      <c r="F884">
        <v>0</v>
      </c>
      <c r="G884">
        <v>25.358699999999999</v>
      </c>
      <c r="H884">
        <v>0</v>
      </c>
      <c r="I884">
        <v>0</v>
      </c>
      <c r="J884">
        <v>0</v>
      </c>
      <c r="K884">
        <v>0</v>
      </c>
      <c r="L884">
        <v>63</v>
      </c>
      <c r="M884">
        <v>90</v>
      </c>
      <c r="N884" t="s">
        <v>30</v>
      </c>
      <c r="O884" s="3">
        <v>44671</v>
      </c>
      <c r="P884">
        <v>-1</v>
      </c>
      <c r="T884" t="s">
        <v>53</v>
      </c>
      <c r="U884">
        <v>55</v>
      </c>
      <c r="V884">
        <v>22.375</v>
      </c>
    </row>
    <row r="885" spans="1:22" x14ac:dyDescent="0.35">
      <c r="A885" s="3">
        <v>44580</v>
      </c>
      <c r="B885" t="s">
        <v>26</v>
      </c>
      <c r="C885">
        <v>0</v>
      </c>
      <c r="D885">
        <v>0</v>
      </c>
      <c r="E885">
        <v>0</v>
      </c>
      <c r="F885">
        <v>0</v>
      </c>
      <c r="G885">
        <v>26.188500000000001</v>
      </c>
      <c r="H885">
        <v>0</v>
      </c>
      <c r="I885">
        <v>0</v>
      </c>
      <c r="J885">
        <v>0</v>
      </c>
      <c r="K885">
        <v>0</v>
      </c>
      <c r="L885">
        <v>147</v>
      </c>
      <c r="M885">
        <v>210</v>
      </c>
      <c r="N885" t="s">
        <v>26</v>
      </c>
      <c r="O885" s="3">
        <v>44790</v>
      </c>
      <c r="P885">
        <v>-1</v>
      </c>
      <c r="T885" t="s">
        <v>52</v>
      </c>
      <c r="U885">
        <v>74</v>
      </c>
      <c r="V885">
        <v>21.375</v>
      </c>
    </row>
    <row r="886" spans="1:22" x14ac:dyDescent="0.35">
      <c r="A886" s="3">
        <v>44580</v>
      </c>
      <c r="B886" t="s">
        <v>32</v>
      </c>
      <c r="C886">
        <v>0</v>
      </c>
      <c r="D886">
        <v>0</v>
      </c>
      <c r="E886">
        <v>0</v>
      </c>
      <c r="F886">
        <v>0</v>
      </c>
      <c r="G886">
        <v>24.0687</v>
      </c>
      <c r="H886">
        <v>0</v>
      </c>
      <c r="I886">
        <v>0</v>
      </c>
      <c r="J886">
        <v>0</v>
      </c>
      <c r="K886">
        <v>0</v>
      </c>
      <c r="L886">
        <v>20</v>
      </c>
      <c r="M886">
        <v>28</v>
      </c>
      <c r="N886" t="s">
        <v>32</v>
      </c>
      <c r="O886" s="3">
        <v>44608</v>
      </c>
      <c r="P886">
        <v>-1</v>
      </c>
      <c r="T886" t="s">
        <v>51</v>
      </c>
      <c r="U886">
        <v>99</v>
      </c>
      <c r="V886">
        <v>20.625</v>
      </c>
    </row>
    <row r="887" spans="1:22" x14ac:dyDescent="0.35">
      <c r="A887" s="3">
        <v>44580</v>
      </c>
      <c r="B887" t="s">
        <v>27</v>
      </c>
      <c r="C887">
        <v>0</v>
      </c>
      <c r="D887">
        <v>0</v>
      </c>
      <c r="E887">
        <v>0</v>
      </c>
      <c r="F887">
        <v>0</v>
      </c>
      <c r="G887">
        <v>26.425000000000001</v>
      </c>
      <c r="H887">
        <v>0</v>
      </c>
      <c r="I887">
        <v>0</v>
      </c>
      <c r="J887">
        <v>0</v>
      </c>
      <c r="K887">
        <v>0</v>
      </c>
      <c r="L887">
        <v>171</v>
      </c>
      <c r="M887">
        <v>245</v>
      </c>
      <c r="N887" t="s">
        <v>27</v>
      </c>
      <c r="O887" s="3">
        <v>44825</v>
      </c>
      <c r="P887">
        <v>-1</v>
      </c>
      <c r="T887" t="s">
        <v>50</v>
      </c>
      <c r="U887">
        <v>119</v>
      </c>
      <c r="V887">
        <v>20.375</v>
      </c>
    </row>
    <row r="888" spans="1:22" x14ac:dyDescent="0.35">
      <c r="A888" s="3">
        <v>44580</v>
      </c>
      <c r="B888" t="s">
        <v>28</v>
      </c>
      <c r="C888">
        <v>0</v>
      </c>
      <c r="D888">
        <v>0</v>
      </c>
      <c r="E888">
        <v>0</v>
      </c>
      <c r="F888">
        <v>0</v>
      </c>
      <c r="G888">
        <v>25.6934</v>
      </c>
      <c r="H888">
        <v>0</v>
      </c>
      <c r="I888">
        <v>0</v>
      </c>
      <c r="J888">
        <v>0</v>
      </c>
      <c r="K888">
        <v>0</v>
      </c>
      <c r="L888">
        <v>103</v>
      </c>
      <c r="M888">
        <v>147</v>
      </c>
      <c r="N888" t="s">
        <v>28</v>
      </c>
      <c r="O888" s="3">
        <v>44727</v>
      </c>
      <c r="P888">
        <v>-1</v>
      </c>
      <c r="T888" t="s">
        <v>49</v>
      </c>
      <c r="U888">
        <v>138</v>
      </c>
      <c r="V888">
        <v>20.274999999999999</v>
      </c>
    </row>
    <row r="889" spans="1:22" x14ac:dyDescent="0.35">
      <c r="A889" s="3">
        <v>44580</v>
      </c>
      <c r="B889" t="s">
        <v>30</v>
      </c>
      <c r="C889">
        <v>0</v>
      </c>
      <c r="D889">
        <v>0</v>
      </c>
      <c r="E889">
        <v>0</v>
      </c>
      <c r="F889">
        <v>0</v>
      </c>
      <c r="G889">
        <v>25.1404</v>
      </c>
      <c r="H889">
        <v>0</v>
      </c>
      <c r="I889">
        <v>0</v>
      </c>
      <c r="J889">
        <v>0</v>
      </c>
      <c r="K889">
        <v>0</v>
      </c>
      <c r="L889">
        <v>64</v>
      </c>
      <c r="M889">
        <v>91</v>
      </c>
      <c r="N889" t="s">
        <v>30</v>
      </c>
      <c r="O889" s="3">
        <v>44671</v>
      </c>
      <c r="P889">
        <v>-1</v>
      </c>
      <c r="T889" t="s">
        <v>48</v>
      </c>
      <c r="U889">
        <v>163</v>
      </c>
      <c r="V889">
        <v>22.225000000000001</v>
      </c>
    </row>
    <row r="890" spans="1:22" x14ac:dyDescent="0.35">
      <c r="A890" s="3">
        <v>44580</v>
      </c>
      <c r="B890" t="s">
        <v>33</v>
      </c>
      <c r="C890">
        <v>0</v>
      </c>
      <c r="D890">
        <v>0</v>
      </c>
      <c r="E890">
        <v>0</v>
      </c>
      <c r="F890">
        <v>0</v>
      </c>
      <c r="G890">
        <v>22.79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33</v>
      </c>
      <c r="O890" s="3">
        <v>44580</v>
      </c>
      <c r="P890">
        <v>-1</v>
      </c>
      <c r="T890" t="s">
        <v>47</v>
      </c>
      <c r="U890">
        <v>183</v>
      </c>
      <c r="V890">
        <v>20.225000000000001</v>
      </c>
    </row>
    <row r="891" spans="1:22" x14ac:dyDescent="0.35">
      <c r="A891" s="3">
        <v>44580</v>
      </c>
      <c r="B891" t="s">
        <v>29</v>
      </c>
      <c r="C891">
        <v>0</v>
      </c>
      <c r="D891">
        <v>0</v>
      </c>
      <c r="E891">
        <v>0</v>
      </c>
      <c r="F891">
        <v>0</v>
      </c>
      <c r="G891">
        <v>25.447199999999999</v>
      </c>
      <c r="H891">
        <v>0</v>
      </c>
      <c r="I891">
        <v>0</v>
      </c>
      <c r="J891">
        <v>0</v>
      </c>
      <c r="K891">
        <v>0</v>
      </c>
      <c r="L891">
        <v>84</v>
      </c>
      <c r="M891">
        <v>119</v>
      </c>
      <c r="N891" t="s">
        <v>29</v>
      </c>
      <c r="O891" s="3">
        <v>44699</v>
      </c>
      <c r="P891">
        <v>-1</v>
      </c>
      <c r="S891" s="3">
        <v>43895</v>
      </c>
      <c r="T891" t="s">
        <v>55</v>
      </c>
      <c r="U891">
        <v>9</v>
      </c>
      <c r="V891">
        <v>31.875</v>
      </c>
    </row>
    <row r="892" spans="1:22" x14ac:dyDescent="0.35">
      <c r="A892" s="3">
        <v>44580</v>
      </c>
      <c r="B892" t="s">
        <v>31</v>
      </c>
      <c r="C892">
        <v>0</v>
      </c>
      <c r="D892">
        <v>0</v>
      </c>
      <c r="E892">
        <v>0</v>
      </c>
      <c r="F892">
        <v>0</v>
      </c>
      <c r="G892">
        <v>24.565999999999999</v>
      </c>
      <c r="H892">
        <v>0</v>
      </c>
      <c r="I892">
        <v>0</v>
      </c>
      <c r="J892">
        <v>0</v>
      </c>
      <c r="K892">
        <v>0</v>
      </c>
      <c r="L892">
        <v>38</v>
      </c>
      <c r="M892">
        <v>55</v>
      </c>
      <c r="N892" t="s">
        <v>31</v>
      </c>
      <c r="O892" s="3">
        <v>44635</v>
      </c>
      <c r="P892">
        <v>-1</v>
      </c>
      <c r="T892" t="s">
        <v>54</v>
      </c>
      <c r="U892">
        <v>29</v>
      </c>
      <c r="V892">
        <v>27.524999999999999</v>
      </c>
    </row>
    <row r="893" spans="1:22" x14ac:dyDescent="0.35">
      <c r="A893" s="3">
        <v>44580</v>
      </c>
      <c r="B893" t="s">
        <v>22</v>
      </c>
      <c r="C893">
        <v>0</v>
      </c>
      <c r="D893">
        <v>0</v>
      </c>
      <c r="E893">
        <v>0</v>
      </c>
      <c r="F893">
        <v>0</v>
      </c>
      <c r="G893">
        <v>26.186399999999999</v>
      </c>
      <c r="H893">
        <v>0</v>
      </c>
      <c r="I893">
        <v>0</v>
      </c>
      <c r="J893">
        <v>0</v>
      </c>
      <c r="K893">
        <v>0</v>
      </c>
      <c r="L893">
        <v>127</v>
      </c>
      <c r="M893">
        <v>182</v>
      </c>
      <c r="N893" t="s">
        <v>22</v>
      </c>
      <c r="O893" s="3">
        <v>44762</v>
      </c>
      <c r="P893">
        <v>-1</v>
      </c>
      <c r="T893" t="s">
        <v>53</v>
      </c>
      <c r="U893">
        <v>54</v>
      </c>
      <c r="V893">
        <v>24.675000000000001</v>
      </c>
    </row>
    <row r="894" spans="1:22" x14ac:dyDescent="0.35">
      <c r="A894" s="3">
        <v>44579</v>
      </c>
      <c r="B894" t="s">
        <v>29</v>
      </c>
      <c r="C894">
        <v>0</v>
      </c>
      <c r="D894">
        <v>0</v>
      </c>
      <c r="E894">
        <v>0</v>
      </c>
      <c r="F894">
        <v>0</v>
      </c>
      <c r="G894">
        <v>25.307300000000001</v>
      </c>
      <c r="H894">
        <v>0</v>
      </c>
      <c r="I894">
        <v>0</v>
      </c>
      <c r="J894">
        <v>0</v>
      </c>
      <c r="K894">
        <v>0</v>
      </c>
      <c r="L894">
        <v>85</v>
      </c>
      <c r="M894">
        <v>120</v>
      </c>
      <c r="N894" t="s">
        <v>29</v>
      </c>
      <c r="O894" s="3">
        <v>44699</v>
      </c>
      <c r="P894">
        <v>-1</v>
      </c>
      <c r="T894" t="s">
        <v>52</v>
      </c>
      <c r="U894">
        <v>73</v>
      </c>
      <c r="V894">
        <v>23.225000000000001</v>
      </c>
    </row>
    <row r="895" spans="1:22" x14ac:dyDescent="0.35">
      <c r="A895" s="3">
        <v>44579</v>
      </c>
      <c r="B895" t="s">
        <v>31</v>
      </c>
      <c r="C895">
        <v>0</v>
      </c>
      <c r="D895">
        <v>0</v>
      </c>
      <c r="E895">
        <v>0</v>
      </c>
      <c r="F895">
        <v>0</v>
      </c>
      <c r="G895">
        <v>24.2136</v>
      </c>
      <c r="H895">
        <v>0</v>
      </c>
      <c r="I895">
        <v>0</v>
      </c>
      <c r="J895">
        <v>0</v>
      </c>
      <c r="K895">
        <v>0</v>
      </c>
      <c r="L895">
        <v>39</v>
      </c>
      <c r="M895">
        <v>56</v>
      </c>
      <c r="N895" t="s">
        <v>31</v>
      </c>
      <c r="O895" s="3">
        <v>44635</v>
      </c>
      <c r="P895">
        <v>-1</v>
      </c>
      <c r="T895" t="s">
        <v>51</v>
      </c>
      <c r="U895">
        <v>98</v>
      </c>
      <c r="V895">
        <v>22.274999999999999</v>
      </c>
    </row>
    <row r="896" spans="1:22" x14ac:dyDescent="0.35">
      <c r="A896" s="3">
        <v>44579</v>
      </c>
      <c r="B896" t="s">
        <v>22</v>
      </c>
      <c r="C896">
        <v>0</v>
      </c>
      <c r="D896">
        <v>0</v>
      </c>
      <c r="E896">
        <v>0</v>
      </c>
      <c r="F896">
        <v>0</v>
      </c>
      <c r="G896">
        <v>26.095500000000001</v>
      </c>
      <c r="H896">
        <v>0</v>
      </c>
      <c r="I896">
        <v>0</v>
      </c>
      <c r="J896">
        <v>0</v>
      </c>
      <c r="K896">
        <v>0</v>
      </c>
      <c r="L896">
        <v>128</v>
      </c>
      <c r="M896">
        <v>183</v>
      </c>
      <c r="N896" t="s">
        <v>22</v>
      </c>
      <c r="O896" s="3">
        <v>44762</v>
      </c>
      <c r="P896">
        <v>-1</v>
      </c>
      <c r="T896" t="s">
        <v>50</v>
      </c>
      <c r="U896">
        <v>118</v>
      </c>
      <c r="V896">
        <v>21.925000000000001</v>
      </c>
    </row>
    <row r="897" spans="1:22" x14ac:dyDescent="0.35">
      <c r="A897" s="3">
        <v>44579</v>
      </c>
      <c r="B897" t="s">
        <v>26</v>
      </c>
      <c r="C897">
        <v>0</v>
      </c>
      <c r="D897">
        <v>0</v>
      </c>
      <c r="E897">
        <v>0</v>
      </c>
      <c r="F897">
        <v>0</v>
      </c>
      <c r="G897">
        <v>26.024999999999999</v>
      </c>
      <c r="H897">
        <v>0</v>
      </c>
      <c r="I897">
        <v>0</v>
      </c>
      <c r="J897">
        <v>0</v>
      </c>
      <c r="K897">
        <v>0</v>
      </c>
      <c r="L897">
        <v>148</v>
      </c>
      <c r="M897">
        <v>211</v>
      </c>
      <c r="N897" t="s">
        <v>26</v>
      </c>
      <c r="O897" s="3">
        <v>44790</v>
      </c>
      <c r="P897">
        <v>-1</v>
      </c>
      <c r="T897" t="s">
        <v>49</v>
      </c>
      <c r="U897">
        <v>137</v>
      </c>
      <c r="V897">
        <v>21.625</v>
      </c>
    </row>
    <row r="898" spans="1:22" x14ac:dyDescent="0.35">
      <c r="A898" s="3">
        <v>44579</v>
      </c>
      <c r="B898" t="s">
        <v>32</v>
      </c>
      <c r="C898">
        <v>0</v>
      </c>
      <c r="D898">
        <v>0</v>
      </c>
      <c r="E898">
        <v>0</v>
      </c>
      <c r="F898">
        <v>0</v>
      </c>
      <c r="G898">
        <v>23.392199999999999</v>
      </c>
      <c r="H898">
        <v>0</v>
      </c>
      <c r="I898">
        <v>0</v>
      </c>
      <c r="J898">
        <v>0</v>
      </c>
      <c r="K898">
        <v>0</v>
      </c>
      <c r="L898">
        <v>21</v>
      </c>
      <c r="M898">
        <v>29</v>
      </c>
      <c r="N898" t="s">
        <v>32</v>
      </c>
      <c r="O898" s="3">
        <v>44608</v>
      </c>
      <c r="P898">
        <v>-1</v>
      </c>
      <c r="T898" t="s">
        <v>48</v>
      </c>
      <c r="U898">
        <v>162</v>
      </c>
      <c r="V898">
        <v>23.45</v>
      </c>
    </row>
    <row r="899" spans="1:22" x14ac:dyDescent="0.35">
      <c r="A899" s="3">
        <v>44579</v>
      </c>
      <c r="B899" t="s">
        <v>27</v>
      </c>
      <c r="C899">
        <v>0</v>
      </c>
      <c r="D899">
        <v>0</v>
      </c>
      <c r="E899">
        <v>0</v>
      </c>
      <c r="F899">
        <v>0</v>
      </c>
      <c r="G899">
        <v>26.274999999999999</v>
      </c>
      <c r="H899">
        <v>0</v>
      </c>
      <c r="I899">
        <v>0</v>
      </c>
      <c r="J899">
        <v>0</v>
      </c>
      <c r="K899">
        <v>0</v>
      </c>
      <c r="L899">
        <v>172</v>
      </c>
      <c r="M899">
        <v>246</v>
      </c>
      <c r="N899" t="s">
        <v>27</v>
      </c>
      <c r="O899" s="3">
        <v>44825</v>
      </c>
      <c r="P899">
        <v>-1</v>
      </c>
      <c r="T899" t="s">
        <v>47</v>
      </c>
      <c r="U899">
        <v>182</v>
      </c>
      <c r="V899">
        <v>21.45</v>
      </c>
    </row>
    <row r="900" spans="1:22" x14ac:dyDescent="0.35">
      <c r="A900" s="3">
        <v>44579</v>
      </c>
      <c r="B900" t="s">
        <v>28</v>
      </c>
      <c r="C900">
        <v>0</v>
      </c>
      <c r="D900">
        <v>0</v>
      </c>
      <c r="E900">
        <v>0</v>
      </c>
      <c r="F900">
        <v>0</v>
      </c>
      <c r="G900">
        <v>25.548300000000001</v>
      </c>
      <c r="H900">
        <v>0</v>
      </c>
      <c r="I900">
        <v>0</v>
      </c>
      <c r="J900">
        <v>0</v>
      </c>
      <c r="K900">
        <v>0</v>
      </c>
      <c r="L900">
        <v>104</v>
      </c>
      <c r="M900">
        <v>148</v>
      </c>
      <c r="N900" t="s">
        <v>28</v>
      </c>
      <c r="O900" s="3">
        <v>44727</v>
      </c>
      <c r="P900">
        <v>-1</v>
      </c>
      <c r="S900" s="3">
        <v>43896</v>
      </c>
      <c r="T900" t="s">
        <v>55</v>
      </c>
      <c r="U900">
        <v>8</v>
      </c>
      <c r="V900">
        <v>35.774999999999999</v>
      </c>
    </row>
    <row r="901" spans="1:22" x14ac:dyDescent="0.35">
      <c r="A901" s="3">
        <v>44579</v>
      </c>
      <c r="B901" t="s">
        <v>30</v>
      </c>
      <c r="C901">
        <v>0</v>
      </c>
      <c r="D901">
        <v>0</v>
      </c>
      <c r="E901">
        <v>0</v>
      </c>
      <c r="F901">
        <v>0</v>
      </c>
      <c r="G901">
        <v>24.970800000000001</v>
      </c>
      <c r="H901">
        <v>0</v>
      </c>
      <c r="I901">
        <v>0</v>
      </c>
      <c r="J901">
        <v>0</v>
      </c>
      <c r="K901">
        <v>0</v>
      </c>
      <c r="L901">
        <v>65</v>
      </c>
      <c r="M901">
        <v>92</v>
      </c>
      <c r="N901" t="s">
        <v>30</v>
      </c>
      <c r="O901" s="3">
        <v>44671</v>
      </c>
      <c r="P901">
        <v>-1</v>
      </c>
      <c r="T901" t="s">
        <v>54</v>
      </c>
      <c r="U901">
        <v>28</v>
      </c>
      <c r="V901">
        <v>30.324999999999999</v>
      </c>
    </row>
    <row r="902" spans="1:22" x14ac:dyDescent="0.35">
      <c r="A902" s="3">
        <v>44579</v>
      </c>
      <c r="B902" t="s">
        <v>33</v>
      </c>
      <c r="C902">
        <v>0</v>
      </c>
      <c r="D902">
        <v>0</v>
      </c>
      <c r="E902">
        <v>0</v>
      </c>
      <c r="F902">
        <v>0</v>
      </c>
      <c r="G902">
        <v>22.619700000000002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1</v>
      </c>
      <c r="N902" t="s">
        <v>33</v>
      </c>
      <c r="O902" s="3">
        <v>44580</v>
      </c>
      <c r="P902">
        <v>-1</v>
      </c>
      <c r="T902" t="s">
        <v>53</v>
      </c>
      <c r="U902">
        <v>53</v>
      </c>
      <c r="V902">
        <v>26.274999999999999</v>
      </c>
    </row>
    <row r="903" spans="1:22" x14ac:dyDescent="0.35">
      <c r="A903" s="3">
        <v>44575</v>
      </c>
      <c r="B903" t="s">
        <v>26</v>
      </c>
      <c r="C903">
        <v>0</v>
      </c>
      <c r="D903">
        <v>0</v>
      </c>
      <c r="E903">
        <v>0</v>
      </c>
      <c r="F903">
        <v>0</v>
      </c>
      <c r="G903">
        <v>25.675000000000001</v>
      </c>
      <c r="H903">
        <v>0</v>
      </c>
      <c r="I903">
        <v>0</v>
      </c>
      <c r="J903">
        <v>0</v>
      </c>
      <c r="K903">
        <v>0</v>
      </c>
      <c r="L903">
        <v>149</v>
      </c>
      <c r="M903">
        <v>215</v>
      </c>
      <c r="N903" t="s">
        <v>26</v>
      </c>
      <c r="O903" s="3">
        <v>44790</v>
      </c>
      <c r="P903">
        <v>-1</v>
      </c>
      <c r="T903" t="s">
        <v>52</v>
      </c>
      <c r="U903">
        <v>72</v>
      </c>
      <c r="V903">
        <v>24.675000000000001</v>
      </c>
    </row>
    <row r="904" spans="1:22" x14ac:dyDescent="0.35">
      <c r="A904" s="3">
        <v>44575</v>
      </c>
      <c r="B904" t="s">
        <v>32</v>
      </c>
      <c r="C904">
        <v>0</v>
      </c>
      <c r="D904">
        <v>0</v>
      </c>
      <c r="E904">
        <v>0</v>
      </c>
      <c r="F904">
        <v>0</v>
      </c>
      <c r="G904">
        <v>21.746200000000002</v>
      </c>
      <c r="H904">
        <v>0</v>
      </c>
      <c r="I904">
        <v>0</v>
      </c>
      <c r="J904">
        <v>0</v>
      </c>
      <c r="K904">
        <v>0</v>
      </c>
      <c r="L904">
        <v>22</v>
      </c>
      <c r="M904">
        <v>33</v>
      </c>
      <c r="N904" t="s">
        <v>32</v>
      </c>
      <c r="O904" s="3">
        <v>44608</v>
      </c>
      <c r="P904">
        <v>-1</v>
      </c>
      <c r="T904" t="s">
        <v>51</v>
      </c>
      <c r="U904">
        <v>97</v>
      </c>
      <c r="V904">
        <v>23.824999999999999</v>
      </c>
    </row>
    <row r="905" spans="1:22" x14ac:dyDescent="0.35">
      <c r="A905" s="3">
        <v>44575</v>
      </c>
      <c r="B905" t="s">
        <v>27</v>
      </c>
      <c r="C905">
        <v>0</v>
      </c>
      <c r="D905">
        <v>0</v>
      </c>
      <c r="E905">
        <v>0</v>
      </c>
      <c r="F905">
        <v>0</v>
      </c>
      <c r="G905">
        <v>25.875</v>
      </c>
      <c r="H905">
        <v>0</v>
      </c>
      <c r="I905">
        <v>0</v>
      </c>
      <c r="J905">
        <v>0</v>
      </c>
      <c r="K905">
        <v>0</v>
      </c>
      <c r="L905">
        <v>173</v>
      </c>
      <c r="M905">
        <v>250</v>
      </c>
      <c r="N905" t="s">
        <v>27</v>
      </c>
      <c r="O905" s="3">
        <v>44825</v>
      </c>
      <c r="P905">
        <v>-1</v>
      </c>
      <c r="T905" t="s">
        <v>50</v>
      </c>
      <c r="U905">
        <v>117</v>
      </c>
      <c r="V905">
        <v>23.375</v>
      </c>
    </row>
    <row r="906" spans="1:22" x14ac:dyDescent="0.35">
      <c r="A906" s="3">
        <v>44575</v>
      </c>
      <c r="B906" t="s">
        <v>28</v>
      </c>
      <c r="C906">
        <v>0</v>
      </c>
      <c r="D906">
        <v>0</v>
      </c>
      <c r="E906">
        <v>0</v>
      </c>
      <c r="F906">
        <v>0</v>
      </c>
      <c r="G906">
        <v>25.048500000000001</v>
      </c>
      <c r="H906">
        <v>0</v>
      </c>
      <c r="I906">
        <v>0</v>
      </c>
      <c r="J906">
        <v>0</v>
      </c>
      <c r="K906">
        <v>0</v>
      </c>
      <c r="L906">
        <v>105</v>
      </c>
      <c r="M906">
        <v>152</v>
      </c>
      <c r="N906" t="s">
        <v>28</v>
      </c>
      <c r="O906" s="3">
        <v>44727</v>
      </c>
      <c r="P906">
        <v>-1</v>
      </c>
      <c r="T906" t="s">
        <v>49</v>
      </c>
      <c r="U906">
        <v>136</v>
      </c>
      <c r="V906">
        <v>23.1</v>
      </c>
    </row>
    <row r="907" spans="1:22" x14ac:dyDescent="0.35">
      <c r="A907" s="3">
        <v>44575</v>
      </c>
      <c r="B907" t="s">
        <v>30</v>
      </c>
      <c r="C907">
        <v>0</v>
      </c>
      <c r="D907">
        <v>0</v>
      </c>
      <c r="E907">
        <v>0</v>
      </c>
      <c r="F907">
        <v>0</v>
      </c>
      <c r="G907">
        <v>24.162700000000001</v>
      </c>
      <c r="H907">
        <v>0</v>
      </c>
      <c r="I907">
        <v>0</v>
      </c>
      <c r="J907">
        <v>0</v>
      </c>
      <c r="K907">
        <v>0</v>
      </c>
      <c r="L907">
        <v>66</v>
      </c>
      <c r="M907">
        <v>96</v>
      </c>
      <c r="N907" t="s">
        <v>30</v>
      </c>
      <c r="O907" s="3">
        <v>44671</v>
      </c>
      <c r="P907">
        <v>-1</v>
      </c>
      <c r="T907" t="s">
        <v>48</v>
      </c>
      <c r="U907">
        <v>161</v>
      </c>
      <c r="V907">
        <v>24.824999999999999</v>
      </c>
    </row>
    <row r="908" spans="1:22" x14ac:dyDescent="0.35">
      <c r="A908" s="3">
        <v>44575</v>
      </c>
      <c r="B908" t="s">
        <v>33</v>
      </c>
      <c r="C908">
        <v>0</v>
      </c>
      <c r="D908">
        <v>0</v>
      </c>
      <c r="E908">
        <v>0</v>
      </c>
      <c r="F908">
        <v>0</v>
      </c>
      <c r="G908">
        <v>19.667000000000002</v>
      </c>
      <c r="H908">
        <v>0</v>
      </c>
      <c r="I908">
        <v>0</v>
      </c>
      <c r="J908">
        <v>0</v>
      </c>
      <c r="K908">
        <v>0</v>
      </c>
      <c r="L908">
        <v>2</v>
      </c>
      <c r="M908">
        <v>5</v>
      </c>
      <c r="N908" t="s">
        <v>33</v>
      </c>
      <c r="O908" s="3">
        <v>44580</v>
      </c>
      <c r="P908">
        <v>-1</v>
      </c>
      <c r="T908" t="s">
        <v>47</v>
      </c>
      <c r="U908">
        <v>181</v>
      </c>
      <c r="V908">
        <v>22.875</v>
      </c>
    </row>
    <row r="909" spans="1:22" x14ac:dyDescent="0.35">
      <c r="A909" s="3">
        <v>44575</v>
      </c>
      <c r="B909" t="s">
        <v>29</v>
      </c>
      <c r="C909">
        <v>0</v>
      </c>
      <c r="D909">
        <v>0</v>
      </c>
      <c r="E909">
        <v>0</v>
      </c>
      <c r="F909">
        <v>0</v>
      </c>
      <c r="G909">
        <v>24.7516</v>
      </c>
      <c r="H909">
        <v>0</v>
      </c>
      <c r="I909">
        <v>0</v>
      </c>
      <c r="J909">
        <v>0</v>
      </c>
      <c r="K909">
        <v>0</v>
      </c>
      <c r="L909">
        <v>86</v>
      </c>
      <c r="M909">
        <v>124</v>
      </c>
      <c r="N909" t="s">
        <v>29</v>
      </c>
      <c r="O909" s="3">
        <v>44699</v>
      </c>
      <c r="P909">
        <v>-1</v>
      </c>
      <c r="S909" s="3">
        <v>43899</v>
      </c>
      <c r="T909" t="s">
        <v>55</v>
      </c>
      <c r="U909">
        <v>7</v>
      </c>
      <c r="V909">
        <v>44.375</v>
      </c>
    </row>
    <row r="910" spans="1:22" x14ac:dyDescent="0.35">
      <c r="A910" s="3">
        <v>44575</v>
      </c>
      <c r="B910" t="s">
        <v>31</v>
      </c>
      <c r="C910">
        <v>0</v>
      </c>
      <c r="D910">
        <v>0</v>
      </c>
      <c r="E910">
        <v>0</v>
      </c>
      <c r="F910">
        <v>0</v>
      </c>
      <c r="G910">
        <v>23.012</v>
      </c>
      <c r="H910">
        <v>0</v>
      </c>
      <c r="I910">
        <v>0</v>
      </c>
      <c r="J910">
        <v>0</v>
      </c>
      <c r="K910">
        <v>0</v>
      </c>
      <c r="L910">
        <v>40</v>
      </c>
      <c r="M910">
        <v>60</v>
      </c>
      <c r="N910" t="s">
        <v>31</v>
      </c>
      <c r="O910" s="3">
        <v>44635</v>
      </c>
      <c r="P910">
        <v>-1</v>
      </c>
      <c r="T910" t="s">
        <v>54</v>
      </c>
      <c r="U910">
        <v>27</v>
      </c>
      <c r="V910">
        <v>36.225000000000001</v>
      </c>
    </row>
    <row r="911" spans="1:22" x14ac:dyDescent="0.35">
      <c r="A911" s="3">
        <v>44575</v>
      </c>
      <c r="B911" t="s">
        <v>22</v>
      </c>
      <c r="C911">
        <v>0</v>
      </c>
      <c r="D911">
        <v>0</v>
      </c>
      <c r="E911">
        <v>0</v>
      </c>
      <c r="F911">
        <v>0</v>
      </c>
      <c r="G911">
        <v>25.645499999999998</v>
      </c>
      <c r="H911">
        <v>0</v>
      </c>
      <c r="I911">
        <v>0</v>
      </c>
      <c r="J911">
        <v>0</v>
      </c>
      <c r="K911">
        <v>0</v>
      </c>
      <c r="L911">
        <v>129</v>
      </c>
      <c r="M911">
        <v>187</v>
      </c>
      <c r="N911" t="s">
        <v>22</v>
      </c>
      <c r="O911" s="3">
        <v>44762</v>
      </c>
      <c r="P911">
        <v>-1</v>
      </c>
      <c r="T911" t="s">
        <v>53</v>
      </c>
      <c r="U911">
        <v>52</v>
      </c>
      <c r="V911">
        <v>30.074999999999999</v>
      </c>
    </row>
    <row r="912" spans="1:22" x14ac:dyDescent="0.35">
      <c r="A912" s="3">
        <v>44574</v>
      </c>
      <c r="B912" t="s">
        <v>29</v>
      </c>
      <c r="C912">
        <v>0</v>
      </c>
      <c r="D912">
        <v>0</v>
      </c>
      <c r="E912">
        <v>0</v>
      </c>
      <c r="F912">
        <v>0</v>
      </c>
      <c r="G912">
        <v>25.0702</v>
      </c>
      <c r="H912">
        <v>0</v>
      </c>
      <c r="I912">
        <v>0</v>
      </c>
      <c r="J912">
        <v>0</v>
      </c>
      <c r="K912">
        <v>0</v>
      </c>
      <c r="L912">
        <v>87</v>
      </c>
      <c r="M912">
        <v>125</v>
      </c>
      <c r="N912" t="s">
        <v>29</v>
      </c>
      <c r="O912" s="3">
        <v>44699</v>
      </c>
      <c r="P912">
        <v>-1</v>
      </c>
      <c r="T912" t="s">
        <v>52</v>
      </c>
      <c r="U912">
        <v>71</v>
      </c>
      <c r="V912">
        <v>27.774999999999999</v>
      </c>
    </row>
    <row r="913" spans="1:22" x14ac:dyDescent="0.35">
      <c r="A913" s="3">
        <v>44574</v>
      </c>
      <c r="B913" t="s">
        <v>31</v>
      </c>
      <c r="C913">
        <v>0</v>
      </c>
      <c r="D913">
        <v>0</v>
      </c>
      <c r="E913">
        <v>0</v>
      </c>
      <c r="F913">
        <v>0</v>
      </c>
      <c r="G913">
        <v>23.4145</v>
      </c>
      <c r="H913">
        <v>0</v>
      </c>
      <c r="I913">
        <v>0</v>
      </c>
      <c r="J913">
        <v>0</v>
      </c>
      <c r="K913">
        <v>0</v>
      </c>
      <c r="L913">
        <v>41</v>
      </c>
      <c r="M913">
        <v>61</v>
      </c>
      <c r="N913" t="s">
        <v>31</v>
      </c>
      <c r="O913" s="3">
        <v>44635</v>
      </c>
      <c r="P913">
        <v>-1</v>
      </c>
      <c r="T913" t="s">
        <v>51</v>
      </c>
      <c r="U913">
        <v>96</v>
      </c>
      <c r="V913">
        <v>26.574999999999999</v>
      </c>
    </row>
    <row r="914" spans="1:22" x14ac:dyDescent="0.35">
      <c r="A914" s="3">
        <v>44574</v>
      </c>
      <c r="B914" t="s">
        <v>22</v>
      </c>
      <c r="C914">
        <v>0</v>
      </c>
      <c r="D914">
        <v>0</v>
      </c>
      <c r="E914">
        <v>0</v>
      </c>
      <c r="F914">
        <v>0</v>
      </c>
      <c r="G914">
        <v>25.904499999999999</v>
      </c>
      <c r="H914">
        <v>0</v>
      </c>
      <c r="I914">
        <v>0</v>
      </c>
      <c r="J914">
        <v>0</v>
      </c>
      <c r="K914">
        <v>0</v>
      </c>
      <c r="L914">
        <v>130</v>
      </c>
      <c r="M914">
        <v>188</v>
      </c>
      <c r="N914" t="s">
        <v>22</v>
      </c>
      <c r="O914" s="3">
        <v>44762</v>
      </c>
      <c r="P914">
        <v>-1</v>
      </c>
      <c r="T914" t="s">
        <v>50</v>
      </c>
      <c r="U914">
        <v>116</v>
      </c>
      <c r="V914">
        <v>25.925000000000001</v>
      </c>
    </row>
    <row r="915" spans="1:22" x14ac:dyDescent="0.35">
      <c r="A915" s="3">
        <v>44574</v>
      </c>
      <c r="B915" t="s">
        <v>26</v>
      </c>
      <c r="C915">
        <v>0</v>
      </c>
      <c r="D915">
        <v>0</v>
      </c>
      <c r="E915">
        <v>0</v>
      </c>
      <c r="F915">
        <v>0</v>
      </c>
      <c r="G915">
        <v>25.9</v>
      </c>
      <c r="H915">
        <v>0</v>
      </c>
      <c r="I915">
        <v>0</v>
      </c>
      <c r="J915">
        <v>0</v>
      </c>
      <c r="K915">
        <v>0</v>
      </c>
      <c r="L915">
        <v>150</v>
      </c>
      <c r="M915">
        <v>216</v>
      </c>
      <c r="N915" t="s">
        <v>26</v>
      </c>
      <c r="O915" s="3">
        <v>44790</v>
      </c>
      <c r="P915">
        <v>-1</v>
      </c>
      <c r="T915" t="s">
        <v>49</v>
      </c>
      <c r="U915">
        <v>135</v>
      </c>
      <c r="V915">
        <v>25.5</v>
      </c>
    </row>
    <row r="916" spans="1:22" x14ac:dyDescent="0.35">
      <c r="A916" s="3">
        <v>44574</v>
      </c>
      <c r="B916" t="s">
        <v>32</v>
      </c>
      <c r="C916">
        <v>0</v>
      </c>
      <c r="D916">
        <v>0</v>
      </c>
      <c r="E916">
        <v>0</v>
      </c>
      <c r="F916">
        <v>0</v>
      </c>
      <c r="G916">
        <v>22.0944</v>
      </c>
      <c r="H916">
        <v>0</v>
      </c>
      <c r="I916">
        <v>0</v>
      </c>
      <c r="J916">
        <v>0</v>
      </c>
      <c r="K916">
        <v>0</v>
      </c>
      <c r="L916">
        <v>23</v>
      </c>
      <c r="M916">
        <v>34</v>
      </c>
      <c r="N916" t="s">
        <v>32</v>
      </c>
      <c r="O916" s="3">
        <v>44608</v>
      </c>
      <c r="P916">
        <v>-1</v>
      </c>
      <c r="T916" t="s">
        <v>48</v>
      </c>
      <c r="U916">
        <v>160</v>
      </c>
      <c r="V916">
        <v>26.45</v>
      </c>
    </row>
    <row r="917" spans="1:22" x14ac:dyDescent="0.35">
      <c r="A917" s="3">
        <v>44574</v>
      </c>
      <c r="B917" t="s">
        <v>27</v>
      </c>
      <c r="C917">
        <v>0</v>
      </c>
      <c r="D917">
        <v>0</v>
      </c>
      <c r="E917">
        <v>0</v>
      </c>
      <c r="F917">
        <v>0</v>
      </c>
      <c r="G917">
        <v>26.1</v>
      </c>
      <c r="H917">
        <v>0</v>
      </c>
      <c r="I917">
        <v>0</v>
      </c>
      <c r="J917">
        <v>0</v>
      </c>
      <c r="K917">
        <v>0</v>
      </c>
      <c r="L917">
        <v>174</v>
      </c>
      <c r="M917">
        <v>251</v>
      </c>
      <c r="N917" t="s">
        <v>27</v>
      </c>
      <c r="O917" s="3">
        <v>44825</v>
      </c>
      <c r="P917">
        <v>-1</v>
      </c>
      <c r="T917" t="s">
        <v>47</v>
      </c>
      <c r="U917">
        <v>180</v>
      </c>
      <c r="V917">
        <v>24.774999999999999</v>
      </c>
    </row>
    <row r="918" spans="1:22" x14ac:dyDescent="0.35">
      <c r="A918" s="3">
        <v>44574</v>
      </c>
      <c r="B918" t="s">
        <v>28</v>
      </c>
      <c r="C918">
        <v>0</v>
      </c>
      <c r="D918">
        <v>0</v>
      </c>
      <c r="E918">
        <v>0</v>
      </c>
      <c r="F918">
        <v>0</v>
      </c>
      <c r="G918">
        <v>25.311699999999998</v>
      </c>
      <c r="H918">
        <v>0</v>
      </c>
      <c r="I918">
        <v>0</v>
      </c>
      <c r="J918">
        <v>0</v>
      </c>
      <c r="K918">
        <v>0</v>
      </c>
      <c r="L918">
        <v>106</v>
      </c>
      <c r="M918">
        <v>153</v>
      </c>
      <c r="N918" t="s">
        <v>28</v>
      </c>
      <c r="O918" s="3">
        <v>44727</v>
      </c>
      <c r="P918">
        <v>-1</v>
      </c>
      <c r="S918" s="3">
        <v>43900</v>
      </c>
      <c r="T918" t="s">
        <v>55</v>
      </c>
      <c r="U918">
        <v>6</v>
      </c>
      <c r="V918">
        <v>41.825000000000003</v>
      </c>
    </row>
    <row r="919" spans="1:22" x14ac:dyDescent="0.35">
      <c r="A919" s="3">
        <v>44574</v>
      </c>
      <c r="B919" t="s">
        <v>30</v>
      </c>
      <c r="C919">
        <v>0</v>
      </c>
      <c r="D919">
        <v>0</v>
      </c>
      <c r="E919">
        <v>0</v>
      </c>
      <c r="F919">
        <v>0</v>
      </c>
      <c r="G919">
        <v>24.549800000000001</v>
      </c>
      <c r="H919">
        <v>0</v>
      </c>
      <c r="I919">
        <v>0</v>
      </c>
      <c r="J919">
        <v>0</v>
      </c>
      <c r="K919">
        <v>0</v>
      </c>
      <c r="L919">
        <v>67</v>
      </c>
      <c r="M919">
        <v>97</v>
      </c>
      <c r="N919" t="s">
        <v>30</v>
      </c>
      <c r="O919" s="3">
        <v>44671</v>
      </c>
      <c r="P919">
        <v>-1</v>
      </c>
      <c r="T919" t="s">
        <v>54</v>
      </c>
      <c r="U919">
        <v>26</v>
      </c>
      <c r="V919">
        <v>34.774999999999999</v>
      </c>
    </row>
    <row r="920" spans="1:22" x14ac:dyDescent="0.35">
      <c r="A920" s="3">
        <v>44574</v>
      </c>
      <c r="B920" t="s">
        <v>33</v>
      </c>
      <c r="C920">
        <v>0</v>
      </c>
      <c r="D920">
        <v>0</v>
      </c>
      <c r="E920">
        <v>0</v>
      </c>
      <c r="F920">
        <v>0</v>
      </c>
      <c r="G920">
        <v>20.416699999999999</v>
      </c>
      <c r="H920">
        <v>0</v>
      </c>
      <c r="I920">
        <v>0</v>
      </c>
      <c r="J920">
        <v>0</v>
      </c>
      <c r="K920">
        <v>0</v>
      </c>
      <c r="L920">
        <v>3</v>
      </c>
      <c r="M920">
        <v>6</v>
      </c>
      <c r="N920" t="s">
        <v>33</v>
      </c>
      <c r="O920" s="3">
        <v>44580</v>
      </c>
      <c r="P920">
        <v>-1</v>
      </c>
      <c r="T920" t="s">
        <v>53</v>
      </c>
      <c r="U920">
        <v>51</v>
      </c>
      <c r="V920">
        <v>29.524999999999999</v>
      </c>
    </row>
    <row r="921" spans="1:22" x14ac:dyDescent="0.35">
      <c r="A921" s="3">
        <v>44573</v>
      </c>
      <c r="B921" t="s">
        <v>26</v>
      </c>
      <c r="C921">
        <v>0</v>
      </c>
      <c r="D921">
        <v>0</v>
      </c>
      <c r="E921">
        <v>0</v>
      </c>
      <c r="F921">
        <v>0</v>
      </c>
      <c r="G921">
        <v>25.490400000000001</v>
      </c>
      <c r="H921">
        <v>0</v>
      </c>
      <c r="I921">
        <v>0</v>
      </c>
      <c r="J921">
        <v>0</v>
      </c>
      <c r="K921">
        <v>0</v>
      </c>
      <c r="L921">
        <v>151</v>
      </c>
      <c r="M921">
        <v>217</v>
      </c>
      <c r="N921" t="s">
        <v>26</v>
      </c>
      <c r="O921" s="3">
        <v>44790</v>
      </c>
      <c r="P921">
        <v>-1</v>
      </c>
      <c r="T921" t="s">
        <v>52</v>
      </c>
      <c r="U921">
        <v>70</v>
      </c>
      <c r="V921">
        <v>27.225000000000001</v>
      </c>
    </row>
    <row r="922" spans="1:22" x14ac:dyDescent="0.35">
      <c r="A922" s="3">
        <v>44573</v>
      </c>
      <c r="B922" t="s">
        <v>32</v>
      </c>
      <c r="C922">
        <v>0</v>
      </c>
      <c r="D922">
        <v>0</v>
      </c>
      <c r="E922">
        <v>0</v>
      </c>
      <c r="F922">
        <v>0</v>
      </c>
      <c r="G922">
        <v>20.971299999999999</v>
      </c>
      <c r="H922">
        <v>0</v>
      </c>
      <c r="I922">
        <v>0</v>
      </c>
      <c r="J922">
        <v>0</v>
      </c>
      <c r="K922">
        <v>0</v>
      </c>
      <c r="L922">
        <v>24</v>
      </c>
      <c r="M922">
        <v>35</v>
      </c>
      <c r="N922" t="s">
        <v>32</v>
      </c>
      <c r="O922" s="3">
        <v>44608</v>
      </c>
      <c r="P922">
        <v>-1</v>
      </c>
      <c r="T922" t="s">
        <v>51</v>
      </c>
      <c r="U922">
        <v>95</v>
      </c>
      <c r="V922">
        <v>25.975000000000001</v>
      </c>
    </row>
    <row r="923" spans="1:22" x14ac:dyDescent="0.35">
      <c r="A923" s="3">
        <v>44573</v>
      </c>
      <c r="B923" t="s">
        <v>27</v>
      </c>
      <c r="C923">
        <v>0</v>
      </c>
      <c r="D923">
        <v>0</v>
      </c>
      <c r="E923">
        <v>0</v>
      </c>
      <c r="F923">
        <v>0</v>
      </c>
      <c r="G923">
        <v>25.625</v>
      </c>
      <c r="H923">
        <v>0</v>
      </c>
      <c r="I923">
        <v>0</v>
      </c>
      <c r="J923">
        <v>0</v>
      </c>
      <c r="K923">
        <v>0</v>
      </c>
      <c r="L923">
        <v>175</v>
      </c>
      <c r="M923">
        <v>252</v>
      </c>
      <c r="N923" t="s">
        <v>27</v>
      </c>
      <c r="O923" s="3">
        <v>44825</v>
      </c>
      <c r="P923">
        <v>-1</v>
      </c>
      <c r="T923" t="s">
        <v>50</v>
      </c>
      <c r="U923">
        <v>115</v>
      </c>
      <c r="V923">
        <v>25.274999999999999</v>
      </c>
    </row>
    <row r="924" spans="1:22" x14ac:dyDescent="0.35">
      <c r="A924" s="3">
        <v>44573</v>
      </c>
      <c r="B924" t="s">
        <v>28</v>
      </c>
      <c r="C924">
        <v>0</v>
      </c>
      <c r="D924">
        <v>0</v>
      </c>
      <c r="E924">
        <v>0</v>
      </c>
      <c r="F924">
        <v>0</v>
      </c>
      <c r="G924">
        <v>24.831299999999999</v>
      </c>
      <c r="H924">
        <v>0</v>
      </c>
      <c r="I924">
        <v>0</v>
      </c>
      <c r="J924">
        <v>0</v>
      </c>
      <c r="K924">
        <v>0</v>
      </c>
      <c r="L924">
        <v>107</v>
      </c>
      <c r="M924">
        <v>154</v>
      </c>
      <c r="N924" t="s">
        <v>28</v>
      </c>
      <c r="O924" s="3">
        <v>44727</v>
      </c>
      <c r="P924">
        <v>-1</v>
      </c>
      <c r="T924" t="s">
        <v>49</v>
      </c>
      <c r="U924">
        <v>134</v>
      </c>
      <c r="V924">
        <v>24.774999999999999</v>
      </c>
    </row>
    <row r="925" spans="1:22" x14ac:dyDescent="0.35">
      <c r="A925" s="3">
        <v>44573</v>
      </c>
      <c r="B925" t="s">
        <v>30</v>
      </c>
      <c r="C925">
        <v>0</v>
      </c>
      <c r="D925">
        <v>0</v>
      </c>
      <c r="E925">
        <v>0</v>
      </c>
      <c r="F925">
        <v>0</v>
      </c>
      <c r="G925">
        <v>23.849499999999999</v>
      </c>
      <c r="H925">
        <v>0</v>
      </c>
      <c r="I925">
        <v>0</v>
      </c>
      <c r="J925">
        <v>0</v>
      </c>
      <c r="K925">
        <v>0</v>
      </c>
      <c r="L925">
        <v>68</v>
      </c>
      <c r="M925">
        <v>98</v>
      </c>
      <c r="N925" t="s">
        <v>30</v>
      </c>
      <c r="O925" s="3">
        <v>44671</v>
      </c>
      <c r="P925">
        <v>-1</v>
      </c>
      <c r="T925" t="s">
        <v>48</v>
      </c>
      <c r="U925">
        <v>159</v>
      </c>
      <c r="V925">
        <v>25.6</v>
      </c>
    </row>
    <row r="926" spans="1:22" x14ac:dyDescent="0.35">
      <c r="A926" s="3">
        <v>44573</v>
      </c>
      <c r="B926" t="s">
        <v>33</v>
      </c>
      <c r="C926">
        <v>0</v>
      </c>
      <c r="D926">
        <v>0</v>
      </c>
      <c r="E926">
        <v>0</v>
      </c>
      <c r="F926">
        <v>0</v>
      </c>
      <c r="G926">
        <v>18.581399999999999</v>
      </c>
      <c r="H926">
        <v>0</v>
      </c>
      <c r="I926">
        <v>0</v>
      </c>
      <c r="J926">
        <v>0</v>
      </c>
      <c r="K926">
        <v>0</v>
      </c>
      <c r="L926">
        <v>4</v>
      </c>
      <c r="M926">
        <v>7</v>
      </c>
      <c r="N926" t="s">
        <v>33</v>
      </c>
      <c r="O926" s="3">
        <v>44580</v>
      </c>
      <c r="P926">
        <v>-1</v>
      </c>
      <c r="T926" t="s">
        <v>47</v>
      </c>
      <c r="U926">
        <v>179</v>
      </c>
      <c r="V926">
        <v>23.85</v>
      </c>
    </row>
    <row r="927" spans="1:22" x14ac:dyDescent="0.35">
      <c r="A927" s="3">
        <v>44573</v>
      </c>
      <c r="B927" t="s">
        <v>29</v>
      </c>
      <c r="C927">
        <v>0</v>
      </c>
      <c r="D927">
        <v>0</v>
      </c>
      <c r="E927">
        <v>0</v>
      </c>
      <c r="F927">
        <v>0</v>
      </c>
      <c r="G927">
        <v>24.497900000000001</v>
      </c>
      <c r="H927">
        <v>0</v>
      </c>
      <c r="I927">
        <v>0</v>
      </c>
      <c r="J927">
        <v>0</v>
      </c>
      <c r="K927">
        <v>0</v>
      </c>
      <c r="L927">
        <v>88</v>
      </c>
      <c r="M927">
        <v>126</v>
      </c>
      <c r="N927" t="s">
        <v>29</v>
      </c>
      <c r="O927" s="3">
        <v>44699</v>
      </c>
      <c r="P927">
        <v>-1</v>
      </c>
      <c r="S927" s="3">
        <v>43901</v>
      </c>
      <c r="T927" t="s">
        <v>55</v>
      </c>
      <c r="U927">
        <v>5</v>
      </c>
      <c r="V927">
        <v>46.35</v>
      </c>
    </row>
    <row r="928" spans="1:22" x14ac:dyDescent="0.35">
      <c r="A928" s="3">
        <v>44573</v>
      </c>
      <c r="B928" t="s">
        <v>31</v>
      </c>
      <c r="C928">
        <v>0</v>
      </c>
      <c r="D928">
        <v>0</v>
      </c>
      <c r="E928">
        <v>0</v>
      </c>
      <c r="F928">
        <v>0</v>
      </c>
      <c r="G928">
        <v>22.5427</v>
      </c>
      <c r="H928">
        <v>0</v>
      </c>
      <c r="I928">
        <v>0</v>
      </c>
      <c r="J928">
        <v>0</v>
      </c>
      <c r="K928">
        <v>0</v>
      </c>
      <c r="L928">
        <v>42</v>
      </c>
      <c r="M928">
        <v>62</v>
      </c>
      <c r="N928" t="s">
        <v>31</v>
      </c>
      <c r="O928" s="3">
        <v>44635</v>
      </c>
      <c r="P928">
        <v>-1</v>
      </c>
      <c r="T928" t="s">
        <v>54</v>
      </c>
      <c r="U928">
        <v>25</v>
      </c>
      <c r="V928">
        <v>38.575000000000003</v>
      </c>
    </row>
    <row r="929" spans="1:22" x14ac:dyDescent="0.35">
      <c r="A929" s="3">
        <v>44573</v>
      </c>
      <c r="B929" t="s">
        <v>22</v>
      </c>
      <c r="C929">
        <v>0</v>
      </c>
      <c r="D929">
        <v>0</v>
      </c>
      <c r="E929">
        <v>0</v>
      </c>
      <c r="F929">
        <v>0</v>
      </c>
      <c r="G929">
        <v>25.465599999999998</v>
      </c>
      <c r="H929">
        <v>0</v>
      </c>
      <c r="I929">
        <v>0</v>
      </c>
      <c r="J929">
        <v>0</v>
      </c>
      <c r="K929">
        <v>0</v>
      </c>
      <c r="L929">
        <v>131</v>
      </c>
      <c r="M929">
        <v>189</v>
      </c>
      <c r="N929" t="s">
        <v>22</v>
      </c>
      <c r="O929" s="3">
        <v>44762</v>
      </c>
      <c r="P929">
        <v>-1</v>
      </c>
      <c r="T929" t="s">
        <v>53</v>
      </c>
      <c r="U929">
        <v>50</v>
      </c>
      <c r="V929">
        <v>32.225000000000001</v>
      </c>
    </row>
    <row r="930" spans="1:22" x14ac:dyDescent="0.35">
      <c r="A930" s="3">
        <v>44572</v>
      </c>
      <c r="B930" t="s">
        <v>29</v>
      </c>
      <c r="C930">
        <v>0</v>
      </c>
      <c r="D930">
        <v>0</v>
      </c>
      <c r="E930">
        <v>0</v>
      </c>
      <c r="F930">
        <v>0</v>
      </c>
      <c r="G930">
        <v>24.470800000000001</v>
      </c>
      <c r="H930">
        <v>0</v>
      </c>
      <c r="I930">
        <v>0</v>
      </c>
      <c r="J930">
        <v>0</v>
      </c>
      <c r="K930">
        <v>0</v>
      </c>
      <c r="L930">
        <v>89</v>
      </c>
      <c r="M930">
        <v>127</v>
      </c>
      <c r="N930" t="s">
        <v>29</v>
      </c>
      <c r="O930" s="3">
        <v>44699</v>
      </c>
      <c r="P930">
        <v>-1</v>
      </c>
      <c r="T930" t="s">
        <v>52</v>
      </c>
      <c r="U930">
        <v>69</v>
      </c>
      <c r="V930">
        <v>29.274999999999999</v>
      </c>
    </row>
    <row r="931" spans="1:22" x14ac:dyDescent="0.35">
      <c r="A931" s="3">
        <v>44572</v>
      </c>
      <c r="B931" t="s">
        <v>31</v>
      </c>
      <c r="C931">
        <v>0</v>
      </c>
      <c r="D931">
        <v>0</v>
      </c>
      <c r="E931">
        <v>0</v>
      </c>
      <c r="F931">
        <v>0</v>
      </c>
      <c r="G931">
        <v>22.55</v>
      </c>
      <c r="H931">
        <v>0</v>
      </c>
      <c r="I931">
        <v>0</v>
      </c>
      <c r="J931">
        <v>0</v>
      </c>
      <c r="K931">
        <v>0</v>
      </c>
      <c r="L931">
        <v>43</v>
      </c>
      <c r="M931">
        <v>63</v>
      </c>
      <c r="N931" t="s">
        <v>31</v>
      </c>
      <c r="O931" s="3">
        <v>44635</v>
      </c>
      <c r="P931">
        <v>-1</v>
      </c>
      <c r="T931" t="s">
        <v>51</v>
      </c>
      <c r="U931">
        <v>94</v>
      </c>
      <c r="V931">
        <v>27.85</v>
      </c>
    </row>
    <row r="932" spans="1:22" x14ac:dyDescent="0.35">
      <c r="A932" s="3">
        <v>44572</v>
      </c>
      <c r="B932" t="s">
        <v>22</v>
      </c>
      <c r="C932">
        <v>0</v>
      </c>
      <c r="D932">
        <v>0</v>
      </c>
      <c r="E932">
        <v>0</v>
      </c>
      <c r="F932">
        <v>0</v>
      </c>
      <c r="G932">
        <v>25.436499999999999</v>
      </c>
      <c r="H932">
        <v>0</v>
      </c>
      <c r="I932">
        <v>0</v>
      </c>
      <c r="J932">
        <v>0</v>
      </c>
      <c r="K932">
        <v>0</v>
      </c>
      <c r="L932">
        <v>132</v>
      </c>
      <c r="M932">
        <v>190</v>
      </c>
      <c r="N932" t="s">
        <v>22</v>
      </c>
      <c r="O932" s="3">
        <v>44762</v>
      </c>
      <c r="P932">
        <v>-1</v>
      </c>
      <c r="T932" t="s">
        <v>50</v>
      </c>
      <c r="U932">
        <v>114</v>
      </c>
      <c r="V932">
        <v>26.824999999999999</v>
      </c>
    </row>
    <row r="933" spans="1:22" x14ac:dyDescent="0.35">
      <c r="A933" s="3">
        <v>44572</v>
      </c>
      <c r="B933" t="s">
        <v>26</v>
      </c>
      <c r="C933">
        <v>0</v>
      </c>
      <c r="D933">
        <v>0</v>
      </c>
      <c r="E933">
        <v>0</v>
      </c>
      <c r="F933">
        <v>0</v>
      </c>
      <c r="G933">
        <v>25.5</v>
      </c>
      <c r="H933">
        <v>0</v>
      </c>
      <c r="I933">
        <v>0</v>
      </c>
      <c r="J933">
        <v>0</v>
      </c>
      <c r="K933">
        <v>0</v>
      </c>
      <c r="L933">
        <v>152</v>
      </c>
      <c r="M933">
        <v>218</v>
      </c>
      <c r="N933" t="s">
        <v>26</v>
      </c>
      <c r="O933" s="3">
        <v>44790</v>
      </c>
      <c r="P933">
        <v>-1</v>
      </c>
      <c r="T933" t="s">
        <v>49</v>
      </c>
      <c r="U933">
        <v>133</v>
      </c>
      <c r="V933">
        <v>25.9</v>
      </c>
    </row>
    <row r="934" spans="1:22" x14ac:dyDescent="0.35">
      <c r="A934" s="3">
        <v>44572</v>
      </c>
      <c r="B934" t="s">
        <v>32</v>
      </c>
      <c r="C934">
        <v>0</v>
      </c>
      <c r="D934">
        <v>0</v>
      </c>
      <c r="E934">
        <v>0</v>
      </c>
      <c r="F934">
        <v>0</v>
      </c>
      <c r="G934">
        <v>20.993300000000001</v>
      </c>
      <c r="H934">
        <v>0</v>
      </c>
      <c r="I934">
        <v>0</v>
      </c>
      <c r="J934">
        <v>0</v>
      </c>
      <c r="K934">
        <v>0</v>
      </c>
      <c r="L934">
        <v>25</v>
      </c>
      <c r="M934">
        <v>36</v>
      </c>
      <c r="N934" t="s">
        <v>32</v>
      </c>
      <c r="O934" s="3">
        <v>44608</v>
      </c>
      <c r="P934">
        <v>-1</v>
      </c>
      <c r="T934" t="s">
        <v>48</v>
      </c>
      <c r="U934">
        <v>158</v>
      </c>
      <c r="V934">
        <v>26.65</v>
      </c>
    </row>
    <row r="935" spans="1:22" x14ac:dyDescent="0.35">
      <c r="A935" s="3">
        <v>44572</v>
      </c>
      <c r="B935" t="s">
        <v>27</v>
      </c>
      <c r="C935">
        <v>0</v>
      </c>
      <c r="D935">
        <v>0</v>
      </c>
      <c r="E935">
        <v>0</v>
      </c>
      <c r="F935">
        <v>0</v>
      </c>
      <c r="G935">
        <v>25.774999999999999</v>
      </c>
      <c r="H935">
        <v>0</v>
      </c>
      <c r="I935">
        <v>0</v>
      </c>
      <c r="J935">
        <v>0</v>
      </c>
      <c r="K935">
        <v>0</v>
      </c>
      <c r="L935">
        <v>176</v>
      </c>
      <c r="M935">
        <v>253</v>
      </c>
      <c r="N935" t="s">
        <v>27</v>
      </c>
      <c r="O935" s="3">
        <v>44825</v>
      </c>
      <c r="P935">
        <v>-1</v>
      </c>
      <c r="T935" t="s">
        <v>47</v>
      </c>
      <c r="U935">
        <v>178</v>
      </c>
      <c r="V935">
        <v>25.15</v>
      </c>
    </row>
    <row r="936" spans="1:22" x14ac:dyDescent="0.35">
      <c r="A936" s="3">
        <v>44572</v>
      </c>
      <c r="B936" t="s">
        <v>28</v>
      </c>
      <c r="C936">
        <v>0</v>
      </c>
      <c r="D936">
        <v>0</v>
      </c>
      <c r="E936">
        <v>0</v>
      </c>
      <c r="F936">
        <v>0</v>
      </c>
      <c r="G936">
        <v>24.811299999999999</v>
      </c>
      <c r="H936">
        <v>0</v>
      </c>
      <c r="I936">
        <v>0</v>
      </c>
      <c r="J936">
        <v>0</v>
      </c>
      <c r="K936">
        <v>0</v>
      </c>
      <c r="L936">
        <v>108</v>
      </c>
      <c r="M936">
        <v>155</v>
      </c>
      <c r="N936" t="s">
        <v>28</v>
      </c>
      <c r="O936" s="3">
        <v>44727</v>
      </c>
      <c r="P936">
        <v>-1</v>
      </c>
      <c r="S936" s="3">
        <v>43902</v>
      </c>
      <c r="T936" t="s">
        <v>55</v>
      </c>
      <c r="U936">
        <v>4</v>
      </c>
      <c r="V936">
        <v>58.3</v>
      </c>
    </row>
    <row r="937" spans="1:22" x14ac:dyDescent="0.35">
      <c r="A937" s="3">
        <v>44572</v>
      </c>
      <c r="B937" t="s">
        <v>30</v>
      </c>
      <c r="C937">
        <v>0</v>
      </c>
      <c r="D937">
        <v>0</v>
      </c>
      <c r="E937">
        <v>0</v>
      </c>
      <c r="F937">
        <v>0</v>
      </c>
      <c r="G937">
        <v>23.857500000000002</v>
      </c>
      <c r="H937">
        <v>0</v>
      </c>
      <c r="I937">
        <v>0</v>
      </c>
      <c r="J937">
        <v>0</v>
      </c>
      <c r="K937">
        <v>0</v>
      </c>
      <c r="L937">
        <v>69</v>
      </c>
      <c r="M937">
        <v>99</v>
      </c>
      <c r="N937" t="s">
        <v>30</v>
      </c>
      <c r="O937" s="3">
        <v>44671</v>
      </c>
      <c r="P937">
        <v>-1</v>
      </c>
      <c r="T937" t="s">
        <v>54</v>
      </c>
      <c r="U937">
        <v>24</v>
      </c>
      <c r="V937">
        <v>45.825000000000003</v>
      </c>
    </row>
    <row r="938" spans="1:22" x14ac:dyDescent="0.35">
      <c r="A938" s="3">
        <v>44572</v>
      </c>
      <c r="B938" t="s">
        <v>33</v>
      </c>
      <c r="C938">
        <v>0</v>
      </c>
      <c r="D938">
        <v>0</v>
      </c>
      <c r="E938">
        <v>0</v>
      </c>
      <c r="F938">
        <v>0</v>
      </c>
      <c r="G938">
        <v>18.954000000000001</v>
      </c>
      <c r="H938">
        <v>0</v>
      </c>
      <c r="I938">
        <v>0</v>
      </c>
      <c r="J938">
        <v>0</v>
      </c>
      <c r="K938">
        <v>0</v>
      </c>
      <c r="L938">
        <v>5</v>
      </c>
      <c r="M938">
        <v>8</v>
      </c>
      <c r="N938" t="s">
        <v>33</v>
      </c>
      <c r="O938" s="3">
        <v>44580</v>
      </c>
      <c r="P938">
        <v>-1</v>
      </c>
      <c r="T938" t="s">
        <v>53</v>
      </c>
      <c r="U938">
        <v>49</v>
      </c>
      <c r="V938">
        <v>36.575000000000003</v>
      </c>
    </row>
    <row r="939" spans="1:22" x14ac:dyDescent="0.35">
      <c r="A939" s="3">
        <v>44571</v>
      </c>
      <c r="B939" t="s">
        <v>26</v>
      </c>
      <c r="C939">
        <v>0</v>
      </c>
      <c r="D939">
        <v>0</v>
      </c>
      <c r="E939">
        <v>0</v>
      </c>
      <c r="F939">
        <v>0</v>
      </c>
      <c r="G939">
        <v>25.8</v>
      </c>
      <c r="H939">
        <v>0</v>
      </c>
      <c r="I939">
        <v>0</v>
      </c>
      <c r="J939">
        <v>0</v>
      </c>
      <c r="K939">
        <v>0</v>
      </c>
      <c r="L939">
        <v>153</v>
      </c>
      <c r="M939">
        <v>219</v>
      </c>
      <c r="N939" t="s">
        <v>26</v>
      </c>
      <c r="O939" s="3">
        <v>44790</v>
      </c>
      <c r="P939">
        <v>-1</v>
      </c>
      <c r="T939" t="s">
        <v>52</v>
      </c>
      <c r="U939">
        <v>68</v>
      </c>
      <c r="V939">
        <v>33.024999999999999</v>
      </c>
    </row>
    <row r="940" spans="1:22" x14ac:dyDescent="0.35">
      <c r="A940" s="3">
        <v>44571</v>
      </c>
      <c r="B940" t="s">
        <v>32</v>
      </c>
      <c r="C940">
        <v>0</v>
      </c>
      <c r="D940">
        <v>0</v>
      </c>
      <c r="E940">
        <v>0</v>
      </c>
      <c r="F940">
        <v>0</v>
      </c>
      <c r="G940">
        <v>21.704899999999999</v>
      </c>
      <c r="H940">
        <v>0</v>
      </c>
      <c r="I940">
        <v>0</v>
      </c>
      <c r="J940">
        <v>0</v>
      </c>
      <c r="K940">
        <v>0</v>
      </c>
      <c r="L940">
        <v>26</v>
      </c>
      <c r="M940">
        <v>37</v>
      </c>
      <c r="N940" t="s">
        <v>32</v>
      </c>
      <c r="O940" s="3">
        <v>44608</v>
      </c>
      <c r="P940">
        <v>-1</v>
      </c>
      <c r="T940" t="s">
        <v>51</v>
      </c>
      <c r="U940">
        <v>93</v>
      </c>
      <c r="V940">
        <v>30.925000000000001</v>
      </c>
    </row>
    <row r="941" spans="1:22" x14ac:dyDescent="0.35">
      <c r="A941" s="3">
        <v>44571</v>
      </c>
      <c r="B941" t="s">
        <v>27</v>
      </c>
      <c r="C941">
        <v>0</v>
      </c>
      <c r="D941">
        <v>0</v>
      </c>
      <c r="E941">
        <v>0</v>
      </c>
      <c r="F941">
        <v>0</v>
      </c>
      <c r="G941">
        <v>26.05</v>
      </c>
      <c r="H941">
        <v>0</v>
      </c>
      <c r="I941">
        <v>0</v>
      </c>
      <c r="J941">
        <v>0</v>
      </c>
      <c r="K941">
        <v>0</v>
      </c>
      <c r="L941">
        <v>177</v>
      </c>
      <c r="M941">
        <v>254</v>
      </c>
      <c r="N941" t="s">
        <v>27</v>
      </c>
      <c r="O941" s="3">
        <v>44825</v>
      </c>
      <c r="P941">
        <v>-1</v>
      </c>
      <c r="T941" t="s">
        <v>50</v>
      </c>
      <c r="U941">
        <v>113</v>
      </c>
      <c r="V941">
        <v>29.475000000000001</v>
      </c>
    </row>
    <row r="942" spans="1:22" x14ac:dyDescent="0.35">
      <c r="A942" s="3">
        <v>44571</v>
      </c>
      <c r="B942" t="s">
        <v>28</v>
      </c>
      <c r="C942">
        <v>0</v>
      </c>
      <c r="D942">
        <v>0</v>
      </c>
      <c r="E942">
        <v>0</v>
      </c>
      <c r="F942">
        <v>0</v>
      </c>
      <c r="G942">
        <v>25.147300000000001</v>
      </c>
      <c r="H942">
        <v>0</v>
      </c>
      <c r="I942">
        <v>0</v>
      </c>
      <c r="J942">
        <v>0</v>
      </c>
      <c r="K942">
        <v>0</v>
      </c>
      <c r="L942">
        <v>109</v>
      </c>
      <c r="M942">
        <v>156</v>
      </c>
      <c r="N942" t="s">
        <v>28</v>
      </c>
      <c r="O942" s="3">
        <v>44727</v>
      </c>
      <c r="P942">
        <v>-1</v>
      </c>
      <c r="T942" t="s">
        <v>49</v>
      </c>
      <c r="U942">
        <v>132</v>
      </c>
      <c r="V942">
        <v>28.524999999999999</v>
      </c>
    </row>
    <row r="943" spans="1:22" x14ac:dyDescent="0.35">
      <c r="A943" s="3">
        <v>44571</v>
      </c>
      <c r="B943" t="s">
        <v>30</v>
      </c>
      <c r="C943">
        <v>0</v>
      </c>
      <c r="D943">
        <v>0</v>
      </c>
      <c r="E943">
        <v>0</v>
      </c>
      <c r="F943">
        <v>0</v>
      </c>
      <c r="G943">
        <v>24.25</v>
      </c>
      <c r="H943">
        <v>0</v>
      </c>
      <c r="I943">
        <v>0</v>
      </c>
      <c r="J943">
        <v>0</v>
      </c>
      <c r="K943">
        <v>0</v>
      </c>
      <c r="L943">
        <v>70</v>
      </c>
      <c r="M943">
        <v>100</v>
      </c>
      <c r="N943" t="s">
        <v>30</v>
      </c>
      <c r="O943" s="3">
        <v>44671</v>
      </c>
      <c r="P943">
        <v>-1</v>
      </c>
      <c r="T943" t="s">
        <v>48</v>
      </c>
      <c r="U943">
        <v>157</v>
      </c>
      <c r="V943">
        <v>28.574999999999999</v>
      </c>
    </row>
    <row r="944" spans="1:22" x14ac:dyDescent="0.35">
      <c r="A944" s="3">
        <v>44571</v>
      </c>
      <c r="B944" t="s">
        <v>33</v>
      </c>
      <c r="C944">
        <v>0</v>
      </c>
      <c r="D944">
        <v>0</v>
      </c>
      <c r="E944">
        <v>0</v>
      </c>
      <c r="F944">
        <v>0</v>
      </c>
      <c r="G944">
        <v>19.903400000000001</v>
      </c>
      <c r="H944">
        <v>0</v>
      </c>
      <c r="I944">
        <v>0</v>
      </c>
      <c r="J944">
        <v>0</v>
      </c>
      <c r="K944">
        <v>0</v>
      </c>
      <c r="L944">
        <v>6</v>
      </c>
      <c r="M944">
        <v>9</v>
      </c>
      <c r="N944" t="s">
        <v>33</v>
      </c>
      <c r="O944" s="3">
        <v>44580</v>
      </c>
      <c r="P944">
        <v>-1</v>
      </c>
      <c r="T944" t="s">
        <v>47</v>
      </c>
      <c r="U944">
        <v>177</v>
      </c>
      <c r="V944">
        <v>26.824999999999999</v>
      </c>
    </row>
    <row r="945" spans="1:22" x14ac:dyDescent="0.35">
      <c r="A945" s="3">
        <v>44571</v>
      </c>
      <c r="B945" t="s">
        <v>29</v>
      </c>
      <c r="C945">
        <v>0</v>
      </c>
      <c r="D945">
        <v>0</v>
      </c>
      <c r="E945">
        <v>0</v>
      </c>
      <c r="F945">
        <v>0</v>
      </c>
      <c r="G945">
        <v>24.8003</v>
      </c>
      <c r="H945">
        <v>0</v>
      </c>
      <c r="I945">
        <v>0</v>
      </c>
      <c r="J945">
        <v>0</v>
      </c>
      <c r="K945">
        <v>0</v>
      </c>
      <c r="L945">
        <v>90</v>
      </c>
      <c r="M945">
        <v>128</v>
      </c>
      <c r="N945" t="s">
        <v>29</v>
      </c>
      <c r="O945" s="3">
        <v>44699</v>
      </c>
      <c r="P945">
        <v>-1</v>
      </c>
      <c r="S945" s="3">
        <v>43903</v>
      </c>
      <c r="T945" t="s">
        <v>55</v>
      </c>
      <c r="U945">
        <v>3</v>
      </c>
      <c r="V945">
        <v>53.424999999999997</v>
      </c>
    </row>
    <row r="946" spans="1:22" x14ac:dyDescent="0.35">
      <c r="A946" s="3">
        <v>44571</v>
      </c>
      <c r="B946" t="s">
        <v>31</v>
      </c>
      <c r="C946">
        <v>0</v>
      </c>
      <c r="D946">
        <v>0</v>
      </c>
      <c r="E946">
        <v>0</v>
      </c>
      <c r="F946">
        <v>0</v>
      </c>
      <c r="G946">
        <v>23.095099999999999</v>
      </c>
      <c r="H946">
        <v>0</v>
      </c>
      <c r="I946">
        <v>0</v>
      </c>
      <c r="J946">
        <v>0</v>
      </c>
      <c r="K946">
        <v>0</v>
      </c>
      <c r="L946">
        <v>44</v>
      </c>
      <c r="M946">
        <v>64</v>
      </c>
      <c r="N946" t="s">
        <v>31</v>
      </c>
      <c r="O946" s="3">
        <v>44635</v>
      </c>
      <c r="P946">
        <v>-1</v>
      </c>
      <c r="T946" t="s">
        <v>54</v>
      </c>
      <c r="U946">
        <v>23</v>
      </c>
      <c r="V946">
        <v>43.9</v>
      </c>
    </row>
    <row r="947" spans="1:22" x14ac:dyDescent="0.35">
      <c r="A947" s="3">
        <v>44571</v>
      </c>
      <c r="B947" t="s">
        <v>22</v>
      </c>
      <c r="C947">
        <v>0</v>
      </c>
      <c r="D947">
        <v>0</v>
      </c>
      <c r="E947">
        <v>0</v>
      </c>
      <c r="F947">
        <v>0</v>
      </c>
      <c r="G947">
        <v>25.776700000000002</v>
      </c>
      <c r="H947">
        <v>0</v>
      </c>
      <c r="I947">
        <v>0</v>
      </c>
      <c r="J947">
        <v>0</v>
      </c>
      <c r="K947">
        <v>0</v>
      </c>
      <c r="L947">
        <v>133</v>
      </c>
      <c r="M947">
        <v>191</v>
      </c>
      <c r="N947" t="s">
        <v>22</v>
      </c>
      <c r="O947" s="3">
        <v>44762</v>
      </c>
      <c r="P947">
        <v>-1</v>
      </c>
      <c r="T947" t="s">
        <v>53</v>
      </c>
      <c r="U947">
        <v>48</v>
      </c>
      <c r="V947">
        <v>34.524999999999999</v>
      </c>
    </row>
    <row r="948" spans="1:22" x14ac:dyDescent="0.35">
      <c r="A948" s="3">
        <v>44568</v>
      </c>
      <c r="B948" t="s">
        <v>29</v>
      </c>
      <c r="C948">
        <v>0</v>
      </c>
      <c r="D948">
        <v>0</v>
      </c>
      <c r="E948">
        <v>0</v>
      </c>
      <c r="F948">
        <v>0</v>
      </c>
      <c r="G948">
        <v>25.146000000000001</v>
      </c>
      <c r="H948">
        <v>0</v>
      </c>
      <c r="I948">
        <v>0</v>
      </c>
      <c r="J948">
        <v>0</v>
      </c>
      <c r="K948">
        <v>0</v>
      </c>
      <c r="L948">
        <v>91</v>
      </c>
      <c r="M948">
        <v>131</v>
      </c>
      <c r="N948" t="s">
        <v>29</v>
      </c>
      <c r="O948" s="3">
        <v>44699</v>
      </c>
      <c r="P948">
        <v>-1</v>
      </c>
      <c r="T948" t="s">
        <v>52</v>
      </c>
      <c r="U948">
        <v>67</v>
      </c>
      <c r="V948">
        <v>30.65</v>
      </c>
    </row>
    <row r="949" spans="1:22" x14ac:dyDescent="0.35">
      <c r="A949" s="3">
        <v>44568</v>
      </c>
      <c r="B949" t="s">
        <v>31</v>
      </c>
      <c r="C949">
        <v>0</v>
      </c>
      <c r="D949">
        <v>0</v>
      </c>
      <c r="E949">
        <v>0</v>
      </c>
      <c r="F949">
        <v>0</v>
      </c>
      <c r="G949">
        <v>23.394600000000001</v>
      </c>
      <c r="H949">
        <v>0</v>
      </c>
      <c r="I949">
        <v>0</v>
      </c>
      <c r="J949">
        <v>0</v>
      </c>
      <c r="K949">
        <v>0</v>
      </c>
      <c r="L949">
        <v>45</v>
      </c>
      <c r="M949">
        <v>67</v>
      </c>
      <c r="N949" t="s">
        <v>31</v>
      </c>
      <c r="O949" s="3">
        <v>44635</v>
      </c>
      <c r="P949">
        <v>-1</v>
      </c>
      <c r="T949" t="s">
        <v>51</v>
      </c>
      <c r="U949">
        <v>92</v>
      </c>
      <c r="V949">
        <v>28.475000000000001</v>
      </c>
    </row>
    <row r="950" spans="1:22" x14ac:dyDescent="0.35">
      <c r="A950" s="3">
        <v>44568</v>
      </c>
      <c r="B950" t="s">
        <v>22</v>
      </c>
      <c r="C950">
        <v>0</v>
      </c>
      <c r="D950">
        <v>0</v>
      </c>
      <c r="E950">
        <v>0</v>
      </c>
      <c r="F950">
        <v>0</v>
      </c>
      <c r="G950">
        <v>26.074999999999999</v>
      </c>
      <c r="H950">
        <v>0</v>
      </c>
      <c r="I950">
        <v>0</v>
      </c>
      <c r="J950">
        <v>0</v>
      </c>
      <c r="K950">
        <v>0</v>
      </c>
      <c r="L950">
        <v>134</v>
      </c>
      <c r="M950">
        <v>194</v>
      </c>
      <c r="N950" t="s">
        <v>22</v>
      </c>
      <c r="O950" s="3">
        <v>44762</v>
      </c>
      <c r="P950">
        <v>-1</v>
      </c>
      <c r="T950" t="s">
        <v>50</v>
      </c>
      <c r="U950">
        <v>112</v>
      </c>
      <c r="V950">
        <v>27.074999999999999</v>
      </c>
    </row>
    <row r="951" spans="1:22" x14ac:dyDescent="0.35">
      <c r="A951" s="3">
        <v>44568</v>
      </c>
      <c r="B951" t="s">
        <v>26</v>
      </c>
      <c r="C951">
        <v>0</v>
      </c>
      <c r="D951">
        <v>0</v>
      </c>
      <c r="E951">
        <v>0</v>
      </c>
      <c r="F951">
        <v>0</v>
      </c>
      <c r="G951">
        <v>26.15</v>
      </c>
      <c r="H951">
        <v>0</v>
      </c>
      <c r="I951">
        <v>0</v>
      </c>
      <c r="J951">
        <v>0</v>
      </c>
      <c r="K951">
        <v>0</v>
      </c>
      <c r="L951">
        <v>154</v>
      </c>
      <c r="M951">
        <v>222</v>
      </c>
      <c r="N951" t="s">
        <v>26</v>
      </c>
      <c r="O951" s="3">
        <v>44790</v>
      </c>
      <c r="P951">
        <v>-1</v>
      </c>
      <c r="T951" t="s">
        <v>49</v>
      </c>
      <c r="U951">
        <v>131</v>
      </c>
      <c r="V951">
        <v>26.524999999999999</v>
      </c>
    </row>
    <row r="952" spans="1:22" x14ac:dyDescent="0.35">
      <c r="A952" s="3">
        <v>44568</v>
      </c>
      <c r="B952" t="s">
        <v>32</v>
      </c>
      <c r="C952">
        <v>0</v>
      </c>
      <c r="D952">
        <v>0</v>
      </c>
      <c r="E952">
        <v>0</v>
      </c>
      <c r="F952">
        <v>0</v>
      </c>
      <c r="G952">
        <v>22.020399999999999</v>
      </c>
      <c r="H952">
        <v>0</v>
      </c>
      <c r="I952">
        <v>0</v>
      </c>
      <c r="J952">
        <v>0</v>
      </c>
      <c r="K952">
        <v>0</v>
      </c>
      <c r="L952">
        <v>27</v>
      </c>
      <c r="M952">
        <v>40</v>
      </c>
      <c r="N952" t="s">
        <v>32</v>
      </c>
      <c r="O952" s="3">
        <v>44608</v>
      </c>
      <c r="P952">
        <v>-1</v>
      </c>
      <c r="T952" t="s">
        <v>48</v>
      </c>
      <c r="U952">
        <v>156</v>
      </c>
      <c r="V952">
        <v>26.7</v>
      </c>
    </row>
    <row r="953" spans="1:22" x14ac:dyDescent="0.35">
      <c r="A953" s="3">
        <v>44568</v>
      </c>
      <c r="B953" t="s">
        <v>27</v>
      </c>
      <c r="C953">
        <v>0</v>
      </c>
      <c r="D953">
        <v>0</v>
      </c>
      <c r="E953">
        <v>0</v>
      </c>
      <c r="F953">
        <v>0</v>
      </c>
      <c r="G953">
        <v>26.324999999999999</v>
      </c>
      <c r="H953">
        <v>0</v>
      </c>
      <c r="I953">
        <v>0</v>
      </c>
      <c r="J953">
        <v>0</v>
      </c>
      <c r="K953">
        <v>0</v>
      </c>
      <c r="L953">
        <v>178</v>
      </c>
      <c r="M953">
        <v>257</v>
      </c>
      <c r="N953" t="s">
        <v>27</v>
      </c>
      <c r="O953" s="3">
        <v>44825</v>
      </c>
      <c r="P953">
        <v>-1</v>
      </c>
      <c r="T953" t="s">
        <v>47</v>
      </c>
      <c r="U953">
        <v>176</v>
      </c>
      <c r="V953">
        <v>25.65</v>
      </c>
    </row>
    <row r="954" spans="1:22" x14ac:dyDescent="0.35">
      <c r="A954" s="3">
        <v>44568</v>
      </c>
      <c r="B954" t="s">
        <v>28</v>
      </c>
      <c r="C954">
        <v>0</v>
      </c>
      <c r="D954">
        <v>0</v>
      </c>
      <c r="E954">
        <v>0</v>
      </c>
      <c r="F954">
        <v>0</v>
      </c>
      <c r="G954">
        <v>25.4422</v>
      </c>
      <c r="H954">
        <v>0</v>
      </c>
      <c r="I954">
        <v>0</v>
      </c>
      <c r="J954">
        <v>0</v>
      </c>
      <c r="K954">
        <v>0</v>
      </c>
      <c r="L954">
        <v>110</v>
      </c>
      <c r="M954">
        <v>159</v>
      </c>
      <c r="N954" t="s">
        <v>28</v>
      </c>
      <c r="O954" s="3">
        <v>44727</v>
      </c>
      <c r="P954">
        <v>-1</v>
      </c>
      <c r="S954" s="3">
        <v>43906</v>
      </c>
      <c r="T954" t="s">
        <v>55</v>
      </c>
      <c r="U954">
        <v>2</v>
      </c>
      <c r="V954">
        <v>72.625</v>
      </c>
    </row>
    <row r="955" spans="1:22" x14ac:dyDescent="0.35">
      <c r="A955" s="3">
        <v>44568</v>
      </c>
      <c r="B955" t="s">
        <v>30</v>
      </c>
      <c r="C955">
        <v>0</v>
      </c>
      <c r="D955">
        <v>0</v>
      </c>
      <c r="E955">
        <v>0</v>
      </c>
      <c r="F955">
        <v>0</v>
      </c>
      <c r="G955">
        <v>24.511700000000001</v>
      </c>
      <c r="H955">
        <v>0</v>
      </c>
      <c r="I955">
        <v>0</v>
      </c>
      <c r="J955">
        <v>0</v>
      </c>
      <c r="K955">
        <v>0</v>
      </c>
      <c r="L955">
        <v>71</v>
      </c>
      <c r="M955">
        <v>103</v>
      </c>
      <c r="N955" t="s">
        <v>30</v>
      </c>
      <c r="O955" s="3">
        <v>44671</v>
      </c>
      <c r="P955">
        <v>-1</v>
      </c>
      <c r="T955" t="s">
        <v>54</v>
      </c>
      <c r="U955">
        <v>22</v>
      </c>
      <c r="V955">
        <v>59.15</v>
      </c>
    </row>
    <row r="956" spans="1:22" x14ac:dyDescent="0.35">
      <c r="A956" s="3">
        <v>44568</v>
      </c>
      <c r="B956" t="s">
        <v>33</v>
      </c>
      <c r="C956">
        <v>0</v>
      </c>
      <c r="D956">
        <v>0</v>
      </c>
      <c r="E956">
        <v>0</v>
      </c>
      <c r="F956">
        <v>0</v>
      </c>
      <c r="G956">
        <v>20.398</v>
      </c>
      <c r="H956">
        <v>0</v>
      </c>
      <c r="I956">
        <v>0</v>
      </c>
      <c r="J956">
        <v>0</v>
      </c>
      <c r="K956">
        <v>0</v>
      </c>
      <c r="L956">
        <v>7</v>
      </c>
      <c r="M956">
        <v>12</v>
      </c>
      <c r="N956" t="s">
        <v>33</v>
      </c>
      <c r="O956" s="3">
        <v>44580</v>
      </c>
      <c r="P956">
        <v>-1</v>
      </c>
      <c r="T956" t="s">
        <v>53</v>
      </c>
      <c r="U956">
        <v>47</v>
      </c>
      <c r="V956">
        <v>44.875</v>
      </c>
    </row>
    <row r="957" spans="1:22" x14ac:dyDescent="0.35">
      <c r="A957" s="3">
        <v>44567</v>
      </c>
      <c r="B957" t="s">
        <v>26</v>
      </c>
      <c r="C957">
        <v>0</v>
      </c>
      <c r="D957">
        <v>0</v>
      </c>
      <c r="E957">
        <v>0</v>
      </c>
      <c r="F957">
        <v>0</v>
      </c>
      <c r="G957">
        <v>26.524999999999999</v>
      </c>
      <c r="H957">
        <v>0</v>
      </c>
      <c r="I957">
        <v>0</v>
      </c>
      <c r="J957">
        <v>0</v>
      </c>
      <c r="K957">
        <v>0</v>
      </c>
      <c r="L957">
        <v>155</v>
      </c>
      <c r="M957">
        <v>223</v>
      </c>
      <c r="N957" t="s">
        <v>26</v>
      </c>
      <c r="O957" s="3">
        <v>44790</v>
      </c>
      <c r="P957">
        <v>-1</v>
      </c>
      <c r="T957" t="s">
        <v>52</v>
      </c>
      <c r="U957">
        <v>66</v>
      </c>
      <c r="V957">
        <v>38.950000000000003</v>
      </c>
    </row>
    <row r="958" spans="1:22" x14ac:dyDescent="0.35">
      <c r="A958" s="3">
        <v>44567</v>
      </c>
      <c r="B958" t="s">
        <v>32</v>
      </c>
      <c r="C958">
        <v>0</v>
      </c>
      <c r="D958">
        <v>0</v>
      </c>
      <c r="E958">
        <v>0</v>
      </c>
      <c r="F958">
        <v>0</v>
      </c>
      <c r="G958">
        <v>22.8491</v>
      </c>
      <c r="H958">
        <v>0</v>
      </c>
      <c r="I958">
        <v>0</v>
      </c>
      <c r="J958">
        <v>0</v>
      </c>
      <c r="K958">
        <v>0</v>
      </c>
      <c r="L958">
        <v>28</v>
      </c>
      <c r="M958">
        <v>41</v>
      </c>
      <c r="N958" t="s">
        <v>32</v>
      </c>
      <c r="O958" s="3">
        <v>44608</v>
      </c>
      <c r="P958">
        <v>-1</v>
      </c>
      <c r="T958" t="s">
        <v>51</v>
      </c>
      <c r="U958">
        <v>91</v>
      </c>
      <c r="V958">
        <v>34.975000000000001</v>
      </c>
    </row>
    <row r="959" spans="1:22" x14ac:dyDescent="0.35">
      <c r="A959" s="3">
        <v>44567</v>
      </c>
      <c r="B959" t="s">
        <v>27</v>
      </c>
      <c r="C959">
        <v>0</v>
      </c>
      <c r="D959">
        <v>0</v>
      </c>
      <c r="E959">
        <v>0</v>
      </c>
      <c r="F959">
        <v>0</v>
      </c>
      <c r="G959">
        <v>26.524999999999999</v>
      </c>
      <c r="H959">
        <v>0</v>
      </c>
      <c r="I959">
        <v>0</v>
      </c>
      <c r="J959">
        <v>0</v>
      </c>
      <c r="K959">
        <v>0</v>
      </c>
      <c r="L959">
        <v>179</v>
      </c>
      <c r="M959">
        <v>258</v>
      </c>
      <c r="N959" t="s">
        <v>27</v>
      </c>
      <c r="O959" s="3">
        <v>44825</v>
      </c>
      <c r="P959">
        <v>-1</v>
      </c>
      <c r="T959" t="s">
        <v>50</v>
      </c>
      <c r="U959">
        <v>111</v>
      </c>
      <c r="V959">
        <v>32.174999999999997</v>
      </c>
    </row>
    <row r="960" spans="1:22" x14ac:dyDescent="0.35">
      <c r="A960" s="3">
        <v>44567</v>
      </c>
      <c r="B960" t="s">
        <v>28</v>
      </c>
      <c r="C960">
        <v>0</v>
      </c>
      <c r="D960">
        <v>0</v>
      </c>
      <c r="E960">
        <v>0</v>
      </c>
      <c r="F960">
        <v>0</v>
      </c>
      <c r="G960">
        <v>25.95</v>
      </c>
      <c r="H960">
        <v>0</v>
      </c>
      <c r="I960">
        <v>0</v>
      </c>
      <c r="J960">
        <v>0</v>
      </c>
      <c r="K960">
        <v>0</v>
      </c>
      <c r="L960">
        <v>111</v>
      </c>
      <c r="M960">
        <v>160</v>
      </c>
      <c r="N960" t="s">
        <v>28</v>
      </c>
      <c r="O960" s="3">
        <v>44727</v>
      </c>
      <c r="P960">
        <v>-1</v>
      </c>
      <c r="T960" t="s">
        <v>49</v>
      </c>
      <c r="U960">
        <v>130</v>
      </c>
      <c r="V960">
        <v>30.875</v>
      </c>
    </row>
    <row r="961" spans="1:22" x14ac:dyDescent="0.35">
      <c r="A961" s="3">
        <v>44567</v>
      </c>
      <c r="B961" t="s">
        <v>30</v>
      </c>
      <c r="C961">
        <v>0</v>
      </c>
      <c r="D961">
        <v>0</v>
      </c>
      <c r="E961">
        <v>0</v>
      </c>
      <c r="F961">
        <v>0</v>
      </c>
      <c r="G961">
        <v>25.1</v>
      </c>
      <c r="H961">
        <v>0</v>
      </c>
      <c r="I961">
        <v>0</v>
      </c>
      <c r="J961">
        <v>0</v>
      </c>
      <c r="K961">
        <v>0</v>
      </c>
      <c r="L961">
        <v>72</v>
      </c>
      <c r="M961">
        <v>104</v>
      </c>
      <c r="N961" t="s">
        <v>30</v>
      </c>
      <c r="O961" s="3">
        <v>44671</v>
      </c>
      <c r="P961">
        <v>-1</v>
      </c>
      <c r="T961" t="s">
        <v>48</v>
      </c>
      <c r="U961">
        <v>155</v>
      </c>
      <c r="V961">
        <v>30.675000000000001</v>
      </c>
    </row>
    <row r="962" spans="1:22" x14ac:dyDescent="0.35">
      <c r="A962" s="3">
        <v>44567</v>
      </c>
      <c r="B962" t="s">
        <v>33</v>
      </c>
      <c r="C962">
        <v>0</v>
      </c>
      <c r="D962">
        <v>0</v>
      </c>
      <c r="E962">
        <v>0</v>
      </c>
      <c r="F962">
        <v>0</v>
      </c>
      <c r="G962">
        <v>20.849599999999999</v>
      </c>
      <c r="H962">
        <v>0</v>
      </c>
      <c r="I962">
        <v>0</v>
      </c>
      <c r="J962">
        <v>0</v>
      </c>
      <c r="K962">
        <v>0</v>
      </c>
      <c r="L962">
        <v>8</v>
      </c>
      <c r="M962">
        <v>13</v>
      </c>
      <c r="N962" t="s">
        <v>33</v>
      </c>
      <c r="O962" s="3">
        <v>44580</v>
      </c>
      <c r="P962">
        <v>-1</v>
      </c>
      <c r="T962" t="s">
        <v>47</v>
      </c>
      <c r="U962">
        <v>175</v>
      </c>
      <c r="V962">
        <v>28.8</v>
      </c>
    </row>
    <row r="963" spans="1:22" x14ac:dyDescent="0.35">
      <c r="A963" s="3">
        <v>44567</v>
      </c>
      <c r="B963" t="s">
        <v>29</v>
      </c>
      <c r="C963">
        <v>0</v>
      </c>
      <c r="D963">
        <v>0</v>
      </c>
      <c r="E963">
        <v>0</v>
      </c>
      <c r="F963">
        <v>0</v>
      </c>
      <c r="G963">
        <v>25.6496</v>
      </c>
      <c r="H963">
        <v>0</v>
      </c>
      <c r="I963">
        <v>0</v>
      </c>
      <c r="J963">
        <v>0</v>
      </c>
      <c r="K963">
        <v>0</v>
      </c>
      <c r="L963">
        <v>92</v>
      </c>
      <c r="M963">
        <v>132</v>
      </c>
      <c r="N963" t="s">
        <v>29</v>
      </c>
      <c r="O963" s="3">
        <v>44699</v>
      </c>
      <c r="P963">
        <v>-1</v>
      </c>
      <c r="S963" s="3">
        <v>43907</v>
      </c>
      <c r="T963" t="s">
        <v>55</v>
      </c>
      <c r="U963">
        <v>1</v>
      </c>
      <c r="V963">
        <v>68.825000000000003</v>
      </c>
    </row>
    <row r="964" spans="1:22" x14ac:dyDescent="0.35">
      <c r="A964" s="3">
        <v>44567</v>
      </c>
      <c r="B964" t="s">
        <v>31</v>
      </c>
      <c r="C964">
        <v>0</v>
      </c>
      <c r="D964">
        <v>0</v>
      </c>
      <c r="E964">
        <v>0</v>
      </c>
      <c r="F964">
        <v>0</v>
      </c>
      <c r="G964">
        <v>24.05</v>
      </c>
      <c r="H964">
        <v>0</v>
      </c>
      <c r="I964">
        <v>0</v>
      </c>
      <c r="J964">
        <v>0</v>
      </c>
      <c r="K964">
        <v>0</v>
      </c>
      <c r="L964">
        <v>46</v>
      </c>
      <c r="M964">
        <v>68</v>
      </c>
      <c r="N964" t="s">
        <v>31</v>
      </c>
      <c r="O964" s="3">
        <v>44635</v>
      </c>
      <c r="P964">
        <v>-1</v>
      </c>
      <c r="T964" t="s">
        <v>54</v>
      </c>
      <c r="U964">
        <v>21</v>
      </c>
      <c r="V964">
        <v>61.424999999999997</v>
      </c>
    </row>
    <row r="965" spans="1:22" x14ac:dyDescent="0.35">
      <c r="A965" s="3">
        <v>44567</v>
      </c>
      <c r="B965" t="s">
        <v>22</v>
      </c>
      <c r="C965">
        <v>0</v>
      </c>
      <c r="D965">
        <v>0</v>
      </c>
      <c r="E965">
        <v>0</v>
      </c>
      <c r="F965">
        <v>0</v>
      </c>
      <c r="G965">
        <v>26.55</v>
      </c>
      <c r="H965">
        <v>0</v>
      </c>
      <c r="I965">
        <v>0</v>
      </c>
      <c r="J965">
        <v>0</v>
      </c>
      <c r="K965">
        <v>0</v>
      </c>
      <c r="L965">
        <v>135</v>
      </c>
      <c r="M965">
        <v>195</v>
      </c>
      <c r="N965" t="s">
        <v>22</v>
      </c>
      <c r="O965" s="3">
        <v>44762</v>
      </c>
      <c r="P965">
        <v>-1</v>
      </c>
      <c r="T965" t="s">
        <v>53</v>
      </c>
      <c r="U965">
        <v>46</v>
      </c>
      <c r="V965">
        <v>48.7</v>
      </c>
    </row>
    <row r="966" spans="1:22" x14ac:dyDescent="0.35">
      <c r="A966" s="3">
        <v>44566</v>
      </c>
      <c r="B966" t="s">
        <v>29</v>
      </c>
      <c r="C966">
        <v>0</v>
      </c>
      <c r="D966">
        <v>0</v>
      </c>
      <c r="E966">
        <v>0</v>
      </c>
      <c r="F966">
        <v>0</v>
      </c>
      <c r="G966">
        <v>25.6221</v>
      </c>
      <c r="H966">
        <v>0</v>
      </c>
      <c r="I966">
        <v>0</v>
      </c>
      <c r="J966">
        <v>0</v>
      </c>
      <c r="K966">
        <v>0</v>
      </c>
      <c r="L966">
        <v>93</v>
      </c>
      <c r="M966">
        <v>133</v>
      </c>
      <c r="N966" t="s">
        <v>29</v>
      </c>
      <c r="O966" s="3">
        <v>44699</v>
      </c>
      <c r="P966">
        <v>-1</v>
      </c>
      <c r="T966" t="s">
        <v>52</v>
      </c>
      <c r="U966">
        <v>65</v>
      </c>
      <c r="V966">
        <v>42.075000000000003</v>
      </c>
    </row>
    <row r="967" spans="1:22" x14ac:dyDescent="0.35">
      <c r="A967" s="3">
        <v>44566</v>
      </c>
      <c r="B967" t="s">
        <v>31</v>
      </c>
      <c r="C967">
        <v>0</v>
      </c>
      <c r="D967">
        <v>0</v>
      </c>
      <c r="E967">
        <v>0</v>
      </c>
      <c r="F967">
        <v>0</v>
      </c>
      <c r="G967">
        <v>23.9498</v>
      </c>
      <c r="H967">
        <v>0</v>
      </c>
      <c r="I967">
        <v>0</v>
      </c>
      <c r="J967">
        <v>0</v>
      </c>
      <c r="K967">
        <v>0</v>
      </c>
      <c r="L967">
        <v>47</v>
      </c>
      <c r="M967">
        <v>69</v>
      </c>
      <c r="N967" t="s">
        <v>31</v>
      </c>
      <c r="O967" s="3">
        <v>44635</v>
      </c>
      <c r="P967">
        <v>-1</v>
      </c>
      <c r="T967" t="s">
        <v>51</v>
      </c>
      <c r="U967">
        <v>90</v>
      </c>
      <c r="V967">
        <v>36.700000000000003</v>
      </c>
    </row>
    <row r="968" spans="1:22" x14ac:dyDescent="0.35">
      <c r="A968" s="3">
        <v>44566</v>
      </c>
      <c r="B968" t="s">
        <v>22</v>
      </c>
      <c r="C968">
        <v>0</v>
      </c>
      <c r="D968">
        <v>0</v>
      </c>
      <c r="E968">
        <v>0</v>
      </c>
      <c r="F968">
        <v>0</v>
      </c>
      <c r="G968">
        <v>26.55</v>
      </c>
      <c r="H968">
        <v>0</v>
      </c>
      <c r="I968">
        <v>0</v>
      </c>
      <c r="J968">
        <v>0</v>
      </c>
      <c r="K968">
        <v>0</v>
      </c>
      <c r="L968">
        <v>136</v>
      </c>
      <c r="M968">
        <v>196</v>
      </c>
      <c r="N968" t="s">
        <v>22</v>
      </c>
      <c r="O968" s="3">
        <v>44762</v>
      </c>
      <c r="P968">
        <v>-1</v>
      </c>
      <c r="T968" t="s">
        <v>50</v>
      </c>
      <c r="U968">
        <v>110</v>
      </c>
      <c r="V968">
        <v>32.85</v>
      </c>
    </row>
    <row r="969" spans="1:22" x14ac:dyDescent="0.35">
      <c r="A969" s="3">
        <v>44566</v>
      </c>
      <c r="B969" t="s">
        <v>26</v>
      </c>
      <c r="C969">
        <v>0</v>
      </c>
      <c r="D969">
        <v>0</v>
      </c>
      <c r="E969">
        <v>0</v>
      </c>
      <c r="F969">
        <v>0</v>
      </c>
      <c r="G969">
        <v>26.55</v>
      </c>
      <c r="H969">
        <v>0</v>
      </c>
      <c r="I969">
        <v>0</v>
      </c>
      <c r="J969">
        <v>0</v>
      </c>
      <c r="K969">
        <v>0</v>
      </c>
      <c r="L969">
        <v>156</v>
      </c>
      <c r="M969">
        <v>224</v>
      </c>
      <c r="N969" t="s">
        <v>26</v>
      </c>
      <c r="O969" s="3">
        <v>44790</v>
      </c>
      <c r="P969">
        <v>-1</v>
      </c>
      <c r="T969" t="s">
        <v>49</v>
      </c>
      <c r="U969">
        <v>129</v>
      </c>
      <c r="V969">
        <v>31.225000000000001</v>
      </c>
    </row>
    <row r="970" spans="1:22" x14ac:dyDescent="0.35">
      <c r="A970" s="3">
        <v>44566</v>
      </c>
      <c r="B970" t="s">
        <v>32</v>
      </c>
      <c r="C970">
        <v>0</v>
      </c>
      <c r="D970">
        <v>0</v>
      </c>
      <c r="E970">
        <v>0</v>
      </c>
      <c r="F970">
        <v>0</v>
      </c>
      <c r="G970">
        <v>22.617100000000001</v>
      </c>
      <c r="H970">
        <v>0</v>
      </c>
      <c r="I970">
        <v>0</v>
      </c>
      <c r="J970">
        <v>0</v>
      </c>
      <c r="K970">
        <v>0</v>
      </c>
      <c r="L970">
        <v>29</v>
      </c>
      <c r="M970">
        <v>42</v>
      </c>
      <c r="N970" t="s">
        <v>32</v>
      </c>
      <c r="O970" s="3">
        <v>44608</v>
      </c>
      <c r="P970">
        <v>-1</v>
      </c>
      <c r="T970" t="s">
        <v>48</v>
      </c>
      <c r="U970">
        <v>154</v>
      </c>
      <c r="V970">
        <v>31.2</v>
      </c>
    </row>
    <row r="971" spans="1:22" x14ac:dyDescent="0.35">
      <c r="A971" s="3">
        <v>44566</v>
      </c>
      <c r="B971" t="s">
        <v>27</v>
      </c>
      <c r="C971">
        <v>0</v>
      </c>
      <c r="D971">
        <v>0</v>
      </c>
      <c r="E971">
        <v>0</v>
      </c>
      <c r="F971">
        <v>0</v>
      </c>
      <c r="G971">
        <v>26.574999999999999</v>
      </c>
      <c r="H971">
        <v>0</v>
      </c>
      <c r="I971">
        <v>0</v>
      </c>
      <c r="J971">
        <v>0</v>
      </c>
      <c r="K971">
        <v>0</v>
      </c>
      <c r="L971">
        <v>180</v>
      </c>
      <c r="M971">
        <v>259</v>
      </c>
      <c r="N971" t="s">
        <v>27</v>
      </c>
      <c r="O971" s="3">
        <v>44825</v>
      </c>
      <c r="P971">
        <v>-1</v>
      </c>
      <c r="T971" t="s">
        <v>47</v>
      </c>
      <c r="U971">
        <v>174</v>
      </c>
      <c r="V971">
        <v>30</v>
      </c>
    </row>
    <row r="972" spans="1:22" x14ac:dyDescent="0.35">
      <c r="A972" s="3">
        <v>44566</v>
      </c>
      <c r="B972" t="s">
        <v>28</v>
      </c>
      <c r="C972">
        <v>0</v>
      </c>
      <c r="D972">
        <v>0</v>
      </c>
      <c r="E972">
        <v>0</v>
      </c>
      <c r="F972">
        <v>0</v>
      </c>
      <c r="G972">
        <v>25.950399999999998</v>
      </c>
      <c r="H972">
        <v>0</v>
      </c>
      <c r="I972">
        <v>0</v>
      </c>
      <c r="J972">
        <v>0</v>
      </c>
      <c r="K972">
        <v>0</v>
      </c>
      <c r="L972">
        <v>112</v>
      </c>
      <c r="M972">
        <v>161</v>
      </c>
      <c r="N972" t="s">
        <v>28</v>
      </c>
      <c r="O972" s="3">
        <v>44727</v>
      </c>
      <c r="P972">
        <v>-1</v>
      </c>
      <c r="S972" s="3">
        <v>43908</v>
      </c>
      <c r="T972" t="s">
        <v>55</v>
      </c>
      <c r="U972">
        <v>0</v>
      </c>
      <c r="V972">
        <v>69.760000000000005</v>
      </c>
    </row>
    <row r="973" spans="1:22" x14ac:dyDescent="0.35">
      <c r="A973" s="3">
        <v>44566</v>
      </c>
      <c r="B973" t="s">
        <v>30</v>
      </c>
      <c r="C973">
        <v>0</v>
      </c>
      <c r="D973">
        <v>0</v>
      </c>
      <c r="E973">
        <v>0</v>
      </c>
      <c r="F973">
        <v>0</v>
      </c>
      <c r="G973">
        <v>25.0611</v>
      </c>
      <c r="H973">
        <v>0</v>
      </c>
      <c r="I973">
        <v>0</v>
      </c>
      <c r="J973">
        <v>0</v>
      </c>
      <c r="K973">
        <v>0</v>
      </c>
      <c r="L973">
        <v>73</v>
      </c>
      <c r="M973">
        <v>105</v>
      </c>
      <c r="N973" t="s">
        <v>30</v>
      </c>
      <c r="O973" s="3">
        <v>44671</v>
      </c>
      <c r="P973">
        <v>-1</v>
      </c>
      <c r="T973" t="s">
        <v>54</v>
      </c>
      <c r="U973">
        <v>20</v>
      </c>
      <c r="V973">
        <v>70.474999999999994</v>
      </c>
    </row>
    <row r="974" spans="1:22" x14ac:dyDescent="0.35">
      <c r="A974" s="3">
        <v>44566</v>
      </c>
      <c r="B974" t="s">
        <v>33</v>
      </c>
      <c r="C974">
        <v>0</v>
      </c>
      <c r="D974">
        <v>0</v>
      </c>
      <c r="E974">
        <v>0</v>
      </c>
      <c r="F974">
        <v>0</v>
      </c>
      <c r="G974">
        <v>20.7745</v>
      </c>
      <c r="H974">
        <v>0</v>
      </c>
      <c r="I974">
        <v>0</v>
      </c>
      <c r="J974">
        <v>0</v>
      </c>
      <c r="K974">
        <v>0</v>
      </c>
      <c r="L974">
        <v>9</v>
      </c>
      <c r="M974">
        <v>14</v>
      </c>
      <c r="N974" t="s">
        <v>33</v>
      </c>
      <c r="O974" s="3">
        <v>44580</v>
      </c>
      <c r="P974">
        <v>-1</v>
      </c>
      <c r="T974" t="s">
        <v>53</v>
      </c>
      <c r="U974">
        <v>45</v>
      </c>
      <c r="V974">
        <v>59.924999999999997</v>
      </c>
    </row>
    <row r="975" spans="1:22" x14ac:dyDescent="0.35">
      <c r="A975" s="3">
        <v>44565</v>
      </c>
      <c r="B975" t="s">
        <v>26</v>
      </c>
      <c r="C975">
        <v>0</v>
      </c>
      <c r="D975">
        <v>0</v>
      </c>
      <c r="E975">
        <v>0</v>
      </c>
      <c r="F975">
        <v>0</v>
      </c>
      <c r="G975">
        <v>25.95</v>
      </c>
      <c r="H975">
        <v>0</v>
      </c>
      <c r="I975">
        <v>0</v>
      </c>
      <c r="J975">
        <v>0</v>
      </c>
      <c r="K975">
        <v>0</v>
      </c>
      <c r="L975">
        <v>157</v>
      </c>
      <c r="M975">
        <v>225</v>
      </c>
      <c r="N975" t="s">
        <v>26</v>
      </c>
      <c r="O975" s="3">
        <v>44790</v>
      </c>
      <c r="P975">
        <v>-1</v>
      </c>
      <c r="T975" t="s">
        <v>52</v>
      </c>
      <c r="U975">
        <v>64</v>
      </c>
      <c r="V975">
        <v>51.5</v>
      </c>
    </row>
    <row r="976" spans="1:22" x14ac:dyDescent="0.35">
      <c r="A976" s="3">
        <v>44565</v>
      </c>
      <c r="B976" t="s">
        <v>32</v>
      </c>
      <c r="C976">
        <v>0</v>
      </c>
      <c r="D976">
        <v>0</v>
      </c>
      <c r="E976">
        <v>0</v>
      </c>
      <c r="F976">
        <v>0</v>
      </c>
      <c r="G976">
        <v>21.3187</v>
      </c>
      <c r="H976">
        <v>0</v>
      </c>
      <c r="I976">
        <v>0</v>
      </c>
      <c r="J976">
        <v>0</v>
      </c>
      <c r="K976">
        <v>0</v>
      </c>
      <c r="L976">
        <v>30</v>
      </c>
      <c r="M976">
        <v>43</v>
      </c>
      <c r="N976" t="s">
        <v>32</v>
      </c>
      <c r="O976" s="3">
        <v>44608</v>
      </c>
      <c r="P976">
        <v>-1</v>
      </c>
      <c r="T976" t="s">
        <v>51</v>
      </c>
      <c r="U976">
        <v>89</v>
      </c>
      <c r="V976">
        <v>44.3</v>
      </c>
    </row>
    <row r="977" spans="1:22" x14ac:dyDescent="0.35">
      <c r="A977" s="3">
        <v>44565</v>
      </c>
      <c r="B977" t="s">
        <v>27</v>
      </c>
      <c r="C977">
        <v>0</v>
      </c>
      <c r="D977">
        <v>0</v>
      </c>
      <c r="E977">
        <v>0</v>
      </c>
      <c r="F977">
        <v>0</v>
      </c>
      <c r="G977">
        <v>26.1</v>
      </c>
      <c r="H977">
        <v>0</v>
      </c>
      <c r="I977">
        <v>0</v>
      </c>
      <c r="J977">
        <v>0</v>
      </c>
      <c r="K977">
        <v>0</v>
      </c>
      <c r="L977">
        <v>181</v>
      </c>
      <c r="M977">
        <v>260</v>
      </c>
      <c r="N977" t="s">
        <v>27</v>
      </c>
      <c r="O977" s="3">
        <v>44825</v>
      </c>
      <c r="P977">
        <v>-1</v>
      </c>
      <c r="T977" t="s">
        <v>50</v>
      </c>
      <c r="U977">
        <v>109</v>
      </c>
      <c r="V977">
        <v>37.475000000000001</v>
      </c>
    </row>
    <row r="978" spans="1:22" x14ac:dyDescent="0.35">
      <c r="A978" s="3">
        <v>44565</v>
      </c>
      <c r="B978" t="s">
        <v>28</v>
      </c>
      <c r="C978">
        <v>0</v>
      </c>
      <c r="D978">
        <v>0</v>
      </c>
      <c r="E978">
        <v>0</v>
      </c>
      <c r="F978">
        <v>0</v>
      </c>
      <c r="G978">
        <v>25.317900000000002</v>
      </c>
      <c r="H978">
        <v>0</v>
      </c>
      <c r="I978">
        <v>0</v>
      </c>
      <c r="J978">
        <v>0</v>
      </c>
      <c r="K978">
        <v>0</v>
      </c>
      <c r="L978">
        <v>113</v>
      </c>
      <c r="M978">
        <v>162</v>
      </c>
      <c r="N978" t="s">
        <v>28</v>
      </c>
      <c r="O978" s="3">
        <v>44727</v>
      </c>
      <c r="P978">
        <v>-1</v>
      </c>
      <c r="T978" t="s">
        <v>49</v>
      </c>
      <c r="U978">
        <v>128</v>
      </c>
      <c r="V978">
        <v>34.6</v>
      </c>
    </row>
    <row r="979" spans="1:22" x14ac:dyDescent="0.35">
      <c r="A979" s="3">
        <v>44565</v>
      </c>
      <c r="B979" t="s">
        <v>30</v>
      </c>
      <c r="C979">
        <v>0</v>
      </c>
      <c r="D979">
        <v>0</v>
      </c>
      <c r="E979">
        <v>0</v>
      </c>
      <c r="F979">
        <v>0</v>
      </c>
      <c r="G979">
        <v>24.3035</v>
      </c>
      <c r="H979">
        <v>0</v>
      </c>
      <c r="I979">
        <v>0</v>
      </c>
      <c r="J979">
        <v>0</v>
      </c>
      <c r="K979">
        <v>0</v>
      </c>
      <c r="L979">
        <v>74</v>
      </c>
      <c r="M979">
        <v>106</v>
      </c>
      <c r="N979" t="s">
        <v>30</v>
      </c>
      <c r="O979" s="3">
        <v>44671</v>
      </c>
      <c r="P979">
        <v>-1</v>
      </c>
      <c r="T979" t="s">
        <v>48</v>
      </c>
      <c r="U979">
        <v>153</v>
      </c>
      <c r="V979">
        <v>34.125</v>
      </c>
    </row>
    <row r="980" spans="1:22" x14ac:dyDescent="0.35">
      <c r="A980" s="3">
        <v>44565</v>
      </c>
      <c r="B980" t="s">
        <v>33</v>
      </c>
      <c r="C980">
        <v>0</v>
      </c>
      <c r="D980">
        <v>0</v>
      </c>
      <c r="E980">
        <v>0</v>
      </c>
      <c r="F980">
        <v>0</v>
      </c>
      <c r="G980">
        <v>18.869199999999999</v>
      </c>
      <c r="H980">
        <v>0</v>
      </c>
      <c r="I980">
        <v>0</v>
      </c>
      <c r="J980">
        <v>0</v>
      </c>
      <c r="K980">
        <v>0</v>
      </c>
      <c r="L980">
        <v>10</v>
      </c>
      <c r="M980">
        <v>15</v>
      </c>
      <c r="N980" t="s">
        <v>33</v>
      </c>
      <c r="O980" s="3">
        <v>44580</v>
      </c>
      <c r="P980">
        <v>-1</v>
      </c>
      <c r="T980" t="s">
        <v>47</v>
      </c>
      <c r="U980">
        <v>173</v>
      </c>
      <c r="V980">
        <v>32.225000000000001</v>
      </c>
    </row>
    <row r="981" spans="1:22" x14ac:dyDescent="0.35">
      <c r="A981" s="3">
        <v>44565</v>
      </c>
      <c r="B981" t="s">
        <v>29</v>
      </c>
      <c r="C981">
        <v>0</v>
      </c>
      <c r="D981">
        <v>0</v>
      </c>
      <c r="E981">
        <v>0</v>
      </c>
      <c r="F981">
        <v>0</v>
      </c>
      <c r="G981">
        <v>24.995200000000001</v>
      </c>
      <c r="H981">
        <v>0</v>
      </c>
      <c r="I981">
        <v>0</v>
      </c>
      <c r="J981">
        <v>0</v>
      </c>
      <c r="K981">
        <v>0</v>
      </c>
      <c r="L981">
        <v>94</v>
      </c>
      <c r="M981">
        <v>134</v>
      </c>
      <c r="N981" t="s">
        <v>29</v>
      </c>
      <c r="O981" s="3">
        <v>44699</v>
      </c>
      <c r="P981">
        <v>-1</v>
      </c>
      <c r="S981" s="3">
        <v>43909</v>
      </c>
      <c r="T981" t="s">
        <v>54</v>
      </c>
      <c r="U981">
        <v>19</v>
      </c>
      <c r="V981">
        <v>66.3</v>
      </c>
    </row>
    <row r="982" spans="1:22" x14ac:dyDescent="0.35">
      <c r="A982" s="3">
        <v>44565</v>
      </c>
      <c r="B982" t="s">
        <v>31</v>
      </c>
      <c r="C982">
        <v>0</v>
      </c>
      <c r="D982">
        <v>0</v>
      </c>
      <c r="E982">
        <v>0</v>
      </c>
      <c r="F982">
        <v>0</v>
      </c>
      <c r="G982">
        <v>23.017600000000002</v>
      </c>
      <c r="H982">
        <v>0</v>
      </c>
      <c r="I982">
        <v>0</v>
      </c>
      <c r="J982">
        <v>0</v>
      </c>
      <c r="K982">
        <v>0</v>
      </c>
      <c r="L982">
        <v>48</v>
      </c>
      <c r="M982">
        <v>70</v>
      </c>
      <c r="N982" t="s">
        <v>31</v>
      </c>
      <c r="O982" s="3">
        <v>44635</v>
      </c>
      <c r="P982">
        <v>-1</v>
      </c>
      <c r="T982" t="s">
        <v>53</v>
      </c>
      <c r="U982">
        <v>44</v>
      </c>
      <c r="V982">
        <v>58.975000000000001</v>
      </c>
    </row>
    <row r="983" spans="1:22" x14ac:dyDescent="0.35">
      <c r="A983" s="3">
        <v>44565</v>
      </c>
      <c r="B983" t="s">
        <v>22</v>
      </c>
      <c r="C983">
        <v>0</v>
      </c>
      <c r="D983">
        <v>0</v>
      </c>
      <c r="E983">
        <v>0</v>
      </c>
      <c r="F983">
        <v>0</v>
      </c>
      <c r="G983">
        <v>25.9253</v>
      </c>
      <c r="H983">
        <v>0</v>
      </c>
      <c r="I983">
        <v>0</v>
      </c>
      <c r="J983">
        <v>0</v>
      </c>
      <c r="K983">
        <v>0</v>
      </c>
      <c r="L983">
        <v>137</v>
      </c>
      <c r="M983">
        <v>197</v>
      </c>
      <c r="N983" t="s">
        <v>22</v>
      </c>
      <c r="O983" s="3">
        <v>44762</v>
      </c>
      <c r="P983">
        <v>-1</v>
      </c>
      <c r="T983" t="s">
        <v>52</v>
      </c>
      <c r="U983">
        <v>63</v>
      </c>
      <c r="V983">
        <v>50.4</v>
      </c>
    </row>
    <row r="984" spans="1:22" x14ac:dyDescent="0.35">
      <c r="A984" s="3">
        <v>44564</v>
      </c>
      <c r="B984" t="s">
        <v>29</v>
      </c>
      <c r="C984">
        <v>0</v>
      </c>
      <c r="D984">
        <v>0</v>
      </c>
      <c r="E984">
        <v>0</v>
      </c>
      <c r="F984">
        <v>0</v>
      </c>
      <c r="G984">
        <v>24.942599999999999</v>
      </c>
      <c r="H984">
        <v>0</v>
      </c>
      <c r="I984">
        <v>0</v>
      </c>
      <c r="J984">
        <v>0</v>
      </c>
      <c r="K984">
        <v>0</v>
      </c>
      <c r="L984">
        <v>95</v>
      </c>
      <c r="M984">
        <v>135</v>
      </c>
      <c r="N984" t="s">
        <v>29</v>
      </c>
      <c r="O984" s="3">
        <v>44699</v>
      </c>
      <c r="P984">
        <v>-1</v>
      </c>
      <c r="T984" t="s">
        <v>51</v>
      </c>
      <c r="U984">
        <v>88</v>
      </c>
      <c r="V984">
        <v>42.975000000000001</v>
      </c>
    </row>
    <row r="985" spans="1:22" x14ac:dyDescent="0.35">
      <c r="A985" s="3">
        <v>44564</v>
      </c>
      <c r="B985" t="s">
        <v>31</v>
      </c>
      <c r="C985">
        <v>0</v>
      </c>
      <c r="D985">
        <v>0</v>
      </c>
      <c r="E985">
        <v>0</v>
      </c>
      <c r="F985">
        <v>0</v>
      </c>
      <c r="G985">
        <v>23.0959</v>
      </c>
      <c r="H985">
        <v>0</v>
      </c>
      <c r="I985">
        <v>0</v>
      </c>
      <c r="J985">
        <v>0</v>
      </c>
      <c r="K985">
        <v>0</v>
      </c>
      <c r="L985">
        <v>49</v>
      </c>
      <c r="M985">
        <v>71</v>
      </c>
      <c r="N985" t="s">
        <v>31</v>
      </c>
      <c r="O985" s="3">
        <v>44635</v>
      </c>
      <c r="P985">
        <v>-1</v>
      </c>
      <c r="T985" t="s">
        <v>50</v>
      </c>
      <c r="U985">
        <v>108</v>
      </c>
      <c r="V985">
        <v>37</v>
      </c>
    </row>
    <row r="986" spans="1:22" x14ac:dyDescent="0.35">
      <c r="A986" s="3">
        <v>44564</v>
      </c>
      <c r="B986" t="s">
        <v>22</v>
      </c>
      <c r="C986">
        <v>0</v>
      </c>
      <c r="D986">
        <v>0</v>
      </c>
      <c r="E986">
        <v>0</v>
      </c>
      <c r="F986">
        <v>0</v>
      </c>
      <c r="G986">
        <v>25.843499999999999</v>
      </c>
      <c r="H986">
        <v>0</v>
      </c>
      <c r="I986">
        <v>0</v>
      </c>
      <c r="J986">
        <v>0</v>
      </c>
      <c r="K986">
        <v>0</v>
      </c>
      <c r="L986">
        <v>138</v>
      </c>
      <c r="M986">
        <v>198</v>
      </c>
      <c r="N986" t="s">
        <v>22</v>
      </c>
      <c r="O986" s="3">
        <v>44762</v>
      </c>
      <c r="P986">
        <v>-1</v>
      </c>
      <c r="T986" t="s">
        <v>49</v>
      </c>
      <c r="U986">
        <v>127</v>
      </c>
      <c r="V986">
        <v>33.725000000000001</v>
      </c>
    </row>
    <row r="987" spans="1:22" x14ac:dyDescent="0.35">
      <c r="A987" s="3">
        <v>44564</v>
      </c>
      <c r="B987" t="s">
        <v>26</v>
      </c>
      <c r="C987">
        <v>0</v>
      </c>
      <c r="D987">
        <v>0</v>
      </c>
      <c r="E987">
        <v>0</v>
      </c>
      <c r="F987">
        <v>0</v>
      </c>
      <c r="G987">
        <v>25.8</v>
      </c>
      <c r="H987">
        <v>0</v>
      </c>
      <c r="I987">
        <v>0</v>
      </c>
      <c r="J987">
        <v>0</v>
      </c>
      <c r="K987">
        <v>0</v>
      </c>
      <c r="L987">
        <v>158</v>
      </c>
      <c r="M987">
        <v>226</v>
      </c>
      <c r="N987" t="s">
        <v>26</v>
      </c>
      <c r="O987" s="3">
        <v>44790</v>
      </c>
      <c r="P987">
        <v>-1</v>
      </c>
      <c r="T987" t="s">
        <v>48</v>
      </c>
      <c r="U987">
        <v>152</v>
      </c>
      <c r="V987">
        <v>34.049999999999997</v>
      </c>
    </row>
    <row r="988" spans="1:22" x14ac:dyDescent="0.35">
      <c r="A988" s="3">
        <v>44564</v>
      </c>
      <c r="B988" t="s">
        <v>32</v>
      </c>
      <c r="C988">
        <v>0</v>
      </c>
      <c r="D988">
        <v>0</v>
      </c>
      <c r="E988">
        <v>0</v>
      </c>
      <c r="F988">
        <v>0</v>
      </c>
      <c r="G988">
        <v>21.409500000000001</v>
      </c>
      <c r="H988">
        <v>0</v>
      </c>
      <c r="I988">
        <v>0</v>
      </c>
      <c r="J988">
        <v>0</v>
      </c>
      <c r="K988">
        <v>0</v>
      </c>
      <c r="L988">
        <v>31</v>
      </c>
      <c r="M988">
        <v>44</v>
      </c>
      <c r="N988" t="s">
        <v>32</v>
      </c>
      <c r="O988" s="3">
        <v>44608</v>
      </c>
      <c r="P988">
        <v>-1</v>
      </c>
      <c r="T988" t="s">
        <v>47</v>
      </c>
      <c r="U988">
        <v>172</v>
      </c>
      <c r="V988">
        <v>32.575000000000003</v>
      </c>
    </row>
    <row r="989" spans="1:22" x14ac:dyDescent="0.35">
      <c r="A989" s="3">
        <v>44564</v>
      </c>
      <c r="B989" t="s">
        <v>27</v>
      </c>
      <c r="C989">
        <v>0</v>
      </c>
      <c r="D989">
        <v>0</v>
      </c>
      <c r="E989">
        <v>0</v>
      </c>
      <c r="F989">
        <v>0</v>
      </c>
      <c r="G989">
        <v>25.975000000000001</v>
      </c>
      <c r="H989">
        <v>0</v>
      </c>
      <c r="I989">
        <v>0</v>
      </c>
      <c r="J989">
        <v>0</v>
      </c>
      <c r="K989">
        <v>0</v>
      </c>
      <c r="L989">
        <v>182</v>
      </c>
      <c r="M989">
        <v>261</v>
      </c>
      <c r="N989" t="s">
        <v>27</v>
      </c>
      <c r="O989" s="3">
        <v>44825</v>
      </c>
      <c r="P989">
        <v>-1</v>
      </c>
      <c r="S989" s="3">
        <v>43910</v>
      </c>
      <c r="T989" t="s">
        <v>54</v>
      </c>
      <c r="U989">
        <v>18</v>
      </c>
      <c r="V989">
        <v>61.524999999999999</v>
      </c>
    </row>
    <row r="990" spans="1:22" x14ac:dyDescent="0.35">
      <c r="A990" s="3">
        <v>44564</v>
      </c>
      <c r="B990" t="s">
        <v>28</v>
      </c>
      <c r="C990">
        <v>0</v>
      </c>
      <c r="D990">
        <v>0</v>
      </c>
      <c r="E990">
        <v>0</v>
      </c>
      <c r="F990">
        <v>0</v>
      </c>
      <c r="G990">
        <v>25.267499999999998</v>
      </c>
      <c r="H990">
        <v>0</v>
      </c>
      <c r="I990">
        <v>0</v>
      </c>
      <c r="J990">
        <v>0</v>
      </c>
      <c r="K990">
        <v>0</v>
      </c>
      <c r="L990">
        <v>114</v>
      </c>
      <c r="M990">
        <v>163</v>
      </c>
      <c r="N990" t="s">
        <v>28</v>
      </c>
      <c r="O990" s="3">
        <v>44727</v>
      </c>
      <c r="P990">
        <v>-1</v>
      </c>
      <c r="T990" t="s">
        <v>53</v>
      </c>
      <c r="U990">
        <v>43</v>
      </c>
      <c r="V990">
        <v>56.625</v>
      </c>
    </row>
    <row r="991" spans="1:22" x14ac:dyDescent="0.35">
      <c r="A991" s="3">
        <v>44564</v>
      </c>
      <c r="B991" t="s">
        <v>30</v>
      </c>
      <c r="C991">
        <v>0</v>
      </c>
      <c r="D991">
        <v>0</v>
      </c>
      <c r="E991">
        <v>0</v>
      </c>
      <c r="F991">
        <v>0</v>
      </c>
      <c r="G991">
        <v>24.349399999999999</v>
      </c>
      <c r="H991">
        <v>0</v>
      </c>
      <c r="I991">
        <v>0</v>
      </c>
      <c r="J991">
        <v>0</v>
      </c>
      <c r="K991">
        <v>0</v>
      </c>
      <c r="L991">
        <v>75</v>
      </c>
      <c r="M991">
        <v>107</v>
      </c>
      <c r="N991" t="s">
        <v>30</v>
      </c>
      <c r="O991" s="3">
        <v>44671</v>
      </c>
      <c r="P991">
        <v>-1</v>
      </c>
      <c r="T991" t="s">
        <v>52</v>
      </c>
      <c r="U991">
        <v>62</v>
      </c>
      <c r="V991">
        <v>49.725000000000001</v>
      </c>
    </row>
    <row r="992" spans="1:22" x14ac:dyDescent="0.35">
      <c r="A992" s="3">
        <v>44564</v>
      </c>
      <c r="B992" t="s">
        <v>33</v>
      </c>
      <c r="C992">
        <v>0</v>
      </c>
      <c r="D992">
        <v>0</v>
      </c>
      <c r="E992">
        <v>0</v>
      </c>
      <c r="F992">
        <v>0</v>
      </c>
      <c r="G992">
        <v>18.857800000000001</v>
      </c>
      <c r="H992">
        <v>0</v>
      </c>
      <c r="I992">
        <v>0</v>
      </c>
      <c r="J992">
        <v>0</v>
      </c>
      <c r="K992">
        <v>0</v>
      </c>
      <c r="L992">
        <v>11</v>
      </c>
      <c r="M992">
        <v>16</v>
      </c>
      <c r="N992" t="s">
        <v>33</v>
      </c>
      <c r="O992" s="3">
        <v>44580</v>
      </c>
      <c r="P992">
        <v>-1</v>
      </c>
      <c r="T992" t="s">
        <v>51</v>
      </c>
      <c r="U992">
        <v>87</v>
      </c>
      <c r="V992">
        <v>42.075000000000003</v>
      </c>
    </row>
    <row r="993" spans="1:22" x14ac:dyDescent="0.35">
      <c r="A993" s="3">
        <v>44561</v>
      </c>
      <c r="B993" t="s">
        <v>26</v>
      </c>
      <c r="C993">
        <v>0</v>
      </c>
      <c r="D993">
        <v>0</v>
      </c>
      <c r="E993">
        <v>0</v>
      </c>
      <c r="F993">
        <v>0</v>
      </c>
      <c r="G993">
        <v>26.05</v>
      </c>
      <c r="H993">
        <v>0</v>
      </c>
      <c r="I993">
        <v>0</v>
      </c>
      <c r="J993">
        <v>0</v>
      </c>
      <c r="K993">
        <v>0</v>
      </c>
      <c r="L993">
        <v>159</v>
      </c>
      <c r="M993">
        <v>229</v>
      </c>
      <c r="N993" t="s">
        <v>26</v>
      </c>
      <c r="O993" s="3">
        <v>44790</v>
      </c>
      <c r="P993">
        <v>-1</v>
      </c>
      <c r="T993" t="s">
        <v>50</v>
      </c>
      <c r="U993">
        <v>107</v>
      </c>
      <c r="V993">
        <v>36.424999999999997</v>
      </c>
    </row>
    <row r="994" spans="1:22" x14ac:dyDescent="0.35">
      <c r="A994" s="3">
        <v>44561</v>
      </c>
      <c r="B994" t="s">
        <v>32</v>
      </c>
      <c r="C994">
        <v>0</v>
      </c>
      <c r="D994">
        <v>0</v>
      </c>
      <c r="E994">
        <v>0</v>
      </c>
      <c r="F994">
        <v>0</v>
      </c>
      <c r="G994">
        <v>21.970500000000001</v>
      </c>
      <c r="H994">
        <v>0</v>
      </c>
      <c r="I994">
        <v>0</v>
      </c>
      <c r="J994">
        <v>0</v>
      </c>
      <c r="K994">
        <v>0</v>
      </c>
      <c r="L994">
        <v>32</v>
      </c>
      <c r="M994">
        <v>47</v>
      </c>
      <c r="N994" t="s">
        <v>32</v>
      </c>
      <c r="O994" s="3">
        <v>44608</v>
      </c>
      <c r="P994">
        <v>-1</v>
      </c>
      <c r="T994" t="s">
        <v>49</v>
      </c>
      <c r="U994">
        <v>126</v>
      </c>
      <c r="V994">
        <v>32.975000000000001</v>
      </c>
    </row>
    <row r="995" spans="1:22" x14ac:dyDescent="0.35">
      <c r="A995" s="3">
        <v>44561</v>
      </c>
      <c r="B995" t="s">
        <v>27</v>
      </c>
      <c r="C995">
        <v>0</v>
      </c>
      <c r="D995">
        <v>0</v>
      </c>
      <c r="E995">
        <v>0</v>
      </c>
      <c r="F995">
        <v>0</v>
      </c>
      <c r="G995">
        <v>26.25</v>
      </c>
      <c r="H995">
        <v>0</v>
      </c>
      <c r="I995">
        <v>0</v>
      </c>
      <c r="J995">
        <v>0</v>
      </c>
      <c r="K995">
        <v>0</v>
      </c>
      <c r="L995">
        <v>183</v>
      </c>
      <c r="M995">
        <v>264</v>
      </c>
      <c r="N995" t="s">
        <v>27</v>
      </c>
      <c r="O995" s="3">
        <v>44825</v>
      </c>
      <c r="P995">
        <v>-1</v>
      </c>
      <c r="T995" t="s">
        <v>48</v>
      </c>
      <c r="U995">
        <v>151</v>
      </c>
      <c r="V995">
        <v>33.125</v>
      </c>
    </row>
    <row r="996" spans="1:22" x14ac:dyDescent="0.35">
      <c r="A996" s="3">
        <v>44561</v>
      </c>
      <c r="B996" t="s">
        <v>28</v>
      </c>
      <c r="C996">
        <v>0</v>
      </c>
      <c r="D996">
        <v>0</v>
      </c>
      <c r="E996">
        <v>0</v>
      </c>
      <c r="F996">
        <v>0</v>
      </c>
      <c r="G996">
        <v>25.5688</v>
      </c>
      <c r="H996">
        <v>0</v>
      </c>
      <c r="I996">
        <v>0</v>
      </c>
      <c r="J996">
        <v>0</v>
      </c>
      <c r="K996">
        <v>0</v>
      </c>
      <c r="L996">
        <v>115</v>
      </c>
      <c r="M996">
        <v>166</v>
      </c>
      <c r="N996" t="s">
        <v>28</v>
      </c>
      <c r="O996" s="3">
        <v>44727</v>
      </c>
      <c r="P996">
        <v>-1</v>
      </c>
      <c r="T996" t="s">
        <v>47</v>
      </c>
      <c r="U996">
        <v>171</v>
      </c>
      <c r="V996">
        <v>31.45</v>
      </c>
    </row>
    <row r="997" spans="1:22" x14ac:dyDescent="0.35">
      <c r="A997" s="3">
        <v>44561</v>
      </c>
      <c r="B997" t="s">
        <v>30</v>
      </c>
      <c r="C997">
        <v>0</v>
      </c>
      <c r="D997">
        <v>0</v>
      </c>
      <c r="E997">
        <v>0</v>
      </c>
      <c r="F997">
        <v>0</v>
      </c>
      <c r="G997">
        <v>24.691299999999998</v>
      </c>
      <c r="H997">
        <v>0</v>
      </c>
      <c r="I997">
        <v>0</v>
      </c>
      <c r="J997">
        <v>0</v>
      </c>
      <c r="K997">
        <v>0</v>
      </c>
      <c r="L997">
        <v>76</v>
      </c>
      <c r="M997">
        <v>110</v>
      </c>
      <c r="N997" t="s">
        <v>30</v>
      </c>
      <c r="O997" s="3">
        <v>44671</v>
      </c>
      <c r="P997">
        <v>-1</v>
      </c>
      <c r="S997" s="3">
        <v>43913</v>
      </c>
      <c r="T997" t="s">
        <v>54</v>
      </c>
      <c r="U997">
        <v>17</v>
      </c>
      <c r="V997">
        <v>49.45</v>
      </c>
    </row>
    <row r="998" spans="1:22" x14ac:dyDescent="0.35">
      <c r="A998" s="3">
        <v>44561</v>
      </c>
      <c r="B998" t="s">
        <v>33</v>
      </c>
      <c r="C998">
        <v>0</v>
      </c>
      <c r="D998">
        <v>0</v>
      </c>
      <c r="E998">
        <v>0</v>
      </c>
      <c r="F998">
        <v>0</v>
      </c>
      <c r="G998">
        <v>19.674499999999998</v>
      </c>
      <c r="H998">
        <v>0</v>
      </c>
      <c r="I998">
        <v>0</v>
      </c>
      <c r="J998">
        <v>0</v>
      </c>
      <c r="K998">
        <v>0</v>
      </c>
      <c r="L998">
        <v>12</v>
      </c>
      <c r="M998">
        <v>19</v>
      </c>
      <c r="N998" t="s">
        <v>33</v>
      </c>
      <c r="O998" s="3">
        <v>44580</v>
      </c>
      <c r="P998">
        <v>-1</v>
      </c>
      <c r="T998" t="s">
        <v>53</v>
      </c>
      <c r="U998">
        <v>42</v>
      </c>
      <c r="V998">
        <v>45.325000000000003</v>
      </c>
    </row>
    <row r="999" spans="1:22" x14ac:dyDescent="0.35">
      <c r="A999" s="3">
        <v>44561</v>
      </c>
      <c r="B999" t="s">
        <v>29</v>
      </c>
      <c r="C999">
        <v>0</v>
      </c>
      <c r="D999">
        <v>0</v>
      </c>
      <c r="E999">
        <v>0</v>
      </c>
      <c r="F999">
        <v>0</v>
      </c>
      <c r="G999">
        <v>25.2468</v>
      </c>
      <c r="H999">
        <v>0</v>
      </c>
      <c r="I999">
        <v>0</v>
      </c>
      <c r="J999">
        <v>0</v>
      </c>
      <c r="K999">
        <v>0</v>
      </c>
      <c r="L999">
        <v>96</v>
      </c>
      <c r="M999">
        <v>138</v>
      </c>
      <c r="N999" t="s">
        <v>29</v>
      </c>
      <c r="O999" s="3">
        <v>44699</v>
      </c>
      <c r="P999">
        <v>-1</v>
      </c>
      <c r="T999" t="s">
        <v>52</v>
      </c>
      <c r="U999">
        <v>61</v>
      </c>
      <c r="V999">
        <v>40.35</v>
      </c>
    </row>
    <row r="1000" spans="1:22" x14ac:dyDescent="0.35">
      <c r="A1000" s="3">
        <v>44561</v>
      </c>
      <c r="B1000" t="s">
        <v>31</v>
      </c>
      <c r="C1000">
        <v>0</v>
      </c>
      <c r="D1000">
        <v>0</v>
      </c>
      <c r="E1000">
        <v>0</v>
      </c>
      <c r="F1000">
        <v>0</v>
      </c>
      <c r="G1000">
        <v>23.468499999999999</v>
      </c>
      <c r="H1000">
        <v>0</v>
      </c>
      <c r="I1000">
        <v>0</v>
      </c>
      <c r="J1000">
        <v>0</v>
      </c>
      <c r="K1000">
        <v>0</v>
      </c>
      <c r="L1000">
        <v>50</v>
      </c>
      <c r="M1000">
        <v>74</v>
      </c>
      <c r="N1000" t="s">
        <v>31</v>
      </c>
      <c r="O1000" s="3">
        <v>44635</v>
      </c>
      <c r="P1000">
        <v>-1</v>
      </c>
      <c r="T1000" t="s">
        <v>51</v>
      </c>
      <c r="U1000">
        <v>86</v>
      </c>
      <c r="V1000">
        <v>34.475000000000001</v>
      </c>
    </row>
    <row r="1001" spans="1:22" x14ac:dyDescent="0.35">
      <c r="A1001" s="3">
        <v>44561</v>
      </c>
      <c r="B1001" t="s">
        <v>22</v>
      </c>
      <c r="C1001">
        <v>0</v>
      </c>
      <c r="D1001">
        <v>0</v>
      </c>
      <c r="E1001">
        <v>0</v>
      </c>
      <c r="F1001">
        <v>0</v>
      </c>
      <c r="G1001">
        <v>26.15</v>
      </c>
      <c r="H1001">
        <v>0</v>
      </c>
      <c r="I1001">
        <v>0</v>
      </c>
      <c r="J1001">
        <v>0</v>
      </c>
      <c r="K1001">
        <v>0</v>
      </c>
      <c r="L1001">
        <v>139</v>
      </c>
      <c r="M1001">
        <v>201</v>
      </c>
      <c r="N1001" t="s">
        <v>22</v>
      </c>
      <c r="O1001" s="3">
        <v>44762</v>
      </c>
      <c r="P1001">
        <v>-1</v>
      </c>
      <c r="T1001" t="s">
        <v>50</v>
      </c>
      <c r="U1001">
        <v>106</v>
      </c>
      <c r="V1001">
        <v>30.7</v>
      </c>
    </row>
    <row r="1002" spans="1:22" x14ac:dyDescent="0.35">
      <c r="A1002" s="3">
        <v>44560</v>
      </c>
      <c r="B1002" t="s">
        <v>29</v>
      </c>
      <c r="C1002">
        <v>0</v>
      </c>
      <c r="D1002">
        <v>0</v>
      </c>
      <c r="E1002">
        <v>0</v>
      </c>
      <c r="F1002">
        <v>0</v>
      </c>
      <c r="G1002">
        <v>25.3249</v>
      </c>
      <c r="H1002">
        <v>0</v>
      </c>
      <c r="I1002">
        <v>0</v>
      </c>
      <c r="J1002">
        <v>0</v>
      </c>
      <c r="K1002">
        <v>0</v>
      </c>
      <c r="L1002">
        <v>97</v>
      </c>
      <c r="M1002">
        <v>139</v>
      </c>
      <c r="N1002" t="s">
        <v>29</v>
      </c>
      <c r="O1002" s="3">
        <v>44699</v>
      </c>
      <c r="P1002">
        <v>-1</v>
      </c>
      <c r="T1002" t="s">
        <v>49</v>
      </c>
      <c r="U1002">
        <v>125</v>
      </c>
      <c r="V1002">
        <v>28.574999999999999</v>
      </c>
    </row>
    <row r="1003" spans="1:22" x14ac:dyDescent="0.35">
      <c r="A1003" s="3">
        <v>44560</v>
      </c>
      <c r="B1003" t="s">
        <v>31</v>
      </c>
      <c r="C1003">
        <v>0</v>
      </c>
      <c r="D1003">
        <v>0</v>
      </c>
      <c r="E1003">
        <v>0</v>
      </c>
      <c r="F1003">
        <v>0</v>
      </c>
      <c r="G1003">
        <v>23.532900000000001</v>
      </c>
      <c r="H1003">
        <v>0</v>
      </c>
      <c r="I1003">
        <v>0</v>
      </c>
      <c r="J1003">
        <v>0</v>
      </c>
      <c r="K1003">
        <v>0</v>
      </c>
      <c r="L1003">
        <v>51</v>
      </c>
      <c r="M1003">
        <v>75</v>
      </c>
      <c r="N1003" t="s">
        <v>31</v>
      </c>
      <c r="O1003" s="3">
        <v>44635</v>
      </c>
      <c r="P1003">
        <v>-1</v>
      </c>
      <c r="T1003" t="s">
        <v>48</v>
      </c>
      <c r="U1003">
        <v>150</v>
      </c>
      <c r="V1003">
        <v>29.574999999999999</v>
      </c>
    </row>
    <row r="1004" spans="1:22" x14ac:dyDescent="0.35">
      <c r="A1004" s="3">
        <v>44560</v>
      </c>
      <c r="B1004" t="s">
        <v>22</v>
      </c>
      <c r="C1004">
        <v>0</v>
      </c>
      <c r="D1004">
        <v>0</v>
      </c>
      <c r="E1004">
        <v>0</v>
      </c>
      <c r="F1004">
        <v>0</v>
      </c>
      <c r="G1004">
        <v>26.05</v>
      </c>
      <c r="H1004">
        <v>0</v>
      </c>
      <c r="I1004">
        <v>0</v>
      </c>
      <c r="J1004">
        <v>0</v>
      </c>
      <c r="K1004">
        <v>0</v>
      </c>
      <c r="L1004">
        <v>140</v>
      </c>
      <c r="M1004">
        <v>202</v>
      </c>
      <c r="N1004" t="s">
        <v>22</v>
      </c>
      <c r="O1004" s="3">
        <v>44762</v>
      </c>
      <c r="P1004">
        <v>-1</v>
      </c>
      <c r="T1004" t="s">
        <v>47</v>
      </c>
      <c r="U1004">
        <v>170</v>
      </c>
      <c r="V1004">
        <v>28.524999999999999</v>
      </c>
    </row>
    <row r="1005" spans="1:22" x14ac:dyDescent="0.35">
      <c r="A1005" s="3">
        <v>44560</v>
      </c>
      <c r="B1005" t="s">
        <v>26</v>
      </c>
      <c r="C1005">
        <v>0</v>
      </c>
      <c r="D1005">
        <v>0</v>
      </c>
      <c r="E1005">
        <v>0</v>
      </c>
      <c r="F1005">
        <v>0</v>
      </c>
      <c r="G1005">
        <v>26</v>
      </c>
      <c r="H1005">
        <v>0</v>
      </c>
      <c r="I1005">
        <v>0</v>
      </c>
      <c r="J1005">
        <v>0</v>
      </c>
      <c r="K1005">
        <v>0</v>
      </c>
      <c r="L1005">
        <v>160</v>
      </c>
      <c r="M1005">
        <v>230</v>
      </c>
      <c r="N1005" t="s">
        <v>26</v>
      </c>
      <c r="O1005" s="3">
        <v>44790</v>
      </c>
      <c r="P1005">
        <v>-1</v>
      </c>
      <c r="S1005" s="3">
        <v>43914</v>
      </c>
      <c r="T1005" t="s">
        <v>54</v>
      </c>
      <c r="U1005">
        <v>16</v>
      </c>
      <c r="V1005">
        <v>48.25</v>
      </c>
    </row>
    <row r="1006" spans="1:22" x14ac:dyDescent="0.35">
      <c r="A1006" s="3">
        <v>44560</v>
      </c>
      <c r="B1006" t="s">
        <v>32</v>
      </c>
      <c r="C1006">
        <v>0</v>
      </c>
      <c r="D1006">
        <v>0</v>
      </c>
      <c r="E1006">
        <v>0</v>
      </c>
      <c r="F1006">
        <v>0</v>
      </c>
      <c r="G1006">
        <v>22.047000000000001</v>
      </c>
      <c r="H1006">
        <v>0</v>
      </c>
      <c r="I1006">
        <v>0</v>
      </c>
      <c r="J1006">
        <v>0</v>
      </c>
      <c r="K1006">
        <v>0</v>
      </c>
      <c r="L1006">
        <v>33</v>
      </c>
      <c r="M1006">
        <v>48</v>
      </c>
      <c r="N1006" t="s">
        <v>32</v>
      </c>
      <c r="O1006" s="3">
        <v>44608</v>
      </c>
      <c r="P1006">
        <v>-1</v>
      </c>
      <c r="T1006" t="s">
        <v>53</v>
      </c>
      <c r="U1006">
        <v>41</v>
      </c>
      <c r="V1006">
        <v>40.15</v>
      </c>
    </row>
    <row r="1007" spans="1:22" x14ac:dyDescent="0.35">
      <c r="A1007" s="3">
        <v>44560</v>
      </c>
      <c r="B1007" t="s">
        <v>27</v>
      </c>
      <c r="C1007">
        <v>0</v>
      </c>
      <c r="D1007">
        <v>0</v>
      </c>
      <c r="E1007">
        <v>0</v>
      </c>
      <c r="F1007">
        <v>0</v>
      </c>
      <c r="G1007">
        <v>26.125</v>
      </c>
      <c r="H1007">
        <v>0</v>
      </c>
      <c r="I1007">
        <v>0</v>
      </c>
      <c r="J1007">
        <v>0</v>
      </c>
      <c r="K1007">
        <v>0</v>
      </c>
      <c r="L1007">
        <v>184</v>
      </c>
      <c r="M1007">
        <v>265</v>
      </c>
      <c r="N1007" t="s">
        <v>27</v>
      </c>
      <c r="O1007" s="3">
        <v>44825</v>
      </c>
      <c r="P1007">
        <v>-1</v>
      </c>
      <c r="T1007" t="s">
        <v>52</v>
      </c>
      <c r="U1007">
        <v>60</v>
      </c>
      <c r="V1007">
        <v>35.700000000000003</v>
      </c>
    </row>
    <row r="1008" spans="1:22" x14ac:dyDescent="0.35">
      <c r="A1008" s="3">
        <v>44560</v>
      </c>
      <c r="B1008" t="s">
        <v>28</v>
      </c>
      <c r="C1008">
        <v>0</v>
      </c>
      <c r="D1008">
        <v>0</v>
      </c>
      <c r="E1008">
        <v>0</v>
      </c>
      <c r="F1008">
        <v>0</v>
      </c>
      <c r="G1008">
        <v>25.6</v>
      </c>
      <c r="H1008">
        <v>0</v>
      </c>
      <c r="I1008">
        <v>0</v>
      </c>
      <c r="J1008">
        <v>0</v>
      </c>
      <c r="K1008">
        <v>0</v>
      </c>
      <c r="L1008">
        <v>116</v>
      </c>
      <c r="M1008">
        <v>167</v>
      </c>
      <c r="N1008" t="s">
        <v>28</v>
      </c>
      <c r="O1008" s="3">
        <v>44727</v>
      </c>
      <c r="P1008">
        <v>-1</v>
      </c>
      <c r="T1008" t="s">
        <v>51</v>
      </c>
      <c r="U1008">
        <v>85</v>
      </c>
      <c r="V1008">
        <v>30.9</v>
      </c>
    </row>
    <row r="1009" spans="1:22" x14ac:dyDescent="0.35">
      <c r="A1009" s="3">
        <v>44560</v>
      </c>
      <c r="B1009" t="s">
        <v>30</v>
      </c>
      <c r="C1009">
        <v>0</v>
      </c>
      <c r="D1009">
        <v>0</v>
      </c>
      <c r="E1009">
        <v>0</v>
      </c>
      <c r="F1009">
        <v>0</v>
      </c>
      <c r="G1009">
        <v>24.7318</v>
      </c>
      <c r="H1009">
        <v>0</v>
      </c>
      <c r="I1009">
        <v>0</v>
      </c>
      <c r="J1009">
        <v>0</v>
      </c>
      <c r="K1009">
        <v>0</v>
      </c>
      <c r="L1009">
        <v>77</v>
      </c>
      <c r="M1009">
        <v>111</v>
      </c>
      <c r="N1009" t="s">
        <v>30</v>
      </c>
      <c r="O1009" s="3">
        <v>44671</v>
      </c>
      <c r="P1009">
        <v>-1</v>
      </c>
      <c r="T1009" t="s">
        <v>50</v>
      </c>
      <c r="U1009">
        <v>105</v>
      </c>
      <c r="V1009">
        <v>27.75</v>
      </c>
    </row>
    <row r="1010" spans="1:22" x14ac:dyDescent="0.35">
      <c r="A1010" s="3">
        <v>44560</v>
      </c>
      <c r="B1010" t="s">
        <v>33</v>
      </c>
      <c r="C1010">
        <v>0</v>
      </c>
      <c r="D1010">
        <v>0</v>
      </c>
      <c r="E1010">
        <v>0</v>
      </c>
      <c r="F1010">
        <v>0</v>
      </c>
      <c r="G1010">
        <v>19.943899999999999</v>
      </c>
      <c r="H1010">
        <v>0</v>
      </c>
      <c r="I1010">
        <v>0</v>
      </c>
      <c r="J1010">
        <v>0</v>
      </c>
      <c r="K1010">
        <v>0</v>
      </c>
      <c r="L1010">
        <v>13</v>
      </c>
      <c r="M1010">
        <v>20</v>
      </c>
      <c r="N1010" t="s">
        <v>33</v>
      </c>
      <c r="O1010" s="3">
        <v>44580</v>
      </c>
      <c r="P1010">
        <v>-1</v>
      </c>
      <c r="T1010" t="s">
        <v>49</v>
      </c>
      <c r="U1010">
        <v>124</v>
      </c>
      <c r="V1010">
        <v>26.8</v>
      </c>
    </row>
    <row r="1011" spans="1:22" x14ac:dyDescent="0.35">
      <c r="A1011" s="3">
        <v>44559</v>
      </c>
      <c r="B1011" t="s">
        <v>26</v>
      </c>
      <c r="C1011">
        <v>0</v>
      </c>
      <c r="D1011">
        <v>0</v>
      </c>
      <c r="E1011">
        <v>0</v>
      </c>
      <c r="F1011">
        <v>0</v>
      </c>
      <c r="G1011">
        <v>25.85</v>
      </c>
      <c r="H1011">
        <v>0</v>
      </c>
      <c r="I1011">
        <v>0</v>
      </c>
      <c r="J1011">
        <v>0</v>
      </c>
      <c r="K1011">
        <v>0</v>
      </c>
      <c r="L1011">
        <v>161</v>
      </c>
      <c r="M1011">
        <v>231</v>
      </c>
      <c r="N1011" t="s">
        <v>26</v>
      </c>
      <c r="O1011" s="3">
        <v>44790</v>
      </c>
      <c r="P1011">
        <v>-1</v>
      </c>
      <c r="T1011" t="s">
        <v>48</v>
      </c>
      <c r="U1011">
        <v>149</v>
      </c>
      <c r="V1011">
        <v>27</v>
      </c>
    </row>
    <row r="1012" spans="1:22" x14ac:dyDescent="0.35">
      <c r="A1012" s="3">
        <v>44559</v>
      </c>
      <c r="B1012" t="s">
        <v>32</v>
      </c>
      <c r="C1012">
        <v>0</v>
      </c>
      <c r="D1012">
        <v>0</v>
      </c>
      <c r="E1012">
        <v>0</v>
      </c>
      <c r="F1012">
        <v>0</v>
      </c>
      <c r="G1012">
        <v>22.103999999999999</v>
      </c>
      <c r="H1012">
        <v>0</v>
      </c>
      <c r="I1012">
        <v>0</v>
      </c>
      <c r="J1012">
        <v>0</v>
      </c>
      <c r="K1012">
        <v>0</v>
      </c>
      <c r="L1012">
        <v>34</v>
      </c>
      <c r="M1012">
        <v>49</v>
      </c>
      <c r="N1012" t="s">
        <v>32</v>
      </c>
      <c r="O1012" s="3">
        <v>44608</v>
      </c>
      <c r="P1012">
        <v>-1</v>
      </c>
      <c r="T1012" t="s">
        <v>47</v>
      </c>
      <c r="U1012">
        <v>169</v>
      </c>
      <c r="V1012">
        <v>25.824999999999999</v>
      </c>
    </row>
    <row r="1013" spans="1:22" x14ac:dyDescent="0.35">
      <c r="A1013" s="3">
        <v>44559</v>
      </c>
      <c r="B1013" t="s">
        <v>27</v>
      </c>
      <c r="C1013">
        <v>0</v>
      </c>
      <c r="D1013">
        <v>0</v>
      </c>
      <c r="E1013">
        <v>0</v>
      </c>
      <c r="F1013">
        <v>0</v>
      </c>
      <c r="G1013">
        <v>25.975000000000001</v>
      </c>
      <c r="H1013">
        <v>0</v>
      </c>
      <c r="I1013">
        <v>0</v>
      </c>
      <c r="J1013">
        <v>0</v>
      </c>
      <c r="K1013">
        <v>0</v>
      </c>
      <c r="L1013">
        <v>185</v>
      </c>
      <c r="M1013">
        <v>266</v>
      </c>
      <c r="N1013" t="s">
        <v>27</v>
      </c>
      <c r="O1013" s="3">
        <v>44825</v>
      </c>
      <c r="P1013">
        <v>-1</v>
      </c>
      <c r="S1013" s="3">
        <v>43915</v>
      </c>
      <c r="T1013" t="s">
        <v>54</v>
      </c>
      <c r="U1013">
        <v>15</v>
      </c>
      <c r="V1013">
        <v>51.274999999999999</v>
      </c>
    </row>
    <row r="1014" spans="1:22" x14ac:dyDescent="0.35">
      <c r="A1014" s="3">
        <v>44559</v>
      </c>
      <c r="B1014" t="s">
        <v>28</v>
      </c>
      <c r="C1014">
        <v>0</v>
      </c>
      <c r="D1014">
        <v>0</v>
      </c>
      <c r="E1014">
        <v>0</v>
      </c>
      <c r="F1014">
        <v>0</v>
      </c>
      <c r="G1014">
        <v>25.449400000000001</v>
      </c>
      <c r="H1014">
        <v>0</v>
      </c>
      <c r="I1014">
        <v>0</v>
      </c>
      <c r="J1014">
        <v>0</v>
      </c>
      <c r="K1014">
        <v>0</v>
      </c>
      <c r="L1014">
        <v>117</v>
      </c>
      <c r="M1014">
        <v>168</v>
      </c>
      <c r="N1014" t="s">
        <v>28</v>
      </c>
      <c r="O1014" s="3">
        <v>44727</v>
      </c>
      <c r="P1014">
        <v>-1</v>
      </c>
      <c r="T1014" t="s">
        <v>53</v>
      </c>
      <c r="U1014">
        <v>40</v>
      </c>
      <c r="V1014">
        <v>44.524999999999999</v>
      </c>
    </row>
    <row r="1015" spans="1:22" x14ac:dyDescent="0.35">
      <c r="A1015" s="3">
        <v>44559</v>
      </c>
      <c r="B1015" t="s">
        <v>30</v>
      </c>
      <c r="C1015">
        <v>0</v>
      </c>
      <c r="D1015">
        <v>0</v>
      </c>
      <c r="E1015">
        <v>0</v>
      </c>
      <c r="F1015">
        <v>0</v>
      </c>
      <c r="G1015">
        <v>24.660699999999999</v>
      </c>
      <c r="H1015">
        <v>0</v>
      </c>
      <c r="I1015">
        <v>0</v>
      </c>
      <c r="J1015">
        <v>0</v>
      </c>
      <c r="K1015">
        <v>0</v>
      </c>
      <c r="L1015">
        <v>78</v>
      </c>
      <c r="M1015">
        <v>112</v>
      </c>
      <c r="N1015" t="s">
        <v>30</v>
      </c>
      <c r="O1015" s="3">
        <v>44671</v>
      </c>
      <c r="P1015">
        <v>-1</v>
      </c>
      <c r="T1015" t="s">
        <v>52</v>
      </c>
      <c r="U1015">
        <v>59</v>
      </c>
      <c r="V1015">
        <v>39.25</v>
      </c>
    </row>
    <row r="1016" spans="1:22" x14ac:dyDescent="0.35">
      <c r="A1016" s="3">
        <v>44559</v>
      </c>
      <c r="B1016" t="s">
        <v>33</v>
      </c>
      <c r="C1016">
        <v>0</v>
      </c>
      <c r="D1016">
        <v>0</v>
      </c>
      <c r="E1016">
        <v>0</v>
      </c>
      <c r="F1016">
        <v>0</v>
      </c>
      <c r="G1016">
        <v>20.007200000000001</v>
      </c>
      <c r="H1016">
        <v>0</v>
      </c>
      <c r="I1016">
        <v>0</v>
      </c>
      <c r="J1016">
        <v>0</v>
      </c>
      <c r="K1016">
        <v>0</v>
      </c>
      <c r="L1016">
        <v>14</v>
      </c>
      <c r="M1016">
        <v>21</v>
      </c>
      <c r="N1016" t="s">
        <v>33</v>
      </c>
      <c r="O1016" s="3">
        <v>44580</v>
      </c>
      <c r="P1016">
        <v>-1</v>
      </c>
      <c r="T1016" t="s">
        <v>51</v>
      </c>
      <c r="U1016">
        <v>84</v>
      </c>
      <c r="V1016">
        <v>34.799999999999997</v>
      </c>
    </row>
    <row r="1017" spans="1:22" x14ac:dyDescent="0.35">
      <c r="A1017" s="3">
        <v>44559</v>
      </c>
      <c r="B1017" t="s">
        <v>29</v>
      </c>
      <c r="C1017">
        <v>0</v>
      </c>
      <c r="D1017">
        <v>0</v>
      </c>
      <c r="E1017">
        <v>0</v>
      </c>
      <c r="F1017">
        <v>0</v>
      </c>
      <c r="G1017">
        <v>25.200199999999999</v>
      </c>
      <c r="H1017">
        <v>0</v>
      </c>
      <c r="I1017">
        <v>0</v>
      </c>
      <c r="J1017">
        <v>0</v>
      </c>
      <c r="K1017">
        <v>0</v>
      </c>
      <c r="L1017">
        <v>98</v>
      </c>
      <c r="M1017">
        <v>140</v>
      </c>
      <c r="N1017" t="s">
        <v>29</v>
      </c>
      <c r="O1017" s="3">
        <v>44699</v>
      </c>
      <c r="P1017">
        <v>-1</v>
      </c>
      <c r="T1017" t="s">
        <v>50</v>
      </c>
      <c r="U1017">
        <v>104</v>
      </c>
      <c r="V1017">
        <v>31.675000000000001</v>
      </c>
    </row>
    <row r="1018" spans="1:22" x14ac:dyDescent="0.35">
      <c r="A1018" s="3">
        <v>44559</v>
      </c>
      <c r="B1018" t="s">
        <v>31</v>
      </c>
      <c r="C1018">
        <v>0</v>
      </c>
      <c r="D1018">
        <v>0</v>
      </c>
      <c r="E1018">
        <v>0</v>
      </c>
      <c r="F1018">
        <v>0</v>
      </c>
      <c r="G1018">
        <v>23.548999999999999</v>
      </c>
      <c r="H1018">
        <v>0</v>
      </c>
      <c r="I1018">
        <v>0</v>
      </c>
      <c r="J1018">
        <v>0</v>
      </c>
      <c r="K1018">
        <v>0</v>
      </c>
      <c r="L1018">
        <v>52</v>
      </c>
      <c r="M1018">
        <v>76</v>
      </c>
      <c r="N1018" t="s">
        <v>31</v>
      </c>
      <c r="O1018" s="3">
        <v>44635</v>
      </c>
      <c r="P1018">
        <v>-1</v>
      </c>
      <c r="T1018" t="s">
        <v>49</v>
      </c>
      <c r="U1018">
        <v>123</v>
      </c>
      <c r="V1018">
        <v>30.7</v>
      </c>
    </row>
    <row r="1019" spans="1:22" x14ac:dyDescent="0.35">
      <c r="A1019" s="3">
        <v>44559</v>
      </c>
      <c r="B1019" t="s">
        <v>22</v>
      </c>
      <c r="C1019">
        <v>0</v>
      </c>
      <c r="D1019">
        <v>0</v>
      </c>
      <c r="E1019">
        <v>0</v>
      </c>
      <c r="F1019">
        <v>0</v>
      </c>
      <c r="G1019">
        <v>25.9</v>
      </c>
      <c r="H1019">
        <v>0</v>
      </c>
      <c r="I1019">
        <v>0</v>
      </c>
      <c r="J1019">
        <v>0</v>
      </c>
      <c r="K1019">
        <v>0</v>
      </c>
      <c r="L1019">
        <v>141</v>
      </c>
      <c r="M1019">
        <v>203</v>
      </c>
      <c r="N1019" t="s">
        <v>22</v>
      </c>
      <c r="O1019" s="3">
        <v>44762</v>
      </c>
      <c r="P1019">
        <v>-1</v>
      </c>
      <c r="T1019" t="s">
        <v>48</v>
      </c>
      <c r="U1019">
        <v>148</v>
      </c>
      <c r="V1019">
        <v>30.65</v>
      </c>
    </row>
    <row r="1020" spans="1:22" x14ac:dyDescent="0.35">
      <c r="A1020" s="3">
        <v>44558</v>
      </c>
      <c r="B1020" t="s">
        <v>29</v>
      </c>
      <c r="C1020">
        <v>0</v>
      </c>
      <c r="D1020">
        <v>0</v>
      </c>
      <c r="E1020">
        <v>0</v>
      </c>
      <c r="F1020">
        <v>0</v>
      </c>
      <c r="G1020">
        <v>25.4602</v>
      </c>
      <c r="H1020">
        <v>0</v>
      </c>
      <c r="I1020">
        <v>0</v>
      </c>
      <c r="J1020">
        <v>0</v>
      </c>
      <c r="K1020">
        <v>0</v>
      </c>
      <c r="L1020">
        <v>99</v>
      </c>
      <c r="M1020">
        <v>141</v>
      </c>
      <c r="N1020" t="s">
        <v>29</v>
      </c>
      <c r="O1020" s="3">
        <v>44699</v>
      </c>
      <c r="P1020">
        <v>-1</v>
      </c>
      <c r="T1020" t="s">
        <v>47</v>
      </c>
      <c r="U1020">
        <v>168</v>
      </c>
      <c r="V1020">
        <v>29.2</v>
      </c>
    </row>
    <row r="1021" spans="1:22" x14ac:dyDescent="0.35">
      <c r="A1021" s="3">
        <v>44558</v>
      </c>
      <c r="B1021" t="s">
        <v>31</v>
      </c>
      <c r="C1021">
        <v>0</v>
      </c>
      <c r="D1021">
        <v>0</v>
      </c>
      <c r="E1021">
        <v>0</v>
      </c>
      <c r="F1021">
        <v>0</v>
      </c>
      <c r="G1021">
        <v>23.906199999999998</v>
      </c>
      <c r="H1021">
        <v>0</v>
      </c>
      <c r="I1021">
        <v>0</v>
      </c>
      <c r="J1021">
        <v>0</v>
      </c>
      <c r="K1021">
        <v>0</v>
      </c>
      <c r="L1021">
        <v>53</v>
      </c>
      <c r="M1021">
        <v>77</v>
      </c>
      <c r="N1021" t="s">
        <v>31</v>
      </c>
      <c r="O1021" s="3">
        <v>44635</v>
      </c>
      <c r="P1021">
        <v>-1</v>
      </c>
      <c r="S1021" s="3">
        <v>43916</v>
      </c>
      <c r="T1021" t="s">
        <v>54</v>
      </c>
      <c r="U1021">
        <v>14</v>
      </c>
      <c r="V1021">
        <v>45.875</v>
      </c>
    </row>
    <row r="1022" spans="1:22" x14ac:dyDescent="0.35">
      <c r="A1022" s="3">
        <v>44558</v>
      </c>
      <c r="B1022" t="s">
        <v>22</v>
      </c>
      <c r="C1022">
        <v>0</v>
      </c>
      <c r="D1022">
        <v>0</v>
      </c>
      <c r="E1022">
        <v>0</v>
      </c>
      <c r="F1022">
        <v>0</v>
      </c>
      <c r="G1022">
        <v>26.064299999999999</v>
      </c>
      <c r="H1022">
        <v>0</v>
      </c>
      <c r="I1022">
        <v>0</v>
      </c>
      <c r="J1022">
        <v>0</v>
      </c>
      <c r="K1022">
        <v>0</v>
      </c>
      <c r="L1022">
        <v>142</v>
      </c>
      <c r="M1022">
        <v>204</v>
      </c>
      <c r="N1022" t="s">
        <v>22</v>
      </c>
      <c r="O1022" s="3">
        <v>44762</v>
      </c>
      <c r="P1022">
        <v>-1</v>
      </c>
      <c r="T1022" t="s">
        <v>53</v>
      </c>
      <c r="U1022">
        <v>39</v>
      </c>
      <c r="V1022">
        <v>39.65</v>
      </c>
    </row>
    <row r="1023" spans="1:22" x14ac:dyDescent="0.35">
      <c r="A1023" s="3">
        <v>44558</v>
      </c>
      <c r="B1023" t="s">
        <v>26</v>
      </c>
      <c r="C1023">
        <v>0</v>
      </c>
      <c r="D1023">
        <v>0</v>
      </c>
      <c r="E1023">
        <v>0</v>
      </c>
      <c r="F1023">
        <v>0</v>
      </c>
      <c r="G1023">
        <v>25.975000000000001</v>
      </c>
      <c r="H1023">
        <v>0</v>
      </c>
      <c r="I1023">
        <v>0</v>
      </c>
      <c r="J1023">
        <v>0</v>
      </c>
      <c r="K1023">
        <v>0</v>
      </c>
      <c r="L1023">
        <v>162</v>
      </c>
      <c r="M1023">
        <v>232</v>
      </c>
      <c r="N1023" t="s">
        <v>26</v>
      </c>
      <c r="O1023" s="3">
        <v>44790</v>
      </c>
      <c r="P1023">
        <v>-1</v>
      </c>
      <c r="T1023" t="s">
        <v>52</v>
      </c>
      <c r="U1023">
        <v>58</v>
      </c>
      <c r="V1023">
        <v>35.524999999999999</v>
      </c>
    </row>
    <row r="1024" spans="1:22" x14ac:dyDescent="0.35">
      <c r="A1024" s="3">
        <v>44558</v>
      </c>
      <c r="B1024" t="s">
        <v>32</v>
      </c>
      <c r="C1024">
        <v>0</v>
      </c>
      <c r="D1024">
        <v>0</v>
      </c>
      <c r="E1024">
        <v>0</v>
      </c>
      <c r="F1024">
        <v>0</v>
      </c>
      <c r="G1024">
        <v>22.630299999999998</v>
      </c>
      <c r="H1024">
        <v>0</v>
      </c>
      <c r="I1024">
        <v>0</v>
      </c>
      <c r="J1024">
        <v>0</v>
      </c>
      <c r="K1024">
        <v>0</v>
      </c>
      <c r="L1024">
        <v>35</v>
      </c>
      <c r="M1024">
        <v>50</v>
      </c>
      <c r="N1024" t="s">
        <v>32</v>
      </c>
      <c r="O1024" s="3">
        <v>44608</v>
      </c>
      <c r="P1024">
        <v>-1</v>
      </c>
      <c r="T1024" t="s">
        <v>51</v>
      </c>
      <c r="U1024">
        <v>83</v>
      </c>
      <c r="V1024">
        <v>32.325000000000003</v>
      </c>
    </row>
    <row r="1025" spans="1:22" x14ac:dyDescent="0.35">
      <c r="A1025" s="3">
        <v>44558</v>
      </c>
      <c r="B1025" t="s">
        <v>27</v>
      </c>
      <c r="C1025">
        <v>0</v>
      </c>
      <c r="D1025">
        <v>0</v>
      </c>
      <c r="E1025">
        <v>0</v>
      </c>
      <c r="F1025">
        <v>0</v>
      </c>
      <c r="G1025">
        <v>25.975000000000001</v>
      </c>
      <c r="H1025">
        <v>0</v>
      </c>
      <c r="I1025">
        <v>0</v>
      </c>
      <c r="J1025">
        <v>0</v>
      </c>
      <c r="K1025">
        <v>0</v>
      </c>
      <c r="L1025">
        <v>186</v>
      </c>
      <c r="M1025">
        <v>267</v>
      </c>
      <c r="N1025" t="s">
        <v>27</v>
      </c>
      <c r="O1025" s="3">
        <v>44825</v>
      </c>
      <c r="P1025">
        <v>-1</v>
      </c>
      <c r="T1025" t="s">
        <v>50</v>
      </c>
      <c r="U1025">
        <v>103</v>
      </c>
      <c r="V1025">
        <v>29.824999999999999</v>
      </c>
    </row>
    <row r="1026" spans="1:22" x14ac:dyDescent="0.35">
      <c r="A1026" s="3">
        <v>44558</v>
      </c>
      <c r="B1026" t="s">
        <v>28</v>
      </c>
      <c r="C1026">
        <v>0</v>
      </c>
      <c r="D1026">
        <v>0</v>
      </c>
      <c r="E1026">
        <v>0</v>
      </c>
      <c r="F1026">
        <v>0</v>
      </c>
      <c r="G1026">
        <v>25.662500000000001</v>
      </c>
      <c r="H1026">
        <v>0</v>
      </c>
      <c r="I1026">
        <v>0</v>
      </c>
      <c r="J1026">
        <v>0</v>
      </c>
      <c r="K1026">
        <v>0</v>
      </c>
      <c r="L1026">
        <v>118</v>
      </c>
      <c r="M1026">
        <v>169</v>
      </c>
      <c r="N1026" t="s">
        <v>28</v>
      </c>
      <c r="O1026" s="3">
        <v>44727</v>
      </c>
      <c r="P1026">
        <v>-1</v>
      </c>
      <c r="T1026" t="s">
        <v>49</v>
      </c>
      <c r="U1026">
        <v>122</v>
      </c>
      <c r="V1026">
        <v>28.65</v>
      </c>
    </row>
    <row r="1027" spans="1:22" x14ac:dyDescent="0.35">
      <c r="A1027" s="3">
        <v>44558</v>
      </c>
      <c r="B1027" t="s">
        <v>30</v>
      </c>
      <c r="C1027">
        <v>0</v>
      </c>
      <c r="D1027">
        <v>0</v>
      </c>
      <c r="E1027">
        <v>0</v>
      </c>
      <c r="F1027">
        <v>0</v>
      </c>
      <c r="G1027">
        <v>24.999300000000002</v>
      </c>
      <c r="H1027">
        <v>0</v>
      </c>
      <c r="I1027">
        <v>0</v>
      </c>
      <c r="J1027">
        <v>0</v>
      </c>
      <c r="K1027">
        <v>0</v>
      </c>
      <c r="L1027">
        <v>79</v>
      </c>
      <c r="M1027">
        <v>113</v>
      </c>
      <c r="N1027" t="s">
        <v>30</v>
      </c>
      <c r="O1027" s="3">
        <v>44671</v>
      </c>
      <c r="P1027">
        <v>-1</v>
      </c>
      <c r="T1027" t="s">
        <v>48</v>
      </c>
      <c r="U1027">
        <v>147</v>
      </c>
      <c r="V1027">
        <v>28.875</v>
      </c>
    </row>
    <row r="1028" spans="1:22" x14ac:dyDescent="0.35">
      <c r="A1028" s="3">
        <v>44558</v>
      </c>
      <c r="B1028" t="s">
        <v>33</v>
      </c>
      <c r="C1028">
        <v>0</v>
      </c>
      <c r="D1028">
        <v>0</v>
      </c>
      <c r="E1028">
        <v>0</v>
      </c>
      <c r="F1028">
        <v>0</v>
      </c>
      <c r="G1028">
        <v>20.5305</v>
      </c>
      <c r="H1028">
        <v>0</v>
      </c>
      <c r="I1028">
        <v>0</v>
      </c>
      <c r="J1028">
        <v>0</v>
      </c>
      <c r="K1028">
        <v>0</v>
      </c>
      <c r="L1028">
        <v>15</v>
      </c>
      <c r="M1028">
        <v>22</v>
      </c>
      <c r="N1028" t="s">
        <v>33</v>
      </c>
      <c r="O1028" s="3">
        <v>44580</v>
      </c>
      <c r="P1028">
        <v>-1</v>
      </c>
      <c r="T1028" t="s">
        <v>47</v>
      </c>
      <c r="U1028">
        <v>167</v>
      </c>
      <c r="V1028">
        <v>27.85</v>
      </c>
    </row>
    <row r="1029" spans="1:22" x14ac:dyDescent="0.35">
      <c r="A1029" s="3">
        <v>44557</v>
      </c>
      <c r="B1029" t="s">
        <v>26</v>
      </c>
      <c r="C1029">
        <v>0</v>
      </c>
      <c r="D1029">
        <v>0</v>
      </c>
      <c r="E1029">
        <v>0</v>
      </c>
      <c r="F1029">
        <v>0</v>
      </c>
      <c r="G1029">
        <v>26.05</v>
      </c>
      <c r="H1029">
        <v>0</v>
      </c>
      <c r="I1029">
        <v>0</v>
      </c>
      <c r="J1029">
        <v>0</v>
      </c>
      <c r="K1029">
        <v>0</v>
      </c>
      <c r="L1029">
        <v>162</v>
      </c>
      <c r="M1029">
        <v>233</v>
      </c>
      <c r="N1029" t="s">
        <v>26</v>
      </c>
      <c r="O1029" s="3">
        <v>44790</v>
      </c>
      <c r="P1029">
        <v>-1</v>
      </c>
      <c r="S1029" s="3">
        <v>43917</v>
      </c>
      <c r="T1029" t="s">
        <v>54</v>
      </c>
      <c r="U1029">
        <v>13</v>
      </c>
      <c r="V1029">
        <v>53.424999999999997</v>
      </c>
    </row>
    <row r="1030" spans="1:22" x14ac:dyDescent="0.35">
      <c r="A1030" s="3">
        <v>44557</v>
      </c>
      <c r="B1030" t="s">
        <v>32</v>
      </c>
      <c r="C1030">
        <v>0</v>
      </c>
      <c r="D1030">
        <v>0</v>
      </c>
      <c r="E1030">
        <v>0</v>
      </c>
      <c r="F1030">
        <v>0</v>
      </c>
      <c r="G1030">
        <v>23.030200000000001</v>
      </c>
      <c r="H1030">
        <v>0</v>
      </c>
      <c r="I1030">
        <v>0</v>
      </c>
      <c r="J1030">
        <v>0</v>
      </c>
      <c r="K1030">
        <v>0</v>
      </c>
      <c r="L1030">
        <v>35</v>
      </c>
      <c r="M1030">
        <v>51</v>
      </c>
      <c r="N1030" t="s">
        <v>32</v>
      </c>
      <c r="O1030" s="3">
        <v>44608</v>
      </c>
      <c r="P1030">
        <v>-1</v>
      </c>
      <c r="T1030" t="s">
        <v>53</v>
      </c>
      <c r="U1030">
        <v>38</v>
      </c>
      <c r="V1030">
        <v>44.825000000000003</v>
      </c>
    </row>
    <row r="1031" spans="1:22" x14ac:dyDescent="0.35">
      <c r="A1031" s="3">
        <v>44557</v>
      </c>
      <c r="B1031" t="s">
        <v>27</v>
      </c>
      <c r="C1031">
        <v>0</v>
      </c>
      <c r="D1031">
        <v>0</v>
      </c>
      <c r="E1031">
        <v>0</v>
      </c>
      <c r="F1031">
        <v>0</v>
      </c>
      <c r="G1031">
        <v>26.05</v>
      </c>
      <c r="H1031">
        <v>0</v>
      </c>
      <c r="I1031">
        <v>0</v>
      </c>
      <c r="J1031">
        <v>0</v>
      </c>
      <c r="K1031">
        <v>0</v>
      </c>
      <c r="L1031">
        <v>186</v>
      </c>
      <c r="M1031">
        <v>268</v>
      </c>
      <c r="N1031" t="s">
        <v>27</v>
      </c>
      <c r="O1031" s="3">
        <v>44825</v>
      </c>
      <c r="P1031">
        <v>-1</v>
      </c>
      <c r="T1031" t="s">
        <v>52</v>
      </c>
      <c r="U1031">
        <v>57</v>
      </c>
      <c r="V1031">
        <v>39.450000000000003</v>
      </c>
    </row>
    <row r="1032" spans="1:22" x14ac:dyDescent="0.35">
      <c r="A1032" s="3">
        <v>44557</v>
      </c>
      <c r="B1032" t="s">
        <v>28</v>
      </c>
      <c r="C1032">
        <v>0</v>
      </c>
      <c r="D1032">
        <v>0</v>
      </c>
      <c r="E1032">
        <v>0</v>
      </c>
      <c r="F1032">
        <v>0</v>
      </c>
      <c r="G1032">
        <v>25.8489</v>
      </c>
      <c r="H1032">
        <v>0</v>
      </c>
      <c r="I1032">
        <v>0</v>
      </c>
      <c r="J1032">
        <v>0</v>
      </c>
      <c r="K1032">
        <v>0</v>
      </c>
      <c r="L1032">
        <v>118</v>
      </c>
      <c r="M1032">
        <v>170</v>
      </c>
      <c r="N1032" t="s">
        <v>28</v>
      </c>
      <c r="O1032" s="3">
        <v>44727</v>
      </c>
      <c r="P1032">
        <v>-1</v>
      </c>
      <c r="T1032" t="s">
        <v>51</v>
      </c>
      <c r="U1032">
        <v>82</v>
      </c>
      <c r="V1032">
        <v>35.35</v>
      </c>
    </row>
    <row r="1033" spans="1:22" x14ac:dyDescent="0.35">
      <c r="A1033" s="3">
        <v>44557</v>
      </c>
      <c r="B1033" t="s">
        <v>30</v>
      </c>
      <c r="C1033">
        <v>0</v>
      </c>
      <c r="D1033">
        <v>0</v>
      </c>
      <c r="E1033">
        <v>0</v>
      </c>
      <c r="F1033">
        <v>0</v>
      </c>
      <c r="G1033">
        <v>25.2561</v>
      </c>
      <c r="H1033">
        <v>0</v>
      </c>
      <c r="I1033">
        <v>0</v>
      </c>
      <c r="J1033">
        <v>0</v>
      </c>
      <c r="K1033">
        <v>0</v>
      </c>
      <c r="L1033">
        <v>79</v>
      </c>
      <c r="M1033">
        <v>114</v>
      </c>
      <c r="N1033" t="s">
        <v>30</v>
      </c>
      <c r="O1033" s="3">
        <v>44671</v>
      </c>
      <c r="P1033">
        <v>-1</v>
      </c>
      <c r="T1033" t="s">
        <v>50</v>
      </c>
      <c r="U1033">
        <v>102</v>
      </c>
      <c r="V1033">
        <v>32.25</v>
      </c>
    </row>
    <row r="1034" spans="1:22" x14ac:dyDescent="0.35">
      <c r="A1034" s="3">
        <v>44557</v>
      </c>
      <c r="B1034" t="s">
        <v>33</v>
      </c>
      <c r="C1034">
        <v>0</v>
      </c>
      <c r="D1034">
        <v>0</v>
      </c>
      <c r="E1034">
        <v>0</v>
      </c>
      <c r="F1034">
        <v>0</v>
      </c>
      <c r="G1034">
        <v>21.005299999999998</v>
      </c>
      <c r="H1034">
        <v>0</v>
      </c>
      <c r="I1034">
        <v>0</v>
      </c>
      <c r="J1034">
        <v>0</v>
      </c>
      <c r="K1034">
        <v>0</v>
      </c>
      <c r="L1034">
        <v>15</v>
      </c>
      <c r="M1034">
        <v>23</v>
      </c>
      <c r="N1034" t="s">
        <v>33</v>
      </c>
      <c r="O1034" s="3">
        <v>44580</v>
      </c>
      <c r="P1034">
        <v>-1</v>
      </c>
      <c r="T1034" t="s">
        <v>49</v>
      </c>
      <c r="U1034">
        <v>121</v>
      </c>
      <c r="V1034">
        <v>30.85</v>
      </c>
    </row>
    <row r="1035" spans="1:22" x14ac:dyDescent="0.35">
      <c r="A1035" s="3">
        <v>44557</v>
      </c>
      <c r="B1035" t="s">
        <v>29</v>
      </c>
      <c r="C1035">
        <v>0</v>
      </c>
      <c r="D1035">
        <v>0</v>
      </c>
      <c r="E1035">
        <v>0</v>
      </c>
      <c r="F1035">
        <v>0</v>
      </c>
      <c r="G1035">
        <v>25.697099999999999</v>
      </c>
      <c r="H1035">
        <v>0</v>
      </c>
      <c r="I1035">
        <v>0</v>
      </c>
      <c r="J1035">
        <v>0</v>
      </c>
      <c r="K1035">
        <v>0</v>
      </c>
      <c r="L1035">
        <v>99</v>
      </c>
      <c r="M1035">
        <v>142</v>
      </c>
      <c r="N1035" t="s">
        <v>29</v>
      </c>
      <c r="O1035" s="3">
        <v>44699</v>
      </c>
      <c r="P1035">
        <v>-1</v>
      </c>
      <c r="T1035" t="s">
        <v>48</v>
      </c>
      <c r="U1035">
        <v>146</v>
      </c>
      <c r="V1035">
        <v>30.65</v>
      </c>
    </row>
    <row r="1036" spans="1:22" x14ac:dyDescent="0.35">
      <c r="A1036" s="3">
        <v>44557</v>
      </c>
      <c r="B1036" t="s">
        <v>31</v>
      </c>
      <c r="C1036">
        <v>0</v>
      </c>
      <c r="D1036">
        <v>0</v>
      </c>
      <c r="E1036">
        <v>0</v>
      </c>
      <c r="F1036">
        <v>0</v>
      </c>
      <c r="G1036">
        <v>24.3004</v>
      </c>
      <c r="H1036">
        <v>0</v>
      </c>
      <c r="I1036">
        <v>0</v>
      </c>
      <c r="J1036">
        <v>0</v>
      </c>
      <c r="K1036">
        <v>0</v>
      </c>
      <c r="L1036">
        <v>53</v>
      </c>
      <c r="M1036">
        <v>78</v>
      </c>
      <c r="N1036" t="s">
        <v>31</v>
      </c>
      <c r="O1036" s="3">
        <v>44635</v>
      </c>
      <c r="P1036">
        <v>-1</v>
      </c>
      <c r="T1036" t="s">
        <v>47</v>
      </c>
      <c r="U1036">
        <v>166</v>
      </c>
      <c r="V1036">
        <v>29.324999999999999</v>
      </c>
    </row>
    <row r="1037" spans="1:22" x14ac:dyDescent="0.35">
      <c r="A1037" s="3">
        <v>44557</v>
      </c>
      <c r="B1037" t="s">
        <v>22</v>
      </c>
      <c r="C1037">
        <v>0</v>
      </c>
      <c r="D1037">
        <v>0</v>
      </c>
      <c r="E1037">
        <v>0</v>
      </c>
      <c r="F1037">
        <v>0</v>
      </c>
      <c r="G1037">
        <v>26.2</v>
      </c>
      <c r="H1037">
        <v>0</v>
      </c>
      <c r="I1037">
        <v>0</v>
      </c>
      <c r="J1037">
        <v>0</v>
      </c>
      <c r="K1037">
        <v>0</v>
      </c>
      <c r="L1037">
        <v>142</v>
      </c>
      <c r="M1037">
        <v>205</v>
      </c>
      <c r="N1037" t="s">
        <v>22</v>
      </c>
      <c r="O1037" s="3">
        <v>44762</v>
      </c>
      <c r="P1037">
        <v>-1</v>
      </c>
      <c r="T1037" t="s">
        <v>46</v>
      </c>
      <c r="U1037">
        <v>185</v>
      </c>
      <c r="V1037">
        <v>32.024999999999999</v>
      </c>
    </row>
    <row r="1038" spans="1:22" x14ac:dyDescent="0.35">
      <c r="A1038" s="3">
        <v>44553</v>
      </c>
      <c r="B1038" t="s">
        <v>29</v>
      </c>
      <c r="C1038">
        <v>0</v>
      </c>
      <c r="D1038">
        <v>0</v>
      </c>
      <c r="E1038">
        <v>0</v>
      </c>
      <c r="F1038">
        <v>0</v>
      </c>
      <c r="G1038">
        <v>25.9512</v>
      </c>
      <c r="H1038">
        <v>0</v>
      </c>
      <c r="I1038">
        <v>0</v>
      </c>
      <c r="J1038">
        <v>0</v>
      </c>
      <c r="K1038">
        <v>0</v>
      </c>
      <c r="L1038">
        <v>101</v>
      </c>
      <c r="M1038">
        <v>146</v>
      </c>
      <c r="N1038" t="s">
        <v>29</v>
      </c>
      <c r="O1038" s="3">
        <v>44699</v>
      </c>
      <c r="P1038">
        <v>-1</v>
      </c>
      <c r="S1038" s="3">
        <v>43920</v>
      </c>
      <c r="T1038" t="s">
        <v>54</v>
      </c>
      <c r="U1038">
        <v>12</v>
      </c>
      <c r="V1038">
        <v>49.774999999999999</v>
      </c>
    </row>
    <row r="1039" spans="1:22" x14ac:dyDescent="0.35">
      <c r="A1039" s="3">
        <v>44553</v>
      </c>
      <c r="B1039" t="s">
        <v>31</v>
      </c>
      <c r="C1039">
        <v>0</v>
      </c>
      <c r="D1039">
        <v>0</v>
      </c>
      <c r="E1039">
        <v>0</v>
      </c>
      <c r="F1039">
        <v>0</v>
      </c>
      <c r="G1039">
        <v>24.599</v>
      </c>
      <c r="H1039">
        <v>0</v>
      </c>
      <c r="I1039">
        <v>0</v>
      </c>
      <c r="J1039">
        <v>0</v>
      </c>
      <c r="K1039">
        <v>0</v>
      </c>
      <c r="L1039">
        <v>55</v>
      </c>
      <c r="M1039">
        <v>82</v>
      </c>
      <c r="N1039" t="s">
        <v>31</v>
      </c>
      <c r="O1039" s="3">
        <v>44635</v>
      </c>
      <c r="P1039">
        <v>-1</v>
      </c>
      <c r="T1039" t="s">
        <v>53</v>
      </c>
      <c r="U1039">
        <v>37</v>
      </c>
      <c r="V1039">
        <v>42.75</v>
      </c>
    </row>
    <row r="1040" spans="1:22" x14ac:dyDescent="0.35">
      <c r="A1040" s="3">
        <v>44553</v>
      </c>
      <c r="B1040" t="s">
        <v>22</v>
      </c>
      <c r="C1040">
        <v>0</v>
      </c>
      <c r="D1040">
        <v>0</v>
      </c>
      <c r="E1040">
        <v>0</v>
      </c>
      <c r="F1040">
        <v>0</v>
      </c>
      <c r="G1040">
        <v>26.435700000000001</v>
      </c>
      <c r="H1040">
        <v>0</v>
      </c>
      <c r="I1040">
        <v>0</v>
      </c>
      <c r="J1040">
        <v>0</v>
      </c>
      <c r="K1040">
        <v>0</v>
      </c>
      <c r="L1040">
        <v>144</v>
      </c>
      <c r="M1040">
        <v>209</v>
      </c>
      <c r="N1040" t="s">
        <v>22</v>
      </c>
      <c r="O1040" s="3">
        <v>44762</v>
      </c>
      <c r="P1040">
        <v>-1</v>
      </c>
      <c r="T1040" t="s">
        <v>52</v>
      </c>
      <c r="U1040">
        <v>56</v>
      </c>
      <c r="V1040">
        <v>38.174999999999997</v>
      </c>
    </row>
    <row r="1041" spans="1:22" x14ac:dyDescent="0.35">
      <c r="A1041" s="3">
        <v>44553</v>
      </c>
      <c r="B1041" t="s">
        <v>26</v>
      </c>
      <c r="C1041">
        <v>0</v>
      </c>
      <c r="D1041">
        <v>0</v>
      </c>
      <c r="E1041">
        <v>0</v>
      </c>
      <c r="F1041">
        <v>0</v>
      </c>
      <c r="G1041">
        <v>26.175000000000001</v>
      </c>
      <c r="H1041">
        <v>0</v>
      </c>
      <c r="I1041">
        <v>0</v>
      </c>
      <c r="J1041">
        <v>0</v>
      </c>
      <c r="K1041">
        <v>0</v>
      </c>
      <c r="L1041">
        <v>164</v>
      </c>
      <c r="M1041">
        <v>237</v>
      </c>
      <c r="N1041" t="s">
        <v>26</v>
      </c>
      <c r="O1041" s="3">
        <v>44790</v>
      </c>
      <c r="P1041">
        <v>-1</v>
      </c>
      <c r="T1041" t="s">
        <v>51</v>
      </c>
      <c r="U1041">
        <v>81</v>
      </c>
      <c r="V1041">
        <v>34.299999999999997</v>
      </c>
    </row>
    <row r="1042" spans="1:22" x14ac:dyDescent="0.35">
      <c r="A1042" s="3">
        <v>44553</v>
      </c>
      <c r="B1042" t="s">
        <v>32</v>
      </c>
      <c r="C1042">
        <v>0</v>
      </c>
      <c r="D1042">
        <v>0</v>
      </c>
      <c r="E1042">
        <v>0</v>
      </c>
      <c r="F1042">
        <v>0</v>
      </c>
      <c r="G1042">
        <v>23.3994</v>
      </c>
      <c r="H1042">
        <v>0</v>
      </c>
      <c r="I1042">
        <v>0</v>
      </c>
      <c r="J1042">
        <v>0</v>
      </c>
      <c r="K1042">
        <v>0</v>
      </c>
      <c r="L1042">
        <v>37</v>
      </c>
      <c r="M1042">
        <v>55</v>
      </c>
      <c r="N1042" t="s">
        <v>32</v>
      </c>
      <c r="O1042" s="3">
        <v>44608</v>
      </c>
      <c r="P1042">
        <v>-1</v>
      </c>
      <c r="T1042" t="s">
        <v>50</v>
      </c>
      <c r="U1042">
        <v>101</v>
      </c>
      <c r="V1042">
        <v>31.425000000000001</v>
      </c>
    </row>
    <row r="1043" spans="1:22" x14ac:dyDescent="0.35">
      <c r="A1043" s="3">
        <v>44553</v>
      </c>
      <c r="B1043" t="s">
        <v>28</v>
      </c>
      <c r="C1043">
        <v>0</v>
      </c>
      <c r="D1043">
        <v>0</v>
      </c>
      <c r="E1043">
        <v>0</v>
      </c>
      <c r="F1043">
        <v>0</v>
      </c>
      <c r="G1043">
        <v>26.0839</v>
      </c>
      <c r="H1043">
        <v>0</v>
      </c>
      <c r="I1043">
        <v>0</v>
      </c>
      <c r="J1043">
        <v>0</v>
      </c>
      <c r="K1043">
        <v>0</v>
      </c>
      <c r="L1043">
        <v>120</v>
      </c>
      <c r="M1043">
        <v>174</v>
      </c>
      <c r="N1043" t="s">
        <v>28</v>
      </c>
      <c r="O1043" s="3">
        <v>44727</v>
      </c>
      <c r="P1043">
        <v>-1</v>
      </c>
      <c r="T1043" t="s">
        <v>49</v>
      </c>
      <c r="U1043">
        <v>120</v>
      </c>
      <c r="V1043">
        <v>29.925000000000001</v>
      </c>
    </row>
    <row r="1044" spans="1:22" x14ac:dyDescent="0.35">
      <c r="A1044" s="3">
        <v>44553</v>
      </c>
      <c r="B1044" t="s">
        <v>30</v>
      </c>
      <c r="C1044">
        <v>0</v>
      </c>
      <c r="D1044">
        <v>0</v>
      </c>
      <c r="E1044">
        <v>0</v>
      </c>
      <c r="F1044">
        <v>0</v>
      </c>
      <c r="G1044">
        <v>25.550799999999999</v>
      </c>
      <c r="H1044">
        <v>0</v>
      </c>
      <c r="I1044">
        <v>0</v>
      </c>
      <c r="J1044">
        <v>0</v>
      </c>
      <c r="K1044">
        <v>0</v>
      </c>
      <c r="L1044">
        <v>81</v>
      </c>
      <c r="M1044">
        <v>118</v>
      </c>
      <c r="N1044" t="s">
        <v>30</v>
      </c>
      <c r="O1044" s="3">
        <v>44671</v>
      </c>
      <c r="P1044">
        <v>-1</v>
      </c>
      <c r="T1044" t="s">
        <v>48</v>
      </c>
      <c r="U1044">
        <v>145</v>
      </c>
      <c r="V1044">
        <v>29.774999999999999</v>
      </c>
    </row>
    <row r="1045" spans="1:22" x14ac:dyDescent="0.35">
      <c r="A1045" s="3">
        <v>44553</v>
      </c>
      <c r="B1045" t="s">
        <v>33</v>
      </c>
      <c r="C1045">
        <v>0</v>
      </c>
      <c r="D1045">
        <v>0</v>
      </c>
      <c r="E1045">
        <v>0</v>
      </c>
      <c r="F1045">
        <v>0</v>
      </c>
      <c r="G1045">
        <v>21.651800000000001</v>
      </c>
      <c r="H1045">
        <v>0</v>
      </c>
      <c r="I1045">
        <v>0</v>
      </c>
      <c r="J1045">
        <v>0</v>
      </c>
      <c r="K1045">
        <v>0</v>
      </c>
      <c r="L1045">
        <v>17</v>
      </c>
      <c r="M1045">
        <v>27</v>
      </c>
      <c r="N1045" t="s">
        <v>33</v>
      </c>
      <c r="O1045" s="3">
        <v>44580</v>
      </c>
      <c r="P1045">
        <v>-1</v>
      </c>
      <c r="T1045" t="s">
        <v>47</v>
      </c>
      <c r="U1045">
        <v>165</v>
      </c>
      <c r="V1045">
        <v>28.6</v>
      </c>
    </row>
    <row r="1046" spans="1:22" x14ac:dyDescent="0.35">
      <c r="A1046" s="3">
        <v>44552</v>
      </c>
      <c r="B1046" t="s">
        <v>26</v>
      </c>
      <c r="C1046">
        <v>0</v>
      </c>
      <c r="D1046">
        <v>0</v>
      </c>
      <c r="E1046">
        <v>0</v>
      </c>
      <c r="F1046">
        <v>0</v>
      </c>
      <c r="G1046">
        <v>26.175000000000001</v>
      </c>
      <c r="H1046">
        <v>0</v>
      </c>
      <c r="I1046">
        <v>0</v>
      </c>
      <c r="J1046">
        <v>0</v>
      </c>
      <c r="K1046">
        <v>0</v>
      </c>
      <c r="L1046">
        <v>165</v>
      </c>
      <c r="M1046">
        <v>238</v>
      </c>
      <c r="N1046" t="s">
        <v>26</v>
      </c>
      <c r="O1046" s="3">
        <v>44790</v>
      </c>
      <c r="P1046">
        <v>-1</v>
      </c>
      <c r="S1046" s="3">
        <v>43921</v>
      </c>
      <c r="T1046" t="s">
        <v>54</v>
      </c>
      <c r="U1046">
        <v>11</v>
      </c>
      <c r="V1046">
        <v>46.774999999999999</v>
      </c>
    </row>
    <row r="1047" spans="1:22" x14ac:dyDescent="0.35">
      <c r="A1047" s="3">
        <v>44552</v>
      </c>
      <c r="B1047" t="s">
        <v>32</v>
      </c>
      <c r="C1047">
        <v>0</v>
      </c>
      <c r="D1047">
        <v>0</v>
      </c>
      <c r="E1047">
        <v>0</v>
      </c>
      <c r="F1047">
        <v>0</v>
      </c>
      <c r="G1047">
        <v>23.548300000000001</v>
      </c>
      <c r="H1047">
        <v>0</v>
      </c>
      <c r="I1047">
        <v>0</v>
      </c>
      <c r="J1047">
        <v>0</v>
      </c>
      <c r="K1047">
        <v>0</v>
      </c>
      <c r="L1047">
        <v>38</v>
      </c>
      <c r="M1047">
        <v>56</v>
      </c>
      <c r="N1047" t="s">
        <v>32</v>
      </c>
      <c r="O1047" s="3">
        <v>44608</v>
      </c>
      <c r="P1047">
        <v>-1</v>
      </c>
      <c r="T1047" t="s">
        <v>53</v>
      </c>
      <c r="U1047">
        <v>36</v>
      </c>
      <c r="V1047">
        <v>40.924999999999997</v>
      </c>
    </row>
    <row r="1048" spans="1:22" x14ac:dyDescent="0.35">
      <c r="A1048" s="3">
        <v>44552</v>
      </c>
      <c r="B1048" t="s">
        <v>34</v>
      </c>
      <c r="C1048">
        <v>0</v>
      </c>
      <c r="D1048">
        <v>0</v>
      </c>
      <c r="E1048">
        <v>0</v>
      </c>
      <c r="F1048">
        <v>0</v>
      </c>
      <c r="G1048">
        <v>20.83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34</v>
      </c>
      <c r="O1048" s="3">
        <v>44552</v>
      </c>
      <c r="P1048">
        <v>-1</v>
      </c>
      <c r="T1048" t="s">
        <v>52</v>
      </c>
      <c r="U1048">
        <v>55</v>
      </c>
      <c r="V1048">
        <v>37.225000000000001</v>
      </c>
    </row>
    <row r="1049" spans="1:22" x14ac:dyDescent="0.35">
      <c r="A1049" s="3">
        <v>44552</v>
      </c>
      <c r="B1049" t="s">
        <v>28</v>
      </c>
      <c r="C1049">
        <v>0</v>
      </c>
      <c r="D1049">
        <v>0</v>
      </c>
      <c r="E1049">
        <v>0</v>
      </c>
      <c r="F1049">
        <v>0</v>
      </c>
      <c r="G1049">
        <v>26.0794</v>
      </c>
      <c r="H1049">
        <v>0</v>
      </c>
      <c r="I1049">
        <v>0</v>
      </c>
      <c r="J1049">
        <v>0</v>
      </c>
      <c r="K1049">
        <v>0</v>
      </c>
      <c r="L1049">
        <v>121</v>
      </c>
      <c r="M1049">
        <v>175</v>
      </c>
      <c r="N1049" t="s">
        <v>28</v>
      </c>
      <c r="O1049" s="3">
        <v>44727</v>
      </c>
      <c r="P1049">
        <v>-1</v>
      </c>
      <c r="T1049" t="s">
        <v>51</v>
      </c>
      <c r="U1049">
        <v>80</v>
      </c>
      <c r="V1049">
        <v>33.924999999999997</v>
      </c>
    </row>
    <row r="1050" spans="1:22" x14ac:dyDescent="0.35">
      <c r="A1050" s="3">
        <v>44552</v>
      </c>
      <c r="B1050" t="s">
        <v>30</v>
      </c>
      <c r="C1050">
        <v>0</v>
      </c>
      <c r="D1050">
        <v>0</v>
      </c>
      <c r="E1050">
        <v>0</v>
      </c>
      <c r="F1050">
        <v>0</v>
      </c>
      <c r="G1050">
        <v>25.613399999999999</v>
      </c>
      <c r="H1050">
        <v>0</v>
      </c>
      <c r="I1050">
        <v>0</v>
      </c>
      <c r="J1050">
        <v>0</v>
      </c>
      <c r="K1050">
        <v>0</v>
      </c>
      <c r="L1050">
        <v>82</v>
      </c>
      <c r="M1050">
        <v>119</v>
      </c>
      <c r="N1050" t="s">
        <v>30</v>
      </c>
      <c r="O1050" s="3">
        <v>44671</v>
      </c>
      <c r="P1050">
        <v>-1</v>
      </c>
      <c r="T1050" t="s">
        <v>50</v>
      </c>
      <c r="U1050">
        <v>100</v>
      </c>
      <c r="V1050">
        <v>31.675000000000001</v>
      </c>
    </row>
    <row r="1051" spans="1:22" x14ac:dyDescent="0.35">
      <c r="A1051" s="3">
        <v>44552</v>
      </c>
      <c r="B1051" t="s">
        <v>33</v>
      </c>
      <c r="C1051">
        <v>0</v>
      </c>
      <c r="D1051">
        <v>0</v>
      </c>
      <c r="E1051">
        <v>0</v>
      </c>
      <c r="F1051">
        <v>0</v>
      </c>
      <c r="G1051">
        <v>21.800699999999999</v>
      </c>
      <c r="H1051">
        <v>0</v>
      </c>
      <c r="I1051">
        <v>0</v>
      </c>
      <c r="J1051">
        <v>0</v>
      </c>
      <c r="K1051">
        <v>0</v>
      </c>
      <c r="L1051">
        <v>18</v>
      </c>
      <c r="M1051">
        <v>28</v>
      </c>
      <c r="N1051" t="s">
        <v>33</v>
      </c>
      <c r="O1051" s="3">
        <v>44580</v>
      </c>
      <c r="P1051">
        <v>-1</v>
      </c>
      <c r="T1051" t="s">
        <v>49</v>
      </c>
      <c r="U1051">
        <v>119</v>
      </c>
      <c r="V1051">
        <v>30.1</v>
      </c>
    </row>
    <row r="1052" spans="1:22" x14ac:dyDescent="0.35">
      <c r="A1052" s="3">
        <v>44552</v>
      </c>
      <c r="B1052" t="s">
        <v>29</v>
      </c>
      <c r="C1052">
        <v>0</v>
      </c>
      <c r="D1052">
        <v>0</v>
      </c>
      <c r="E1052">
        <v>0</v>
      </c>
      <c r="F1052">
        <v>0</v>
      </c>
      <c r="G1052">
        <v>25.912700000000001</v>
      </c>
      <c r="H1052">
        <v>0</v>
      </c>
      <c r="I1052">
        <v>0</v>
      </c>
      <c r="J1052">
        <v>0</v>
      </c>
      <c r="K1052">
        <v>0</v>
      </c>
      <c r="L1052">
        <v>102</v>
      </c>
      <c r="M1052">
        <v>147</v>
      </c>
      <c r="N1052" t="s">
        <v>29</v>
      </c>
      <c r="O1052" s="3">
        <v>44699</v>
      </c>
      <c r="P1052">
        <v>-1</v>
      </c>
      <c r="T1052" t="s">
        <v>48</v>
      </c>
      <c r="U1052">
        <v>144</v>
      </c>
      <c r="V1052">
        <v>29.925000000000001</v>
      </c>
    </row>
    <row r="1053" spans="1:22" x14ac:dyDescent="0.35">
      <c r="A1053" s="3">
        <v>44552</v>
      </c>
      <c r="B1053" t="s">
        <v>31</v>
      </c>
      <c r="C1053">
        <v>0</v>
      </c>
      <c r="D1053">
        <v>0</v>
      </c>
      <c r="E1053">
        <v>0</v>
      </c>
      <c r="F1053">
        <v>0</v>
      </c>
      <c r="G1053">
        <v>24.712599999999998</v>
      </c>
      <c r="H1053">
        <v>0</v>
      </c>
      <c r="I1053">
        <v>0</v>
      </c>
      <c r="J1053">
        <v>0</v>
      </c>
      <c r="K1053">
        <v>0</v>
      </c>
      <c r="L1053">
        <v>56</v>
      </c>
      <c r="M1053">
        <v>83</v>
      </c>
      <c r="N1053" t="s">
        <v>31</v>
      </c>
      <c r="O1053" s="3">
        <v>44635</v>
      </c>
      <c r="P1053">
        <v>-1</v>
      </c>
      <c r="T1053" t="s">
        <v>47</v>
      </c>
      <c r="U1053">
        <v>164</v>
      </c>
      <c r="V1053">
        <v>28.7</v>
      </c>
    </row>
    <row r="1054" spans="1:22" x14ac:dyDescent="0.35">
      <c r="A1054" s="3">
        <v>44552</v>
      </c>
      <c r="B1054" t="s">
        <v>22</v>
      </c>
      <c r="C1054">
        <v>0</v>
      </c>
      <c r="D1054">
        <v>0</v>
      </c>
      <c r="E1054">
        <v>0</v>
      </c>
      <c r="F1054">
        <v>0</v>
      </c>
      <c r="G1054">
        <v>26.416699999999999</v>
      </c>
      <c r="H1054">
        <v>0</v>
      </c>
      <c r="I1054">
        <v>0</v>
      </c>
      <c r="J1054">
        <v>0</v>
      </c>
      <c r="K1054">
        <v>0</v>
      </c>
      <c r="L1054">
        <v>145</v>
      </c>
      <c r="M1054">
        <v>210</v>
      </c>
      <c r="N1054" t="s">
        <v>22</v>
      </c>
      <c r="O1054" s="3">
        <v>44762</v>
      </c>
      <c r="P1054">
        <v>-1</v>
      </c>
      <c r="S1054" s="3">
        <v>43922</v>
      </c>
      <c r="T1054" t="s">
        <v>54</v>
      </c>
      <c r="U1054">
        <v>10</v>
      </c>
      <c r="V1054">
        <v>51.325000000000003</v>
      </c>
    </row>
    <row r="1055" spans="1:22" x14ac:dyDescent="0.35">
      <c r="A1055" s="3">
        <v>44551</v>
      </c>
      <c r="B1055" t="s">
        <v>29</v>
      </c>
      <c r="C1055">
        <v>0</v>
      </c>
      <c r="D1055">
        <v>0</v>
      </c>
      <c r="E1055">
        <v>0</v>
      </c>
      <c r="F1055">
        <v>0</v>
      </c>
      <c r="G1055">
        <v>26.347999999999999</v>
      </c>
      <c r="H1055">
        <v>0</v>
      </c>
      <c r="I1055">
        <v>0</v>
      </c>
      <c r="J1055">
        <v>0</v>
      </c>
      <c r="K1055">
        <v>0</v>
      </c>
      <c r="L1055">
        <v>103</v>
      </c>
      <c r="M1055">
        <v>148</v>
      </c>
      <c r="N1055" t="s">
        <v>29</v>
      </c>
      <c r="O1055" s="3">
        <v>44699</v>
      </c>
      <c r="P1055">
        <v>-1</v>
      </c>
      <c r="T1055" t="s">
        <v>53</v>
      </c>
      <c r="U1055">
        <v>35</v>
      </c>
      <c r="V1055">
        <v>44.625</v>
      </c>
    </row>
    <row r="1056" spans="1:22" x14ac:dyDescent="0.35">
      <c r="A1056" s="3">
        <v>44551</v>
      </c>
      <c r="B1056" t="s">
        <v>31</v>
      </c>
      <c r="C1056">
        <v>0</v>
      </c>
      <c r="D1056">
        <v>0</v>
      </c>
      <c r="E1056">
        <v>0</v>
      </c>
      <c r="F1056">
        <v>0</v>
      </c>
      <c r="G1056">
        <v>25.4724</v>
      </c>
      <c r="H1056">
        <v>0</v>
      </c>
      <c r="I1056">
        <v>0</v>
      </c>
      <c r="J1056">
        <v>0</v>
      </c>
      <c r="K1056">
        <v>0</v>
      </c>
      <c r="L1056">
        <v>57</v>
      </c>
      <c r="M1056">
        <v>84</v>
      </c>
      <c r="N1056" t="s">
        <v>31</v>
      </c>
      <c r="O1056" s="3">
        <v>44635</v>
      </c>
      <c r="P1056">
        <v>-1</v>
      </c>
      <c r="T1056" t="s">
        <v>52</v>
      </c>
      <c r="U1056">
        <v>54</v>
      </c>
      <c r="V1056">
        <v>40.375</v>
      </c>
    </row>
    <row r="1057" spans="1:22" x14ac:dyDescent="0.35">
      <c r="A1057" s="3">
        <v>44551</v>
      </c>
      <c r="B1057" t="s">
        <v>22</v>
      </c>
      <c r="C1057">
        <v>0</v>
      </c>
      <c r="D1057">
        <v>0</v>
      </c>
      <c r="E1057">
        <v>0</v>
      </c>
      <c r="F1057">
        <v>0</v>
      </c>
      <c r="G1057">
        <v>26.65</v>
      </c>
      <c r="H1057">
        <v>0</v>
      </c>
      <c r="I1057">
        <v>0</v>
      </c>
      <c r="J1057">
        <v>0</v>
      </c>
      <c r="K1057">
        <v>0</v>
      </c>
      <c r="L1057">
        <v>146</v>
      </c>
      <c r="M1057">
        <v>211</v>
      </c>
      <c r="N1057" t="s">
        <v>22</v>
      </c>
      <c r="O1057" s="3">
        <v>44762</v>
      </c>
      <c r="P1057">
        <v>-1</v>
      </c>
      <c r="T1057" t="s">
        <v>51</v>
      </c>
      <c r="U1057">
        <v>79</v>
      </c>
      <c r="V1057">
        <v>36.774999999999999</v>
      </c>
    </row>
    <row r="1058" spans="1:22" x14ac:dyDescent="0.35">
      <c r="A1058" s="3">
        <v>44551</v>
      </c>
      <c r="B1058" t="s">
        <v>26</v>
      </c>
      <c r="C1058">
        <v>0</v>
      </c>
      <c r="D1058">
        <v>0</v>
      </c>
      <c r="E1058">
        <v>0</v>
      </c>
      <c r="F1058">
        <v>0</v>
      </c>
      <c r="G1058">
        <v>26.3</v>
      </c>
      <c r="H1058">
        <v>0</v>
      </c>
      <c r="I1058">
        <v>0</v>
      </c>
      <c r="J1058">
        <v>0</v>
      </c>
      <c r="K1058">
        <v>0</v>
      </c>
      <c r="L1058">
        <v>166</v>
      </c>
      <c r="M1058">
        <v>239</v>
      </c>
      <c r="N1058" t="s">
        <v>26</v>
      </c>
      <c r="O1058" s="3">
        <v>44790</v>
      </c>
      <c r="P1058">
        <v>-1</v>
      </c>
      <c r="T1058" t="s">
        <v>50</v>
      </c>
      <c r="U1058">
        <v>99</v>
      </c>
      <c r="V1058">
        <v>34.375</v>
      </c>
    </row>
    <row r="1059" spans="1:22" x14ac:dyDescent="0.35">
      <c r="A1059" s="3">
        <v>44551</v>
      </c>
      <c r="B1059" t="s">
        <v>32</v>
      </c>
      <c r="C1059">
        <v>0</v>
      </c>
      <c r="D1059">
        <v>0</v>
      </c>
      <c r="E1059">
        <v>0</v>
      </c>
      <c r="F1059">
        <v>0</v>
      </c>
      <c r="G1059">
        <v>24.4666</v>
      </c>
      <c r="H1059">
        <v>0</v>
      </c>
      <c r="I1059">
        <v>0</v>
      </c>
      <c r="J1059">
        <v>0</v>
      </c>
      <c r="K1059">
        <v>0</v>
      </c>
      <c r="L1059">
        <v>39</v>
      </c>
      <c r="M1059">
        <v>57</v>
      </c>
      <c r="N1059" t="s">
        <v>32</v>
      </c>
      <c r="O1059" s="3">
        <v>44608</v>
      </c>
      <c r="P1059">
        <v>-1</v>
      </c>
      <c r="T1059" t="s">
        <v>49</v>
      </c>
      <c r="U1059">
        <v>118</v>
      </c>
      <c r="V1059">
        <v>32.524999999999999</v>
      </c>
    </row>
    <row r="1060" spans="1:22" x14ac:dyDescent="0.35">
      <c r="A1060" s="3">
        <v>44551</v>
      </c>
      <c r="B1060" t="s">
        <v>34</v>
      </c>
      <c r="C1060">
        <v>0</v>
      </c>
      <c r="D1060">
        <v>0</v>
      </c>
      <c r="E1060">
        <v>0</v>
      </c>
      <c r="F1060">
        <v>0</v>
      </c>
      <c r="G1060">
        <v>21.072600000000001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1</v>
      </c>
      <c r="N1060" t="s">
        <v>34</v>
      </c>
      <c r="O1060" s="3">
        <v>44552</v>
      </c>
      <c r="P1060">
        <v>-1</v>
      </c>
      <c r="T1060" t="s">
        <v>48</v>
      </c>
      <c r="U1060">
        <v>143</v>
      </c>
      <c r="V1060">
        <v>31.95</v>
      </c>
    </row>
    <row r="1061" spans="1:22" x14ac:dyDescent="0.35">
      <c r="A1061" s="3">
        <v>44551</v>
      </c>
      <c r="B1061" t="s">
        <v>28</v>
      </c>
      <c r="C1061">
        <v>0</v>
      </c>
      <c r="D1061">
        <v>0</v>
      </c>
      <c r="E1061">
        <v>0</v>
      </c>
      <c r="F1061">
        <v>0</v>
      </c>
      <c r="G1061">
        <v>26.418800000000001</v>
      </c>
      <c r="H1061">
        <v>0</v>
      </c>
      <c r="I1061">
        <v>0</v>
      </c>
      <c r="J1061">
        <v>0</v>
      </c>
      <c r="K1061">
        <v>0</v>
      </c>
      <c r="L1061">
        <v>122</v>
      </c>
      <c r="M1061">
        <v>176</v>
      </c>
      <c r="N1061" t="s">
        <v>28</v>
      </c>
      <c r="O1061" s="3">
        <v>44727</v>
      </c>
      <c r="P1061">
        <v>-1</v>
      </c>
      <c r="T1061" t="s">
        <v>47</v>
      </c>
      <c r="U1061">
        <v>163</v>
      </c>
      <c r="V1061">
        <v>30.75</v>
      </c>
    </row>
    <row r="1062" spans="1:22" x14ac:dyDescent="0.35">
      <c r="A1062" s="3">
        <v>44551</v>
      </c>
      <c r="B1062" t="s">
        <v>30</v>
      </c>
      <c r="C1062">
        <v>0</v>
      </c>
      <c r="D1062">
        <v>0</v>
      </c>
      <c r="E1062">
        <v>0</v>
      </c>
      <c r="F1062">
        <v>0</v>
      </c>
      <c r="G1062">
        <v>26.149100000000001</v>
      </c>
      <c r="H1062">
        <v>0</v>
      </c>
      <c r="I1062">
        <v>0</v>
      </c>
      <c r="J1062">
        <v>0</v>
      </c>
      <c r="K1062">
        <v>0</v>
      </c>
      <c r="L1062">
        <v>83</v>
      </c>
      <c r="M1062">
        <v>120</v>
      </c>
      <c r="N1062" t="s">
        <v>30</v>
      </c>
      <c r="O1062" s="3">
        <v>44671</v>
      </c>
      <c r="P1062">
        <v>-1</v>
      </c>
      <c r="S1062" s="3">
        <v>43923</v>
      </c>
      <c r="T1062" t="s">
        <v>54</v>
      </c>
      <c r="U1062">
        <v>9</v>
      </c>
      <c r="V1062">
        <v>47.174999999999997</v>
      </c>
    </row>
    <row r="1063" spans="1:22" x14ac:dyDescent="0.35">
      <c r="A1063" s="3">
        <v>44551</v>
      </c>
      <c r="B1063" t="s">
        <v>33</v>
      </c>
      <c r="C1063">
        <v>0</v>
      </c>
      <c r="D1063">
        <v>0</v>
      </c>
      <c r="E1063">
        <v>0</v>
      </c>
      <c r="F1063">
        <v>0</v>
      </c>
      <c r="G1063">
        <v>23.163599999999999</v>
      </c>
      <c r="H1063">
        <v>0</v>
      </c>
      <c r="I1063">
        <v>0</v>
      </c>
      <c r="J1063">
        <v>0</v>
      </c>
      <c r="K1063">
        <v>0</v>
      </c>
      <c r="L1063">
        <v>19</v>
      </c>
      <c r="M1063">
        <v>29</v>
      </c>
      <c r="N1063" t="s">
        <v>33</v>
      </c>
      <c r="O1063" s="3">
        <v>44580</v>
      </c>
      <c r="P1063">
        <v>-1</v>
      </c>
      <c r="T1063" t="s">
        <v>53</v>
      </c>
      <c r="U1063">
        <v>34</v>
      </c>
      <c r="V1063">
        <v>42.024999999999999</v>
      </c>
    </row>
    <row r="1064" spans="1:22" x14ac:dyDescent="0.35">
      <c r="A1064" s="3">
        <v>44550</v>
      </c>
      <c r="B1064" t="s">
        <v>26</v>
      </c>
      <c r="C1064">
        <v>0</v>
      </c>
      <c r="D1064">
        <v>0</v>
      </c>
      <c r="E1064">
        <v>0</v>
      </c>
      <c r="F1064">
        <v>0</v>
      </c>
      <c r="G1064">
        <v>26.5</v>
      </c>
      <c r="H1064">
        <v>0</v>
      </c>
      <c r="I1064">
        <v>0</v>
      </c>
      <c r="J1064">
        <v>0</v>
      </c>
      <c r="K1064">
        <v>0</v>
      </c>
      <c r="L1064">
        <v>167</v>
      </c>
      <c r="M1064">
        <v>240</v>
      </c>
      <c r="N1064" t="s">
        <v>26</v>
      </c>
      <c r="O1064" s="3">
        <v>44790</v>
      </c>
      <c r="P1064">
        <v>-1</v>
      </c>
      <c r="T1064" t="s">
        <v>52</v>
      </c>
      <c r="U1064">
        <v>53</v>
      </c>
      <c r="V1064">
        <v>38.35</v>
      </c>
    </row>
    <row r="1065" spans="1:22" x14ac:dyDescent="0.35">
      <c r="A1065" s="3">
        <v>44550</v>
      </c>
      <c r="B1065" t="s">
        <v>32</v>
      </c>
      <c r="C1065">
        <v>0</v>
      </c>
      <c r="D1065">
        <v>0</v>
      </c>
      <c r="E1065">
        <v>0</v>
      </c>
      <c r="F1065">
        <v>0</v>
      </c>
      <c r="G1065">
        <v>25.2532</v>
      </c>
      <c r="H1065">
        <v>0</v>
      </c>
      <c r="I1065">
        <v>0</v>
      </c>
      <c r="J1065">
        <v>0</v>
      </c>
      <c r="K1065">
        <v>0</v>
      </c>
      <c r="L1065">
        <v>40</v>
      </c>
      <c r="M1065">
        <v>58</v>
      </c>
      <c r="N1065" t="s">
        <v>32</v>
      </c>
      <c r="O1065" s="3">
        <v>44608</v>
      </c>
      <c r="P1065">
        <v>-1</v>
      </c>
      <c r="T1065" t="s">
        <v>51</v>
      </c>
      <c r="U1065">
        <v>78</v>
      </c>
      <c r="V1065">
        <v>35.424999999999997</v>
      </c>
    </row>
    <row r="1066" spans="1:22" x14ac:dyDescent="0.35">
      <c r="A1066" s="3">
        <v>44550</v>
      </c>
      <c r="B1066" t="s">
        <v>34</v>
      </c>
      <c r="C1066">
        <v>0</v>
      </c>
      <c r="D1066">
        <v>0</v>
      </c>
      <c r="E1066">
        <v>0</v>
      </c>
      <c r="F1066">
        <v>0</v>
      </c>
      <c r="G1066">
        <v>22.808900000000001</v>
      </c>
      <c r="H1066">
        <v>0</v>
      </c>
      <c r="I1066">
        <v>0</v>
      </c>
      <c r="J1066">
        <v>0</v>
      </c>
      <c r="K1066">
        <v>0</v>
      </c>
      <c r="L1066">
        <v>2</v>
      </c>
      <c r="M1066">
        <v>2</v>
      </c>
      <c r="N1066" t="s">
        <v>34</v>
      </c>
      <c r="O1066" s="3">
        <v>44552</v>
      </c>
      <c r="P1066">
        <v>-1</v>
      </c>
      <c r="T1066" t="s">
        <v>50</v>
      </c>
      <c r="U1066">
        <v>98</v>
      </c>
      <c r="V1066">
        <v>33.424999999999997</v>
      </c>
    </row>
    <row r="1067" spans="1:22" x14ac:dyDescent="0.35">
      <c r="A1067" s="3">
        <v>44550</v>
      </c>
      <c r="B1067" t="s">
        <v>28</v>
      </c>
      <c r="C1067">
        <v>0</v>
      </c>
      <c r="D1067">
        <v>0</v>
      </c>
      <c r="E1067">
        <v>0</v>
      </c>
      <c r="F1067">
        <v>0</v>
      </c>
      <c r="G1067">
        <v>26.652200000000001</v>
      </c>
      <c r="H1067">
        <v>0</v>
      </c>
      <c r="I1067">
        <v>0</v>
      </c>
      <c r="J1067">
        <v>0</v>
      </c>
      <c r="K1067">
        <v>0</v>
      </c>
      <c r="L1067">
        <v>123</v>
      </c>
      <c r="M1067">
        <v>177</v>
      </c>
      <c r="N1067" t="s">
        <v>28</v>
      </c>
      <c r="O1067" s="3">
        <v>44727</v>
      </c>
      <c r="P1067">
        <v>-1</v>
      </c>
      <c r="T1067" t="s">
        <v>49</v>
      </c>
      <c r="U1067">
        <v>117</v>
      </c>
      <c r="V1067">
        <v>31.675000000000001</v>
      </c>
    </row>
    <row r="1068" spans="1:22" x14ac:dyDescent="0.35">
      <c r="A1068" s="3">
        <v>44550</v>
      </c>
      <c r="B1068" t="s">
        <v>30</v>
      </c>
      <c r="C1068">
        <v>0</v>
      </c>
      <c r="D1068">
        <v>0</v>
      </c>
      <c r="E1068">
        <v>0</v>
      </c>
      <c r="F1068">
        <v>0</v>
      </c>
      <c r="G1068">
        <v>26.554600000000001</v>
      </c>
      <c r="H1068">
        <v>0</v>
      </c>
      <c r="I1068">
        <v>0</v>
      </c>
      <c r="J1068">
        <v>0</v>
      </c>
      <c r="K1068">
        <v>0</v>
      </c>
      <c r="L1068">
        <v>84</v>
      </c>
      <c r="M1068">
        <v>121</v>
      </c>
      <c r="N1068" t="s">
        <v>30</v>
      </c>
      <c r="O1068" s="3">
        <v>44671</v>
      </c>
      <c r="P1068">
        <v>-1</v>
      </c>
      <c r="T1068" t="s">
        <v>48</v>
      </c>
      <c r="U1068">
        <v>142</v>
      </c>
      <c r="V1068">
        <v>31.225000000000001</v>
      </c>
    </row>
    <row r="1069" spans="1:22" x14ac:dyDescent="0.35">
      <c r="A1069" s="3">
        <v>44550</v>
      </c>
      <c r="B1069" t="s">
        <v>33</v>
      </c>
      <c r="C1069">
        <v>0</v>
      </c>
      <c r="D1069">
        <v>0</v>
      </c>
      <c r="E1069">
        <v>0</v>
      </c>
      <c r="F1069">
        <v>0</v>
      </c>
      <c r="G1069">
        <v>24.310700000000001</v>
      </c>
      <c r="H1069">
        <v>0</v>
      </c>
      <c r="I1069">
        <v>0</v>
      </c>
      <c r="J1069">
        <v>0</v>
      </c>
      <c r="K1069">
        <v>0</v>
      </c>
      <c r="L1069">
        <v>20</v>
      </c>
      <c r="M1069">
        <v>30</v>
      </c>
      <c r="N1069" t="s">
        <v>33</v>
      </c>
      <c r="O1069" s="3">
        <v>44580</v>
      </c>
      <c r="P1069">
        <v>-1</v>
      </c>
      <c r="T1069" t="s">
        <v>47</v>
      </c>
      <c r="U1069">
        <v>162</v>
      </c>
      <c r="V1069">
        <v>30.1</v>
      </c>
    </row>
    <row r="1070" spans="1:22" x14ac:dyDescent="0.35">
      <c r="A1070" s="3">
        <v>44550</v>
      </c>
      <c r="B1070" t="s">
        <v>29</v>
      </c>
      <c r="C1070">
        <v>0</v>
      </c>
      <c r="D1070">
        <v>0</v>
      </c>
      <c r="E1070">
        <v>0</v>
      </c>
      <c r="F1070">
        <v>0</v>
      </c>
      <c r="G1070">
        <v>26.663900000000002</v>
      </c>
      <c r="H1070">
        <v>0</v>
      </c>
      <c r="I1070">
        <v>0</v>
      </c>
      <c r="J1070">
        <v>0</v>
      </c>
      <c r="K1070">
        <v>0</v>
      </c>
      <c r="L1070">
        <v>104</v>
      </c>
      <c r="M1070">
        <v>149</v>
      </c>
      <c r="N1070" t="s">
        <v>29</v>
      </c>
      <c r="O1070" s="3">
        <v>44699</v>
      </c>
      <c r="P1070">
        <v>-1</v>
      </c>
      <c r="S1070" s="3">
        <v>43924</v>
      </c>
      <c r="T1070" t="s">
        <v>54</v>
      </c>
      <c r="U1070">
        <v>8</v>
      </c>
      <c r="V1070">
        <v>44.924999999999997</v>
      </c>
    </row>
    <row r="1071" spans="1:22" x14ac:dyDescent="0.35">
      <c r="A1071" s="3">
        <v>44550</v>
      </c>
      <c r="B1071" t="s">
        <v>31</v>
      </c>
      <c r="C1071">
        <v>0</v>
      </c>
      <c r="D1071">
        <v>0</v>
      </c>
      <c r="E1071">
        <v>0</v>
      </c>
      <c r="F1071">
        <v>0</v>
      </c>
      <c r="G1071">
        <v>25.9998</v>
      </c>
      <c r="H1071">
        <v>0</v>
      </c>
      <c r="I1071">
        <v>0</v>
      </c>
      <c r="J1071">
        <v>0</v>
      </c>
      <c r="K1071">
        <v>0</v>
      </c>
      <c r="L1071">
        <v>58</v>
      </c>
      <c r="M1071">
        <v>85</v>
      </c>
      <c r="N1071" t="s">
        <v>31</v>
      </c>
      <c r="O1071" s="3">
        <v>44635</v>
      </c>
      <c r="P1071">
        <v>-1</v>
      </c>
      <c r="T1071" t="s">
        <v>53</v>
      </c>
      <c r="U1071">
        <v>33</v>
      </c>
      <c r="V1071">
        <v>40.9</v>
      </c>
    </row>
    <row r="1072" spans="1:22" x14ac:dyDescent="0.35">
      <c r="A1072" s="3">
        <v>44550</v>
      </c>
      <c r="B1072" t="s">
        <v>22</v>
      </c>
      <c r="C1072">
        <v>0</v>
      </c>
      <c r="D1072">
        <v>0</v>
      </c>
      <c r="E1072">
        <v>0</v>
      </c>
      <c r="F1072">
        <v>0</v>
      </c>
      <c r="G1072">
        <v>26.85</v>
      </c>
      <c r="H1072">
        <v>0</v>
      </c>
      <c r="I1072">
        <v>0</v>
      </c>
      <c r="J1072">
        <v>0</v>
      </c>
      <c r="K1072">
        <v>0</v>
      </c>
      <c r="L1072">
        <v>147</v>
      </c>
      <c r="M1072">
        <v>212</v>
      </c>
      <c r="N1072" t="s">
        <v>22</v>
      </c>
      <c r="O1072" s="3">
        <v>44762</v>
      </c>
      <c r="P1072">
        <v>-1</v>
      </c>
      <c r="T1072" t="s">
        <v>52</v>
      </c>
      <c r="U1072">
        <v>52</v>
      </c>
      <c r="V1072">
        <v>37.924999999999997</v>
      </c>
    </row>
    <row r="1073" spans="1:22" x14ac:dyDescent="0.35">
      <c r="A1073" s="3">
        <v>44547</v>
      </c>
      <c r="B1073" t="s">
        <v>29</v>
      </c>
      <c r="C1073">
        <v>0</v>
      </c>
      <c r="D1073">
        <v>0</v>
      </c>
      <c r="E1073">
        <v>0</v>
      </c>
      <c r="F1073">
        <v>0</v>
      </c>
      <c r="G1073">
        <v>26.628799999999998</v>
      </c>
      <c r="H1073">
        <v>0</v>
      </c>
      <c r="I1073">
        <v>0</v>
      </c>
      <c r="J1073">
        <v>0</v>
      </c>
      <c r="K1073">
        <v>0</v>
      </c>
      <c r="L1073">
        <v>105</v>
      </c>
      <c r="M1073">
        <v>152</v>
      </c>
      <c r="N1073" t="s">
        <v>29</v>
      </c>
      <c r="O1073" s="3">
        <v>44699</v>
      </c>
      <c r="P1073">
        <v>-1</v>
      </c>
      <c r="T1073" t="s">
        <v>51</v>
      </c>
      <c r="U1073">
        <v>77</v>
      </c>
      <c r="V1073">
        <v>35.024999999999999</v>
      </c>
    </row>
    <row r="1074" spans="1:22" x14ac:dyDescent="0.35">
      <c r="A1074" s="3">
        <v>44547</v>
      </c>
      <c r="B1074" t="s">
        <v>31</v>
      </c>
      <c r="C1074">
        <v>0</v>
      </c>
      <c r="D1074">
        <v>0</v>
      </c>
      <c r="E1074">
        <v>0</v>
      </c>
      <c r="F1074">
        <v>0</v>
      </c>
      <c r="G1074">
        <v>25.692399999999999</v>
      </c>
      <c r="H1074">
        <v>0</v>
      </c>
      <c r="I1074">
        <v>0</v>
      </c>
      <c r="J1074">
        <v>0</v>
      </c>
      <c r="K1074">
        <v>0</v>
      </c>
      <c r="L1074">
        <v>59</v>
      </c>
      <c r="M1074">
        <v>88</v>
      </c>
      <c r="N1074" t="s">
        <v>31</v>
      </c>
      <c r="O1074" s="3">
        <v>44635</v>
      </c>
      <c r="P1074">
        <v>-1</v>
      </c>
      <c r="T1074" t="s">
        <v>50</v>
      </c>
      <c r="U1074">
        <v>97</v>
      </c>
      <c r="V1074">
        <v>33.075000000000003</v>
      </c>
    </row>
    <row r="1075" spans="1:22" x14ac:dyDescent="0.35">
      <c r="A1075" s="3">
        <v>44547</v>
      </c>
      <c r="B1075" t="s">
        <v>22</v>
      </c>
      <c r="C1075">
        <v>0</v>
      </c>
      <c r="D1075">
        <v>0</v>
      </c>
      <c r="E1075">
        <v>0</v>
      </c>
      <c r="F1075">
        <v>0</v>
      </c>
      <c r="G1075">
        <v>26.875</v>
      </c>
      <c r="H1075">
        <v>0</v>
      </c>
      <c r="I1075">
        <v>0</v>
      </c>
      <c r="J1075">
        <v>0</v>
      </c>
      <c r="K1075">
        <v>0</v>
      </c>
      <c r="L1075">
        <v>148</v>
      </c>
      <c r="M1075">
        <v>215</v>
      </c>
      <c r="N1075" t="s">
        <v>22</v>
      </c>
      <c r="O1075" s="3">
        <v>44762</v>
      </c>
      <c r="P1075">
        <v>-1</v>
      </c>
      <c r="T1075" t="s">
        <v>49</v>
      </c>
      <c r="U1075">
        <v>116</v>
      </c>
      <c r="V1075">
        <v>31.5</v>
      </c>
    </row>
    <row r="1076" spans="1:22" x14ac:dyDescent="0.35">
      <c r="A1076" s="3">
        <v>44547</v>
      </c>
      <c r="B1076" t="s">
        <v>26</v>
      </c>
      <c r="C1076">
        <v>0</v>
      </c>
      <c r="D1076">
        <v>0</v>
      </c>
      <c r="E1076">
        <v>0</v>
      </c>
      <c r="F1076">
        <v>0</v>
      </c>
      <c r="G1076">
        <v>26.5</v>
      </c>
      <c r="H1076">
        <v>0</v>
      </c>
      <c r="I1076">
        <v>0</v>
      </c>
      <c r="J1076">
        <v>0</v>
      </c>
      <c r="K1076">
        <v>0</v>
      </c>
      <c r="L1076">
        <v>168</v>
      </c>
      <c r="M1076">
        <v>243</v>
      </c>
      <c r="N1076" t="s">
        <v>26</v>
      </c>
      <c r="O1076" s="3">
        <v>44790</v>
      </c>
      <c r="P1076">
        <v>-1</v>
      </c>
      <c r="T1076" t="s">
        <v>48</v>
      </c>
      <c r="U1076">
        <v>141</v>
      </c>
      <c r="V1076">
        <v>31.274999999999999</v>
      </c>
    </row>
    <row r="1077" spans="1:22" x14ac:dyDescent="0.35">
      <c r="A1077" s="3">
        <v>44547</v>
      </c>
      <c r="B1077" t="s">
        <v>32</v>
      </c>
      <c r="C1077">
        <v>0</v>
      </c>
      <c r="D1077">
        <v>0</v>
      </c>
      <c r="E1077">
        <v>0</v>
      </c>
      <c r="F1077">
        <v>0</v>
      </c>
      <c r="G1077">
        <v>24.7317</v>
      </c>
      <c r="H1077">
        <v>0</v>
      </c>
      <c r="I1077">
        <v>0</v>
      </c>
      <c r="J1077">
        <v>0</v>
      </c>
      <c r="K1077">
        <v>0</v>
      </c>
      <c r="L1077">
        <v>41</v>
      </c>
      <c r="M1077">
        <v>61</v>
      </c>
      <c r="N1077" t="s">
        <v>32</v>
      </c>
      <c r="O1077" s="3">
        <v>44608</v>
      </c>
      <c r="P1077">
        <v>-1</v>
      </c>
      <c r="T1077" t="s">
        <v>47</v>
      </c>
      <c r="U1077">
        <v>161</v>
      </c>
      <c r="V1077">
        <v>29.975000000000001</v>
      </c>
    </row>
    <row r="1078" spans="1:22" x14ac:dyDescent="0.35">
      <c r="A1078" s="3">
        <v>44547</v>
      </c>
      <c r="B1078" t="s">
        <v>34</v>
      </c>
      <c r="C1078">
        <v>0</v>
      </c>
      <c r="D1078">
        <v>0</v>
      </c>
      <c r="E1078">
        <v>0</v>
      </c>
      <c r="F1078">
        <v>0</v>
      </c>
      <c r="G1078">
        <v>21.069099999999999</v>
      </c>
      <c r="H1078">
        <v>0</v>
      </c>
      <c r="I1078">
        <v>0</v>
      </c>
      <c r="J1078">
        <v>0</v>
      </c>
      <c r="K1078">
        <v>0</v>
      </c>
      <c r="L1078">
        <v>3</v>
      </c>
      <c r="M1078">
        <v>5</v>
      </c>
      <c r="N1078" t="s">
        <v>34</v>
      </c>
      <c r="O1078" s="3">
        <v>44552</v>
      </c>
      <c r="P1078">
        <v>-1</v>
      </c>
      <c r="S1078" s="3">
        <v>43927</v>
      </c>
      <c r="T1078" t="s">
        <v>54</v>
      </c>
      <c r="U1078">
        <v>7</v>
      </c>
      <c r="V1078">
        <v>41.774999999999999</v>
      </c>
    </row>
    <row r="1079" spans="1:22" x14ac:dyDescent="0.35">
      <c r="A1079" s="3">
        <v>44547</v>
      </c>
      <c r="B1079" t="s">
        <v>28</v>
      </c>
      <c r="C1079">
        <v>0</v>
      </c>
      <c r="D1079">
        <v>0</v>
      </c>
      <c r="E1079">
        <v>0</v>
      </c>
      <c r="F1079">
        <v>0</v>
      </c>
      <c r="G1079">
        <v>26.689499999999999</v>
      </c>
      <c r="H1079">
        <v>0</v>
      </c>
      <c r="I1079">
        <v>0</v>
      </c>
      <c r="J1079">
        <v>0</v>
      </c>
      <c r="K1079">
        <v>0</v>
      </c>
      <c r="L1079">
        <v>124</v>
      </c>
      <c r="M1079">
        <v>180</v>
      </c>
      <c r="N1079" t="s">
        <v>28</v>
      </c>
      <c r="O1079" s="3">
        <v>44727</v>
      </c>
      <c r="P1079">
        <v>-1</v>
      </c>
      <c r="T1079" t="s">
        <v>53</v>
      </c>
      <c r="U1079">
        <v>32</v>
      </c>
      <c r="V1079">
        <v>37.924999999999997</v>
      </c>
    </row>
    <row r="1080" spans="1:22" x14ac:dyDescent="0.35">
      <c r="A1080" s="3">
        <v>44547</v>
      </c>
      <c r="B1080" t="s">
        <v>30</v>
      </c>
      <c r="C1080">
        <v>0</v>
      </c>
      <c r="D1080">
        <v>0</v>
      </c>
      <c r="E1080">
        <v>0</v>
      </c>
      <c r="F1080">
        <v>0</v>
      </c>
      <c r="G1080">
        <v>26.4161</v>
      </c>
      <c r="H1080">
        <v>0</v>
      </c>
      <c r="I1080">
        <v>0</v>
      </c>
      <c r="J1080">
        <v>0</v>
      </c>
      <c r="K1080">
        <v>0</v>
      </c>
      <c r="L1080">
        <v>85</v>
      </c>
      <c r="M1080">
        <v>124</v>
      </c>
      <c r="N1080" t="s">
        <v>30</v>
      </c>
      <c r="O1080" s="3">
        <v>44671</v>
      </c>
      <c r="P1080">
        <v>-1</v>
      </c>
      <c r="T1080" t="s">
        <v>52</v>
      </c>
      <c r="U1080">
        <v>51</v>
      </c>
      <c r="V1080">
        <v>35.875</v>
      </c>
    </row>
    <row r="1081" spans="1:22" x14ac:dyDescent="0.35">
      <c r="A1081" s="3">
        <v>44547</v>
      </c>
      <c r="B1081" t="s">
        <v>33</v>
      </c>
      <c r="C1081">
        <v>0</v>
      </c>
      <c r="D1081">
        <v>0</v>
      </c>
      <c r="E1081">
        <v>0</v>
      </c>
      <c r="F1081">
        <v>0</v>
      </c>
      <c r="G1081">
        <v>23.573899999999998</v>
      </c>
      <c r="H1081">
        <v>0</v>
      </c>
      <c r="I1081">
        <v>0</v>
      </c>
      <c r="J1081">
        <v>0</v>
      </c>
      <c r="K1081">
        <v>0</v>
      </c>
      <c r="L1081">
        <v>21</v>
      </c>
      <c r="M1081">
        <v>33</v>
      </c>
      <c r="N1081" t="s">
        <v>33</v>
      </c>
      <c r="O1081" s="3">
        <v>44580</v>
      </c>
      <c r="P1081">
        <v>-1</v>
      </c>
      <c r="T1081" t="s">
        <v>51</v>
      </c>
      <c r="U1081">
        <v>76</v>
      </c>
      <c r="V1081">
        <v>33.475000000000001</v>
      </c>
    </row>
    <row r="1082" spans="1:22" x14ac:dyDescent="0.35">
      <c r="A1082" s="3">
        <v>44546</v>
      </c>
      <c r="B1082" t="s">
        <v>26</v>
      </c>
      <c r="C1082">
        <v>0</v>
      </c>
      <c r="D1082">
        <v>0</v>
      </c>
      <c r="E1082">
        <v>0</v>
      </c>
      <c r="F1082">
        <v>0</v>
      </c>
      <c r="G1082">
        <v>26.074999999999999</v>
      </c>
      <c r="H1082">
        <v>0</v>
      </c>
      <c r="I1082">
        <v>0</v>
      </c>
      <c r="J1082">
        <v>0</v>
      </c>
      <c r="K1082">
        <v>0</v>
      </c>
      <c r="L1082">
        <v>169</v>
      </c>
      <c r="M1082">
        <v>244</v>
      </c>
      <c r="N1082" t="s">
        <v>26</v>
      </c>
      <c r="O1082" s="3">
        <v>44790</v>
      </c>
      <c r="P1082">
        <v>-1</v>
      </c>
      <c r="T1082" t="s">
        <v>50</v>
      </c>
      <c r="U1082">
        <v>96</v>
      </c>
      <c r="V1082">
        <v>31.725000000000001</v>
      </c>
    </row>
    <row r="1083" spans="1:22" x14ac:dyDescent="0.35">
      <c r="A1083" s="3">
        <v>44546</v>
      </c>
      <c r="B1083" t="s">
        <v>32</v>
      </c>
      <c r="C1083">
        <v>0</v>
      </c>
      <c r="D1083">
        <v>0</v>
      </c>
      <c r="E1083">
        <v>0</v>
      </c>
      <c r="F1083">
        <v>0</v>
      </c>
      <c r="G1083">
        <v>24.146000000000001</v>
      </c>
      <c r="H1083">
        <v>0</v>
      </c>
      <c r="I1083">
        <v>0</v>
      </c>
      <c r="J1083">
        <v>0</v>
      </c>
      <c r="K1083">
        <v>0</v>
      </c>
      <c r="L1083">
        <v>42</v>
      </c>
      <c r="M1083">
        <v>62</v>
      </c>
      <c r="N1083" t="s">
        <v>32</v>
      </c>
      <c r="O1083" s="3">
        <v>44608</v>
      </c>
      <c r="P1083">
        <v>-1</v>
      </c>
      <c r="T1083" t="s">
        <v>49</v>
      </c>
      <c r="U1083">
        <v>115</v>
      </c>
      <c r="V1083">
        <v>30.324999999999999</v>
      </c>
    </row>
    <row r="1084" spans="1:22" x14ac:dyDescent="0.35">
      <c r="A1084" s="3">
        <v>44546</v>
      </c>
      <c r="B1084" t="s">
        <v>34</v>
      </c>
      <c r="C1084">
        <v>0</v>
      </c>
      <c r="D1084">
        <v>0</v>
      </c>
      <c r="E1084">
        <v>0</v>
      </c>
      <c r="F1084">
        <v>0</v>
      </c>
      <c r="G1084">
        <v>20.421700000000001</v>
      </c>
      <c r="H1084">
        <v>0</v>
      </c>
      <c r="I1084">
        <v>0</v>
      </c>
      <c r="J1084">
        <v>0</v>
      </c>
      <c r="K1084">
        <v>0</v>
      </c>
      <c r="L1084">
        <v>4</v>
      </c>
      <c r="M1084">
        <v>6</v>
      </c>
      <c r="N1084" t="s">
        <v>34</v>
      </c>
      <c r="O1084" s="3">
        <v>44552</v>
      </c>
      <c r="P1084">
        <v>-1</v>
      </c>
      <c r="T1084" t="s">
        <v>48</v>
      </c>
      <c r="U1084">
        <v>140</v>
      </c>
      <c r="V1084">
        <v>30.274999999999999</v>
      </c>
    </row>
    <row r="1085" spans="1:22" x14ac:dyDescent="0.35">
      <c r="A1085" s="3">
        <v>44546</v>
      </c>
      <c r="B1085" t="s">
        <v>28</v>
      </c>
      <c r="C1085">
        <v>0</v>
      </c>
      <c r="D1085">
        <v>0</v>
      </c>
      <c r="E1085">
        <v>0</v>
      </c>
      <c r="F1085">
        <v>0</v>
      </c>
      <c r="G1085">
        <v>26.175000000000001</v>
      </c>
      <c r="H1085">
        <v>0</v>
      </c>
      <c r="I1085">
        <v>0</v>
      </c>
      <c r="J1085">
        <v>0</v>
      </c>
      <c r="K1085">
        <v>0</v>
      </c>
      <c r="L1085">
        <v>125</v>
      </c>
      <c r="M1085">
        <v>181</v>
      </c>
      <c r="N1085" t="s">
        <v>28</v>
      </c>
      <c r="O1085" s="3">
        <v>44727</v>
      </c>
      <c r="P1085">
        <v>-1</v>
      </c>
      <c r="T1085" t="s">
        <v>47</v>
      </c>
      <c r="U1085">
        <v>160</v>
      </c>
      <c r="V1085">
        <v>28.925000000000001</v>
      </c>
    </row>
    <row r="1086" spans="1:22" x14ac:dyDescent="0.35">
      <c r="A1086" s="3">
        <v>44546</v>
      </c>
      <c r="B1086" t="s">
        <v>30</v>
      </c>
      <c r="C1086">
        <v>0</v>
      </c>
      <c r="D1086">
        <v>0</v>
      </c>
      <c r="E1086">
        <v>0</v>
      </c>
      <c r="F1086">
        <v>0</v>
      </c>
      <c r="G1086">
        <v>25.873899999999999</v>
      </c>
      <c r="H1086">
        <v>0</v>
      </c>
      <c r="I1086">
        <v>0</v>
      </c>
      <c r="J1086">
        <v>0</v>
      </c>
      <c r="K1086">
        <v>0</v>
      </c>
      <c r="L1086">
        <v>86</v>
      </c>
      <c r="M1086">
        <v>125</v>
      </c>
      <c r="N1086" t="s">
        <v>30</v>
      </c>
      <c r="O1086" s="3">
        <v>44671</v>
      </c>
      <c r="P1086">
        <v>-1</v>
      </c>
      <c r="T1086" t="s">
        <v>46</v>
      </c>
      <c r="U1086">
        <v>179</v>
      </c>
      <c r="V1086">
        <v>29</v>
      </c>
    </row>
    <row r="1087" spans="1:22" x14ac:dyDescent="0.35">
      <c r="A1087" s="3">
        <v>44546</v>
      </c>
      <c r="B1087" t="s">
        <v>33</v>
      </c>
      <c r="C1087">
        <v>0</v>
      </c>
      <c r="D1087">
        <v>0</v>
      </c>
      <c r="E1087">
        <v>0</v>
      </c>
      <c r="F1087">
        <v>0</v>
      </c>
      <c r="G1087">
        <v>22.8188</v>
      </c>
      <c r="H1087">
        <v>0</v>
      </c>
      <c r="I1087">
        <v>0</v>
      </c>
      <c r="J1087">
        <v>0</v>
      </c>
      <c r="K1087">
        <v>0</v>
      </c>
      <c r="L1087">
        <v>22</v>
      </c>
      <c r="M1087">
        <v>34</v>
      </c>
      <c r="N1087" t="s">
        <v>33</v>
      </c>
      <c r="O1087" s="3">
        <v>44580</v>
      </c>
      <c r="P1087">
        <v>-1</v>
      </c>
      <c r="S1087" s="3">
        <v>43928</v>
      </c>
      <c r="T1087" t="s">
        <v>54</v>
      </c>
      <c r="U1087">
        <v>6</v>
      </c>
      <c r="V1087">
        <v>44.024999999999999</v>
      </c>
    </row>
    <row r="1088" spans="1:22" x14ac:dyDescent="0.35">
      <c r="A1088" s="3">
        <v>44546</v>
      </c>
      <c r="B1088" t="s">
        <v>29</v>
      </c>
      <c r="C1088">
        <v>0</v>
      </c>
      <c r="D1088">
        <v>0</v>
      </c>
      <c r="E1088">
        <v>0</v>
      </c>
      <c r="F1088">
        <v>0</v>
      </c>
      <c r="G1088">
        <v>26.0746</v>
      </c>
      <c r="H1088">
        <v>0</v>
      </c>
      <c r="I1088">
        <v>0</v>
      </c>
      <c r="J1088">
        <v>0</v>
      </c>
      <c r="K1088">
        <v>0</v>
      </c>
      <c r="L1088">
        <v>106</v>
      </c>
      <c r="M1088">
        <v>153</v>
      </c>
      <c r="N1088" t="s">
        <v>29</v>
      </c>
      <c r="O1088" s="3">
        <v>44699</v>
      </c>
      <c r="P1088">
        <v>-1</v>
      </c>
      <c r="T1088" t="s">
        <v>53</v>
      </c>
      <c r="U1088">
        <v>31</v>
      </c>
      <c r="V1088">
        <v>39.674999999999997</v>
      </c>
    </row>
    <row r="1089" spans="1:22" x14ac:dyDescent="0.35">
      <c r="A1089" s="3">
        <v>44546</v>
      </c>
      <c r="B1089" t="s">
        <v>31</v>
      </c>
      <c r="C1089">
        <v>0</v>
      </c>
      <c r="D1089">
        <v>0</v>
      </c>
      <c r="E1089">
        <v>0</v>
      </c>
      <c r="F1089">
        <v>0</v>
      </c>
      <c r="G1089">
        <v>25.145299999999999</v>
      </c>
      <c r="H1089">
        <v>0</v>
      </c>
      <c r="I1089">
        <v>0</v>
      </c>
      <c r="J1089">
        <v>0</v>
      </c>
      <c r="K1089">
        <v>0</v>
      </c>
      <c r="L1089">
        <v>60</v>
      </c>
      <c r="M1089">
        <v>89</v>
      </c>
      <c r="N1089" t="s">
        <v>31</v>
      </c>
      <c r="O1089" s="3">
        <v>44635</v>
      </c>
      <c r="P1089">
        <v>-1</v>
      </c>
      <c r="T1089" t="s">
        <v>52</v>
      </c>
      <c r="U1089">
        <v>50</v>
      </c>
      <c r="V1089">
        <v>36.674999999999997</v>
      </c>
    </row>
    <row r="1090" spans="1:22" x14ac:dyDescent="0.35">
      <c r="A1090" s="3">
        <v>44546</v>
      </c>
      <c r="B1090" t="s">
        <v>22</v>
      </c>
      <c r="C1090">
        <v>0</v>
      </c>
      <c r="D1090">
        <v>0</v>
      </c>
      <c r="E1090">
        <v>0</v>
      </c>
      <c r="F1090">
        <v>0</v>
      </c>
      <c r="G1090">
        <v>26.35</v>
      </c>
      <c r="H1090">
        <v>0</v>
      </c>
      <c r="I1090">
        <v>0</v>
      </c>
      <c r="J1090">
        <v>0</v>
      </c>
      <c r="K1090">
        <v>0</v>
      </c>
      <c r="L1090">
        <v>149</v>
      </c>
      <c r="M1090">
        <v>216</v>
      </c>
      <c r="N1090" t="s">
        <v>22</v>
      </c>
      <c r="O1090" s="3">
        <v>44762</v>
      </c>
      <c r="P1090">
        <v>-1</v>
      </c>
      <c r="T1090" t="s">
        <v>51</v>
      </c>
      <c r="U1090">
        <v>75</v>
      </c>
      <c r="V1090">
        <v>34.1</v>
      </c>
    </row>
    <row r="1091" spans="1:22" x14ac:dyDescent="0.35">
      <c r="A1091" s="3">
        <v>44545</v>
      </c>
      <c r="B1091" t="s">
        <v>29</v>
      </c>
      <c r="C1091">
        <v>0</v>
      </c>
      <c r="D1091">
        <v>0</v>
      </c>
      <c r="E1091">
        <v>0</v>
      </c>
      <c r="F1091">
        <v>0</v>
      </c>
      <c r="G1091">
        <v>25.503499999999999</v>
      </c>
      <c r="H1091">
        <v>0</v>
      </c>
      <c r="I1091">
        <v>0</v>
      </c>
      <c r="J1091">
        <v>0</v>
      </c>
      <c r="K1091">
        <v>0</v>
      </c>
      <c r="L1091">
        <v>107</v>
      </c>
      <c r="M1091">
        <v>154</v>
      </c>
      <c r="N1091" t="s">
        <v>29</v>
      </c>
      <c r="O1091" s="3">
        <v>44699</v>
      </c>
      <c r="P1091">
        <v>-1</v>
      </c>
      <c r="T1091" t="s">
        <v>50</v>
      </c>
      <c r="U1091">
        <v>95</v>
      </c>
      <c r="V1091">
        <v>32.524999999999999</v>
      </c>
    </row>
    <row r="1092" spans="1:22" x14ac:dyDescent="0.35">
      <c r="A1092" s="3">
        <v>44545</v>
      </c>
      <c r="B1092" t="s">
        <v>31</v>
      </c>
      <c r="C1092">
        <v>0</v>
      </c>
      <c r="D1092">
        <v>0</v>
      </c>
      <c r="E1092">
        <v>0</v>
      </c>
      <c r="F1092">
        <v>0</v>
      </c>
      <c r="G1092">
        <v>24.419899999999998</v>
      </c>
      <c r="H1092">
        <v>0</v>
      </c>
      <c r="I1092">
        <v>0</v>
      </c>
      <c r="J1092">
        <v>0</v>
      </c>
      <c r="K1092">
        <v>0</v>
      </c>
      <c r="L1092">
        <v>61</v>
      </c>
      <c r="M1092">
        <v>90</v>
      </c>
      <c r="N1092" t="s">
        <v>31</v>
      </c>
      <c r="O1092" s="3">
        <v>44635</v>
      </c>
      <c r="P1092">
        <v>-1</v>
      </c>
      <c r="T1092" t="s">
        <v>49</v>
      </c>
      <c r="U1092">
        <v>114</v>
      </c>
      <c r="V1092">
        <v>31.65</v>
      </c>
    </row>
    <row r="1093" spans="1:22" x14ac:dyDescent="0.35">
      <c r="A1093" s="3">
        <v>44545</v>
      </c>
      <c r="B1093" t="s">
        <v>22</v>
      </c>
      <c r="C1093">
        <v>0</v>
      </c>
      <c r="D1093">
        <v>0</v>
      </c>
      <c r="E1093">
        <v>0</v>
      </c>
      <c r="F1093">
        <v>0</v>
      </c>
      <c r="G1093">
        <v>25.85</v>
      </c>
      <c r="H1093">
        <v>0</v>
      </c>
      <c r="I1093">
        <v>0</v>
      </c>
      <c r="J1093">
        <v>0</v>
      </c>
      <c r="K1093">
        <v>0</v>
      </c>
      <c r="L1093">
        <v>150</v>
      </c>
      <c r="M1093">
        <v>217</v>
      </c>
      <c r="N1093" t="s">
        <v>22</v>
      </c>
      <c r="O1093" s="3">
        <v>44762</v>
      </c>
      <c r="P1093">
        <v>-1</v>
      </c>
      <c r="T1093" t="s">
        <v>48</v>
      </c>
      <c r="U1093">
        <v>139</v>
      </c>
      <c r="V1093">
        <v>31.375</v>
      </c>
    </row>
    <row r="1094" spans="1:22" x14ac:dyDescent="0.35">
      <c r="A1094" s="3">
        <v>44545</v>
      </c>
      <c r="B1094" t="s">
        <v>26</v>
      </c>
      <c r="C1094">
        <v>0</v>
      </c>
      <c r="D1094">
        <v>0</v>
      </c>
      <c r="E1094">
        <v>0</v>
      </c>
      <c r="F1094">
        <v>0</v>
      </c>
      <c r="G1094">
        <v>25.65</v>
      </c>
      <c r="H1094">
        <v>0</v>
      </c>
      <c r="I1094">
        <v>0</v>
      </c>
      <c r="J1094">
        <v>0</v>
      </c>
      <c r="K1094">
        <v>0</v>
      </c>
      <c r="L1094">
        <v>170</v>
      </c>
      <c r="M1094">
        <v>245</v>
      </c>
      <c r="N1094" t="s">
        <v>26</v>
      </c>
      <c r="O1094" s="3">
        <v>44790</v>
      </c>
      <c r="P1094">
        <v>-1</v>
      </c>
      <c r="T1094" t="s">
        <v>47</v>
      </c>
      <c r="U1094">
        <v>159</v>
      </c>
      <c r="V1094">
        <v>29.9</v>
      </c>
    </row>
    <row r="1095" spans="1:22" x14ac:dyDescent="0.35">
      <c r="A1095" s="3">
        <v>44545</v>
      </c>
      <c r="B1095" t="s">
        <v>32</v>
      </c>
      <c r="C1095">
        <v>0</v>
      </c>
      <c r="D1095">
        <v>0</v>
      </c>
      <c r="E1095">
        <v>0</v>
      </c>
      <c r="F1095">
        <v>0</v>
      </c>
      <c r="G1095">
        <v>23.3657</v>
      </c>
      <c r="H1095">
        <v>0</v>
      </c>
      <c r="I1095">
        <v>0</v>
      </c>
      <c r="J1095">
        <v>0</v>
      </c>
      <c r="K1095">
        <v>0</v>
      </c>
      <c r="L1095">
        <v>43</v>
      </c>
      <c r="M1095">
        <v>63</v>
      </c>
      <c r="N1095" t="s">
        <v>32</v>
      </c>
      <c r="O1095" s="3">
        <v>44608</v>
      </c>
      <c r="P1095">
        <v>-1</v>
      </c>
      <c r="T1095" t="s">
        <v>46</v>
      </c>
      <c r="U1095">
        <v>178</v>
      </c>
      <c r="V1095">
        <v>28.3</v>
      </c>
    </row>
    <row r="1096" spans="1:22" x14ac:dyDescent="0.35">
      <c r="A1096" s="3">
        <v>44545</v>
      </c>
      <c r="B1096" t="s">
        <v>34</v>
      </c>
      <c r="C1096">
        <v>0</v>
      </c>
      <c r="D1096">
        <v>0</v>
      </c>
      <c r="E1096">
        <v>0</v>
      </c>
      <c r="F1096">
        <v>0</v>
      </c>
      <c r="G1096">
        <v>19.075800000000001</v>
      </c>
      <c r="H1096">
        <v>0</v>
      </c>
      <c r="I1096">
        <v>0</v>
      </c>
      <c r="J1096">
        <v>0</v>
      </c>
      <c r="K1096">
        <v>0</v>
      </c>
      <c r="L1096">
        <v>5</v>
      </c>
      <c r="M1096">
        <v>7</v>
      </c>
      <c r="N1096" t="s">
        <v>34</v>
      </c>
      <c r="O1096" s="3">
        <v>44552</v>
      </c>
      <c r="P1096">
        <v>-1</v>
      </c>
      <c r="S1096" s="3">
        <v>43929</v>
      </c>
      <c r="T1096" t="s">
        <v>54</v>
      </c>
      <c r="U1096">
        <v>5</v>
      </c>
      <c r="V1096">
        <v>42.375</v>
      </c>
    </row>
    <row r="1097" spans="1:22" x14ac:dyDescent="0.35">
      <c r="A1097" s="3">
        <v>44545</v>
      </c>
      <c r="B1097" t="s">
        <v>28</v>
      </c>
      <c r="C1097">
        <v>0</v>
      </c>
      <c r="D1097">
        <v>0</v>
      </c>
      <c r="E1097">
        <v>0</v>
      </c>
      <c r="F1097">
        <v>0</v>
      </c>
      <c r="G1097">
        <v>25.5701</v>
      </c>
      <c r="H1097">
        <v>0</v>
      </c>
      <c r="I1097">
        <v>0</v>
      </c>
      <c r="J1097">
        <v>0</v>
      </c>
      <c r="K1097">
        <v>0</v>
      </c>
      <c r="L1097">
        <v>126</v>
      </c>
      <c r="M1097">
        <v>182</v>
      </c>
      <c r="N1097" t="s">
        <v>28</v>
      </c>
      <c r="O1097" s="3">
        <v>44727</v>
      </c>
      <c r="P1097">
        <v>-1</v>
      </c>
      <c r="T1097" t="s">
        <v>53</v>
      </c>
      <c r="U1097">
        <v>30</v>
      </c>
      <c r="V1097">
        <v>38.299999999999997</v>
      </c>
    </row>
    <row r="1098" spans="1:22" x14ac:dyDescent="0.35">
      <c r="A1098" s="3">
        <v>44545</v>
      </c>
      <c r="B1098" t="s">
        <v>30</v>
      </c>
      <c r="C1098">
        <v>0</v>
      </c>
      <c r="D1098">
        <v>0</v>
      </c>
      <c r="E1098">
        <v>0</v>
      </c>
      <c r="F1098">
        <v>0</v>
      </c>
      <c r="G1098">
        <v>25.250299999999999</v>
      </c>
      <c r="H1098">
        <v>0</v>
      </c>
      <c r="I1098">
        <v>0</v>
      </c>
      <c r="J1098">
        <v>0</v>
      </c>
      <c r="K1098">
        <v>0</v>
      </c>
      <c r="L1098">
        <v>87</v>
      </c>
      <c r="M1098">
        <v>126</v>
      </c>
      <c r="N1098" t="s">
        <v>30</v>
      </c>
      <c r="O1098" s="3">
        <v>44671</v>
      </c>
      <c r="P1098">
        <v>-1</v>
      </c>
      <c r="T1098" t="s">
        <v>52</v>
      </c>
      <c r="U1098">
        <v>49</v>
      </c>
      <c r="V1098">
        <v>36.075000000000003</v>
      </c>
    </row>
    <row r="1099" spans="1:22" x14ac:dyDescent="0.35">
      <c r="A1099" s="3">
        <v>44545</v>
      </c>
      <c r="B1099" t="s">
        <v>33</v>
      </c>
      <c r="C1099">
        <v>0</v>
      </c>
      <c r="D1099">
        <v>0</v>
      </c>
      <c r="E1099">
        <v>0</v>
      </c>
      <c r="F1099">
        <v>0</v>
      </c>
      <c r="G1099">
        <v>21.9711</v>
      </c>
      <c r="H1099">
        <v>0</v>
      </c>
      <c r="I1099">
        <v>0</v>
      </c>
      <c r="J1099">
        <v>0</v>
      </c>
      <c r="K1099">
        <v>0</v>
      </c>
      <c r="L1099">
        <v>23</v>
      </c>
      <c r="M1099">
        <v>35</v>
      </c>
      <c r="N1099" t="s">
        <v>33</v>
      </c>
      <c r="O1099" s="3">
        <v>44580</v>
      </c>
      <c r="P1099">
        <v>-1</v>
      </c>
      <c r="T1099" t="s">
        <v>51</v>
      </c>
      <c r="U1099">
        <v>74</v>
      </c>
      <c r="V1099">
        <v>33.549999999999997</v>
      </c>
    </row>
    <row r="1100" spans="1:22" x14ac:dyDescent="0.35">
      <c r="A1100" s="3">
        <v>44544</v>
      </c>
      <c r="B1100" t="s">
        <v>26</v>
      </c>
      <c r="C1100">
        <v>0</v>
      </c>
      <c r="D1100">
        <v>0</v>
      </c>
      <c r="E1100">
        <v>0</v>
      </c>
      <c r="F1100">
        <v>0</v>
      </c>
      <c r="G1100">
        <v>26.15</v>
      </c>
      <c r="H1100">
        <v>0</v>
      </c>
      <c r="I1100">
        <v>0</v>
      </c>
      <c r="J1100">
        <v>0</v>
      </c>
      <c r="K1100">
        <v>0</v>
      </c>
      <c r="L1100">
        <v>171</v>
      </c>
      <c r="M1100">
        <v>246</v>
      </c>
      <c r="N1100" t="s">
        <v>26</v>
      </c>
      <c r="O1100" s="3">
        <v>44790</v>
      </c>
      <c r="P1100">
        <v>-1</v>
      </c>
      <c r="T1100" t="s">
        <v>50</v>
      </c>
      <c r="U1100">
        <v>94</v>
      </c>
      <c r="V1100">
        <v>31.975000000000001</v>
      </c>
    </row>
    <row r="1101" spans="1:22" x14ac:dyDescent="0.35">
      <c r="A1101" s="3">
        <v>44544</v>
      </c>
      <c r="B1101" t="s">
        <v>32</v>
      </c>
      <c r="C1101">
        <v>0</v>
      </c>
      <c r="D1101">
        <v>0</v>
      </c>
      <c r="E1101">
        <v>0</v>
      </c>
      <c r="F1101">
        <v>0</v>
      </c>
      <c r="G1101">
        <v>24.6311</v>
      </c>
      <c r="H1101">
        <v>0</v>
      </c>
      <c r="I1101">
        <v>0</v>
      </c>
      <c r="J1101">
        <v>0</v>
      </c>
      <c r="K1101">
        <v>0</v>
      </c>
      <c r="L1101">
        <v>44</v>
      </c>
      <c r="M1101">
        <v>64</v>
      </c>
      <c r="N1101" t="s">
        <v>32</v>
      </c>
      <c r="O1101" s="3">
        <v>44608</v>
      </c>
      <c r="P1101">
        <v>-1</v>
      </c>
      <c r="T1101" t="s">
        <v>49</v>
      </c>
      <c r="U1101">
        <v>113</v>
      </c>
      <c r="V1101">
        <v>31.1</v>
      </c>
    </row>
    <row r="1102" spans="1:22" x14ac:dyDescent="0.35">
      <c r="A1102" s="3">
        <v>44544</v>
      </c>
      <c r="B1102" t="s">
        <v>34</v>
      </c>
      <c r="C1102">
        <v>0</v>
      </c>
      <c r="D1102">
        <v>0</v>
      </c>
      <c r="E1102">
        <v>0</v>
      </c>
      <c r="F1102">
        <v>0</v>
      </c>
      <c r="G1102">
        <v>21.285699999999999</v>
      </c>
      <c r="H1102">
        <v>0</v>
      </c>
      <c r="I1102">
        <v>0</v>
      </c>
      <c r="J1102">
        <v>0</v>
      </c>
      <c r="K1102">
        <v>0</v>
      </c>
      <c r="L1102">
        <v>6</v>
      </c>
      <c r="M1102">
        <v>8</v>
      </c>
      <c r="N1102" t="s">
        <v>34</v>
      </c>
      <c r="O1102" s="3">
        <v>44552</v>
      </c>
      <c r="P1102">
        <v>-1</v>
      </c>
      <c r="T1102" t="s">
        <v>48</v>
      </c>
      <c r="U1102">
        <v>138</v>
      </c>
      <c r="V1102">
        <v>30.925000000000001</v>
      </c>
    </row>
    <row r="1103" spans="1:22" x14ac:dyDescent="0.35">
      <c r="A1103" s="3">
        <v>44544</v>
      </c>
      <c r="B1103" t="s">
        <v>28</v>
      </c>
      <c r="C1103">
        <v>0</v>
      </c>
      <c r="D1103">
        <v>0</v>
      </c>
      <c r="E1103">
        <v>0</v>
      </c>
      <c r="F1103">
        <v>0</v>
      </c>
      <c r="G1103">
        <v>26.35</v>
      </c>
      <c r="H1103">
        <v>0</v>
      </c>
      <c r="I1103">
        <v>0</v>
      </c>
      <c r="J1103">
        <v>0</v>
      </c>
      <c r="K1103">
        <v>0</v>
      </c>
      <c r="L1103">
        <v>127</v>
      </c>
      <c r="M1103">
        <v>183</v>
      </c>
      <c r="N1103" t="s">
        <v>28</v>
      </c>
      <c r="O1103" s="3">
        <v>44727</v>
      </c>
      <c r="P1103">
        <v>-1</v>
      </c>
      <c r="T1103" t="s">
        <v>47</v>
      </c>
      <c r="U1103">
        <v>158</v>
      </c>
      <c r="V1103">
        <v>29.324999999999999</v>
      </c>
    </row>
    <row r="1104" spans="1:22" x14ac:dyDescent="0.35">
      <c r="A1104" s="3">
        <v>44544</v>
      </c>
      <c r="B1104" t="s">
        <v>30</v>
      </c>
      <c r="C1104">
        <v>0</v>
      </c>
      <c r="D1104">
        <v>0</v>
      </c>
      <c r="E1104">
        <v>0</v>
      </c>
      <c r="F1104">
        <v>0</v>
      </c>
      <c r="G1104">
        <v>26.1996</v>
      </c>
      <c r="H1104">
        <v>0</v>
      </c>
      <c r="I1104">
        <v>0</v>
      </c>
      <c r="J1104">
        <v>0</v>
      </c>
      <c r="K1104">
        <v>0</v>
      </c>
      <c r="L1104">
        <v>88</v>
      </c>
      <c r="M1104">
        <v>127</v>
      </c>
      <c r="N1104" t="s">
        <v>30</v>
      </c>
      <c r="O1104" s="3">
        <v>44671</v>
      </c>
      <c r="P1104">
        <v>-1</v>
      </c>
      <c r="S1104" s="3">
        <v>43930</v>
      </c>
      <c r="T1104" t="s">
        <v>54</v>
      </c>
      <c r="U1104">
        <v>4</v>
      </c>
      <c r="V1104">
        <v>41.274999999999999</v>
      </c>
    </row>
    <row r="1105" spans="1:22" x14ac:dyDescent="0.35">
      <c r="A1105" s="3">
        <v>44544</v>
      </c>
      <c r="B1105" t="s">
        <v>33</v>
      </c>
      <c r="C1105">
        <v>0</v>
      </c>
      <c r="D1105">
        <v>0</v>
      </c>
      <c r="E1105">
        <v>0</v>
      </c>
      <c r="F1105">
        <v>0</v>
      </c>
      <c r="G1105">
        <v>23.482800000000001</v>
      </c>
      <c r="H1105">
        <v>0</v>
      </c>
      <c r="I1105">
        <v>0</v>
      </c>
      <c r="J1105">
        <v>0</v>
      </c>
      <c r="K1105">
        <v>0</v>
      </c>
      <c r="L1105">
        <v>24</v>
      </c>
      <c r="M1105">
        <v>36</v>
      </c>
      <c r="N1105" t="s">
        <v>33</v>
      </c>
      <c r="O1105" s="3">
        <v>44580</v>
      </c>
      <c r="P1105">
        <v>-1</v>
      </c>
      <c r="T1105" t="s">
        <v>53</v>
      </c>
      <c r="U1105">
        <v>29</v>
      </c>
      <c r="V1105">
        <v>36.924999999999997</v>
      </c>
    </row>
    <row r="1106" spans="1:22" x14ac:dyDescent="0.35">
      <c r="A1106" s="3">
        <v>44544</v>
      </c>
      <c r="B1106" t="s">
        <v>29</v>
      </c>
      <c r="C1106">
        <v>0</v>
      </c>
      <c r="D1106">
        <v>0</v>
      </c>
      <c r="E1106">
        <v>0</v>
      </c>
      <c r="F1106">
        <v>0</v>
      </c>
      <c r="G1106">
        <v>26.35</v>
      </c>
      <c r="H1106">
        <v>0</v>
      </c>
      <c r="I1106">
        <v>0</v>
      </c>
      <c r="J1106">
        <v>0</v>
      </c>
      <c r="K1106">
        <v>0</v>
      </c>
      <c r="L1106">
        <v>108</v>
      </c>
      <c r="M1106">
        <v>155</v>
      </c>
      <c r="N1106" t="s">
        <v>29</v>
      </c>
      <c r="O1106" s="3">
        <v>44699</v>
      </c>
      <c r="P1106">
        <v>-1</v>
      </c>
      <c r="T1106" t="s">
        <v>52</v>
      </c>
      <c r="U1106">
        <v>48</v>
      </c>
      <c r="V1106">
        <v>34.65</v>
      </c>
    </row>
    <row r="1107" spans="1:22" x14ac:dyDescent="0.35">
      <c r="A1107" s="3">
        <v>44544</v>
      </c>
      <c r="B1107" t="s">
        <v>31</v>
      </c>
      <c r="C1107">
        <v>0</v>
      </c>
      <c r="D1107">
        <v>0</v>
      </c>
      <c r="E1107">
        <v>0</v>
      </c>
      <c r="F1107">
        <v>0</v>
      </c>
      <c r="G1107">
        <v>25.5411</v>
      </c>
      <c r="H1107">
        <v>0</v>
      </c>
      <c r="I1107">
        <v>0</v>
      </c>
      <c r="J1107">
        <v>0</v>
      </c>
      <c r="K1107">
        <v>0</v>
      </c>
      <c r="L1107">
        <v>62</v>
      </c>
      <c r="M1107">
        <v>91</v>
      </c>
      <c r="N1107" t="s">
        <v>31</v>
      </c>
      <c r="O1107" s="3">
        <v>44635</v>
      </c>
      <c r="P1107">
        <v>-1</v>
      </c>
      <c r="T1107" t="s">
        <v>51</v>
      </c>
      <c r="U1107">
        <v>73</v>
      </c>
      <c r="V1107">
        <v>32.524999999999999</v>
      </c>
    </row>
    <row r="1108" spans="1:22" x14ac:dyDescent="0.35">
      <c r="A1108" s="3">
        <v>44544</v>
      </c>
      <c r="B1108" t="s">
        <v>22</v>
      </c>
      <c r="C1108">
        <v>0</v>
      </c>
      <c r="D1108">
        <v>0</v>
      </c>
      <c r="E1108">
        <v>0</v>
      </c>
      <c r="F1108">
        <v>0</v>
      </c>
      <c r="G1108">
        <v>26.5</v>
      </c>
      <c r="H1108">
        <v>0</v>
      </c>
      <c r="I1108">
        <v>0</v>
      </c>
      <c r="J1108">
        <v>0</v>
      </c>
      <c r="K1108">
        <v>0</v>
      </c>
      <c r="L1108">
        <v>151</v>
      </c>
      <c r="M1108">
        <v>218</v>
      </c>
      <c r="N1108" t="s">
        <v>22</v>
      </c>
      <c r="O1108" s="3">
        <v>44762</v>
      </c>
      <c r="P1108">
        <v>-1</v>
      </c>
      <c r="T1108" t="s">
        <v>50</v>
      </c>
      <c r="U1108">
        <v>93</v>
      </c>
      <c r="V1108">
        <v>31.15</v>
      </c>
    </row>
    <row r="1109" spans="1:22" x14ac:dyDescent="0.35">
      <c r="A1109" s="3">
        <v>44543</v>
      </c>
      <c r="B1109" t="s">
        <v>29</v>
      </c>
      <c r="C1109">
        <v>0</v>
      </c>
      <c r="D1109">
        <v>0</v>
      </c>
      <c r="E1109">
        <v>0</v>
      </c>
      <c r="F1109">
        <v>0</v>
      </c>
      <c r="G1109">
        <v>26.207799999999999</v>
      </c>
      <c r="H1109">
        <v>0</v>
      </c>
      <c r="I1109">
        <v>0</v>
      </c>
      <c r="J1109">
        <v>0</v>
      </c>
      <c r="K1109">
        <v>0</v>
      </c>
      <c r="L1109">
        <v>109</v>
      </c>
      <c r="M1109">
        <v>156</v>
      </c>
      <c r="N1109" t="s">
        <v>29</v>
      </c>
      <c r="O1109" s="3">
        <v>44699</v>
      </c>
      <c r="P1109">
        <v>-1</v>
      </c>
      <c r="T1109" t="s">
        <v>49</v>
      </c>
      <c r="U1109">
        <v>112</v>
      </c>
      <c r="V1109">
        <v>30.375</v>
      </c>
    </row>
    <row r="1110" spans="1:22" x14ac:dyDescent="0.35">
      <c r="A1110" s="3">
        <v>44543</v>
      </c>
      <c r="B1110" t="s">
        <v>31</v>
      </c>
      <c r="C1110">
        <v>0</v>
      </c>
      <c r="D1110">
        <v>0</v>
      </c>
      <c r="E1110">
        <v>0</v>
      </c>
      <c r="F1110">
        <v>0</v>
      </c>
      <c r="G1110">
        <v>25.257300000000001</v>
      </c>
      <c r="H1110">
        <v>0</v>
      </c>
      <c r="I1110">
        <v>0</v>
      </c>
      <c r="J1110">
        <v>0</v>
      </c>
      <c r="K1110">
        <v>0</v>
      </c>
      <c r="L1110">
        <v>63</v>
      </c>
      <c r="M1110">
        <v>92</v>
      </c>
      <c r="N1110" t="s">
        <v>31</v>
      </c>
      <c r="O1110" s="3">
        <v>44635</v>
      </c>
      <c r="P1110">
        <v>-1</v>
      </c>
      <c r="T1110" t="s">
        <v>48</v>
      </c>
      <c r="U1110">
        <v>137</v>
      </c>
      <c r="V1110">
        <v>30.324999999999999</v>
      </c>
    </row>
    <row r="1111" spans="1:22" x14ac:dyDescent="0.35">
      <c r="A1111" s="3">
        <v>44543</v>
      </c>
      <c r="B1111" t="s">
        <v>22</v>
      </c>
      <c r="C1111">
        <v>0</v>
      </c>
      <c r="D1111">
        <v>0</v>
      </c>
      <c r="E1111">
        <v>0</v>
      </c>
      <c r="F1111">
        <v>0</v>
      </c>
      <c r="G1111">
        <v>26.4</v>
      </c>
      <c r="H1111">
        <v>0</v>
      </c>
      <c r="I1111">
        <v>0</v>
      </c>
      <c r="J1111">
        <v>0</v>
      </c>
      <c r="K1111">
        <v>0</v>
      </c>
      <c r="L1111">
        <v>152</v>
      </c>
      <c r="M1111">
        <v>219</v>
      </c>
      <c r="N1111" t="s">
        <v>22</v>
      </c>
      <c r="O1111" s="3">
        <v>44762</v>
      </c>
      <c r="P1111">
        <v>-1</v>
      </c>
      <c r="T1111" t="s">
        <v>47</v>
      </c>
      <c r="U1111">
        <v>157</v>
      </c>
      <c r="V1111">
        <v>28.774999999999999</v>
      </c>
    </row>
    <row r="1112" spans="1:22" x14ac:dyDescent="0.35">
      <c r="A1112" s="3">
        <v>44543</v>
      </c>
      <c r="B1112" t="s">
        <v>26</v>
      </c>
      <c r="C1112">
        <v>0</v>
      </c>
      <c r="D1112">
        <v>0</v>
      </c>
      <c r="E1112">
        <v>0</v>
      </c>
      <c r="F1112">
        <v>0</v>
      </c>
      <c r="G1112">
        <v>26.15</v>
      </c>
      <c r="H1112">
        <v>0</v>
      </c>
      <c r="I1112">
        <v>0</v>
      </c>
      <c r="J1112">
        <v>0</v>
      </c>
      <c r="K1112">
        <v>0</v>
      </c>
      <c r="L1112">
        <v>172</v>
      </c>
      <c r="M1112">
        <v>247</v>
      </c>
      <c r="N1112" t="s">
        <v>26</v>
      </c>
      <c r="O1112" s="3">
        <v>44790</v>
      </c>
      <c r="P1112">
        <v>-1</v>
      </c>
      <c r="S1112" s="3">
        <v>43934</v>
      </c>
      <c r="T1112" t="s">
        <v>54</v>
      </c>
      <c r="U1112">
        <v>2</v>
      </c>
      <c r="V1112">
        <v>40.575000000000003</v>
      </c>
    </row>
    <row r="1113" spans="1:22" x14ac:dyDescent="0.35">
      <c r="A1113" s="3">
        <v>44543</v>
      </c>
      <c r="B1113" t="s">
        <v>32</v>
      </c>
      <c r="C1113">
        <v>0</v>
      </c>
      <c r="D1113">
        <v>0</v>
      </c>
      <c r="E1113">
        <v>0</v>
      </c>
      <c r="F1113">
        <v>0</v>
      </c>
      <c r="G1113">
        <v>24.3443</v>
      </c>
      <c r="H1113">
        <v>0</v>
      </c>
      <c r="I1113">
        <v>0</v>
      </c>
      <c r="J1113">
        <v>0</v>
      </c>
      <c r="K1113">
        <v>0</v>
      </c>
      <c r="L1113">
        <v>45</v>
      </c>
      <c r="M1113">
        <v>65</v>
      </c>
      <c r="N1113" t="s">
        <v>32</v>
      </c>
      <c r="O1113" s="3">
        <v>44608</v>
      </c>
      <c r="P1113">
        <v>-1</v>
      </c>
      <c r="T1113" t="s">
        <v>53</v>
      </c>
      <c r="U1113">
        <v>27</v>
      </c>
      <c r="V1113">
        <v>36.125</v>
      </c>
    </row>
    <row r="1114" spans="1:22" x14ac:dyDescent="0.35">
      <c r="A1114" s="3">
        <v>44543</v>
      </c>
      <c r="B1114" t="s">
        <v>34</v>
      </c>
      <c r="C1114">
        <v>0</v>
      </c>
      <c r="D1114">
        <v>0</v>
      </c>
      <c r="E1114">
        <v>0</v>
      </c>
      <c r="F1114">
        <v>0</v>
      </c>
      <c r="G1114">
        <v>20.584099999999999</v>
      </c>
      <c r="H1114">
        <v>0</v>
      </c>
      <c r="I1114">
        <v>0</v>
      </c>
      <c r="J1114">
        <v>0</v>
      </c>
      <c r="K1114">
        <v>0</v>
      </c>
      <c r="L1114">
        <v>7</v>
      </c>
      <c r="M1114">
        <v>9</v>
      </c>
      <c r="N1114" t="s">
        <v>34</v>
      </c>
      <c r="O1114" s="3">
        <v>44552</v>
      </c>
      <c r="P1114">
        <v>-1</v>
      </c>
      <c r="T1114" t="s">
        <v>52</v>
      </c>
      <c r="U1114">
        <v>46</v>
      </c>
      <c r="V1114">
        <v>33.825000000000003</v>
      </c>
    </row>
    <row r="1115" spans="1:22" x14ac:dyDescent="0.35">
      <c r="A1115" s="3">
        <v>44543</v>
      </c>
      <c r="B1115" t="s">
        <v>28</v>
      </c>
      <c r="C1115">
        <v>0</v>
      </c>
      <c r="D1115">
        <v>0</v>
      </c>
      <c r="E1115">
        <v>0</v>
      </c>
      <c r="F1115">
        <v>0</v>
      </c>
      <c r="G1115">
        <v>26.25</v>
      </c>
      <c r="H1115">
        <v>0</v>
      </c>
      <c r="I1115">
        <v>0</v>
      </c>
      <c r="J1115">
        <v>0</v>
      </c>
      <c r="K1115">
        <v>0</v>
      </c>
      <c r="L1115">
        <v>128</v>
      </c>
      <c r="M1115">
        <v>184</v>
      </c>
      <c r="N1115" t="s">
        <v>28</v>
      </c>
      <c r="O1115" s="3">
        <v>44727</v>
      </c>
      <c r="P1115">
        <v>-1</v>
      </c>
      <c r="T1115" t="s">
        <v>51</v>
      </c>
      <c r="U1115">
        <v>71</v>
      </c>
      <c r="V1115">
        <v>32.1</v>
      </c>
    </row>
    <row r="1116" spans="1:22" x14ac:dyDescent="0.35">
      <c r="A1116" s="3">
        <v>44543</v>
      </c>
      <c r="B1116" t="s">
        <v>30</v>
      </c>
      <c r="C1116">
        <v>0</v>
      </c>
      <c r="D1116">
        <v>0</v>
      </c>
      <c r="E1116">
        <v>0</v>
      </c>
      <c r="F1116">
        <v>0</v>
      </c>
      <c r="G1116">
        <v>25.962199999999999</v>
      </c>
      <c r="H1116">
        <v>0</v>
      </c>
      <c r="I1116">
        <v>0</v>
      </c>
      <c r="J1116">
        <v>0</v>
      </c>
      <c r="K1116">
        <v>0</v>
      </c>
      <c r="L1116">
        <v>89</v>
      </c>
      <c r="M1116">
        <v>128</v>
      </c>
      <c r="N1116" t="s">
        <v>30</v>
      </c>
      <c r="O1116" s="3">
        <v>44671</v>
      </c>
      <c r="P1116">
        <v>-1</v>
      </c>
      <c r="T1116" t="s">
        <v>50</v>
      </c>
      <c r="U1116">
        <v>91</v>
      </c>
      <c r="V1116">
        <v>30.8</v>
      </c>
    </row>
    <row r="1117" spans="1:22" x14ac:dyDescent="0.35">
      <c r="A1117" s="3">
        <v>44543</v>
      </c>
      <c r="B1117" t="s">
        <v>33</v>
      </c>
      <c r="C1117">
        <v>0</v>
      </c>
      <c r="D1117">
        <v>0</v>
      </c>
      <c r="E1117">
        <v>0</v>
      </c>
      <c r="F1117">
        <v>0</v>
      </c>
      <c r="G1117">
        <v>23.163399999999999</v>
      </c>
      <c r="H1117">
        <v>0</v>
      </c>
      <c r="I1117">
        <v>0</v>
      </c>
      <c r="J1117">
        <v>0</v>
      </c>
      <c r="K1117">
        <v>0</v>
      </c>
      <c r="L1117">
        <v>25</v>
      </c>
      <c r="M1117">
        <v>37</v>
      </c>
      <c r="N1117" t="s">
        <v>33</v>
      </c>
      <c r="O1117" s="3">
        <v>44580</v>
      </c>
      <c r="P1117">
        <v>-1</v>
      </c>
      <c r="T1117" t="s">
        <v>49</v>
      </c>
      <c r="U1117">
        <v>110</v>
      </c>
      <c r="V1117">
        <v>30.05</v>
      </c>
    </row>
    <row r="1118" spans="1:22" x14ac:dyDescent="0.35">
      <c r="A1118" s="3">
        <v>44540</v>
      </c>
      <c r="B1118" t="s">
        <v>26</v>
      </c>
      <c r="C1118">
        <v>0</v>
      </c>
      <c r="D1118">
        <v>0</v>
      </c>
      <c r="E1118">
        <v>0</v>
      </c>
      <c r="F1118">
        <v>0</v>
      </c>
      <c r="G1118">
        <v>25.6</v>
      </c>
      <c r="H1118">
        <v>0</v>
      </c>
      <c r="I1118">
        <v>0</v>
      </c>
      <c r="J1118">
        <v>0</v>
      </c>
      <c r="K1118">
        <v>0</v>
      </c>
      <c r="L1118">
        <v>173</v>
      </c>
      <c r="M1118">
        <v>250</v>
      </c>
      <c r="N1118" t="s">
        <v>26</v>
      </c>
      <c r="O1118" s="3">
        <v>44790</v>
      </c>
      <c r="P1118">
        <v>-1</v>
      </c>
      <c r="T1118" t="s">
        <v>48</v>
      </c>
      <c r="U1118">
        <v>135</v>
      </c>
      <c r="V1118">
        <v>30.125</v>
      </c>
    </row>
    <row r="1119" spans="1:22" x14ac:dyDescent="0.35">
      <c r="A1119" s="3">
        <v>44540</v>
      </c>
      <c r="B1119" t="s">
        <v>32</v>
      </c>
      <c r="C1119">
        <v>0</v>
      </c>
      <c r="D1119">
        <v>0</v>
      </c>
      <c r="E1119">
        <v>0</v>
      </c>
      <c r="F1119">
        <v>0</v>
      </c>
      <c r="G1119">
        <v>23.507999999999999</v>
      </c>
      <c r="H1119">
        <v>0</v>
      </c>
      <c r="I1119">
        <v>0</v>
      </c>
      <c r="J1119">
        <v>0</v>
      </c>
      <c r="K1119">
        <v>0</v>
      </c>
      <c r="L1119">
        <v>46</v>
      </c>
      <c r="M1119">
        <v>68</v>
      </c>
      <c r="N1119" t="s">
        <v>32</v>
      </c>
      <c r="O1119" s="3">
        <v>44608</v>
      </c>
      <c r="P1119">
        <v>-1</v>
      </c>
      <c r="T1119" t="s">
        <v>47</v>
      </c>
      <c r="U1119">
        <v>155</v>
      </c>
      <c r="V1119">
        <v>28.574999999999999</v>
      </c>
    </row>
    <row r="1120" spans="1:22" x14ac:dyDescent="0.35">
      <c r="A1120" s="3">
        <v>44540</v>
      </c>
      <c r="B1120" t="s">
        <v>34</v>
      </c>
      <c r="C1120">
        <v>0</v>
      </c>
      <c r="D1120">
        <v>0</v>
      </c>
      <c r="E1120">
        <v>0</v>
      </c>
      <c r="F1120">
        <v>0</v>
      </c>
      <c r="G1120">
        <v>19.797499999999999</v>
      </c>
      <c r="H1120">
        <v>0</v>
      </c>
      <c r="I1120">
        <v>0</v>
      </c>
      <c r="J1120">
        <v>0</v>
      </c>
      <c r="K1120">
        <v>0</v>
      </c>
      <c r="L1120">
        <v>8</v>
      </c>
      <c r="M1120">
        <v>12</v>
      </c>
      <c r="N1120" t="s">
        <v>34</v>
      </c>
      <c r="O1120" s="3">
        <v>44552</v>
      </c>
      <c r="P1120">
        <v>-1</v>
      </c>
      <c r="S1120" s="3">
        <v>43935</v>
      </c>
      <c r="T1120" t="s">
        <v>54</v>
      </c>
      <c r="U1120">
        <v>1</v>
      </c>
      <c r="V1120">
        <v>37.875</v>
      </c>
    </row>
    <row r="1121" spans="1:22" x14ac:dyDescent="0.35">
      <c r="A1121" s="3">
        <v>44540</v>
      </c>
      <c r="B1121" t="s">
        <v>28</v>
      </c>
      <c r="C1121">
        <v>0</v>
      </c>
      <c r="D1121">
        <v>0</v>
      </c>
      <c r="E1121">
        <v>0</v>
      </c>
      <c r="F1121">
        <v>0</v>
      </c>
      <c r="G1121">
        <v>25.568899999999999</v>
      </c>
      <c r="H1121">
        <v>0</v>
      </c>
      <c r="I1121">
        <v>0</v>
      </c>
      <c r="J1121">
        <v>0</v>
      </c>
      <c r="K1121">
        <v>0</v>
      </c>
      <c r="L1121">
        <v>129</v>
      </c>
      <c r="M1121">
        <v>187</v>
      </c>
      <c r="N1121" t="s">
        <v>28</v>
      </c>
      <c r="O1121" s="3">
        <v>44727</v>
      </c>
      <c r="P1121">
        <v>-1</v>
      </c>
      <c r="T1121" t="s">
        <v>53</v>
      </c>
      <c r="U1121">
        <v>26</v>
      </c>
      <c r="V1121">
        <v>32.975000000000001</v>
      </c>
    </row>
    <row r="1122" spans="1:22" x14ac:dyDescent="0.35">
      <c r="A1122" s="3">
        <v>44540</v>
      </c>
      <c r="B1122" t="s">
        <v>30</v>
      </c>
      <c r="C1122">
        <v>0</v>
      </c>
      <c r="D1122">
        <v>0</v>
      </c>
      <c r="E1122">
        <v>0</v>
      </c>
      <c r="F1122">
        <v>0</v>
      </c>
      <c r="G1122">
        <v>25.217600000000001</v>
      </c>
      <c r="H1122">
        <v>0</v>
      </c>
      <c r="I1122">
        <v>0</v>
      </c>
      <c r="J1122">
        <v>0</v>
      </c>
      <c r="K1122">
        <v>0</v>
      </c>
      <c r="L1122">
        <v>90</v>
      </c>
      <c r="M1122">
        <v>131</v>
      </c>
      <c r="N1122" t="s">
        <v>30</v>
      </c>
      <c r="O1122" s="3">
        <v>44671</v>
      </c>
      <c r="P1122">
        <v>-1</v>
      </c>
      <c r="T1122" t="s">
        <v>52</v>
      </c>
      <c r="U1122">
        <v>45</v>
      </c>
      <c r="V1122">
        <v>32.049999999999997</v>
      </c>
    </row>
    <row r="1123" spans="1:22" x14ac:dyDescent="0.35">
      <c r="A1123" s="3">
        <v>44540</v>
      </c>
      <c r="B1123" t="s">
        <v>33</v>
      </c>
      <c r="C1123">
        <v>0</v>
      </c>
      <c r="D1123">
        <v>0</v>
      </c>
      <c r="E1123">
        <v>0</v>
      </c>
      <c r="F1123">
        <v>0</v>
      </c>
      <c r="G1123">
        <v>22.266200000000001</v>
      </c>
      <c r="H1123">
        <v>0</v>
      </c>
      <c r="I1123">
        <v>0</v>
      </c>
      <c r="J1123">
        <v>0</v>
      </c>
      <c r="K1123">
        <v>0</v>
      </c>
      <c r="L1123">
        <v>26</v>
      </c>
      <c r="M1123">
        <v>40</v>
      </c>
      <c r="N1123" t="s">
        <v>33</v>
      </c>
      <c r="O1123" s="3">
        <v>44580</v>
      </c>
      <c r="P1123">
        <v>-1</v>
      </c>
      <c r="T1123" t="s">
        <v>51</v>
      </c>
      <c r="U1123">
        <v>70</v>
      </c>
      <c r="V1123">
        <v>31.024999999999999</v>
      </c>
    </row>
    <row r="1124" spans="1:22" x14ac:dyDescent="0.35">
      <c r="A1124" s="3">
        <v>44540</v>
      </c>
      <c r="B1124" t="s">
        <v>29</v>
      </c>
      <c r="C1124">
        <v>0</v>
      </c>
      <c r="D1124">
        <v>0</v>
      </c>
      <c r="E1124">
        <v>0</v>
      </c>
      <c r="F1124">
        <v>0</v>
      </c>
      <c r="G1124">
        <v>25.4773</v>
      </c>
      <c r="H1124">
        <v>0</v>
      </c>
      <c r="I1124">
        <v>0</v>
      </c>
      <c r="J1124">
        <v>0</v>
      </c>
      <c r="K1124">
        <v>0</v>
      </c>
      <c r="L1124">
        <v>110</v>
      </c>
      <c r="M1124">
        <v>159</v>
      </c>
      <c r="N1124" t="s">
        <v>29</v>
      </c>
      <c r="O1124" s="3">
        <v>44699</v>
      </c>
      <c r="P1124">
        <v>-1</v>
      </c>
      <c r="T1124" t="s">
        <v>50</v>
      </c>
      <c r="U1124">
        <v>90</v>
      </c>
      <c r="V1124">
        <v>29.925000000000001</v>
      </c>
    </row>
    <row r="1125" spans="1:22" x14ac:dyDescent="0.35">
      <c r="A1125" s="3">
        <v>44540</v>
      </c>
      <c r="B1125" t="s">
        <v>31</v>
      </c>
      <c r="C1125">
        <v>0</v>
      </c>
      <c r="D1125">
        <v>0</v>
      </c>
      <c r="E1125">
        <v>0</v>
      </c>
      <c r="F1125">
        <v>0</v>
      </c>
      <c r="G1125">
        <v>24.450199999999999</v>
      </c>
      <c r="H1125">
        <v>0</v>
      </c>
      <c r="I1125">
        <v>0</v>
      </c>
      <c r="J1125">
        <v>0</v>
      </c>
      <c r="K1125">
        <v>0</v>
      </c>
      <c r="L1125">
        <v>64</v>
      </c>
      <c r="M1125">
        <v>95</v>
      </c>
      <c r="N1125" t="s">
        <v>31</v>
      </c>
      <c r="O1125" s="3">
        <v>44635</v>
      </c>
      <c r="P1125">
        <v>-1</v>
      </c>
      <c r="T1125" t="s">
        <v>49</v>
      </c>
      <c r="U1125">
        <v>109</v>
      </c>
      <c r="V1125">
        <v>29.35</v>
      </c>
    </row>
    <row r="1126" spans="1:22" x14ac:dyDescent="0.35">
      <c r="A1126" s="3">
        <v>44540</v>
      </c>
      <c r="B1126" t="s">
        <v>22</v>
      </c>
      <c r="C1126">
        <v>0</v>
      </c>
      <c r="D1126">
        <v>0</v>
      </c>
      <c r="E1126">
        <v>0</v>
      </c>
      <c r="F1126">
        <v>0</v>
      </c>
      <c r="G1126">
        <v>25.824999999999999</v>
      </c>
      <c r="H1126">
        <v>0</v>
      </c>
      <c r="I1126">
        <v>0</v>
      </c>
      <c r="J1126">
        <v>0</v>
      </c>
      <c r="K1126">
        <v>0</v>
      </c>
      <c r="L1126">
        <v>153</v>
      </c>
      <c r="M1126">
        <v>222</v>
      </c>
      <c r="N1126" t="s">
        <v>22</v>
      </c>
      <c r="O1126" s="3">
        <v>44762</v>
      </c>
      <c r="P1126">
        <v>-1</v>
      </c>
      <c r="T1126" t="s">
        <v>48</v>
      </c>
      <c r="U1126">
        <v>134</v>
      </c>
      <c r="V1126">
        <v>29.875</v>
      </c>
    </row>
    <row r="1127" spans="1:22" x14ac:dyDescent="0.35">
      <c r="A1127" s="3">
        <v>44539</v>
      </c>
      <c r="B1127" t="s">
        <v>29</v>
      </c>
      <c r="C1127">
        <v>0</v>
      </c>
      <c r="D1127">
        <v>0</v>
      </c>
      <c r="E1127">
        <v>0</v>
      </c>
      <c r="F1127">
        <v>0</v>
      </c>
      <c r="G1127">
        <v>25.878399999999999</v>
      </c>
      <c r="H1127">
        <v>0</v>
      </c>
      <c r="I1127">
        <v>0</v>
      </c>
      <c r="J1127">
        <v>0</v>
      </c>
      <c r="K1127">
        <v>0</v>
      </c>
      <c r="L1127">
        <v>111</v>
      </c>
      <c r="M1127">
        <v>160</v>
      </c>
      <c r="N1127" t="s">
        <v>29</v>
      </c>
      <c r="O1127" s="3">
        <v>44699</v>
      </c>
      <c r="P1127">
        <v>-1</v>
      </c>
      <c r="T1127" t="s">
        <v>47</v>
      </c>
      <c r="U1127">
        <v>154</v>
      </c>
      <c r="V1127">
        <v>28.35</v>
      </c>
    </row>
    <row r="1128" spans="1:22" x14ac:dyDescent="0.35">
      <c r="A1128" s="3">
        <v>44539</v>
      </c>
      <c r="B1128" t="s">
        <v>31</v>
      </c>
      <c r="C1128">
        <v>0</v>
      </c>
      <c r="D1128">
        <v>0</v>
      </c>
      <c r="E1128">
        <v>0</v>
      </c>
      <c r="F1128">
        <v>0</v>
      </c>
      <c r="G1128">
        <v>25.104199999999999</v>
      </c>
      <c r="H1128">
        <v>0</v>
      </c>
      <c r="I1128">
        <v>0</v>
      </c>
      <c r="J1128">
        <v>0</v>
      </c>
      <c r="K1128">
        <v>0</v>
      </c>
      <c r="L1128">
        <v>65</v>
      </c>
      <c r="M1128">
        <v>96</v>
      </c>
      <c r="N1128" t="s">
        <v>31</v>
      </c>
      <c r="O1128" s="3">
        <v>44635</v>
      </c>
      <c r="P1128">
        <v>-1</v>
      </c>
      <c r="T1128" t="s">
        <v>46</v>
      </c>
      <c r="U1128">
        <v>173</v>
      </c>
      <c r="V1128">
        <v>27.65</v>
      </c>
    </row>
    <row r="1129" spans="1:22" x14ac:dyDescent="0.35">
      <c r="A1129" s="3">
        <v>44539</v>
      </c>
      <c r="B1129" t="s">
        <v>22</v>
      </c>
      <c r="C1129">
        <v>0</v>
      </c>
      <c r="D1129">
        <v>0</v>
      </c>
      <c r="E1129">
        <v>0</v>
      </c>
      <c r="F1129">
        <v>0</v>
      </c>
      <c r="G1129">
        <v>26.15</v>
      </c>
      <c r="H1129">
        <v>0</v>
      </c>
      <c r="I1129">
        <v>0</v>
      </c>
      <c r="J1129">
        <v>0</v>
      </c>
      <c r="K1129">
        <v>0</v>
      </c>
      <c r="L1129">
        <v>154</v>
      </c>
      <c r="M1129">
        <v>223</v>
      </c>
      <c r="N1129" t="s">
        <v>22</v>
      </c>
      <c r="O1129" s="3">
        <v>44762</v>
      </c>
      <c r="P1129">
        <v>-1</v>
      </c>
      <c r="S1129" s="3">
        <v>43936</v>
      </c>
      <c r="T1129" t="s">
        <v>54</v>
      </c>
      <c r="U1129">
        <v>0</v>
      </c>
      <c r="V1129">
        <v>42.51</v>
      </c>
    </row>
    <row r="1130" spans="1:22" x14ac:dyDescent="0.35">
      <c r="A1130" s="3">
        <v>44539</v>
      </c>
      <c r="B1130" t="s">
        <v>26</v>
      </c>
      <c r="C1130">
        <v>0</v>
      </c>
      <c r="D1130">
        <v>0</v>
      </c>
      <c r="E1130">
        <v>0</v>
      </c>
      <c r="F1130">
        <v>0</v>
      </c>
      <c r="G1130">
        <v>25.9</v>
      </c>
      <c r="H1130">
        <v>0</v>
      </c>
      <c r="I1130">
        <v>0</v>
      </c>
      <c r="J1130">
        <v>0</v>
      </c>
      <c r="K1130">
        <v>0</v>
      </c>
      <c r="L1130">
        <v>174</v>
      </c>
      <c r="M1130">
        <v>251</v>
      </c>
      <c r="N1130" t="s">
        <v>26</v>
      </c>
      <c r="O1130" s="3">
        <v>44790</v>
      </c>
      <c r="P1130">
        <v>-1</v>
      </c>
      <c r="T1130" t="s">
        <v>53</v>
      </c>
      <c r="U1130">
        <v>25</v>
      </c>
      <c r="V1130">
        <v>36.575000000000003</v>
      </c>
    </row>
    <row r="1131" spans="1:22" x14ac:dyDescent="0.35">
      <c r="A1131" s="3">
        <v>44539</v>
      </c>
      <c r="B1131" t="s">
        <v>32</v>
      </c>
      <c r="C1131">
        <v>0</v>
      </c>
      <c r="D1131">
        <v>0</v>
      </c>
      <c r="E1131">
        <v>0</v>
      </c>
      <c r="F1131">
        <v>0</v>
      </c>
      <c r="G1131">
        <v>24.352599999999999</v>
      </c>
      <c r="H1131">
        <v>0</v>
      </c>
      <c r="I1131">
        <v>0</v>
      </c>
      <c r="J1131">
        <v>0</v>
      </c>
      <c r="K1131">
        <v>0</v>
      </c>
      <c r="L1131">
        <v>47</v>
      </c>
      <c r="M1131">
        <v>69</v>
      </c>
      <c r="N1131" t="s">
        <v>32</v>
      </c>
      <c r="O1131" s="3">
        <v>44608</v>
      </c>
      <c r="P1131">
        <v>-1</v>
      </c>
      <c r="T1131" t="s">
        <v>52</v>
      </c>
      <c r="U1131">
        <v>44</v>
      </c>
      <c r="V1131">
        <v>34.575000000000003</v>
      </c>
    </row>
    <row r="1132" spans="1:22" x14ac:dyDescent="0.35">
      <c r="A1132" s="3">
        <v>44539</v>
      </c>
      <c r="B1132" t="s">
        <v>34</v>
      </c>
      <c r="C1132">
        <v>0</v>
      </c>
      <c r="D1132">
        <v>0</v>
      </c>
      <c r="E1132">
        <v>0</v>
      </c>
      <c r="F1132">
        <v>0</v>
      </c>
      <c r="G1132">
        <v>21.5672</v>
      </c>
      <c r="H1132">
        <v>0</v>
      </c>
      <c r="I1132">
        <v>0</v>
      </c>
      <c r="J1132">
        <v>0</v>
      </c>
      <c r="K1132">
        <v>0</v>
      </c>
      <c r="L1132">
        <v>9</v>
      </c>
      <c r="M1132">
        <v>13</v>
      </c>
      <c r="N1132" t="s">
        <v>34</v>
      </c>
      <c r="O1132" s="3">
        <v>44552</v>
      </c>
      <c r="P1132">
        <v>-1</v>
      </c>
      <c r="T1132" t="s">
        <v>51</v>
      </c>
      <c r="U1132">
        <v>69</v>
      </c>
      <c r="V1132">
        <v>33.075000000000003</v>
      </c>
    </row>
    <row r="1133" spans="1:22" x14ac:dyDescent="0.35">
      <c r="A1133" s="3">
        <v>44539</v>
      </c>
      <c r="B1133" t="s">
        <v>28</v>
      </c>
      <c r="C1133">
        <v>0</v>
      </c>
      <c r="D1133">
        <v>0</v>
      </c>
      <c r="E1133">
        <v>0</v>
      </c>
      <c r="F1133">
        <v>0</v>
      </c>
      <c r="G1133">
        <v>25.961099999999998</v>
      </c>
      <c r="H1133">
        <v>0</v>
      </c>
      <c r="I1133">
        <v>0</v>
      </c>
      <c r="J1133">
        <v>0</v>
      </c>
      <c r="K1133">
        <v>0</v>
      </c>
      <c r="L1133">
        <v>130</v>
      </c>
      <c r="M1133">
        <v>188</v>
      </c>
      <c r="N1133" t="s">
        <v>28</v>
      </c>
      <c r="O1133" s="3">
        <v>44727</v>
      </c>
      <c r="P1133">
        <v>-1</v>
      </c>
      <c r="T1133" t="s">
        <v>50</v>
      </c>
      <c r="U1133">
        <v>89</v>
      </c>
      <c r="V1133">
        <v>31.574999999999999</v>
      </c>
    </row>
    <row r="1134" spans="1:22" x14ac:dyDescent="0.35">
      <c r="A1134" s="3">
        <v>44539</v>
      </c>
      <c r="B1134" t="s">
        <v>30</v>
      </c>
      <c r="C1134">
        <v>0</v>
      </c>
      <c r="D1134">
        <v>0</v>
      </c>
      <c r="E1134">
        <v>0</v>
      </c>
      <c r="F1134">
        <v>0</v>
      </c>
      <c r="G1134">
        <v>25.6935</v>
      </c>
      <c r="H1134">
        <v>0</v>
      </c>
      <c r="I1134">
        <v>0</v>
      </c>
      <c r="J1134">
        <v>0</v>
      </c>
      <c r="K1134">
        <v>0</v>
      </c>
      <c r="L1134">
        <v>91</v>
      </c>
      <c r="M1134">
        <v>132</v>
      </c>
      <c r="N1134" t="s">
        <v>30</v>
      </c>
      <c r="O1134" s="3">
        <v>44671</v>
      </c>
      <c r="P1134">
        <v>-1</v>
      </c>
      <c r="T1134" t="s">
        <v>49</v>
      </c>
      <c r="U1134">
        <v>108</v>
      </c>
      <c r="V1134">
        <v>30.85</v>
      </c>
    </row>
    <row r="1135" spans="1:22" x14ac:dyDescent="0.35">
      <c r="A1135" s="3">
        <v>44539</v>
      </c>
      <c r="B1135" t="s">
        <v>33</v>
      </c>
      <c r="C1135">
        <v>0</v>
      </c>
      <c r="D1135">
        <v>0</v>
      </c>
      <c r="E1135">
        <v>0</v>
      </c>
      <c r="F1135">
        <v>0</v>
      </c>
      <c r="G1135">
        <v>23.5593</v>
      </c>
      <c r="H1135">
        <v>0</v>
      </c>
      <c r="I1135">
        <v>0</v>
      </c>
      <c r="J1135">
        <v>0</v>
      </c>
      <c r="K1135">
        <v>0</v>
      </c>
      <c r="L1135">
        <v>27</v>
      </c>
      <c r="M1135">
        <v>41</v>
      </c>
      <c r="N1135" t="s">
        <v>33</v>
      </c>
      <c r="O1135" s="3">
        <v>44580</v>
      </c>
      <c r="P1135">
        <v>-1</v>
      </c>
      <c r="T1135" t="s">
        <v>48</v>
      </c>
      <c r="U1135">
        <v>133</v>
      </c>
      <c r="V1135">
        <v>31.324999999999999</v>
      </c>
    </row>
    <row r="1136" spans="1:22" x14ac:dyDescent="0.35">
      <c r="A1136" s="3">
        <v>44538</v>
      </c>
      <c r="B1136" t="s">
        <v>26</v>
      </c>
      <c r="C1136">
        <v>0</v>
      </c>
      <c r="D1136">
        <v>0</v>
      </c>
      <c r="E1136">
        <v>0</v>
      </c>
      <c r="F1136">
        <v>0</v>
      </c>
      <c r="G1136">
        <v>25.725000000000001</v>
      </c>
      <c r="H1136">
        <v>0</v>
      </c>
      <c r="I1136">
        <v>0</v>
      </c>
      <c r="J1136">
        <v>0</v>
      </c>
      <c r="K1136">
        <v>0</v>
      </c>
      <c r="L1136">
        <v>175</v>
      </c>
      <c r="M1136">
        <v>252</v>
      </c>
      <c r="N1136" t="s">
        <v>26</v>
      </c>
      <c r="O1136" s="3">
        <v>44790</v>
      </c>
      <c r="P1136">
        <v>-1</v>
      </c>
      <c r="T1136" t="s">
        <v>47</v>
      </c>
      <c r="U1136">
        <v>153</v>
      </c>
      <c r="V1136">
        <v>29.6</v>
      </c>
    </row>
    <row r="1137" spans="1:22" x14ac:dyDescent="0.35">
      <c r="A1137" s="3">
        <v>44538</v>
      </c>
      <c r="B1137" t="s">
        <v>32</v>
      </c>
      <c r="C1137">
        <v>0</v>
      </c>
      <c r="D1137">
        <v>0</v>
      </c>
      <c r="E1137">
        <v>0</v>
      </c>
      <c r="F1137">
        <v>0</v>
      </c>
      <c r="G1137">
        <v>24.0745</v>
      </c>
      <c r="H1137">
        <v>0</v>
      </c>
      <c r="I1137">
        <v>0</v>
      </c>
      <c r="J1137">
        <v>0</v>
      </c>
      <c r="K1137">
        <v>0</v>
      </c>
      <c r="L1137">
        <v>48</v>
      </c>
      <c r="M1137">
        <v>70</v>
      </c>
      <c r="N1137" t="s">
        <v>32</v>
      </c>
      <c r="O1137" s="3">
        <v>44608</v>
      </c>
      <c r="P1137">
        <v>-1</v>
      </c>
      <c r="T1137" t="s">
        <v>46</v>
      </c>
      <c r="U1137">
        <v>172</v>
      </c>
      <c r="V1137">
        <v>28.55</v>
      </c>
    </row>
    <row r="1138" spans="1:22" x14ac:dyDescent="0.35">
      <c r="A1138" s="3">
        <v>44538</v>
      </c>
      <c r="B1138" t="s">
        <v>34</v>
      </c>
      <c r="C1138">
        <v>0</v>
      </c>
      <c r="D1138">
        <v>0</v>
      </c>
      <c r="E1138">
        <v>0</v>
      </c>
      <c r="F1138">
        <v>0</v>
      </c>
      <c r="G1138">
        <v>20.826699999999999</v>
      </c>
      <c r="H1138">
        <v>0</v>
      </c>
      <c r="I1138">
        <v>0</v>
      </c>
      <c r="J1138">
        <v>0</v>
      </c>
      <c r="K1138">
        <v>0</v>
      </c>
      <c r="L1138">
        <v>10</v>
      </c>
      <c r="M1138">
        <v>14</v>
      </c>
      <c r="N1138" t="s">
        <v>34</v>
      </c>
      <c r="O1138" s="3">
        <v>44552</v>
      </c>
      <c r="P1138">
        <v>-1</v>
      </c>
      <c r="S1138" s="3">
        <v>43937</v>
      </c>
      <c r="T1138" t="s">
        <v>53</v>
      </c>
      <c r="U1138">
        <v>24</v>
      </c>
      <c r="V1138">
        <v>36.524999999999999</v>
      </c>
    </row>
    <row r="1139" spans="1:22" x14ac:dyDescent="0.35">
      <c r="A1139" s="3">
        <v>44538</v>
      </c>
      <c r="B1139" t="s">
        <v>28</v>
      </c>
      <c r="C1139">
        <v>0</v>
      </c>
      <c r="D1139">
        <v>0</v>
      </c>
      <c r="E1139">
        <v>0</v>
      </c>
      <c r="F1139">
        <v>0</v>
      </c>
      <c r="G1139">
        <v>25.75</v>
      </c>
      <c r="H1139">
        <v>0</v>
      </c>
      <c r="I1139">
        <v>0</v>
      </c>
      <c r="J1139">
        <v>0</v>
      </c>
      <c r="K1139">
        <v>0</v>
      </c>
      <c r="L1139">
        <v>131</v>
      </c>
      <c r="M1139">
        <v>189</v>
      </c>
      <c r="N1139" t="s">
        <v>28</v>
      </c>
      <c r="O1139" s="3">
        <v>44727</v>
      </c>
      <c r="P1139">
        <v>-1</v>
      </c>
      <c r="T1139" t="s">
        <v>52</v>
      </c>
      <c r="U1139">
        <v>43</v>
      </c>
      <c r="V1139">
        <v>34.424999999999997</v>
      </c>
    </row>
    <row r="1140" spans="1:22" x14ac:dyDescent="0.35">
      <c r="A1140" s="3">
        <v>44538</v>
      </c>
      <c r="B1140" t="s">
        <v>30</v>
      </c>
      <c r="C1140">
        <v>0</v>
      </c>
      <c r="D1140">
        <v>0</v>
      </c>
      <c r="E1140">
        <v>0</v>
      </c>
      <c r="F1140">
        <v>0</v>
      </c>
      <c r="G1140">
        <v>25.5017</v>
      </c>
      <c r="H1140">
        <v>0</v>
      </c>
      <c r="I1140">
        <v>0</v>
      </c>
      <c r="J1140">
        <v>0</v>
      </c>
      <c r="K1140">
        <v>0</v>
      </c>
      <c r="L1140">
        <v>92</v>
      </c>
      <c r="M1140">
        <v>133</v>
      </c>
      <c r="N1140" t="s">
        <v>30</v>
      </c>
      <c r="O1140" s="3">
        <v>44671</v>
      </c>
      <c r="P1140">
        <v>-1</v>
      </c>
      <c r="T1140" t="s">
        <v>51</v>
      </c>
      <c r="U1140">
        <v>68</v>
      </c>
      <c r="V1140">
        <v>33.075000000000003</v>
      </c>
    </row>
    <row r="1141" spans="1:22" x14ac:dyDescent="0.35">
      <c r="A1141" s="3">
        <v>44538</v>
      </c>
      <c r="B1141" t="s">
        <v>33</v>
      </c>
      <c r="C1141">
        <v>0</v>
      </c>
      <c r="D1141">
        <v>0</v>
      </c>
      <c r="E1141">
        <v>0</v>
      </c>
      <c r="F1141">
        <v>0</v>
      </c>
      <c r="G1141">
        <v>23.019200000000001</v>
      </c>
      <c r="H1141">
        <v>0</v>
      </c>
      <c r="I1141">
        <v>0</v>
      </c>
      <c r="J1141">
        <v>0</v>
      </c>
      <c r="K1141">
        <v>0</v>
      </c>
      <c r="L1141">
        <v>28</v>
      </c>
      <c r="M1141">
        <v>42</v>
      </c>
      <c r="N1141" t="s">
        <v>33</v>
      </c>
      <c r="O1141" s="3">
        <v>44580</v>
      </c>
      <c r="P1141">
        <v>-1</v>
      </c>
      <c r="T1141" t="s">
        <v>50</v>
      </c>
      <c r="U1141">
        <v>88</v>
      </c>
      <c r="V1141">
        <v>31.85</v>
      </c>
    </row>
    <row r="1142" spans="1:22" x14ac:dyDescent="0.35">
      <c r="A1142" s="3">
        <v>44538</v>
      </c>
      <c r="B1142" t="s">
        <v>29</v>
      </c>
      <c r="C1142">
        <v>0</v>
      </c>
      <c r="D1142">
        <v>0</v>
      </c>
      <c r="E1142">
        <v>0</v>
      </c>
      <c r="F1142">
        <v>0</v>
      </c>
      <c r="G1142">
        <v>25.665500000000002</v>
      </c>
      <c r="H1142">
        <v>0</v>
      </c>
      <c r="I1142">
        <v>0</v>
      </c>
      <c r="J1142">
        <v>0</v>
      </c>
      <c r="K1142">
        <v>0</v>
      </c>
      <c r="L1142">
        <v>112</v>
      </c>
      <c r="M1142">
        <v>161</v>
      </c>
      <c r="N1142" t="s">
        <v>29</v>
      </c>
      <c r="O1142" s="3">
        <v>44699</v>
      </c>
      <c r="P1142">
        <v>-1</v>
      </c>
      <c r="T1142" t="s">
        <v>49</v>
      </c>
      <c r="U1142">
        <v>107</v>
      </c>
      <c r="V1142">
        <v>31.125</v>
      </c>
    </row>
    <row r="1143" spans="1:22" x14ac:dyDescent="0.35">
      <c r="A1143" s="3">
        <v>44538</v>
      </c>
      <c r="B1143" t="s">
        <v>31</v>
      </c>
      <c r="C1143">
        <v>0</v>
      </c>
      <c r="D1143">
        <v>0</v>
      </c>
      <c r="E1143">
        <v>0</v>
      </c>
      <c r="F1143">
        <v>0</v>
      </c>
      <c r="G1143">
        <v>24.890999999999998</v>
      </c>
      <c r="H1143">
        <v>0</v>
      </c>
      <c r="I1143">
        <v>0</v>
      </c>
      <c r="J1143">
        <v>0</v>
      </c>
      <c r="K1143">
        <v>0</v>
      </c>
      <c r="L1143">
        <v>66</v>
      </c>
      <c r="M1143">
        <v>97</v>
      </c>
      <c r="N1143" t="s">
        <v>31</v>
      </c>
      <c r="O1143" s="3">
        <v>44635</v>
      </c>
      <c r="P1143">
        <v>-1</v>
      </c>
      <c r="T1143" t="s">
        <v>48</v>
      </c>
      <c r="U1143">
        <v>132</v>
      </c>
      <c r="V1143">
        <v>31.725000000000001</v>
      </c>
    </row>
    <row r="1144" spans="1:22" x14ac:dyDescent="0.35">
      <c r="A1144" s="3">
        <v>44538</v>
      </c>
      <c r="B1144" t="s">
        <v>22</v>
      </c>
      <c r="C1144">
        <v>0</v>
      </c>
      <c r="D1144">
        <v>0</v>
      </c>
      <c r="E1144">
        <v>0</v>
      </c>
      <c r="F1144">
        <v>0</v>
      </c>
      <c r="G1144">
        <v>25.9</v>
      </c>
      <c r="H1144">
        <v>0</v>
      </c>
      <c r="I1144">
        <v>0</v>
      </c>
      <c r="J1144">
        <v>0</v>
      </c>
      <c r="K1144">
        <v>0</v>
      </c>
      <c r="L1144">
        <v>155</v>
      </c>
      <c r="M1144">
        <v>224</v>
      </c>
      <c r="N1144" t="s">
        <v>22</v>
      </c>
      <c r="O1144" s="3">
        <v>44762</v>
      </c>
      <c r="P1144">
        <v>-1</v>
      </c>
      <c r="T1144" t="s">
        <v>47</v>
      </c>
      <c r="U1144">
        <v>152</v>
      </c>
      <c r="V1144">
        <v>29.9</v>
      </c>
    </row>
    <row r="1145" spans="1:22" x14ac:dyDescent="0.35">
      <c r="A1145" s="3">
        <v>44537</v>
      </c>
      <c r="B1145" t="s">
        <v>29</v>
      </c>
      <c r="C1145">
        <v>0</v>
      </c>
      <c r="D1145">
        <v>0</v>
      </c>
      <c r="E1145">
        <v>0</v>
      </c>
      <c r="F1145">
        <v>0</v>
      </c>
      <c r="G1145">
        <v>25.863800000000001</v>
      </c>
      <c r="H1145">
        <v>0</v>
      </c>
      <c r="I1145">
        <v>0</v>
      </c>
      <c r="J1145">
        <v>0</v>
      </c>
      <c r="K1145">
        <v>0</v>
      </c>
      <c r="L1145">
        <v>113</v>
      </c>
      <c r="M1145">
        <v>162</v>
      </c>
      <c r="N1145" t="s">
        <v>29</v>
      </c>
      <c r="O1145" s="3">
        <v>44699</v>
      </c>
      <c r="P1145">
        <v>-1</v>
      </c>
      <c r="T1145" t="s">
        <v>46</v>
      </c>
      <c r="U1145">
        <v>171</v>
      </c>
      <c r="V1145">
        <v>28.774999999999999</v>
      </c>
    </row>
    <row r="1146" spans="1:22" x14ac:dyDescent="0.35">
      <c r="A1146" s="3">
        <v>44537</v>
      </c>
      <c r="B1146" t="s">
        <v>31</v>
      </c>
      <c r="C1146">
        <v>0</v>
      </c>
      <c r="D1146">
        <v>0</v>
      </c>
      <c r="E1146">
        <v>0</v>
      </c>
      <c r="F1146">
        <v>0</v>
      </c>
      <c r="G1146">
        <v>25.553599999999999</v>
      </c>
      <c r="H1146">
        <v>0</v>
      </c>
      <c r="I1146">
        <v>0</v>
      </c>
      <c r="J1146">
        <v>0</v>
      </c>
      <c r="K1146">
        <v>0</v>
      </c>
      <c r="L1146">
        <v>67</v>
      </c>
      <c r="M1146">
        <v>98</v>
      </c>
      <c r="N1146" t="s">
        <v>31</v>
      </c>
      <c r="O1146" s="3">
        <v>44635</v>
      </c>
      <c r="P1146">
        <v>-1</v>
      </c>
      <c r="S1146" s="3">
        <v>43938</v>
      </c>
      <c r="T1146" t="s">
        <v>53</v>
      </c>
      <c r="U1146">
        <v>23</v>
      </c>
      <c r="V1146">
        <v>34.575000000000003</v>
      </c>
    </row>
    <row r="1147" spans="1:22" x14ac:dyDescent="0.35">
      <c r="A1147" s="3">
        <v>44537</v>
      </c>
      <c r="B1147" t="s">
        <v>22</v>
      </c>
      <c r="C1147">
        <v>0</v>
      </c>
      <c r="D1147">
        <v>0</v>
      </c>
      <c r="E1147">
        <v>0</v>
      </c>
      <c r="F1147">
        <v>0</v>
      </c>
      <c r="G1147">
        <v>26</v>
      </c>
      <c r="H1147">
        <v>0</v>
      </c>
      <c r="I1147">
        <v>0</v>
      </c>
      <c r="J1147">
        <v>0</v>
      </c>
      <c r="K1147">
        <v>0</v>
      </c>
      <c r="L1147">
        <v>156</v>
      </c>
      <c r="M1147">
        <v>225</v>
      </c>
      <c r="N1147" t="s">
        <v>22</v>
      </c>
      <c r="O1147" s="3">
        <v>44762</v>
      </c>
      <c r="P1147">
        <v>-1</v>
      </c>
      <c r="T1147" t="s">
        <v>52</v>
      </c>
      <c r="U1147">
        <v>42</v>
      </c>
      <c r="V1147">
        <v>33.075000000000003</v>
      </c>
    </row>
    <row r="1148" spans="1:22" x14ac:dyDescent="0.35">
      <c r="A1148" s="3">
        <v>44537</v>
      </c>
      <c r="B1148" t="s">
        <v>26</v>
      </c>
      <c r="C1148">
        <v>0</v>
      </c>
      <c r="D1148">
        <v>0</v>
      </c>
      <c r="E1148">
        <v>0</v>
      </c>
      <c r="F1148">
        <v>0</v>
      </c>
      <c r="G1148">
        <v>25.85</v>
      </c>
      <c r="H1148">
        <v>0</v>
      </c>
      <c r="I1148">
        <v>0</v>
      </c>
      <c r="J1148">
        <v>0</v>
      </c>
      <c r="K1148">
        <v>0</v>
      </c>
      <c r="L1148">
        <v>176</v>
      </c>
      <c r="M1148">
        <v>253</v>
      </c>
      <c r="N1148" t="s">
        <v>26</v>
      </c>
      <c r="O1148" s="3">
        <v>44790</v>
      </c>
      <c r="P1148">
        <v>-1</v>
      </c>
      <c r="T1148" t="s">
        <v>51</v>
      </c>
      <c r="U1148">
        <v>67</v>
      </c>
      <c r="V1148">
        <v>31.925000000000001</v>
      </c>
    </row>
    <row r="1149" spans="1:22" x14ac:dyDescent="0.35">
      <c r="A1149" s="3">
        <v>44537</v>
      </c>
      <c r="B1149" t="s">
        <v>32</v>
      </c>
      <c r="C1149">
        <v>0</v>
      </c>
      <c r="D1149">
        <v>0</v>
      </c>
      <c r="E1149">
        <v>0</v>
      </c>
      <c r="F1149">
        <v>0</v>
      </c>
      <c r="G1149">
        <v>24.9983</v>
      </c>
      <c r="H1149">
        <v>0</v>
      </c>
      <c r="I1149">
        <v>0</v>
      </c>
      <c r="J1149">
        <v>0</v>
      </c>
      <c r="K1149">
        <v>0</v>
      </c>
      <c r="L1149">
        <v>49</v>
      </c>
      <c r="M1149">
        <v>71</v>
      </c>
      <c r="N1149" t="s">
        <v>32</v>
      </c>
      <c r="O1149" s="3">
        <v>44608</v>
      </c>
      <c r="P1149">
        <v>-1</v>
      </c>
      <c r="T1149" t="s">
        <v>50</v>
      </c>
      <c r="U1149">
        <v>87</v>
      </c>
      <c r="V1149">
        <v>30.875</v>
      </c>
    </row>
    <row r="1150" spans="1:22" x14ac:dyDescent="0.35">
      <c r="A1150" s="3">
        <v>44537</v>
      </c>
      <c r="B1150" t="s">
        <v>34</v>
      </c>
      <c r="C1150">
        <v>0</v>
      </c>
      <c r="D1150">
        <v>0</v>
      </c>
      <c r="E1150">
        <v>0</v>
      </c>
      <c r="F1150">
        <v>0</v>
      </c>
      <c r="G1150">
        <v>22.543700000000001</v>
      </c>
      <c r="H1150">
        <v>0</v>
      </c>
      <c r="I1150">
        <v>0</v>
      </c>
      <c r="J1150">
        <v>0</v>
      </c>
      <c r="K1150">
        <v>0</v>
      </c>
      <c r="L1150">
        <v>11</v>
      </c>
      <c r="M1150">
        <v>15</v>
      </c>
      <c r="N1150" t="s">
        <v>34</v>
      </c>
      <c r="O1150" s="3">
        <v>44552</v>
      </c>
      <c r="P1150">
        <v>-1</v>
      </c>
      <c r="T1150" t="s">
        <v>49</v>
      </c>
      <c r="U1150">
        <v>106</v>
      </c>
      <c r="V1150">
        <v>30.4</v>
      </c>
    </row>
    <row r="1151" spans="1:22" x14ac:dyDescent="0.35">
      <c r="A1151" s="3">
        <v>44537</v>
      </c>
      <c r="B1151" t="s">
        <v>28</v>
      </c>
      <c r="C1151">
        <v>0</v>
      </c>
      <c r="D1151">
        <v>0</v>
      </c>
      <c r="E1151">
        <v>0</v>
      </c>
      <c r="F1151">
        <v>0</v>
      </c>
      <c r="G1151">
        <v>25.838899999999999</v>
      </c>
      <c r="H1151">
        <v>0</v>
      </c>
      <c r="I1151">
        <v>0</v>
      </c>
      <c r="J1151">
        <v>0</v>
      </c>
      <c r="K1151">
        <v>0</v>
      </c>
      <c r="L1151">
        <v>132</v>
      </c>
      <c r="M1151">
        <v>190</v>
      </c>
      <c r="N1151" t="s">
        <v>28</v>
      </c>
      <c r="O1151" s="3">
        <v>44727</v>
      </c>
      <c r="P1151">
        <v>-1</v>
      </c>
      <c r="T1151" t="s">
        <v>48</v>
      </c>
      <c r="U1151">
        <v>131</v>
      </c>
      <c r="V1151">
        <v>31.25</v>
      </c>
    </row>
    <row r="1152" spans="1:22" x14ac:dyDescent="0.35">
      <c r="A1152" s="3">
        <v>44537</v>
      </c>
      <c r="B1152" t="s">
        <v>30</v>
      </c>
      <c r="C1152">
        <v>0</v>
      </c>
      <c r="D1152">
        <v>0</v>
      </c>
      <c r="E1152">
        <v>0</v>
      </c>
      <c r="F1152">
        <v>0</v>
      </c>
      <c r="G1152">
        <v>25.853400000000001</v>
      </c>
      <c r="H1152">
        <v>0</v>
      </c>
      <c r="I1152">
        <v>0</v>
      </c>
      <c r="J1152">
        <v>0</v>
      </c>
      <c r="K1152">
        <v>0</v>
      </c>
      <c r="L1152">
        <v>93</v>
      </c>
      <c r="M1152">
        <v>134</v>
      </c>
      <c r="N1152" t="s">
        <v>30</v>
      </c>
      <c r="O1152" s="3">
        <v>44671</v>
      </c>
      <c r="P1152">
        <v>-1</v>
      </c>
      <c r="T1152" t="s">
        <v>47</v>
      </c>
      <c r="U1152">
        <v>151</v>
      </c>
      <c r="V1152">
        <v>29.55</v>
      </c>
    </row>
    <row r="1153" spans="1:22" x14ac:dyDescent="0.35">
      <c r="A1153" s="3">
        <v>44537</v>
      </c>
      <c r="B1153" t="s">
        <v>33</v>
      </c>
      <c r="C1153">
        <v>0</v>
      </c>
      <c r="D1153">
        <v>0</v>
      </c>
      <c r="E1153">
        <v>0</v>
      </c>
      <c r="F1153">
        <v>0</v>
      </c>
      <c r="G1153">
        <v>24.200199999999999</v>
      </c>
      <c r="H1153">
        <v>0</v>
      </c>
      <c r="I1153">
        <v>0</v>
      </c>
      <c r="J1153">
        <v>0</v>
      </c>
      <c r="K1153">
        <v>0</v>
      </c>
      <c r="L1153">
        <v>29</v>
      </c>
      <c r="M1153">
        <v>43</v>
      </c>
      <c r="N1153" t="s">
        <v>33</v>
      </c>
      <c r="O1153" s="3">
        <v>44580</v>
      </c>
      <c r="P1153">
        <v>-1</v>
      </c>
      <c r="T1153" t="s">
        <v>46</v>
      </c>
      <c r="U1153">
        <v>170</v>
      </c>
      <c r="V1153">
        <v>28.5</v>
      </c>
    </row>
    <row r="1154" spans="1:22" x14ac:dyDescent="0.35">
      <c r="A1154" s="3">
        <v>44536</v>
      </c>
      <c r="B1154" t="s">
        <v>26</v>
      </c>
      <c r="C1154">
        <v>0</v>
      </c>
      <c r="D1154">
        <v>0</v>
      </c>
      <c r="E1154">
        <v>0</v>
      </c>
      <c r="F1154">
        <v>0</v>
      </c>
      <c r="G1154">
        <v>26.625</v>
      </c>
      <c r="H1154">
        <v>0</v>
      </c>
      <c r="I1154">
        <v>0</v>
      </c>
      <c r="J1154">
        <v>0</v>
      </c>
      <c r="K1154">
        <v>0</v>
      </c>
      <c r="L1154">
        <v>177</v>
      </c>
      <c r="M1154">
        <v>254</v>
      </c>
      <c r="N1154" t="s">
        <v>26</v>
      </c>
      <c r="O1154" s="3">
        <v>44790</v>
      </c>
      <c r="P1154">
        <v>-1</v>
      </c>
      <c r="S1154" s="3">
        <v>43941</v>
      </c>
      <c r="T1154" t="s">
        <v>53</v>
      </c>
      <c r="U1154">
        <v>22</v>
      </c>
      <c r="V1154">
        <v>39.075000000000003</v>
      </c>
    </row>
    <row r="1155" spans="1:22" x14ac:dyDescent="0.35">
      <c r="A1155" s="3">
        <v>44536</v>
      </c>
      <c r="B1155" t="s">
        <v>32</v>
      </c>
      <c r="C1155">
        <v>0</v>
      </c>
      <c r="D1155">
        <v>0</v>
      </c>
      <c r="E1155">
        <v>0</v>
      </c>
      <c r="F1155">
        <v>0</v>
      </c>
      <c r="G1155">
        <v>26.8002</v>
      </c>
      <c r="H1155">
        <v>0</v>
      </c>
      <c r="I1155">
        <v>0</v>
      </c>
      <c r="J1155">
        <v>0</v>
      </c>
      <c r="K1155">
        <v>0</v>
      </c>
      <c r="L1155">
        <v>50</v>
      </c>
      <c r="M1155">
        <v>72</v>
      </c>
      <c r="N1155" t="s">
        <v>32</v>
      </c>
      <c r="O1155" s="3">
        <v>44608</v>
      </c>
      <c r="P1155">
        <v>-1</v>
      </c>
      <c r="T1155" t="s">
        <v>52</v>
      </c>
      <c r="U1155">
        <v>41</v>
      </c>
      <c r="V1155">
        <v>36.225000000000001</v>
      </c>
    </row>
    <row r="1156" spans="1:22" x14ac:dyDescent="0.35">
      <c r="A1156" s="3">
        <v>44536</v>
      </c>
      <c r="B1156" t="s">
        <v>34</v>
      </c>
      <c r="C1156">
        <v>0</v>
      </c>
      <c r="D1156">
        <v>0</v>
      </c>
      <c r="E1156">
        <v>0</v>
      </c>
      <c r="F1156">
        <v>0</v>
      </c>
      <c r="G1156">
        <v>25.8521</v>
      </c>
      <c r="H1156">
        <v>0</v>
      </c>
      <c r="I1156">
        <v>0</v>
      </c>
      <c r="J1156">
        <v>0</v>
      </c>
      <c r="K1156">
        <v>0</v>
      </c>
      <c r="L1156">
        <v>12</v>
      </c>
      <c r="M1156">
        <v>16</v>
      </c>
      <c r="N1156" t="s">
        <v>34</v>
      </c>
      <c r="O1156" s="3">
        <v>44552</v>
      </c>
      <c r="P1156">
        <v>-1</v>
      </c>
      <c r="T1156" t="s">
        <v>51</v>
      </c>
      <c r="U1156">
        <v>66</v>
      </c>
      <c r="V1156">
        <v>34.424999999999997</v>
      </c>
    </row>
    <row r="1157" spans="1:22" x14ac:dyDescent="0.35">
      <c r="A1157" s="3">
        <v>44536</v>
      </c>
      <c r="B1157" t="s">
        <v>28</v>
      </c>
      <c r="C1157">
        <v>0</v>
      </c>
      <c r="D1157">
        <v>0</v>
      </c>
      <c r="E1157">
        <v>0</v>
      </c>
      <c r="F1157">
        <v>0</v>
      </c>
      <c r="G1157">
        <v>26.803599999999999</v>
      </c>
      <c r="H1157">
        <v>0</v>
      </c>
      <c r="I1157">
        <v>0</v>
      </c>
      <c r="J1157">
        <v>0</v>
      </c>
      <c r="K1157">
        <v>0</v>
      </c>
      <c r="L1157">
        <v>133</v>
      </c>
      <c r="M1157">
        <v>191</v>
      </c>
      <c r="N1157" t="s">
        <v>28</v>
      </c>
      <c r="O1157" s="3">
        <v>44727</v>
      </c>
      <c r="P1157">
        <v>-1</v>
      </c>
      <c r="T1157" t="s">
        <v>50</v>
      </c>
      <c r="U1157">
        <v>86</v>
      </c>
      <c r="V1157">
        <v>32.875</v>
      </c>
    </row>
    <row r="1158" spans="1:22" x14ac:dyDescent="0.35">
      <c r="A1158" s="3">
        <v>44536</v>
      </c>
      <c r="B1158" t="s">
        <v>30</v>
      </c>
      <c r="C1158">
        <v>0</v>
      </c>
      <c r="D1158">
        <v>0</v>
      </c>
      <c r="E1158">
        <v>0</v>
      </c>
      <c r="F1158">
        <v>0</v>
      </c>
      <c r="G1158">
        <v>27.029900000000001</v>
      </c>
      <c r="H1158">
        <v>0</v>
      </c>
      <c r="I1158">
        <v>0</v>
      </c>
      <c r="J1158">
        <v>0</v>
      </c>
      <c r="K1158">
        <v>0</v>
      </c>
      <c r="L1158">
        <v>94</v>
      </c>
      <c r="M1158">
        <v>135</v>
      </c>
      <c r="N1158" t="s">
        <v>30</v>
      </c>
      <c r="O1158" s="3">
        <v>44671</v>
      </c>
      <c r="P1158">
        <v>-1</v>
      </c>
      <c r="T1158" t="s">
        <v>49</v>
      </c>
      <c r="U1158">
        <v>105</v>
      </c>
      <c r="V1158">
        <v>32.25</v>
      </c>
    </row>
    <row r="1159" spans="1:22" x14ac:dyDescent="0.35">
      <c r="A1159" s="3">
        <v>44536</v>
      </c>
      <c r="B1159" t="s">
        <v>33</v>
      </c>
      <c r="C1159">
        <v>0</v>
      </c>
      <c r="D1159">
        <v>0</v>
      </c>
      <c r="E1159">
        <v>0</v>
      </c>
      <c r="F1159">
        <v>0</v>
      </c>
      <c r="G1159">
        <v>26.650600000000001</v>
      </c>
      <c r="H1159">
        <v>0</v>
      </c>
      <c r="I1159">
        <v>0</v>
      </c>
      <c r="J1159">
        <v>0</v>
      </c>
      <c r="K1159">
        <v>0</v>
      </c>
      <c r="L1159">
        <v>30</v>
      </c>
      <c r="M1159">
        <v>44</v>
      </c>
      <c r="N1159" t="s">
        <v>33</v>
      </c>
      <c r="O1159" s="3">
        <v>44580</v>
      </c>
      <c r="P1159">
        <v>-1</v>
      </c>
      <c r="T1159" t="s">
        <v>48</v>
      </c>
      <c r="U1159">
        <v>130</v>
      </c>
      <c r="V1159">
        <v>33.024999999999999</v>
      </c>
    </row>
    <row r="1160" spans="1:22" x14ac:dyDescent="0.35">
      <c r="A1160" s="3">
        <v>44536</v>
      </c>
      <c r="B1160" t="s">
        <v>29</v>
      </c>
      <c r="C1160">
        <v>0</v>
      </c>
      <c r="D1160">
        <v>0</v>
      </c>
      <c r="E1160">
        <v>0</v>
      </c>
      <c r="F1160">
        <v>0</v>
      </c>
      <c r="G1160">
        <v>26.915199999999999</v>
      </c>
      <c r="H1160">
        <v>0</v>
      </c>
      <c r="I1160">
        <v>0</v>
      </c>
      <c r="J1160">
        <v>0</v>
      </c>
      <c r="K1160">
        <v>0</v>
      </c>
      <c r="L1160">
        <v>114</v>
      </c>
      <c r="M1160">
        <v>163</v>
      </c>
      <c r="N1160" t="s">
        <v>29</v>
      </c>
      <c r="O1160" s="3">
        <v>44699</v>
      </c>
      <c r="P1160">
        <v>-1</v>
      </c>
      <c r="T1160" t="s">
        <v>47</v>
      </c>
      <c r="U1160">
        <v>150</v>
      </c>
      <c r="V1160">
        <v>31.2</v>
      </c>
    </row>
    <row r="1161" spans="1:22" x14ac:dyDescent="0.35">
      <c r="A1161" s="3">
        <v>44536</v>
      </c>
      <c r="B1161" t="s">
        <v>31</v>
      </c>
      <c r="C1161">
        <v>0</v>
      </c>
      <c r="D1161">
        <v>0</v>
      </c>
      <c r="E1161">
        <v>0</v>
      </c>
      <c r="F1161">
        <v>0</v>
      </c>
      <c r="G1161">
        <v>27.008800000000001</v>
      </c>
      <c r="H1161">
        <v>0</v>
      </c>
      <c r="I1161">
        <v>0</v>
      </c>
      <c r="J1161">
        <v>0</v>
      </c>
      <c r="K1161">
        <v>0</v>
      </c>
      <c r="L1161">
        <v>68</v>
      </c>
      <c r="M1161">
        <v>99</v>
      </c>
      <c r="N1161" t="s">
        <v>31</v>
      </c>
      <c r="O1161" s="3">
        <v>44635</v>
      </c>
      <c r="P1161">
        <v>-1</v>
      </c>
      <c r="T1161" t="s">
        <v>46</v>
      </c>
      <c r="U1161">
        <v>169</v>
      </c>
      <c r="V1161">
        <v>29.7</v>
      </c>
    </row>
    <row r="1162" spans="1:22" x14ac:dyDescent="0.35">
      <c r="A1162" s="3">
        <v>44536</v>
      </c>
      <c r="B1162" t="s">
        <v>22</v>
      </c>
      <c r="C1162">
        <v>0</v>
      </c>
      <c r="D1162">
        <v>0</v>
      </c>
      <c r="E1162">
        <v>0</v>
      </c>
      <c r="F1162">
        <v>0</v>
      </c>
      <c r="G1162">
        <v>26.85</v>
      </c>
      <c r="H1162">
        <v>0</v>
      </c>
      <c r="I1162">
        <v>0</v>
      </c>
      <c r="J1162">
        <v>0</v>
      </c>
      <c r="K1162">
        <v>0</v>
      </c>
      <c r="L1162">
        <v>157</v>
      </c>
      <c r="M1162">
        <v>226</v>
      </c>
      <c r="N1162" t="s">
        <v>22</v>
      </c>
      <c r="O1162" s="3">
        <v>44762</v>
      </c>
      <c r="P1162">
        <v>-1</v>
      </c>
      <c r="S1162" s="3">
        <v>43942</v>
      </c>
      <c r="T1162" t="s">
        <v>53</v>
      </c>
      <c r="U1162">
        <v>21</v>
      </c>
      <c r="V1162">
        <v>41.774999999999999</v>
      </c>
    </row>
    <row r="1163" spans="1:22" x14ac:dyDescent="0.35">
      <c r="A1163" s="3">
        <v>44533</v>
      </c>
      <c r="B1163" t="s">
        <v>29</v>
      </c>
      <c r="C1163">
        <v>0</v>
      </c>
      <c r="D1163">
        <v>0</v>
      </c>
      <c r="E1163">
        <v>0</v>
      </c>
      <c r="F1163">
        <v>0</v>
      </c>
      <c r="G1163">
        <v>27.693999999999999</v>
      </c>
      <c r="H1163">
        <v>0</v>
      </c>
      <c r="I1163">
        <v>0</v>
      </c>
      <c r="J1163">
        <v>0</v>
      </c>
      <c r="K1163">
        <v>0</v>
      </c>
      <c r="L1163">
        <v>115</v>
      </c>
      <c r="M1163">
        <v>166</v>
      </c>
      <c r="N1163" t="s">
        <v>29</v>
      </c>
      <c r="O1163" s="3">
        <v>44699</v>
      </c>
      <c r="P1163">
        <v>-1</v>
      </c>
      <c r="T1163" t="s">
        <v>52</v>
      </c>
      <c r="U1163">
        <v>40</v>
      </c>
      <c r="V1163">
        <v>38.674999999999997</v>
      </c>
    </row>
    <row r="1164" spans="1:22" x14ac:dyDescent="0.35">
      <c r="A1164" s="3">
        <v>44533</v>
      </c>
      <c r="B1164" t="s">
        <v>31</v>
      </c>
      <c r="C1164">
        <v>0</v>
      </c>
      <c r="D1164">
        <v>0</v>
      </c>
      <c r="E1164">
        <v>0</v>
      </c>
      <c r="F1164">
        <v>0</v>
      </c>
      <c r="G1164">
        <v>28.116900000000001</v>
      </c>
      <c r="H1164">
        <v>0</v>
      </c>
      <c r="I1164">
        <v>0</v>
      </c>
      <c r="J1164">
        <v>0</v>
      </c>
      <c r="K1164">
        <v>0</v>
      </c>
      <c r="L1164">
        <v>69</v>
      </c>
      <c r="M1164">
        <v>102</v>
      </c>
      <c r="N1164" t="s">
        <v>31</v>
      </c>
      <c r="O1164" s="3">
        <v>44635</v>
      </c>
      <c r="P1164">
        <v>-1</v>
      </c>
      <c r="T1164" t="s">
        <v>51</v>
      </c>
      <c r="U1164">
        <v>65</v>
      </c>
      <c r="V1164">
        <v>36.424999999999997</v>
      </c>
    </row>
    <row r="1165" spans="1:22" x14ac:dyDescent="0.35">
      <c r="A1165" s="3">
        <v>44533</v>
      </c>
      <c r="B1165" t="s">
        <v>22</v>
      </c>
      <c r="C1165">
        <v>0</v>
      </c>
      <c r="D1165">
        <v>0</v>
      </c>
      <c r="E1165">
        <v>0</v>
      </c>
      <c r="F1165">
        <v>0</v>
      </c>
      <c r="G1165">
        <v>27.55</v>
      </c>
      <c r="H1165">
        <v>0</v>
      </c>
      <c r="I1165">
        <v>0</v>
      </c>
      <c r="J1165">
        <v>0</v>
      </c>
      <c r="K1165">
        <v>0</v>
      </c>
      <c r="L1165">
        <v>158</v>
      </c>
      <c r="M1165">
        <v>229</v>
      </c>
      <c r="N1165" t="s">
        <v>22</v>
      </c>
      <c r="O1165" s="3">
        <v>44762</v>
      </c>
      <c r="P1165">
        <v>-1</v>
      </c>
      <c r="T1165" t="s">
        <v>50</v>
      </c>
      <c r="U1165">
        <v>85</v>
      </c>
      <c r="V1165">
        <v>34.424999999999997</v>
      </c>
    </row>
    <row r="1166" spans="1:22" x14ac:dyDescent="0.35">
      <c r="A1166" s="3">
        <v>44533</v>
      </c>
      <c r="B1166" t="s">
        <v>26</v>
      </c>
      <c r="C1166">
        <v>0</v>
      </c>
      <c r="D1166">
        <v>0</v>
      </c>
      <c r="E1166">
        <v>0</v>
      </c>
      <c r="F1166">
        <v>0</v>
      </c>
      <c r="G1166">
        <v>27.175000000000001</v>
      </c>
      <c r="H1166">
        <v>0</v>
      </c>
      <c r="I1166">
        <v>0</v>
      </c>
      <c r="J1166">
        <v>0</v>
      </c>
      <c r="K1166">
        <v>0</v>
      </c>
      <c r="L1166">
        <v>178</v>
      </c>
      <c r="M1166">
        <v>257</v>
      </c>
      <c r="N1166" t="s">
        <v>26</v>
      </c>
      <c r="O1166" s="3">
        <v>44790</v>
      </c>
      <c r="P1166">
        <v>-1</v>
      </c>
      <c r="T1166" t="s">
        <v>49</v>
      </c>
      <c r="U1166">
        <v>104</v>
      </c>
      <c r="V1166">
        <v>33.575000000000003</v>
      </c>
    </row>
    <row r="1167" spans="1:22" x14ac:dyDescent="0.35">
      <c r="A1167" s="3">
        <v>44533</v>
      </c>
      <c r="B1167" t="s">
        <v>32</v>
      </c>
      <c r="C1167">
        <v>0</v>
      </c>
      <c r="D1167">
        <v>0</v>
      </c>
      <c r="E1167">
        <v>0</v>
      </c>
      <c r="F1167">
        <v>0</v>
      </c>
      <c r="G1167">
        <v>28.256399999999999</v>
      </c>
      <c r="H1167">
        <v>0</v>
      </c>
      <c r="I1167">
        <v>0</v>
      </c>
      <c r="J1167">
        <v>0</v>
      </c>
      <c r="K1167">
        <v>0</v>
      </c>
      <c r="L1167">
        <v>51</v>
      </c>
      <c r="M1167">
        <v>75</v>
      </c>
      <c r="N1167" t="s">
        <v>32</v>
      </c>
      <c r="O1167" s="3">
        <v>44608</v>
      </c>
      <c r="P1167">
        <v>-1</v>
      </c>
      <c r="T1167" t="s">
        <v>48</v>
      </c>
      <c r="U1167">
        <v>129</v>
      </c>
      <c r="V1167">
        <v>33.975000000000001</v>
      </c>
    </row>
    <row r="1168" spans="1:22" x14ac:dyDescent="0.35">
      <c r="A1168" s="3">
        <v>44533</v>
      </c>
      <c r="B1168" t="s">
        <v>34</v>
      </c>
      <c r="C1168">
        <v>0</v>
      </c>
      <c r="D1168">
        <v>0</v>
      </c>
      <c r="E1168">
        <v>0</v>
      </c>
      <c r="F1168">
        <v>0</v>
      </c>
      <c r="G1168">
        <v>28.7301</v>
      </c>
      <c r="H1168">
        <v>0</v>
      </c>
      <c r="I1168">
        <v>0</v>
      </c>
      <c r="J1168">
        <v>0</v>
      </c>
      <c r="K1168">
        <v>0</v>
      </c>
      <c r="L1168">
        <v>13</v>
      </c>
      <c r="M1168">
        <v>19</v>
      </c>
      <c r="N1168" t="s">
        <v>34</v>
      </c>
      <c r="O1168" s="3">
        <v>44552</v>
      </c>
      <c r="P1168">
        <v>-1</v>
      </c>
      <c r="T1168" t="s">
        <v>47</v>
      </c>
      <c r="U1168">
        <v>149</v>
      </c>
      <c r="V1168">
        <v>31.824999999999999</v>
      </c>
    </row>
    <row r="1169" spans="1:22" x14ac:dyDescent="0.35">
      <c r="A1169" s="3">
        <v>44533</v>
      </c>
      <c r="B1169" t="s">
        <v>28</v>
      </c>
      <c r="C1169">
        <v>0</v>
      </c>
      <c r="D1169">
        <v>0</v>
      </c>
      <c r="E1169">
        <v>0</v>
      </c>
      <c r="F1169">
        <v>0</v>
      </c>
      <c r="G1169">
        <v>27.593499999999999</v>
      </c>
      <c r="H1169">
        <v>0</v>
      </c>
      <c r="I1169">
        <v>0</v>
      </c>
      <c r="J1169">
        <v>0</v>
      </c>
      <c r="K1169">
        <v>0</v>
      </c>
      <c r="L1169">
        <v>134</v>
      </c>
      <c r="M1169">
        <v>194</v>
      </c>
      <c r="N1169" t="s">
        <v>28</v>
      </c>
      <c r="O1169" s="3">
        <v>44727</v>
      </c>
      <c r="P1169">
        <v>-1</v>
      </c>
      <c r="T1169" t="s">
        <v>46</v>
      </c>
      <c r="U1169">
        <v>168</v>
      </c>
      <c r="V1169">
        <v>30.625</v>
      </c>
    </row>
    <row r="1170" spans="1:22" x14ac:dyDescent="0.35">
      <c r="A1170" s="3">
        <v>44533</v>
      </c>
      <c r="B1170" t="s">
        <v>30</v>
      </c>
      <c r="C1170">
        <v>0</v>
      </c>
      <c r="D1170">
        <v>0</v>
      </c>
      <c r="E1170">
        <v>0</v>
      </c>
      <c r="F1170">
        <v>0</v>
      </c>
      <c r="G1170">
        <v>27.938600000000001</v>
      </c>
      <c r="H1170">
        <v>0</v>
      </c>
      <c r="I1170">
        <v>0</v>
      </c>
      <c r="J1170">
        <v>0</v>
      </c>
      <c r="K1170">
        <v>0</v>
      </c>
      <c r="L1170">
        <v>95</v>
      </c>
      <c r="M1170">
        <v>138</v>
      </c>
      <c r="N1170" t="s">
        <v>30</v>
      </c>
      <c r="O1170" s="3">
        <v>44671</v>
      </c>
      <c r="P1170">
        <v>-1</v>
      </c>
      <c r="S1170" s="3">
        <v>43943</v>
      </c>
      <c r="T1170" t="s">
        <v>53</v>
      </c>
      <c r="U1170">
        <v>20</v>
      </c>
      <c r="V1170">
        <v>39.625</v>
      </c>
    </row>
    <row r="1171" spans="1:22" x14ac:dyDescent="0.35">
      <c r="A1171" s="3">
        <v>44533</v>
      </c>
      <c r="B1171" t="s">
        <v>33</v>
      </c>
      <c r="C1171">
        <v>0</v>
      </c>
      <c r="D1171">
        <v>0</v>
      </c>
      <c r="E1171">
        <v>0</v>
      </c>
      <c r="F1171">
        <v>0</v>
      </c>
      <c r="G1171">
        <v>28.6173</v>
      </c>
      <c r="H1171">
        <v>0</v>
      </c>
      <c r="I1171">
        <v>0</v>
      </c>
      <c r="J1171">
        <v>0</v>
      </c>
      <c r="K1171">
        <v>0</v>
      </c>
      <c r="L1171">
        <v>31</v>
      </c>
      <c r="M1171">
        <v>47</v>
      </c>
      <c r="N1171" t="s">
        <v>33</v>
      </c>
      <c r="O1171" s="3">
        <v>44580</v>
      </c>
      <c r="P1171">
        <v>-1</v>
      </c>
      <c r="T1171" t="s">
        <v>52</v>
      </c>
      <c r="U1171">
        <v>39</v>
      </c>
      <c r="V1171">
        <v>37.375</v>
      </c>
    </row>
    <row r="1172" spans="1:22" x14ac:dyDescent="0.35">
      <c r="A1172" s="3">
        <v>44532</v>
      </c>
      <c r="B1172" t="s">
        <v>26</v>
      </c>
      <c r="C1172">
        <v>0</v>
      </c>
      <c r="D1172">
        <v>0</v>
      </c>
      <c r="E1172">
        <v>0</v>
      </c>
      <c r="F1172">
        <v>0</v>
      </c>
      <c r="G1172">
        <v>26.774999999999999</v>
      </c>
      <c r="H1172">
        <v>0</v>
      </c>
      <c r="I1172">
        <v>0</v>
      </c>
      <c r="J1172">
        <v>0</v>
      </c>
      <c r="K1172">
        <v>0</v>
      </c>
      <c r="L1172">
        <v>179</v>
      </c>
      <c r="M1172">
        <v>258</v>
      </c>
      <c r="N1172" t="s">
        <v>26</v>
      </c>
      <c r="O1172" s="3">
        <v>44790</v>
      </c>
      <c r="P1172">
        <v>-1</v>
      </c>
      <c r="T1172" t="s">
        <v>51</v>
      </c>
      <c r="U1172">
        <v>64</v>
      </c>
      <c r="V1172">
        <v>35.424999999999997</v>
      </c>
    </row>
    <row r="1173" spans="1:22" x14ac:dyDescent="0.35">
      <c r="A1173" s="3">
        <v>44532</v>
      </c>
      <c r="B1173" t="s">
        <v>32</v>
      </c>
      <c r="C1173">
        <v>0</v>
      </c>
      <c r="D1173">
        <v>0</v>
      </c>
      <c r="E1173">
        <v>0</v>
      </c>
      <c r="F1173">
        <v>0</v>
      </c>
      <c r="G1173">
        <v>26.967300000000002</v>
      </c>
      <c r="H1173">
        <v>0</v>
      </c>
      <c r="I1173">
        <v>0</v>
      </c>
      <c r="J1173">
        <v>0</v>
      </c>
      <c r="K1173">
        <v>0</v>
      </c>
      <c r="L1173">
        <v>52</v>
      </c>
      <c r="M1173">
        <v>76</v>
      </c>
      <c r="N1173" t="s">
        <v>32</v>
      </c>
      <c r="O1173" s="3">
        <v>44608</v>
      </c>
      <c r="P1173">
        <v>-1</v>
      </c>
      <c r="T1173" t="s">
        <v>50</v>
      </c>
      <c r="U1173">
        <v>84</v>
      </c>
      <c r="V1173">
        <v>33.825000000000003</v>
      </c>
    </row>
    <row r="1174" spans="1:22" x14ac:dyDescent="0.35">
      <c r="A1174" s="3">
        <v>44532</v>
      </c>
      <c r="B1174" t="s">
        <v>34</v>
      </c>
      <c r="C1174">
        <v>0</v>
      </c>
      <c r="D1174">
        <v>0</v>
      </c>
      <c r="E1174">
        <v>0</v>
      </c>
      <c r="F1174">
        <v>0</v>
      </c>
      <c r="G1174">
        <v>25.9392</v>
      </c>
      <c r="H1174">
        <v>0</v>
      </c>
      <c r="I1174">
        <v>0</v>
      </c>
      <c r="J1174">
        <v>0</v>
      </c>
      <c r="K1174">
        <v>0</v>
      </c>
      <c r="L1174">
        <v>14</v>
      </c>
      <c r="M1174">
        <v>20</v>
      </c>
      <c r="N1174" t="s">
        <v>34</v>
      </c>
      <c r="O1174" s="3">
        <v>44552</v>
      </c>
      <c r="P1174">
        <v>-1</v>
      </c>
      <c r="T1174" t="s">
        <v>49</v>
      </c>
      <c r="U1174">
        <v>103</v>
      </c>
      <c r="V1174">
        <v>33.225000000000001</v>
      </c>
    </row>
    <row r="1175" spans="1:22" x14ac:dyDescent="0.35">
      <c r="A1175" s="3">
        <v>44532</v>
      </c>
      <c r="B1175" t="s">
        <v>28</v>
      </c>
      <c r="C1175">
        <v>0</v>
      </c>
      <c r="D1175">
        <v>0</v>
      </c>
      <c r="E1175">
        <v>0</v>
      </c>
      <c r="F1175">
        <v>0</v>
      </c>
      <c r="G1175">
        <v>26.861999999999998</v>
      </c>
      <c r="H1175">
        <v>0</v>
      </c>
      <c r="I1175">
        <v>0</v>
      </c>
      <c r="J1175">
        <v>0</v>
      </c>
      <c r="K1175">
        <v>0</v>
      </c>
      <c r="L1175">
        <v>135</v>
      </c>
      <c r="M1175">
        <v>195</v>
      </c>
      <c r="N1175" t="s">
        <v>28</v>
      </c>
      <c r="O1175" s="3">
        <v>44727</v>
      </c>
      <c r="P1175">
        <v>-1</v>
      </c>
      <c r="T1175" t="s">
        <v>48</v>
      </c>
      <c r="U1175">
        <v>128</v>
      </c>
      <c r="V1175">
        <v>33.674999999999997</v>
      </c>
    </row>
    <row r="1176" spans="1:22" x14ac:dyDescent="0.35">
      <c r="A1176" s="3">
        <v>44532</v>
      </c>
      <c r="B1176" t="s">
        <v>30</v>
      </c>
      <c r="C1176">
        <v>0</v>
      </c>
      <c r="D1176">
        <v>0</v>
      </c>
      <c r="E1176">
        <v>0</v>
      </c>
      <c r="F1176">
        <v>0</v>
      </c>
      <c r="G1176">
        <v>27.041799999999999</v>
      </c>
      <c r="H1176">
        <v>0</v>
      </c>
      <c r="I1176">
        <v>0</v>
      </c>
      <c r="J1176">
        <v>0</v>
      </c>
      <c r="K1176">
        <v>0</v>
      </c>
      <c r="L1176">
        <v>96</v>
      </c>
      <c r="M1176">
        <v>139</v>
      </c>
      <c r="N1176" t="s">
        <v>30</v>
      </c>
      <c r="O1176" s="3">
        <v>44671</v>
      </c>
      <c r="P1176">
        <v>-1</v>
      </c>
      <c r="T1176" t="s">
        <v>47</v>
      </c>
      <c r="U1176">
        <v>148</v>
      </c>
      <c r="V1176">
        <v>31.574999999999999</v>
      </c>
    </row>
    <row r="1177" spans="1:22" x14ac:dyDescent="0.35">
      <c r="A1177" s="3">
        <v>44532</v>
      </c>
      <c r="B1177" t="s">
        <v>33</v>
      </c>
      <c r="C1177">
        <v>0</v>
      </c>
      <c r="D1177">
        <v>0</v>
      </c>
      <c r="E1177">
        <v>0</v>
      </c>
      <c r="F1177">
        <v>0</v>
      </c>
      <c r="G1177">
        <v>26.905000000000001</v>
      </c>
      <c r="H1177">
        <v>0</v>
      </c>
      <c r="I1177">
        <v>0</v>
      </c>
      <c r="J1177">
        <v>0</v>
      </c>
      <c r="K1177">
        <v>0</v>
      </c>
      <c r="L1177">
        <v>32</v>
      </c>
      <c r="M1177">
        <v>48</v>
      </c>
      <c r="N1177" t="s">
        <v>33</v>
      </c>
      <c r="O1177" s="3">
        <v>44580</v>
      </c>
      <c r="P1177">
        <v>-1</v>
      </c>
      <c r="T1177" t="s">
        <v>46</v>
      </c>
      <c r="U1177">
        <v>167</v>
      </c>
      <c r="V1177">
        <v>30.45</v>
      </c>
    </row>
    <row r="1178" spans="1:22" x14ac:dyDescent="0.35">
      <c r="A1178" s="3">
        <v>44532</v>
      </c>
      <c r="B1178" t="s">
        <v>29</v>
      </c>
      <c r="C1178">
        <v>0</v>
      </c>
      <c r="D1178">
        <v>0</v>
      </c>
      <c r="E1178">
        <v>0</v>
      </c>
      <c r="F1178">
        <v>0</v>
      </c>
      <c r="G1178">
        <v>26.895700000000001</v>
      </c>
      <c r="H1178">
        <v>0</v>
      </c>
      <c r="I1178">
        <v>0</v>
      </c>
      <c r="J1178">
        <v>0</v>
      </c>
      <c r="K1178">
        <v>0</v>
      </c>
      <c r="L1178">
        <v>116</v>
      </c>
      <c r="M1178">
        <v>167</v>
      </c>
      <c r="N1178" t="s">
        <v>29</v>
      </c>
      <c r="O1178" s="3">
        <v>44699</v>
      </c>
      <c r="P1178">
        <v>-1</v>
      </c>
      <c r="S1178" s="3">
        <v>43944</v>
      </c>
      <c r="T1178" t="s">
        <v>53</v>
      </c>
      <c r="U1178">
        <v>19</v>
      </c>
      <c r="V1178">
        <v>39.725000000000001</v>
      </c>
    </row>
    <row r="1179" spans="1:22" x14ac:dyDescent="0.35">
      <c r="A1179" s="3">
        <v>44532</v>
      </c>
      <c r="B1179" t="s">
        <v>31</v>
      </c>
      <c r="C1179">
        <v>0</v>
      </c>
      <c r="D1179">
        <v>0</v>
      </c>
      <c r="E1179">
        <v>0</v>
      </c>
      <c r="F1179">
        <v>0</v>
      </c>
      <c r="G1179">
        <v>27.0685</v>
      </c>
      <c r="H1179">
        <v>0</v>
      </c>
      <c r="I1179">
        <v>0</v>
      </c>
      <c r="J1179">
        <v>0</v>
      </c>
      <c r="K1179">
        <v>0</v>
      </c>
      <c r="L1179">
        <v>70</v>
      </c>
      <c r="M1179">
        <v>103</v>
      </c>
      <c r="N1179" t="s">
        <v>31</v>
      </c>
      <c r="O1179" s="3">
        <v>44635</v>
      </c>
      <c r="P1179">
        <v>-1</v>
      </c>
      <c r="T1179" t="s">
        <v>52</v>
      </c>
      <c r="U1179">
        <v>38</v>
      </c>
      <c r="V1179">
        <v>37.725000000000001</v>
      </c>
    </row>
    <row r="1180" spans="1:22" x14ac:dyDescent="0.35">
      <c r="A1180" s="3">
        <v>44532</v>
      </c>
      <c r="B1180" t="s">
        <v>22</v>
      </c>
      <c r="C1180">
        <v>0</v>
      </c>
      <c r="D1180">
        <v>0</v>
      </c>
      <c r="E1180">
        <v>0</v>
      </c>
      <c r="F1180">
        <v>0</v>
      </c>
      <c r="G1180">
        <v>26.95</v>
      </c>
      <c r="H1180">
        <v>0</v>
      </c>
      <c r="I1180">
        <v>0</v>
      </c>
      <c r="J1180">
        <v>0</v>
      </c>
      <c r="K1180">
        <v>0</v>
      </c>
      <c r="L1180">
        <v>159</v>
      </c>
      <c r="M1180">
        <v>230</v>
      </c>
      <c r="N1180" t="s">
        <v>22</v>
      </c>
      <c r="O1180" s="3">
        <v>44762</v>
      </c>
      <c r="P1180">
        <v>-1</v>
      </c>
      <c r="T1180" t="s">
        <v>51</v>
      </c>
      <c r="U1180">
        <v>63</v>
      </c>
      <c r="V1180">
        <v>35.674999999999997</v>
      </c>
    </row>
    <row r="1181" spans="1:22" x14ac:dyDescent="0.35">
      <c r="A1181" s="3">
        <v>44531</v>
      </c>
      <c r="B1181" t="s">
        <v>29</v>
      </c>
      <c r="C1181">
        <v>0</v>
      </c>
      <c r="D1181">
        <v>0</v>
      </c>
      <c r="E1181">
        <v>0</v>
      </c>
      <c r="F1181">
        <v>0</v>
      </c>
      <c r="G1181">
        <v>27.465399999999999</v>
      </c>
      <c r="H1181">
        <v>0</v>
      </c>
      <c r="I1181">
        <v>0</v>
      </c>
      <c r="J1181">
        <v>0</v>
      </c>
      <c r="K1181">
        <v>0</v>
      </c>
      <c r="L1181">
        <v>117</v>
      </c>
      <c r="M1181">
        <v>168</v>
      </c>
      <c r="N1181" t="s">
        <v>29</v>
      </c>
      <c r="O1181" s="3">
        <v>44699</v>
      </c>
      <c r="P1181">
        <v>-1</v>
      </c>
      <c r="T1181" t="s">
        <v>50</v>
      </c>
      <c r="U1181">
        <v>83</v>
      </c>
      <c r="V1181">
        <v>33.975000000000001</v>
      </c>
    </row>
    <row r="1182" spans="1:22" x14ac:dyDescent="0.35">
      <c r="A1182" s="3">
        <v>44531</v>
      </c>
      <c r="B1182" t="s">
        <v>31</v>
      </c>
      <c r="C1182">
        <v>0</v>
      </c>
      <c r="D1182">
        <v>0</v>
      </c>
      <c r="E1182">
        <v>0</v>
      </c>
      <c r="F1182">
        <v>0</v>
      </c>
      <c r="G1182">
        <v>27.7563</v>
      </c>
      <c r="H1182">
        <v>0</v>
      </c>
      <c r="I1182">
        <v>0</v>
      </c>
      <c r="J1182">
        <v>0</v>
      </c>
      <c r="K1182">
        <v>0</v>
      </c>
      <c r="L1182">
        <v>71</v>
      </c>
      <c r="M1182">
        <v>104</v>
      </c>
      <c r="N1182" t="s">
        <v>31</v>
      </c>
      <c r="O1182" s="3">
        <v>44635</v>
      </c>
      <c r="P1182">
        <v>-1</v>
      </c>
      <c r="T1182" t="s">
        <v>49</v>
      </c>
      <c r="U1182">
        <v>102</v>
      </c>
      <c r="V1182">
        <v>33.174999999999997</v>
      </c>
    </row>
    <row r="1183" spans="1:22" x14ac:dyDescent="0.35">
      <c r="A1183" s="3">
        <v>44531</v>
      </c>
      <c r="B1183" t="s">
        <v>22</v>
      </c>
      <c r="C1183">
        <v>0</v>
      </c>
      <c r="D1183">
        <v>0</v>
      </c>
      <c r="E1183">
        <v>0</v>
      </c>
      <c r="F1183">
        <v>0</v>
      </c>
      <c r="G1183">
        <v>27.5</v>
      </c>
      <c r="H1183">
        <v>0</v>
      </c>
      <c r="I1183">
        <v>0</v>
      </c>
      <c r="J1183">
        <v>0</v>
      </c>
      <c r="K1183">
        <v>0</v>
      </c>
      <c r="L1183">
        <v>160</v>
      </c>
      <c r="M1183">
        <v>231</v>
      </c>
      <c r="N1183" t="s">
        <v>22</v>
      </c>
      <c r="O1183" s="3">
        <v>44762</v>
      </c>
      <c r="P1183">
        <v>-1</v>
      </c>
      <c r="T1183" t="s">
        <v>48</v>
      </c>
      <c r="U1183">
        <v>127</v>
      </c>
      <c r="V1183">
        <v>33.725000000000001</v>
      </c>
    </row>
    <row r="1184" spans="1:22" x14ac:dyDescent="0.35">
      <c r="A1184" s="3">
        <v>44531</v>
      </c>
      <c r="B1184" t="s">
        <v>26</v>
      </c>
      <c r="C1184">
        <v>0</v>
      </c>
      <c r="D1184">
        <v>0</v>
      </c>
      <c r="E1184">
        <v>0</v>
      </c>
      <c r="F1184">
        <v>0</v>
      </c>
      <c r="G1184">
        <v>27.175000000000001</v>
      </c>
      <c r="H1184">
        <v>0</v>
      </c>
      <c r="I1184">
        <v>0</v>
      </c>
      <c r="J1184">
        <v>0</v>
      </c>
      <c r="K1184">
        <v>0</v>
      </c>
      <c r="L1184">
        <v>180</v>
      </c>
      <c r="M1184">
        <v>259</v>
      </c>
      <c r="N1184" t="s">
        <v>26</v>
      </c>
      <c r="O1184" s="3">
        <v>44790</v>
      </c>
      <c r="P1184">
        <v>-1</v>
      </c>
      <c r="T1184" t="s">
        <v>47</v>
      </c>
      <c r="U1184">
        <v>147</v>
      </c>
      <c r="V1184">
        <v>31.6</v>
      </c>
    </row>
    <row r="1185" spans="1:22" x14ac:dyDescent="0.35">
      <c r="A1185" s="3">
        <v>44531</v>
      </c>
      <c r="B1185" t="s">
        <v>32</v>
      </c>
      <c r="C1185">
        <v>0</v>
      </c>
      <c r="D1185">
        <v>0</v>
      </c>
      <c r="E1185">
        <v>0</v>
      </c>
      <c r="F1185">
        <v>0</v>
      </c>
      <c r="G1185">
        <v>27.730799999999999</v>
      </c>
      <c r="H1185">
        <v>0</v>
      </c>
      <c r="I1185">
        <v>0</v>
      </c>
      <c r="J1185">
        <v>0</v>
      </c>
      <c r="K1185">
        <v>0</v>
      </c>
      <c r="L1185">
        <v>53</v>
      </c>
      <c r="M1185">
        <v>77</v>
      </c>
      <c r="N1185" t="s">
        <v>32</v>
      </c>
      <c r="O1185" s="3">
        <v>44608</v>
      </c>
      <c r="P1185">
        <v>-1</v>
      </c>
      <c r="T1185" t="s">
        <v>46</v>
      </c>
      <c r="U1185">
        <v>166</v>
      </c>
      <c r="V1185">
        <v>30.324999999999999</v>
      </c>
    </row>
    <row r="1186" spans="1:22" x14ac:dyDescent="0.35">
      <c r="A1186" s="3">
        <v>44531</v>
      </c>
      <c r="B1186" t="s">
        <v>34</v>
      </c>
      <c r="C1186">
        <v>0</v>
      </c>
      <c r="D1186">
        <v>0</v>
      </c>
      <c r="E1186">
        <v>0</v>
      </c>
      <c r="F1186">
        <v>0</v>
      </c>
      <c r="G1186">
        <v>27.830400000000001</v>
      </c>
      <c r="H1186">
        <v>0</v>
      </c>
      <c r="I1186">
        <v>0</v>
      </c>
      <c r="J1186">
        <v>0</v>
      </c>
      <c r="K1186">
        <v>0</v>
      </c>
      <c r="L1186">
        <v>15</v>
      </c>
      <c r="M1186">
        <v>21</v>
      </c>
      <c r="N1186" t="s">
        <v>34</v>
      </c>
      <c r="O1186" s="3">
        <v>44552</v>
      </c>
      <c r="P1186">
        <v>-1</v>
      </c>
      <c r="S1186" s="3">
        <v>43945</v>
      </c>
      <c r="T1186" t="s">
        <v>53</v>
      </c>
      <c r="U1186">
        <v>18</v>
      </c>
      <c r="V1186">
        <v>36.774999999999999</v>
      </c>
    </row>
    <row r="1187" spans="1:22" x14ac:dyDescent="0.35">
      <c r="A1187" s="3">
        <v>44531</v>
      </c>
      <c r="B1187" t="s">
        <v>28</v>
      </c>
      <c r="C1187">
        <v>0</v>
      </c>
      <c r="D1187">
        <v>0</v>
      </c>
      <c r="E1187">
        <v>0</v>
      </c>
      <c r="F1187">
        <v>0</v>
      </c>
      <c r="G1187">
        <v>27.415400000000002</v>
      </c>
      <c r="H1187">
        <v>0</v>
      </c>
      <c r="I1187">
        <v>0</v>
      </c>
      <c r="J1187">
        <v>0</v>
      </c>
      <c r="K1187">
        <v>0</v>
      </c>
      <c r="L1187">
        <v>136</v>
      </c>
      <c r="M1187">
        <v>196</v>
      </c>
      <c r="N1187" t="s">
        <v>28</v>
      </c>
      <c r="O1187" s="3">
        <v>44727</v>
      </c>
      <c r="P1187">
        <v>-1</v>
      </c>
      <c r="T1187" t="s">
        <v>52</v>
      </c>
      <c r="U1187">
        <v>37</v>
      </c>
      <c r="V1187">
        <v>35.575000000000003</v>
      </c>
    </row>
    <row r="1188" spans="1:22" x14ac:dyDescent="0.35">
      <c r="A1188" s="3">
        <v>44531</v>
      </c>
      <c r="B1188" t="s">
        <v>30</v>
      </c>
      <c r="C1188">
        <v>0</v>
      </c>
      <c r="D1188">
        <v>0</v>
      </c>
      <c r="E1188">
        <v>0</v>
      </c>
      <c r="F1188">
        <v>0</v>
      </c>
      <c r="G1188">
        <v>27.627099999999999</v>
      </c>
      <c r="H1188">
        <v>0</v>
      </c>
      <c r="I1188">
        <v>0</v>
      </c>
      <c r="J1188">
        <v>0</v>
      </c>
      <c r="K1188">
        <v>0</v>
      </c>
      <c r="L1188">
        <v>97</v>
      </c>
      <c r="M1188">
        <v>140</v>
      </c>
      <c r="N1188" t="s">
        <v>30</v>
      </c>
      <c r="O1188" s="3">
        <v>44671</v>
      </c>
      <c r="P1188">
        <v>-1</v>
      </c>
      <c r="T1188" t="s">
        <v>51</v>
      </c>
      <c r="U1188">
        <v>62</v>
      </c>
      <c r="V1188">
        <v>34.174999999999997</v>
      </c>
    </row>
    <row r="1189" spans="1:22" x14ac:dyDescent="0.35">
      <c r="A1189" s="3">
        <v>44531</v>
      </c>
      <c r="B1189" t="s">
        <v>33</v>
      </c>
      <c r="C1189">
        <v>0</v>
      </c>
      <c r="D1189">
        <v>0</v>
      </c>
      <c r="E1189">
        <v>0</v>
      </c>
      <c r="F1189">
        <v>0</v>
      </c>
      <c r="G1189">
        <v>27.963999999999999</v>
      </c>
      <c r="H1189">
        <v>0</v>
      </c>
      <c r="I1189">
        <v>0</v>
      </c>
      <c r="J1189">
        <v>0</v>
      </c>
      <c r="K1189">
        <v>0</v>
      </c>
      <c r="L1189">
        <v>33</v>
      </c>
      <c r="M1189">
        <v>49</v>
      </c>
      <c r="N1189" t="s">
        <v>33</v>
      </c>
      <c r="O1189" s="3">
        <v>44580</v>
      </c>
      <c r="P1189">
        <v>-1</v>
      </c>
      <c r="T1189" t="s">
        <v>50</v>
      </c>
      <c r="U1189">
        <v>82</v>
      </c>
      <c r="V1189">
        <v>32.875</v>
      </c>
    </row>
    <row r="1190" spans="1:22" x14ac:dyDescent="0.35">
      <c r="A1190" s="3">
        <v>44530</v>
      </c>
      <c r="B1190" t="s">
        <v>26</v>
      </c>
      <c r="C1190">
        <v>0</v>
      </c>
      <c r="D1190">
        <v>0</v>
      </c>
      <c r="E1190">
        <v>0</v>
      </c>
      <c r="F1190">
        <v>0</v>
      </c>
      <c r="G1190">
        <v>26.875</v>
      </c>
      <c r="H1190">
        <v>0</v>
      </c>
      <c r="I1190">
        <v>0</v>
      </c>
      <c r="J1190">
        <v>0</v>
      </c>
      <c r="K1190">
        <v>0</v>
      </c>
      <c r="L1190">
        <v>181</v>
      </c>
      <c r="M1190">
        <v>260</v>
      </c>
      <c r="N1190" t="s">
        <v>26</v>
      </c>
      <c r="O1190" s="3">
        <v>44790</v>
      </c>
      <c r="P1190">
        <v>-1</v>
      </c>
      <c r="T1190" t="s">
        <v>49</v>
      </c>
      <c r="U1190">
        <v>101</v>
      </c>
      <c r="V1190">
        <v>32.024999999999999</v>
      </c>
    </row>
    <row r="1191" spans="1:22" x14ac:dyDescent="0.35">
      <c r="A1191" s="3">
        <v>44530</v>
      </c>
      <c r="B1191" t="s">
        <v>32</v>
      </c>
      <c r="C1191">
        <v>0</v>
      </c>
      <c r="D1191">
        <v>0</v>
      </c>
      <c r="E1191">
        <v>0</v>
      </c>
      <c r="F1191">
        <v>0</v>
      </c>
      <c r="G1191">
        <v>26.671299999999999</v>
      </c>
      <c r="H1191">
        <v>0</v>
      </c>
      <c r="I1191">
        <v>0</v>
      </c>
      <c r="J1191">
        <v>0</v>
      </c>
      <c r="K1191">
        <v>0</v>
      </c>
      <c r="L1191">
        <v>54</v>
      </c>
      <c r="M1191">
        <v>78</v>
      </c>
      <c r="N1191" t="s">
        <v>32</v>
      </c>
      <c r="O1191" s="3">
        <v>44608</v>
      </c>
      <c r="P1191">
        <v>-1</v>
      </c>
      <c r="T1191" t="s">
        <v>48</v>
      </c>
      <c r="U1191">
        <v>126</v>
      </c>
      <c r="V1191">
        <v>32.475000000000001</v>
      </c>
    </row>
    <row r="1192" spans="1:22" x14ac:dyDescent="0.35">
      <c r="A1192" s="3">
        <v>44530</v>
      </c>
      <c r="B1192" t="s">
        <v>34</v>
      </c>
      <c r="C1192">
        <v>0</v>
      </c>
      <c r="D1192">
        <v>0</v>
      </c>
      <c r="E1192">
        <v>0</v>
      </c>
      <c r="F1192">
        <v>0</v>
      </c>
      <c r="G1192">
        <v>25.686499999999999</v>
      </c>
      <c r="H1192">
        <v>0</v>
      </c>
      <c r="I1192">
        <v>0</v>
      </c>
      <c r="J1192">
        <v>0</v>
      </c>
      <c r="K1192">
        <v>0</v>
      </c>
      <c r="L1192">
        <v>16</v>
      </c>
      <c r="M1192">
        <v>22</v>
      </c>
      <c r="N1192" t="s">
        <v>34</v>
      </c>
      <c r="O1192" s="3">
        <v>44552</v>
      </c>
      <c r="P1192">
        <v>-1</v>
      </c>
      <c r="T1192" t="s">
        <v>47</v>
      </c>
      <c r="U1192">
        <v>146</v>
      </c>
      <c r="V1192">
        <v>30.225000000000001</v>
      </c>
    </row>
    <row r="1193" spans="1:22" x14ac:dyDescent="0.35">
      <c r="A1193" s="3">
        <v>44530</v>
      </c>
      <c r="B1193" t="s">
        <v>28</v>
      </c>
      <c r="C1193">
        <v>0</v>
      </c>
      <c r="D1193">
        <v>0</v>
      </c>
      <c r="E1193">
        <v>0</v>
      </c>
      <c r="F1193">
        <v>0</v>
      </c>
      <c r="G1193">
        <v>26.901900000000001</v>
      </c>
      <c r="H1193">
        <v>0</v>
      </c>
      <c r="I1193">
        <v>0</v>
      </c>
      <c r="J1193">
        <v>0</v>
      </c>
      <c r="K1193">
        <v>0</v>
      </c>
      <c r="L1193">
        <v>137</v>
      </c>
      <c r="M1193">
        <v>197</v>
      </c>
      <c r="N1193" t="s">
        <v>28</v>
      </c>
      <c r="O1193" s="3">
        <v>44727</v>
      </c>
      <c r="P1193">
        <v>-1</v>
      </c>
      <c r="T1193" t="s">
        <v>46</v>
      </c>
      <c r="U1193">
        <v>165</v>
      </c>
      <c r="V1193">
        <v>29</v>
      </c>
    </row>
    <row r="1194" spans="1:22" x14ac:dyDescent="0.35">
      <c r="A1194" s="3">
        <v>44530</v>
      </c>
      <c r="B1194" t="s">
        <v>30</v>
      </c>
      <c r="C1194">
        <v>0</v>
      </c>
      <c r="D1194">
        <v>0</v>
      </c>
      <c r="E1194">
        <v>0</v>
      </c>
      <c r="F1194">
        <v>0</v>
      </c>
      <c r="G1194">
        <v>27.0152</v>
      </c>
      <c r="H1194">
        <v>0</v>
      </c>
      <c r="I1194">
        <v>0</v>
      </c>
      <c r="J1194">
        <v>0</v>
      </c>
      <c r="K1194">
        <v>0</v>
      </c>
      <c r="L1194">
        <v>98</v>
      </c>
      <c r="M1194">
        <v>141</v>
      </c>
      <c r="N1194" t="s">
        <v>30</v>
      </c>
      <c r="O1194" s="3">
        <v>44671</v>
      </c>
      <c r="P1194">
        <v>-1</v>
      </c>
      <c r="S1194" s="3">
        <v>43948</v>
      </c>
      <c r="T1194" t="s">
        <v>53</v>
      </c>
      <c r="U1194">
        <v>17</v>
      </c>
      <c r="V1194">
        <v>33.875</v>
      </c>
    </row>
    <row r="1195" spans="1:22" x14ac:dyDescent="0.35">
      <c r="A1195" s="3">
        <v>44530</v>
      </c>
      <c r="B1195" t="s">
        <v>33</v>
      </c>
      <c r="C1195">
        <v>0</v>
      </c>
      <c r="D1195">
        <v>0</v>
      </c>
      <c r="E1195">
        <v>0</v>
      </c>
      <c r="F1195">
        <v>0</v>
      </c>
      <c r="G1195">
        <v>26.477699999999999</v>
      </c>
      <c r="H1195">
        <v>0</v>
      </c>
      <c r="I1195">
        <v>0</v>
      </c>
      <c r="J1195">
        <v>0</v>
      </c>
      <c r="K1195">
        <v>0</v>
      </c>
      <c r="L1195">
        <v>34</v>
      </c>
      <c r="M1195">
        <v>50</v>
      </c>
      <c r="N1195" t="s">
        <v>33</v>
      </c>
      <c r="O1195" s="3">
        <v>44580</v>
      </c>
      <c r="P1195">
        <v>-1</v>
      </c>
      <c r="T1195" t="s">
        <v>52</v>
      </c>
      <c r="U1195">
        <v>36</v>
      </c>
      <c r="V1195">
        <v>33.475000000000001</v>
      </c>
    </row>
    <row r="1196" spans="1:22" x14ac:dyDescent="0.35">
      <c r="A1196" s="3">
        <v>44530</v>
      </c>
      <c r="B1196" t="s">
        <v>29</v>
      </c>
      <c r="C1196">
        <v>0</v>
      </c>
      <c r="D1196">
        <v>0</v>
      </c>
      <c r="E1196">
        <v>0</v>
      </c>
      <c r="F1196">
        <v>0</v>
      </c>
      <c r="G1196">
        <v>26.941199999999998</v>
      </c>
      <c r="H1196">
        <v>0</v>
      </c>
      <c r="I1196">
        <v>0</v>
      </c>
      <c r="J1196">
        <v>0</v>
      </c>
      <c r="K1196">
        <v>0</v>
      </c>
      <c r="L1196">
        <v>118</v>
      </c>
      <c r="M1196">
        <v>169</v>
      </c>
      <c r="N1196" t="s">
        <v>29</v>
      </c>
      <c r="O1196" s="3">
        <v>44699</v>
      </c>
      <c r="P1196">
        <v>-1</v>
      </c>
      <c r="T1196" t="s">
        <v>51</v>
      </c>
      <c r="U1196">
        <v>61</v>
      </c>
      <c r="V1196">
        <v>32.575000000000003</v>
      </c>
    </row>
    <row r="1197" spans="1:22" x14ac:dyDescent="0.35">
      <c r="A1197" s="3">
        <v>44530</v>
      </c>
      <c r="B1197" t="s">
        <v>31</v>
      </c>
      <c r="C1197">
        <v>0</v>
      </c>
      <c r="D1197">
        <v>0</v>
      </c>
      <c r="E1197">
        <v>0</v>
      </c>
      <c r="F1197">
        <v>0</v>
      </c>
      <c r="G1197">
        <v>26.906300000000002</v>
      </c>
      <c r="H1197">
        <v>0</v>
      </c>
      <c r="I1197">
        <v>0</v>
      </c>
      <c r="J1197">
        <v>0</v>
      </c>
      <c r="K1197">
        <v>0</v>
      </c>
      <c r="L1197">
        <v>72</v>
      </c>
      <c r="M1197">
        <v>105</v>
      </c>
      <c r="N1197" t="s">
        <v>31</v>
      </c>
      <c r="O1197" s="3">
        <v>44635</v>
      </c>
      <c r="P1197">
        <v>-1</v>
      </c>
      <c r="T1197" t="s">
        <v>50</v>
      </c>
      <c r="U1197">
        <v>81</v>
      </c>
      <c r="V1197">
        <v>31.475000000000001</v>
      </c>
    </row>
    <row r="1198" spans="1:22" x14ac:dyDescent="0.35">
      <c r="A1198" s="3">
        <v>44530</v>
      </c>
      <c r="B1198" t="s">
        <v>22</v>
      </c>
      <c r="C1198">
        <v>0</v>
      </c>
      <c r="D1198">
        <v>0</v>
      </c>
      <c r="E1198">
        <v>0</v>
      </c>
      <c r="F1198">
        <v>0</v>
      </c>
      <c r="G1198">
        <v>27</v>
      </c>
      <c r="H1198">
        <v>0</v>
      </c>
      <c r="I1198">
        <v>0</v>
      </c>
      <c r="J1198">
        <v>0</v>
      </c>
      <c r="K1198">
        <v>0</v>
      </c>
      <c r="L1198">
        <v>161</v>
      </c>
      <c r="M1198">
        <v>232</v>
      </c>
      <c r="N1198" t="s">
        <v>22</v>
      </c>
      <c r="O1198" s="3">
        <v>44762</v>
      </c>
      <c r="P1198">
        <v>-1</v>
      </c>
      <c r="T1198" t="s">
        <v>49</v>
      </c>
      <c r="U1198">
        <v>100</v>
      </c>
      <c r="V1198">
        <v>30.774999999999999</v>
      </c>
    </row>
    <row r="1199" spans="1:22" x14ac:dyDescent="0.35">
      <c r="A1199" s="3">
        <v>44529</v>
      </c>
      <c r="B1199" t="s">
        <v>29</v>
      </c>
      <c r="C1199">
        <v>0</v>
      </c>
      <c r="D1199">
        <v>0</v>
      </c>
      <c r="E1199">
        <v>0</v>
      </c>
      <c r="F1199">
        <v>0</v>
      </c>
      <c r="G1199">
        <v>25.8276</v>
      </c>
      <c r="H1199">
        <v>0</v>
      </c>
      <c r="I1199">
        <v>0</v>
      </c>
      <c r="J1199">
        <v>0</v>
      </c>
      <c r="K1199">
        <v>0</v>
      </c>
      <c r="L1199">
        <v>119</v>
      </c>
      <c r="M1199">
        <v>170</v>
      </c>
      <c r="N1199" t="s">
        <v>29</v>
      </c>
      <c r="O1199" s="3">
        <v>44699</v>
      </c>
      <c r="P1199">
        <v>-1</v>
      </c>
      <c r="T1199" t="s">
        <v>48</v>
      </c>
      <c r="U1199">
        <v>125</v>
      </c>
      <c r="V1199">
        <v>31.375</v>
      </c>
    </row>
    <row r="1200" spans="1:22" x14ac:dyDescent="0.35">
      <c r="A1200" s="3">
        <v>44529</v>
      </c>
      <c r="B1200" t="s">
        <v>31</v>
      </c>
      <c r="C1200">
        <v>0</v>
      </c>
      <c r="D1200">
        <v>0</v>
      </c>
      <c r="E1200">
        <v>0</v>
      </c>
      <c r="F1200">
        <v>0</v>
      </c>
      <c r="G1200">
        <v>25.219000000000001</v>
      </c>
      <c r="H1200">
        <v>0</v>
      </c>
      <c r="I1200">
        <v>0</v>
      </c>
      <c r="J1200">
        <v>0</v>
      </c>
      <c r="K1200">
        <v>0</v>
      </c>
      <c r="L1200">
        <v>73</v>
      </c>
      <c r="M1200">
        <v>106</v>
      </c>
      <c r="N1200" t="s">
        <v>31</v>
      </c>
      <c r="O1200" s="3">
        <v>44635</v>
      </c>
      <c r="P1200">
        <v>-1</v>
      </c>
      <c r="T1200" t="s">
        <v>47</v>
      </c>
      <c r="U1200">
        <v>145</v>
      </c>
      <c r="V1200">
        <v>29.274999999999999</v>
      </c>
    </row>
    <row r="1201" spans="1:22" x14ac:dyDescent="0.35">
      <c r="A1201" s="3">
        <v>44529</v>
      </c>
      <c r="B1201" t="s">
        <v>22</v>
      </c>
      <c r="C1201">
        <v>0</v>
      </c>
      <c r="D1201">
        <v>0</v>
      </c>
      <c r="E1201">
        <v>0</v>
      </c>
      <c r="F1201">
        <v>0</v>
      </c>
      <c r="G1201">
        <v>25.95</v>
      </c>
      <c r="H1201">
        <v>0</v>
      </c>
      <c r="I1201">
        <v>0</v>
      </c>
      <c r="J1201">
        <v>0</v>
      </c>
      <c r="K1201">
        <v>0</v>
      </c>
      <c r="L1201">
        <v>162</v>
      </c>
      <c r="M1201">
        <v>233</v>
      </c>
      <c r="N1201" t="s">
        <v>22</v>
      </c>
      <c r="O1201" s="3">
        <v>44762</v>
      </c>
      <c r="P1201">
        <v>-1</v>
      </c>
      <c r="T1201" t="s">
        <v>46</v>
      </c>
      <c r="U1201">
        <v>164</v>
      </c>
      <c r="V1201">
        <v>28.074999999999999</v>
      </c>
    </row>
    <row r="1202" spans="1:22" x14ac:dyDescent="0.35">
      <c r="A1202" s="3">
        <v>44529</v>
      </c>
      <c r="B1202" t="s">
        <v>26</v>
      </c>
      <c r="C1202">
        <v>0</v>
      </c>
      <c r="D1202">
        <v>0</v>
      </c>
      <c r="E1202">
        <v>0</v>
      </c>
      <c r="F1202">
        <v>0</v>
      </c>
      <c r="G1202">
        <v>25.975000000000001</v>
      </c>
      <c r="H1202">
        <v>0</v>
      </c>
      <c r="I1202">
        <v>0</v>
      </c>
      <c r="J1202">
        <v>0</v>
      </c>
      <c r="K1202">
        <v>0</v>
      </c>
      <c r="L1202">
        <v>182</v>
      </c>
      <c r="M1202">
        <v>261</v>
      </c>
      <c r="N1202" t="s">
        <v>26</v>
      </c>
      <c r="O1202" s="3">
        <v>44790</v>
      </c>
      <c r="P1202">
        <v>-1</v>
      </c>
      <c r="S1202" s="3">
        <v>43949</v>
      </c>
      <c r="T1202" t="s">
        <v>53</v>
      </c>
      <c r="U1202">
        <v>16</v>
      </c>
      <c r="V1202">
        <v>34.174999999999997</v>
      </c>
    </row>
    <row r="1203" spans="1:22" x14ac:dyDescent="0.35">
      <c r="A1203" s="3">
        <v>44529</v>
      </c>
      <c r="B1203" t="s">
        <v>32</v>
      </c>
      <c r="C1203">
        <v>0</v>
      </c>
      <c r="D1203">
        <v>0</v>
      </c>
      <c r="E1203">
        <v>0</v>
      </c>
      <c r="F1203">
        <v>0</v>
      </c>
      <c r="G1203">
        <v>24.5746</v>
      </c>
      <c r="H1203">
        <v>0</v>
      </c>
      <c r="I1203">
        <v>0</v>
      </c>
      <c r="J1203">
        <v>0</v>
      </c>
      <c r="K1203">
        <v>0</v>
      </c>
      <c r="L1203">
        <v>55</v>
      </c>
      <c r="M1203">
        <v>79</v>
      </c>
      <c r="N1203" t="s">
        <v>32</v>
      </c>
      <c r="O1203" s="3">
        <v>44608</v>
      </c>
      <c r="P1203">
        <v>-1</v>
      </c>
      <c r="T1203" t="s">
        <v>52</v>
      </c>
      <c r="U1203">
        <v>35</v>
      </c>
      <c r="V1203">
        <v>33.825000000000003</v>
      </c>
    </row>
    <row r="1204" spans="1:22" x14ac:dyDescent="0.35">
      <c r="A1204" s="3">
        <v>44529</v>
      </c>
      <c r="B1204" t="s">
        <v>34</v>
      </c>
      <c r="C1204">
        <v>0</v>
      </c>
      <c r="D1204">
        <v>0</v>
      </c>
      <c r="E1204">
        <v>0</v>
      </c>
      <c r="F1204">
        <v>0</v>
      </c>
      <c r="G1204">
        <v>22.2041</v>
      </c>
      <c r="H1204">
        <v>0</v>
      </c>
      <c r="I1204">
        <v>0</v>
      </c>
      <c r="J1204">
        <v>0</v>
      </c>
      <c r="K1204">
        <v>0</v>
      </c>
      <c r="L1204">
        <v>17</v>
      </c>
      <c r="M1204">
        <v>23</v>
      </c>
      <c r="N1204" t="s">
        <v>34</v>
      </c>
      <c r="O1204" s="3">
        <v>44552</v>
      </c>
      <c r="P1204">
        <v>-1</v>
      </c>
      <c r="T1204" t="s">
        <v>51</v>
      </c>
      <c r="U1204">
        <v>60</v>
      </c>
      <c r="V1204">
        <v>32.774999999999999</v>
      </c>
    </row>
    <row r="1205" spans="1:22" x14ac:dyDescent="0.35">
      <c r="A1205" s="3">
        <v>44529</v>
      </c>
      <c r="B1205" t="s">
        <v>28</v>
      </c>
      <c r="C1205">
        <v>0</v>
      </c>
      <c r="D1205">
        <v>0</v>
      </c>
      <c r="E1205">
        <v>0</v>
      </c>
      <c r="F1205">
        <v>0</v>
      </c>
      <c r="G1205">
        <v>25.768799999999999</v>
      </c>
      <c r="H1205">
        <v>0</v>
      </c>
      <c r="I1205">
        <v>0</v>
      </c>
      <c r="J1205">
        <v>0</v>
      </c>
      <c r="K1205">
        <v>0</v>
      </c>
      <c r="L1205">
        <v>138</v>
      </c>
      <c r="M1205">
        <v>198</v>
      </c>
      <c r="N1205" t="s">
        <v>28</v>
      </c>
      <c r="O1205" s="3">
        <v>44727</v>
      </c>
      <c r="P1205">
        <v>-1</v>
      </c>
      <c r="T1205" t="s">
        <v>50</v>
      </c>
      <c r="U1205">
        <v>80</v>
      </c>
      <c r="V1205">
        <v>31.774999999999999</v>
      </c>
    </row>
    <row r="1206" spans="1:22" x14ac:dyDescent="0.35">
      <c r="A1206" s="3">
        <v>44529</v>
      </c>
      <c r="B1206" t="s">
        <v>30</v>
      </c>
      <c r="C1206">
        <v>0</v>
      </c>
      <c r="D1206">
        <v>0</v>
      </c>
      <c r="E1206">
        <v>0</v>
      </c>
      <c r="F1206">
        <v>0</v>
      </c>
      <c r="G1206">
        <v>25.6859</v>
      </c>
      <c r="H1206">
        <v>0</v>
      </c>
      <c r="I1206">
        <v>0</v>
      </c>
      <c r="J1206">
        <v>0</v>
      </c>
      <c r="K1206">
        <v>0</v>
      </c>
      <c r="L1206">
        <v>99</v>
      </c>
      <c r="M1206">
        <v>142</v>
      </c>
      <c r="N1206" t="s">
        <v>30</v>
      </c>
      <c r="O1206" s="3">
        <v>44671</v>
      </c>
      <c r="P1206">
        <v>-1</v>
      </c>
      <c r="T1206" t="s">
        <v>49</v>
      </c>
      <c r="U1206">
        <v>99</v>
      </c>
      <c r="V1206">
        <v>31.074999999999999</v>
      </c>
    </row>
    <row r="1207" spans="1:22" x14ac:dyDescent="0.35">
      <c r="A1207" s="3">
        <v>44529</v>
      </c>
      <c r="B1207" t="s">
        <v>33</v>
      </c>
      <c r="C1207">
        <v>0</v>
      </c>
      <c r="D1207">
        <v>0</v>
      </c>
      <c r="E1207">
        <v>0</v>
      </c>
      <c r="F1207">
        <v>0</v>
      </c>
      <c r="G1207">
        <v>23.747399999999999</v>
      </c>
      <c r="H1207">
        <v>0</v>
      </c>
      <c r="I1207">
        <v>0</v>
      </c>
      <c r="J1207">
        <v>0</v>
      </c>
      <c r="K1207">
        <v>0</v>
      </c>
      <c r="L1207">
        <v>35</v>
      </c>
      <c r="M1207">
        <v>51</v>
      </c>
      <c r="N1207" t="s">
        <v>33</v>
      </c>
      <c r="O1207" s="3">
        <v>44580</v>
      </c>
      <c r="P1207">
        <v>-1</v>
      </c>
      <c r="T1207" t="s">
        <v>48</v>
      </c>
      <c r="U1207">
        <v>124</v>
      </c>
      <c r="V1207">
        <v>31.675000000000001</v>
      </c>
    </row>
    <row r="1208" spans="1:22" x14ac:dyDescent="0.35">
      <c r="A1208" s="3">
        <v>44526</v>
      </c>
      <c r="B1208" t="s">
        <v>26</v>
      </c>
      <c r="C1208">
        <v>0</v>
      </c>
      <c r="D1208">
        <v>0</v>
      </c>
      <c r="E1208">
        <v>0</v>
      </c>
      <c r="F1208">
        <v>0</v>
      </c>
      <c r="G1208">
        <v>26.4</v>
      </c>
      <c r="H1208">
        <v>0</v>
      </c>
      <c r="I1208">
        <v>0</v>
      </c>
      <c r="J1208">
        <v>0</v>
      </c>
      <c r="K1208">
        <v>0</v>
      </c>
      <c r="L1208">
        <v>183</v>
      </c>
      <c r="M1208">
        <v>264</v>
      </c>
      <c r="N1208" t="s">
        <v>26</v>
      </c>
      <c r="O1208" s="3">
        <v>44790</v>
      </c>
      <c r="P1208">
        <v>-1</v>
      </c>
      <c r="T1208" t="s">
        <v>47</v>
      </c>
      <c r="U1208">
        <v>144</v>
      </c>
      <c r="V1208">
        <v>29.45</v>
      </c>
    </row>
    <row r="1209" spans="1:22" x14ac:dyDescent="0.35">
      <c r="A1209" s="3">
        <v>44526</v>
      </c>
      <c r="B1209" t="s">
        <v>32</v>
      </c>
      <c r="C1209">
        <v>0</v>
      </c>
      <c r="D1209">
        <v>0</v>
      </c>
      <c r="E1209">
        <v>0</v>
      </c>
      <c r="F1209">
        <v>0</v>
      </c>
      <c r="G1209">
        <v>27.107099999999999</v>
      </c>
      <c r="H1209">
        <v>0</v>
      </c>
      <c r="I1209">
        <v>0</v>
      </c>
      <c r="J1209">
        <v>0</v>
      </c>
      <c r="K1209">
        <v>0</v>
      </c>
      <c r="L1209">
        <v>56</v>
      </c>
      <c r="M1209">
        <v>82</v>
      </c>
      <c r="N1209" t="s">
        <v>32</v>
      </c>
      <c r="O1209" s="3">
        <v>44608</v>
      </c>
      <c r="P1209">
        <v>-1</v>
      </c>
      <c r="T1209" t="s">
        <v>46</v>
      </c>
      <c r="U1209">
        <v>163</v>
      </c>
      <c r="V1209">
        <v>28.1</v>
      </c>
    </row>
    <row r="1210" spans="1:22" x14ac:dyDescent="0.35">
      <c r="A1210" s="3">
        <v>44526</v>
      </c>
      <c r="B1210" t="s">
        <v>34</v>
      </c>
      <c r="C1210">
        <v>0</v>
      </c>
      <c r="D1210">
        <v>0</v>
      </c>
      <c r="E1210">
        <v>0</v>
      </c>
      <c r="F1210">
        <v>0</v>
      </c>
      <c r="G1210">
        <v>26.5412</v>
      </c>
      <c r="H1210">
        <v>0</v>
      </c>
      <c r="I1210">
        <v>0</v>
      </c>
      <c r="J1210">
        <v>0</v>
      </c>
      <c r="K1210">
        <v>0</v>
      </c>
      <c r="L1210">
        <v>18</v>
      </c>
      <c r="M1210">
        <v>26</v>
      </c>
      <c r="N1210" t="s">
        <v>34</v>
      </c>
      <c r="O1210" s="3">
        <v>44552</v>
      </c>
      <c r="P1210">
        <v>-1</v>
      </c>
      <c r="S1210" s="3">
        <v>43950</v>
      </c>
      <c r="T1210" t="s">
        <v>45</v>
      </c>
      <c r="U1210">
        <v>184</v>
      </c>
      <c r="V1210">
        <v>31.2</v>
      </c>
    </row>
    <row r="1211" spans="1:22" x14ac:dyDescent="0.35">
      <c r="A1211" s="3">
        <v>44526</v>
      </c>
      <c r="B1211" t="s">
        <v>28</v>
      </c>
      <c r="C1211">
        <v>0</v>
      </c>
      <c r="D1211">
        <v>0</v>
      </c>
      <c r="E1211">
        <v>0</v>
      </c>
      <c r="F1211">
        <v>0</v>
      </c>
      <c r="G1211">
        <v>26.807099999999998</v>
      </c>
      <c r="H1211">
        <v>0</v>
      </c>
      <c r="I1211">
        <v>0</v>
      </c>
      <c r="J1211">
        <v>0</v>
      </c>
      <c r="K1211">
        <v>0</v>
      </c>
      <c r="L1211">
        <v>139</v>
      </c>
      <c r="M1211">
        <v>201</v>
      </c>
      <c r="N1211" t="s">
        <v>28</v>
      </c>
      <c r="O1211" s="3">
        <v>44727</v>
      </c>
      <c r="P1211">
        <v>-1</v>
      </c>
      <c r="T1211" t="s">
        <v>53</v>
      </c>
      <c r="U1211">
        <v>15</v>
      </c>
      <c r="V1211">
        <v>31.925000000000001</v>
      </c>
    </row>
    <row r="1212" spans="1:22" x14ac:dyDescent="0.35">
      <c r="A1212" s="3">
        <v>44526</v>
      </c>
      <c r="B1212" t="s">
        <v>30</v>
      </c>
      <c r="C1212">
        <v>0</v>
      </c>
      <c r="D1212">
        <v>0</v>
      </c>
      <c r="E1212">
        <v>0</v>
      </c>
      <c r="F1212">
        <v>0</v>
      </c>
      <c r="G1212">
        <v>27.078399999999998</v>
      </c>
      <c r="H1212">
        <v>0</v>
      </c>
      <c r="I1212">
        <v>0</v>
      </c>
      <c r="J1212">
        <v>0</v>
      </c>
      <c r="K1212">
        <v>0</v>
      </c>
      <c r="L1212">
        <v>100</v>
      </c>
      <c r="M1212">
        <v>145</v>
      </c>
      <c r="N1212" t="s">
        <v>30</v>
      </c>
      <c r="O1212" s="3">
        <v>44671</v>
      </c>
      <c r="P1212">
        <v>-1</v>
      </c>
      <c r="T1212" t="s">
        <v>52</v>
      </c>
      <c r="U1212">
        <v>34</v>
      </c>
      <c r="V1212">
        <v>31.774999999999999</v>
      </c>
    </row>
    <row r="1213" spans="1:22" x14ac:dyDescent="0.35">
      <c r="A1213" s="3">
        <v>44526</v>
      </c>
      <c r="B1213" t="s">
        <v>33</v>
      </c>
      <c r="C1213">
        <v>0</v>
      </c>
      <c r="D1213">
        <v>0</v>
      </c>
      <c r="E1213">
        <v>0</v>
      </c>
      <c r="F1213">
        <v>0</v>
      </c>
      <c r="G1213">
        <v>27.009599999999999</v>
      </c>
      <c r="H1213">
        <v>0</v>
      </c>
      <c r="I1213">
        <v>0</v>
      </c>
      <c r="J1213">
        <v>0</v>
      </c>
      <c r="K1213">
        <v>0</v>
      </c>
      <c r="L1213">
        <v>36</v>
      </c>
      <c r="M1213">
        <v>54</v>
      </c>
      <c r="N1213" t="s">
        <v>33</v>
      </c>
      <c r="O1213" s="3">
        <v>44580</v>
      </c>
      <c r="P1213">
        <v>-1</v>
      </c>
      <c r="T1213" t="s">
        <v>51</v>
      </c>
      <c r="U1213">
        <v>59</v>
      </c>
      <c r="V1213">
        <v>31.125</v>
      </c>
    </row>
    <row r="1214" spans="1:22" x14ac:dyDescent="0.35">
      <c r="A1214" s="3">
        <v>44526</v>
      </c>
      <c r="B1214" t="s">
        <v>29</v>
      </c>
      <c r="C1214">
        <v>0</v>
      </c>
      <c r="D1214">
        <v>0</v>
      </c>
      <c r="E1214">
        <v>0</v>
      </c>
      <c r="F1214">
        <v>0</v>
      </c>
      <c r="G1214">
        <v>27.112500000000001</v>
      </c>
      <c r="H1214">
        <v>0</v>
      </c>
      <c r="I1214">
        <v>0</v>
      </c>
      <c r="J1214">
        <v>0</v>
      </c>
      <c r="K1214">
        <v>0</v>
      </c>
      <c r="L1214">
        <v>120</v>
      </c>
      <c r="M1214">
        <v>173</v>
      </c>
      <c r="N1214" t="s">
        <v>29</v>
      </c>
      <c r="O1214" s="3">
        <v>44699</v>
      </c>
      <c r="P1214">
        <v>-1</v>
      </c>
      <c r="T1214" t="s">
        <v>50</v>
      </c>
      <c r="U1214">
        <v>79</v>
      </c>
      <c r="V1214">
        <v>30.574999999999999</v>
      </c>
    </row>
    <row r="1215" spans="1:22" x14ac:dyDescent="0.35">
      <c r="A1215" s="3">
        <v>44526</v>
      </c>
      <c r="B1215" t="s">
        <v>31</v>
      </c>
      <c r="C1215">
        <v>0</v>
      </c>
      <c r="D1215">
        <v>0</v>
      </c>
      <c r="E1215">
        <v>0</v>
      </c>
      <c r="F1215">
        <v>0</v>
      </c>
      <c r="G1215">
        <v>27.127099999999999</v>
      </c>
      <c r="H1215">
        <v>0</v>
      </c>
      <c r="I1215">
        <v>0</v>
      </c>
      <c r="J1215">
        <v>0</v>
      </c>
      <c r="K1215">
        <v>0</v>
      </c>
      <c r="L1215">
        <v>74</v>
      </c>
      <c r="M1215">
        <v>109</v>
      </c>
      <c r="N1215" t="s">
        <v>31</v>
      </c>
      <c r="O1215" s="3">
        <v>44635</v>
      </c>
      <c r="P1215">
        <v>-1</v>
      </c>
      <c r="T1215" t="s">
        <v>49</v>
      </c>
      <c r="U1215">
        <v>98</v>
      </c>
      <c r="V1215">
        <v>30.024999999999999</v>
      </c>
    </row>
    <row r="1216" spans="1:22" x14ac:dyDescent="0.35">
      <c r="A1216" s="3">
        <v>44526</v>
      </c>
      <c r="B1216" t="s">
        <v>22</v>
      </c>
      <c r="C1216">
        <v>0</v>
      </c>
      <c r="D1216">
        <v>0</v>
      </c>
      <c r="E1216">
        <v>0</v>
      </c>
      <c r="F1216">
        <v>0</v>
      </c>
      <c r="G1216">
        <v>26.7</v>
      </c>
      <c r="H1216">
        <v>0</v>
      </c>
      <c r="I1216">
        <v>0</v>
      </c>
      <c r="J1216">
        <v>0</v>
      </c>
      <c r="K1216">
        <v>0</v>
      </c>
      <c r="L1216">
        <v>163</v>
      </c>
      <c r="M1216">
        <v>236</v>
      </c>
      <c r="N1216" t="s">
        <v>22</v>
      </c>
      <c r="O1216" s="3">
        <v>44762</v>
      </c>
      <c r="P1216">
        <v>-1</v>
      </c>
      <c r="T1216" t="s">
        <v>48</v>
      </c>
      <c r="U1216">
        <v>123</v>
      </c>
      <c r="V1216">
        <v>30.774999999999999</v>
      </c>
    </row>
    <row r="1217" spans="1:22" x14ac:dyDescent="0.35">
      <c r="A1217" s="3">
        <v>44524</v>
      </c>
      <c r="B1217" t="s">
        <v>29</v>
      </c>
      <c r="C1217">
        <v>0</v>
      </c>
      <c r="D1217">
        <v>0</v>
      </c>
      <c r="E1217">
        <v>0</v>
      </c>
      <c r="F1217">
        <v>0</v>
      </c>
      <c r="G1217">
        <v>25.367000000000001</v>
      </c>
      <c r="H1217">
        <v>0</v>
      </c>
      <c r="I1217">
        <v>0</v>
      </c>
      <c r="J1217">
        <v>0</v>
      </c>
      <c r="K1217">
        <v>0</v>
      </c>
      <c r="L1217">
        <v>121</v>
      </c>
      <c r="M1217">
        <v>175</v>
      </c>
      <c r="N1217" t="s">
        <v>29</v>
      </c>
      <c r="O1217" s="3">
        <v>44699</v>
      </c>
      <c r="P1217">
        <v>-1</v>
      </c>
      <c r="T1217" t="s">
        <v>47</v>
      </c>
      <c r="U1217">
        <v>143</v>
      </c>
      <c r="V1217">
        <v>28.55</v>
      </c>
    </row>
    <row r="1218" spans="1:22" x14ac:dyDescent="0.35">
      <c r="A1218" s="3">
        <v>44524</v>
      </c>
      <c r="B1218" t="s">
        <v>31</v>
      </c>
      <c r="C1218">
        <v>0</v>
      </c>
      <c r="D1218">
        <v>0</v>
      </c>
      <c r="E1218">
        <v>0</v>
      </c>
      <c r="F1218">
        <v>0</v>
      </c>
      <c r="G1218">
        <v>24.424700000000001</v>
      </c>
      <c r="H1218">
        <v>0</v>
      </c>
      <c r="I1218">
        <v>0</v>
      </c>
      <c r="J1218">
        <v>0</v>
      </c>
      <c r="K1218">
        <v>0</v>
      </c>
      <c r="L1218">
        <v>75</v>
      </c>
      <c r="M1218">
        <v>111</v>
      </c>
      <c r="N1218" t="s">
        <v>31</v>
      </c>
      <c r="O1218" s="3">
        <v>44635</v>
      </c>
      <c r="P1218">
        <v>-1</v>
      </c>
      <c r="T1218" t="s">
        <v>46</v>
      </c>
      <c r="U1218">
        <v>162</v>
      </c>
      <c r="V1218">
        <v>27.375</v>
      </c>
    </row>
    <row r="1219" spans="1:22" x14ac:dyDescent="0.35">
      <c r="A1219" s="3">
        <v>44524</v>
      </c>
      <c r="B1219" t="s">
        <v>22</v>
      </c>
      <c r="C1219">
        <v>0</v>
      </c>
      <c r="D1219">
        <v>0</v>
      </c>
      <c r="E1219">
        <v>0</v>
      </c>
      <c r="F1219">
        <v>0</v>
      </c>
      <c r="G1219">
        <v>25.7</v>
      </c>
      <c r="H1219">
        <v>0</v>
      </c>
      <c r="I1219">
        <v>0</v>
      </c>
      <c r="J1219">
        <v>0</v>
      </c>
      <c r="K1219">
        <v>0</v>
      </c>
      <c r="L1219">
        <v>164</v>
      </c>
      <c r="M1219">
        <v>238</v>
      </c>
      <c r="N1219" t="s">
        <v>22</v>
      </c>
      <c r="O1219" s="3">
        <v>44762</v>
      </c>
      <c r="P1219">
        <v>-1</v>
      </c>
      <c r="S1219" s="3">
        <v>43951</v>
      </c>
      <c r="T1219" t="s">
        <v>53</v>
      </c>
      <c r="U1219">
        <v>14</v>
      </c>
      <c r="V1219">
        <v>33.975000000000001</v>
      </c>
    </row>
    <row r="1220" spans="1:22" x14ac:dyDescent="0.35">
      <c r="A1220" s="3">
        <v>44524</v>
      </c>
      <c r="B1220" t="s">
        <v>26</v>
      </c>
      <c r="C1220">
        <v>0</v>
      </c>
      <c r="D1220">
        <v>0</v>
      </c>
      <c r="E1220">
        <v>0</v>
      </c>
      <c r="F1220">
        <v>0</v>
      </c>
      <c r="G1220">
        <v>25.75</v>
      </c>
      <c r="H1220">
        <v>0</v>
      </c>
      <c r="I1220">
        <v>0</v>
      </c>
      <c r="J1220">
        <v>0</v>
      </c>
      <c r="K1220">
        <v>0</v>
      </c>
      <c r="L1220">
        <v>184</v>
      </c>
      <c r="M1220">
        <v>266</v>
      </c>
      <c r="N1220" t="s">
        <v>26</v>
      </c>
      <c r="O1220" s="3">
        <v>44790</v>
      </c>
      <c r="P1220">
        <v>-1</v>
      </c>
      <c r="T1220" t="s">
        <v>52</v>
      </c>
      <c r="U1220">
        <v>33</v>
      </c>
      <c r="V1220">
        <v>33.225000000000001</v>
      </c>
    </row>
    <row r="1221" spans="1:22" x14ac:dyDescent="0.35">
      <c r="A1221" s="3">
        <v>44524</v>
      </c>
      <c r="B1221" t="s">
        <v>32</v>
      </c>
      <c r="C1221">
        <v>0</v>
      </c>
      <c r="D1221">
        <v>0</v>
      </c>
      <c r="E1221">
        <v>0</v>
      </c>
      <c r="F1221">
        <v>0</v>
      </c>
      <c r="G1221">
        <v>23.5747</v>
      </c>
      <c r="H1221">
        <v>0</v>
      </c>
      <c r="I1221">
        <v>0</v>
      </c>
      <c r="J1221">
        <v>0</v>
      </c>
      <c r="K1221">
        <v>0</v>
      </c>
      <c r="L1221">
        <v>57</v>
      </c>
      <c r="M1221">
        <v>84</v>
      </c>
      <c r="N1221" t="s">
        <v>32</v>
      </c>
      <c r="O1221" s="3">
        <v>44608</v>
      </c>
      <c r="P1221">
        <v>-1</v>
      </c>
      <c r="T1221" t="s">
        <v>51</v>
      </c>
      <c r="U1221">
        <v>58</v>
      </c>
      <c r="V1221">
        <v>32.075000000000003</v>
      </c>
    </row>
    <row r="1222" spans="1:22" x14ac:dyDescent="0.35">
      <c r="A1222" s="3">
        <v>44524</v>
      </c>
      <c r="B1222" t="s">
        <v>34</v>
      </c>
      <c r="C1222">
        <v>0</v>
      </c>
      <c r="D1222">
        <v>0</v>
      </c>
      <c r="E1222">
        <v>0</v>
      </c>
      <c r="F1222">
        <v>0</v>
      </c>
      <c r="G1222">
        <v>20.347999999999999</v>
      </c>
      <c r="H1222">
        <v>0</v>
      </c>
      <c r="I1222">
        <v>0</v>
      </c>
      <c r="J1222">
        <v>0</v>
      </c>
      <c r="K1222">
        <v>0</v>
      </c>
      <c r="L1222">
        <v>19</v>
      </c>
      <c r="M1222">
        <v>28</v>
      </c>
      <c r="N1222" t="s">
        <v>34</v>
      </c>
      <c r="O1222" s="3">
        <v>44552</v>
      </c>
      <c r="P1222">
        <v>-1</v>
      </c>
      <c r="T1222" t="s">
        <v>50</v>
      </c>
      <c r="U1222">
        <v>78</v>
      </c>
      <c r="V1222">
        <v>31.324999999999999</v>
      </c>
    </row>
    <row r="1223" spans="1:22" x14ac:dyDescent="0.35">
      <c r="A1223" s="3">
        <v>44524</v>
      </c>
      <c r="B1223" t="s">
        <v>28</v>
      </c>
      <c r="C1223">
        <v>0</v>
      </c>
      <c r="D1223">
        <v>0</v>
      </c>
      <c r="E1223">
        <v>0</v>
      </c>
      <c r="F1223">
        <v>0</v>
      </c>
      <c r="G1223">
        <v>25.605899999999998</v>
      </c>
      <c r="H1223">
        <v>0</v>
      </c>
      <c r="I1223">
        <v>0</v>
      </c>
      <c r="J1223">
        <v>0</v>
      </c>
      <c r="K1223">
        <v>0</v>
      </c>
      <c r="L1223">
        <v>140</v>
      </c>
      <c r="M1223">
        <v>203</v>
      </c>
      <c r="N1223" t="s">
        <v>28</v>
      </c>
      <c r="O1223" s="3">
        <v>44727</v>
      </c>
      <c r="P1223">
        <v>-1</v>
      </c>
      <c r="T1223" t="s">
        <v>49</v>
      </c>
      <c r="U1223">
        <v>97</v>
      </c>
      <c r="V1223">
        <v>30.774999999999999</v>
      </c>
    </row>
    <row r="1224" spans="1:22" x14ac:dyDescent="0.35">
      <c r="A1224" s="3">
        <v>44524</v>
      </c>
      <c r="B1224" t="s">
        <v>30</v>
      </c>
      <c r="C1224">
        <v>0</v>
      </c>
      <c r="D1224">
        <v>0</v>
      </c>
      <c r="E1224">
        <v>0</v>
      </c>
      <c r="F1224">
        <v>0</v>
      </c>
      <c r="G1224">
        <v>25.0928</v>
      </c>
      <c r="H1224">
        <v>0</v>
      </c>
      <c r="I1224">
        <v>0</v>
      </c>
      <c r="J1224">
        <v>0</v>
      </c>
      <c r="K1224">
        <v>0</v>
      </c>
      <c r="L1224">
        <v>101</v>
      </c>
      <c r="M1224">
        <v>147</v>
      </c>
      <c r="N1224" t="s">
        <v>30</v>
      </c>
      <c r="O1224" s="3">
        <v>44671</v>
      </c>
      <c r="P1224">
        <v>-1</v>
      </c>
      <c r="T1224" t="s">
        <v>48</v>
      </c>
      <c r="U1224">
        <v>122</v>
      </c>
      <c r="V1224">
        <v>31.5</v>
      </c>
    </row>
    <row r="1225" spans="1:22" x14ac:dyDescent="0.35">
      <c r="A1225" s="3">
        <v>44524</v>
      </c>
      <c r="B1225" t="s">
        <v>33</v>
      </c>
      <c r="C1225">
        <v>0</v>
      </c>
      <c r="D1225">
        <v>0</v>
      </c>
      <c r="E1225">
        <v>0</v>
      </c>
      <c r="F1225">
        <v>0</v>
      </c>
      <c r="G1225">
        <v>22.453800000000001</v>
      </c>
      <c r="H1225">
        <v>0</v>
      </c>
      <c r="I1225">
        <v>0</v>
      </c>
      <c r="J1225">
        <v>0</v>
      </c>
      <c r="K1225">
        <v>0</v>
      </c>
      <c r="L1225">
        <v>37</v>
      </c>
      <c r="M1225">
        <v>56</v>
      </c>
      <c r="N1225" t="s">
        <v>33</v>
      </c>
      <c r="O1225" s="3">
        <v>44580</v>
      </c>
      <c r="P1225">
        <v>-1</v>
      </c>
      <c r="T1225" t="s">
        <v>47</v>
      </c>
      <c r="U1225">
        <v>142</v>
      </c>
      <c r="V1225">
        <v>29.324999999999999</v>
      </c>
    </row>
    <row r="1226" spans="1:22" x14ac:dyDescent="0.35">
      <c r="A1226" s="3">
        <v>44523</v>
      </c>
      <c r="B1226" t="s">
        <v>26</v>
      </c>
      <c r="C1226">
        <v>0</v>
      </c>
      <c r="D1226">
        <v>0</v>
      </c>
      <c r="E1226">
        <v>0</v>
      </c>
      <c r="F1226">
        <v>0</v>
      </c>
      <c r="G1226">
        <v>25.7</v>
      </c>
      <c r="H1226">
        <v>0</v>
      </c>
      <c r="I1226">
        <v>0</v>
      </c>
      <c r="J1226">
        <v>0</v>
      </c>
      <c r="K1226">
        <v>0</v>
      </c>
      <c r="L1226">
        <v>185</v>
      </c>
      <c r="M1226">
        <v>267</v>
      </c>
      <c r="N1226" t="s">
        <v>26</v>
      </c>
      <c r="O1226" s="3">
        <v>44790</v>
      </c>
      <c r="P1226">
        <v>-1</v>
      </c>
      <c r="T1226" t="s">
        <v>46</v>
      </c>
      <c r="U1226">
        <v>161</v>
      </c>
      <c r="V1226">
        <v>28.024999999999999</v>
      </c>
    </row>
    <row r="1227" spans="1:22" x14ac:dyDescent="0.35">
      <c r="A1227" s="3">
        <v>44523</v>
      </c>
      <c r="B1227" t="s">
        <v>32</v>
      </c>
      <c r="C1227">
        <v>0</v>
      </c>
      <c r="D1227">
        <v>0</v>
      </c>
      <c r="E1227">
        <v>0</v>
      </c>
      <c r="F1227">
        <v>0</v>
      </c>
      <c r="G1227">
        <v>23.7759</v>
      </c>
      <c r="H1227">
        <v>0</v>
      </c>
      <c r="I1227">
        <v>0</v>
      </c>
      <c r="J1227">
        <v>0</v>
      </c>
      <c r="K1227">
        <v>0</v>
      </c>
      <c r="L1227">
        <v>58</v>
      </c>
      <c r="M1227">
        <v>85</v>
      </c>
      <c r="N1227" t="s">
        <v>32</v>
      </c>
      <c r="O1227" s="3">
        <v>44608</v>
      </c>
      <c r="P1227">
        <v>-1</v>
      </c>
      <c r="S1227" s="3">
        <v>43952</v>
      </c>
      <c r="T1227" t="s">
        <v>53</v>
      </c>
      <c r="U1227">
        <v>13</v>
      </c>
      <c r="V1227">
        <v>37.35</v>
      </c>
    </row>
    <row r="1228" spans="1:22" x14ac:dyDescent="0.35">
      <c r="A1228" s="3">
        <v>44523</v>
      </c>
      <c r="B1228" t="s">
        <v>34</v>
      </c>
      <c r="C1228">
        <v>0</v>
      </c>
      <c r="D1228">
        <v>0</v>
      </c>
      <c r="E1228">
        <v>0</v>
      </c>
      <c r="F1228">
        <v>0</v>
      </c>
      <c r="G1228">
        <v>20.562999999999999</v>
      </c>
      <c r="H1228">
        <v>0</v>
      </c>
      <c r="I1228">
        <v>0</v>
      </c>
      <c r="J1228">
        <v>0</v>
      </c>
      <c r="K1228">
        <v>0</v>
      </c>
      <c r="L1228">
        <v>20</v>
      </c>
      <c r="M1228">
        <v>29</v>
      </c>
      <c r="N1228" t="s">
        <v>34</v>
      </c>
      <c r="O1228" s="3">
        <v>44552</v>
      </c>
      <c r="P1228">
        <v>-1</v>
      </c>
      <c r="T1228" t="s">
        <v>52</v>
      </c>
      <c r="U1228">
        <v>32</v>
      </c>
      <c r="V1228">
        <v>35.975000000000001</v>
      </c>
    </row>
    <row r="1229" spans="1:22" x14ac:dyDescent="0.35">
      <c r="A1229" s="3">
        <v>44523</v>
      </c>
      <c r="B1229" t="s">
        <v>28</v>
      </c>
      <c r="C1229">
        <v>0</v>
      </c>
      <c r="D1229">
        <v>0</v>
      </c>
      <c r="E1229">
        <v>0</v>
      </c>
      <c r="F1229">
        <v>0</v>
      </c>
      <c r="G1229">
        <v>25.668900000000001</v>
      </c>
      <c r="H1229">
        <v>0</v>
      </c>
      <c r="I1229">
        <v>0</v>
      </c>
      <c r="J1229">
        <v>0</v>
      </c>
      <c r="K1229">
        <v>0</v>
      </c>
      <c r="L1229">
        <v>141</v>
      </c>
      <c r="M1229">
        <v>204</v>
      </c>
      <c r="N1229" t="s">
        <v>28</v>
      </c>
      <c r="O1229" s="3">
        <v>44727</v>
      </c>
      <c r="P1229">
        <v>-1</v>
      </c>
      <c r="T1229" t="s">
        <v>51</v>
      </c>
      <c r="U1229">
        <v>57</v>
      </c>
      <c r="V1229">
        <v>34.225000000000001</v>
      </c>
    </row>
    <row r="1230" spans="1:22" x14ac:dyDescent="0.35">
      <c r="A1230" s="3">
        <v>44523</v>
      </c>
      <c r="B1230" t="s">
        <v>30</v>
      </c>
      <c r="C1230">
        <v>0</v>
      </c>
      <c r="D1230">
        <v>0</v>
      </c>
      <c r="E1230">
        <v>0</v>
      </c>
      <c r="F1230">
        <v>0</v>
      </c>
      <c r="G1230">
        <v>25.2</v>
      </c>
      <c r="H1230">
        <v>0</v>
      </c>
      <c r="I1230">
        <v>0</v>
      </c>
      <c r="J1230">
        <v>0</v>
      </c>
      <c r="K1230">
        <v>0</v>
      </c>
      <c r="L1230">
        <v>102</v>
      </c>
      <c r="M1230">
        <v>148</v>
      </c>
      <c r="N1230" t="s">
        <v>30</v>
      </c>
      <c r="O1230" s="3">
        <v>44671</v>
      </c>
      <c r="P1230">
        <v>-1</v>
      </c>
      <c r="T1230" t="s">
        <v>50</v>
      </c>
      <c r="U1230">
        <v>77</v>
      </c>
      <c r="V1230">
        <v>33.375</v>
      </c>
    </row>
    <row r="1231" spans="1:22" x14ac:dyDescent="0.35">
      <c r="A1231" s="3">
        <v>44523</v>
      </c>
      <c r="B1231" t="s">
        <v>33</v>
      </c>
      <c r="C1231">
        <v>0</v>
      </c>
      <c r="D1231">
        <v>0</v>
      </c>
      <c r="E1231">
        <v>0</v>
      </c>
      <c r="F1231">
        <v>0</v>
      </c>
      <c r="G1231">
        <v>22.665600000000001</v>
      </c>
      <c r="H1231">
        <v>0</v>
      </c>
      <c r="I1231">
        <v>0</v>
      </c>
      <c r="J1231">
        <v>0</v>
      </c>
      <c r="K1231">
        <v>0</v>
      </c>
      <c r="L1231">
        <v>38</v>
      </c>
      <c r="M1231">
        <v>57</v>
      </c>
      <c r="N1231" t="s">
        <v>33</v>
      </c>
      <c r="O1231" s="3">
        <v>44580</v>
      </c>
      <c r="P1231">
        <v>-1</v>
      </c>
      <c r="T1231" t="s">
        <v>49</v>
      </c>
      <c r="U1231">
        <v>96</v>
      </c>
      <c r="V1231">
        <v>33.024999999999999</v>
      </c>
    </row>
    <row r="1232" spans="1:22" x14ac:dyDescent="0.35">
      <c r="A1232" s="3">
        <v>44523</v>
      </c>
      <c r="B1232" t="s">
        <v>29</v>
      </c>
      <c r="C1232">
        <v>0</v>
      </c>
      <c r="D1232">
        <v>0</v>
      </c>
      <c r="E1232">
        <v>0</v>
      </c>
      <c r="F1232">
        <v>0</v>
      </c>
      <c r="G1232">
        <v>25.484100000000002</v>
      </c>
      <c r="H1232">
        <v>0</v>
      </c>
      <c r="I1232">
        <v>0</v>
      </c>
      <c r="J1232">
        <v>0</v>
      </c>
      <c r="K1232">
        <v>0</v>
      </c>
      <c r="L1232">
        <v>122</v>
      </c>
      <c r="M1232">
        <v>176</v>
      </c>
      <c r="N1232" t="s">
        <v>29</v>
      </c>
      <c r="O1232" s="3">
        <v>44699</v>
      </c>
      <c r="P1232">
        <v>-1</v>
      </c>
      <c r="T1232" t="s">
        <v>48</v>
      </c>
      <c r="U1232">
        <v>121</v>
      </c>
      <c r="V1232">
        <v>33.625</v>
      </c>
    </row>
    <row r="1233" spans="1:22" x14ac:dyDescent="0.35">
      <c r="A1233" s="3">
        <v>44523</v>
      </c>
      <c r="B1233" t="s">
        <v>31</v>
      </c>
      <c r="C1233">
        <v>0</v>
      </c>
      <c r="D1233">
        <v>0</v>
      </c>
      <c r="E1233">
        <v>0</v>
      </c>
      <c r="F1233">
        <v>0</v>
      </c>
      <c r="G1233">
        <v>24.571200000000001</v>
      </c>
      <c r="H1233">
        <v>0</v>
      </c>
      <c r="I1233">
        <v>0</v>
      </c>
      <c r="J1233">
        <v>0</v>
      </c>
      <c r="K1233">
        <v>0</v>
      </c>
      <c r="L1233">
        <v>76</v>
      </c>
      <c r="M1233">
        <v>112</v>
      </c>
      <c r="N1233" t="s">
        <v>31</v>
      </c>
      <c r="O1233" s="3">
        <v>44635</v>
      </c>
      <c r="P1233">
        <v>-1</v>
      </c>
      <c r="T1233" t="s">
        <v>47</v>
      </c>
      <c r="U1233">
        <v>141</v>
      </c>
      <c r="V1233">
        <v>31.274999999999999</v>
      </c>
    </row>
    <row r="1234" spans="1:22" x14ac:dyDescent="0.35">
      <c r="A1234" s="3">
        <v>44523</v>
      </c>
      <c r="B1234" t="s">
        <v>22</v>
      </c>
      <c r="C1234">
        <v>0</v>
      </c>
      <c r="D1234">
        <v>0</v>
      </c>
      <c r="E1234">
        <v>0</v>
      </c>
      <c r="F1234">
        <v>0</v>
      </c>
      <c r="G1234">
        <v>25.75</v>
      </c>
      <c r="H1234">
        <v>0</v>
      </c>
      <c r="I1234">
        <v>0</v>
      </c>
      <c r="J1234">
        <v>0</v>
      </c>
      <c r="K1234">
        <v>0</v>
      </c>
      <c r="L1234">
        <v>165</v>
      </c>
      <c r="M1234">
        <v>239</v>
      </c>
      <c r="N1234" t="s">
        <v>22</v>
      </c>
      <c r="O1234" s="3">
        <v>44762</v>
      </c>
      <c r="P1234">
        <v>-1</v>
      </c>
      <c r="T1234" t="s">
        <v>46</v>
      </c>
      <c r="U1234">
        <v>160</v>
      </c>
      <c r="V1234">
        <v>30</v>
      </c>
    </row>
    <row r="1235" spans="1:22" x14ac:dyDescent="0.35">
      <c r="A1235" s="3">
        <v>44522</v>
      </c>
      <c r="B1235" t="s">
        <v>29</v>
      </c>
      <c r="C1235">
        <v>0</v>
      </c>
      <c r="D1235">
        <v>0</v>
      </c>
      <c r="E1235">
        <v>0</v>
      </c>
      <c r="F1235">
        <v>0</v>
      </c>
      <c r="G1235">
        <v>25.7</v>
      </c>
      <c r="H1235">
        <v>0</v>
      </c>
      <c r="I1235">
        <v>0</v>
      </c>
      <c r="J1235">
        <v>0</v>
      </c>
      <c r="K1235">
        <v>0</v>
      </c>
      <c r="L1235">
        <v>123</v>
      </c>
      <c r="M1235">
        <v>177</v>
      </c>
      <c r="N1235" t="s">
        <v>29</v>
      </c>
      <c r="O1235" s="3">
        <v>44699</v>
      </c>
      <c r="P1235">
        <v>-1</v>
      </c>
      <c r="S1235" s="3">
        <v>43955</v>
      </c>
      <c r="T1235" t="s">
        <v>45</v>
      </c>
      <c r="U1235">
        <v>181</v>
      </c>
      <c r="V1235">
        <v>30.05</v>
      </c>
    </row>
    <row r="1236" spans="1:22" x14ac:dyDescent="0.35">
      <c r="A1236" s="3">
        <v>44522</v>
      </c>
      <c r="B1236" t="s">
        <v>31</v>
      </c>
      <c r="C1236">
        <v>0</v>
      </c>
      <c r="D1236">
        <v>0</v>
      </c>
      <c r="E1236">
        <v>0</v>
      </c>
      <c r="F1236">
        <v>0</v>
      </c>
      <c r="G1236">
        <v>24.85</v>
      </c>
      <c r="H1236">
        <v>0</v>
      </c>
      <c r="I1236">
        <v>0</v>
      </c>
      <c r="J1236">
        <v>0</v>
      </c>
      <c r="K1236">
        <v>0</v>
      </c>
      <c r="L1236">
        <v>77</v>
      </c>
      <c r="M1236">
        <v>113</v>
      </c>
      <c r="N1236" t="s">
        <v>31</v>
      </c>
      <c r="O1236" s="3">
        <v>44635</v>
      </c>
      <c r="P1236">
        <v>-1</v>
      </c>
      <c r="T1236" t="s">
        <v>53</v>
      </c>
      <c r="U1236">
        <v>12</v>
      </c>
      <c r="V1236">
        <v>35.674999999999997</v>
      </c>
    </row>
    <row r="1237" spans="1:22" x14ac:dyDescent="0.35">
      <c r="A1237" s="3">
        <v>44522</v>
      </c>
      <c r="B1237" t="s">
        <v>22</v>
      </c>
      <c r="C1237">
        <v>0</v>
      </c>
      <c r="D1237">
        <v>0</v>
      </c>
      <c r="E1237">
        <v>0</v>
      </c>
      <c r="F1237">
        <v>0</v>
      </c>
      <c r="G1237">
        <v>26.024999999999999</v>
      </c>
      <c r="H1237">
        <v>0</v>
      </c>
      <c r="I1237">
        <v>0</v>
      </c>
      <c r="J1237">
        <v>0</v>
      </c>
      <c r="K1237">
        <v>0</v>
      </c>
      <c r="L1237">
        <v>166</v>
      </c>
      <c r="M1237">
        <v>240</v>
      </c>
      <c r="N1237" t="s">
        <v>22</v>
      </c>
      <c r="O1237" s="3">
        <v>44762</v>
      </c>
      <c r="P1237">
        <v>-1</v>
      </c>
      <c r="T1237" t="s">
        <v>52</v>
      </c>
      <c r="U1237">
        <v>31</v>
      </c>
      <c r="V1237">
        <v>34.975000000000001</v>
      </c>
    </row>
    <row r="1238" spans="1:22" x14ac:dyDescent="0.35">
      <c r="A1238" s="3">
        <v>44522</v>
      </c>
      <c r="B1238" t="s">
        <v>26</v>
      </c>
      <c r="C1238">
        <v>0</v>
      </c>
      <c r="D1238">
        <v>0</v>
      </c>
      <c r="E1238">
        <v>0</v>
      </c>
      <c r="F1238">
        <v>0</v>
      </c>
      <c r="G1238">
        <v>25.75</v>
      </c>
      <c r="H1238">
        <v>0</v>
      </c>
      <c r="I1238">
        <v>0</v>
      </c>
      <c r="J1238">
        <v>0</v>
      </c>
      <c r="K1238">
        <v>0</v>
      </c>
      <c r="L1238">
        <v>186</v>
      </c>
      <c r="M1238">
        <v>268</v>
      </c>
      <c r="N1238" t="s">
        <v>26</v>
      </c>
      <c r="O1238" s="3">
        <v>44790</v>
      </c>
      <c r="P1238">
        <v>-1</v>
      </c>
      <c r="T1238" t="s">
        <v>51</v>
      </c>
      <c r="U1238">
        <v>56</v>
      </c>
      <c r="V1238">
        <v>33.725000000000001</v>
      </c>
    </row>
    <row r="1239" spans="1:22" x14ac:dyDescent="0.35">
      <c r="A1239" s="3">
        <v>44522</v>
      </c>
      <c r="B1239" t="s">
        <v>32</v>
      </c>
      <c r="C1239">
        <v>0</v>
      </c>
      <c r="D1239">
        <v>0</v>
      </c>
      <c r="E1239">
        <v>0</v>
      </c>
      <c r="F1239">
        <v>0</v>
      </c>
      <c r="G1239">
        <v>24.049900000000001</v>
      </c>
      <c r="H1239">
        <v>0</v>
      </c>
      <c r="I1239">
        <v>0</v>
      </c>
      <c r="J1239">
        <v>0</v>
      </c>
      <c r="K1239">
        <v>0</v>
      </c>
      <c r="L1239">
        <v>59</v>
      </c>
      <c r="M1239">
        <v>86</v>
      </c>
      <c r="N1239" t="s">
        <v>32</v>
      </c>
      <c r="O1239" s="3">
        <v>44608</v>
      </c>
      <c r="P1239">
        <v>-1</v>
      </c>
      <c r="T1239" t="s">
        <v>50</v>
      </c>
      <c r="U1239">
        <v>76</v>
      </c>
      <c r="V1239">
        <v>33.075000000000003</v>
      </c>
    </row>
    <row r="1240" spans="1:22" x14ac:dyDescent="0.35">
      <c r="A1240" s="3">
        <v>44522</v>
      </c>
      <c r="B1240" t="s">
        <v>34</v>
      </c>
      <c r="C1240">
        <v>0</v>
      </c>
      <c r="D1240">
        <v>0</v>
      </c>
      <c r="E1240">
        <v>0</v>
      </c>
      <c r="F1240">
        <v>0</v>
      </c>
      <c r="G1240">
        <v>21.152899999999999</v>
      </c>
      <c r="H1240">
        <v>0</v>
      </c>
      <c r="I1240">
        <v>0</v>
      </c>
      <c r="J1240">
        <v>0</v>
      </c>
      <c r="K1240">
        <v>0</v>
      </c>
      <c r="L1240">
        <v>21</v>
      </c>
      <c r="M1240">
        <v>30</v>
      </c>
      <c r="N1240" t="s">
        <v>34</v>
      </c>
      <c r="O1240" s="3">
        <v>44552</v>
      </c>
      <c r="P1240">
        <v>-1</v>
      </c>
      <c r="T1240" t="s">
        <v>49</v>
      </c>
      <c r="U1240">
        <v>95</v>
      </c>
      <c r="V1240">
        <v>32.700000000000003</v>
      </c>
    </row>
    <row r="1241" spans="1:22" x14ac:dyDescent="0.35">
      <c r="A1241" s="3">
        <v>44522</v>
      </c>
      <c r="B1241" t="s">
        <v>28</v>
      </c>
      <c r="C1241">
        <v>0</v>
      </c>
      <c r="D1241">
        <v>0</v>
      </c>
      <c r="E1241">
        <v>0</v>
      </c>
      <c r="F1241">
        <v>0</v>
      </c>
      <c r="G1241">
        <v>25.9</v>
      </c>
      <c r="H1241">
        <v>0</v>
      </c>
      <c r="I1241">
        <v>0</v>
      </c>
      <c r="J1241">
        <v>0</v>
      </c>
      <c r="K1241">
        <v>0</v>
      </c>
      <c r="L1241">
        <v>142</v>
      </c>
      <c r="M1241">
        <v>205</v>
      </c>
      <c r="N1241" t="s">
        <v>28</v>
      </c>
      <c r="O1241" s="3">
        <v>44727</v>
      </c>
      <c r="P1241">
        <v>-1</v>
      </c>
      <c r="T1241" t="s">
        <v>48</v>
      </c>
      <c r="U1241">
        <v>120</v>
      </c>
      <c r="V1241">
        <v>33.35</v>
      </c>
    </row>
    <row r="1242" spans="1:22" x14ac:dyDescent="0.35">
      <c r="A1242" s="3">
        <v>44522</v>
      </c>
      <c r="B1242" t="s">
        <v>30</v>
      </c>
      <c r="C1242">
        <v>0</v>
      </c>
      <c r="D1242">
        <v>0</v>
      </c>
      <c r="E1242">
        <v>0</v>
      </c>
      <c r="F1242">
        <v>0</v>
      </c>
      <c r="G1242">
        <v>25.468399999999999</v>
      </c>
      <c r="H1242">
        <v>0</v>
      </c>
      <c r="I1242">
        <v>0</v>
      </c>
      <c r="J1242">
        <v>0</v>
      </c>
      <c r="K1242">
        <v>0</v>
      </c>
      <c r="L1242">
        <v>103</v>
      </c>
      <c r="M1242">
        <v>149</v>
      </c>
      <c r="N1242" t="s">
        <v>30</v>
      </c>
      <c r="O1242" s="3">
        <v>44671</v>
      </c>
      <c r="P1242">
        <v>-1</v>
      </c>
      <c r="T1242" t="s">
        <v>47</v>
      </c>
      <c r="U1242">
        <v>140</v>
      </c>
      <c r="V1242">
        <v>31.074999999999999</v>
      </c>
    </row>
    <row r="1243" spans="1:22" x14ac:dyDescent="0.35">
      <c r="A1243" s="3">
        <v>44522</v>
      </c>
      <c r="B1243" t="s">
        <v>33</v>
      </c>
      <c r="C1243">
        <v>0</v>
      </c>
      <c r="D1243">
        <v>0</v>
      </c>
      <c r="E1243">
        <v>0</v>
      </c>
      <c r="F1243">
        <v>0</v>
      </c>
      <c r="G1243">
        <v>23.099799999999998</v>
      </c>
      <c r="H1243">
        <v>0</v>
      </c>
      <c r="I1243">
        <v>0</v>
      </c>
      <c r="J1243">
        <v>0</v>
      </c>
      <c r="K1243">
        <v>0</v>
      </c>
      <c r="L1243">
        <v>39</v>
      </c>
      <c r="M1243">
        <v>58</v>
      </c>
      <c r="N1243" t="s">
        <v>33</v>
      </c>
      <c r="O1243" s="3">
        <v>44580</v>
      </c>
      <c r="P1243">
        <v>-1</v>
      </c>
      <c r="T1243" t="s">
        <v>46</v>
      </c>
      <c r="U1243">
        <v>159</v>
      </c>
      <c r="V1243">
        <v>29.9</v>
      </c>
    </row>
    <row r="1244" spans="1:22" x14ac:dyDescent="0.35">
      <c r="A1244" s="3">
        <v>44519</v>
      </c>
      <c r="B1244" t="s">
        <v>32</v>
      </c>
      <c r="C1244">
        <v>0</v>
      </c>
      <c r="D1244">
        <v>0</v>
      </c>
      <c r="E1244">
        <v>0</v>
      </c>
      <c r="F1244">
        <v>0</v>
      </c>
      <c r="G1244">
        <v>23.709099999999999</v>
      </c>
      <c r="H1244">
        <v>0</v>
      </c>
      <c r="I1244">
        <v>0</v>
      </c>
      <c r="J1244">
        <v>0</v>
      </c>
      <c r="K1244">
        <v>0</v>
      </c>
      <c r="L1244">
        <v>60</v>
      </c>
      <c r="M1244">
        <v>89</v>
      </c>
      <c r="N1244" t="s">
        <v>32</v>
      </c>
      <c r="O1244" s="3">
        <v>44608</v>
      </c>
      <c r="P1244">
        <v>-1</v>
      </c>
      <c r="S1244" s="3">
        <v>43956</v>
      </c>
      <c r="T1244" t="s">
        <v>53</v>
      </c>
      <c r="U1244">
        <v>11</v>
      </c>
      <c r="V1244">
        <v>34.024999999999999</v>
      </c>
    </row>
    <row r="1245" spans="1:22" x14ac:dyDescent="0.35">
      <c r="A1245" s="3">
        <v>44519</v>
      </c>
      <c r="B1245" t="s">
        <v>34</v>
      </c>
      <c r="C1245">
        <v>0</v>
      </c>
      <c r="D1245">
        <v>0</v>
      </c>
      <c r="E1245">
        <v>0</v>
      </c>
      <c r="F1245">
        <v>0</v>
      </c>
      <c r="G1245">
        <v>20.799399999999999</v>
      </c>
      <c r="H1245">
        <v>0</v>
      </c>
      <c r="I1245">
        <v>0</v>
      </c>
      <c r="J1245">
        <v>0</v>
      </c>
      <c r="K1245">
        <v>0</v>
      </c>
      <c r="L1245">
        <v>22</v>
      </c>
      <c r="M1245">
        <v>33</v>
      </c>
      <c r="N1245" t="s">
        <v>34</v>
      </c>
      <c r="O1245" s="3">
        <v>44552</v>
      </c>
      <c r="P1245">
        <v>-1</v>
      </c>
      <c r="T1245" t="s">
        <v>52</v>
      </c>
      <c r="U1245">
        <v>30</v>
      </c>
      <c r="V1245">
        <v>33.774999999999999</v>
      </c>
    </row>
    <row r="1246" spans="1:22" x14ac:dyDescent="0.35">
      <c r="A1246" s="3">
        <v>44519</v>
      </c>
      <c r="B1246" t="s">
        <v>28</v>
      </c>
      <c r="C1246">
        <v>0</v>
      </c>
      <c r="D1246">
        <v>0</v>
      </c>
      <c r="E1246">
        <v>0</v>
      </c>
      <c r="F1246">
        <v>0</v>
      </c>
      <c r="G1246">
        <v>25.7057</v>
      </c>
      <c r="H1246">
        <v>0</v>
      </c>
      <c r="I1246">
        <v>0</v>
      </c>
      <c r="J1246">
        <v>0</v>
      </c>
      <c r="K1246">
        <v>0</v>
      </c>
      <c r="L1246">
        <v>143</v>
      </c>
      <c r="M1246">
        <v>208</v>
      </c>
      <c r="N1246" t="s">
        <v>28</v>
      </c>
      <c r="O1246" s="3">
        <v>44727</v>
      </c>
      <c r="P1246">
        <v>-1</v>
      </c>
      <c r="T1246" t="s">
        <v>51</v>
      </c>
      <c r="U1246">
        <v>55</v>
      </c>
      <c r="V1246">
        <v>32.825000000000003</v>
      </c>
    </row>
    <row r="1247" spans="1:22" x14ac:dyDescent="0.35">
      <c r="A1247" s="3">
        <v>44519</v>
      </c>
      <c r="B1247" t="s">
        <v>30</v>
      </c>
      <c r="C1247">
        <v>0</v>
      </c>
      <c r="D1247">
        <v>0</v>
      </c>
      <c r="E1247">
        <v>0</v>
      </c>
      <c r="F1247">
        <v>0</v>
      </c>
      <c r="G1247">
        <v>25.2</v>
      </c>
      <c r="H1247">
        <v>0</v>
      </c>
      <c r="I1247">
        <v>0</v>
      </c>
      <c r="J1247">
        <v>0</v>
      </c>
      <c r="K1247">
        <v>0</v>
      </c>
      <c r="L1247">
        <v>104</v>
      </c>
      <c r="M1247">
        <v>152</v>
      </c>
      <c r="N1247" t="s">
        <v>30</v>
      </c>
      <c r="O1247" s="3">
        <v>44671</v>
      </c>
      <c r="P1247">
        <v>-1</v>
      </c>
      <c r="T1247" t="s">
        <v>50</v>
      </c>
      <c r="U1247">
        <v>75</v>
      </c>
      <c r="V1247">
        <v>32.125</v>
      </c>
    </row>
    <row r="1248" spans="1:22" x14ac:dyDescent="0.35">
      <c r="A1248" s="3">
        <v>44519</v>
      </c>
      <c r="B1248" t="s">
        <v>33</v>
      </c>
      <c r="C1248">
        <v>0</v>
      </c>
      <c r="D1248">
        <v>0</v>
      </c>
      <c r="E1248">
        <v>0</v>
      </c>
      <c r="F1248">
        <v>0</v>
      </c>
      <c r="G1248">
        <v>22.749700000000001</v>
      </c>
      <c r="H1248">
        <v>0</v>
      </c>
      <c r="I1248">
        <v>0</v>
      </c>
      <c r="J1248">
        <v>0</v>
      </c>
      <c r="K1248">
        <v>0</v>
      </c>
      <c r="L1248">
        <v>40</v>
      </c>
      <c r="M1248">
        <v>61</v>
      </c>
      <c r="N1248" t="s">
        <v>33</v>
      </c>
      <c r="O1248" s="3">
        <v>44580</v>
      </c>
      <c r="P1248">
        <v>-1</v>
      </c>
      <c r="T1248" t="s">
        <v>49</v>
      </c>
      <c r="U1248">
        <v>94</v>
      </c>
      <c r="V1248">
        <v>31.975000000000001</v>
      </c>
    </row>
    <row r="1249" spans="1:22" x14ac:dyDescent="0.35">
      <c r="A1249" s="3">
        <v>44519</v>
      </c>
      <c r="B1249" t="s">
        <v>29</v>
      </c>
      <c r="C1249">
        <v>0</v>
      </c>
      <c r="D1249">
        <v>0</v>
      </c>
      <c r="E1249">
        <v>0</v>
      </c>
      <c r="F1249">
        <v>0</v>
      </c>
      <c r="G1249">
        <v>25.4984</v>
      </c>
      <c r="H1249">
        <v>0</v>
      </c>
      <c r="I1249">
        <v>0</v>
      </c>
      <c r="J1249">
        <v>0</v>
      </c>
      <c r="K1249">
        <v>0</v>
      </c>
      <c r="L1249">
        <v>124</v>
      </c>
      <c r="M1249">
        <v>180</v>
      </c>
      <c r="N1249" t="s">
        <v>29</v>
      </c>
      <c r="O1249" s="3">
        <v>44699</v>
      </c>
      <c r="P1249">
        <v>-1</v>
      </c>
      <c r="T1249" t="s">
        <v>48</v>
      </c>
      <c r="U1249">
        <v>119</v>
      </c>
      <c r="V1249">
        <v>32.65</v>
      </c>
    </row>
    <row r="1250" spans="1:22" x14ac:dyDescent="0.35">
      <c r="A1250" s="3">
        <v>44519</v>
      </c>
      <c r="B1250" t="s">
        <v>31</v>
      </c>
      <c r="C1250">
        <v>0</v>
      </c>
      <c r="D1250">
        <v>0</v>
      </c>
      <c r="E1250">
        <v>0</v>
      </c>
      <c r="F1250">
        <v>0</v>
      </c>
      <c r="G1250">
        <v>24.5716</v>
      </c>
      <c r="H1250">
        <v>0</v>
      </c>
      <c r="I1250">
        <v>0</v>
      </c>
      <c r="J1250">
        <v>0</v>
      </c>
      <c r="K1250">
        <v>0</v>
      </c>
      <c r="L1250">
        <v>78</v>
      </c>
      <c r="M1250">
        <v>116</v>
      </c>
      <c r="N1250" t="s">
        <v>31</v>
      </c>
      <c r="O1250" s="3">
        <v>44635</v>
      </c>
      <c r="P1250">
        <v>-1</v>
      </c>
      <c r="T1250" t="s">
        <v>47</v>
      </c>
      <c r="U1250">
        <v>139</v>
      </c>
      <c r="V1250">
        <v>30.4</v>
      </c>
    </row>
    <row r="1251" spans="1:22" x14ac:dyDescent="0.35">
      <c r="A1251" s="3">
        <v>44519</v>
      </c>
      <c r="B1251" t="s">
        <v>22</v>
      </c>
      <c r="C1251">
        <v>0</v>
      </c>
      <c r="D1251">
        <v>0</v>
      </c>
      <c r="E1251">
        <v>0</v>
      </c>
      <c r="F1251">
        <v>0</v>
      </c>
      <c r="G1251">
        <v>25.875</v>
      </c>
      <c r="H1251">
        <v>0</v>
      </c>
      <c r="I1251">
        <v>0</v>
      </c>
      <c r="J1251">
        <v>0</v>
      </c>
      <c r="K1251">
        <v>0</v>
      </c>
      <c r="L1251">
        <v>167</v>
      </c>
      <c r="M1251">
        <v>243</v>
      </c>
      <c r="N1251" t="s">
        <v>22</v>
      </c>
      <c r="O1251" s="3">
        <v>44762</v>
      </c>
      <c r="P1251">
        <v>-1</v>
      </c>
      <c r="T1251" t="s">
        <v>46</v>
      </c>
      <c r="U1251">
        <v>158</v>
      </c>
      <c r="V1251">
        <v>29.274999999999999</v>
      </c>
    </row>
    <row r="1252" spans="1:22" x14ac:dyDescent="0.35">
      <c r="A1252" s="3">
        <v>44518</v>
      </c>
      <c r="B1252" t="s">
        <v>29</v>
      </c>
      <c r="C1252">
        <v>0</v>
      </c>
      <c r="D1252">
        <v>0</v>
      </c>
      <c r="E1252">
        <v>0</v>
      </c>
      <c r="F1252">
        <v>0</v>
      </c>
      <c r="G1252">
        <v>25.6</v>
      </c>
      <c r="H1252">
        <v>0</v>
      </c>
      <c r="I1252">
        <v>0</v>
      </c>
      <c r="J1252">
        <v>0</v>
      </c>
      <c r="K1252">
        <v>0</v>
      </c>
      <c r="L1252">
        <v>125</v>
      </c>
      <c r="M1252">
        <v>181</v>
      </c>
      <c r="N1252" t="s">
        <v>29</v>
      </c>
      <c r="O1252" s="3">
        <v>44699</v>
      </c>
      <c r="P1252">
        <v>-1</v>
      </c>
      <c r="S1252" s="3">
        <v>43957</v>
      </c>
      <c r="T1252" t="s">
        <v>53</v>
      </c>
      <c r="U1252">
        <v>10</v>
      </c>
      <c r="V1252">
        <v>34.774999999999999</v>
      </c>
    </row>
    <row r="1253" spans="1:22" x14ac:dyDescent="0.35">
      <c r="A1253" s="3">
        <v>44518</v>
      </c>
      <c r="B1253" t="s">
        <v>31</v>
      </c>
      <c r="C1253">
        <v>0</v>
      </c>
      <c r="D1253">
        <v>0</v>
      </c>
      <c r="E1253">
        <v>0</v>
      </c>
      <c r="F1253">
        <v>0</v>
      </c>
      <c r="G1253">
        <v>24.6</v>
      </c>
      <c r="H1253">
        <v>0</v>
      </c>
      <c r="I1253">
        <v>0</v>
      </c>
      <c r="J1253">
        <v>0</v>
      </c>
      <c r="K1253">
        <v>0</v>
      </c>
      <c r="L1253">
        <v>79</v>
      </c>
      <c r="M1253">
        <v>117</v>
      </c>
      <c r="N1253" t="s">
        <v>31</v>
      </c>
      <c r="O1253" s="3">
        <v>44635</v>
      </c>
      <c r="P1253">
        <v>-1</v>
      </c>
      <c r="T1253" t="s">
        <v>52</v>
      </c>
      <c r="U1253">
        <v>29</v>
      </c>
      <c r="V1253">
        <v>34.575000000000003</v>
      </c>
    </row>
    <row r="1254" spans="1:22" x14ac:dyDescent="0.35">
      <c r="A1254" s="3">
        <v>44518</v>
      </c>
      <c r="B1254" t="s">
        <v>22</v>
      </c>
      <c r="C1254">
        <v>0</v>
      </c>
      <c r="D1254">
        <v>0</v>
      </c>
      <c r="E1254">
        <v>0</v>
      </c>
      <c r="F1254">
        <v>0</v>
      </c>
      <c r="G1254">
        <v>25.95</v>
      </c>
      <c r="H1254">
        <v>0</v>
      </c>
      <c r="I1254">
        <v>0</v>
      </c>
      <c r="J1254">
        <v>0</v>
      </c>
      <c r="K1254">
        <v>0</v>
      </c>
      <c r="L1254">
        <v>168</v>
      </c>
      <c r="M1254">
        <v>244</v>
      </c>
      <c r="N1254" t="s">
        <v>22</v>
      </c>
      <c r="O1254" s="3">
        <v>44762</v>
      </c>
      <c r="P1254">
        <v>-1</v>
      </c>
      <c r="T1254" t="s">
        <v>51</v>
      </c>
      <c r="U1254">
        <v>54</v>
      </c>
      <c r="V1254">
        <v>33.575000000000003</v>
      </c>
    </row>
    <row r="1255" spans="1:22" x14ac:dyDescent="0.35">
      <c r="A1255" s="3">
        <v>44518</v>
      </c>
      <c r="B1255" t="s">
        <v>32</v>
      </c>
      <c r="C1255">
        <v>0</v>
      </c>
      <c r="D1255">
        <v>0</v>
      </c>
      <c r="E1255">
        <v>0</v>
      </c>
      <c r="F1255">
        <v>0</v>
      </c>
      <c r="G1255">
        <v>23.8</v>
      </c>
      <c r="H1255">
        <v>0</v>
      </c>
      <c r="I1255">
        <v>0</v>
      </c>
      <c r="J1255">
        <v>0</v>
      </c>
      <c r="K1255">
        <v>0</v>
      </c>
      <c r="L1255">
        <v>61</v>
      </c>
      <c r="M1255">
        <v>90</v>
      </c>
      <c r="N1255" t="s">
        <v>32</v>
      </c>
      <c r="O1255" s="3">
        <v>44608</v>
      </c>
      <c r="P1255">
        <v>-1</v>
      </c>
      <c r="T1255" t="s">
        <v>50</v>
      </c>
      <c r="U1255">
        <v>74</v>
      </c>
      <c r="V1255">
        <v>32.674999999999997</v>
      </c>
    </row>
    <row r="1256" spans="1:22" x14ac:dyDescent="0.35">
      <c r="A1256" s="3">
        <v>44518</v>
      </c>
      <c r="B1256" t="s">
        <v>34</v>
      </c>
      <c r="C1256">
        <v>0</v>
      </c>
      <c r="D1256">
        <v>0</v>
      </c>
      <c r="E1256">
        <v>0</v>
      </c>
      <c r="F1256">
        <v>0</v>
      </c>
      <c r="G1256">
        <v>20.499500000000001</v>
      </c>
      <c r="H1256">
        <v>0</v>
      </c>
      <c r="I1256">
        <v>0</v>
      </c>
      <c r="J1256">
        <v>0</v>
      </c>
      <c r="K1256">
        <v>0</v>
      </c>
      <c r="L1256">
        <v>23</v>
      </c>
      <c r="M1256">
        <v>34</v>
      </c>
      <c r="N1256" t="s">
        <v>34</v>
      </c>
      <c r="O1256" s="3">
        <v>44552</v>
      </c>
      <c r="P1256">
        <v>-1</v>
      </c>
      <c r="T1256" t="s">
        <v>49</v>
      </c>
      <c r="U1256">
        <v>93</v>
      </c>
      <c r="V1256">
        <v>32.424999999999997</v>
      </c>
    </row>
    <row r="1257" spans="1:22" x14ac:dyDescent="0.35">
      <c r="A1257" s="3">
        <v>44518</v>
      </c>
      <c r="B1257" t="s">
        <v>28</v>
      </c>
      <c r="C1257">
        <v>0</v>
      </c>
      <c r="D1257">
        <v>0</v>
      </c>
      <c r="E1257">
        <v>0</v>
      </c>
      <c r="F1257">
        <v>0</v>
      </c>
      <c r="G1257">
        <v>25.85</v>
      </c>
      <c r="H1257">
        <v>0</v>
      </c>
      <c r="I1257">
        <v>0</v>
      </c>
      <c r="J1257">
        <v>0</v>
      </c>
      <c r="K1257">
        <v>0</v>
      </c>
      <c r="L1257">
        <v>144</v>
      </c>
      <c r="M1257">
        <v>209</v>
      </c>
      <c r="N1257" t="s">
        <v>28</v>
      </c>
      <c r="O1257" s="3">
        <v>44727</v>
      </c>
      <c r="P1257">
        <v>-1</v>
      </c>
      <c r="T1257" t="s">
        <v>48</v>
      </c>
      <c r="U1257">
        <v>118</v>
      </c>
      <c r="V1257">
        <v>33.125</v>
      </c>
    </row>
    <row r="1258" spans="1:22" x14ac:dyDescent="0.35">
      <c r="A1258" s="3">
        <v>44518</v>
      </c>
      <c r="B1258" t="s">
        <v>30</v>
      </c>
      <c r="C1258">
        <v>0</v>
      </c>
      <c r="D1258">
        <v>0</v>
      </c>
      <c r="E1258">
        <v>0</v>
      </c>
      <c r="F1258">
        <v>0</v>
      </c>
      <c r="G1258">
        <v>25.250499999999999</v>
      </c>
      <c r="H1258">
        <v>0</v>
      </c>
      <c r="I1258">
        <v>0</v>
      </c>
      <c r="J1258">
        <v>0</v>
      </c>
      <c r="K1258">
        <v>0</v>
      </c>
      <c r="L1258">
        <v>105</v>
      </c>
      <c r="M1258">
        <v>153</v>
      </c>
      <c r="N1258" t="s">
        <v>30</v>
      </c>
      <c r="O1258" s="3">
        <v>44671</v>
      </c>
      <c r="P1258">
        <v>-1</v>
      </c>
      <c r="T1258" t="s">
        <v>47</v>
      </c>
      <c r="U1258">
        <v>138</v>
      </c>
      <c r="V1258">
        <v>30.824999999999999</v>
      </c>
    </row>
    <row r="1259" spans="1:22" x14ac:dyDescent="0.35">
      <c r="A1259" s="3">
        <v>44518</v>
      </c>
      <c r="B1259" t="s">
        <v>33</v>
      </c>
      <c r="C1259">
        <v>0</v>
      </c>
      <c r="D1259">
        <v>0</v>
      </c>
      <c r="E1259">
        <v>0</v>
      </c>
      <c r="F1259">
        <v>0</v>
      </c>
      <c r="G1259">
        <v>22.645499999999998</v>
      </c>
      <c r="H1259">
        <v>0</v>
      </c>
      <c r="I1259">
        <v>0</v>
      </c>
      <c r="J1259">
        <v>0</v>
      </c>
      <c r="K1259">
        <v>0</v>
      </c>
      <c r="L1259">
        <v>41</v>
      </c>
      <c r="M1259">
        <v>62</v>
      </c>
      <c r="N1259" t="s">
        <v>33</v>
      </c>
      <c r="O1259" s="3">
        <v>44580</v>
      </c>
      <c r="P1259">
        <v>-1</v>
      </c>
      <c r="T1259" t="s">
        <v>46</v>
      </c>
      <c r="U1259">
        <v>157</v>
      </c>
      <c r="V1259">
        <v>29.574999999999999</v>
      </c>
    </row>
    <row r="1260" spans="1:22" x14ac:dyDescent="0.35">
      <c r="A1260" s="3">
        <v>44517</v>
      </c>
      <c r="B1260" t="s">
        <v>32</v>
      </c>
      <c r="C1260">
        <v>0</v>
      </c>
      <c r="D1260">
        <v>0</v>
      </c>
      <c r="E1260">
        <v>0</v>
      </c>
      <c r="F1260">
        <v>0</v>
      </c>
      <c r="G1260">
        <v>23.602</v>
      </c>
      <c r="H1260">
        <v>0</v>
      </c>
      <c r="I1260">
        <v>0</v>
      </c>
      <c r="J1260">
        <v>0</v>
      </c>
      <c r="K1260">
        <v>0</v>
      </c>
      <c r="L1260">
        <v>62</v>
      </c>
      <c r="M1260">
        <v>91</v>
      </c>
      <c r="N1260" t="s">
        <v>32</v>
      </c>
      <c r="O1260" s="3">
        <v>44608</v>
      </c>
      <c r="P1260">
        <v>-1</v>
      </c>
      <c r="S1260" s="3">
        <v>43958</v>
      </c>
      <c r="T1260" t="s">
        <v>53</v>
      </c>
      <c r="U1260">
        <v>9</v>
      </c>
      <c r="V1260">
        <v>32.125</v>
      </c>
    </row>
    <row r="1261" spans="1:22" x14ac:dyDescent="0.35">
      <c r="A1261" s="3">
        <v>44517</v>
      </c>
      <c r="B1261" t="s">
        <v>34</v>
      </c>
      <c r="C1261">
        <v>0</v>
      </c>
      <c r="D1261">
        <v>0</v>
      </c>
      <c r="E1261">
        <v>0</v>
      </c>
      <c r="F1261">
        <v>0</v>
      </c>
      <c r="G1261">
        <v>20.2745</v>
      </c>
      <c r="H1261">
        <v>0</v>
      </c>
      <c r="I1261">
        <v>0</v>
      </c>
      <c r="J1261">
        <v>0</v>
      </c>
      <c r="K1261">
        <v>0</v>
      </c>
      <c r="L1261">
        <v>24</v>
      </c>
      <c r="M1261">
        <v>35</v>
      </c>
      <c r="N1261" t="s">
        <v>34</v>
      </c>
      <c r="O1261" s="3">
        <v>44552</v>
      </c>
      <c r="P1261">
        <v>-1</v>
      </c>
      <c r="T1261" t="s">
        <v>52</v>
      </c>
      <c r="U1261">
        <v>28</v>
      </c>
      <c r="V1261">
        <v>32.625</v>
      </c>
    </row>
    <row r="1262" spans="1:22" x14ac:dyDescent="0.35">
      <c r="A1262" s="3">
        <v>44517</v>
      </c>
      <c r="B1262" t="s">
        <v>28</v>
      </c>
      <c r="C1262">
        <v>0</v>
      </c>
      <c r="D1262">
        <v>0</v>
      </c>
      <c r="E1262">
        <v>0</v>
      </c>
      <c r="F1262">
        <v>0</v>
      </c>
      <c r="G1262">
        <v>25.8552</v>
      </c>
      <c r="H1262">
        <v>0</v>
      </c>
      <c r="I1262">
        <v>0</v>
      </c>
      <c r="J1262">
        <v>0</v>
      </c>
      <c r="K1262">
        <v>0</v>
      </c>
      <c r="L1262">
        <v>145</v>
      </c>
      <c r="M1262">
        <v>210</v>
      </c>
      <c r="N1262" t="s">
        <v>28</v>
      </c>
      <c r="O1262" s="3">
        <v>44727</v>
      </c>
      <c r="P1262">
        <v>-1</v>
      </c>
      <c r="T1262" t="s">
        <v>51</v>
      </c>
      <c r="U1262">
        <v>53</v>
      </c>
      <c r="V1262">
        <v>32.075000000000003</v>
      </c>
    </row>
    <row r="1263" spans="1:22" x14ac:dyDescent="0.35">
      <c r="A1263" s="3">
        <v>44517</v>
      </c>
      <c r="B1263" t="s">
        <v>30</v>
      </c>
      <c r="C1263">
        <v>0</v>
      </c>
      <c r="D1263">
        <v>0</v>
      </c>
      <c r="E1263">
        <v>0</v>
      </c>
      <c r="F1263">
        <v>0</v>
      </c>
      <c r="G1263">
        <v>25.200700000000001</v>
      </c>
      <c r="H1263">
        <v>0</v>
      </c>
      <c r="I1263">
        <v>0</v>
      </c>
      <c r="J1263">
        <v>0</v>
      </c>
      <c r="K1263">
        <v>0</v>
      </c>
      <c r="L1263">
        <v>106</v>
      </c>
      <c r="M1263">
        <v>154</v>
      </c>
      <c r="N1263" t="s">
        <v>30</v>
      </c>
      <c r="O1263" s="3">
        <v>44671</v>
      </c>
      <c r="P1263">
        <v>-1</v>
      </c>
      <c r="T1263" t="s">
        <v>50</v>
      </c>
      <c r="U1263">
        <v>73</v>
      </c>
      <c r="V1263">
        <v>31.375</v>
      </c>
    </row>
    <row r="1264" spans="1:22" x14ac:dyDescent="0.35">
      <c r="A1264" s="3">
        <v>44517</v>
      </c>
      <c r="B1264" t="s">
        <v>33</v>
      </c>
      <c r="C1264">
        <v>0</v>
      </c>
      <c r="D1264">
        <v>0</v>
      </c>
      <c r="E1264">
        <v>0</v>
      </c>
      <c r="F1264">
        <v>0</v>
      </c>
      <c r="G1264">
        <v>22.427</v>
      </c>
      <c r="H1264">
        <v>0</v>
      </c>
      <c r="I1264">
        <v>0</v>
      </c>
      <c r="J1264">
        <v>0</v>
      </c>
      <c r="K1264">
        <v>0</v>
      </c>
      <c r="L1264">
        <v>42</v>
      </c>
      <c r="M1264">
        <v>63</v>
      </c>
      <c r="N1264" t="s">
        <v>33</v>
      </c>
      <c r="O1264" s="3">
        <v>44580</v>
      </c>
      <c r="P1264">
        <v>-1</v>
      </c>
      <c r="T1264" t="s">
        <v>49</v>
      </c>
      <c r="U1264">
        <v>92</v>
      </c>
      <c r="V1264">
        <v>31.074999999999999</v>
      </c>
    </row>
    <row r="1265" spans="1:22" x14ac:dyDescent="0.35">
      <c r="A1265" s="3">
        <v>44517</v>
      </c>
      <c r="B1265" t="s">
        <v>35</v>
      </c>
      <c r="C1265">
        <v>0</v>
      </c>
      <c r="D1265">
        <v>0</v>
      </c>
      <c r="E1265">
        <v>0</v>
      </c>
      <c r="F1265">
        <v>0</v>
      </c>
      <c r="G1265">
        <v>16.34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">
        <v>35</v>
      </c>
      <c r="O1265" s="3">
        <v>44517</v>
      </c>
      <c r="P1265">
        <v>-1</v>
      </c>
      <c r="T1265" t="s">
        <v>48</v>
      </c>
      <c r="U1265">
        <v>117</v>
      </c>
      <c r="V1265">
        <v>31.925000000000001</v>
      </c>
    </row>
    <row r="1266" spans="1:22" x14ac:dyDescent="0.35">
      <c r="A1266" s="3">
        <v>44517</v>
      </c>
      <c r="B1266" t="s">
        <v>29</v>
      </c>
      <c r="C1266">
        <v>0</v>
      </c>
      <c r="D1266">
        <v>0</v>
      </c>
      <c r="E1266">
        <v>0</v>
      </c>
      <c r="F1266">
        <v>0</v>
      </c>
      <c r="G1266">
        <v>25.584199999999999</v>
      </c>
      <c r="H1266">
        <v>0</v>
      </c>
      <c r="I1266">
        <v>0</v>
      </c>
      <c r="J1266">
        <v>0</v>
      </c>
      <c r="K1266">
        <v>0</v>
      </c>
      <c r="L1266">
        <v>126</v>
      </c>
      <c r="M1266">
        <v>182</v>
      </c>
      <c r="N1266" t="s">
        <v>29</v>
      </c>
      <c r="O1266" s="3">
        <v>44699</v>
      </c>
      <c r="P1266">
        <v>-1</v>
      </c>
      <c r="T1266" t="s">
        <v>47</v>
      </c>
      <c r="U1266">
        <v>137</v>
      </c>
      <c r="V1266">
        <v>29.774999999999999</v>
      </c>
    </row>
    <row r="1267" spans="1:22" x14ac:dyDescent="0.35">
      <c r="A1267" s="3">
        <v>44517</v>
      </c>
      <c r="B1267" t="s">
        <v>31</v>
      </c>
      <c r="C1267">
        <v>0</v>
      </c>
      <c r="D1267">
        <v>0</v>
      </c>
      <c r="E1267">
        <v>0</v>
      </c>
      <c r="F1267">
        <v>0</v>
      </c>
      <c r="G1267">
        <v>24.5</v>
      </c>
      <c r="H1267">
        <v>0</v>
      </c>
      <c r="I1267">
        <v>0</v>
      </c>
      <c r="J1267">
        <v>0</v>
      </c>
      <c r="K1267">
        <v>0</v>
      </c>
      <c r="L1267">
        <v>80</v>
      </c>
      <c r="M1267">
        <v>118</v>
      </c>
      <c r="N1267" t="s">
        <v>31</v>
      </c>
      <c r="O1267" s="3">
        <v>44635</v>
      </c>
      <c r="P1267">
        <v>-1</v>
      </c>
      <c r="T1267" t="s">
        <v>46</v>
      </c>
      <c r="U1267">
        <v>156</v>
      </c>
      <c r="V1267">
        <v>28.675000000000001</v>
      </c>
    </row>
    <row r="1268" spans="1:22" x14ac:dyDescent="0.35">
      <c r="A1268" s="3">
        <v>44517</v>
      </c>
      <c r="B1268" t="s">
        <v>22</v>
      </c>
      <c r="C1268">
        <v>0</v>
      </c>
      <c r="D1268">
        <v>0</v>
      </c>
      <c r="E1268">
        <v>0</v>
      </c>
      <c r="F1268">
        <v>0</v>
      </c>
      <c r="G1268">
        <v>25.95</v>
      </c>
      <c r="H1268">
        <v>0</v>
      </c>
      <c r="I1268">
        <v>0</v>
      </c>
      <c r="J1268">
        <v>0</v>
      </c>
      <c r="K1268">
        <v>0</v>
      </c>
      <c r="L1268">
        <v>169</v>
      </c>
      <c r="M1268">
        <v>245</v>
      </c>
      <c r="N1268" t="s">
        <v>22</v>
      </c>
      <c r="O1268" s="3">
        <v>44762</v>
      </c>
      <c r="P1268">
        <v>-1</v>
      </c>
      <c r="S1268" s="3">
        <v>43959</v>
      </c>
      <c r="T1268" t="s">
        <v>53</v>
      </c>
      <c r="U1268">
        <v>8</v>
      </c>
      <c r="V1268">
        <v>29.324999999999999</v>
      </c>
    </row>
    <row r="1269" spans="1:22" x14ac:dyDescent="0.35">
      <c r="A1269" s="3">
        <v>44516</v>
      </c>
      <c r="B1269" t="s">
        <v>35</v>
      </c>
      <c r="C1269">
        <v>0</v>
      </c>
      <c r="D1269">
        <v>0</v>
      </c>
      <c r="E1269">
        <v>0</v>
      </c>
      <c r="F1269">
        <v>0</v>
      </c>
      <c r="G1269">
        <v>16.799099999999999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1</v>
      </c>
      <c r="N1269" t="s">
        <v>35</v>
      </c>
      <c r="O1269" s="3">
        <v>44517</v>
      </c>
      <c r="P1269">
        <v>-1</v>
      </c>
      <c r="T1269" t="s">
        <v>52</v>
      </c>
      <c r="U1269">
        <v>27</v>
      </c>
      <c r="V1269">
        <v>30.725000000000001</v>
      </c>
    </row>
    <row r="1270" spans="1:22" x14ac:dyDescent="0.35">
      <c r="A1270" s="3">
        <v>44516</v>
      </c>
      <c r="B1270" t="s">
        <v>29</v>
      </c>
      <c r="C1270">
        <v>0</v>
      </c>
      <c r="D1270">
        <v>0</v>
      </c>
      <c r="E1270">
        <v>0</v>
      </c>
      <c r="F1270">
        <v>0</v>
      </c>
      <c r="G1270">
        <v>25.248200000000001</v>
      </c>
      <c r="H1270">
        <v>0</v>
      </c>
      <c r="I1270">
        <v>0</v>
      </c>
      <c r="J1270">
        <v>0</v>
      </c>
      <c r="K1270">
        <v>0</v>
      </c>
      <c r="L1270">
        <v>127</v>
      </c>
      <c r="M1270">
        <v>183</v>
      </c>
      <c r="N1270" t="s">
        <v>29</v>
      </c>
      <c r="O1270" s="3">
        <v>44699</v>
      </c>
      <c r="P1270">
        <v>-1</v>
      </c>
      <c r="T1270" t="s">
        <v>51</v>
      </c>
      <c r="U1270">
        <v>52</v>
      </c>
      <c r="V1270">
        <v>30.574999999999999</v>
      </c>
    </row>
    <row r="1271" spans="1:22" x14ac:dyDescent="0.35">
      <c r="A1271" s="3">
        <v>44516</v>
      </c>
      <c r="B1271" t="s">
        <v>31</v>
      </c>
      <c r="C1271">
        <v>0</v>
      </c>
      <c r="D1271">
        <v>0</v>
      </c>
      <c r="E1271">
        <v>0</v>
      </c>
      <c r="F1271">
        <v>0</v>
      </c>
      <c r="G1271">
        <v>24.049800000000001</v>
      </c>
      <c r="H1271">
        <v>0</v>
      </c>
      <c r="I1271">
        <v>0</v>
      </c>
      <c r="J1271">
        <v>0</v>
      </c>
      <c r="K1271">
        <v>0</v>
      </c>
      <c r="L1271">
        <v>81</v>
      </c>
      <c r="M1271">
        <v>119</v>
      </c>
      <c r="N1271" t="s">
        <v>31</v>
      </c>
      <c r="O1271" s="3">
        <v>44635</v>
      </c>
      <c r="P1271">
        <v>-1</v>
      </c>
      <c r="T1271" t="s">
        <v>50</v>
      </c>
      <c r="U1271">
        <v>72</v>
      </c>
      <c r="V1271">
        <v>30.15</v>
      </c>
    </row>
    <row r="1272" spans="1:22" x14ac:dyDescent="0.35">
      <c r="A1272" s="3">
        <v>44516</v>
      </c>
      <c r="B1272" t="s">
        <v>22</v>
      </c>
      <c r="C1272">
        <v>0</v>
      </c>
      <c r="D1272">
        <v>0</v>
      </c>
      <c r="E1272">
        <v>0</v>
      </c>
      <c r="F1272">
        <v>0</v>
      </c>
      <c r="G1272">
        <v>25.425000000000001</v>
      </c>
      <c r="H1272">
        <v>0</v>
      </c>
      <c r="I1272">
        <v>0</v>
      </c>
      <c r="J1272">
        <v>0</v>
      </c>
      <c r="K1272">
        <v>0</v>
      </c>
      <c r="L1272">
        <v>170</v>
      </c>
      <c r="M1272">
        <v>246</v>
      </c>
      <c r="N1272" t="s">
        <v>22</v>
      </c>
      <c r="O1272" s="3">
        <v>44762</v>
      </c>
      <c r="P1272">
        <v>-1</v>
      </c>
      <c r="T1272" t="s">
        <v>49</v>
      </c>
      <c r="U1272">
        <v>91</v>
      </c>
      <c r="V1272">
        <v>30.074999999999999</v>
      </c>
    </row>
    <row r="1273" spans="1:22" x14ac:dyDescent="0.35">
      <c r="A1273" s="3">
        <v>44516</v>
      </c>
      <c r="B1273" t="s">
        <v>32</v>
      </c>
      <c r="C1273">
        <v>0</v>
      </c>
      <c r="D1273">
        <v>0</v>
      </c>
      <c r="E1273">
        <v>0</v>
      </c>
      <c r="F1273">
        <v>0</v>
      </c>
      <c r="G1273">
        <v>23.2013</v>
      </c>
      <c r="H1273">
        <v>0</v>
      </c>
      <c r="I1273">
        <v>0</v>
      </c>
      <c r="J1273">
        <v>0</v>
      </c>
      <c r="K1273">
        <v>0</v>
      </c>
      <c r="L1273">
        <v>63</v>
      </c>
      <c r="M1273">
        <v>92</v>
      </c>
      <c r="N1273" t="s">
        <v>32</v>
      </c>
      <c r="O1273" s="3">
        <v>44608</v>
      </c>
      <c r="P1273">
        <v>-1</v>
      </c>
      <c r="T1273" t="s">
        <v>48</v>
      </c>
      <c r="U1273">
        <v>116</v>
      </c>
      <c r="V1273">
        <v>31.074999999999999</v>
      </c>
    </row>
    <row r="1274" spans="1:22" x14ac:dyDescent="0.35">
      <c r="A1274" s="3">
        <v>44516</v>
      </c>
      <c r="B1274" t="s">
        <v>34</v>
      </c>
      <c r="C1274">
        <v>0</v>
      </c>
      <c r="D1274">
        <v>0</v>
      </c>
      <c r="E1274">
        <v>0</v>
      </c>
      <c r="F1274">
        <v>0</v>
      </c>
      <c r="G1274">
        <v>20.0017</v>
      </c>
      <c r="H1274">
        <v>0</v>
      </c>
      <c r="I1274">
        <v>0</v>
      </c>
      <c r="J1274">
        <v>0</v>
      </c>
      <c r="K1274">
        <v>0</v>
      </c>
      <c r="L1274">
        <v>25</v>
      </c>
      <c r="M1274">
        <v>36</v>
      </c>
      <c r="N1274" t="s">
        <v>34</v>
      </c>
      <c r="O1274" s="3">
        <v>44552</v>
      </c>
      <c r="P1274">
        <v>-1</v>
      </c>
      <c r="T1274" t="s">
        <v>47</v>
      </c>
      <c r="U1274">
        <v>136</v>
      </c>
      <c r="V1274">
        <v>28.95</v>
      </c>
    </row>
    <row r="1275" spans="1:22" x14ac:dyDescent="0.35">
      <c r="A1275" s="3">
        <v>44516</v>
      </c>
      <c r="B1275" t="s">
        <v>28</v>
      </c>
      <c r="C1275">
        <v>0</v>
      </c>
      <c r="D1275">
        <v>0</v>
      </c>
      <c r="E1275">
        <v>0</v>
      </c>
      <c r="F1275">
        <v>0</v>
      </c>
      <c r="G1275">
        <v>25.4</v>
      </c>
      <c r="H1275">
        <v>0</v>
      </c>
      <c r="I1275">
        <v>0</v>
      </c>
      <c r="J1275">
        <v>0</v>
      </c>
      <c r="K1275">
        <v>0</v>
      </c>
      <c r="L1275">
        <v>146</v>
      </c>
      <c r="M1275">
        <v>211</v>
      </c>
      <c r="N1275" t="s">
        <v>28</v>
      </c>
      <c r="O1275" s="3">
        <v>44727</v>
      </c>
      <c r="P1275">
        <v>-1</v>
      </c>
      <c r="T1275" t="s">
        <v>46</v>
      </c>
      <c r="U1275">
        <v>155</v>
      </c>
      <c r="V1275">
        <v>27.85</v>
      </c>
    </row>
    <row r="1276" spans="1:22" x14ac:dyDescent="0.35">
      <c r="A1276" s="3">
        <v>44516</v>
      </c>
      <c r="B1276" t="s">
        <v>30</v>
      </c>
      <c r="C1276">
        <v>0</v>
      </c>
      <c r="D1276">
        <v>0</v>
      </c>
      <c r="E1276">
        <v>0</v>
      </c>
      <c r="F1276">
        <v>0</v>
      </c>
      <c r="G1276">
        <v>24.85</v>
      </c>
      <c r="H1276">
        <v>0</v>
      </c>
      <c r="I1276">
        <v>0</v>
      </c>
      <c r="J1276">
        <v>0</v>
      </c>
      <c r="K1276">
        <v>0</v>
      </c>
      <c r="L1276">
        <v>107</v>
      </c>
      <c r="M1276">
        <v>155</v>
      </c>
      <c r="N1276" t="s">
        <v>30</v>
      </c>
      <c r="O1276" s="3">
        <v>44671</v>
      </c>
      <c r="P1276">
        <v>-1</v>
      </c>
      <c r="S1276" s="3">
        <v>43962</v>
      </c>
      <c r="T1276" t="s">
        <v>53</v>
      </c>
      <c r="U1276">
        <v>7</v>
      </c>
      <c r="V1276">
        <v>27.824999999999999</v>
      </c>
    </row>
    <row r="1277" spans="1:22" x14ac:dyDescent="0.35">
      <c r="A1277" s="3">
        <v>44516</v>
      </c>
      <c r="B1277" t="s">
        <v>33</v>
      </c>
      <c r="C1277">
        <v>0</v>
      </c>
      <c r="D1277">
        <v>0</v>
      </c>
      <c r="E1277">
        <v>0</v>
      </c>
      <c r="F1277">
        <v>0</v>
      </c>
      <c r="G1277">
        <v>22.044599999999999</v>
      </c>
      <c r="H1277">
        <v>0</v>
      </c>
      <c r="I1277">
        <v>0</v>
      </c>
      <c r="J1277">
        <v>0</v>
      </c>
      <c r="K1277">
        <v>0</v>
      </c>
      <c r="L1277">
        <v>43</v>
      </c>
      <c r="M1277">
        <v>64</v>
      </c>
      <c r="N1277" t="s">
        <v>33</v>
      </c>
      <c r="O1277" s="3">
        <v>44580</v>
      </c>
      <c r="P1277">
        <v>-1</v>
      </c>
      <c r="T1277" t="s">
        <v>52</v>
      </c>
      <c r="U1277">
        <v>26</v>
      </c>
      <c r="V1277">
        <v>29.024999999999999</v>
      </c>
    </row>
    <row r="1278" spans="1:22" x14ac:dyDescent="0.35">
      <c r="A1278" s="3">
        <v>44515</v>
      </c>
      <c r="B1278" t="s">
        <v>32</v>
      </c>
      <c r="C1278">
        <v>0</v>
      </c>
      <c r="D1278">
        <v>0</v>
      </c>
      <c r="E1278">
        <v>0</v>
      </c>
      <c r="F1278">
        <v>0</v>
      </c>
      <c r="G1278">
        <v>23.132000000000001</v>
      </c>
      <c r="H1278">
        <v>0</v>
      </c>
      <c r="I1278">
        <v>0</v>
      </c>
      <c r="J1278">
        <v>0</v>
      </c>
      <c r="K1278">
        <v>0</v>
      </c>
      <c r="L1278">
        <v>64</v>
      </c>
      <c r="M1278">
        <v>93</v>
      </c>
      <c r="N1278" t="s">
        <v>32</v>
      </c>
      <c r="O1278" s="3">
        <v>44608</v>
      </c>
      <c r="P1278">
        <v>-1</v>
      </c>
      <c r="T1278" t="s">
        <v>51</v>
      </c>
      <c r="U1278">
        <v>51</v>
      </c>
      <c r="V1278">
        <v>29.425000000000001</v>
      </c>
    </row>
    <row r="1279" spans="1:22" x14ac:dyDescent="0.35">
      <c r="A1279" s="3">
        <v>44515</v>
      </c>
      <c r="B1279" t="s">
        <v>34</v>
      </c>
      <c r="C1279">
        <v>0</v>
      </c>
      <c r="D1279">
        <v>0</v>
      </c>
      <c r="E1279">
        <v>0</v>
      </c>
      <c r="F1279">
        <v>0</v>
      </c>
      <c r="G1279">
        <v>19.890999999999998</v>
      </c>
      <c r="H1279">
        <v>0</v>
      </c>
      <c r="I1279">
        <v>0</v>
      </c>
      <c r="J1279">
        <v>0</v>
      </c>
      <c r="K1279">
        <v>0</v>
      </c>
      <c r="L1279">
        <v>26</v>
      </c>
      <c r="M1279">
        <v>37</v>
      </c>
      <c r="N1279" t="s">
        <v>34</v>
      </c>
      <c r="O1279" s="3">
        <v>44552</v>
      </c>
      <c r="P1279">
        <v>-1</v>
      </c>
      <c r="T1279" t="s">
        <v>50</v>
      </c>
      <c r="U1279">
        <v>71</v>
      </c>
      <c r="V1279">
        <v>29.274999999999999</v>
      </c>
    </row>
    <row r="1280" spans="1:22" x14ac:dyDescent="0.35">
      <c r="A1280" s="3">
        <v>44515</v>
      </c>
      <c r="B1280" t="s">
        <v>28</v>
      </c>
      <c r="C1280">
        <v>0</v>
      </c>
      <c r="D1280">
        <v>0</v>
      </c>
      <c r="E1280">
        <v>0</v>
      </c>
      <c r="F1280">
        <v>0</v>
      </c>
      <c r="G1280">
        <v>25.05</v>
      </c>
      <c r="H1280">
        <v>0</v>
      </c>
      <c r="I1280">
        <v>0</v>
      </c>
      <c r="J1280">
        <v>0</v>
      </c>
      <c r="K1280">
        <v>0</v>
      </c>
      <c r="L1280">
        <v>147</v>
      </c>
      <c r="M1280">
        <v>212</v>
      </c>
      <c r="N1280" t="s">
        <v>28</v>
      </c>
      <c r="O1280" s="3">
        <v>44727</v>
      </c>
      <c r="P1280">
        <v>-1</v>
      </c>
      <c r="T1280" t="s">
        <v>49</v>
      </c>
      <c r="U1280">
        <v>90</v>
      </c>
      <c r="V1280">
        <v>29.375</v>
      </c>
    </row>
    <row r="1281" spans="1:22" x14ac:dyDescent="0.35">
      <c r="A1281" s="3">
        <v>44515</v>
      </c>
      <c r="B1281" t="s">
        <v>30</v>
      </c>
      <c r="C1281">
        <v>0</v>
      </c>
      <c r="D1281">
        <v>0</v>
      </c>
      <c r="E1281">
        <v>0</v>
      </c>
      <c r="F1281">
        <v>0</v>
      </c>
      <c r="G1281">
        <v>24.7028</v>
      </c>
      <c r="H1281">
        <v>0</v>
      </c>
      <c r="I1281">
        <v>0</v>
      </c>
      <c r="J1281">
        <v>0</v>
      </c>
      <c r="K1281">
        <v>0</v>
      </c>
      <c r="L1281">
        <v>108</v>
      </c>
      <c r="M1281">
        <v>156</v>
      </c>
      <c r="N1281" t="s">
        <v>30</v>
      </c>
      <c r="O1281" s="3">
        <v>44671</v>
      </c>
      <c r="P1281">
        <v>-1</v>
      </c>
      <c r="T1281" t="s">
        <v>48</v>
      </c>
      <c r="U1281">
        <v>115</v>
      </c>
      <c r="V1281">
        <v>30.55</v>
      </c>
    </row>
    <row r="1282" spans="1:22" x14ac:dyDescent="0.35">
      <c r="A1282" s="3">
        <v>44515</v>
      </c>
      <c r="B1282" t="s">
        <v>33</v>
      </c>
      <c r="C1282">
        <v>0</v>
      </c>
      <c r="D1282">
        <v>0</v>
      </c>
      <c r="E1282">
        <v>0</v>
      </c>
      <c r="F1282">
        <v>0</v>
      </c>
      <c r="G1282">
        <v>21.953399999999998</v>
      </c>
      <c r="H1282">
        <v>0</v>
      </c>
      <c r="I1282">
        <v>0</v>
      </c>
      <c r="J1282">
        <v>0</v>
      </c>
      <c r="K1282">
        <v>0</v>
      </c>
      <c r="L1282">
        <v>44</v>
      </c>
      <c r="M1282">
        <v>65</v>
      </c>
      <c r="N1282" t="s">
        <v>33</v>
      </c>
      <c r="O1282" s="3">
        <v>44580</v>
      </c>
      <c r="P1282">
        <v>-1</v>
      </c>
      <c r="T1282" t="s">
        <v>47</v>
      </c>
      <c r="U1282">
        <v>135</v>
      </c>
      <c r="V1282">
        <v>28.425000000000001</v>
      </c>
    </row>
    <row r="1283" spans="1:22" x14ac:dyDescent="0.35">
      <c r="A1283" s="3">
        <v>44515</v>
      </c>
      <c r="B1283" t="s">
        <v>35</v>
      </c>
      <c r="C1283">
        <v>0</v>
      </c>
      <c r="D1283">
        <v>0</v>
      </c>
      <c r="E1283">
        <v>0</v>
      </c>
      <c r="F1283">
        <v>0</v>
      </c>
      <c r="G1283">
        <v>17.001100000000001</v>
      </c>
      <c r="H1283">
        <v>0</v>
      </c>
      <c r="I1283">
        <v>0</v>
      </c>
      <c r="J1283">
        <v>0</v>
      </c>
      <c r="K1283">
        <v>0</v>
      </c>
      <c r="L1283">
        <v>2</v>
      </c>
      <c r="M1283">
        <v>2</v>
      </c>
      <c r="N1283" t="s">
        <v>35</v>
      </c>
      <c r="O1283" s="3">
        <v>44517</v>
      </c>
      <c r="P1283">
        <v>-1</v>
      </c>
      <c r="T1283" t="s">
        <v>46</v>
      </c>
      <c r="U1283">
        <v>154</v>
      </c>
      <c r="V1283">
        <v>27.45</v>
      </c>
    </row>
    <row r="1284" spans="1:22" x14ac:dyDescent="0.35">
      <c r="A1284" s="3">
        <v>44515</v>
      </c>
      <c r="B1284" t="s">
        <v>29</v>
      </c>
      <c r="C1284">
        <v>0</v>
      </c>
      <c r="D1284">
        <v>0</v>
      </c>
      <c r="E1284">
        <v>0</v>
      </c>
      <c r="F1284">
        <v>0</v>
      </c>
      <c r="G1284">
        <v>25.05</v>
      </c>
      <c r="H1284">
        <v>0</v>
      </c>
      <c r="I1284">
        <v>0</v>
      </c>
      <c r="J1284">
        <v>0</v>
      </c>
      <c r="K1284">
        <v>0</v>
      </c>
      <c r="L1284">
        <v>128</v>
      </c>
      <c r="M1284">
        <v>184</v>
      </c>
      <c r="N1284" t="s">
        <v>29</v>
      </c>
      <c r="O1284" s="3">
        <v>44699</v>
      </c>
      <c r="P1284">
        <v>-1</v>
      </c>
      <c r="S1284" s="3">
        <v>43963</v>
      </c>
      <c r="T1284" t="s">
        <v>53</v>
      </c>
      <c r="U1284">
        <v>6</v>
      </c>
      <c r="V1284">
        <v>33.075000000000003</v>
      </c>
    </row>
    <row r="1285" spans="1:22" x14ac:dyDescent="0.35">
      <c r="A1285" s="3">
        <v>44515</v>
      </c>
      <c r="B1285" t="s">
        <v>31</v>
      </c>
      <c r="C1285">
        <v>0</v>
      </c>
      <c r="D1285">
        <v>0</v>
      </c>
      <c r="E1285">
        <v>0</v>
      </c>
      <c r="F1285">
        <v>0</v>
      </c>
      <c r="G1285">
        <v>24.0502</v>
      </c>
      <c r="H1285">
        <v>0</v>
      </c>
      <c r="I1285">
        <v>0</v>
      </c>
      <c r="J1285">
        <v>0</v>
      </c>
      <c r="K1285">
        <v>0</v>
      </c>
      <c r="L1285">
        <v>82</v>
      </c>
      <c r="M1285">
        <v>120</v>
      </c>
      <c r="N1285" t="s">
        <v>31</v>
      </c>
      <c r="O1285" s="3">
        <v>44635</v>
      </c>
      <c r="P1285">
        <v>-1</v>
      </c>
      <c r="T1285" t="s">
        <v>52</v>
      </c>
      <c r="U1285">
        <v>25</v>
      </c>
      <c r="V1285">
        <v>32.924999999999997</v>
      </c>
    </row>
    <row r="1286" spans="1:22" x14ac:dyDescent="0.35">
      <c r="A1286" s="3">
        <v>44515</v>
      </c>
      <c r="B1286" t="s">
        <v>22</v>
      </c>
      <c r="C1286">
        <v>0</v>
      </c>
      <c r="D1286">
        <v>0</v>
      </c>
      <c r="E1286">
        <v>0</v>
      </c>
      <c r="F1286">
        <v>0</v>
      </c>
      <c r="G1286">
        <v>25.125</v>
      </c>
      <c r="H1286">
        <v>0</v>
      </c>
      <c r="I1286">
        <v>0</v>
      </c>
      <c r="J1286">
        <v>0</v>
      </c>
      <c r="K1286">
        <v>0</v>
      </c>
      <c r="L1286">
        <v>171</v>
      </c>
      <c r="M1286">
        <v>247</v>
      </c>
      <c r="N1286" t="s">
        <v>22</v>
      </c>
      <c r="O1286" s="3">
        <v>44762</v>
      </c>
      <c r="P1286">
        <v>-1</v>
      </c>
      <c r="T1286" t="s">
        <v>51</v>
      </c>
      <c r="U1286">
        <v>50</v>
      </c>
      <c r="V1286">
        <v>32.325000000000003</v>
      </c>
    </row>
    <row r="1287" spans="1:22" x14ac:dyDescent="0.35">
      <c r="A1287" s="3">
        <v>44512</v>
      </c>
      <c r="B1287" t="s">
        <v>35</v>
      </c>
      <c r="C1287">
        <v>0</v>
      </c>
      <c r="D1287">
        <v>0</v>
      </c>
      <c r="E1287">
        <v>0</v>
      </c>
      <c r="F1287">
        <v>0</v>
      </c>
      <c r="G1287">
        <v>17.418199999999999</v>
      </c>
      <c r="H1287">
        <v>0</v>
      </c>
      <c r="I1287">
        <v>0</v>
      </c>
      <c r="J1287">
        <v>0</v>
      </c>
      <c r="K1287">
        <v>0</v>
      </c>
      <c r="L1287">
        <v>3</v>
      </c>
      <c r="M1287">
        <v>5</v>
      </c>
      <c r="N1287" t="s">
        <v>35</v>
      </c>
      <c r="O1287" s="3">
        <v>44517</v>
      </c>
      <c r="P1287">
        <v>-1</v>
      </c>
      <c r="T1287" t="s">
        <v>50</v>
      </c>
      <c r="U1287">
        <v>70</v>
      </c>
      <c r="V1287">
        <v>31.7</v>
      </c>
    </row>
    <row r="1288" spans="1:22" x14ac:dyDescent="0.35">
      <c r="A1288" s="3">
        <v>44512</v>
      </c>
      <c r="B1288" t="s">
        <v>29</v>
      </c>
      <c r="C1288">
        <v>0</v>
      </c>
      <c r="D1288">
        <v>0</v>
      </c>
      <c r="E1288">
        <v>0</v>
      </c>
      <c r="F1288">
        <v>0</v>
      </c>
      <c r="G1288">
        <v>24.813199999999998</v>
      </c>
      <c r="H1288">
        <v>0</v>
      </c>
      <c r="I1288">
        <v>0</v>
      </c>
      <c r="J1288">
        <v>0</v>
      </c>
      <c r="K1288">
        <v>0</v>
      </c>
      <c r="L1288">
        <v>129</v>
      </c>
      <c r="M1288">
        <v>187</v>
      </c>
      <c r="N1288" t="s">
        <v>29</v>
      </c>
      <c r="O1288" s="3">
        <v>44699</v>
      </c>
      <c r="P1288">
        <v>-1</v>
      </c>
      <c r="T1288" t="s">
        <v>49</v>
      </c>
      <c r="U1288">
        <v>89</v>
      </c>
      <c r="V1288">
        <v>31.65</v>
      </c>
    </row>
    <row r="1289" spans="1:22" x14ac:dyDescent="0.35">
      <c r="A1289" s="3">
        <v>44512</v>
      </c>
      <c r="B1289" t="s">
        <v>31</v>
      </c>
      <c r="C1289">
        <v>0</v>
      </c>
      <c r="D1289">
        <v>0</v>
      </c>
      <c r="E1289">
        <v>0</v>
      </c>
      <c r="F1289">
        <v>0</v>
      </c>
      <c r="G1289">
        <v>23.951499999999999</v>
      </c>
      <c r="H1289">
        <v>0</v>
      </c>
      <c r="I1289">
        <v>0</v>
      </c>
      <c r="J1289">
        <v>0</v>
      </c>
      <c r="K1289">
        <v>0</v>
      </c>
      <c r="L1289">
        <v>83</v>
      </c>
      <c r="M1289">
        <v>123</v>
      </c>
      <c r="N1289" t="s">
        <v>31</v>
      </c>
      <c r="O1289" s="3">
        <v>44635</v>
      </c>
      <c r="P1289">
        <v>-1</v>
      </c>
      <c r="T1289" t="s">
        <v>48</v>
      </c>
      <c r="U1289">
        <v>114</v>
      </c>
      <c r="V1289">
        <v>32.725000000000001</v>
      </c>
    </row>
    <row r="1290" spans="1:22" x14ac:dyDescent="0.35">
      <c r="A1290" s="3">
        <v>44512</v>
      </c>
      <c r="B1290" t="s">
        <v>22</v>
      </c>
      <c r="C1290">
        <v>0</v>
      </c>
      <c r="D1290">
        <v>0</v>
      </c>
      <c r="E1290">
        <v>0</v>
      </c>
      <c r="F1290">
        <v>0</v>
      </c>
      <c r="G1290">
        <v>24.925000000000001</v>
      </c>
      <c r="H1290">
        <v>0</v>
      </c>
      <c r="I1290">
        <v>0</v>
      </c>
      <c r="J1290">
        <v>0</v>
      </c>
      <c r="K1290">
        <v>0</v>
      </c>
      <c r="L1290">
        <v>172</v>
      </c>
      <c r="M1290">
        <v>250</v>
      </c>
      <c r="N1290" t="s">
        <v>22</v>
      </c>
      <c r="O1290" s="3">
        <v>44762</v>
      </c>
      <c r="P1290">
        <v>-1</v>
      </c>
      <c r="T1290" t="s">
        <v>47</v>
      </c>
      <c r="U1290">
        <v>134</v>
      </c>
      <c r="V1290">
        <v>30.475000000000001</v>
      </c>
    </row>
    <row r="1291" spans="1:22" x14ac:dyDescent="0.35">
      <c r="A1291" s="3">
        <v>44512</v>
      </c>
      <c r="B1291" t="s">
        <v>32</v>
      </c>
      <c r="C1291">
        <v>0</v>
      </c>
      <c r="D1291">
        <v>0</v>
      </c>
      <c r="E1291">
        <v>0</v>
      </c>
      <c r="F1291">
        <v>0</v>
      </c>
      <c r="G1291">
        <v>23.1752</v>
      </c>
      <c r="H1291">
        <v>0</v>
      </c>
      <c r="I1291">
        <v>0</v>
      </c>
      <c r="J1291">
        <v>0</v>
      </c>
      <c r="K1291">
        <v>0</v>
      </c>
      <c r="L1291">
        <v>65</v>
      </c>
      <c r="M1291">
        <v>96</v>
      </c>
      <c r="N1291" t="s">
        <v>32</v>
      </c>
      <c r="O1291" s="3">
        <v>44608</v>
      </c>
      <c r="P1291">
        <v>-1</v>
      </c>
      <c r="T1291" t="s">
        <v>46</v>
      </c>
      <c r="U1291">
        <v>153</v>
      </c>
      <c r="V1291">
        <v>29.3</v>
      </c>
    </row>
    <row r="1292" spans="1:22" x14ac:dyDescent="0.35">
      <c r="A1292" s="3">
        <v>44512</v>
      </c>
      <c r="B1292" t="s">
        <v>34</v>
      </c>
      <c r="C1292">
        <v>0</v>
      </c>
      <c r="D1292">
        <v>0</v>
      </c>
      <c r="E1292">
        <v>0</v>
      </c>
      <c r="F1292">
        <v>0</v>
      </c>
      <c r="G1292">
        <v>20.108000000000001</v>
      </c>
      <c r="H1292">
        <v>0</v>
      </c>
      <c r="I1292">
        <v>0</v>
      </c>
      <c r="J1292">
        <v>0</v>
      </c>
      <c r="K1292">
        <v>0</v>
      </c>
      <c r="L1292">
        <v>27</v>
      </c>
      <c r="M1292">
        <v>40</v>
      </c>
      <c r="N1292" t="s">
        <v>34</v>
      </c>
      <c r="O1292" s="3">
        <v>44552</v>
      </c>
      <c r="P1292">
        <v>-1</v>
      </c>
      <c r="S1292" s="3">
        <v>43964</v>
      </c>
      <c r="T1292" t="s">
        <v>53</v>
      </c>
      <c r="U1292">
        <v>5</v>
      </c>
      <c r="V1292">
        <v>35.075000000000003</v>
      </c>
    </row>
    <row r="1293" spans="1:22" x14ac:dyDescent="0.35">
      <c r="A1293" s="3">
        <v>44512</v>
      </c>
      <c r="B1293" t="s">
        <v>28</v>
      </c>
      <c r="C1293">
        <v>0</v>
      </c>
      <c r="D1293">
        <v>0</v>
      </c>
      <c r="E1293">
        <v>0</v>
      </c>
      <c r="F1293">
        <v>0</v>
      </c>
      <c r="G1293">
        <v>24.875</v>
      </c>
      <c r="H1293">
        <v>0</v>
      </c>
      <c r="I1293">
        <v>0</v>
      </c>
      <c r="J1293">
        <v>0</v>
      </c>
      <c r="K1293">
        <v>0</v>
      </c>
      <c r="L1293">
        <v>148</v>
      </c>
      <c r="M1293">
        <v>215</v>
      </c>
      <c r="N1293" t="s">
        <v>28</v>
      </c>
      <c r="O1293" s="3">
        <v>44727</v>
      </c>
      <c r="P1293">
        <v>-1</v>
      </c>
      <c r="T1293" t="s">
        <v>52</v>
      </c>
      <c r="U1293">
        <v>24</v>
      </c>
      <c r="V1293">
        <v>34.924999999999997</v>
      </c>
    </row>
    <row r="1294" spans="1:22" x14ac:dyDescent="0.35">
      <c r="A1294" s="3">
        <v>44512</v>
      </c>
      <c r="B1294" t="s">
        <v>30</v>
      </c>
      <c r="C1294">
        <v>0</v>
      </c>
      <c r="D1294">
        <v>0</v>
      </c>
      <c r="E1294">
        <v>0</v>
      </c>
      <c r="F1294">
        <v>0</v>
      </c>
      <c r="G1294">
        <v>24.5</v>
      </c>
      <c r="H1294">
        <v>0</v>
      </c>
      <c r="I1294">
        <v>0</v>
      </c>
      <c r="J1294">
        <v>0</v>
      </c>
      <c r="K1294">
        <v>0</v>
      </c>
      <c r="L1294">
        <v>109</v>
      </c>
      <c r="M1294">
        <v>159</v>
      </c>
      <c r="N1294" t="s">
        <v>30</v>
      </c>
      <c r="O1294" s="3">
        <v>44671</v>
      </c>
      <c r="P1294">
        <v>-1</v>
      </c>
      <c r="T1294" t="s">
        <v>51</v>
      </c>
      <c r="U1294">
        <v>49</v>
      </c>
      <c r="V1294">
        <v>33.825000000000003</v>
      </c>
    </row>
    <row r="1295" spans="1:22" x14ac:dyDescent="0.35">
      <c r="A1295" s="3">
        <v>44512</v>
      </c>
      <c r="B1295" t="s">
        <v>33</v>
      </c>
      <c r="C1295">
        <v>0</v>
      </c>
      <c r="D1295">
        <v>0</v>
      </c>
      <c r="E1295">
        <v>0</v>
      </c>
      <c r="F1295">
        <v>0</v>
      </c>
      <c r="G1295">
        <v>22.046900000000001</v>
      </c>
      <c r="H1295">
        <v>0</v>
      </c>
      <c r="I1295">
        <v>0</v>
      </c>
      <c r="J1295">
        <v>0</v>
      </c>
      <c r="K1295">
        <v>0</v>
      </c>
      <c r="L1295">
        <v>45</v>
      </c>
      <c r="M1295">
        <v>68</v>
      </c>
      <c r="N1295" t="s">
        <v>33</v>
      </c>
      <c r="O1295" s="3">
        <v>44580</v>
      </c>
      <c r="P1295">
        <v>-1</v>
      </c>
      <c r="T1295" t="s">
        <v>50</v>
      </c>
      <c r="U1295">
        <v>69</v>
      </c>
      <c r="V1295">
        <v>32.674999999999997</v>
      </c>
    </row>
    <row r="1296" spans="1:22" x14ac:dyDescent="0.35">
      <c r="A1296" s="3">
        <v>44511</v>
      </c>
      <c r="B1296" t="s">
        <v>32</v>
      </c>
      <c r="C1296">
        <v>0</v>
      </c>
      <c r="D1296">
        <v>0</v>
      </c>
      <c r="E1296">
        <v>0</v>
      </c>
      <c r="F1296">
        <v>0</v>
      </c>
      <c r="G1296">
        <v>23.386500000000002</v>
      </c>
      <c r="H1296">
        <v>0</v>
      </c>
      <c r="I1296">
        <v>0</v>
      </c>
      <c r="J1296">
        <v>0</v>
      </c>
      <c r="K1296">
        <v>0</v>
      </c>
      <c r="L1296">
        <v>66</v>
      </c>
      <c r="M1296">
        <v>97</v>
      </c>
      <c r="N1296" t="s">
        <v>32</v>
      </c>
      <c r="O1296" s="3">
        <v>44608</v>
      </c>
      <c r="P1296">
        <v>-1</v>
      </c>
      <c r="T1296" t="s">
        <v>49</v>
      </c>
      <c r="U1296">
        <v>88</v>
      </c>
      <c r="V1296">
        <v>32.6</v>
      </c>
    </row>
    <row r="1297" spans="1:22" x14ac:dyDescent="0.35">
      <c r="A1297" s="3">
        <v>44511</v>
      </c>
      <c r="B1297" t="s">
        <v>34</v>
      </c>
      <c r="C1297">
        <v>0</v>
      </c>
      <c r="D1297">
        <v>0</v>
      </c>
      <c r="E1297">
        <v>0</v>
      </c>
      <c r="F1297">
        <v>0</v>
      </c>
      <c r="G1297">
        <v>20.7957</v>
      </c>
      <c r="H1297">
        <v>0</v>
      </c>
      <c r="I1297">
        <v>0</v>
      </c>
      <c r="J1297">
        <v>0</v>
      </c>
      <c r="K1297">
        <v>0</v>
      </c>
      <c r="L1297">
        <v>28</v>
      </c>
      <c r="M1297">
        <v>41</v>
      </c>
      <c r="N1297" t="s">
        <v>34</v>
      </c>
      <c r="O1297" s="3">
        <v>44552</v>
      </c>
      <c r="P1297">
        <v>-1</v>
      </c>
      <c r="T1297" t="s">
        <v>48</v>
      </c>
      <c r="U1297">
        <v>113</v>
      </c>
      <c r="V1297">
        <v>33.774999999999999</v>
      </c>
    </row>
    <row r="1298" spans="1:22" x14ac:dyDescent="0.35">
      <c r="A1298" s="3">
        <v>44511</v>
      </c>
      <c r="B1298" t="s">
        <v>28</v>
      </c>
      <c r="C1298">
        <v>0</v>
      </c>
      <c r="D1298">
        <v>0</v>
      </c>
      <c r="E1298">
        <v>0</v>
      </c>
      <c r="F1298">
        <v>0</v>
      </c>
      <c r="G1298">
        <v>25</v>
      </c>
      <c r="H1298">
        <v>0</v>
      </c>
      <c r="I1298">
        <v>0</v>
      </c>
      <c r="J1298">
        <v>0</v>
      </c>
      <c r="K1298">
        <v>0</v>
      </c>
      <c r="L1298">
        <v>149</v>
      </c>
      <c r="M1298">
        <v>216</v>
      </c>
      <c r="N1298" t="s">
        <v>28</v>
      </c>
      <c r="O1298" s="3">
        <v>44727</v>
      </c>
      <c r="P1298">
        <v>-1</v>
      </c>
      <c r="T1298" t="s">
        <v>47</v>
      </c>
      <c r="U1298">
        <v>133</v>
      </c>
      <c r="V1298">
        <v>31.425000000000001</v>
      </c>
    </row>
    <row r="1299" spans="1:22" x14ac:dyDescent="0.35">
      <c r="A1299" s="3">
        <v>44511</v>
      </c>
      <c r="B1299" t="s">
        <v>30</v>
      </c>
      <c r="C1299">
        <v>0</v>
      </c>
      <c r="D1299">
        <v>0</v>
      </c>
      <c r="E1299">
        <v>0</v>
      </c>
      <c r="F1299">
        <v>0</v>
      </c>
      <c r="G1299">
        <v>24.7</v>
      </c>
      <c r="H1299">
        <v>0</v>
      </c>
      <c r="I1299">
        <v>0</v>
      </c>
      <c r="J1299">
        <v>0</v>
      </c>
      <c r="K1299">
        <v>0</v>
      </c>
      <c r="L1299">
        <v>110</v>
      </c>
      <c r="M1299">
        <v>160</v>
      </c>
      <c r="N1299" t="s">
        <v>30</v>
      </c>
      <c r="O1299" s="3">
        <v>44671</v>
      </c>
      <c r="P1299">
        <v>-1</v>
      </c>
      <c r="T1299" t="s">
        <v>46</v>
      </c>
      <c r="U1299">
        <v>152</v>
      </c>
      <c r="V1299">
        <v>30.1</v>
      </c>
    </row>
    <row r="1300" spans="1:22" x14ac:dyDescent="0.35">
      <c r="A1300" s="3">
        <v>44511</v>
      </c>
      <c r="B1300" t="s">
        <v>33</v>
      </c>
      <c r="C1300">
        <v>0</v>
      </c>
      <c r="D1300">
        <v>0</v>
      </c>
      <c r="E1300">
        <v>0</v>
      </c>
      <c r="F1300">
        <v>0</v>
      </c>
      <c r="G1300">
        <v>22.518899999999999</v>
      </c>
      <c r="H1300">
        <v>0</v>
      </c>
      <c r="I1300">
        <v>0</v>
      </c>
      <c r="J1300">
        <v>0</v>
      </c>
      <c r="K1300">
        <v>0</v>
      </c>
      <c r="L1300">
        <v>46</v>
      </c>
      <c r="M1300">
        <v>69</v>
      </c>
      <c r="N1300" t="s">
        <v>33</v>
      </c>
      <c r="O1300" s="3">
        <v>44580</v>
      </c>
      <c r="P1300">
        <v>-1</v>
      </c>
      <c r="S1300" s="3">
        <v>43965</v>
      </c>
      <c r="T1300" t="s">
        <v>53</v>
      </c>
      <c r="U1300">
        <v>4</v>
      </c>
      <c r="V1300">
        <v>32.375</v>
      </c>
    </row>
    <row r="1301" spans="1:22" x14ac:dyDescent="0.35">
      <c r="A1301" s="3">
        <v>44511</v>
      </c>
      <c r="B1301" t="s">
        <v>35</v>
      </c>
      <c r="C1301">
        <v>0</v>
      </c>
      <c r="D1301">
        <v>0</v>
      </c>
      <c r="E1301">
        <v>0</v>
      </c>
      <c r="F1301">
        <v>0</v>
      </c>
      <c r="G1301">
        <v>18.758800000000001</v>
      </c>
      <c r="H1301">
        <v>0</v>
      </c>
      <c r="I1301">
        <v>0</v>
      </c>
      <c r="J1301">
        <v>0</v>
      </c>
      <c r="K1301">
        <v>0</v>
      </c>
      <c r="L1301">
        <v>4</v>
      </c>
      <c r="M1301">
        <v>6</v>
      </c>
      <c r="N1301" t="s">
        <v>35</v>
      </c>
      <c r="O1301" s="3">
        <v>44517</v>
      </c>
      <c r="P1301">
        <v>-1</v>
      </c>
      <c r="T1301" t="s">
        <v>52</v>
      </c>
      <c r="U1301">
        <v>23</v>
      </c>
      <c r="V1301">
        <v>32.924999999999997</v>
      </c>
    </row>
    <row r="1302" spans="1:22" x14ac:dyDescent="0.35">
      <c r="A1302" s="3">
        <v>44511</v>
      </c>
      <c r="B1302" t="s">
        <v>29</v>
      </c>
      <c r="C1302">
        <v>0</v>
      </c>
      <c r="D1302">
        <v>0</v>
      </c>
      <c r="E1302">
        <v>0</v>
      </c>
      <c r="F1302">
        <v>0</v>
      </c>
      <c r="G1302">
        <v>24.95</v>
      </c>
      <c r="H1302">
        <v>0</v>
      </c>
      <c r="I1302">
        <v>0</v>
      </c>
      <c r="J1302">
        <v>0</v>
      </c>
      <c r="K1302">
        <v>0</v>
      </c>
      <c r="L1302">
        <v>130</v>
      </c>
      <c r="M1302">
        <v>188</v>
      </c>
      <c r="N1302" t="s">
        <v>29</v>
      </c>
      <c r="O1302" s="3">
        <v>44699</v>
      </c>
      <c r="P1302">
        <v>-1</v>
      </c>
      <c r="T1302" t="s">
        <v>51</v>
      </c>
      <c r="U1302">
        <v>48</v>
      </c>
      <c r="V1302">
        <v>32.625</v>
      </c>
    </row>
    <row r="1303" spans="1:22" x14ac:dyDescent="0.35">
      <c r="A1303" s="3">
        <v>44511</v>
      </c>
      <c r="B1303" t="s">
        <v>31</v>
      </c>
      <c r="C1303">
        <v>0</v>
      </c>
      <c r="D1303">
        <v>0</v>
      </c>
      <c r="E1303">
        <v>0</v>
      </c>
      <c r="F1303">
        <v>0</v>
      </c>
      <c r="G1303">
        <v>24.189699999999998</v>
      </c>
      <c r="H1303">
        <v>0</v>
      </c>
      <c r="I1303">
        <v>0</v>
      </c>
      <c r="J1303">
        <v>0</v>
      </c>
      <c r="K1303">
        <v>0</v>
      </c>
      <c r="L1303">
        <v>84</v>
      </c>
      <c r="M1303">
        <v>124</v>
      </c>
      <c r="N1303" t="s">
        <v>31</v>
      </c>
      <c r="O1303" s="3">
        <v>44635</v>
      </c>
      <c r="P1303">
        <v>-1</v>
      </c>
      <c r="T1303" t="s">
        <v>50</v>
      </c>
      <c r="U1303">
        <v>68</v>
      </c>
      <c r="V1303">
        <v>32.049999999999997</v>
      </c>
    </row>
    <row r="1304" spans="1:22" x14ac:dyDescent="0.35">
      <c r="A1304" s="3">
        <v>44511</v>
      </c>
      <c r="B1304" t="s">
        <v>22</v>
      </c>
      <c r="C1304">
        <v>0</v>
      </c>
      <c r="D1304">
        <v>0</v>
      </c>
      <c r="E1304">
        <v>0</v>
      </c>
      <c r="F1304">
        <v>0</v>
      </c>
      <c r="G1304">
        <v>25.15</v>
      </c>
      <c r="H1304">
        <v>0</v>
      </c>
      <c r="I1304">
        <v>0</v>
      </c>
      <c r="J1304">
        <v>0</v>
      </c>
      <c r="K1304">
        <v>0</v>
      </c>
      <c r="L1304">
        <v>173</v>
      </c>
      <c r="M1304">
        <v>251</v>
      </c>
      <c r="N1304" t="s">
        <v>22</v>
      </c>
      <c r="O1304" s="3">
        <v>44762</v>
      </c>
      <c r="P1304">
        <v>-1</v>
      </c>
      <c r="T1304" t="s">
        <v>49</v>
      </c>
      <c r="U1304">
        <v>87</v>
      </c>
      <c r="V1304">
        <v>32.125</v>
      </c>
    </row>
    <row r="1305" spans="1:22" x14ac:dyDescent="0.35">
      <c r="A1305" s="3">
        <v>44510</v>
      </c>
      <c r="B1305" t="s">
        <v>35</v>
      </c>
      <c r="C1305">
        <v>0</v>
      </c>
      <c r="D1305">
        <v>0</v>
      </c>
      <c r="E1305">
        <v>0</v>
      </c>
      <c r="F1305">
        <v>0</v>
      </c>
      <c r="G1305">
        <v>19.526800000000001</v>
      </c>
      <c r="H1305">
        <v>0</v>
      </c>
      <c r="I1305">
        <v>0</v>
      </c>
      <c r="J1305">
        <v>0</v>
      </c>
      <c r="K1305">
        <v>0</v>
      </c>
      <c r="L1305">
        <v>5</v>
      </c>
      <c r="M1305">
        <v>7</v>
      </c>
      <c r="N1305" t="s">
        <v>35</v>
      </c>
      <c r="O1305" s="3">
        <v>44517</v>
      </c>
      <c r="P1305">
        <v>-1</v>
      </c>
      <c r="T1305" t="s">
        <v>48</v>
      </c>
      <c r="U1305">
        <v>112</v>
      </c>
      <c r="V1305">
        <v>33.15</v>
      </c>
    </row>
    <row r="1306" spans="1:22" x14ac:dyDescent="0.35">
      <c r="A1306" s="3">
        <v>44510</v>
      </c>
      <c r="B1306" t="s">
        <v>29</v>
      </c>
      <c r="C1306">
        <v>0</v>
      </c>
      <c r="D1306">
        <v>0</v>
      </c>
      <c r="E1306">
        <v>0</v>
      </c>
      <c r="F1306">
        <v>0</v>
      </c>
      <c r="G1306">
        <v>25.17</v>
      </c>
      <c r="H1306">
        <v>0</v>
      </c>
      <c r="I1306">
        <v>0</v>
      </c>
      <c r="J1306">
        <v>0</v>
      </c>
      <c r="K1306">
        <v>0</v>
      </c>
      <c r="L1306">
        <v>131</v>
      </c>
      <c r="M1306">
        <v>189</v>
      </c>
      <c r="N1306" t="s">
        <v>29</v>
      </c>
      <c r="O1306" s="3">
        <v>44699</v>
      </c>
      <c r="P1306">
        <v>-1</v>
      </c>
      <c r="T1306" t="s">
        <v>47</v>
      </c>
      <c r="U1306">
        <v>132</v>
      </c>
      <c r="V1306">
        <v>30.824999999999999</v>
      </c>
    </row>
    <row r="1307" spans="1:22" x14ac:dyDescent="0.35">
      <c r="A1307" s="3">
        <v>44510</v>
      </c>
      <c r="B1307" t="s">
        <v>34</v>
      </c>
      <c r="C1307">
        <v>0</v>
      </c>
      <c r="D1307">
        <v>0</v>
      </c>
      <c r="E1307">
        <v>0</v>
      </c>
      <c r="F1307">
        <v>0</v>
      </c>
      <c r="G1307">
        <v>21.0045</v>
      </c>
      <c r="H1307">
        <v>0</v>
      </c>
      <c r="I1307">
        <v>0</v>
      </c>
      <c r="J1307">
        <v>0</v>
      </c>
      <c r="K1307">
        <v>0</v>
      </c>
      <c r="L1307">
        <v>29</v>
      </c>
      <c r="M1307">
        <v>42</v>
      </c>
      <c r="N1307" t="s">
        <v>34</v>
      </c>
      <c r="O1307" s="3">
        <v>44552</v>
      </c>
      <c r="P1307">
        <v>-1</v>
      </c>
      <c r="T1307" t="s">
        <v>46</v>
      </c>
      <c r="U1307">
        <v>151</v>
      </c>
      <c r="V1307">
        <v>29.65</v>
      </c>
    </row>
    <row r="1308" spans="1:22" x14ac:dyDescent="0.35">
      <c r="A1308" s="3">
        <v>44510</v>
      </c>
      <c r="B1308" t="s">
        <v>31</v>
      </c>
      <c r="C1308">
        <v>0</v>
      </c>
      <c r="D1308">
        <v>0</v>
      </c>
      <c r="E1308">
        <v>0</v>
      </c>
      <c r="F1308">
        <v>0</v>
      </c>
      <c r="G1308">
        <v>24.399000000000001</v>
      </c>
      <c r="H1308">
        <v>0</v>
      </c>
      <c r="I1308">
        <v>0</v>
      </c>
      <c r="J1308">
        <v>0</v>
      </c>
      <c r="K1308">
        <v>0</v>
      </c>
      <c r="L1308">
        <v>85</v>
      </c>
      <c r="M1308">
        <v>125</v>
      </c>
      <c r="N1308" t="s">
        <v>31</v>
      </c>
      <c r="O1308" s="3">
        <v>44635</v>
      </c>
      <c r="P1308">
        <v>-1</v>
      </c>
      <c r="S1308" s="3">
        <v>43966</v>
      </c>
      <c r="T1308" t="s">
        <v>53</v>
      </c>
      <c r="U1308">
        <v>3</v>
      </c>
      <c r="V1308">
        <v>32.125</v>
      </c>
    </row>
    <row r="1309" spans="1:22" x14ac:dyDescent="0.35">
      <c r="A1309" s="3">
        <v>44510</v>
      </c>
      <c r="B1309" t="s">
        <v>22</v>
      </c>
      <c r="C1309">
        <v>0</v>
      </c>
      <c r="D1309">
        <v>0</v>
      </c>
      <c r="E1309">
        <v>0</v>
      </c>
      <c r="F1309">
        <v>0</v>
      </c>
      <c r="G1309">
        <v>25.3</v>
      </c>
      <c r="H1309">
        <v>0</v>
      </c>
      <c r="I1309">
        <v>0</v>
      </c>
      <c r="J1309">
        <v>0</v>
      </c>
      <c r="K1309">
        <v>0</v>
      </c>
      <c r="L1309">
        <v>174</v>
      </c>
      <c r="M1309">
        <v>252</v>
      </c>
      <c r="N1309" t="s">
        <v>22</v>
      </c>
      <c r="O1309" s="3">
        <v>44762</v>
      </c>
      <c r="P1309">
        <v>-1</v>
      </c>
      <c r="T1309" t="s">
        <v>52</v>
      </c>
      <c r="U1309">
        <v>22</v>
      </c>
      <c r="V1309">
        <v>32.725000000000001</v>
      </c>
    </row>
    <row r="1310" spans="1:22" x14ac:dyDescent="0.35">
      <c r="A1310" s="3">
        <v>44510</v>
      </c>
      <c r="B1310" t="s">
        <v>32</v>
      </c>
      <c r="C1310">
        <v>0</v>
      </c>
      <c r="D1310">
        <v>0</v>
      </c>
      <c r="E1310">
        <v>0</v>
      </c>
      <c r="F1310">
        <v>0</v>
      </c>
      <c r="G1310">
        <v>23.621700000000001</v>
      </c>
      <c r="H1310">
        <v>0</v>
      </c>
      <c r="I1310">
        <v>0</v>
      </c>
      <c r="J1310">
        <v>0</v>
      </c>
      <c r="K1310">
        <v>0</v>
      </c>
      <c r="L1310">
        <v>67</v>
      </c>
      <c r="M1310">
        <v>98</v>
      </c>
      <c r="N1310" t="s">
        <v>32</v>
      </c>
      <c r="O1310" s="3">
        <v>44608</v>
      </c>
      <c r="P1310">
        <v>-1</v>
      </c>
      <c r="T1310" t="s">
        <v>51</v>
      </c>
      <c r="U1310">
        <v>47</v>
      </c>
      <c r="V1310">
        <v>32.575000000000003</v>
      </c>
    </row>
    <row r="1311" spans="1:22" x14ac:dyDescent="0.35">
      <c r="A1311" s="3">
        <v>44510</v>
      </c>
      <c r="B1311" t="s">
        <v>28</v>
      </c>
      <c r="C1311">
        <v>0</v>
      </c>
      <c r="D1311">
        <v>0</v>
      </c>
      <c r="E1311">
        <v>0</v>
      </c>
      <c r="F1311">
        <v>0</v>
      </c>
      <c r="G1311">
        <v>25.2</v>
      </c>
      <c r="H1311">
        <v>0</v>
      </c>
      <c r="I1311">
        <v>0</v>
      </c>
      <c r="J1311">
        <v>0</v>
      </c>
      <c r="K1311">
        <v>0</v>
      </c>
      <c r="L1311">
        <v>150</v>
      </c>
      <c r="M1311">
        <v>217</v>
      </c>
      <c r="N1311" t="s">
        <v>28</v>
      </c>
      <c r="O1311" s="3">
        <v>44727</v>
      </c>
      <c r="P1311">
        <v>-1</v>
      </c>
      <c r="T1311" t="s">
        <v>50</v>
      </c>
      <c r="U1311">
        <v>67</v>
      </c>
      <c r="V1311">
        <v>32.075000000000003</v>
      </c>
    </row>
    <row r="1312" spans="1:22" x14ac:dyDescent="0.35">
      <c r="A1312" s="3">
        <v>44510</v>
      </c>
      <c r="B1312" t="s">
        <v>30</v>
      </c>
      <c r="C1312">
        <v>0</v>
      </c>
      <c r="D1312">
        <v>0</v>
      </c>
      <c r="E1312">
        <v>0</v>
      </c>
      <c r="F1312">
        <v>0</v>
      </c>
      <c r="G1312">
        <v>24.940200000000001</v>
      </c>
      <c r="H1312">
        <v>0</v>
      </c>
      <c r="I1312">
        <v>0</v>
      </c>
      <c r="J1312">
        <v>0</v>
      </c>
      <c r="K1312">
        <v>0</v>
      </c>
      <c r="L1312">
        <v>111</v>
      </c>
      <c r="M1312">
        <v>161</v>
      </c>
      <c r="N1312" t="s">
        <v>30</v>
      </c>
      <c r="O1312" s="3">
        <v>44671</v>
      </c>
      <c r="P1312">
        <v>-1</v>
      </c>
      <c r="T1312" t="s">
        <v>49</v>
      </c>
      <c r="U1312">
        <v>86</v>
      </c>
      <c r="V1312">
        <v>32.375</v>
      </c>
    </row>
    <row r="1313" spans="1:22" x14ac:dyDescent="0.35">
      <c r="A1313" s="3">
        <v>44510</v>
      </c>
      <c r="B1313" t="s">
        <v>33</v>
      </c>
      <c r="C1313">
        <v>0</v>
      </c>
      <c r="D1313">
        <v>0</v>
      </c>
      <c r="E1313">
        <v>0</v>
      </c>
      <c r="F1313">
        <v>0</v>
      </c>
      <c r="G1313">
        <v>22.712499999999999</v>
      </c>
      <c r="H1313">
        <v>0</v>
      </c>
      <c r="I1313">
        <v>0</v>
      </c>
      <c r="J1313">
        <v>0</v>
      </c>
      <c r="K1313">
        <v>0</v>
      </c>
      <c r="L1313">
        <v>47</v>
      </c>
      <c r="M1313">
        <v>70</v>
      </c>
      <c r="N1313" t="s">
        <v>33</v>
      </c>
      <c r="O1313" s="3">
        <v>44580</v>
      </c>
      <c r="P1313">
        <v>-1</v>
      </c>
      <c r="T1313" t="s">
        <v>48</v>
      </c>
      <c r="U1313">
        <v>111</v>
      </c>
      <c r="V1313">
        <v>33.325000000000003</v>
      </c>
    </row>
    <row r="1314" spans="1:22" x14ac:dyDescent="0.35">
      <c r="A1314" s="3">
        <v>44509</v>
      </c>
      <c r="B1314" t="s">
        <v>32</v>
      </c>
      <c r="C1314">
        <v>0</v>
      </c>
      <c r="D1314">
        <v>0</v>
      </c>
      <c r="E1314">
        <v>0</v>
      </c>
      <c r="F1314">
        <v>0</v>
      </c>
      <c r="G1314">
        <v>23.6</v>
      </c>
      <c r="H1314">
        <v>0</v>
      </c>
      <c r="I1314">
        <v>0</v>
      </c>
      <c r="J1314">
        <v>0</v>
      </c>
      <c r="K1314">
        <v>0</v>
      </c>
      <c r="L1314">
        <v>68</v>
      </c>
      <c r="M1314">
        <v>99</v>
      </c>
      <c r="N1314" t="s">
        <v>32</v>
      </c>
      <c r="O1314" s="3">
        <v>44608</v>
      </c>
      <c r="P1314">
        <v>-1</v>
      </c>
      <c r="T1314" t="s">
        <v>47</v>
      </c>
      <c r="U1314">
        <v>131</v>
      </c>
      <c r="V1314">
        <v>31.3</v>
      </c>
    </row>
    <row r="1315" spans="1:22" x14ac:dyDescent="0.35">
      <c r="A1315" s="3">
        <v>44509</v>
      </c>
      <c r="B1315" t="s">
        <v>28</v>
      </c>
      <c r="C1315">
        <v>0</v>
      </c>
      <c r="D1315">
        <v>0</v>
      </c>
      <c r="E1315">
        <v>0</v>
      </c>
      <c r="F1315">
        <v>0</v>
      </c>
      <c r="G1315">
        <v>25.274999999999999</v>
      </c>
      <c r="H1315">
        <v>0</v>
      </c>
      <c r="I1315">
        <v>0</v>
      </c>
      <c r="J1315">
        <v>0</v>
      </c>
      <c r="K1315">
        <v>0</v>
      </c>
      <c r="L1315">
        <v>151</v>
      </c>
      <c r="M1315">
        <v>218</v>
      </c>
      <c r="N1315" t="s">
        <v>28</v>
      </c>
      <c r="O1315" s="3">
        <v>44727</v>
      </c>
      <c r="P1315">
        <v>-1</v>
      </c>
      <c r="T1315" t="s">
        <v>46</v>
      </c>
      <c r="U1315">
        <v>150</v>
      </c>
      <c r="V1315">
        <v>30.05</v>
      </c>
    </row>
    <row r="1316" spans="1:22" x14ac:dyDescent="0.35">
      <c r="A1316" s="3">
        <v>44509</v>
      </c>
      <c r="B1316" t="s">
        <v>30</v>
      </c>
      <c r="C1316">
        <v>0</v>
      </c>
      <c r="D1316">
        <v>0</v>
      </c>
      <c r="E1316">
        <v>0</v>
      </c>
      <c r="F1316">
        <v>0</v>
      </c>
      <c r="G1316">
        <v>24.964700000000001</v>
      </c>
      <c r="H1316">
        <v>0</v>
      </c>
      <c r="I1316">
        <v>0</v>
      </c>
      <c r="J1316">
        <v>0</v>
      </c>
      <c r="K1316">
        <v>0</v>
      </c>
      <c r="L1316">
        <v>112</v>
      </c>
      <c r="M1316">
        <v>162</v>
      </c>
      <c r="N1316" t="s">
        <v>30</v>
      </c>
      <c r="O1316" s="3">
        <v>44671</v>
      </c>
      <c r="P1316">
        <v>-1</v>
      </c>
      <c r="S1316" s="3">
        <v>43969</v>
      </c>
      <c r="T1316" t="s">
        <v>45</v>
      </c>
      <c r="U1316">
        <v>171</v>
      </c>
      <c r="V1316">
        <v>28.875</v>
      </c>
    </row>
    <row r="1317" spans="1:22" x14ac:dyDescent="0.35">
      <c r="A1317" s="3">
        <v>44509</v>
      </c>
      <c r="B1317" t="s">
        <v>33</v>
      </c>
      <c r="C1317">
        <v>0</v>
      </c>
      <c r="D1317">
        <v>0</v>
      </c>
      <c r="E1317">
        <v>0</v>
      </c>
      <c r="F1317">
        <v>0</v>
      </c>
      <c r="G1317">
        <v>22.558</v>
      </c>
      <c r="H1317">
        <v>0</v>
      </c>
      <c r="I1317">
        <v>0</v>
      </c>
      <c r="J1317">
        <v>0</v>
      </c>
      <c r="K1317">
        <v>0</v>
      </c>
      <c r="L1317">
        <v>48</v>
      </c>
      <c r="M1317">
        <v>71</v>
      </c>
      <c r="N1317" t="s">
        <v>33</v>
      </c>
      <c r="O1317" s="3">
        <v>44580</v>
      </c>
      <c r="P1317">
        <v>-1</v>
      </c>
      <c r="T1317" t="s">
        <v>53</v>
      </c>
      <c r="U1317">
        <v>2</v>
      </c>
      <c r="V1317">
        <v>28.925000000000001</v>
      </c>
    </row>
    <row r="1318" spans="1:22" x14ac:dyDescent="0.35">
      <c r="A1318" s="3">
        <v>44509</v>
      </c>
      <c r="B1318" t="s">
        <v>35</v>
      </c>
      <c r="C1318">
        <v>0</v>
      </c>
      <c r="D1318">
        <v>0</v>
      </c>
      <c r="E1318">
        <v>0</v>
      </c>
      <c r="F1318">
        <v>0</v>
      </c>
      <c r="G1318">
        <v>18.900099999999998</v>
      </c>
      <c r="H1318">
        <v>0</v>
      </c>
      <c r="I1318">
        <v>0</v>
      </c>
      <c r="J1318">
        <v>0</v>
      </c>
      <c r="K1318">
        <v>0</v>
      </c>
      <c r="L1318">
        <v>6</v>
      </c>
      <c r="M1318">
        <v>8</v>
      </c>
      <c r="N1318" t="s">
        <v>35</v>
      </c>
      <c r="O1318" s="3">
        <v>44517</v>
      </c>
      <c r="P1318">
        <v>-1</v>
      </c>
      <c r="T1318" t="s">
        <v>52</v>
      </c>
      <c r="U1318">
        <v>21</v>
      </c>
      <c r="V1318">
        <v>30.1</v>
      </c>
    </row>
    <row r="1319" spans="1:22" x14ac:dyDescent="0.35">
      <c r="A1319" s="3">
        <v>44509</v>
      </c>
      <c r="B1319" t="s">
        <v>29</v>
      </c>
      <c r="C1319">
        <v>0</v>
      </c>
      <c r="D1319">
        <v>0</v>
      </c>
      <c r="E1319">
        <v>0</v>
      </c>
      <c r="F1319">
        <v>0</v>
      </c>
      <c r="G1319">
        <v>25.225000000000001</v>
      </c>
      <c r="H1319">
        <v>0</v>
      </c>
      <c r="I1319">
        <v>0</v>
      </c>
      <c r="J1319">
        <v>0</v>
      </c>
      <c r="K1319">
        <v>0</v>
      </c>
      <c r="L1319">
        <v>132</v>
      </c>
      <c r="M1319">
        <v>190</v>
      </c>
      <c r="N1319" t="s">
        <v>29</v>
      </c>
      <c r="O1319" s="3">
        <v>44699</v>
      </c>
      <c r="P1319">
        <v>-1</v>
      </c>
      <c r="T1319" t="s">
        <v>51</v>
      </c>
      <c r="U1319">
        <v>46</v>
      </c>
      <c r="V1319">
        <v>30.4</v>
      </c>
    </row>
    <row r="1320" spans="1:22" x14ac:dyDescent="0.35">
      <c r="A1320" s="3">
        <v>44509</v>
      </c>
      <c r="B1320" t="s">
        <v>34</v>
      </c>
      <c r="C1320">
        <v>0</v>
      </c>
      <c r="D1320">
        <v>0</v>
      </c>
      <c r="E1320">
        <v>0</v>
      </c>
      <c r="F1320">
        <v>0</v>
      </c>
      <c r="G1320">
        <v>20.827000000000002</v>
      </c>
      <c r="H1320">
        <v>0</v>
      </c>
      <c r="I1320">
        <v>0</v>
      </c>
      <c r="J1320">
        <v>0</v>
      </c>
      <c r="K1320">
        <v>0</v>
      </c>
      <c r="L1320">
        <v>30</v>
      </c>
      <c r="M1320">
        <v>43</v>
      </c>
      <c r="N1320" t="s">
        <v>34</v>
      </c>
      <c r="O1320" s="3">
        <v>44552</v>
      </c>
      <c r="P1320">
        <v>-1</v>
      </c>
      <c r="T1320" t="s">
        <v>50</v>
      </c>
      <c r="U1320">
        <v>66</v>
      </c>
      <c r="V1320">
        <v>30.225000000000001</v>
      </c>
    </row>
    <row r="1321" spans="1:22" x14ac:dyDescent="0.35">
      <c r="A1321" s="3">
        <v>44509</v>
      </c>
      <c r="B1321" t="s">
        <v>31</v>
      </c>
      <c r="C1321">
        <v>0</v>
      </c>
      <c r="D1321">
        <v>0</v>
      </c>
      <c r="E1321">
        <v>0</v>
      </c>
      <c r="F1321">
        <v>0</v>
      </c>
      <c r="G1321">
        <v>24.417200000000001</v>
      </c>
      <c r="H1321">
        <v>0</v>
      </c>
      <c r="I1321">
        <v>0</v>
      </c>
      <c r="J1321">
        <v>0</v>
      </c>
      <c r="K1321">
        <v>0</v>
      </c>
      <c r="L1321">
        <v>86</v>
      </c>
      <c r="M1321">
        <v>126</v>
      </c>
      <c r="N1321" t="s">
        <v>31</v>
      </c>
      <c r="O1321" s="3">
        <v>44635</v>
      </c>
      <c r="P1321">
        <v>-1</v>
      </c>
      <c r="T1321" t="s">
        <v>49</v>
      </c>
      <c r="U1321">
        <v>85</v>
      </c>
      <c r="V1321">
        <v>30.524999999999999</v>
      </c>
    </row>
    <row r="1322" spans="1:22" x14ac:dyDescent="0.35">
      <c r="A1322" s="3">
        <v>44509</v>
      </c>
      <c r="B1322" t="s">
        <v>22</v>
      </c>
      <c r="C1322">
        <v>0</v>
      </c>
      <c r="D1322">
        <v>0</v>
      </c>
      <c r="E1322">
        <v>0</v>
      </c>
      <c r="F1322">
        <v>0</v>
      </c>
      <c r="G1322">
        <v>25.35</v>
      </c>
      <c r="H1322">
        <v>0</v>
      </c>
      <c r="I1322">
        <v>0</v>
      </c>
      <c r="J1322">
        <v>0</v>
      </c>
      <c r="K1322">
        <v>0</v>
      </c>
      <c r="L1322">
        <v>175</v>
      </c>
      <c r="M1322">
        <v>253</v>
      </c>
      <c r="N1322" t="s">
        <v>22</v>
      </c>
      <c r="O1322" s="3">
        <v>44762</v>
      </c>
      <c r="P1322">
        <v>-1</v>
      </c>
      <c r="T1322" t="s">
        <v>48</v>
      </c>
      <c r="U1322">
        <v>110</v>
      </c>
      <c r="V1322">
        <v>31.574999999999999</v>
      </c>
    </row>
    <row r="1323" spans="1:22" x14ac:dyDescent="0.35">
      <c r="A1323" s="3">
        <v>44508</v>
      </c>
      <c r="B1323" t="s">
        <v>35</v>
      </c>
      <c r="C1323">
        <v>0</v>
      </c>
      <c r="D1323">
        <v>0</v>
      </c>
      <c r="E1323">
        <v>0</v>
      </c>
      <c r="F1323">
        <v>0</v>
      </c>
      <c r="G1323">
        <v>18.494499999999999</v>
      </c>
      <c r="H1323">
        <v>0</v>
      </c>
      <c r="I1323">
        <v>0</v>
      </c>
      <c r="J1323">
        <v>0</v>
      </c>
      <c r="K1323">
        <v>0</v>
      </c>
      <c r="L1323">
        <v>7</v>
      </c>
      <c r="M1323">
        <v>9</v>
      </c>
      <c r="N1323" t="s">
        <v>35</v>
      </c>
      <c r="O1323" s="3">
        <v>44517</v>
      </c>
      <c r="P1323">
        <v>-1</v>
      </c>
      <c r="T1323" t="s">
        <v>47</v>
      </c>
      <c r="U1323">
        <v>130</v>
      </c>
      <c r="V1323">
        <v>29.625</v>
      </c>
    </row>
    <row r="1324" spans="1:22" x14ac:dyDescent="0.35">
      <c r="A1324" s="3">
        <v>44508</v>
      </c>
      <c r="B1324" t="s">
        <v>29</v>
      </c>
      <c r="C1324">
        <v>0</v>
      </c>
      <c r="D1324">
        <v>0</v>
      </c>
      <c r="E1324">
        <v>0</v>
      </c>
      <c r="F1324">
        <v>0</v>
      </c>
      <c r="G1324">
        <v>24.962499999999999</v>
      </c>
      <c r="H1324">
        <v>0</v>
      </c>
      <c r="I1324">
        <v>0</v>
      </c>
      <c r="J1324">
        <v>0</v>
      </c>
      <c r="K1324">
        <v>0</v>
      </c>
      <c r="L1324">
        <v>133</v>
      </c>
      <c r="M1324">
        <v>191</v>
      </c>
      <c r="N1324" t="s">
        <v>29</v>
      </c>
      <c r="O1324" s="3">
        <v>44699</v>
      </c>
      <c r="P1324">
        <v>-1</v>
      </c>
      <c r="T1324" t="s">
        <v>46</v>
      </c>
      <c r="U1324">
        <v>149</v>
      </c>
      <c r="V1324">
        <v>28.625</v>
      </c>
    </row>
    <row r="1325" spans="1:22" x14ac:dyDescent="0.35">
      <c r="A1325" s="3">
        <v>44508</v>
      </c>
      <c r="B1325" t="s">
        <v>34</v>
      </c>
      <c r="C1325">
        <v>0</v>
      </c>
      <c r="D1325">
        <v>0</v>
      </c>
      <c r="E1325">
        <v>0</v>
      </c>
      <c r="F1325">
        <v>0</v>
      </c>
      <c r="G1325">
        <v>20.500299999999999</v>
      </c>
      <c r="H1325">
        <v>0</v>
      </c>
      <c r="I1325">
        <v>0</v>
      </c>
      <c r="J1325">
        <v>0</v>
      </c>
      <c r="K1325">
        <v>0</v>
      </c>
      <c r="L1325">
        <v>31</v>
      </c>
      <c r="M1325">
        <v>44</v>
      </c>
      <c r="N1325" t="s">
        <v>34</v>
      </c>
      <c r="O1325" s="3">
        <v>44552</v>
      </c>
      <c r="P1325">
        <v>-1</v>
      </c>
      <c r="S1325" s="3">
        <v>43970</v>
      </c>
      <c r="T1325" t="s">
        <v>45</v>
      </c>
      <c r="U1325">
        <v>170</v>
      </c>
      <c r="V1325">
        <v>29.85</v>
      </c>
    </row>
    <row r="1326" spans="1:22" x14ac:dyDescent="0.35">
      <c r="A1326" s="3">
        <v>44508</v>
      </c>
      <c r="B1326" t="s">
        <v>31</v>
      </c>
      <c r="C1326">
        <v>0</v>
      </c>
      <c r="D1326">
        <v>0</v>
      </c>
      <c r="E1326">
        <v>0</v>
      </c>
      <c r="F1326">
        <v>0</v>
      </c>
      <c r="G1326">
        <v>24.153099999999998</v>
      </c>
      <c r="H1326">
        <v>0</v>
      </c>
      <c r="I1326">
        <v>0</v>
      </c>
      <c r="J1326">
        <v>0</v>
      </c>
      <c r="K1326">
        <v>0</v>
      </c>
      <c r="L1326">
        <v>87</v>
      </c>
      <c r="M1326">
        <v>127</v>
      </c>
      <c r="N1326" t="s">
        <v>31</v>
      </c>
      <c r="O1326" s="3">
        <v>44635</v>
      </c>
      <c r="P1326">
        <v>-1</v>
      </c>
      <c r="T1326" t="s">
        <v>53</v>
      </c>
      <c r="U1326">
        <v>1</v>
      </c>
      <c r="V1326">
        <v>30.75</v>
      </c>
    </row>
    <row r="1327" spans="1:22" x14ac:dyDescent="0.35">
      <c r="A1327" s="3">
        <v>44508</v>
      </c>
      <c r="B1327" t="s">
        <v>22</v>
      </c>
      <c r="C1327">
        <v>0</v>
      </c>
      <c r="D1327">
        <v>0</v>
      </c>
      <c r="E1327">
        <v>0</v>
      </c>
      <c r="F1327">
        <v>0</v>
      </c>
      <c r="G1327">
        <v>25.05</v>
      </c>
      <c r="H1327">
        <v>0</v>
      </c>
      <c r="I1327">
        <v>0</v>
      </c>
      <c r="J1327">
        <v>0</v>
      </c>
      <c r="K1327">
        <v>0</v>
      </c>
      <c r="L1327">
        <v>176</v>
      </c>
      <c r="M1327">
        <v>254</v>
      </c>
      <c r="N1327" t="s">
        <v>22</v>
      </c>
      <c r="O1327" s="3">
        <v>44762</v>
      </c>
      <c r="P1327">
        <v>-1</v>
      </c>
      <c r="T1327" t="s">
        <v>52</v>
      </c>
      <c r="U1327">
        <v>20</v>
      </c>
      <c r="V1327">
        <v>32.075000000000003</v>
      </c>
    </row>
    <row r="1328" spans="1:22" x14ac:dyDescent="0.35">
      <c r="A1328" s="3">
        <v>44508</v>
      </c>
      <c r="B1328" t="s">
        <v>32</v>
      </c>
      <c r="C1328">
        <v>0</v>
      </c>
      <c r="D1328">
        <v>0</v>
      </c>
      <c r="E1328">
        <v>0</v>
      </c>
      <c r="F1328">
        <v>0</v>
      </c>
      <c r="G1328">
        <v>23.25</v>
      </c>
      <c r="H1328">
        <v>0</v>
      </c>
      <c r="I1328">
        <v>0</v>
      </c>
      <c r="J1328">
        <v>0</v>
      </c>
      <c r="K1328">
        <v>0</v>
      </c>
      <c r="L1328">
        <v>69</v>
      </c>
      <c r="M1328">
        <v>100</v>
      </c>
      <c r="N1328" t="s">
        <v>32</v>
      </c>
      <c r="O1328" s="3">
        <v>44608</v>
      </c>
      <c r="P1328">
        <v>-1</v>
      </c>
      <c r="T1328" t="s">
        <v>51</v>
      </c>
      <c r="U1328">
        <v>45</v>
      </c>
      <c r="V1328">
        <v>31.774999999999999</v>
      </c>
    </row>
    <row r="1329" spans="1:22" x14ac:dyDescent="0.35">
      <c r="A1329" s="3">
        <v>44508</v>
      </c>
      <c r="B1329" t="s">
        <v>28</v>
      </c>
      <c r="C1329">
        <v>0</v>
      </c>
      <c r="D1329">
        <v>0</v>
      </c>
      <c r="E1329">
        <v>0</v>
      </c>
      <c r="F1329">
        <v>0</v>
      </c>
      <c r="G1329">
        <v>25.05</v>
      </c>
      <c r="H1329">
        <v>0</v>
      </c>
      <c r="I1329">
        <v>0</v>
      </c>
      <c r="J1329">
        <v>0</v>
      </c>
      <c r="K1329">
        <v>0</v>
      </c>
      <c r="L1329">
        <v>152</v>
      </c>
      <c r="M1329">
        <v>219</v>
      </c>
      <c r="N1329" t="s">
        <v>28</v>
      </c>
      <c r="O1329" s="3">
        <v>44727</v>
      </c>
      <c r="P1329">
        <v>-1</v>
      </c>
      <c r="T1329" t="s">
        <v>50</v>
      </c>
      <c r="U1329">
        <v>65</v>
      </c>
      <c r="V1329">
        <v>31.274999999999999</v>
      </c>
    </row>
    <row r="1330" spans="1:22" x14ac:dyDescent="0.35">
      <c r="A1330" s="3">
        <v>44508</v>
      </c>
      <c r="B1330" t="s">
        <v>30</v>
      </c>
      <c r="C1330">
        <v>0</v>
      </c>
      <c r="D1330">
        <v>0</v>
      </c>
      <c r="E1330">
        <v>0</v>
      </c>
      <c r="F1330">
        <v>0</v>
      </c>
      <c r="G1330">
        <v>24.748899999999999</v>
      </c>
      <c r="H1330">
        <v>0</v>
      </c>
      <c r="I1330">
        <v>0</v>
      </c>
      <c r="J1330">
        <v>0</v>
      </c>
      <c r="K1330">
        <v>0</v>
      </c>
      <c r="L1330">
        <v>113</v>
      </c>
      <c r="M1330">
        <v>163</v>
      </c>
      <c r="N1330" t="s">
        <v>30</v>
      </c>
      <c r="O1330" s="3">
        <v>44671</v>
      </c>
      <c r="P1330">
        <v>-1</v>
      </c>
      <c r="T1330" t="s">
        <v>49</v>
      </c>
      <c r="U1330">
        <v>84</v>
      </c>
      <c r="V1330">
        <v>31.574999999999999</v>
      </c>
    </row>
    <row r="1331" spans="1:22" x14ac:dyDescent="0.35">
      <c r="A1331" s="3">
        <v>44508</v>
      </c>
      <c r="B1331" t="s">
        <v>33</v>
      </c>
      <c r="C1331">
        <v>0</v>
      </c>
      <c r="D1331">
        <v>0</v>
      </c>
      <c r="E1331">
        <v>0</v>
      </c>
      <c r="F1331">
        <v>0</v>
      </c>
      <c r="G1331">
        <v>22.209900000000001</v>
      </c>
      <c r="H1331">
        <v>0</v>
      </c>
      <c r="I1331">
        <v>0</v>
      </c>
      <c r="J1331">
        <v>0</v>
      </c>
      <c r="K1331">
        <v>0</v>
      </c>
      <c r="L1331">
        <v>49</v>
      </c>
      <c r="M1331">
        <v>72</v>
      </c>
      <c r="N1331" t="s">
        <v>33</v>
      </c>
      <c r="O1331" s="3">
        <v>44580</v>
      </c>
      <c r="P1331">
        <v>-1</v>
      </c>
      <c r="T1331" t="s">
        <v>48</v>
      </c>
      <c r="U1331">
        <v>109</v>
      </c>
      <c r="V1331">
        <v>32.625</v>
      </c>
    </row>
    <row r="1332" spans="1:22" x14ac:dyDescent="0.35">
      <c r="A1332" s="3">
        <v>44505</v>
      </c>
      <c r="B1332" t="s">
        <v>32</v>
      </c>
      <c r="C1332">
        <v>0</v>
      </c>
      <c r="D1332">
        <v>0</v>
      </c>
      <c r="E1332">
        <v>0</v>
      </c>
      <c r="F1332">
        <v>0</v>
      </c>
      <c r="G1332">
        <v>23.222000000000001</v>
      </c>
      <c r="H1332">
        <v>0</v>
      </c>
      <c r="I1332">
        <v>0</v>
      </c>
      <c r="J1332">
        <v>0</v>
      </c>
      <c r="K1332">
        <v>0</v>
      </c>
      <c r="L1332">
        <v>70</v>
      </c>
      <c r="M1332">
        <v>103</v>
      </c>
      <c r="N1332" t="s">
        <v>32</v>
      </c>
      <c r="O1332" s="3">
        <v>44608</v>
      </c>
      <c r="P1332">
        <v>-1</v>
      </c>
      <c r="T1332" t="s">
        <v>47</v>
      </c>
      <c r="U1332">
        <v>129</v>
      </c>
      <c r="V1332">
        <v>30.75</v>
      </c>
    </row>
    <row r="1333" spans="1:22" x14ac:dyDescent="0.35">
      <c r="A1333" s="3">
        <v>44505</v>
      </c>
      <c r="B1333" t="s">
        <v>28</v>
      </c>
      <c r="C1333">
        <v>0</v>
      </c>
      <c r="D1333">
        <v>0</v>
      </c>
      <c r="E1333">
        <v>0</v>
      </c>
      <c r="F1333">
        <v>0</v>
      </c>
      <c r="G1333">
        <v>24.9</v>
      </c>
      <c r="H1333">
        <v>0</v>
      </c>
      <c r="I1333">
        <v>0</v>
      </c>
      <c r="J1333">
        <v>0</v>
      </c>
      <c r="K1333">
        <v>0</v>
      </c>
      <c r="L1333">
        <v>153</v>
      </c>
      <c r="M1333">
        <v>222</v>
      </c>
      <c r="N1333" t="s">
        <v>28</v>
      </c>
      <c r="O1333" s="3">
        <v>44727</v>
      </c>
      <c r="P1333">
        <v>-1</v>
      </c>
      <c r="T1333" t="s">
        <v>46</v>
      </c>
      <c r="U1333">
        <v>148</v>
      </c>
      <c r="V1333">
        <v>29.6</v>
      </c>
    </row>
    <row r="1334" spans="1:22" x14ac:dyDescent="0.35">
      <c r="A1334" s="3">
        <v>44505</v>
      </c>
      <c r="B1334" t="s">
        <v>30</v>
      </c>
      <c r="C1334">
        <v>0</v>
      </c>
      <c r="D1334">
        <v>0</v>
      </c>
      <c r="E1334">
        <v>0</v>
      </c>
      <c r="F1334">
        <v>0</v>
      </c>
      <c r="G1334">
        <v>24.623799999999999</v>
      </c>
      <c r="H1334">
        <v>0</v>
      </c>
      <c r="I1334">
        <v>0</v>
      </c>
      <c r="J1334">
        <v>0</v>
      </c>
      <c r="K1334">
        <v>0</v>
      </c>
      <c r="L1334">
        <v>114</v>
      </c>
      <c r="M1334">
        <v>166</v>
      </c>
      <c r="N1334" t="s">
        <v>30</v>
      </c>
      <c r="O1334" s="3">
        <v>44671</v>
      </c>
      <c r="P1334">
        <v>-1</v>
      </c>
      <c r="S1334" s="3">
        <v>43971</v>
      </c>
      <c r="T1334" t="s">
        <v>45</v>
      </c>
      <c r="U1334">
        <v>169</v>
      </c>
      <c r="V1334">
        <v>28.925000000000001</v>
      </c>
    </row>
    <row r="1335" spans="1:22" x14ac:dyDescent="0.35">
      <c r="A1335" s="3">
        <v>44505</v>
      </c>
      <c r="B1335" t="s">
        <v>33</v>
      </c>
      <c r="C1335">
        <v>0</v>
      </c>
      <c r="D1335">
        <v>0</v>
      </c>
      <c r="E1335">
        <v>0</v>
      </c>
      <c r="F1335">
        <v>0</v>
      </c>
      <c r="G1335">
        <v>22.332100000000001</v>
      </c>
      <c r="H1335">
        <v>0</v>
      </c>
      <c r="I1335">
        <v>0</v>
      </c>
      <c r="J1335">
        <v>0</v>
      </c>
      <c r="K1335">
        <v>0</v>
      </c>
      <c r="L1335">
        <v>50</v>
      </c>
      <c r="M1335">
        <v>75</v>
      </c>
      <c r="N1335" t="s">
        <v>33</v>
      </c>
      <c r="O1335" s="3">
        <v>44580</v>
      </c>
      <c r="P1335">
        <v>-1</v>
      </c>
      <c r="T1335" t="s">
        <v>53</v>
      </c>
      <c r="U1335">
        <v>0</v>
      </c>
      <c r="V1335">
        <v>28.11</v>
      </c>
    </row>
    <row r="1336" spans="1:22" x14ac:dyDescent="0.35">
      <c r="A1336" s="3">
        <v>44505</v>
      </c>
      <c r="B1336" t="s">
        <v>35</v>
      </c>
      <c r="C1336">
        <v>0</v>
      </c>
      <c r="D1336">
        <v>0</v>
      </c>
      <c r="E1336">
        <v>0</v>
      </c>
      <c r="F1336">
        <v>0</v>
      </c>
      <c r="G1336">
        <v>18.440100000000001</v>
      </c>
      <c r="H1336">
        <v>0</v>
      </c>
      <c r="I1336">
        <v>0</v>
      </c>
      <c r="J1336">
        <v>0</v>
      </c>
      <c r="K1336">
        <v>0</v>
      </c>
      <c r="L1336">
        <v>8</v>
      </c>
      <c r="M1336">
        <v>12</v>
      </c>
      <c r="N1336" t="s">
        <v>35</v>
      </c>
      <c r="O1336" s="3">
        <v>44517</v>
      </c>
      <c r="P1336">
        <v>-1</v>
      </c>
      <c r="T1336" t="s">
        <v>52</v>
      </c>
      <c r="U1336">
        <v>19</v>
      </c>
      <c r="V1336">
        <v>29.774999999999999</v>
      </c>
    </row>
    <row r="1337" spans="1:22" x14ac:dyDescent="0.35">
      <c r="A1337" s="3">
        <v>44505</v>
      </c>
      <c r="B1337" t="s">
        <v>29</v>
      </c>
      <c r="C1337">
        <v>0</v>
      </c>
      <c r="D1337">
        <v>0</v>
      </c>
      <c r="E1337">
        <v>0</v>
      </c>
      <c r="F1337">
        <v>0</v>
      </c>
      <c r="G1337">
        <v>24.783300000000001</v>
      </c>
      <c r="H1337">
        <v>0</v>
      </c>
      <c r="I1337">
        <v>0</v>
      </c>
      <c r="J1337">
        <v>0</v>
      </c>
      <c r="K1337">
        <v>0</v>
      </c>
      <c r="L1337">
        <v>134</v>
      </c>
      <c r="M1337">
        <v>194</v>
      </c>
      <c r="N1337" t="s">
        <v>29</v>
      </c>
      <c r="O1337" s="3">
        <v>44699</v>
      </c>
      <c r="P1337">
        <v>-1</v>
      </c>
      <c r="T1337" t="s">
        <v>51</v>
      </c>
      <c r="U1337">
        <v>44</v>
      </c>
      <c r="V1337">
        <v>30.574999999999999</v>
      </c>
    </row>
    <row r="1338" spans="1:22" x14ac:dyDescent="0.35">
      <c r="A1338" s="3">
        <v>44505</v>
      </c>
      <c r="B1338" t="s">
        <v>34</v>
      </c>
      <c r="C1338">
        <v>0</v>
      </c>
      <c r="D1338">
        <v>0</v>
      </c>
      <c r="E1338">
        <v>0</v>
      </c>
      <c r="F1338">
        <v>0</v>
      </c>
      <c r="G1338">
        <v>20.505700000000001</v>
      </c>
      <c r="H1338">
        <v>0</v>
      </c>
      <c r="I1338">
        <v>0</v>
      </c>
      <c r="J1338">
        <v>0</v>
      </c>
      <c r="K1338">
        <v>0</v>
      </c>
      <c r="L1338">
        <v>32</v>
      </c>
      <c r="M1338">
        <v>47</v>
      </c>
      <c r="N1338" t="s">
        <v>34</v>
      </c>
      <c r="O1338" s="3">
        <v>44552</v>
      </c>
      <c r="P1338">
        <v>-1</v>
      </c>
      <c r="T1338" t="s">
        <v>50</v>
      </c>
      <c r="U1338">
        <v>64</v>
      </c>
      <c r="V1338">
        <v>30.324999999999999</v>
      </c>
    </row>
    <row r="1339" spans="1:22" x14ac:dyDescent="0.35">
      <c r="A1339" s="3">
        <v>44505</v>
      </c>
      <c r="B1339" t="s">
        <v>31</v>
      </c>
      <c r="C1339">
        <v>0</v>
      </c>
      <c r="D1339">
        <v>0</v>
      </c>
      <c r="E1339">
        <v>0</v>
      </c>
      <c r="F1339">
        <v>0</v>
      </c>
      <c r="G1339">
        <v>24.1006</v>
      </c>
      <c r="H1339">
        <v>0</v>
      </c>
      <c r="I1339">
        <v>0</v>
      </c>
      <c r="J1339">
        <v>0</v>
      </c>
      <c r="K1339">
        <v>0</v>
      </c>
      <c r="L1339">
        <v>88</v>
      </c>
      <c r="M1339">
        <v>130</v>
      </c>
      <c r="N1339" t="s">
        <v>31</v>
      </c>
      <c r="O1339" s="3">
        <v>44635</v>
      </c>
      <c r="P1339">
        <v>-1</v>
      </c>
      <c r="T1339" t="s">
        <v>49</v>
      </c>
      <c r="U1339">
        <v>83</v>
      </c>
      <c r="V1339">
        <v>30.574999999999999</v>
      </c>
    </row>
    <row r="1340" spans="1:22" x14ac:dyDescent="0.35">
      <c r="A1340" s="3">
        <v>44505</v>
      </c>
      <c r="B1340" t="s">
        <v>22</v>
      </c>
      <c r="C1340">
        <v>0</v>
      </c>
      <c r="D1340">
        <v>0</v>
      </c>
      <c r="E1340">
        <v>0</v>
      </c>
      <c r="F1340">
        <v>0</v>
      </c>
      <c r="G1340">
        <v>24.925000000000001</v>
      </c>
      <c r="H1340">
        <v>0</v>
      </c>
      <c r="I1340">
        <v>0</v>
      </c>
      <c r="J1340">
        <v>0</v>
      </c>
      <c r="K1340">
        <v>0</v>
      </c>
      <c r="L1340">
        <v>177</v>
      </c>
      <c r="M1340">
        <v>257</v>
      </c>
      <c r="N1340" t="s">
        <v>22</v>
      </c>
      <c r="O1340" s="3">
        <v>44762</v>
      </c>
      <c r="P1340">
        <v>-1</v>
      </c>
      <c r="T1340" t="s">
        <v>48</v>
      </c>
      <c r="U1340">
        <v>108</v>
      </c>
      <c r="V1340">
        <v>31.774999999999999</v>
      </c>
    </row>
    <row r="1341" spans="1:22" x14ac:dyDescent="0.35">
      <c r="A1341" s="3">
        <v>44504</v>
      </c>
      <c r="B1341" t="s">
        <v>35</v>
      </c>
      <c r="C1341">
        <v>0</v>
      </c>
      <c r="D1341">
        <v>0</v>
      </c>
      <c r="E1341">
        <v>0</v>
      </c>
      <c r="F1341">
        <v>0</v>
      </c>
      <c r="G1341">
        <v>17.4041</v>
      </c>
      <c r="H1341">
        <v>0</v>
      </c>
      <c r="I1341">
        <v>0</v>
      </c>
      <c r="J1341">
        <v>0</v>
      </c>
      <c r="K1341">
        <v>0</v>
      </c>
      <c r="L1341">
        <v>9</v>
      </c>
      <c r="M1341">
        <v>13</v>
      </c>
      <c r="N1341" t="s">
        <v>35</v>
      </c>
      <c r="O1341" s="3">
        <v>44517</v>
      </c>
      <c r="P1341">
        <v>-1</v>
      </c>
      <c r="T1341" t="s">
        <v>47</v>
      </c>
      <c r="U1341">
        <v>128</v>
      </c>
      <c r="V1341">
        <v>29.925000000000001</v>
      </c>
    </row>
    <row r="1342" spans="1:22" x14ac:dyDescent="0.35">
      <c r="A1342" s="3">
        <v>44504</v>
      </c>
      <c r="B1342" t="s">
        <v>29</v>
      </c>
      <c r="C1342">
        <v>0</v>
      </c>
      <c r="D1342">
        <v>0</v>
      </c>
      <c r="E1342">
        <v>0</v>
      </c>
      <c r="F1342">
        <v>0</v>
      </c>
      <c r="G1342">
        <v>24.55</v>
      </c>
      <c r="H1342">
        <v>0</v>
      </c>
      <c r="I1342">
        <v>0</v>
      </c>
      <c r="J1342">
        <v>0</v>
      </c>
      <c r="K1342">
        <v>0</v>
      </c>
      <c r="L1342">
        <v>135</v>
      </c>
      <c r="M1342">
        <v>195</v>
      </c>
      <c r="N1342" t="s">
        <v>29</v>
      </c>
      <c r="O1342" s="3">
        <v>44699</v>
      </c>
      <c r="P1342">
        <v>-1</v>
      </c>
      <c r="T1342" t="s">
        <v>46</v>
      </c>
      <c r="U1342">
        <v>147</v>
      </c>
      <c r="V1342">
        <v>28.925000000000001</v>
      </c>
    </row>
    <row r="1343" spans="1:22" x14ac:dyDescent="0.35">
      <c r="A1343" s="3">
        <v>44504</v>
      </c>
      <c r="B1343" t="s">
        <v>34</v>
      </c>
      <c r="C1343">
        <v>0</v>
      </c>
      <c r="D1343">
        <v>0</v>
      </c>
      <c r="E1343">
        <v>0</v>
      </c>
      <c r="F1343">
        <v>0</v>
      </c>
      <c r="G1343">
        <v>20.084</v>
      </c>
      <c r="H1343">
        <v>0</v>
      </c>
      <c r="I1343">
        <v>0</v>
      </c>
      <c r="J1343">
        <v>0</v>
      </c>
      <c r="K1343">
        <v>0</v>
      </c>
      <c r="L1343">
        <v>33</v>
      </c>
      <c r="M1343">
        <v>48</v>
      </c>
      <c r="N1343" t="s">
        <v>34</v>
      </c>
      <c r="O1343" s="3">
        <v>44552</v>
      </c>
      <c r="P1343">
        <v>-1</v>
      </c>
      <c r="S1343" s="3">
        <v>43972</v>
      </c>
      <c r="T1343" t="s">
        <v>45</v>
      </c>
      <c r="U1343">
        <v>168</v>
      </c>
      <c r="V1343">
        <v>29.55</v>
      </c>
    </row>
    <row r="1344" spans="1:22" x14ac:dyDescent="0.35">
      <c r="A1344" s="3">
        <v>44504</v>
      </c>
      <c r="B1344" t="s">
        <v>28</v>
      </c>
      <c r="C1344">
        <v>0</v>
      </c>
      <c r="D1344">
        <v>0</v>
      </c>
      <c r="E1344">
        <v>0</v>
      </c>
      <c r="F1344">
        <v>0</v>
      </c>
      <c r="G1344">
        <v>24.7</v>
      </c>
      <c r="H1344">
        <v>0</v>
      </c>
      <c r="I1344">
        <v>0</v>
      </c>
      <c r="J1344">
        <v>0</v>
      </c>
      <c r="K1344">
        <v>0</v>
      </c>
      <c r="L1344">
        <v>154</v>
      </c>
      <c r="M1344">
        <v>223</v>
      </c>
      <c r="N1344" t="s">
        <v>28</v>
      </c>
      <c r="O1344" s="3">
        <v>44727</v>
      </c>
      <c r="P1344">
        <v>-1</v>
      </c>
      <c r="T1344" t="s">
        <v>52</v>
      </c>
      <c r="U1344">
        <v>18</v>
      </c>
      <c r="V1344">
        <v>31.024999999999999</v>
      </c>
    </row>
    <row r="1345" spans="1:22" x14ac:dyDescent="0.35">
      <c r="A1345" s="3">
        <v>44504</v>
      </c>
      <c r="B1345" t="s">
        <v>31</v>
      </c>
      <c r="C1345">
        <v>0</v>
      </c>
      <c r="D1345">
        <v>0</v>
      </c>
      <c r="E1345">
        <v>0</v>
      </c>
      <c r="F1345">
        <v>0</v>
      </c>
      <c r="G1345">
        <v>23.7501</v>
      </c>
      <c r="H1345">
        <v>0</v>
      </c>
      <c r="I1345">
        <v>0</v>
      </c>
      <c r="J1345">
        <v>0</v>
      </c>
      <c r="K1345">
        <v>0</v>
      </c>
      <c r="L1345">
        <v>89</v>
      </c>
      <c r="M1345">
        <v>131</v>
      </c>
      <c r="N1345" t="s">
        <v>31</v>
      </c>
      <c r="O1345" s="3">
        <v>44635</v>
      </c>
      <c r="P1345">
        <v>-1</v>
      </c>
      <c r="T1345" t="s">
        <v>51</v>
      </c>
      <c r="U1345">
        <v>43</v>
      </c>
      <c r="V1345">
        <v>31.625</v>
      </c>
    </row>
    <row r="1346" spans="1:22" x14ac:dyDescent="0.35">
      <c r="A1346" s="3">
        <v>44504</v>
      </c>
      <c r="B1346" t="s">
        <v>22</v>
      </c>
      <c r="C1346">
        <v>0</v>
      </c>
      <c r="D1346">
        <v>0</v>
      </c>
      <c r="E1346">
        <v>0</v>
      </c>
      <c r="F1346">
        <v>0</v>
      </c>
      <c r="G1346">
        <v>24.774999999999999</v>
      </c>
      <c r="H1346">
        <v>0</v>
      </c>
      <c r="I1346">
        <v>0</v>
      </c>
      <c r="J1346">
        <v>0</v>
      </c>
      <c r="K1346">
        <v>0</v>
      </c>
      <c r="L1346">
        <v>178</v>
      </c>
      <c r="M1346">
        <v>258</v>
      </c>
      <c r="N1346" t="s">
        <v>22</v>
      </c>
      <c r="O1346" s="3">
        <v>44762</v>
      </c>
      <c r="P1346">
        <v>-1</v>
      </c>
      <c r="T1346" t="s">
        <v>50</v>
      </c>
      <c r="U1346">
        <v>63</v>
      </c>
      <c r="V1346">
        <v>31.225000000000001</v>
      </c>
    </row>
    <row r="1347" spans="1:22" x14ac:dyDescent="0.35">
      <c r="A1347" s="3">
        <v>44504</v>
      </c>
      <c r="B1347" t="s">
        <v>32</v>
      </c>
      <c r="C1347">
        <v>0</v>
      </c>
      <c r="D1347">
        <v>0</v>
      </c>
      <c r="E1347">
        <v>0</v>
      </c>
      <c r="F1347">
        <v>0</v>
      </c>
      <c r="G1347">
        <v>22.9</v>
      </c>
      <c r="H1347">
        <v>0</v>
      </c>
      <c r="I1347">
        <v>0</v>
      </c>
      <c r="J1347">
        <v>0</v>
      </c>
      <c r="K1347">
        <v>0</v>
      </c>
      <c r="L1347">
        <v>71</v>
      </c>
      <c r="M1347">
        <v>104</v>
      </c>
      <c r="N1347" t="s">
        <v>32</v>
      </c>
      <c r="O1347" s="3">
        <v>44608</v>
      </c>
      <c r="P1347">
        <v>-1</v>
      </c>
      <c r="T1347" t="s">
        <v>49</v>
      </c>
      <c r="U1347">
        <v>82</v>
      </c>
      <c r="V1347">
        <v>31.475000000000001</v>
      </c>
    </row>
    <row r="1348" spans="1:22" x14ac:dyDescent="0.35">
      <c r="A1348" s="3">
        <v>44504</v>
      </c>
      <c r="B1348" t="s">
        <v>30</v>
      </c>
      <c r="C1348">
        <v>0</v>
      </c>
      <c r="D1348">
        <v>0</v>
      </c>
      <c r="E1348">
        <v>0</v>
      </c>
      <c r="F1348">
        <v>0</v>
      </c>
      <c r="G1348">
        <v>24.308</v>
      </c>
      <c r="H1348">
        <v>0</v>
      </c>
      <c r="I1348">
        <v>0</v>
      </c>
      <c r="J1348">
        <v>0</v>
      </c>
      <c r="K1348">
        <v>0</v>
      </c>
      <c r="L1348">
        <v>115</v>
      </c>
      <c r="M1348">
        <v>167</v>
      </c>
      <c r="N1348" t="s">
        <v>30</v>
      </c>
      <c r="O1348" s="3">
        <v>44671</v>
      </c>
      <c r="P1348">
        <v>-1</v>
      </c>
      <c r="T1348" t="s">
        <v>48</v>
      </c>
      <c r="U1348">
        <v>107</v>
      </c>
      <c r="V1348">
        <v>32.625</v>
      </c>
    </row>
    <row r="1349" spans="1:22" x14ac:dyDescent="0.35">
      <c r="A1349" s="3">
        <v>44504</v>
      </c>
      <c r="B1349" t="s">
        <v>33</v>
      </c>
      <c r="C1349">
        <v>0</v>
      </c>
      <c r="D1349">
        <v>0</v>
      </c>
      <c r="E1349">
        <v>0</v>
      </c>
      <c r="F1349">
        <v>0</v>
      </c>
      <c r="G1349">
        <v>21.85</v>
      </c>
      <c r="H1349">
        <v>0</v>
      </c>
      <c r="I1349">
        <v>0</v>
      </c>
      <c r="J1349">
        <v>0</v>
      </c>
      <c r="K1349">
        <v>0</v>
      </c>
      <c r="L1349">
        <v>51</v>
      </c>
      <c r="M1349">
        <v>76</v>
      </c>
      <c r="N1349" t="s">
        <v>33</v>
      </c>
      <c r="O1349" s="3">
        <v>44580</v>
      </c>
      <c r="P1349">
        <v>-1</v>
      </c>
      <c r="T1349" t="s">
        <v>47</v>
      </c>
      <c r="U1349">
        <v>127</v>
      </c>
      <c r="V1349">
        <v>30.625</v>
      </c>
    </row>
    <row r="1350" spans="1:22" x14ac:dyDescent="0.35">
      <c r="A1350" s="3">
        <v>44503</v>
      </c>
      <c r="B1350" t="s">
        <v>32</v>
      </c>
      <c r="C1350">
        <v>0</v>
      </c>
      <c r="D1350">
        <v>0</v>
      </c>
      <c r="E1350">
        <v>0</v>
      </c>
      <c r="F1350">
        <v>0</v>
      </c>
      <c r="G1350">
        <v>22.555700000000002</v>
      </c>
      <c r="H1350">
        <v>0</v>
      </c>
      <c r="I1350">
        <v>0</v>
      </c>
      <c r="J1350">
        <v>0</v>
      </c>
      <c r="K1350">
        <v>0</v>
      </c>
      <c r="L1350">
        <v>72</v>
      </c>
      <c r="M1350">
        <v>105</v>
      </c>
      <c r="N1350" t="s">
        <v>32</v>
      </c>
      <c r="O1350" s="3">
        <v>44608</v>
      </c>
      <c r="P1350">
        <v>-1</v>
      </c>
      <c r="T1350" t="s">
        <v>46</v>
      </c>
      <c r="U1350">
        <v>146</v>
      </c>
      <c r="V1350">
        <v>29.524999999999999</v>
      </c>
    </row>
    <row r="1351" spans="1:22" x14ac:dyDescent="0.35">
      <c r="A1351" s="3">
        <v>44503</v>
      </c>
      <c r="B1351" t="s">
        <v>30</v>
      </c>
      <c r="C1351">
        <v>0</v>
      </c>
      <c r="D1351">
        <v>0</v>
      </c>
      <c r="E1351">
        <v>0</v>
      </c>
      <c r="F1351">
        <v>0</v>
      </c>
      <c r="G1351">
        <v>24.048300000000001</v>
      </c>
      <c r="H1351">
        <v>0</v>
      </c>
      <c r="I1351">
        <v>0</v>
      </c>
      <c r="J1351">
        <v>0</v>
      </c>
      <c r="K1351">
        <v>0</v>
      </c>
      <c r="L1351">
        <v>116</v>
      </c>
      <c r="M1351">
        <v>168</v>
      </c>
      <c r="N1351" t="s">
        <v>30</v>
      </c>
      <c r="O1351" s="3">
        <v>44671</v>
      </c>
      <c r="P1351">
        <v>-1</v>
      </c>
      <c r="S1351" s="3">
        <v>43973</v>
      </c>
      <c r="T1351" t="s">
        <v>45</v>
      </c>
      <c r="U1351">
        <v>167</v>
      </c>
      <c r="V1351">
        <v>29.15</v>
      </c>
    </row>
    <row r="1352" spans="1:22" x14ac:dyDescent="0.35">
      <c r="A1352" s="3">
        <v>44503</v>
      </c>
      <c r="B1352" t="s">
        <v>33</v>
      </c>
      <c r="C1352">
        <v>0</v>
      </c>
      <c r="D1352">
        <v>0</v>
      </c>
      <c r="E1352">
        <v>0</v>
      </c>
      <c r="F1352">
        <v>0</v>
      </c>
      <c r="G1352">
        <v>21.503499999999999</v>
      </c>
      <c r="H1352">
        <v>0</v>
      </c>
      <c r="I1352">
        <v>0</v>
      </c>
      <c r="J1352">
        <v>0</v>
      </c>
      <c r="K1352">
        <v>0</v>
      </c>
      <c r="L1352">
        <v>52</v>
      </c>
      <c r="M1352">
        <v>77</v>
      </c>
      <c r="N1352" t="s">
        <v>33</v>
      </c>
      <c r="O1352" s="3">
        <v>44580</v>
      </c>
      <c r="P1352">
        <v>-1</v>
      </c>
      <c r="T1352" t="s">
        <v>52</v>
      </c>
      <c r="U1352">
        <v>17</v>
      </c>
      <c r="V1352">
        <v>30.375</v>
      </c>
    </row>
    <row r="1353" spans="1:22" x14ac:dyDescent="0.35">
      <c r="A1353" s="3">
        <v>44503</v>
      </c>
      <c r="B1353" t="s">
        <v>35</v>
      </c>
      <c r="C1353">
        <v>0</v>
      </c>
      <c r="D1353">
        <v>0</v>
      </c>
      <c r="E1353">
        <v>0</v>
      </c>
      <c r="F1353">
        <v>0</v>
      </c>
      <c r="G1353">
        <v>17.107800000000001</v>
      </c>
      <c r="H1353">
        <v>0</v>
      </c>
      <c r="I1353">
        <v>0</v>
      </c>
      <c r="J1353">
        <v>0</v>
      </c>
      <c r="K1353">
        <v>0</v>
      </c>
      <c r="L1353">
        <v>10</v>
      </c>
      <c r="M1353">
        <v>14</v>
      </c>
      <c r="N1353" t="s">
        <v>35</v>
      </c>
      <c r="O1353" s="3">
        <v>44517</v>
      </c>
      <c r="P1353">
        <v>-1</v>
      </c>
      <c r="T1353" t="s">
        <v>51</v>
      </c>
      <c r="U1353">
        <v>42</v>
      </c>
      <c r="V1353">
        <v>31.074999999999999</v>
      </c>
    </row>
    <row r="1354" spans="1:22" x14ac:dyDescent="0.35">
      <c r="A1354" s="3">
        <v>44503</v>
      </c>
      <c r="B1354" t="s">
        <v>29</v>
      </c>
      <c r="C1354">
        <v>0</v>
      </c>
      <c r="D1354">
        <v>0</v>
      </c>
      <c r="E1354">
        <v>0</v>
      </c>
      <c r="F1354">
        <v>0</v>
      </c>
      <c r="G1354">
        <v>24.3</v>
      </c>
      <c r="H1354">
        <v>0</v>
      </c>
      <c r="I1354">
        <v>0</v>
      </c>
      <c r="J1354">
        <v>0</v>
      </c>
      <c r="K1354">
        <v>0</v>
      </c>
      <c r="L1354">
        <v>136</v>
      </c>
      <c r="M1354">
        <v>196</v>
      </c>
      <c r="N1354" t="s">
        <v>29</v>
      </c>
      <c r="O1354" s="3">
        <v>44699</v>
      </c>
      <c r="P1354">
        <v>-1</v>
      </c>
      <c r="T1354" t="s">
        <v>50</v>
      </c>
      <c r="U1354">
        <v>62</v>
      </c>
      <c r="V1354">
        <v>30.8</v>
      </c>
    </row>
    <row r="1355" spans="1:22" x14ac:dyDescent="0.35">
      <c r="A1355" s="3">
        <v>44503</v>
      </c>
      <c r="B1355" t="s">
        <v>34</v>
      </c>
      <c r="C1355">
        <v>0</v>
      </c>
      <c r="D1355">
        <v>0</v>
      </c>
      <c r="E1355">
        <v>0</v>
      </c>
      <c r="F1355">
        <v>0</v>
      </c>
      <c r="G1355">
        <v>19.749500000000001</v>
      </c>
      <c r="H1355">
        <v>0</v>
      </c>
      <c r="I1355">
        <v>0</v>
      </c>
      <c r="J1355">
        <v>0</v>
      </c>
      <c r="K1355">
        <v>0</v>
      </c>
      <c r="L1355">
        <v>34</v>
      </c>
      <c r="M1355">
        <v>49</v>
      </c>
      <c r="N1355" t="s">
        <v>34</v>
      </c>
      <c r="O1355" s="3">
        <v>44552</v>
      </c>
      <c r="P1355">
        <v>-1</v>
      </c>
      <c r="T1355" t="s">
        <v>49</v>
      </c>
      <c r="U1355">
        <v>81</v>
      </c>
      <c r="V1355">
        <v>31.1</v>
      </c>
    </row>
    <row r="1356" spans="1:22" x14ac:dyDescent="0.35">
      <c r="A1356" s="3">
        <v>44503</v>
      </c>
      <c r="B1356" t="s">
        <v>28</v>
      </c>
      <c r="C1356">
        <v>0</v>
      </c>
      <c r="D1356">
        <v>0</v>
      </c>
      <c r="E1356">
        <v>0</v>
      </c>
      <c r="F1356">
        <v>0</v>
      </c>
      <c r="G1356">
        <v>24.5</v>
      </c>
      <c r="H1356">
        <v>0</v>
      </c>
      <c r="I1356">
        <v>0</v>
      </c>
      <c r="J1356">
        <v>0</v>
      </c>
      <c r="K1356">
        <v>0</v>
      </c>
      <c r="L1356">
        <v>155</v>
      </c>
      <c r="M1356">
        <v>224</v>
      </c>
      <c r="N1356" t="s">
        <v>28</v>
      </c>
      <c r="O1356" s="3">
        <v>44727</v>
      </c>
      <c r="P1356">
        <v>-1</v>
      </c>
      <c r="T1356" t="s">
        <v>48</v>
      </c>
      <c r="U1356">
        <v>106</v>
      </c>
      <c r="V1356">
        <v>32.35</v>
      </c>
    </row>
    <row r="1357" spans="1:22" x14ac:dyDescent="0.35">
      <c r="A1357" s="3">
        <v>44503</v>
      </c>
      <c r="B1357" t="s">
        <v>31</v>
      </c>
      <c r="C1357">
        <v>0</v>
      </c>
      <c r="D1357">
        <v>0</v>
      </c>
      <c r="E1357">
        <v>0</v>
      </c>
      <c r="F1357">
        <v>0</v>
      </c>
      <c r="G1357">
        <v>23.520299999999999</v>
      </c>
      <c r="H1357">
        <v>0</v>
      </c>
      <c r="I1357">
        <v>0</v>
      </c>
      <c r="J1357">
        <v>0</v>
      </c>
      <c r="K1357">
        <v>0</v>
      </c>
      <c r="L1357">
        <v>90</v>
      </c>
      <c r="M1357">
        <v>132</v>
      </c>
      <c r="N1357" t="s">
        <v>31</v>
      </c>
      <c r="O1357" s="3">
        <v>44635</v>
      </c>
      <c r="P1357">
        <v>-1</v>
      </c>
      <c r="T1357" t="s">
        <v>47</v>
      </c>
      <c r="U1357">
        <v>126</v>
      </c>
      <c r="V1357">
        <v>30.375</v>
      </c>
    </row>
    <row r="1358" spans="1:22" x14ac:dyDescent="0.35">
      <c r="A1358" s="3">
        <v>44503</v>
      </c>
      <c r="B1358" t="s">
        <v>22</v>
      </c>
      <c r="C1358">
        <v>0</v>
      </c>
      <c r="D1358">
        <v>0</v>
      </c>
      <c r="E1358">
        <v>0</v>
      </c>
      <c r="F1358">
        <v>0</v>
      </c>
      <c r="G1358">
        <v>24.75</v>
      </c>
      <c r="H1358">
        <v>0</v>
      </c>
      <c r="I1358">
        <v>0</v>
      </c>
      <c r="J1358">
        <v>0</v>
      </c>
      <c r="K1358">
        <v>0</v>
      </c>
      <c r="L1358">
        <v>179</v>
      </c>
      <c r="M1358">
        <v>259</v>
      </c>
      <c r="N1358" t="s">
        <v>22</v>
      </c>
      <c r="O1358" s="3">
        <v>44762</v>
      </c>
      <c r="P1358">
        <v>-1</v>
      </c>
      <c r="T1358" t="s">
        <v>46</v>
      </c>
      <c r="U1358">
        <v>145</v>
      </c>
      <c r="V1358">
        <v>29.175000000000001</v>
      </c>
    </row>
    <row r="1359" spans="1:22" x14ac:dyDescent="0.35">
      <c r="A1359" s="3">
        <v>44502</v>
      </c>
      <c r="B1359" t="s">
        <v>35</v>
      </c>
      <c r="C1359">
        <v>0</v>
      </c>
      <c r="D1359">
        <v>0</v>
      </c>
      <c r="E1359">
        <v>0</v>
      </c>
      <c r="F1359">
        <v>0</v>
      </c>
      <c r="G1359">
        <v>17.8505</v>
      </c>
      <c r="H1359">
        <v>0</v>
      </c>
      <c r="I1359">
        <v>0</v>
      </c>
      <c r="J1359">
        <v>0</v>
      </c>
      <c r="K1359">
        <v>0</v>
      </c>
      <c r="L1359">
        <v>11</v>
      </c>
      <c r="M1359">
        <v>15</v>
      </c>
      <c r="N1359" t="s">
        <v>35</v>
      </c>
      <c r="O1359" s="3">
        <v>44517</v>
      </c>
      <c r="P1359">
        <v>-1</v>
      </c>
      <c r="S1359" s="3">
        <v>43977</v>
      </c>
      <c r="T1359" t="s">
        <v>45</v>
      </c>
      <c r="U1359">
        <v>166</v>
      </c>
      <c r="V1359">
        <v>28.75</v>
      </c>
    </row>
    <row r="1360" spans="1:22" x14ac:dyDescent="0.35">
      <c r="A1360" s="3">
        <v>44502</v>
      </c>
      <c r="B1360" t="s">
        <v>29</v>
      </c>
      <c r="C1360">
        <v>0</v>
      </c>
      <c r="D1360">
        <v>0</v>
      </c>
      <c r="E1360">
        <v>0</v>
      </c>
      <c r="F1360">
        <v>0</v>
      </c>
      <c r="G1360">
        <v>24.6313</v>
      </c>
      <c r="H1360">
        <v>0</v>
      </c>
      <c r="I1360">
        <v>0</v>
      </c>
      <c r="J1360">
        <v>0</v>
      </c>
      <c r="K1360">
        <v>0</v>
      </c>
      <c r="L1360">
        <v>137</v>
      </c>
      <c r="M1360">
        <v>197</v>
      </c>
      <c r="N1360" t="s">
        <v>29</v>
      </c>
      <c r="O1360" s="3">
        <v>44699</v>
      </c>
      <c r="P1360">
        <v>-1</v>
      </c>
      <c r="T1360" t="s">
        <v>52</v>
      </c>
      <c r="U1360">
        <v>16</v>
      </c>
      <c r="V1360">
        <v>29.625</v>
      </c>
    </row>
    <row r="1361" spans="1:22" x14ac:dyDescent="0.35">
      <c r="A1361" s="3">
        <v>44502</v>
      </c>
      <c r="B1361" t="s">
        <v>34</v>
      </c>
      <c r="C1361">
        <v>0</v>
      </c>
      <c r="D1361">
        <v>0</v>
      </c>
      <c r="E1361">
        <v>0</v>
      </c>
      <c r="F1361">
        <v>0</v>
      </c>
      <c r="G1361">
        <v>20.350899999999999</v>
      </c>
      <c r="H1361">
        <v>0</v>
      </c>
      <c r="I1361">
        <v>0</v>
      </c>
      <c r="J1361">
        <v>0</v>
      </c>
      <c r="K1361">
        <v>0</v>
      </c>
      <c r="L1361">
        <v>35</v>
      </c>
      <c r="M1361">
        <v>50</v>
      </c>
      <c r="N1361" t="s">
        <v>34</v>
      </c>
      <c r="O1361" s="3">
        <v>44552</v>
      </c>
      <c r="P1361">
        <v>-1</v>
      </c>
      <c r="T1361" t="s">
        <v>51</v>
      </c>
      <c r="U1361">
        <v>41</v>
      </c>
      <c r="V1361">
        <v>30.475000000000001</v>
      </c>
    </row>
    <row r="1362" spans="1:22" x14ac:dyDescent="0.35">
      <c r="A1362" s="3">
        <v>44502</v>
      </c>
      <c r="B1362" t="s">
        <v>28</v>
      </c>
      <c r="C1362">
        <v>0</v>
      </c>
      <c r="D1362">
        <v>0</v>
      </c>
      <c r="E1362">
        <v>0</v>
      </c>
      <c r="F1362">
        <v>0</v>
      </c>
      <c r="G1362">
        <v>24.774999999999999</v>
      </c>
      <c r="H1362">
        <v>0</v>
      </c>
      <c r="I1362">
        <v>0</v>
      </c>
      <c r="J1362">
        <v>0</v>
      </c>
      <c r="K1362">
        <v>0</v>
      </c>
      <c r="L1362">
        <v>156</v>
      </c>
      <c r="M1362">
        <v>225</v>
      </c>
      <c r="N1362" t="s">
        <v>28</v>
      </c>
      <c r="O1362" s="3">
        <v>44727</v>
      </c>
      <c r="P1362">
        <v>-1</v>
      </c>
      <c r="T1362" t="s">
        <v>50</v>
      </c>
      <c r="U1362">
        <v>61</v>
      </c>
      <c r="V1362">
        <v>30.175000000000001</v>
      </c>
    </row>
    <row r="1363" spans="1:22" x14ac:dyDescent="0.35">
      <c r="A1363" s="3">
        <v>44502</v>
      </c>
      <c r="B1363" t="s">
        <v>31</v>
      </c>
      <c r="C1363">
        <v>0</v>
      </c>
      <c r="D1363">
        <v>0</v>
      </c>
      <c r="E1363">
        <v>0</v>
      </c>
      <c r="F1363">
        <v>0</v>
      </c>
      <c r="G1363">
        <v>23.905000000000001</v>
      </c>
      <c r="H1363">
        <v>0</v>
      </c>
      <c r="I1363">
        <v>0</v>
      </c>
      <c r="J1363">
        <v>0</v>
      </c>
      <c r="K1363">
        <v>0</v>
      </c>
      <c r="L1363">
        <v>91</v>
      </c>
      <c r="M1363">
        <v>133</v>
      </c>
      <c r="N1363" t="s">
        <v>31</v>
      </c>
      <c r="O1363" s="3">
        <v>44635</v>
      </c>
      <c r="P1363">
        <v>-1</v>
      </c>
      <c r="T1363" t="s">
        <v>49</v>
      </c>
      <c r="U1363">
        <v>80</v>
      </c>
      <c r="V1363">
        <v>30.425000000000001</v>
      </c>
    </row>
    <row r="1364" spans="1:22" x14ac:dyDescent="0.35">
      <c r="A1364" s="3">
        <v>44502</v>
      </c>
      <c r="B1364" t="s">
        <v>22</v>
      </c>
      <c r="C1364">
        <v>0</v>
      </c>
      <c r="D1364">
        <v>0</v>
      </c>
      <c r="E1364">
        <v>0</v>
      </c>
      <c r="F1364">
        <v>0</v>
      </c>
      <c r="G1364">
        <v>24.95</v>
      </c>
      <c r="H1364">
        <v>0</v>
      </c>
      <c r="I1364">
        <v>0</v>
      </c>
      <c r="J1364">
        <v>0</v>
      </c>
      <c r="K1364">
        <v>0</v>
      </c>
      <c r="L1364">
        <v>180</v>
      </c>
      <c r="M1364">
        <v>260</v>
      </c>
      <c r="N1364" t="s">
        <v>22</v>
      </c>
      <c r="O1364" s="3">
        <v>44762</v>
      </c>
      <c r="P1364">
        <v>-1</v>
      </c>
      <c r="T1364" t="s">
        <v>48</v>
      </c>
      <c r="U1364">
        <v>105</v>
      </c>
      <c r="V1364">
        <v>31.975000000000001</v>
      </c>
    </row>
    <row r="1365" spans="1:22" x14ac:dyDescent="0.35">
      <c r="A1365" s="3">
        <v>44502</v>
      </c>
      <c r="B1365" t="s">
        <v>32</v>
      </c>
      <c r="C1365">
        <v>0</v>
      </c>
      <c r="D1365">
        <v>0</v>
      </c>
      <c r="E1365">
        <v>0</v>
      </c>
      <c r="F1365">
        <v>0</v>
      </c>
      <c r="G1365">
        <v>23.042899999999999</v>
      </c>
      <c r="H1365">
        <v>0</v>
      </c>
      <c r="I1365">
        <v>0</v>
      </c>
      <c r="J1365">
        <v>0</v>
      </c>
      <c r="K1365">
        <v>0</v>
      </c>
      <c r="L1365">
        <v>73</v>
      </c>
      <c r="M1365">
        <v>106</v>
      </c>
      <c r="N1365" t="s">
        <v>32</v>
      </c>
      <c r="O1365" s="3">
        <v>44608</v>
      </c>
      <c r="P1365">
        <v>-1</v>
      </c>
      <c r="T1365" t="s">
        <v>47</v>
      </c>
      <c r="U1365">
        <v>125</v>
      </c>
      <c r="V1365">
        <v>30</v>
      </c>
    </row>
    <row r="1366" spans="1:22" x14ac:dyDescent="0.35">
      <c r="A1366" s="3">
        <v>44502</v>
      </c>
      <c r="B1366" t="s">
        <v>30</v>
      </c>
      <c r="C1366">
        <v>0</v>
      </c>
      <c r="D1366">
        <v>0</v>
      </c>
      <c r="E1366">
        <v>0</v>
      </c>
      <c r="F1366">
        <v>0</v>
      </c>
      <c r="G1366">
        <v>24.4</v>
      </c>
      <c r="H1366">
        <v>0</v>
      </c>
      <c r="I1366">
        <v>0</v>
      </c>
      <c r="J1366">
        <v>0</v>
      </c>
      <c r="K1366">
        <v>0</v>
      </c>
      <c r="L1366">
        <v>117</v>
      </c>
      <c r="M1366">
        <v>169</v>
      </c>
      <c r="N1366" t="s">
        <v>30</v>
      </c>
      <c r="O1366" s="3">
        <v>44671</v>
      </c>
      <c r="P1366">
        <v>-1</v>
      </c>
      <c r="T1366" t="s">
        <v>46</v>
      </c>
      <c r="U1366">
        <v>144</v>
      </c>
      <c r="V1366">
        <v>28.774999999999999</v>
      </c>
    </row>
    <row r="1367" spans="1:22" x14ac:dyDescent="0.35">
      <c r="A1367" s="3">
        <v>44502</v>
      </c>
      <c r="B1367" t="s">
        <v>33</v>
      </c>
      <c r="C1367">
        <v>0</v>
      </c>
      <c r="D1367">
        <v>0</v>
      </c>
      <c r="E1367">
        <v>0</v>
      </c>
      <c r="F1367">
        <v>0</v>
      </c>
      <c r="G1367">
        <v>22.0047</v>
      </c>
      <c r="H1367">
        <v>0</v>
      </c>
      <c r="I1367">
        <v>0</v>
      </c>
      <c r="J1367">
        <v>0</v>
      </c>
      <c r="K1367">
        <v>0</v>
      </c>
      <c r="L1367">
        <v>53</v>
      </c>
      <c r="M1367">
        <v>78</v>
      </c>
      <c r="N1367" t="s">
        <v>33</v>
      </c>
      <c r="O1367" s="3">
        <v>44580</v>
      </c>
      <c r="P1367">
        <v>-1</v>
      </c>
      <c r="S1367" s="3">
        <v>43978</v>
      </c>
      <c r="T1367" t="s">
        <v>45</v>
      </c>
      <c r="U1367">
        <v>165</v>
      </c>
      <c r="V1367">
        <v>28.45</v>
      </c>
    </row>
    <row r="1368" spans="1:22" x14ac:dyDescent="0.35">
      <c r="A1368" s="3">
        <v>44501</v>
      </c>
      <c r="B1368" t="s">
        <v>32</v>
      </c>
      <c r="C1368">
        <v>0</v>
      </c>
      <c r="D1368">
        <v>0</v>
      </c>
      <c r="E1368">
        <v>0</v>
      </c>
      <c r="F1368">
        <v>0</v>
      </c>
      <c r="G1368">
        <v>23.3491</v>
      </c>
      <c r="H1368">
        <v>0</v>
      </c>
      <c r="I1368">
        <v>0</v>
      </c>
      <c r="J1368">
        <v>0</v>
      </c>
      <c r="K1368">
        <v>0</v>
      </c>
      <c r="L1368">
        <v>74</v>
      </c>
      <c r="M1368">
        <v>107</v>
      </c>
      <c r="N1368" t="s">
        <v>32</v>
      </c>
      <c r="O1368" s="3">
        <v>44608</v>
      </c>
      <c r="P1368">
        <v>-1</v>
      </c>
      <c r="T1368" t="s">
        <v>52</v>
      </c>
      <c r="U1368">
        <v>15</v>
      </c>
      <c r="V1368">
        <v>29.074999999999999</v>
      </c>
    </row>
    <row r="1369" spans="1:22" x14ac:dyDescent="0.35">
      <c r="A1369" s="3">
        <v>44501</v>
      </c>
      <c r="B1369" t="s">
        <v>30</v>
      </c>
      <c r="C1369">
        <v>0</v>
      </c>
      <c r="D1369">
        <v>0</v>
      </c>
      <c r="E1369">
        <v>0</v>
      </c>
      <c r="F1369">
        <v>0</v>
      </c>
      <c r="G1369">
        <v>24.65</v>
      </c>
      <c r="H1369">
        <v>0</v>
      </c>
      <c r="I1369">
        <v>0</v>
      </c>
      <c r="J1369">
        <v>0</v>
      </c>
      <c r="K1369">
        <v>0</v>
      </c>
      <c r="L1369">
        <v>118</v>
      </c>
      <c r="M1369">
        <v>170</v>
      </c>
      <c r="N1369" t="s">
        <v>30</v>
      </c>
      <c r="O1369" s="3">
        <v>44671</v>
      </c>
      <c r="P1369">
        <v>-1</v>
      </c>
      <c r="T1369" t="s">
        <v>51</v>
      </c>
      <c r="U1369">
        <v>40</v>
      </c>
      <c r="V1369">
        <v>30.074999999999999</v>
      </c>
    </row>
    <row r="1370" spans="1:22" x14ac:dyDescent="0.35">
      <c r="A1370" s="3">
        <v>44501</v>
      </c>
      <c r="B1370" t="s">
        <v>33</v>
      </c>
      <c r="C1370">
        <v>0</v>
      </c>
      <c r="D1370">
        <v>0</v>
      </c>
      <c r="E1370">
        <v>0</v>
      </c>
      <c r="F1370">
        <v>0</v>
      </c>
      <c r="G1370">
        <v>22.4497</v>
      </c>
      <c r="H1370">
        <v>0</v>
      </c>
      <c r="I1370">
        <v>0</v>
      </c>
      <c r="J1370">
        <v>0</v>
      </c>
      <c r="K1370">
        <v>0</v>
      </c>
      <c r="L1370">
        <v>54</v>
      </c>
      <c r="M1370">
        <v>79</v>
      </c>
      <c r="N1370" t="s">
        <v>33</v>
      </c>
      <c r="O1370" s="3">
        <v>44580</v>
      </c>
      <c r="P1370">
        <v>-1</v>
      </c>
      <c r="T1370" t="s">
        <v>50</v>
      </c>
      <c r="U1370">
        <v>60</v>
      </c>
      <c r="V1370">
        <v>29.824999999999999</v>
      </c>
    </row>
    <row r="1371" spans="1:22" x14ac:dyDescent="0.35">
      <c r="A1371" s="3">
        <v>44501</v>
      </c>
      <c r="B1371" t="s">
        <v>35</v>
      </c>
      <c r="C1371">
        <v>0</v>
      </c>
      <c r="D1371">
        <v>0</v>
      </c>
      <c r="E1371">
        <v>0</v>
      </c>
      <c r="F1371">
        <v>0</v>
      </c>
      <c r="G1371">
        <v>18.399899999999999</v>
      </c>
      <c r="H1371">
        <v>0</v>
      </c>
      <c r="I1371">
        <v>0</v>
      </c>
      <c r="J1371">
        <v>0</v>
      </c>
      <c r="K1371">
        <v>0</v>
      </c>
      <c r="L1371">
        <v>12</v>
      </c>
      <c r="M1371">
        <v>16</v>
      </c>
      <c r="N1371" t="s">
        <v>35</v>
      </c>
      <c r="O1371" s="3">
        <v>44517</v>
      </c>
      <c r="P1371">
        <v>-1</v>
      </c>
      <c r="T1371" t="s">
        <v>49</v>
      </c>
      <c r="U1371">
        <v>79</v>
      </c>
      <c r="V1371">
        <v>30.125</v>
      </c>
    </row>
    <row r="1372" spans="1:22" x14ac:dyDescent="0.35">
      <c r="A1372" s="3">
        <v>44501</v>
      </c>
      <c r="B1372" t="s">
        <v>29</v>
      </c>
      <c r="C1372">
        <v>0</v>
      </c>
      <c r="D1372">
        <v>0</v>
      </c>
      <c r="E1372">
        <v>0</v>
      </c>
      <c r="F1372">
        <v>0</v>
      </c>
      <c r="G1372">
        <v>24.8553</v>
      </c>
      <c r="H1372">
        <v>0</v>
      </c>
      <c r="I1372">
        <v>0</v>
      </c>
      <c r="J1372">
        <v>0</v>
      </c>
      <c r="K1372">
        <v>0</v>
      </c>
      <c r="L1372">
        <v>138</v>
      </c>
      <c r="M1372">
        <v>198</v>
      </c>
      <c r="N1372" t="s">
        <v>29</v>
      </c>
      <c r="O1372" s="3">
        <v>44699</v>
      </c>
      <c r="P1372">
        <v>-1</v>
      </c>
      <c r="T1372" t="s">
        <v>48</v>
      </c>
      <c r="U1372">
        <v>104</v>
      </c>
      <c r="V1372">
        <v>31.675000000000001</v>
      </c>
    </row>
    <row r="1373" spans="1:22" x14ac:dyDescent="0.35">
      <c r="A1373" s="3">
        <v>44501</v>
      </c>
      <c r="B1373" t="s">
        <v>34</v>
      </c>
      <c r="C1373">
        <v>0</v>
      </c>
      <c r="D1373">
        <v>0</v>
      </c>
      <c r="E1373">
        <v>0</v>
      </c>
      <c r="F1373">
        <v>0</v>
      </c>
      <c r="G1373">
        <v>20.800599999999999</v>
      </c>
      <c r="H1373">
        <v>0</v>
      </c>
      <c r="I1373">
        <v>0</v>
      </c>
      <c r="J1373">
        <v>0</v>
      </c>
      <c r="K1373">
        <v>0</v>
      </c>
      <c r="L1373">
        <v>36</v>
      </c>
      <c r="M1373">
        <v>51</v>
      </c>
      <c r="N1373" t="s">
        <v>34</v>
      </c>
      <c r="O1373" s="3">
        <v>44552</v>
      </c>
      <c r="P1373">
        <v>-1</v>
      </c>
      <c r="T1373" t="s">
        <v>47</v>
      </c>
      <c r="U1373">
        <v>124</v>
      </c>
      <c r="V1373">
        <v>29.725000000000001</v>
      </c>
    </row>
    <row r="1374" spans="1:22" x14ac:dyDescent="0.35">
      <c r="A1374" s="3">
        <v>44501</v>
      </c>
      <c r="B1374" t="s">
        <v>28</v>
      </c>
      <c r="C1374">
        <v>0</v>
      </c>
      <c r="D1374">
        <v>0</v>
      </c>
      <c r="E1374">
        <v>0</v>
      </c>
      <c r="F1374">
        <v>0</v>
      </c>
      <c r="G1374">
        <v>24.95</v>
      </c>
      <c r="H1374">
        <v>0</v>
      </c>
      <c r="I1374">
        <v>0</v>
      </c>
      <c r="J1374">
        <v>0</v>
      </c>
      <c r="K1374">
        <v>0</v>
      </c>
      <c r="L1374">
        <v>157</v>
      </c>
      <c r="M1374">
        <v>226</v>
      </c>
      <c r="N1374" t="s">
        <v>28</v>
      </c>
      <c r="O1374" s="3">
        <v>44727</v>
      </c>
      <c r="P1374">
        <v>-1</v>
      </c>
      <c r="T1374" t="s">
        <v>46</v>
      </c>
      <c r="U1374">
        <v>143</v>
      </c>
      <c r="V1374">
        <v>28.425000000000001</v>
      </c>
    </row>
    <row r="1375" spans="1:22" x14ac:dyDescent="0.35">
      <c r="A1375" s="3">
        <v>44501</v>
      </c>
      <c r="B1375" t="s">
        <v>31</v>
      </c>
      <c r="C1375">
        <v>0</v>
      </c>
      <c r="D1375">
        <v>0</v>
      </c>
      <c r="E1375">
        <v>0</v>
      </c>
      <c r="F1375">
        <v>0</v>
      </c>
      <c r="G1375">
        <v>24.249400000000001</v>
      </c>
      <c r="H1375">
        <v>0</v>
      </c>
      <c r="I1375">
        <v>0</v>
      </c>
      <c r="J1375">
        <v>0</v>
      </c>
      <c r="K1375">
        <v>0</v>
      </c>
      <c r="L1375">
        <v>92</v>
      </c>
      <c r="M1375">
        <v>134</v>
      </c>
      <c r="N1375" t="s">
        <v>31</v>
      </c>
      <c r="O1375" s="3">
        <v>44635</v>
      </c>
      <c r="P1375">
        <v>-1</v>
      </c>
      <c r="S1375" s="3">
        <v>43979</v>
      </c>
      <c r="T1375" t="s">
        <v>45</v>
      </c>
      <c r="U1375">
        <v>164</v>
      </c>
      <c r="V1375">
        <v>28.75</v>
      </c>
    </row>
    <row r="1376" spans="1:22" x14ac:dyDescent="0.35">
      <c r="A1376" s="3">
        <v>44501</v>
      </c>
      <c r="B1376" t="s">
        <v>22</v>
      </c>
      <c r="C1376">
        <v>0</v>
      </c>
      <c r="D1376">
        <v>0</v>
      </c>
      <c r="E1376">
        <v>0</v>
      </c>
      <c r="F1376">
        <v>0</v>
      </c>
      <c r="G1376">
        <v>25.125</v>
      </c>
      <c r="H1376">
        <v>0</v>
      </c>
      <c r="I1376">
        <v>0</v>
      </c>
      <c r="J1376">
        <v>0</v>
      </c>
      <c r="K1376">
        <v>0</v>
      </c>
      <c r="L1376">
        <v>181</v>
      </c>
      <c r="M1376">
        <v>261</v>
      </c>
      <c r="N1376" t="s">
        <v>22</v>
      </c>
      <c r="O1376" s="3">
        <v>44762</v>
      </c>
      <c r="P1376">
        <v>-1</v>
      </c>
      <c r="T1376" t="s">
        <v>52</v>
      </c>
      <c r="U1376">
        <v>14</v>
      </c>
      <c r="V1376">
        <v>30.324999999999999</v>
      </c>
    </row>
    <row r="1377" spans="1:22" x14ac:dyDescent="0.35">
      <c r="A1377" s="3">
        <v>44498</v>
      </c>
      <c r="B1377" t="s">
        <v>35</v>
      </c>
      <c r="C1377">
        <v>0</v>
      </c>
      <c r="D1377">
        <v>0</v>
      </c>
      <c r="E1377">
        <v>0</v>
      </c>
      <c r="F1377">
        <v>0</v>
      </c>
      <c r="G1377">
        <v>18.779299999999999</v>
      </c>
      <c r="H1377">
        <v>0</v>
      </c>
      <c r="I1377">
        <v>0</v>
      </c>
      <c r="J1377">
        <v>0</v>
      </c>
      <c r="K1377">
        <v>0</v>
      </c>
      <c r="L1377">
        <v>13</v>
      </c>
      <c r="M1377">
        <v>19</v>
      </c>
      <c r="N1377" t="s">
        <v>35</v>
      </c>
      <c r="O1377" s="3">
        <v>44517</v>
      </c>
      <c r="P1377">
        <v>-1</v>
      </c>
      <c r="T1377" t="s">
        <v>51</v>
      </c>
      <c r="U1377">
        <v>39</v>
      </c>
      <c r="V1377">
        <v>31.125</v>
      </c>
    </row>
    <row r="1378" spans="1:22" x14ac:dyDescent="0.35">
      <c r="A1378" s="3">
        <v>44498</v>
      </c>
      <c r="B1378" t="s">
        <v>29</v>
      </c>
      <c r="C1378">
        <v>0</v>
      </c>
      <c r="D1378">
        <v>0</v>
      </c>
      <c r="E1378">
        <v>0</v>
      </c>
      <c r="F1378">
        <v>0</v>
      </c>
      <c r="G1378">
        <v>24.944700000000001</v>
      </c>
      <c r="H1378">
        <v>0</v>
      </c>
      <c r="I1378">
        <v>0</v>
      </c>
      <c r="J1378">
        <v>0</v>
      </c>
      <c r="K1378">
        <v>0</v>
      </c>
      <c r="L1378">
        <v>139</v>
      </c>
      <c r="M1378">
        <v>201</v>
      </c>
      <c r="N1378" t="s">
        <v>29</v>
      </c>
      <c r="O1378" s="3">
        <v>44699</v>
      </c>
      <c r="P1378">
        <v>-1</v>
      </c>
      <c r="T1378" t="s">
        <v>50</v>
      </c>
      <c r="U1378">
        <v>59</v>
      </c>
      <c r="V1378">
        <v>30.675000000000001</v>
      </c>
    </row>
    <row r="1379" spans="1:22" x14ac:dyDescent="0.35">
      <c r="A1379" s="3">
        <v>44498</v>
      </c>
      <c r="B1379" t="s">
        <v>34</v>
      </c>
      <c r="C1379">
        <v>0</v>
      </c>
      <c r="D1379">
        <v>0</v>
      </c>
      <c r="E1379">
        <v>0</v>
      </c>
      <c r="F1379">
        <v>0</v>
      </c>
      <c r="G1379">
        <v>21.0533</v>
      </c>
      <c r="H1379">
        <v>0</v>
      </c>
      <c r="I1379">
        <v>0</v>
      </c>
      <c r="J1379">
        <v>0</v>
      </c>
      <c r="K1379">
        <v>0</v>
      </c>
      <c r="L1379">
        <v>37</v>
      </c>
      <c r="M1379">
        <v>54</v>
      </c>
      <c r="N1379" t="s">
        <v>34</v>
      </c>
      <c r="O1379" s="3">
        <v>44552</v>
      </c>
      <c r="P1379">
        <v>-1</v>
      </c>
      <c r="T1379" t="s">
        <v>49</v>
      </c>
      <c r="U1379">
        <v>78</v>
      </c>
      <c r="V1379">
        <v>30.774999999999999</v>
      </c>
    </row>
    <row r="1380" spans="1:22" x14ac:dyDescent="0.35">
      <c r="A1380" s="3">
        <v>44498</v>
      </c>
      <c r="B1380" t="s">
        <v>28</v>
      </c>
      <c r="C1380">
        <v>0</v>
      </c>
      <c r="D1380">
        <v>0</v>
      </c>
      <c r="E1380">
        <v>0</v>
      </c>
      <c r="F1380">
        <v>0</v>
      </c>
      <c r="G1380">
        <v>25.05</v>
      </c>
      <c r="H1380">
        <v>0</v>
      </c>
      <c r="I1380">
        <v>0</v>
      </c>
      <c r="J1380">
        <v>0</v>
      </c>
      <c r="K1380">
        <v>0</v>
      </c>
      <c r="L1380">
        <v>158</v>
      </c>
      <c r="M1380">
        <v>229</v>
      </c>
      <c r="N1380" t="s">
        <v>28</v>
      </c>
      <c r="O1380" s="3">
        <v>44727</v>
      </c>
      <c r="P1380">
        <v>-1</v>
      </c>
      <c r="T1380" t="s">
        <v>48</v>
      </c>
      <c r="U1380">
        <v>103</v>
      </c>
      <c r="V1380">
        <v>32.325000000000003</v>
      </c>
    </row>
    <row r="1381" spans="1:22" x14ac:dyDescent="0.35">
      <c r="A1381" s="3">
        <v>44498</v>
      </c>
      <c r="B1381" t="s">
        <v>31</v>
      </c>
      <c r="C1381">
        <v>0</v>
      </c>
      <c r="D1381">
        <v>0</v>
      </c>
      <c r="E1381">
        <v>0</v>
      </c>
      <c r="F1381">
        <v>0</v>
      </c>
      <c r="G1381">
        <v>24.339700000000001</v>
      </c>
      <c r="H1381">
        <v>0</v>
      </c>
      <c r="I1381">
        <v>0</v>
      </c>
      <c r="J1381">
        <v>0</v>
      </c>
      <c r="K1381">
        <v>0</v>
      </c>
      <c r="L1381">
        <v>93</v>
      </c>
      <c r="M1381">
        <v>137</v>
      </c>
      <c r="N1381" t="s">
        <v>31</v>
      </c>
      <c r="O1381" s="3">
        <v>44635</v>
      </c>
      <c r="P1381">
        <v>-1</v>
      </c>
      <c r="T1381" t="s">
        <v>47</v>
      </c>
      <c r="U1381">
        <v>123</v>
      </c>
      <c r="V1381">
        <v>30.225000000000001</v>
      </c>
    </row>
    <row r="1382" spans="1:22" x14ac:dyDescent="0.35">
      <c r="A1382" s="3">
        <v>44498</v>
      </c>
      <c r="B1382" t="s">
        <v>22</v>
      </c>
      <c r="C1382">
        <v>0</v>
      </c>
      <c r="D1382">
        <v>0</v>
      </c>
      <c r="E1382">
        <v>0</v>
      </c>
      <c r="F1382">
        <v>0</v>
      </c>
      <c r="G1382">
        <v>25.125</v>
      </c>
      <c r="H1382">
        <v>0</v>
      </c>
      <c r="I1382">
        <v>0</v>
      </c>
      <c r="J1382">
        <v>0</v>
      </c>
      <c r="K1382">
        <v>0</v>
      </c>
      <c r="L1382">
        <v>182</v>
      </c>
      <c r="M1382">
        <v>264</v>
      </c>
      <c r="N1382" t="s">
        <v>22</v>
      </c>
      <c r="O1382" s="3">
        <v>44762</v>
      </c>
      <c r="P1382">
        <v>-1</v>
      </c>
      <c r="T1382" t="s">
        <v>46</v>
      </c>
      <c r="U1382">
        <v>142</v>
      </c>
      <c r="V1382">
        <v>28.875</v>
      </c>
    </row>
    <row r="1383" spans="1:22" x14ac:dyDescent="0.35">
      <c r="A1383" s="3">
        <v>44498</v>
      </c>
      <c r="B1383" t="s">
        <v>32</v>
      </c>
      <c r="C1383">
        <v>0</v>
      </c>
      <c r="D1383">
        <v>0</v>
      </c>
      <c r="E1383">
        <v>0</v>
      </c>
      <c r="F1383">
        <v>0</v>
      </c>
      <c r="G1383">
        <v>23.4754</v>
      </c>
      <c r="H1383">
        <v>0</v>
      </c>
      <c r="I1383">
        <v>0</v>
      </c>
      <c r="J1383">
        <v>0</v>
      </c>
      <c r="K1383">
        <v>0</v>
      </c>
      <c r="L1383">
        <v>75</v>
      </c>
      <c r="M1383">
        <v>110</v>
      </c>
      <c r="N1383" t="s">
        <v>32</v>
      </c>
      <c r="O1383" s="3">
        <v>44608</v>
      </c>
      <c r="P1383">
        <v>-1</v>
      </c>
      <c r="S1383" s="3">
        <v>43980</v>
      </c>
      <c r="T1383" t="s">
        <v>45</v>
      </c>
      <c r="U1383">
        <v>163</v>
      </c>
      <c r="V1383">
        <v>28.3</v>
      </c>
    </row>
    <row r="1384" spans="1:22" x14ac:dyDescent="0.35">
      <c r="A1384" s="3">
        <v>44498</v>
      </c>
      <c r="B1384" t="s">
        <v>30</v>
      </c>
      <c r="C1384">
        <v>0</v>
      </c>
      <c r="D1384">
        <v>0</v>
      </c>
      <c r="E1384">
        <v>0</v>
      </c>
      <c r="F1384">
        <v>0</v>
      </c>
      <c r="G1384">
        <v>24.741900000000001</v>
      </c>
      <c r="H1384">
        <v>0</v>
      </c>
      <c r="I1384">
        <v>0</v>
      </c>
      <c r="J1384">
        <v>0</v>
      </c>
      <c r="K1384">
        <v>0</v>
      </c>
      <c r="L1384">
        <v>119</v>
      </c>
      <c r="M1384">
        <v>173</v>
      </c>
      <c r="N1384" t="s">
        <v>30</v>
      </c>
      <c r="O1384" s="3">
        <v>44671</v>
      </c>
      <c r="P1384">
        <v>-1</v>
      </c>
      <c r="T1384" t="s">
        <v>52</v>
      </c>
      <c r="U1384">
        <v>13</v>
      </c>
      <c r="V1384">
        <v>28.824999999999999</v>
      </c>
    </row>
    <row r="1385" spans="1:22" x14ac:dyDescent="0.35">
      <c r="A1385" s="3">
        <v>44498</v>
      </c>
      <c r="B1385" t="s">
        <v>33</v>
      </c>
      <c r="C1385">
        <v>0</v>
      </c>
      <c r="D1385">
        <v>0</v>
      </c>
      <c r="E1385">
        <v>0</v>
      </c>
      <c r="F1385">
        <v>0</v>
      </c>
      <c r="G1385">
        <v>22.563400000000001</v>
      </c>
      <c r="H1385">
        <v>0</v>
      </c>
      <c r="I1385">
        <v>0</v>
      </c>
      <c r="J1385">
        <v>0</v>
      </c>
      <c r="K1385">
        <v>0</v>
      </c>
      <c r="L1385">
        <v>55</v>
      </c>
      <c r="M1385">
        <v>82</v>
      </c>
      <c r="N1385" t="s">
        <v>33</v>
      </c>
      <c r="O1385" s="3">
        <v>44580</v>
      </c>
      <c r="P1385">
        <v>-1</v>
      </c>
      <c r="T1385" t="s">
        <v>51</v>
      </c>
      <c r="U1385">
        <v>38</v>
      </c>
      <c r="V1385">
        <v>30.175000000000001</v>
      </c>
    </row>
    <row r="1386" spans="1:22" x14ac:dyDescent="0.35">
      <c r="A1386" s="3">
        <v>44497</v>
      </c>
      <c r="B1386" t="s">
        <v>32</v>
      </c>
      <c r="C1386">
        <v>0</v>
      </c>
      <c r="D1386">
        <v>0</v>
      </c>
      <c r="E1386">
        <v>0</v>
      </c>
      <c r="F1386">
        <v>0</v>
      </c>
      <c r="G1386">
        <v>23.2</v>
      </c>
      <c r="H1386">
        <v>0</v>
      </c>
      <c r="I1386">
        <v>0</v>
      </c>
      <c r="J1386">
        <v>0</v>
      </c>
      <c r="K1386">
        <v>0</v>
      </c>
      <c r="L1386">
        <v>76</v>
      </c>
      <c r="M1386">
        <v>111</v>
      </c>
      <c r="N1386" t="s">
        <v>32</v>
      </c>
      <c r="O1386" s="3">
        <v>44608</v>
      </c>
      <c r="P1386">
        <v>-1</v>
      </c>
      <c r="T1386" t="s">
        <v>50</v>
      </c>
      <c r="U1386">
        <v>58</v>
      </c>
      <c r="V1386">
        <v>30.024999999999999</v>
      </c>
    </row>
    <row r="1387" spans="1:22" x14ac:dyDescent="0.35">
      <c r="A1387" s="3">
        <v>44497</v>
      </c>
      <c r="B1387" t="s">
        <v>30</v>
      </c>
      <c r="C1387">
        <v>0</v>
      </c>
      <c r="D1387">
        <v>0</v>
      </c>
      <c r="E1387">
        <v>0</v>
      </c>
      <c r="F1387">
        <v>0</v>
      </c>
      <c r="G1387">
        <v>24.5</v>
      </c>
      <c r="H1387">
        <v>0</v>
      </c>
      <c r="I1387">
        <v>0</v>
      </c>
      <c r="J1387">
        <v>0</v>
      </c>
      <c r="K1387">
        <v>0</v>
      </c>
      <c r="L1387">
        <v>120</v>
      </c>
      <c r="M1387">
        <v>174</v>
      </c>
      <c r="N1387" t="s">
        <v>30</v>
      </c>
      <c r="O1387" s="3">
        <v>44671</v>
      </c>
      <c r="P1387">
        <v>-1</v>
      </c>
      <c r="T1387" t="s">
        <v>49</v>
      </c>
      <c r="U1387">
        <v>77</v>
      </c>
      <c r="V1387">
        <v>30.225000000000001</v>
      </c>
    </row>
    <row r="1388" spans="1:22" x14ac:dyDescent="0.35">
      <c r="A1388" s="3">
        <v>44497</v>
      </c>
      <c r="B1388" t="s">
        <v>33</v>
      </c>
      <c r="C1388">
        <v>0</v>
      </c>
      <c r="D1388">
        <v>0</v>
      </c>
      <c r="E1388">
        <v>0</v>
      </c>
      <c r="F1388">
        <v>0</v>
      </c>
      <c r="G1388">
        <v>22.330400000000001</v>
      </c>
      <c r="H1388">
        <v>0</v>
      </c>
      <c r="I1388">
        <v>0</v>
      </c>
      <c r="J1388">
        <v>0</v>
      </c>
      <c r="K1388">
        <v>0</v>
      </c>
      <c r="L1388">
        <v>56</v>
      </c>
      <c r="M1388">
        <v>83</v>
      </c>
      <c r="N1388" t="s">
        <v>33</v>
      </c>
      <c r="O1388" s="3">
        <v>44580</v>
      </c>
      <c r="P1388">
        <v>-1</v>
      </c>
      <c r="T1388" t="s">
        <v>48</v>
      </c>
      <c r="U1388">
        <v>102</v>
      </c>
      <c r="V1388">
        <v>31.925000000000001</v>
      </c>
    </row>
    <row r="1389" spans="1:22" x14ac:dyDescent="0.35">
      <c r="A1389" s="3">
        <v>44497</v>
      </c>
      <c r="B1389" t="s">
        <v>35</v>
      </c>
      <c r="C1389">
        <v>0</v>
      </c>
      <c r="D1389">
        <v>0</v>
      </c>
      <c r="E1389">
        <v>0</v>
      </c>
      <c r="F1389">
        <v>0</v>
      </c>
      <c r="G1389">
        <v>18.650300000000001</v>
      </c>
      <c r="H1389">
        <v>0</v>
      </c>
      <c r="I1389">
        <v>0</v>
      </c>
      <c r="J1389">
        <v>0</v>
      </c>
      <c r="K1389">
        <v>0</v>
      </c>
      <c r="L1389">
        <v>14</v>
      </c>
      <c r="M1389">
        <v>20</v>
      </c>
      <c r="N1389" t="s">
        <v>35</v>
      </c>
      <c r="O1389" s="3">
        <v>44517</v>
      </c>
      <c r="P1389">
        <v>-1</v>
      </c>
      <c r="T1389" t="s">
        <v>47</v>
      </c>
      <c r="U1389">
        <v>122</v>
      </c>
      <c r="V1389">
        <v>29.824999999999999</v>
      </c>
    </row>
    <row r="1390" spans="1:22" x14ac:dyDescent="0.35">
      <c r="A1390" s="3">
        <v>44497</v>
      </c>
      <c r="B1390" t="s">
        <v>29</v>
      </c>
      <c r="C1390">
        <v>0</v>
      </c>
      <c r="D1390">
        <v>0</v>
      </c>
      <c r="E1390">
        <v>0</v>
      </c>
      <c r="F1390">
        <v>0</v>
      </c>
      <c r="G1390">
        <v>24.739100000000001</v>
      </c>
      <c r="H1390">
        <v>0</v>
      </c>
      <c r="I1390">
        <v>0</v>
      </c>
      <c r="J1390">
        <v>0</v>
      </c>
      <c r="K1390">
        <v>0</v>
      </c>
      <c r="L1390">
        <v>140</v>
      </c>
      <c r="M1390">
        <v>202</v>
      </c>
      <c r="N1390" t="s">
        <v>29</v>
      </c>
      <c r="O1390" s="3">
        <v>44699</v>
      </c>
      <c r="P1390">
        <v>-1</v>
      </c>
      <c r="T1390" t="s">
        <v>46</v>
      </c>
      <c r="U1390">
        <v>141</v>
      </c>
      <c r="V1390">
        <v>28.35</v>
      </c>
    </row>
    <row r="1391" spans="1:22" x14ac:dyDescent="0.35">
      <c r="A1391" s="3">
        <v>44497</v>
      </c>
      <c r="B1391" t="s">
        <v>34</v>
      </c>
      <c r="C1391">
        <v>0</v>
      </c>
      <c r="D1391">
        <v>0</v>
      </c>
      <c r="E1391">
        <v>0</v>
      </c>
      <c r="F1391">
        <v>0</v>
      </c>
      <c r="G1391">
        <v>20.849299999999999</v>
      </c>
      <c r="H1391">
        <v>0</v>
      </c>
      <c r="I1391">
        <v>0</v>
      </c>
      <c r="J1391">
        <v>0</v>
      </c>
      <c r="K1391">
        <v>0</v>
      </c>
      <c r="L1391">
        <v>38</v>
      </c>
      <c r="M1391">
        <v>55</v>
      </c>
      <c r="N1391" t="s">
        <v>34</v>
      </c>
      <c r="O1391" s="3">
        <v>44552</v>
      </c>
      <c r="P1391">
        <v>-1</v>
      </c>
      <c r="S1391" s="3">
        <v>43983</v>
      </c>
      <c r="T1391" t="s">
        <v>45</v>
      </c>
      <c r="U1391">
        <v>162</v>
      </c>
      <c r="V1391">
        <v>28.524999999999999</v>
      </c>
    </row>
    <row r="1392" spans="1:22" x14ac:dyDescent="0.35">
      <c r="A1392" s="3">
        <v>44497</v>
      </c>
      <c r="B1392" t="s">
        <v>28</v>
      </c>
      <c r="C1392">
        <v>0</v>
      </c>
      <c r="D1392">
        <v>0</v>
      </c>
      <c r="E1392">
        <v>0</v>
      </c>
      <c r="F1392">
        <v>0</v>
      </c>
      <c r="G1392">
        <v>24.85</v>
      </c>
      <c r="H1392">
        <v>0</v>
      </c>
      <c r="I1392">
        <v>0</v>
      </c>
      <c r="J1392">
        <v>0</v>
      </c>
      <c r="K1392">
        <v>0</v>
      </c>
      <c r="L1392">
        <v>159</v>
      </c>
      <c r="M1392">
        <v>230</v>
      </c>
      <c r="N1392" t="s">
        <v>28</v>
      </c>
      <c r="O1392" s="3">
        <v>44727</v>
      </c>
      <c r="P1392">
        <v>-1</v>
      </c>
      <c r="T1392" t="s">
        <v>52</v>
      </c>
      <c r="U1392">
        <v>12</v>
      </c>
      <c r="V1392">
        <v>29.524999999999999</v>
      </c>
    </row>
    <row r="1393" spans="1:22" x14ac:dyDescent="0.35">
      <c r="A1393" s="3">
        <v>44497</v>
      </c>
      <c r="B1393" t="s">
        <v>31</v>
      </c>
      <c r="C1393">
        <v>0</v>
      </c>
      <c r="D1393">
        <v>0</v>
      </c>
      <c r="E1393">
        <v>0</v>
      </c>
      <c r="F1393">
        <v>0</v>
      </c>
      <c r="G1393">
        <v>24.05</v>
      </c>
      <c r="H1393">
        <v>0</v>
      </c>
      <c r="I1393">
        <v>0</v>
      </c>
      <c r="J1393">
        <v>0</v>
      </c>
      <c r="K1393">
        <v>0</v>
      </c>
      <c r="L1393">
        <v>94</v>
      </c>
      <c r="M1393">
        <v>138</v>
      </c>
      <c r="N1393" t="s">
        <v>31</v>
      </c>
      <c r="O1393" s="3">
        <v>44635</v>
      </c>
      <c r="P1393">
        <v>-1</v>
      </c>
      <c r="T1393" t="s">
        <v>51</v>
      </c>
      <c r="U1393">
        <v>37</v>
      </c>
      <c r="V1393">
        <v>30.774999999999999</v>
      </c>
    </row>
    <row r="1394" spans="1:22" x14ac:dyDescent="0.35">
      <c r="A1394" s="3">
        <v>44497</v>
      </c>
      <c r="B1394" t="s">
        <v>22</v>
      </c>
      <c r="C1394">
        <v>0</v>
      </c>
      <c r="D1394">
        <v>0</v>
      </c>
      <c r="E1394">
        <v>0</v>
      </c>
      <c r="F1394">
        <v>0</v>
      </c>
      <c r="G1394">
        <v>25.15</v>
      </c>
      <c r="H1394">
        <v>0</v>
      </c>
      <c r="I1394">
        <v>0</v>
      </c>
      <c r="J1394">
        <v>0</v>
      </c>
      <c r="K1394">
        <v>0</v>
      </c>
      <c r="L1394">
        <v>183</v>
      </c>
      <c r="M1394">
        <v>265</v>
      </c>
      <c r="N1394" t="s">
        <v>22</v>
      </c>
      <c r="O1394" s="3">
        <v>44762</v>
      </c>
      <c r="P1394">
        <v>-1</v>
      </c>
      <c r="T1394" t="s">
        <v>50</v>
      </c>
      <c r="U1394">
        <v>57</v>
      </c>
      <c r="V1394">
        <v>30.475000000000001</v>
      </c>
    </row>
    <row r="1395" spans="1:22" x14ac:dyDescent="0.35">
      <c r="A1395" s="3">
        <v>44496</v>
      </c>
      <c r="B1395" t="s">
        <v>35</v>
      </c>
      <c r="C1395">
        <v>0</v>
      </c>
      <c r="D1395">
        <v>0</v>
      </c>
      <c r="E1395">
        <v>0</v>
      </c>
      <c r="F1395">
        <v>0</v>
      </c>
      <c r="G1395">
        <v>19.349599999999999</v>
      </c>
      <c r="H1395">
        <v>0</v>
      </c>
      <c r="I1395">
        <v>0</v>
      </c>
      <c r="J1395">
        <v>0</v>
      </c>
      <c r="K1395">
        <v>0</v>
      </c>
      <c r="L1395">
        <v>15</v>
      </c>
      <c r="M1395">
        <v>21</v>
      </c>
      <c r="N1395" t="s">
        <v>35</v>
      </c>
      <c r="O1395" s="3">
        <v>44517</v>
      </c>
      <c r="P1395">
        <v>-1</v>
      </c>
      <c r="T1395" t="s">
        <v>49</v>
      </c>
      <c r="U1395">
        <v>76</v>
      </c>
      <c r="V1395">
        <v>30.524999999999999</v>
      </c>
    </row>
    <row r="1396" spans="1:22" x14ac:dyDescent="0.35">
      <c r="A1396" s="3">
        <v>44496</v>
      </c>
      <c r="B1396" t="s">
        <v>29</v>
      </c>
      <c r="C1396">
        <v>0</v>
      </c>
      <c r="D1396">
        <v>0</v>
      </c>
      <c r="E1396">
        <v>0</v>
      </c>
      <c r="F1396">
        <v>0</v>
      </c>
      <c r="G1396">
        <v>25.012499999999999</v>
      </c>
      <c r="H1396">
        <v>0</v>
      </c>
      <c r="I1396">
        <v>0</v>
      </c>
      <c r="J1396">
        <v>0</v>
      </c>
      <c r="K1396">
        <v>0</v>
      </c>
      <c r="L1396">
        <v>141</v>
      </c>
      <c r="M1396">
        <v>203</v>
      </c>
      <c r="N1396" t="s">
        <v>29</v>
      </c>
      <c r="O1396" s="3">
        <v>44699</v>
      </c>
      <c r="P1396">
        <v>-1</v>
      </c>
      <c r="T1396" t="s">
        <v>48</v>
      </c>
      <c r="U1396">
        <v>101</v>
      </c>
      <c r="V1396">
        <v>32.174999999999997</v>
      </c>
    </row>
    <row r="1397" spans="1:22" x14ac:dyDescent="0.35">
      <c r="A1397" s="3">
        <v>44496</v>
      </c>
      <c r="B1397" t="s">
        <v>34</v>
      </c>
      <c r="C1397">
        <v>0</v>
      </c>
      <c r="D1397">
        <v>0</v>
      </c>
      <c r="E1397">
        <v>0</v>
      </c>
      <c r="F1397">
        <v>0</v>
      </c>
      <c r="G1397">
        <v>21.296199999999999</v>
      </c>
      <c r="H1397">
        <v>0</v>
      </c>
      <c r="I1397">
        <v>0</v>
      </c>
      <c r="J1397">
        <v>0</v>
      </c>
      <c r="K1397">
        <v>0</v>
      </c>
      <c r="L1397">
        <v>39</v>
      </c>
      <c r="M1397">
        <v>56</v>
      </c>
      <c r="N1397" t="s">
        <v>34</v>
      </c>
      <c r="O1397" s="3">
        <v>44552</v>
      </c>
      <c r="P1397">
        <v>-1</v>
      </c>
      <c r="T1397" t="s">
        <v>47</v>
      </c>
      <c r="U1397">
        <v>121</v>
      </c>
      <c r="V1397">
        <v>30.074999999999999</v>
      </c>
    </row>
    <row r="1398" spans="1:22" x14ac:dyDescent="0.35">
      <c r="A1398" s="3">
        <v>44496</v>
      </c>
      <c r="B1398" t="s">
        <v>28</v>
      </c>
      <c r="C1398">
        <v>0</v>
      </c>
      <c r="D1398">
        <v>0</v>
      </c>
      <c r="E1398">
        <v>0</v>
      </c>
      <c r="F1398">
        <v>0</v>
      </c>
      <c r="G1398">
        <v>25.15</v>
      </c>
      <c r="H1398">
        <v>0</v>
      </c>
      <c r="I1398">
        <v>0</v>
      </c>
      <c r="J1398">
        <v>0</v>
      </c>
      <c r="K1398">
        <v>0</v>
      </c>
      <c r="L1398">
        <v>160</v>
      </c>
      <c r="M1398">
        <v>231</v>
      </c>
      <c r="N1398" t="s">
        <v>28</v>
      </c>
      <c r="O1398" s="3">
        <v>44727</v>
      </c>
      <c r="P1398">
        <v>-1</v>
      </c>
      <c r="T1398" t="s">
        <v>46</v>
      </c>
      <c r="U1398">
        <v>140</v>
      </c>
      <c r="V1398">
        <v>28.574999999999999</v>
      </c>
    </row>
    <row r="1399" spans="1:22" x14ac:dyDescent="0.35">
      <c r="A1399" s="3">
        <v>44496</v>
      </c>
      <c r="B1399" t="s">
        <v>31</v>
      </c>
      <c r="C1399">
        <v>0</v>
      </c>
      <c r="D1399">
        <v>0</v>
      </c>
      <c r="E1399">
        <v>0</v>
      </c>
      <c r="F1399">
        <v>0</v>
      </c>
      <c r="G1399">
        <v>24.442599999999999</v>
      </c>
      <c r="H1399">
        <v>0</v>
      </c>
      <c r="I1399">
        <v>0</v>
      </c>
      <c r="J1399">
        <v>0</v>
      </c>
      <c r="K1399">
        <v>0</v>
      </c>
      <c r="L1399">
        <v>95</v>
      </c>
      <c r="M1399">
        <v>139</v>
      </c>
      <c r="N1399" t="s">
        <v>31</v>
      </c>
      <c r="O1399" s="3">
        <v>44635</v>
      </c>
      <c r="P1399">
        <v>-1</v>
      </c>
      <c r="S1399" s="3">
        <v>43984</v>
      </c>
      <c r="T1399" t="s">
        <v>45</v>
      </c>
      <c r="U1399">
        <v>161</v>
      </c>
      <c r="V1399">
        <v>28.25</v>
      </c>
    </row>
    <row r="1400" spans="1:22" x14ac:dyDescent="0.35">
      <c r="A1400" s="3">
        <v>44496</v>
      </c>
      <c r="B1400" t="s">
        <v>22</v>
      </c>
      <c r="C1400">
        <v>0</v>
      </c>
      <c r="D1400">
        <v>0</v>
      </c>
      <c r="E1400">
        <v>0</v>
      </c>
      <c r="F1400">
        <v>0</v>
      </c>
      <c r="G1400">
        <v>25.324999999999999</v>
      </c>
      <c r="H1400">
        <v>0</v>
      </c>
      <c r="I1400">
        <v>0</v>
      </c>
      <c r="J1400">
        <v>0</v>
      </c>
      <c r="K1400">
        <v>0</v>
      </c>
      <c r="L1400">
        <v>184</v>
      </c>
      <c r="M1400">
        <v>266</v>
      </c>
      <c r="N1400" t="s">
        <v>22</v>
      </c>
      <c r="O1400" s="3">
        <v>44762</v>
      </c>
      <c r="P1400">
        <v>-1</v>
      </c>
      <c r="T1400" t="s">
        <v>52</v>
      </c>
      <c r="U1400">
        <v>11</v>
      </c>
      <c r="V1400">
        <v>28.225000000000001</v>
      </c>
    </row>
    <row r="1401" spans="1:22" x14ac:dyDescent="0.35">
      <c r="A1401" s="3">
        <v>44496</v>
      </c>
      <c r="B1401" t="s">
        <v>32</v>
      </c>
      <c r="C1401">
        <v>0</v>
      </c>
      <c r="D1401">
        <v>0</v>
      </c>
      <c r="E1401">
        <v>0</v>
      </c>
      <c r="F1401">
        <v>0</v>
      </c>
      <c r="G1401">
        <v>23.6082</v>
      </c>
      <c r="H1401">
        <v>0</v>
      </c>
      <c r="I1401">
        <v>0</v>
      </c>
      <c r="J1401">
        <v>0</v>
      </c>
      <c r="K1401">
        <v>0</v>
      </c>
      <c r="L1401">
        <v>77</v>
      </c>
      <c r="M1401">
        <v>112</v>
      </c>
      <c r="N1401" t="s">
        <v>32</v>
      </c>
      <c r="O1401" s="3">
        <v>44608</v>
      </c>
      <c r="P1401">
        <v>-1</v>
      </c>
      <c r="T1401" t="s">
        <v>51</v>
      </c>
      <c r="U1401">
        <v>36</v>
      </c>
      <c r="V1401">
        <v>30.024999999999999</v>
      </c>
    </row>
    <row r="1402" spans="1:22" x14ac:dyDescent="0.35">
      <c r="A1402" s="3">
        <v>44496</v>
      </c>
      <c r="B1402" t="s">
        <v>30</v>
      </c>
      <c r="C1402">
        <v>0</v>
      </c>
      <c r="D1402">
        <v>0</v>
      </c>
      <c r="E1402">
        <v>0</v>
      </c>
      <c r="F1402">
        <v>0</v>
      </c>
      <c r="G1402">
        <v>24.848299999999998</v>
      </c>
      <c r="H1402">
        <v>0</v>
      </c>
      <c r="I1402">
        <v>0</v>
      </c>
      <c r="J1402">
        <v>0</v>
      </c>
      <c r="K1402">
        <v>0</v>
      </c>
      <c r="L1402">
        <v>121</v>
      </c>
      <c r="M1402">
        <v>175</v>
      </c>
      <c r="N1402" t="s">
        <v>30</v>
      </c>
      <c r="O1402" s="3">
        <v>44671</v>
      </c>
      <c r="P1402">
        <v>-1</v>
      </c>
      <c r="T1402" t="s">
        <v>50</v>
      </c>
      <c r="U1402">
        <v>56</v>
      </c>
      <c r="V1402">
        <v>29.875</v>
      </c>
    </row>
    <row r="1403" spans="1:22" x14ac:dyDescent="0.35">
      <c r="A1403" s="3">
        <v>44496</v>
      </c>
      <c r="B1403" t="s">
        <v>33</v>
      </c>
      <c r="C1403">
        <v>0</v>
      </c>
      <c r="D1403">
        <v>0</v>
      </c>
      <c r="E1403">
        <v>0</v>
      </c>
      <c r="F1403">
        <v>0</v>
      </c>
      <c r="G1403">
        <v>22.8</v>
      </c>
      <c r="H1403">
        <v>0</v>
      </c>
      <c r="I1403">
        <v>0</v>
      </c>
      <c r="J1403">
        <v>0</v>
      </c>
      <c r="K1403">
        <v>0</v>
      </c>
      <c r="L1403">
        <v>57</v>
      </c>
      <c r="M1403">
        <v>84</v>
      </c>
      <c r="N1403" t="s">
        <v>33</v>
      </c>
      <c r="O1403" s="3">
        <v>44580</v>
      </c>
      <c r="P1403">
        <v>-1</v>
      </c>
      <c r="T1403" t="s">
        <v>49</v>
      </c>
      <c r="U1403">
        <v>75</v>
      </c>
      <c r="V1403">
        <v>30.024999999999999</v>
      </c>
    </row>
    <row r="1404" spans="1:22" x14ac:dyDescent="0.35">
      <c r="A1404" s="3">
        <v>44495</v>
      </c>
      <c r="B1404" t="s">
        <v>32</v>
      </c>
      <c r="C1404">
        <v>0</v>
      </c>
      <c r="D1404">
        <v>0</v>
      </c>
      <c r="E1404">
        <v>0</v>
      </c>
      <c r="F1404">
        <v>0</v>
      </c>
      <c r="G1404">
        <v>23.2502</v>
      </c>
      <c r="H1404">
        <v>0</v>
      </c>
      <c r="I1404">
        <v>0</v>
      </c>
      <c r="J1404">
        <v>0</v>
      </c>
      <c r="K1404">
        <v>0</v>
      </c>
      <c r="L1404">
        <v>78</v>
      </c>
      <c r="M1404">
        <v>113</v>
      </c>
      <c r="N1404" t="s">
        <v>32</v>
      </c>
      <c r="O1404" s="3">
        <v>44608</v>
      </c>
      <c r="P1404">
        <v>-1</v>
      </c>
      <c r="T1404" t="s">
        <v>48</v>
      </c>
      <c r="U1404">
        <v>100</v>
      </c>
      <c r="V1404">
        <v>31.875</v>
      </c>
    </row>
    <row r="1405" spans="1:22" x14ac:dyDescent="0.35">
      <c r="A1405" s="3">
        <v>44495</v>
      </c>
      <c r="B1405" t="s">
        <v>30</v>
      </c>
      <c r="C1405">
        <v>0</v>
      </c>
      <c r="D1405">
        <v>0</v>
      </c>
      <c r="E1405">
        <v>0</v>
      </c>
      <c r="F1405">
        <v>0</v>
      </c>
      <c r="G1405">
        <v>24.5259</v>
      </c>
      <c r="H1405">
        <v>0</v>
      </c>
      <c r="I1405">
        <v>0</v>
      </c>
      <c r="J1405">
        <v>0</v>
      </c>
      <c r="K1405">
        <v>0</v>
      </c>
      <c r="L1405">
        <v>122</v>
      </c>
      <c r="M1405">
        <v>176</v>
      </c>
      <c r="N1405" t="s">
        <v>30</v>
      </c>
      <c r="O1405" s="3">
        <v>44671</v>
      </c>
      <c r="P1405">
        <v>-1</v>
      </c>
      <c r="T1405" t="s">
        <v>47</v>
      </c>
      <c r="U1405">
        <v>120</v>
      </c>
      <c r="V1405">
        <v>29.824999999999999</v>
      </c>
    </row>
    <row r="1406" spans="1:22" x14ac:dyDescent="0.35">
      <c r="A1406" s="3">
        <v>44495</v>
      </c>
      <c r="B1406" t="s">
        <v>33</v>
      </c>
      <c r="C1406">
        <v>0</v>
      </c>
      <c r="D1406">
        <v>0</v>
      </c>
      <c r="E1406">
        <v>0</v>
      </c>
      <c r="F1406">
        <v>0</v>
      </c>
      <c r="G1406">
        <v>22.395900000000001</v>
      </c>
      <c r="H1406">
        <v>0</v>
      </c>
      <c r="I1406">
        <v>0</v>
      </c>
      <c r="J1406">
        <v>0</v>
      </c>
      <c r="K1406">
        <v>0</v>
      </c>
      <c r="L1406">
        <v>58</v>
      </c>
      <c r="M1406">
        <v>85</v>
      </c>
      <c r="N1406" t="s">
        <v>33</v>
      </c>
      <c r="O1406" s="3">
        <v>44580</v>
      </c>
      <c r="P1406">
        <v>-1</v>
      </c>
      <c r="T1406" t="s">
        <v>46</v>
      </c>
      <c r="U1406">
        <v>139</v>
      </c>
      <c r="V1406">
        <v>28.324999999999999</v>
      </c>
    </row>
    <row r="1407" spans="1:22" x14ac:dyDescent="0.35">
      <c r="A1407" s="3">
        <v>44495</v>
      </c>
      <c r="B1407" t="s">
        <v>35</v>
      </c>
      <c r="C1407">
        <v>0</v>
      </c>
      <c r="D1407">
        <v>0</v>
      </c>
      <c r="E1407">
        <v>0</v>
      </c>
      <c r="F1407">
        <v>0</v>
      </c>
      <c r="G1407">
        <v>18.924600000000002</v>
      </c>
      <c r="H1407">
        <v>0</v>
      </c>
      <c r="I1407">
        <v>0</v>
      </c>
      <c r="J1407">
        <v>0</v>
      </c>
      <c r="K1407">
        <v>0</v>
      </c>
      <c r="L1407">
        <v>16</v>
      </c>
      <c r="M1407">
        <v>22</v>
      </c>
      <c r="N1407" t="s">
        <v>35</v>
      </c>
      <c r="O1407" s="3">
        <v>44517</v>
      </c>
      <c r="P1407">
        <v>-1</v>
      </c>
      <c r="S1407" s="3">
        <v>43985</v>
      </c>
      <c r="T1407" t="s">
        <v>45</v>
      </c>
      <c r="U1407">
        <v>160</v>
      </c>
      <c r="V1407">
        <v>27.574999999999999</v>
      </c>
    </row>
    <row r="1408" spans="1:22" x14ac:dyDescent="0.35">
      <c r="A1408" s="3">
        <v>44495</v>
      </c>
      <c r="B1408" t="s">
        <v>29</v>
      </c>
      <c r="C1408">
        <v>0</v>
      </c>
      <c r="D1408">
        <v>0</v>
      </c>
      <c r="E1408">
        <v>0</v>
      </c>
      <c r="F1408">
        <v>0</v>
      </c>
      <c r="G1408">
        <v>24.725000000000001</v>
      </c>
      <c r="H1408">
        <v>0</v>
      </c>
      <c r="I1408">
        <v>0</v>
      </c>
      <c r="J1408">
        <v>0</v>
      </c>
      <c r="K1408">
        <v>0</v>
      </c>
      <c r="L1408">
        <v>142</v>
      </c>
      <c r="M1408">
        <v>204</v>
      </c>
      <c r="N1408" t="s">
        <v>29</v>
      </c>
      <c r="O1408" s="3">
        <v>44699</v>
      </c>
      <c r="P1408">
        <v>-1</v>
      </c>
      <c r="T1408" t="s">
        <v>52</v>
      </c>
      <c r="U1408">
        <v>10</v>
      </c>
      <c r="V1408">
        <v>27</v>
      </c>
    </row>
    <row r="1409" spans="1:22" x14ac:dyDescent="0.35">
      <c r="A1409" s="3">
        <v>44495</v>
      </c>
      <c r="B1409" t="s">
        <v>34</v>
      </c>
      <c r="C1409">
        <v>0</v>
      </c>
      <c r="D1409">
        <v>0</v>
      </c>
      <c r="E1409">
        <v>0</v>
      </c>
      <c r="F1409">
        <v>0</v>
      </c>
      <c r="G1409">
        <v>20.803699999999999</v>
      </c>
      <c r="H1409">
        <v>0</v>
      </c>
      <c r="I1409">
        <v>0</v>
      </c>
      <c r="J1409">
        <v>0</v>
      </c>
      <c r="K1409">
        <v>0</v>
      </c>
      <c r="L1409">
        <v>40</v>
      </c>
      <c r="M1409">
        <v>57</v>
      </c>
      <c r="N1409" t="s">
        <v>34</v>
      </c>
      <c r="O1409" s="3">
        <v>44552</v>
      </c>
      <c r="P1409">
        <v>-1</v>
      </c>
      <c r="T1409" t="s">
        <v>51</v>
      </c>
      <c r="U1409">
        <v>35</v>
      </c>
      <c r="V1409">
        <v>29.074999999999999</v>
      </c>
    </row>
    <row r="1410" spans="1:22" x14ac:dyDescent="0.35">
      <c r="A1410" s="3">
        <v>44495</v>
      </c>
      <c r="B1410" t="s">
        <v>28</v>
      </c>
      <c r="C1410">
        <v>0</v>
      </c>
      <c r="D1410">
        <v>0</v>
      </c>
      <c r="E1410">
        <v>0</v>
      </c>
      <c r="F1410">
        <v>0</v>
      </c>
      <c r="G1410">
        <v>24.85</v>
      </c>
      <c r="H1410">
        <v>0</v>
      </c>
      <c r="I1410">
        <v>0</v>
      </c>
      <c r="J1410">
        <v>0</v>
      </c>
      <c r="K1410">
        <v>0</v>
      </c>
      <c r="L1410">
        <v>161</v>
      </c>
      <c r="M1410">
        <v>232</v>
      </c>
      <c r="N1410" t="s">
        <v>28</v>
      </c>
      <c r="O1410" s="3">
        <v>44727</v>
      </c>
      <c r="P1410">
        <v>-1</v>
      </c>
      <c r="T1410" t="s">
        <v>50</v>
      </c>
      <c r="U1410">
        <v>55</v>
      </c>
      <c r="V1410">
        <v>29.024999999999999</v>
      </c>
    </row>
    <row r="1411" spans="1:22" x14ac:dyDescent="0.35">
      <c r="A1411" s="3">
        <v>44495</v>
      </c>
      <c r="B1411" t="s">
        <v>31</v>
      </c>
      <c r="C1411">
        <v>0</v>
      </c>
      <c r="D1411">
        <v>0</v>
      </c>
      <c r="E1411">
        <v>0</v>
      </c>
      <c r="F1411">
        <v>0</v>
      </c>
      <c r="G1411">
        <v>24.101400000000002</v>
      </c>
      <c r="H1411">
        <v>0</v>
      </c>
      <c r="I1411">
        <v>0</v>
      </c>
      <c r="J1411">
        <v>0</v>
      </c>
      <c r="K1411">
        <v>0</v>
      </c>
      <c r="L1411">
        <v>96</v>
      </c>
      <c r="M1411">
        <v>140</v>
      </c>
      <c r="N1411" t="s">
        <v>31</v>
      </c>
      <c r="O1411" s="3">
        <v>44635</v>
      </c>
      <c r="P1411">
        <v>-1</v>
      </c>
      <c r="T1411" t="s">
        <v>49</v>
      </c>
      <c r="U1411">
        <v>74</v>
      </c>
      <c r="V1411">
        <v>29.324999999999999</v>
      </c>
    </row>
    <row r="1412" spans="1:22" x14ac:dyDescent="0.35">
      <c r="A1412" s="3">
        <v>44495</v>
      </c>
      <c r="B1412" t="s">
        <v>22</v>
      </c>
      <c r="C1412">
        <v>0</v>
      </c>
      <c r="D1412">
        <v>0</v>
      </c>
      <c r="E1412">
        <v>0</v>
      </c>
      <c r="F1412">
        <v>0</v>
      </c>
      <c r="G1412">
        <v>25.05</v>
      </c>
      <c r="H1412">
        <v>0</v>
      </c>
      <c r="I1412">
        <v>0</v>
      </c>
      <c r="J1412">
        <v>0</v>
      </c>
      <c r="K1412">
        <v>0</v>
      </c>
      <c r="L1412">
        <v>185</v>
      </c>
      <c r="M1412">
        <v>267</v>
      </c>
      <c r="N1412" t="s">
        <v>22</v>
      </c>
      <c r="O1412" s="3">
        <v>44762</v>
      </c>
      <c r="P1412">
        <v>-1</v>
      </c>
      <c r="T1412" t="s">
        <v>48</v>
      </c>
      <c r="U1412">
        <v>99</v>
      </c>
      <c r="V1412">
        <v>31.125</v>
      </c>
    </row>
    <row r="1413" spans="1:22" x14ac:dyDescent="0.35">
      <c r="A1413" s="3">
        <v>44494</v>
      </c>
      <c r="B1413" t="s">
        <v>35</v>
      </c>
      <c r="C1413">
        <v>0</v>
      </c>
      <c r="D1413">
        <v>0</v>
      </c>
      <c r="E1413">
        <v>0</v>
      </c>
      <c r="F1413">
        <v>0</v>
      </c>
      <c r="G1413">
        <v>18.5505</v>
      </c>
      <c r="H1413">
        <v>0</v>
      </c>
      <c r="I1413">
        <v>0</v>
      </c>
      <c r="J1413">
        <v>0</v>
      </c>
      <c r="K1413">
        <v>0</v>
      </c>
      <c r="L1413">
        <v>17</v>
      </c>
      <c r="M1413">
        <v>23</v>
      </c>
      <c r="N1413" t="s">
        <v>35</v>
      </c>
      <c r="O1413" s="3">
        <v>44517</v>
      </c>
      <c r="P1413">
        <v>-1</v>
      </c>
      <c r="T1413" t="s">
        <v>47</v>
      </c>
      <c r="U1413">
        <v>119</v>
      </c>
      <c r="V1413">
        <v>29.1</v>
      </c>
    </row>
    <row r="1414" spans="1:22" x14ac:dyDescent="0.35">
      <c r="A1414" s="3">
        <v>44494</v>
      </c>
      <c r="B1414" t="s">
        <v>29</v>
      </c>
      <c r="C1414">
        <v>0</v>
      </c>
      <c r="D1414">
        <v>0</v>
      </c>
      <c r="E1414">
        <v>0</v>
      </c>
      <c r="F1414">
        <v>0</v>
      </c>
      <c r="G1414">
        <v>24.6</v>
      </c>
      <c r="H1414">
        <v>0</v>
      </c>
      <c r="I1414">
        <v>0</v>
      </c>
      <c r="J1414">
        <v>0</v>
      </c>
      <c r="K1414">
        <v>0</v>
      </c>
      <c r="L1414">
        <v>143</v>
      </c>
      <c r="M1414">
        <v>205</v>
      </c>
      <c r="N1414" t="s">
        <v>29</v>
      </c>
      <c r="O1414" s="3">
        <v>44699</v>
      </c>
      <c r="P1414">
        <v>-1</v>
      </c>
      <c r="T1414" t="s">
        <v>46</v>
      </c>
      <c r="U1414">
        <v>138</v>
      </c>
      <c r="V1414">
        <v>27.574999999999999</v>
      </c>
    </row>
    <row r="1415" spans="1:22" x14ac:dyDescent="0.35">
      <c r="A1415" s="3">
        <v>44494</v>
      </c>
      <c r="B1415" t="s">
        <v>34</v>
      </c>
      <c r="C1415">
        <v>0</v>
      </c>
      <c r="D1415">
        <v>0</v>
      </c>
      <c r="E1415">
        <v>0</v>
      </c>
      <c r="F1415">
        <v>0</v>
      </c>
      <c r="G1415">
        <v>20.4983</v>
      </c>
      <c r="H1415">
        <v>0</v>
      </c>
      <c r="I1415">
        <v>0</v>
      </c>
      <c r="J1415">
        <v>0</v>
      </c>
      <c r="K1415">
        <v>0</v>
      </c>
      <c r="L1415">
        <v>41</v>
      </c>
      <c r="M1415">
        <v>58</v>
      </c>
      <c r="N1415" t="s">
        <v>34</v>
      </c>
      <c r="O1415" s="3">
        <v>44552</v>
      </c>
      <c r="P1415">
        <v>-1</v>
      </c>
      <c r="S1415" s="3">
        <v>43986</v>
      </c>
      <c r="T1415" t="s">
        <v>45</v>
      </c>
      <c r="U1415">
        <v>159</v>
      </c>
      <c r="V1415">
        <v>27.375</v>
      </c>
    </row>
    <row r="1416" spans="1:22" x14ac:dyDescent="0.35">
      <c r="A1416" s="3">
        <v>44494</v>
      </c>
      <c r="B1416" t="s">
        <v>28</v>
      </c>
      <c r="C1416">
        <v>0</v>
      </c>
      <c r="D1416">
        <v>0</v>
      </c>
      <c r="E1416">
        <v>0</v>
      </c>
      <c r="F1416">
        <v>0</v>
      </c>
      <c r="G1416">
        <v>24.75</v>
      </c>
      <c r="H1416">
        <v>0</v>
      </c>
      <c r="I1416">
        <v>0</v>
      </c>
      <c r="J1416">
        <v>0</v>
      </c>
      <c r="K1416">
        <v>0</v>
      </c>
      <c r="L1416">
        <v>162</v>
      </c>
      <c r="M1416">
        <v>233</v>
      </c>
      <c r="N1416" t="s">
        <v>28</v>
      </c>
      <c r="O1416" s="3">
        <v>44727</v>
      </c>
      <c r="P1416">
        <v>-1</v>
      </c>
      <c r="T1416" t="s">
        <v>44</v>
      </c>
      <c r="U1416">
        <v>178</v>
      </c>
      <c r="V1416">
        <v>27.25</v>
      </c>
    </row>
    <row r="1417" spans="1:22" x14ac:dyDescent="0.35">
      <c r="A1417" s="3">
        <v>44494</v>
      </c>
      <c r="B1417" t="s">
        <v>31</v>
      </c>
      <c r="C1417">
        <v>0</v>
      </c>
      <c r="D1417">
        <v>0</v>
      </c>
      <c r="E1417">
        <v>0</v>
      </c>
      <c r="F1417">
        <v>0</v>
      </c>
      <c r="G1417">
        <v>23.9026</v>
      </c>
      <c r="H1417">
        <v>0</v>
      </c>
      <c r="I1417">
        <v>0</v>
      </c>
      <c r="J1417">
        <v>0</v>
      </c>
      <c r="K1417">
        <v>0</v>
      </c>
      <c r="L1417">
        <v>97</v>
      </c>
      <c r="M1417">
        <v>141</v>
      </c>
      <c r="N1417" t="s">
        <v>31</v>
      </c>
      <c r="O1417" s="3">
        <v>44635</v>
      </c>
      <c r="P1417">
        <v>-1</v>
      </c>
      <c r="T1417" t="s">
        <v>52</v>
      </c>
      <c r="U1417">
        <v>9</v>
      </c>
      <c r="V1417">
        <v>26.725000000000001</v>
      </c>
    </row>
    <row r="1418" spans="1:22" x14ac:dyDescent="0.35">
      <c r="A1418" s="3">
        <v>44494</v>
      </c>
      <c r="B1418" t="s">
        <v>22</v>
      </c>
      <c r="C1418">
        <v>0</v>
      </c>
      <c r="D1418">
        <v>0</v>
      </c>
      <c r="E1418">
        <v>0</v>
      </c>
      <c r="F1418">
        <v>0</v>
      </c>
      <c r="G1418">
        <v>25.024999999999999</v>
      </c>
      <c r="H1418">
        <v>0</v>
      </c>
      <c r="I1418">
        <v>0</v>
      </c>
      <c r="J1418">
        <v>0</v>
      </c>
      <c r="K1418">
        <v>0</v>
      </c>
      <c r="L1418">
        <v>186</v>
      </c>
      <c r="M1418">
        <v>268</v>
      </c>
      <c r="N1418" t="s">
        <v>22</v>
      </c>
      <c r="O1418" s="3">
        <v>44762</v>
      </c>
      <c r="P1418">
        <v>-1</v>
      </c>
      <c r="T1418" t="s">
        <v>51</v>
      </c>
      <c r="U1418">
        <v>34</v>
      </c>
      <c r="V1418">
        <v>28.725000000000001</v>
      </c>
    </row>
    <row r="1419" spans="1:22" x14ac:dyDescent="0.35">
      <c r="A1419" s="3">
        <v>44494</v>
      </c>
      <c r="B1419" t="s">
        <v>32</v>
      </c>
      <c r="C1419">
        <v>0</v>
      </c>
      <c r="D1419">
        <v>0</v>
      </c>
      <c r="E1419">
        <v>0</v>
      </c>
      <c r="F1419">
        <v>0</v>
      </c>
      <c r="G1419">
        <v>23.05</v>
      </c>
      <c r="H1419">
        <v>0</v>
      </c>
      <c r="I1419">
        <v>0</v>
      </c>
      <c r="J1419">
        <v>0</v>
      </c>
      <c r="K1419">
        <v>0</v>
      </c>
      <c r="L1419">
        <v>79</v>
      </c>
      <c r="M1419">
        <v>114</v>
      </c>
      <c r="N1419" t="s">
        <v>32</v>
      </c>
      <c r="O1419" s="3">
        <v>44608</v>
      </c>
      <c r="P1419">
        <v>-1</v>
      </c>
      <c r="T1419" t="s">
        <v>50</v>
      </c>
      <c r="U1419">
        <v>54</v>
      </c>
      <c r="V1419">
        <v>28.675000000000001</v>
      </c>
    </row>
    <row r="1420" spans="1:22" x14ac:dyDescent="0.35">
      <c r="A1420" s="3">
        <v>44494</v>
      </c>
      <c r="B1420" t="s">
        <v>30</v>
      </c>
      <c r="C1420">
        <v>0</v>
      </c>
      <c r="D1420">
        <v>0</v>
      </c>
      <c r="E1420">
        <v>0</v>
      </c>
      <c r="F1420">
        <v>0</v>
      </c>
      <c r="G1420">
        <v>24.4</v>
      </c>
      <c r="H1420">
        <v>0</v>
      </c>
      <c r="I1420">
        <v>0</v>
      </c>
      <c r="J1420">
        <v>0</v>
      </c>
      <c r="K1420">
        <v>0</v>
      </c>
      <c r="L1420">
        <v>123</v>
      </c>
      <c r="M1420">
        <v>177</v>
      </c>
      <c r="N1420" t="s">
        <v>30</v>
      </c>
      <c r="O1420" s="3">
        <v>44671</v>
      </c>
      <c r="P1420">
        <v>-1</v>
      </c>
      <c r="T1420" t="s">
        <v>49</v>
      </c>
      <c r="U1420">
        <v>73</v>
      </c>
      <c r="V1420">
        <v>29.074999999999999</v>
      </c>
    </row>
    <row r="1421" spans="1:22" x14ac:dyDescent="0.35">
      <c r="A1421" s="3">
        <v>44494</v>
      </c>
      <c r="B1421" t="s">
        <v>33</v>
      </c>
      <c r="C1421">
        <v>0</v>
      </c>
      <c r="D1421">
        <v>0</v>
      </c>
      <c r="E1421">
        <v>0</v>
      </c>
      <c r="F1421">
        <v>0</v>
      </c>
      <c r="G1421">
        <v>22.2</v>
      </c>
      <c r="H1421">
        <v>0</v>
      </c>
      <c r="I1421">
        <v>0</v>
      </c>
      <c r="J1421">
        <v>0</v>
      </c>
      <c r="K1421">
        <v>0</v>
      </c>
      <c r="L1421">
        <v>59</v>
      </c>
      <c r="M1421">
        <v>86</v>
      </c>
      <c r="N1421" t="s">
        <v>33</v>
      </c>
      <c r="O1421" s="3">
        <v>44580</v>
      </c>
      <c r="P1421">
        <v>-1</v>
      </c>
      <c r="T1421" t="s">
        <v>48</v>
      </c>
      <c r="U1421">
        <v>98</v>
      </c>
      <c r="V1421">
        <v>30.975000000000001</v>
      </c>
    </row>
    <row r="1422" spans="1:22" x14ac:dyDescent="0.35">
      <c r="A1422" s="3">
        <v>44491</v>
      </c>
      <c r="B1422" t="s">
        <v>32</v>
      </c>
      <c r="C1422">
        <v>0</v>
      </c>
      <c r="D1422">
        <v>0</v>
      </c>
      <c r="E1422">
        <v>0</v>
      </c>
      <c r="F1422">
        <v>0</v>
      </c>
      <c r="G1422">
        <v>23.4862</v>
      </c>
      <c r="H1422">
        <v>0</v>
      </c>
      <c r="I1422">
        <v>0</v>
      </c>
      <c r="J1422">
        <v>0</v>
      </c>
      <c r="K1422">
        <v>0</v>
      </c>
      <c r="L1422">
        <v>80</v>
      </c>
      <c r="M1422">
        <v>117</v>
      </c>
      <c r="N1422" t="s">
        <v>32</v>
      </c>
      <c r="O1422" s="3">
        <v>44608</v>
      </c>
      <c r="P1422">
        <v>-1</v>
      </c>
      <c r="T1422" t="s">
        <v>47</v>
      </c>
      <c r="U1422">
        <v>118</v>
      </c>
      <c r="V1422">
        <v>28.95</v>
      </c>
    </row>
    <row r="1423" spans="1:22" x14ac:dyDescent="0.35">
      <c r="A1423" s="3">
        <v>44491</v>
      </c>
      <c r="B1423" t="s">
        <v>30</v>
      </c>
      <c r="C1423">
        <v>0</v>
      </c>
      <c r="D1423">
        <v>0</v>
      </c>
      <c r="E1423">
        <v>0</v>
      </c>
      <c r="F1423">
        <v>0</v>
      </c>
      <c r="G1423">
        <v>24.8</v>
      </c>
      <c r="H1423">
        <v>0</v>
      </c>
      <c r="I1423">
        <v>0</v>
      </c>
      <c r="J1423">
        <v>0</v>
      </c>
      <c r="K1423">
        <v>0</v>
      </c>
      <c r="L1423">
        <v>124</v>
      </c>
      <c r="M1423">
        <v>180</v>
      </c>
      <c r="N1423" t="s">
        <v>30</v>
      </c>
      <c r="O1423" s="3">
        <v>44671</v>
      </c>
      <c r="P1423">
        <v>-1</v>
      </c>
      <c r="T1423" t="s">
        <v>46</v>
      </c>
      <c r="U1423">
        <v>137</v>
      </c>
      <c r="V1423">
        <v>27.4</v>
      </c>
    </row>
    <row r="1424" spans="1:22" x14ac:dyDescent="0.35">
      <c r="A1424" s="3">
        <v>44491</v>
      </c>
      <c r="B1424" t="s">
        <v>33</v>
      </c>
      <c r="C1424">
        <v>0</v>
      </c>
      <c r="D1424">
        <v>0</v>
      </c>
      <c r="E1424">
        <v>0</v>
      </c>
      <c r="F1424">
        <v>0</v>
      </c>
      <c r="G1424">
        <v>22.725200000000001</v>
      </c>
      <c r="H1424">
        <v>0</v>
      </c>
      <c r="I1424">
        <v>0</v>
      </c>
      <c r="J1424">
        <v>0</v>
      </c>
      <c r="K1424">
        <v>0</v>
      </c>
      <c r="L1424">
        <v>60</v>
      </c>
      <c r="M1424">
        <v>89</v>
      </c>
      <c r="N1424" t="s">
        <v>33</v>
      </c>
      <c r="O1424" s="3">
        <v>44580</v>
      </c>
      <c r="P1424">
        <v>-1</v>
      </c>
      <c r="S1424" s="3">
        <v>43987</v>
      </c>
      <c r="T1424" t="s">
        <v>45</v>
      </c>
      <c r="U1424">
        <v>158</v>
      </c>
      <c r="V1424">
        <v>26.45</v>
      </c>
    </row>
    <row r="1425" spans="1:22" x14ac:dyDescent="0.35">
      <c r="A1425" s="3">
        <v>44491</v>
      </c>
      <c r="B1425" t="s">
        <v>35</v>
      </c>
      <c r="C1425">
        <v>0</v>
      </c>
      <c r="D1425">
        <v>0</v>
      </c>
      <c r="E1425">
        <v>0</v>
      </c>
      <c r="F1425">
        <v>0</v>
      </c>
      <c r="G1425">
        <v>19.101600000000001</v>
      </c>
      <c r="H1425">
        <v>0</v>
      </c>
      <c r="I1425">
        <v>0</v>
      </c>
      <c r="J1425">
        <v>0</v>
      </c>
      <c r="K1425">
        <v>0</v>
      </c>
      <c r="L1425">
        <v>18</v>
      </c>
      <c r="M1425">
        <v>26</v>
      </c>
      <c r="N1425" t="s">
        <v>35</v>
      </c>
      <c r="O1425" s="3">
        <v>44517</v>
      </c>
      <c r="P1425">
        <v>-1</v>
      </c>
      <c r="T1425" t="s">
        <v>52</v>
      </c>
      <c r="U1425">
        <v>8</v>
      </c>
      <c r="V1425">
        <v>25.324999999999999</v>
      </c>
    </row>
    <row r="1426" spans="1:22" x14ac:dyDescent="0.35">
      <c r="A1426" s="3">
        <v>44491</v>
      </c>
      <c r="B1426" t="s">
        <v>29</v>
      </c>
      <c r="C1426">
        <v>0</v>
      </c>
      <c r="D1426">
        <v>0</v>
      </c>
      <c r="E1426">
        <v>0</v>
      </c>
      <c r="F1426">
        <v>0</v>
      </c>
      <c r="G1426">
        <v>25.05</v>
      </c>
      <c r="H1426">
        <v>0</v>
      </c>
      <c r="I1426">
        <v>0</v>
      </c>
      <c r="J1426">
        <v>0</v>
      </c>
      <c r="K1426">
        <v>0</v>
      </c>
      <c r="L1426">
        <v>144</v>
      </c>
      <c r="M1426">
        <v>208</v>
      </c>
      <c r="N1426" t="s">
        <v>29</v>
      </c>
      <c r="O1426" s="3">
        <v>44699</v>
      </c>
      <c r="P1426">
        <v>-1</v>
      </c>
      <c r="T1426" t="s">
        <v>51</v>
      </c>
      <c r="U1426">
        <v>33</v>
      </c>
      <c r="V1426">
        <v>27.175000000000001</v>
      </c>
    </row>
    <row r="1427" spans="1:22" x14ac:dyDescent="0.35">
      <c r="A1427" s="3">
        <v>44491</v>
      </c>
      <c r="B1427" t="s">
        <v>34</v>
      </c>
      <c r="C1427">
        <v>0</v>
      </c>
      <c r="D1427">
        <v>0</v>
      </c>
      <c r="E1427">
        <v>0</v>
      </c>
      <c r="F1427">
        <v>0</v>
      </c>
      <c r="G1427">
        <v>21.100100000000001</v>
      </c>
      <c r="H1427">
        <v>0</v>
      </c>
      <c r="I1427">
        <v>0</v>
      </c>
      <c r="J1427">
        <v>0</v>
      </c>
      <c r="K1427">
        <v>0</v>
      </c>
      <c r="L1427">
        <v>42</v>
      </c>
      <c r="M1427">
        <v>61</v>
      </c>
      <c r="N1427" t="s">
        <v>34</v>
      </c>
      <c r="O1427" s="3">
        <v>44552</v>
      </c>
      <c r="P1427">
        <v>-1</v>
      </c>
      <c r="T1427" t="s">
        <v>50</v>
      </c>
      <c r="U1427">
        <v>53</v>
      </c>
      <c r="V1427">
        <v>27.225000000000001</v>
      </c>
    </row>
    <row r="1428" spans="1:22" x14ac:dyDescent="0.35">
      <c r="A1428" s="3">
        <v>44491</v>
      </c>
      <c r="B1428" t="s">
        <v>28</v>
      </c>
      <c r="C1428">
        <v>0</v>
      </c>
      <c r="D1428">
        <v>0</v>
      </c>
      <c r="E1428">
        <v>0</v>
      </c>
      <c r="F1428">
        <v>0</v>
      </c>
      <c r="G1428">
        <v>25.125</v>
      </c>
      <c r="H1428">
        <v>0</v>
      </c>
      <c r="I1428">
        <v>0</v>
      </c>
      <c r="J1428">
        <v>0</v>
      </c>
      <c r="K1428">
        <v>0</v>
      </c>
      <c r="L1428">
        <v>163</v>
      </c>
      <c r="M1428">
        <v>236</v>
      </c>
      <c r="N1428" t="s">
        <v>28</v>
      </c>
      <c r="O1428" s="3">
        <v>44727</v>
      </c>
      <c r="P1428">
        <v>-1</v>
      </c>
      <c r="T1428" t="s">
        <v>49</v>
      </c>
      <c r="U1428">
        <v>72</v>
      </c>
      <c r="V1428">
        <v>27.675000000000001</v>
      </c>
    </row>
    <row r="1429" spans="1:22" x14ac:dyDescent="0.35">
      <c r="A1429" s="3">
        <v>44491</v>
      </c>
      <c r="B1429" t="s">
        <v>31</v>
      </c>
      <c r="C1429">
        <v>0</v>
      </c>
      <c r="D1429">
        <v>0</v>
      </c>
      <c r="E1429">
        <v>0</v>
      </c>
      <c r="F1429">
        <v>0</v>
      </c>
      <c r="G1429">
        <v>24.368200000000002</v>
      </c>
      <c r="H1429">
        <v>0</v>
      </c>
      <c r="I1429">
        <v>0</v>
      </c>
      <c r="J1429">
        <v>0</v>
      </c>
      <c r="K1429">
        <v>0</v>
      </c>
      <c r="L1429">
        <v>98</v>
      </c>
      <c r="M1429">
        <v>144</v>
      </c>
      <c r="N1429" t="s">
        <v>31</v>
      </c>
      <c r="O1429" s="3">
        <v>44635</v>
      </c>
      <c r="P1429">
        <v>-1</v>
      </c>
      <c r="T1429" t="s">
        <v>48</v>
      </c>
      <c r="U1429">
        <v>97</v>
      </c>
      <c r="V1429">
        <v>29.675000000000001</v>
      </c>
    </row>
    <row r="1430" spans="1:22" x14ac:dyDescent="0.35">
      <c r="A1430" s="3">
        <v>44490</v>
      </c>
      <c r="B1430" t="s">
        <v>35</v>
      </c>
      <c r="C1430">
        <v>0</v>
      </c>
      <c r="D1430">
        <v>0</v>
      </c>
      <c r="E1430">
        <v>0</v>
      </c>
      <c r="F1430">
        <v>0</v>
      </c>
      <c r="G1430">
        <v>18.697700000000001</v>
      </c>
      <c r="H1430">
        <v>0</v>
      </c>
      <c r="I1430">
        <v>0</v>
      </c>
      <c r="J1430">
        <v>0</v>
      </c>
      <c r="K1430">
        <v>0</v>
      </c>
      <c r="L1430">
        <v>19</v>
      </c>
      <c r="M1430">
        <v>27</v>
      </c>
      <c r="N1430" t="s">
        <v>35</v>
      </c>
      <c r="O1430" s="3">
        <v>44517</v>
      </c>
      <c r="P1430">
        <v>-1</v>
      </c>
      <c r="T1430" t="s">
        <v>47</v>
      </c>
      <c r="U1430">
        <v>117</v>
      </c>
      <c r="V1430">
        <v>27.675000000000001</v>
      </c>
    </row>
    <row r="1431" spans="1:22" x14ac:dyDescent="0.35">
      <c r="A1431" s="3">
        <v>44490</v>
      </c>
      <c r="B1431" t="s">
        <v>29</v>
      </c>
      <c r="C1431">
        <v>0</v>
      </c>
      <c r="D1431">
        <v>0</v>
      </c>
      <c r="E1431">
        <v>0</v>
      </c>
      <c r="F1431">
        <v>0</v>
      </c>
      <c r="G1431">
        <v>24.81</v>
      </c>
      <c r="H1431">
        <v>0</v>
      </c>
      <c r="I1431">
        <v>0</v>
      </c>
      <c r="J1431">
        <v>0</v>
      </c>
      <c r="K1431">
        <v>0</v>
      </c>
      <c r="L1431">
        <v>145</v>
      </c>
      <c r="M1431">
        <v>209</v>
      </c>
      <c r="N1431" t="s">
        <v>29</v>
      </c>
      <c r="O1431" s="3">
        <v>44699</v>
      </c>
      <c r="P1431">
        <v>-1</v>
      </c>
      <c r="T1431" t="s">
        <v>46</v>
      </c>
      <c r="U1431">
        <v>136</v>
      </c>
      <c r="V1431">
        <v>26.324999999999999</v>
      </c>
    </row>
    <row r="1432" spans="1:22" x14ac:dyDescent="0.35">
      <c r="A1432" s="3">
        <v>44490</v>
      </c>
      <c r="B1432" t="s">
        <v>34</v>
      </c>
      <c r="C1432">
        <v>0</v>
      </c>
      <c r="D1432">
        <v>0</v>
      </c>
      <c r="E1432">
        <v>0</v>
      </c>
      <c r="F1432">
        <v>0</v>
      </c>
      <c r="G1432">
        <v>20.650400000000001</v>
      </c>
      <c r="H1432">
        <v>0</v>
      </c>
      <c r="I1432">
        <v>0</v>
      </c>
      <c r="J1432">
        <v>0</v>
      </c>
      <c r="K1432">
        <v>0</v>
      </c>
      <c r="L1432">
        <v>43</v>
      </c>
      <c r="M1432">
        <v>62</v>
      </c>
      <c r="N1432" t="s">
        <v>34</v>
      </c>
      <c r="O1432" s="3">
        <v>44552</v>
      </c>
      <c r="P1432">
        <v>-1</v>
      </c>
      <c r="S1432" s="3">
        <v>43990</v>
      </c>
      <c r="T1432" t="s">
        <v>45</v>
      </c>
      <c r="U1432">
        <v>157</v>
      </c>
      <c r="V1432">
        <v>26.725000000000001</v>
      </c>
    </row>
    <row r="1433" spans="1:22" x14ac:dyDescent="0.35">
      <c r="A1433" s="3">
        <v>44490</v>
      </c>
      <c r="B1433" t="s">
        <v>28</v>
      </c>
      <c r="C1433">
        <v>0</v>
      </c>
      <c r="D1433">
        <v>0</v>
      </c>
      <c r="E1433">
        <v>0</v>
      </c>
      <c r="F1433">
        <v>0</v>
      </c>
      <c r="G1433">
        <v>24.95</v>
      </c>
      <c r="H1433">
        <v>0</v>
      </c>
      <c r="I1433">
        <v>0</v>
      </c>
      <c r="J1433">
        <v>0</v>
      </c>
      <c r="K1433">
        <v>0</v>
      </c>
      <c r="L1433">
        <v>164</v>
      </c>
      <c r="M1433">
        <v>237</v>
      </c>
      <c r="N1433" t="s">
        <v>28</v>
      </c>
      <c r="O1433" s="3">
        <v>44727</v>
      </c>
      <c r="P1433">
        <v>-1</v>
      </c>
      <c r="T1433" t="s">
        <v>44</v>
      </c>
      <c r="U1433">
        <v>176</v>
      </c>
      <c r="V1433">
        <v>26.35</v>
      </c>
    </row>
    <row r="1434" spans="1:22" x14ac:dyDescent="0.35">
      <c r="A1434" s="3">
        <v>44490</v>
      </c>
      <c r="B1434" t="s">
        <v>31</v>
      </c>
      <c r="C1434">
        <v>0</v>
      </c>
      <c r="D1434">
        <v>0</v>
      </c>
      <c r="E1434">
        <v>0</v>
      </c>
      <c r="F1434">
        <v>0</v>
      </c>
      <c r="G1434">
        <v>24.1173</v>
      </c>
      <c r="H1434">
        <v>0</v>
      </c>
      <c r="I1434">
        <v>0</v>
      </c>
      <c r="J1434">
        <v>0</v>
      </c>
      <c r="K1434">
        <v>0</v>
      </c>
      <c r="L1434">
        <v>99</v>
      </c>
      <c r="M1434">
        <v>145</v>
      </c>
      <c r="N1434" t="s">
        <v>31</v>
      </c>
      <c r="O1434" s="3">
        <v>44635</v>
      </c>
      <c r="P1434">
        <v>-1</v>
      </c>
      <c r="T1434" t="s">
        <v>52</v>
      </c>
      <c r="U1434">
        <v>7</v>
      </c>
      <c r="V1434">
        <v>26.024999999999999</v>
      </c>
    </row>
    <row r="1435" spans="1:22" x14ac:dyDescent="0.35">
      <c r="A1435" s="3">
        <v>44490</v>
      </c>
      <c r="B1435" t="s">
        <v>32</v>
      </c>
      <c r="C1435">
        <v>0</v>
      </c>
      <c r="D1435">
        <v>0</v>
      </c>
      <c r="E1435">
        <v>0</v>
      </c>
      <c r="F1435">
        <v>0</v>
      </c>
      <c r="G1435">
        <v>23.2</v>
      </c>
      <c r="H1435">
        <v>0</v>
      </c>
      <c r="I1435">
        <v>0</v>
      </c>
      <c r="J1435">
        <v>0</v>
      </c>
      <c r="K1435">
        <v>0</v>
      </c>
      <c r="L1435">
        <v>81</v>
      </c>
      <c r="M1435">
        <v>118</v>
      </c>
      <c r="N1435" t="s">
        <v>32</v>
      </c>
      <c r="O1435" s="3">
        <v>44608</v>
      </c>
      <c r="P1435">
        <v>-1</v>
      </c>
      <c r="T1435" t="s">
        <v>51</v>
      </c>
      <c r="U1435">
        <v>32</v>
      </c>
      <c r="V1435">
        <v>27.925000000000001</v>
      </c>
    </row>
    <row r="1436" spans="1:22" x14ac:dyDescent="0.35">
      <c r="A1436" s="3">
        <v>44490</v>
      </c>
      <c r="B1436" t="s">
        <v>30</v>
      </c>
      <c r="C1436">
        <v>0</v>
      </c>
      <c r="D1436">
        <v>0</v>
      </c>
      <c r="E1436">
        <v>0</v>
      </c>
      <c r="F1436">
        <v>0</v>
      </c>
      <c r="G1436">
        <v>24.590900000000001</v>
      </c>
      <c r="H1436">
        <v>0</v>
      </c>
      <c r="I1436">
        <v>0</v>
      </c>
      <c r="J1436">
        <v>0</v>
      </c>
      <c r="K1436">
        <v>0</v>
      </c>
      <c r="L1436">
        <v>125</v>
      </c>
      <c r="M1436">
        <v>181</v>
      </c>
      <c r="N1436" t="s">
        <v>30</v>
      </c>
      <c r="O1436" s="3">
        <v>44671</v>
      </c>
      <c r="P1436">
        <v>-1</v>
      </c>
      <c r="T1436" t="s">
        <v>50</v>
      </c>
      <c r="U1436">
        <v>52</v>
      </c>
      <c r="V1436">
        <v>27.925000000000001</v>
      </c>
    </row>
    <row r="1437" spans="1:22" x14ac:dyDescent="0.35">
      <c r="A1437" s="3">
        <v>44490</v>
      </c>
      <c r="B1437" t="s">
        <v>33</v>
      </c>
      <c r="C1437">
        <v>0</v>
      </c>
      <c r="D1437">
        <v>0</v>
      </c>
      <c r="E1437">
        <v>0</v>
      </c>
      <c r="F1437">
        <v>0</v>
      </c>
      <c r="G1437">
        <v>22.350200000000001</v>
      </c>
      <c r="H1437">
        <v>0</v>
      </c>
      <c r="I1437">
        <v>0</v>
      </c>
      <c r="J1437">
        <v>0</v>
      </c>
      <c r="K1437">
        <v>0</v>
      </c>
      <c r="L1437">
        <v>61</v>
      </c>
      <c r="M1437">
        <v>90</v>
      </c>
      <c r="N1437" t="s">
        <v>33</v>
      </c>
      <c r="O1437" s="3">
        <v>44580</v>
      </c>
      <c r="P1437">
        <v>-1</v>
      </c>
      <c r="T1437" t="s">
        <v>49</v>
      </c>
      <c r="U1437">
        <v>71</v>
      </c>
      <c r="V1437">
        <v>28.324999999999999</v>
      </c>
    </row>
    <row r="1438" spans="1:22" x14ac:dyDescent="0.35">
      <c r="A1438" s="3">
        <v>44489</v>
      </c>
      <c r="B1438" t="s">
        <v>32</v>
      </c>
      <c r="C1438">
        <v>0</v>
      </c>
      <c r="D1438">
        <v>0</v>
      </c>
      <c r="E1438">
        <v>0</v>
      </c>
      <c r="F1438">
        <v>0</v>
      </c>
      <c r="G1438">
        <v>23.4526</v>
      </c>
      <c r="H1438">
        <v>0</v>
      </c>
      <c r="I1438">
        <v>0</v>
      </c>
      <c r="J1438">
        <v>0</v>
      </c>
      <c r="K1438">
        <v>0</v>
      </c>
      <c r="L1438">
        <v>82</v>
      </c>
      <c r="M1438">
        <v>119</v>
      </c>
      <c r="N1438" t="s">
        <v>32</v>
      </c>
      <c r="O1438" s="3">
        <v>44608</v>
      </c>
      <c r="P1438">
        <v>-1</v>
      </c>
      <c r="T1438" t="s">
        <v>48</v>
      </c>
      <c r="U1438">
        <v>96</v>
      </c>
      <c r="V1438">
        <v>30.375</v>
      </c>
    </row>
    <row r="1439" spans="1:22" x14ac:dyDescent="0.35">
      <c r="A1439" s="3">
        <v>44489</v>
      </c>
      <c r="B1439" t="s">
        <v>30</v>
      </c>
      <c r="C1439">
        <v>0</v>
      </c>
      <c r="D1439">
        <v>0</v>
      </c>
      <c r="E1439">
        <v>0</v>
      </c>
      <c r="F1439">
        <v>0</v>
      </c>
      <c r="G1439">
        <v>24.767399999999999</v>
      </c>
      <c r="H1439">
        <v>0</v>
      </c>
      <c r="I1439">
        <v>0</v>
      </c>
      <c r="J1439">
        <v>0</v>
      </c>
      <c r="K1439">
        <v>0</v>
      </c>
      <c r="L1439">
        <v>126</v>
      </c>
      <c r="M1439">
        <v>182</v>
      </c>
      <c r="N1439" t="s">
        <v>30</v>
      </c>
      <c r="O1439" s="3">
        <v>44671</v>
      </c>
      <c r="P1439">
        <v>-1</v>
      </c>
      <c r="T1439" t="s">
        <v>47</v>
      </c>
      <c r="U1439">
        <v>116</v>
      </c>
      <c r="V1439">
        <v>28.225000000000001</v>
      </c>
    </row>
    <row r="1440" spans="1:22" x14ac:dyDescent="0.35">
      <c r="A1440" s="3">
        <v>44489</v>
      </c>
      <c r="B1440" t="s">
        <v>36</v>
      </c>
      <c r="C1440">
        <v>0</v>
      </c>
      <c r="D1440">
        <v>0</v>
      </c>
      <c r="E1440">
        <v>0</v>
      </c>
      <c r="F1440">
        <v>0</v>
      </c>
      <c r="G1440">
        <v>15.35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36</v>
      </c>
      <c r="O1440" s="3">
        <v>44489</v>
      </c>
      <c r="P1440">
        <v>-1</v>
      </c>
      <c r="T1440" t="s">
        <v>46</v>
      </c>
      <c r="U1440">
        <v>135</v>
      </c>
      <c r="V1440">
        <v>26.774999999999999</v>
      </c>
    </row>
    <row r="1441" spans="1:22" x14ac:dyDescent="0.35">
      <c r="A1441" s="3">
        <v>44489</v>
      </c>
      <c r="B1441" t="s">
        <v>33</v>
      </c>
      <c r="C1441">
        <v>0</v>
      </c>
      <c r="D1441">
        <v>0</v>
      </c>
      <c r="E1441">
        <v>0</v>
      </c>
      <c r="F1441">
        <v>0</v>
      </c>
      <c r="G1441">
        <v>22.7</v>
      </c>
      <c r="H1441">
        <v>0</v>
      </c>
      <c r="I1441">
        <v>0</v>
      </c>
      <c r="J1441">
        <v>0</v>
      </c>
      <c r="K1441">
        <v>0</v>
      </c>
      <c r="L1441">
        <v>62</v>
      </c>
      <c r="M1441">
        <v>91</v>
      </c>
      <c r="N1441" t="s">
        <v>33</v>
      </c>
      <c r="O1441" s="3">
        <v>44580</v>
      </c>
      <c r="P1441">
        <v>-1</v>
      </c>
      <c r="S1441" s="3">
        <v>43991</v>
      </c>
      <c r="T1441" t="s">
        <v>45</v>
      </c>
      <c r="U1441">
        <v>156</v>
      </c>
      <c r="V1441">
        <v>27.55</v>
      </c>
    </row>
    <row r="1442" spans="1:22" x14ac:dyDescent="0.35">
      <c r="A1442" s="3">
        <v>44489</v>
      </c>
      <c r="B1442" t="s">
        <v>35</v>
      </c>
      <c r="C1442">
        <v>0</v>
      </c>
      <c r="D1442">
        <v>0</v>
      </c>
      <c r="E1442">
        <v>0</v>
      </c>
      <c r="F1442">
        <v>0</v>
      </c>
      <c r="G1442">
        <v>19.3155</v>
      </c>
      <c r="H1442">
        <v>0</v>
      </c>
      <c r="I1442">
        <v>0</v>
      </c>
      <c r="J1442">
        <v>0</v>
      </c>
      <c r="K1442">
        <v>0</v>
      </c>
      <c r="L1442">
        <v>20</v>
      </c>
      <c r="M1442">
        <v>28</v>
      </c>
      <c r="N1442" t="s">
        <v>35</v>
      </c>
      <c r="O1442" s="3">
        <v>44517</v>
      </c>
      <c r="P1442">
        <v>-1</v>
      </c>
      <c r="T1442" t="s">
        <v>52</v>
      </c>
      <c r="U1442">
        <v>6</v>
      </c>
      <c r="V1442">
        <v>27.625</v>
      </c>
    </row>
    <row r="1443" spans="1:22" x14ac:dyDescent="0.35">
      <c r="A1443" s="3">
        <v>44489</v>
      </c>
      <c r="B1443" t="s">
        <v>29</v>
      </c>
      <c r="C1443">
        <v>0</v>
      </c>
      <c r="D1443">
        <v>0</v>
      </c>
      <c r="E1443">
        <v>0</v>
      </c>
      <c r="F1443">
        <v>0</v>
      </c>
      <c r="G1443">
        <v>25.024999999999999</v>
      </c>
      <c r="H1443">
        <v>0</v>
      </c>
      <c r="I1443">
        <v>0</v>
      </c>
      <c r="J1443">
        <v>0</v>
      </c>
      <c r="K1443">
        <v>0</v>
      </c>
      <c r="L1443">
        <v>146</v>
      </c>
      <c r="M1443">
        <v>210</v>
      </c>
      <c r="N1443" t="s">
        <v>29</v>
      </c>
      <c r="O1443" s="3">
        <v>44699</v>
      </c>
      <c r="P1443">
        <v>-1</v>
      </c>
      <c r="T1443" t="s">
        <v>51</v>
      </c>
      <c r="U1443">
        <v>31</v>
      </c>
      <c r="V1443">
        <v>29.574999999999999</v>
      </c>
    </row>
    <row r="1444" spans="1:22" x14ac:dyDescent="0.35">
      <c r="A1444" s="3">
        <v>44489</v>
      </c>
      <c r="B1444" t="s">
        <v>34</v>
      </c>
      <c r="C1444">
        <v>0</v>
      </c>
      <c r="D1444">
        <v>0</v>
      </c>
      <c r="E1444">
        <v>0</v>
      </c>
      <c r="F1444">
        <v>0</v>
      </c>
      <c r="G1444">
        <v>21.051100000000002</v>
      </c>
      <c r="H1444">
        <v>0</v>
      </c>
      <c r="I1444">
        <v>0</v>
      </c>
      <c r="J1444">
        <v>0</v>
      </c>
      <c r="K1444">
        <v>0</v>
      </c>
      <c r="L1444">
        <v>44</v>
      </c>
      <c r="M1444">
        <v>63</v>
      </c>
      <c r="N1444" t="s">
        <v>34</v>
      </c>
      <c r="O1444" s="3">
        <v>44552</v>
      </c>
      <c r="P1444">
        <v>-1</v>
      </c>
      <c r="T1444" t="s">
        <v>50</v>
      </c>
      <c r="U1444">
        <v>51</v>
      </c>
      <c r="V1444">
        <v>29.1</v>
      </c>
    </row>
    <row r="1445" spans="1:22" x14ac:dyDescent="0.35">
      <c r="A1445" s="3">
        <v>44489</v>
      </c>
      <c r="B1445" t="s">
        <v>28</v>
      </c>
      <c r="C1445">
        <v>0</v>
      </c>
      <c r="D1445">
        <v>0</v>
      </c>
      <c r="E1445">
        <v>0</v>
      </c>
      <c r="F1445">
        <v>0</v>
      </c>
      <c r="G1445">
        <v>25.125</v>
      </c>
      <c r="H1445">
        <v>0</v>
      </c>
      <c r="I1445">
        <v>0</v>
      </c>
      <c r="J1445">
        <v>0</v>
      </c>
      <c r="K1445">
        <v>0</v>
      </c>
      <c r="L1445">
        <v>165</v>
      </c>
      <c r="M1445">
        <v>238</v>
      </c>
      <c r="N1445" t="s">
        <v>28</v>
      </c>
      <c r="O1445" s="3">
        <v>44727</v>
      </c>
      <c r="P1445">
        <v>-1</v>
      </c>
      <c r="T1445" t="s">
        <v>49</v>
      </c>
      <c r="U1445">
        <v>70</v>
      </c>
      <c r="V1445">
        <v>29.274999999999999</v>
      </c>
    </row>
    <row r="1446" spans="1:22" x14ac:dyDescent="0.35">
      <c r="A1446" s="3">
        <v>44489</v>
      </c>
      <c r="B1446" t="s">
        <v>31</v>
      </c>
      <c r="C1446">
        <v>0</v>
      </c>
      <c r="D1446">
        <v>0</v>
      </c>
      <c r="E1446">
        <v>0</v>
      </c>
      <c r="F1446">
        <v>0</v>
      </c>
      <c r="G1446">
        <v>24.369900000000001</v>
      </c>
      <c r="H1446">
        <v>0</v>
      </c>
      <c r="I1446">
        <v>0</v>
      </c>
      <c r="J1446">
        <v>0</v>
      </c>
      <c r="K1446">
        <v>0</v>
      </c>
      <c r="L1446">
        <v>100</v>
      </c>
      <c r="M1446">
        <v>146</v>
      </c>
      <c r="N1446" t="s">
        <v>31</v>
      </c>
      <c r="O1446" s="3">
        <v>44635</v>
      </c>
      <c r="P1446">
        <v>-1</v>
      </c>
      <c r="T1446" t="s">
        <v>48</v>
      </c>
      <c r="U1446">
        <v>95</v>
      </c>
      <c r="V1446">
        <v>31.074999999999999</v>
      </c>
    </row>
    <row r="1447" spans="1:22" x14ac:dyDescent="0.35">
      <c r="A1447" s="3">
        <v>44488</v>
      </c>
      <c r="B1447" t="s">
        <v>35</v>
      </c>
      <c r="C1447">
        <v>0</v>
      </c>
      <c r="D1447">
        <v>0</v>
      </c>
      <c r="E1447">
        <v>0</v>
      </c>
      <c r="F1447">
        <v>0</v>
      </c>
      <c r="G1447">
        <v>19.528700000000001</v>
      </c>
      <c r="H1447">
        <v>0</v>
      </c>
      <c r="I1447">
        <v>0</v>
      </c>
      <c r="J1447">
        <v>0</v>
      </c>
      <c r="K1447">
        <v>0</v>
      </c>
      <c r="L1447">
        <v>21</v>
      </c>
      <c r="M1447">
        <v>29</v>
      </c>
      <c r="N1447" t="s">
        <v>35</v>
      </c>
      <c r="O1447" s="3">
        <v>44517</v>
      </c>
      <c r="P1447">
        <v>-1</v>
      </c>
      <c r="T1447" t="s">
        <v>47</v>
      </c>
      <c r="U1447">
        <v>115</v>
      </c>
      <c r="V1447">
        <v>29.074999999999999</v>
      </c>
    </row>
    <row r="1448" spans="1:22" x14ac:dyDescent="0.35">
      <c r="A1448" s="3">
        <v>44488</v>
      </c>
      <c r="B1448" t="s">
        <v>29</v>
      </c>
      <c r="C1448">
        <v>0</v>
      </c>
      <c r="D1448">
        <v>0</v>
      </c>
      <c r="E1448">
        <v>0</v>
      </c>
      <c r="F1448">
        <v>0</v>
      </c>
      <c r="G1448">
        <v>25.1</v>
      </c>
      <c r="H1448">
        <v>0</v>
      </c>
      <c r="I1448">
        <v>0</v>
      </c>
      <c r="J1448">
        <v>0</v>
      </c>
      <c r="K1448">
        <v>0</v>
      </c>
      <c r="L1448">
        <v>147</v>
      </c>
      <c r="M1448">
        <v>211</v>
      </c>
      <c r="N1448" t="s">
        <v>29</v>
      </c>
      <c r="O1448" s="3">
        <v>44699</v>
      </c>
      <c r="P1448">
        <v>-1</v>
      </c>
      <c r="T1448" t="s">
        <v>46</v>
      </c>
      <c r="U1448">
        <v>134</v>
      </c>
      <c r="V1448">
        <v>27.675000000000001</v>
      </c>
    </row>
    <row r="1449" spans="1:22" x14ac:dyDescent="0.35">
      <c r="A1449" s="3">
        <v>44488</v>
      </c>
      <c r="B1449" t="s">
        <v>34</v>
      </c>
      <c r="C1449">
        <v>0</v>
      </c>
      <c r="D1449">
        <v>0</v>
      </c>
      <c r="E1449">
        <v>0</v>
      </c>
      <c r="F1449">
        <v>0</v>
      </c>
      <c r="G1449">
        <v>21.315000000000001</v>
      </c>
      <c r="H1449">
        <v>0</v>
      </c>
      <c r="I1449">
        <v>0</v>
      </c>
      <c r="J1449">
        <v>0</v>
      </c>
      <c r="K1449">
        <v>0</v>
      </c>
      <c r="L1449">
        <v>45</v>
      </c>
      <c r="M1449">
        <v>64</v>
      </c>
      <c r="N1449" t="s">
        <v>34</v>
      </c>
      <c r="O1449" s="3">
        <v>44552</v>
      </c>
      <c r="P1449">
        <v>-1</v>
      </c>
      <c r="S1449" s="3">
        <v>43992</v>
      </c>
      <c r="T1449" t="s">
        <v>45</v>
      </c>
      <c r="U1449">
        <v>155</v>
      </c>
      <c r="V1449">
        <v>27.25</v>
      </c>
    </row>
    <row r="1450" spans="1:22" x14ac:dyDescent="0.35">
      <c r="A1450" s="3">
        <v>44488</v>
      </c>
      <c r="B1450" t="s">
        <v>28</v>
      </c>
      <c r="C1450">
        <v>0</v>
      </c>
      <c r="D1450">
        <v>0</v>
      </c>
      <c r="E1450">
        <v>0</v>
      </c>
      <c r="F1450">
        <v>0</v>
      </c>
      <c r="G1450">
        <v>25.175000000000001</v>
      </c>
      <c r="H1450">
        <v>0</v>
      </c>
      <c r="I1450">
        <v>0</v>
      </c>
      <c r="J1450">
        <v>0</v>
      </c>
      <c r="K1450">
        <v>0</v>
      </c>
      <c r="L1450">
        <v>166</v>
      </c>
      <c r="M1450">
        <v>239</v>
      </c>
      <c r="N1450" t="s">
        <v>28</v>
      </c>
      <c r="O1450" s="3">
        <v>44727</v>
      </c>
      <c r="P1450">
        <v>-1</v>
      </c>
      <c r="T1450" t="s">
        <v>44</v>
      </c>
      <c r="U1450">
        <v>174</v>
      </c>
      <c r="V1450">
        <v>27</v>
      </c>
    </row>
    <row r="1451" spans="1:22" x14ac:dyDescent="0.35">
      <c r="A1451" s="3">
        <v>44488</v>
      </c>
      <c r="B1451" t="s">
        <v>31</v>
      </c>
      <c r="C1451">
        <v>0</v>
      </c>
      <c r="D1451">
        <v>0</v>
      </c>
      <c r="E1451">
        <v>0</v>
      </c>
      <c r="F1451">
        <v>0</v>
      </c>
      <c r="G1451">
        <v>24.4986</v>
      </c>
      <c r="H1451">
        <v>0</v>
      </c>
      <c r="I1451">
        <v>0</v>
      </c>
      <c r="J1451">
        <v>0</v>
      </c>
      <c r="K1451">
        <v>0</v>
      </c>
      <c r="L1451">
        <v>101</v>
      </c>
      <c r="M1451">
        <v>147</v>
      </c>
      <c r="N1451" t="s">
        <v>31</v>
      </c>
      <c r="O1451" s="3">
        <v>44635</v>
      </c>
      <c r="P1451">
        <v>-1</v>
      </c>
      <c r="T1451" t="s">
        <v>52</v>
      </c>
      <c r="U1451">
        <v>5</v>
      </c>
      <c r="V1451">
        <v>27.475000000000001</v>
      </c>
    </row>
    <row r="1452" spans="1:22" x14ac:dyDescent="0.35">
      <c r="A1452" s="3">
        <v>44488</v>
      </c>
      <c r="B1452" t="s">
        <v>32</v>
      </c>
      <c r="C1452">
        <v>0</v>
      </c>
      <c r="D1452">
        <v>0</v>
      </c>
      <c r="E1452">
        <v>0</v>
      </c>
      <c r="F1452">
        <v>0</v>
      </c>
      <c r="G1452">
        <v>23.683</v>
      </c>
      <c r="H1452">
        <v>0</v>
      </c>
      <c r="I1452">
        <v>0</v>
      </c>
      <c r="J1452">
        <v>0</v>
      </c>
      <c r="K1452">
        <v>0</v>
      </c>
      <c r="L1452">
        <v>83</v>
      </c>
      <c r="M1452">
        <v>120</v>
      </c>
      <c r="N1452" t="s">
        <v>32</v>
      </c>
      <c r="O1452" s="3">
        <v>44608</v>
      </c>
      <c r="P1452">
        <v>-1</v>
      </c>
      <c r="T1452" t="s">
        <v>51</v>
      </c>
      <c r="U1452">
        <v>30</v>
      </c>
      <c r="V1452">
        <v>29.024999999999999</v>
      </c>
    </row>
    <row r="1453" spans="1:22" x14ac:dyDescent="0.35">
      <c r="A1453" s="3">
        <v>44488</v>
      </c>
      <c r="B1453" t="s">
        <v>30</v>
      </c>
      <c r="C1453">
        <v>0</v>
      </c>
      <c r="D1453">
        <v>0</v>
      </c>
      <c r="E1453">
        <v>0</v>
      </c>
      <c r="F1453">
        <v>0</v>
      </c>
      <c r="G1453">
        <v>24.9283</v>
      </c>
      <c r="H1453">
        <v>0</v>
      </c>
      <c r="I1453">
        <v>0</v>
      </c>
      <c r="J1453">
        <v>0</v>
      </c>
      <c r="K1453">
        <v>0</v>
      </c>
      <c r="L1453">
        <v>127</v>
      </c>
      <c r="M1453">
        <v>183</v>
      </c>
      <c r="N1453" t="s">
        <v>30</v>
      </c>
      <c r="O1453" s="3">
        <v>44671</v>
      </c>
      <c r="P1453">
        <v>-1</v>
      </c>
      <c r="T1453" t="s">
        <v>50</v>
      </c>
      <c r="U1453">
        <v>50</v>
      </c>
      <c r="V1453">
        <v>28.8</v>
      </c>
    </row>
    <row r="1454" spans="1:22" x14ac:dyDescent="0.35">
      <c r="A1454" s="3">
        <v>44488</v>
      </c>
      <c r="B1454" t="s">
        <v>36</v>
      </c>
      <c r="C1454">
        <v>0</v>
      </c>
      <c r="D1454">
        <v>0</v>
      </c>
      <c r="E1454">
        <v>0</v>
      </c>
      <c r="F1454">
        <v>0</v>
      </c>
      <c r="G1454">
        <v>15.964700000000001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1</v>
      </c>
      <c r="N1454" t="s">
        <v>36</v>
      </c>
      <c r="O1454" s="3">
        <v>44489</v>
      </c>
      <c r="P1454">
        <v>-1</v>
      </c>
      <c r="T1454" t="s">
        <v>49</v>
      </c>
      <c r="U1454">
        <v>69</v>
      </c>
      <c r="V1454">
        <v>28.925000000000001</v>
      </c>
    </row>
    <row r="1455" spans="1:22" x14ac:dyDescent="0.35">
      <c r="A1455" s="3">
        <v>44488</v>
      </c>
      <c r="B1455" t="s">
        <v>33</v>
      </c>
      <c r="C1455">
        <v>0</v>
      </c>
      <c r="D1455">
        <v>0</v>
      </c>
      <c r="E1455">
        <v>0</v>
      </c>
      <c r="F1455">
        <v>0</v>
      </c>
      <c r="G1455">
        <v>23.000399999999999</v>
      </c>
      <c r="H1455">
        <v>0</v>
      </c>
      <c r="I1455">
        <v>0</v>
      </c>
      <c r="J1455">
        <v>0</v>
      </c>
      <c r="K1455">
        <v>0</v>
      </c>
      <c r="L1455">
        <v>63</v>
      </c>
      <c r="M1455">
        <v>92</v>
      </c>
      <c r="N1455" t="s">
        <v>33</v>
      </c>
      <c r="O1455" s="3">
        <v>44580</v>
      </c>
      <c r="P1455">
        <v>-1</v>
      </c>
      <c r="T1455" t="s">
        <v>48</v>
      </c>
      <c r="U1455">
        <v>94</v>
      </c>
      <c r="V1455">
        <v>30.725000000000001</v>
      </c>
    </row>
    <row r="1456" spans="1:22" x14ac:dyDescent="0.35">
      <c r="A1456" s="3">
        <v>44487</v>
      </c>
      <c r="B1456" t="s">
        <v>32</v>
      </c>
      <c r="C1456">
        <v>0</v>
      </c>
      <c r="D1456">
        <v>0</v>
      </c>
      <c r="E1456">
        <v>0</v>
      </c>
      <c r="F1456">
        <v>0</v>
      </c>
      <c r="G1456">
        <v>23.8856</v>
      </c>
      <c r="H1456">
        <v>0</v>
      </c>
      <c r="I1456">
        <v>0</v>
      </c>
      <c r="J1456">
        <v>0</v>
      </c>
      <c r="K1456">
        <v>0</v>
      </c>
      <c r="L1456">
        <v>84</v>
      </c>
      <c r="M1456">
        <v>121</v>
      </c>
      <c r="N1456" t="s">
        <v>32</v>
      </c>
      <c r="O1456" s="3">
        <v>44608</v>
      </c>
      <c r="P1456">
        <v>-1</v>
      </c>
      <c r="T1456" t="s">
        <v>47</v>
      </c>
      <c r="U1456">
        <v>114</v>
      </c>
      <c r="V1456">
        <v>28.675000000000001</v>
      </c>
    </row>
    <row r="1457" spans="1:22" x14ac:dyDescent="0.35">
      <c r="A1457" s="3">
        <v>44487</v>
      </c>
      <c r="B1457" t="s">
        <v>30</v>
      </c>
      <c r="C1457">
        <v>0</v>
      </c>
      <c r="D1457">
        <v>0</v>
      </c>
      <c r="E1457">
        <v>0</v>
      </c>
      <c r="F1457">
        <v>0</v>
      </c>
      <c r="G1457">
        <v>25</v>
      </c>
      <c r="H1457">
        <v>0</v>
      </c>
      <c r="I1457">
        <v>0</v>
      </c>
      <c r="J1457">
        <v>0</v>
      </c>
      <c r="K1457">
        <v>0</v>
      </c>
      <c r="L1457">
        <v>128</v>
      </c>
      <c r="M1457">
        <v>184</v>
      </c>
      <c r="N1457" t="s">
        <v>30</v>
      </c>
      <c r="O1457" s="3">
        <v>44671</v>
      </c>
      <c r="P1457">
        <v>-1</v>
      </c>
      <c r="T1457" t="s">
        <v>46</v>
      </c>
      <c r="U1457">
        <v>133</v>
      </c>
      <c r="V1457">
        <v>27.274999999999999</v>
      </c>
    </row>
    <row r="1458" spans="1:22" x14ac:dyDescent="0.35">
      <c r="A1458" s="3">
        <v>44487</v>
      </c>
      <c r="B1458" t="s">
        <v>36</v>
      </c>
      <c r="C1458">
        <v>0</v>
      </c>
      <c r="D1458">
        <v>0</v>
      </c>
      <c r="E1458">
        <v>0</v>
      </c>
      <c r="F1458">
        <v>0</v>
      </c>
      <c r="G1458">
        <v>16.617999999999999</v>
      </c>
      <c r="H1458">
        <v>0</v>
      </c>
      <c r="I1458">
        <v>0</v>
      </c>
      <c r="J1458">
        <v>0</v>
      </c>
      <c r="K1458">
        <v>0</v>
      </c>
      <c r="L1458">
        <v>2</v>
      </c>
      <c r="M1458">
        <v>2</v>
      </c>
      <c r="N1458" t="s">
        <v>36</v>
      </c>
      <c r="O1458" s="3">
        <v>44489</v>
      </c>
      <c r="P1458">
        <v>-1</v>
      </c>
      <c r="S1458" s="3">
        <v>43993</v>
      </c>
      <c r="T1458" t="s">
        <v>45</v>
      </c>
      <c r="U1458">
        <v>154</v>
      </c>
      <c r="V1458">
        <v>31.35</v>
      </c>
    </row>
    <row r="1459" spans="1:22" x14ac:dyDescent="0.35">
      <c r="A1459" s="3">
        <v>44487</v>
      </c>
      <c r="B1459" t="s">
        <v>33</v>
      </c>
      <c r="C1459">
        <v>0</v>
      </c>
      <c r="D1459">
        <v>0</v>
      </c>
      <c r="E1459">
        <v>0</v>
      </c>
      <c r="F1459">
        <v>0</v>
      </c>
      <c r="G1459">
        <v>23.061499999999999</v>
      </c>
      <c r="H1459">
        <v>0</v>
      </c>
      <c r="I1459">
        <v>0</v>
      </c>
      <c r="J1459">
        <v>0</v>
      </c>
      <c r="K1459">
        <v>0</v>
      </c>
      <c r="L1459">
        <v>64</v>
      </c>
      <c r="M1459">
        <v>93</v>
      </c>
      <c r="N1459" t="s">
        <v>33</v>
      </c>
      <c r="O1459" s="3">
        <v>44580</v>
      </c>
      <c r="P1459">
        <v>-1</v>
      </c>
      <c r="T1459" t="s">
        <v>44</v>
      </c>
      <c r="U1459">
        <v>173</v>
      </c>
      <c r="V1459">
        <v>29.75</v>
      </c>
    </row>
    <row r="1460" spans="1:22" x14ac:dyDescent="0.35">
      <c r="A1460" s="3">
        <v>44487</v>
      </c>
      <c r="B1460" t="s">
        <v>35</v>
      </c>
      <c r="C1460">
        <v>0</v>
      </c>
      <c r="D1460">
        <v>0</v>
      </c>
      <c r="E1460">
        <v>0</v>
      </c>
      <c r="F1460">
        <v>0</v>
      </c>
      <c r="G1460">
        <v>19.696200000000001</v>
      </c>
      <c r="H1460">
        <v>0</v>
      </c>
      <c r="I1460">
        <v>0</v>
      </c>
      <c r="J1460">
        <v>0</v>
      </c>
      <c r="K1460">
        <v>0</v>
      </c>
      <c r="L1460">
        <v>22</v>
      </c>
      <c r="M1460">
        <v>30</v>
      </c>
      <c r="N1460" t="s">
        <v>35</v>
      </c>
      <c r="O1460" s="3">
        <v>44517</v>
      </c>
      <c r="P1460">
        <v>-1</v>
      </c>
      <c r="T1460" t="s">
        <v>52</v>
      </c>
      <c r="U1460">
        <v>4</v>
      </c>
      <c r="V1460">
        <v>40.625</v>
      </c>
    </row>
    <row r="1461" spans="1:22" x14ac:dyDescent="0.35">
      <c r="A1461" s="3">
        <v>44487</v>
      </c>
      <c r="B1461" t="s">
        <v>29</v>
      </c>
      <c r="C1461">
        <v>0</v>
      </c>
      <c r="D1461">
        <v>0</v>
      </c>
      <c r="E1461">
        <v>0</v>
      </c>
      <c r="F1461">
        <v>0</v>
      </c>
      <c r="G1461">
        <v>25.15</v>
      </c>
      <c r="H1461">
        <v>0</v>
      </c>
      <c r="I1461">
        <v>0</v>
      </c>
      <c r="J1461">
        <v>0</v>
      </c>
      <c r="K1461">
        <v>0</v>
      </c>
      <c r="L1461">
        <v>148</v>
      </c>
      <c r="M1461">
        <v>212</v>
      </c>
      <c r="N1461" t="s">
        <v>29</v>
      </c>
      <c r="O1461" s="3">
        <v>44699</v>
      </c>
      <c r="P1461">
        <v>-1</v>
      </c>
      <c r="T1461" t="s">
        <v>51</v>
      </c>
      <c r="U1461">
        <v>29</v>
      </c>
      <c r="V1461">
        <v>39.674999999999997</v>
      </c>
    </row>
    <row r="1462" spans="1:22" x14ac:dyDescent="0.35">
      <c r="A1462" s="3">
        <v>44487</v>
      </c>
      <c r="B1462" t="s">
        <v>34</v>
      </c>
      <c r="C1462">
        <v>0</v>
      </c>
      <c r="D1462">
        <v>0</v>
      </c>
      <c r="E1462">
        <v>0</v>
      </c>
      <c r="F1462">
        <v>0</v>
      </c>
      <c r="G1462">
        <v>21.305399999999999</v>
      </c>
      <c r="H1462">
        <v>0</v>
      </c>
      <c r="I1462">
        <v>0</v>
      </c>
      <c r="J1462">
        <v>0</v>
      </c>
      <c r="K1462">
        <v>0</v>
      </c>
      <c r="L1462">
        <v>46</v>
      </c>
      <c r="M1462">
        <v>65</v>
      </c>
      <c r="N1462" t="s">
        <v>34</v>
      </c>
      <c r="O1462" s="3">
        <v>44552</v>
      </c>
      <c r="P1462">
        <v>-1</v>
      </c>
      <c r="T1462" t="s">
        <v>50</v>
      </c>
      <c r="U1462">
        <v>49</v>
      </c>
      <c r="V1462">
        <v>36.774999999999999</v>
      </c>
    </row>
    <row r="1463" spans="1:22" x14ac:dyDescent="0.35">
      <c r="A1463" s="3">
        <v>44487</v>
      </c>
      <c r="B1463" t="s">
        <v>28</v>
      </c>
      <c r="C1463">
        <v>0</v>
      </c>
      <c r="D1463">
        <v>0</v>
      </c>
      <c r="E1463">
        <v>0</v>
      </c>
      <c r="F1463">
        <v>0</v>
      </c>
      <c r="G1463">
        <v>25.2</v>
      </c>
      <c r="H1463">
        <v>0</v>
      </c>
      <c r="I1463">
        <v>0</v>
      </c>
      <c r="J1463">
        <v>0</v>
      </c>
      <c r="K1463">
        <v>0</v>
      </c>
      <c r="L1463">
        <v>167</v>
      </c>
      <c r="M1463">
        <v>240</v>
      </c>
      <c r="N1463" t="s">
        <v>28</v>
      </c>
      <c r="O1463" s="3">
        <v>44727</v>
      </c>
      <c r="P1463">
        <v>-1</v>
      </c>
      <c r="T1463" t="s">
        <v>49</v>
      </c>
      <c r="U1463">
        <v>68</v>
      </c>
      <c r="V1463">
        <v>35.075000000000003</v>
      </c>
    </row>
    <row r="1464" spans="1:22" x14ac:dyDescent="0.35">
      <c r="A1464" s="3">
        <v>44487</v>
      </c>
      <c r="B1464" t="s">
        <v>31</v>
      </c>
      <c r="C1464">
        <v>0</v>
      </c>
      <c r="D1464">
        <v>0</v>
      </c>
      <c r="E1464">
        <v>0</v>
      </c>
      <c r="F1464">
        <v>0</v>
      </c>
      <c r="G1464">
        <v>24.616900000000001</v>
      </c>
      <c r="H1464">
        <v>0</v>
      </c>
      <c r="I1464">
        <v>0</v>
      </c>
      <c r="J1464">
        <v>0</v>
      </c>
      <c r="K1464">
        <v>0</v>
      </c>
      <c r="L1464">
        <v>102</v>
      </c>
      <c r="M1464">
        <v>148</v>
      </c>
      <c r="N1464" t="s">
        <v>31</v>
      </c>
      <c r="O1464" s="3">
        <v>44635</v>
      </c>
      <c r="P1464">
        <v>-1</v>
      </c>
      <c r="T1464" t="s">
        <v>48</v>
      </c>
      <c r="U1464">
        <v>93</v>
      </c>
      <c r="V1464">
        <v>35.825000000000003</v>
      </c>
    </row>
    <row r="1465" spans="1:22" x14ac:dyDescent="0.35">
      <c r="A1465" s="3">
        <v>44484</v>
      </c>
      <c r="B1465" t="s">
        <v>35</v>
      </c>
      <c r="C1465">
        <v>0</v>
      </c>
      <c r="D1465">
        <v>0</v>
      </c>
      <c r="E1465">
        <v>0</v>
      </c>
      <c r="F1465">
        <v>0</v>
      </c>
      <c r="G1465">
        <v>20.098299999999998</v>
      </c>
      <c r="H1465">
        <v>0</v>
      </c>
      <c r="I1465">
        <v>0</v>
      </c>
      <c r="J1465">
        <v>0</v>
      </c>
      <c r="K1465">
        <v>0</v>
      </c>
      <c r="L1465">
        <v>23</v>
      </c>
      <c r="M1465">
        <v>33</v>
      </c>
      <c r="N1465" t="s">
        <v>35</v>
      </c>
      <c r="O1465" s="3">
        <v>44517</v>
      </c>
      <c r="P1465">
        <v>-1</v>
      </c>
      <c r="T1465" t="s">
        <v>47</v>
      </c>
      <c r="U1465">
        <v>113</v>
      </c>
      <c r="V1465">
        <v>33.299999999999997</v>
      </c>
    </row>
    <row r="1466" spans="1:22" x14ac:dyDescent="0.35">
      <c r="A1466" s="3">
        <v>44484</v>
      </c>
      <c r="B1466" t="s">
        <v>29</v>
      </c>
      <c r="C1466">
        <v>0</v>
      </c>
      <c r="D1466">
        <v>0</v>
      </c>
      <c r="E1466">
        <v>0</v>
      </c>
      <c r="F1466">
        <v>0</v>
      </c>
      <c r="G1466">
        <v>24.9</v>
      </c>
      <c r="H1466">
        <v>0</v>
      </c>
      <c r="I1466">
        <v>0</v>
      </c>
      <c r="J1466">
        <v>0</v>
      </c>
      <c r="K1466">
        <v>0</v>
      </c>
      <c r="L1466">
        <v>149</v>
      </c>
      <c r="M1466">
        <v>215</v>
      </c>
      <c r="N1466" t="s">
        <v>29</v>
      </c>
      <c r="O1466" s="3">
        <v>44699</v>
      </c>
      <c r="P1466">
        <v>-1</v>
      </c>
      <c r="T1466" t="s">
        <v>46</v>
      </c>
      <c r="U1466">
        <v>132</v>
      </c>
      <c r="V1466">
        <v>31.675000000000001</v>
      </c>
    </row>
    <row r="1467" spans="1:22" x14ac:dyDescent="0.35">
      <c r="A1467" s="3">
        <v>44484</v>
      </c>
      <c r="B1467" t="s">
        <v>34</v>
      </c>
      <c r="C1467">
        <v>0</v>
      </c>
      <c r="D1467">
        <v>0</v>
      </c>
      <c r="E1467">
        <v>0</v>
      </c>
      <c r="F1467">
        <v>0</v>
      </c>
      <c r="G1467">
        <v>21.595700000000001</v>
      </c>
      <c r="H1467">
        <v>0</v>
      </c>
      <c r="I1467">
        <v>0</v>
      </c>
      <c r="J1467">
        <v>0</v>
      </c>
      <c r="K1467">
        <v>0</v>
      </c>
      <c r="L1467">
        <v>47</v>
      </c>
      <c r="M1467">
        <v>68</v>
      </c>
      <c r="N1467" t="s">
        <v>34</v>
      </c>
      <c r="O1467" s="3">
        <v>44552</v>
      </c>
      <c r="P1467">
        <v>-1</v>
      </c>
      <c r="S1467" s="3">
        <v>43994</v>
      </c>
      <c r="T1467" t="s">
        <v>45</v>
      </c>
      <c r="U1467">
        <v>153</v>
      </c>
      <c r="V1467">
        <v>30.1</v>
      </c>
    </row>
    <row r="1468" spans="1:22" x14ac:dyDescent="0.35">
      <c r="A1468" s="3">
        <v>44484</v>
      </c>
      <c r="B1468" t="s">
        <v>28</v>
      </c>
      <c r="C1468">
        <v>0</v>
      </c>
      <c r="D1468">
        <v>0</v>
      </c>
      <c r="E1468">
        <v>0</v>
      </c>
      <c r="F1468">
        <v>0</v>
      </c>
      <c r="G1468">
        <v>25.15</v>
      </c>
      <c r="H1468">
        <v>0</v>
      </c>
      <c r="I1468">
        <v>0</v>
      </c>
      <c r="J1468">
        <v>0</v>
      </c>
      <c r="K1468">
        <v>0</v>
      </c>
      <c r="L1468">
        <v>168</v>
      </c>
      <c r="M1468">
        <v>243</v>
      </c>
      <c r="N1468" t="s">
        <v>28</v>
      </c>
      <c r="O1468" s="3">
        <v>44727</v>
      </c>
      <c r="P1468">
        <v>-1</v>
      </c>
      <c r="T1468" t="s">
        <v>44</v>
      </c>
      <c r="U1468">
        <v>172</v>
      </c>
      <c r="V1468">
        <v>30.75</v>
      </c>
    </row>
    <row r="1469" spans="1:22" x14ac:dyDescent="0.35">
      <c r="A1469" s="3">
        <v>44484</v>
      </c>
      <c r="B1469" t="s">
        <v>31</v>
      </c>
      <c r="C1469">
        <v>0</v>
      </c>
      <c r="D1469">
        <v>0</v>
      </c>
      <c r="E1469">
        <v>0</v>
      </c>
      <c r="F1469">
        <v>0</v>
      </c>
      <c r="G1469">
        <v>24.45</v>
      </c>
      <c r="H1469">
        <v>0</v>
      </c>
      <c r="I1469">
        <v>0</v>
      </c>
      <c r="J1469">
        <v>0</v>
      </c>
      <c r="K1469">
        <v>0</v>
      </c>
      <c r="L1469">
        <v>103</v>
      </c>
      <c r="M1469">
        <v>151</v>
      </c>
      <c r="N1469" t="s">
        <v>31</v>
      </c>
      <c r="O1469" s="3">
        <v>44635</v>
      </c>
      <c r="P1469">
        <v>-1</v>
      </c>
      <c r="T1469" t="s">
        <v>52</v>
      </c>
      <c r="U1469">
        <v>3</v>
      </c>
      <c r="V1469">
        <v>35.075000000000003</v>
      </c>
    </row>
    <row r="1470" spans="1:22" x14ac:dyDescent="0.35">
      <c r="A1470" s="3">
        <v>44484</v>
      </c>
      <c r="B1470" t="s">
        <v>32</v>
      </c>
      <c r="C1470">
        <v>0</v>
      </c>
      <c r="D1470">
        <v>0</v>
      </c>
      <c r="E1470">
        <v>0</v>
      </c>
      <c r="F1470">
        <v>0</v>
      </c>
      <c r="G1470">
        <v>23.702000000000002</v>
      </c>
      <c r="H1470">
        <v>0</v>
      </c>
      <c r="I1470">
        <v>0</v>
      </c>
      <c r="J1470">
        <v>0</v>
      </c>
      <c r="K1470">
        <v>0</v>
      </c>
      <c r="L1470">
        <v>85</v>
      </c>
      <c r="M1470">
        <v>124</v>
      </c>
      <c r="N1470" t="s">
        <v>32</v>
      </c>
      <c r="O1470" s="3">
        <v>44608</v>
      </c>
      <c r="P1470">
        <v>-1</v>
      </c>
      <c r="T1470" t="s">
        <v>51</v>
      </c>
      <c r="U1470">
        <v>28</v>
      </c>
      <c r="V1470">
        <v>34.825000000000003</v>
      </c>
    </row>
    <row r="1471" spans="1:22" x14ac:dyDescent="0.35">
      <c r="A1471" s="3">
        <v>44484</v>
      </c>
      <c r="B1471" t="s">
        <v>30</v>
      </c>
      <c r="C1471">
        <v>0</v>
      </c>
      <c r="D1471">
        <v>0</v>
      </c>
      <c r="E1471">
        <v>0</v>
      </c>
      <c r="F1471">
        <v>0</v>
      </c>
      <c r="G1471">
        <v>24.85</v>
      </c>
      <c r="H1471">
        <v>0</v>
      </c>
      <c r="I1471">
        <v>0</v>
      </c>
      <c r="J1471">
        <v>0</v>
      </c>
      <c r="K1471">
        <v>0</v>
      </c>
      <c r="L1471">
        <v>129</v>
      </c>
      <c r="M1471">
        <v>187</v>
      </c>
      <c r="N1471" t="s">
        <v>30</v>
      </c>
      <c r="O1471" s="3">
        <v>44671</v>
      </c>
      <c r="P1471">
        <v>-1</v>
      </c>
      <c r="T1471" t="s">
        <v>50</v>
      </c>
      <c r="U1471">
        <v>48</v>
      </c>
      <c r="V1471">
        <v>33.674999999999997</v>
      </c>
    </row>
    <row r="1472" spans="1:22" x14ac:dyDescent="0.35">
      <c r="A1472" s="3">
        <v>44484</v>
      </c>
      <c r="B1472" t="s">
        <v>36</v>
      </c>
      <c r="C1472">
        <v>0</v>
      </c>
      <c r="D1472">
        <v>0</v>
      </c>
      <c r="E1472">
        <v>0</v>
      </c>
      <c r="F1472">
        <v>0</v>
      </c>
      <c r="G1472">
        <v>17.172699999999999</v>
      </c>
      <c r="H1472">
        <v>0</v>
      </c>
      <c r="I1472">
        <v>0</v>
      </c>
      <c r="J1472">
        <v>0</v>
      </c>
      <c r="K1472">
        <v>0</v>
      </c>
      <c r="L1472">
        <v>3</v>
      </c>
      <c r="M1472">
        <v>5</v>
      </c>
      <c r="N1472" t="s">
        <v>36</v>
      </c>
      <c r="O1472" s="3">
        <v>44489</v>
      </c>
      <c r="P1472">
        <v>-1</v>
      </c>
      <c r="T1472" t="s">
        <v>49</v>
      </c>
      <c r="U1472">
        <v>67</v>
      </c>
      <c r="V1472">
        <v>32.875</v>
      </c>
    </row>
    <row r="1473" spans="1:22" x14ac:dyDescent="0.35">
      <c r="A1473" s="3">
        <v>44484</v>
      </c>
      <c r="B1473" t="s">
        <v>33</v>
      </c>
      <c r="C1473">
        <v>0</v>
      </c>
      <c r="D1473">
        <v>0</v>
      </c>
      <c r="E1473">
        <v>0</v>
      </c>
      <c r="F1473">
        <v>0</v>
      </c>
      <c r="G1473">
        <v>23.0032</v>
      </c>
      <c r="H1473">
        <v>0</v>
      </c>
      <c r="I1473">
        <v>0</v>
      </c>
      <c r="J1473">
        <v>0</v>
      </c>
      <c r="K1473">
        <v>0</v>
      </c>
      <c r="L1473">
        <v>65</v>
      </c>
      <c r="M1473">
        <v>96</v>
      </c>
      <c r="N1473" t="s">
        <v>33</v>
      </c>
      <c r="O1473" s="3">
        <v>44580</v>
      </c>
      <c r="P1473">
        <v>-1</v>
      </c>
      <c r="T1473" t="s">
        <v>48</v>
      </c>
      <c r="U1473">
        <v>92</v>
      </c>
      <c r="V1473">
        <v>34.024999999999999</v>
      </c>
    </row>
    <row r="1474" spans="1:22" x14ac:dyDescent="0.35">
      <c r="A1474" s="3">
        <v>44483</v>
      </c>
      <c r="B1474" t="s">
        <v>32</v>
      </c>
      <c r="C1474">
        <v>0</v>
      </c>
      <c r="D1474">
        <v>0</v>
      </c>
      <c r="E1474">
        <v>0</v>
      </c>
      <c r="F1474">
        <v>0</v>
      </c>
      <c r="G1474">
        <v>23.449400000000001</v>
      </c>
      <c r="H1474">
        <v>0</v>
      </c>
      <c r="I1474">
        <v>0</v>
      </c>
      <c r="J1474">
        <v>0</v>
      </c>
      <c r="K1474">
        <v>0</v>
      </c>
      <c r="L1474">
        <v>86</v>
      </c>
      <c r="M1474">
        <v>125</v>
      </c>
      <c r="N1474" t="s">
        <v>32</v>
      </c>
      <c r="O1474" s="3">
        <v>44608</v>
      </c>
      <c r="P1474">
        <v>-1</v>
      </c>
      <c r="T1474" t="s">
        <v>47</v>
      </c>
      <c r="U1474">
        <v>112</v>
      </c>
      <c r="V1474">
        <v>31.7</v>
      </c>
    </row>
    <row r="1475" spans="1:22" x14ac:dyDescent="0.35">
      <c r="A1475" s="3">
        <v>44483</v>
      </c>
      <c r="B1475" t="s">
        <v>30</v>
      </c>
      <c r="C1475">
        <v>0</v>
      </c>
      <c r="D1475">
        <v>0</v>
      </c>
      <c r="E1475">
        <v>0</v>
      </c>
      <c r="F1475">
        <v>0</v>
      </c>
      <c r="G1475">
        <v>24.55</v>
      </c>
      <c r="H1475">
        <v>0</v>
      </c>
      <c r="I1475">
        <v>0</v>
      </c>
      <c r="J1475">
        <v>0</v>
      </c>
      <c r="K1475">
        <v>0</v>
      </c>
      <c r="L1475">
        <v>130</v>
      </c>
      <c r="M1475">
        <v>188</v>
      </c>
      <c r="N1475" t="s">
        <v>30</v>
      </c>
      <c r="O1475" s="3">
        <v>44671</v>
      </c>
      <c r="P1475">
        <v>-1</v>
      </c>
      <c r="T1475" t="s">
        <v>46</v>
      </c>
      <c r="U1475">
        <v>131</v>
      </c>
      <c r="V1475">
        <v>30.3</v>
      </c>
    </row>
    <row r="1476" spans="1:22" x14ac:dyDescent="0.35">
      <c r="A1476" s="3">
        <v>44483</v>
      </c>
      <c r="B1476" t="s">
        <v>36</v>
      </c>
      <c r="C1476">
        <v>0</v>
      </c>
      <c r="D1476">
        <v>0</v>
      </c>
      <c r="E1476">
        <v>0</v>
      </c>
      <c r="F1476">
        <v>0</v>
      </c>
      <c r="G1476">
        <v>17.601400000000002</v>
      </c>
      <c r="H1476">
        <v>0</v>
      </c>
      <c r="I1476">
        <v>0</v>
      </c>
      <c r="J1476">
        <v>0</v>
      </c>
      <c r="K1476">
        <v>0</v>
      </c>
      <c r="L1476">
        <v>4</v>
      </c>
      <c r="M1476">
        <v>6</v>
      </c>
      <c r="N1476" t="s">
        <v>36</v>
      </c>
      <c r="O1476" s="3">
        <v>44489</v>
      </c>
      <c r="P1476">
        <v>-1</v>
      </c>
      <c r="S1476" s="3">
        <v>43997</v>
      </c>
      <c r="T1476" t="s">
        <v>45</v>
      </c>
      <c r="U1476">
        <v>152</v>
      </c>
      <c r="V1476">
        <v>29.65</v>
      </c>
    </row>
    <row r="1477" spans="1:22" x14ac:dyDescent="0.35">
      <c r="A1477" s="3">
        <v>44483</v>
      </c>
      <c r="B1477" t="s">
        <v>33</v>
      </c>
      <c r="C1477">
        <v>0</v>
      </c>
      <c r="D1477">
        <v>0</v>
      </c>
      <c r="E1477">
        <v>0</v>
      </c>
      <c r="F1477">
        <v>0</v>
      </c>
      <c r="G1477">
        <v>22.799600000000002</v>
      </c>
      <c r="H1477">
        <v>0</v>
      </c>
      <c r="I1477">
        <v>0</v>
      </c>
      <c r="J1477">
        <v>0</v>
      </c>
      <c r="K1477">
        <v>0</v>
      </c>
      <c r="L1477">
        <v>66</v>
      </c>
      <c r="M1477">
        <v>97</v>
      </c>
      <c r="N1477" t="s">
        <v>33</v>
      </c>
      <c r="O1477" s="3">
        <v>44580</v>
      </c>
      <c r="P1477">
        <v>-1</v>
      </c>
      <c r="T1477" t="s">
        <v>52</v>
      </c>
      <c r="U1477">
        <v>2</v>
      </c>
      <c r="V1477">
        <v>33.9</v>
      </c>
    </row>
    <row r="1478" spans="1:22" x14ac:dyDescent="0.35">
      <c r="A1478" s="3">
        <v>44483</v>
      </c>
      <c r="B1478" t="s">
        <v>35</v>
      </c>
      <c r="C1478">
        <v>0</v>
      </c>
      <c r="D1478">
        <v>0</v>
      </c>
      <c r="E1478">
        <v>0</v>
      </c>
      <c r="F1478">
        <v>0</v>
      </c>
      <c r="G1478">
        <v>20.0046</v>
      </c>
      <c r="H1478">
        <v>0</v>
      </c>
      <c r="I1478">
        <v>0</v>
      </c>
      <c r="J1478">
        <v>0</v>
      </c>
      <c r="K1478">
        <v>0</v>
      </c>
      <c r="L1478">
        <v>24</v>
      </c>
      <c r="M1478">
        <v>34</v>
      </c>
      <c r="N1478" t="s">
        <v>35</v>
      </c>
      <c r="O1478" s="3">
        <v>44517</v>
      </c>
      <c r="P1478">
        <v>-1</v>
      </c>
      <c r="T1478" t="s">
        <v>51</v>
      </c>
      <c r="U1478">
        <v>27</v>
      </c>
      <c r="V1478">
        <v>34.075000000000003</v>
      </c>
    </row>
    <row r="1479" spans="1:22" x14ac:dyDescent="0.35">
      <c r="A1479" s="3">
        <v>44483</v>
      </c>
      <c r="B1479" t="s">
        <v>29</v>
      </c>
      <c r="C1479">
        <v>0</v>
      </c>
      <c r="D1479">
        <v>0</v>
      </c>
      <c r="E1479">
        <v>0</v>
      </c>
      <c r="F1479">
        <v>0</v>
      </c>
      <c r="G1479">
        <v>24.625</v>
      </c>
      <c r="H1479">
        <v>0</v>
      </c>
      <c r="I1479">
        <v>0</v>
      </c>
      <c r="J1479">
        <v>0</v>
      </c>
      <c r="K1479">
        <v>0</v>
      </c>
      <c r="L1479">
        <v>150</v>
      </c>
      <c r="M1479">
        <v>216</v>
      </c>
      <c r="N1479" t="s">
        <v>29</v>
      </c>
      <c r="O1479" s="3">
        <v>44699</v>
      </c>
      <c r="P1479">
        <v>-1</v>
      </c>
      <c r="T1479" t="s">
        <v>50</v>
      </c>
      <c r="U1479">
        <v>47</v>
      </c>
      <c r="V1479">
        <v>33.125</v>
      </c>
    </row>
    <row r="1480" spans="1:22" x14ac:dyDescent="0.35">
      <c r="A1480" s="3">
        <v>44483</v>
      </c>
      <c r="B1480" t="s">
        <v>34</v>
      </c>
      <c r="C1480">
        <v>0</v>
      </c>
      <c r="D1480">
        <v>0</v>
      </c>
      <c r="E1480">
        <v>0</v>
      </c>
      <c r="F1480">
        <v>0</v>
      </c>
      <c r="G1480">
        <v>21.3</v>
      </c>
      <c r="H1480">
        <v>0</v>
      </c>
      <c r="I1480">
        <v>0</v>
      </c>
      <c r="J1480">
        <v>0</v>
      </c>
      <c r="K1480">
        <v>0</v>
      </c>
      <c r="L1480">
        <v>48</v>
      </c>
      <c r="M1480">
        <v>69</v>
      </c>
      <c r="N1480" t="s">
        <v>34</v>
      </c>
      <c r="O1480" s="3">
        <v>44552</v>
      </c>
      <c r="P1480">
        <v>-1</v>
      </c>
      <c r="T1480" t="s">
        <v>49</v>
      </c>
      <c r="U1480">
        <v>66</v>
      </c>
      <c r="V1480">
        <v>32.575000000000003</v>
      </c>
    </row>
    <row r="1481" spans="1:22" x14ac:dyDescent="0.35">
      <c r="A1481" s="3">
        <v>44483</v>
      </c>
      <c r="B1481" t="s">
        <v>28</v>
      </c>
      <c r="C1481">
        <v>0</v>
      </c>
      <c r="D1481">
        <v>0</v>
      </c>
      <c r="E1481">
        <v>0</v>
      </c>
      <c r="F1481">
        <v>0</v>
      </c>
      <c r="G1481">
        <v>24.6</v>
      </c>
      <c r="H1481">
        <v>0</v>
      </c>
      <c r="I1481">
        <v>0</v>
      </c>
      <c r="J1481">
        <v>0</v>
      </c>
      <c r="K1481">
        <v>0</v>
      </c>
      <c r="L1481">
        <v>169</v>
      </c>
      <c r="M1481">
        <v>244</v>
      </c>
      <c r="N1481" t="s">
        <v>28</v>
      </c>
      <c r="O1481" s="3">
        <v>44727</v>
      </c>
      <c r="P1481">
        <v>-1</v>
      </c>
      <c r="T1481" t="s">
        <v>48</v>
      </c>
      <c r="U1481">
        <v>91</v>
      </c>
      <c r="V1481">
        <v>33.575000000000003</v>
      </c>
    </row>
    <row r="1482" spans="1:22" x14ac:dyDescent="0.35">
      <c r="A1482" s="3">
        <v>44483</v>
      </c>
      <c r="B1482" t="s">
        <v>31</v>
      </c>
      <c r="C1482">
        <v>0</v>
      </c>
      <c r="D1482">
        <v>0</v>
      </c>
      <c r="E1482">
        <v>0</v>
      </c>
      <c r="F1482">
        <v>0</v>
      </c>
      <c r="G1482">
        <v>24.199400000000001</v>
      </c>
      <c r="H1482">
        <v>0</v>
      </c>
      <c r="I1482">
        <v>0</v>
      </c>
      <c r="J1482">
        <v>0</v>
      </c>
      <c r="K1482">
        <v>0</v>
      </c>
      <c r="L1482">
        <v>104</v>
      </c>
      <c r="M1482">
        <v>152</v>
      </c>
      <c r="N1482" t="s">
        <v>31</v>
      </c>
      <c r="O1482" s="3">
        <v>44635</v>
      </c>
      <c r="P1482">
        <v>-1</v>
      </c>
      <c r="T1482" t="s">
        <v>47</v>
      </c>
      <c r="U1482">
        <v>111</v>
      </c>
      <c r="V1482">
        <v>31.225000000000001</v>
      </c>
    </row>
    <row r="1483" spans="1:22" x14ac:dyDescent="0.35">
      <c r="A1483" s="3">
        <v>44482</v>
      </c>
      <c r="B1483" t="s">
        <v>35</v>
      </c>
      <c r="C1483">
        <v>0</v>
      </c>
      <c r="D1483">
        <v>0</v>
      </c>
      <c r="E1483">
        <v>0</v>
      </c>
      <c r="F1483">
        <v>0</v>
      </c>
      <c r="G1483">
        <v>21.106999999999999</v>
      </c>
      <c r="H1483">
        <v>0</v>
      </c>
      <c r="I1483">
        <v>0</v>
      </c>
      <c r="J1483">
        <v>0</v>
      </c>
      <c r="K1483">
        <v>0</v>
      </c>
      <c r="L1483">
        <v>25</v>
      </c>
      <c r="M1483">
        <v>35</v>
      </c>
      <c r="N1483" t="s">
        <v>35</v>
      </c>
      <c r="O1483" s="3">
        <v>44517</v>
      </c>
      <c r="P1483">
        <v>-1</v>
      </c>
      <c r="T1483" t="s">
        <v>46</v>
      </c>
      <c r="U1483">
        <v>130</v>
      </c>
      <c r="V1483">
        <v>29.725000000000001</v>
      </c>
    </row>
    <row r="1484" spans="1:22" x14ac:dyDescent="0.35">
      <c r="A1484" s="3">
        <v>44482</v>
      </c>
      <c r="B1484" t="s">
        <v>29</v>
      </c>
      <c r="C1484">
        <v>0</v>
      </c>
      <c r="D1484">
        <v>0</v>
      </c>
      <c r="E1484">
        <v>0</v>
      </c>
      <c r="F1484">
        <v>0</v>
      </c>
      <c r="G1484">
        <v>25</v>
      </c>
      <c r="H1484">
        <v>0</v>
      </c>
      <c r="I1484">
        <v>0</v>
      </c>
      <c r="J1484">
        <v>0</v>
      </c>
      <c r="K1484">
        <v>0</v>
      </c>
      <c r="L1484">
        <v>151</v>
      </c>
      <c r="M1484">
        <v>217</v>
      </c>
      <c r="N1484" t="s">
        <v>29</v>
      </c>
      <c r="O1484" s="3">
        <v>44699</v>
      </c>
      <c r="P1484">
        <v>-1</v>
      </c>
      <c r="S1484" s="3">
        <v>43998</v>
      </c>
      <c r="T1484" t="s">
        <v>45</v>
      </c>
      <c r="U1484">
        <v>151</v>
      </c>
      <c r="V1484">
        <v>29.425000000000001</v>
      </c>
    </row>
    <row r="1485" spans="1:22" x14ac:dyDescent="0.35">
      <c r="A1485" s="3">
        <v>44482</v>
      </c>
      <c r="B1485" t="s">
        <v>34</v>
      </c>
      <c r="C1485">
        <v>0</v>
      </c>
      <c r="D1485">
        <v>0</v>
      </c>
      <c r="E1485">
        <v>0</v>
      </c>
      <c r="F1485">
        <v>0</v>
      </c>
      <c r="G1485">
        <v>22.126799999999999</v>
      </c>
      <c r="H1485">
        <v>0</v>
      </c>
      <c r="I1485">
        <v>0</v>
      </c>
      <c r="J1485">
        <v>0</v>
      </c>
      <c r="K1485">
        <v>0</v>
      </c>
      <c r="L1485">
        <v>49</v>
      </c>
      <c r="M1485">
        <v>70</v>
      </c>
      <c r="N1485" t="s">
        <v>34</v>
      </c>
      <c r="O1485" s="3">
        <v>44552</v>
      </c>
      <c r="P1485">
        <v>-1</v>
      </c>
      <c r="T1485" t="s">
        <v>52</v>
      </c>
      <c r="U1485">
        <v>1</v>
      </c>
      <c r="V1485">
        <v>33.1</v>
      </c>
    </row>
    <row r="1486" spans="1:22" x14ac:dyDescent="0.35">
      <c r="A1486" s="3">
        <v>44482</v>
      </c>
      <c r="B1486" t="s">
        <v>28</v>
      </c>
      <c r="C1486">
        <v>0</v>
      </c>
      <c r="D1486">
        <v>0</v>
      </c>
      <c r="E1486">
        <v>0</v>
      </c>
      <c r="F1486">
        <v>0</v>
      </c>
      <c r="G1486">
        <v>25</v>
      </c>
      <c r="H1486">
        <v>0</v>
      </c>
      <c r="I1486">
        <v>0</v>
      </c>
      <c r="J1486">
        <v>0</v>
      </c>
      <c r="K1486">
        <v>0</v>
      </c>
      <c r="L1486">
        <v>170</v>
      </c>
      <c r="M1486">
        <v>245</v>
      </c>
      <c r="N1486" t="s">
        <v>28</v>
      </c>
      <c r="O1486" s="3">
        <v>44727</v>
      </c>
      <c r="P1486">
        <v>-1</v>
      </c>
      <c r="T1486" t="s">
        <v>51</v>
      </c>
      <c r="U1486">
        <v>26</v>
      </c>
      <c r="V1486">
        <v>33.625</v>
      </c>
    </row>
    <row r="1487" spans="1:22" x14ac:dyDescent="0.35">
      <c r="A1487" s="3">
        <v>44482</v>
      </c>
      <c r="B1487" t="s">
        <v>31</v>
      </c>
      <c r="C1487">
        <v>0</v>
      </c>
      <c r="D1487">
        <v>0</v>
      </c>
      <c r="E1487">
        <v>0</v>
      </c>
      <c r="F1487">
        <v>0</v>
      </c>
      <c r="G1487">
        <v>24.7164</v>
      </c>
      <c r="H1487">
        <v>0</v>
      </c>
      <c r="I1487">
        <v>0</v>
      </c>
      <c r="J1487">
        <v>0</v>
      </c>
      <c r="K1487">
        <v>0</v>
      </c>
      <c r="L1487">
        <v>105</v>
      </c>
      <c r="M1487">
        <v>153</v>
      </c>
      <c r="N1487" t="s">
        <v>31</v>
      </c>
      <c r="O1487" s="3">
        <v>44635</v>
      </c>
      <c r="P1487">
        <v>-1</v>
      </c>
      <c r="T1487" t="s">
        <v>50</v>
      </c>
      <c r="U1487">
        <v>46</v>
      </c>
      <c r="V1487">
        <v>33.225000000000001</v>
      </c>
    </row>
    <row r="1488" spans="1:22" x14ac:dyDescent="0.35">
      <c r="A1488" s="3">
        <v>44482</v>
      </c>
      <c r="B1488" t="s">
        <v>32</v>
      </c>
      <c r="C1488">
        <v>0</v>
      </c>
      <c r="D1488">
        <v>0</v>
      </c>
      <c r="E1488">
        <v>0</v>
      </c>
      <c r="F1488">
        <v>0</v>
      </c>
      <c r="G1488">
        <v>23.998899999999999</v>
      </c>
      <c r="H1488">
        <v>0</v>
      </c>
      <c r="I1488">
        <v>0</v>
      </c>
      <c r="J1488">
        <v>0</v>
      </c>
      <c r="K1488">
        <v>0</v>
      </c>
      <c r="L1488">
        <v>87</v>
      </c>
      <c r="M1488">
        <v>126</v>
      </c>
      <c r="N1488" t="s">
        <v>32</v>
      </c>
      <c r="O1488" s="3">
        <v>44608</v>
      </c>
      <c r="P1488">
        <v>-1</v>
      </c>
      <c r="T1488" t="s">
        <v>49</v>
      </c>
      <c r="U1488">
        <v>65</v>
      </c>
      <c r="V1488">
        <v>32.85</v>
      </c>
    </row>
    <row r="1489" spans="1:22" x14ac:dyDescent="0.35">
      <c r="A1489" s="3">
        <v>44482</v>
      </c>
      <c r="B1489" t="s">
        <v>30</v>
      </c>
      <c r="C1489">
        <v>0</v>
      </c>
      <c r="D1489">
        <v>0</v>
      </c>
      <c r="E1489">
        <v>0</v>
      </c>
      <c r="F1489">
        <v>0</v>
      </c>
      <c r="G1489">
        <v>25</v>
      </c>
      <c r="H1489">
        <v>0</v>
      </c>
      <c r="I1489">
        <v>0</v>
      </c>
      <c r="J1489">
        <v>0</v>
      </c>
      <c r="K1489">
        <v>0</v>
      </c>
      <c r="L1489">
        <v>131</v>
      </c>
      <c r="M1489">
        <v>189</v>
      </c>
      <c r="N1489" t="s">
        <v>30</v>
      </c>
      <c r="O1489" s="3">
        <v>44671</v>
      </c>
      <c r="P1489">
        <v>-1</v>
      </c>
      <c r="T1489" t="s">
        <v>48</v>
      </c>
      <c r="U1489">
        <v>90</v>
      </c>
      <c r="V1489">
        <v>33.475000000000001</v>
      </c>
    </row>
    <row r="1490" spans="1:22" x14ac:dyDescent="0.35">
      <c r="A1490" s="3">
        <v>44482</v>
      </c>
      <c r="B1490" t="s">
        <v>36</v>
      </c>
      <c r="C1490">
        <v>0</v>
      </c>
      <c r="D1490">
        <v>0</v>
      </c>
      <c r="E1490">
        <v>0</v>
      </c>
      <c r="F1490">
        <v>0</v>
      </c>
      <c r="G1490">
        <v>19.150600000000001</v>
      </c>
      <c r="H1490">
        <v>0</v>
      </c>
      <c r="I1490">
        <v>0</v>
      </c>
      <c r="J1490">
        <v>0</v>
      </c>
      <c r="K1490">
        <v>0</v>
      </c>
      <c r="L1490">
        <v>5</v>
      </c>
      <c r="M1490">
        <v>7</v>
      </c>
      <c r="N1490" t="s">
        <v>36</v>
      </c>
      <c r="O1490" s="3">
        <v>44489</v>
      </c>
      <c r="P1490">
        <v>-1</v>
      </c>
      <c r="T1490" t="s">
        <v>47</v>
      </c>
      <c r="U1490">
        <v>110</v>
      </c>
      <c r="V1490">
        <v>31.175000000000001</v>
      </c>
    </row>
    <row r="1491" spans="1:22" x14ac:dyDescent="0.35">
      <c r="A1491" s="3">
        <v>44482</v>
      </c>
      <c r="B1491" t="s">
        <v>33</v>
      </c>
      <c r="C1491">
        <v>0</v>
      </c>
      <c r="D1491">
        <v>0</v>
      </c>
      <c r="E1491">
        <v>0</v>
      </c>
      <c r="F1491">
        <v>0</v>
      </c>
      <c r="G1491">
        <v>23.4057</v>
      </c>
      <c r="H1491">
        <v>0</v>
      </c>
      <c r="I1491">
        <v>0</v>
      </c>
      <c r="J1491">
        <v>0</v>
      </c>
      <c r="K1491">
        <v>0</v>
      </c>
      <c r="L1491">
        <v>67</v>
      </c>
      <c r="M1491">
        <v>98</v>
      </c>
      <c r="N1491" t="s">
        <v>33</v>
      </c>
      <c r="O1491" s="3">
        <v>44580</v>
      </c>
      <c r="P1491">
        <v>-1</v>
      </c>
      <c r="T1491" t="s">
        <v>46</v>
      </c>
      <c r="U1491">
        <v>129</v>
      </c>
      <c r="V1491">
        <v>29.6</v>
      </c>
    </row>
    <row r="1492" spans="1:22" x14ac:dyDescent="0.35">
      <c r="A1492" s="3">
        <v>44481</v>
      </c>
      <c r="B1492" t="s">
        <v>32</v>
      </c>
      <c r="C1492">
        <v>0</v>
      </c>
      <c r="D1492">
        <v>0</v>
      </c>
      <c r="E1492">
        <v>0</v>
      </c>
      <c r="F1492">
        <v>0</v>
      </c>
      <c r="G1492">
        <v>24.186800000000002</v>
      </c>
      <c r="H1492">
        <v>0</v>
      </c>
      <c r="I1492">
        <v>0</v>
      </c>
      <c r="J1492">
        <v>0</v>
      </c>
      <c r="K1492">
        <v>0</v>
      </c>
      <c r="L1492">
        <v>88</v>
      </c>
      <c r="M1492">
        <v>127</v>
      </c>
      <c r="N1492" t="s">
        <v>32</v>
      </c>
      <c r="O1492" s="3">
        <v>44608</v>
      </c>
      <c r="P1492">
        <v>-1</v>
      </c>
      <c r="S1492" s="3">
        <v>43999</v>
      </c>
      <c r="T1492" t="s">
        <v>45</v>
      </c>
      <c r="U1492">
        <v>150</v>
      </c>
      <c r="V1492">
        <v>29.774999999999999</v>
      </c>
    </row>
    <row r="1493" spans="1:22" x14ac:dyDescent="0.35">
      <c r="A1493" s="3">
        <v>44481</v>
      </c>
      <c r="B1493" t="s">
        <v>30</v>
      </c>
      <c r="C1493">
        <v>0</v>
      </c>
      <c r="D1493">
        <v>0</v>
      </c>
      <c r="E1493">
        <v>0</v>
      </c>
      <c r="F1493">
        <v>0</v>
      </c>
      <c r="G1493">
        <v>25.116900000000001</v>
      </c>
      <c r="H1493">
        <v>0</v>
      </c>
      <c r="I1493">
        <v>0</v>
      </c>
      <c r="J1493">
        <v>0</v>
      </c>
      <c r="K1493">
        <v>0</v>
      </c>
      <c r="L1493">
        <v>132</v>
      </c>
      <c r="M1493">
        <v>190</v>
      </c>
      <c r="N1493" t="s">
        <v>30</v>
      </c>
      <c r="O1493" s="3">
        <v>44671</v>
      </c>
      <c r="P1493">
        <v>-1</v>
      </c>
      <c r="T1493" t="s">
        <v>44</v>
      </c>
      <c r="U1493">
        <v>169</v>
      </c>
      <c r="V1493">
        <v>29.4</v>
      </c>
    </row>
    <row r="1494" spans="1:22" x14ac:dyDescent="0.35">
      <c r="A1494" s="3">
        <v>44481</v>
      </c>
      <c r="B1494" t="s">
        <v>36</v>
      </c>
      <c r="C1494">
        <v>0</v>
      </c>
      <c r="D1494">
        <v>0</v>
      </c>
      <c r="E1494">
        <v>0</v>
      </c>
      <c r="F1494">
        <v>0</v>
      </c>
      <c r="G1494">
        <v>19.716899999999999</v>
      </c>
      <c r="H1494">
        <v>0</v>
      </c>
      <c r="I1494">
        <v>0</v>
      </c>
      <c r="J1494">
        <v>0</v>
      </c>
      <c r="K1494">
        <v>0</v>
      </c>
      <c r="L1494">
        <v>6</v>
      </c>
      <c r="M1494">
        <v>8</v>
      </c>
      <c r="N1494" t="s">
        <v>36</v>
      </c>
      <c r="O1494" s="3">
        <v>44489</v>
      </c>
      <c r="P1494">
        <v>-1</v>
      </c>
      <c r="T1494" t="s">
        <v>52</v>
      </c>
      <c r="U1494">
        <v>0</v>
      </c>
      <c r="V1494">
        <v>33.44</v>
      </c>
    </row>
    <row r="1495" spans="1:22" x14ac:dyDescent="0.35">
      <c r="A1495" s="3">
        <v>44481</v>
      </c>
      <c r="B1495" t="s">
        <v>33</v>
      </c>
      <c r="C1495">
        <v>0</v>
      </c>
      <c r="D1495">
        <v>0</v>
      </c>
      <c r="E1495">
        <v>0</v>
      </c>
      <c r="F1495">
        <v>0</v>
      </c>
      <c r="G1495">
        <v>23.6</v>
      </c>
      <c r="H1495">
        <v>0</v>
      </c>
      <c r="I1495">
        <v>0</v>
      </c>
      <c r="J1495">
        <v>0</v>
      </c>
      <c r="K1495">
        <v>0</v>
      </c>
      <c r="L1495">
        <v>68</v>
      </c>
      <c r="M1495">
        <v>99</v>
      </c>
      <c r="N1495" t="s">
        <v>33</v>
      </c>
      <c r="O1495" s="3">
        <v>44580</v>
      </c>
      <c r="P1495">
        <v>-1</v>
      </c>
      <c r="T1495" t="s">
        <v>51</v>
      </c>
      <c r="U1495">
        <v>25</v>
      </c>
      <c r="V1495">
        <v>33.625</v>
      </c>
    </row>
    <row r="1496" spans="1:22" x14ac:dyDescent="0.35">
      <c r="A1496" s="3">
        <v>44481</v>
      </c>
      <c r="B1496" t="s">
        <v>35</v>
      </c>
      <c r="C1496">
        <v>0</v>
      </c>
      <c r="D1496">
        <v>0</v>
      </c>
      <c r="E1496">
        <v>0</v>
      </c>
      <c r="F1496">
        <v>0</v>
      </c>
      <c r="G1496">
        <v>21.450600000000001</v>
      </c>
      <c r="H1496">
        <v>0</v>
      </c>
      <c r="I1496">
        <v>0</v>
      </c>
      <c r="J1496">
        <v>0</v>
      </c>
      <c r="K1496">
        <v>0</v>
      </c>
      <c r="L1496">
        <v>26</v>
      </c>
      <c r="M1496">
        <v>36</v>
      </c>
      <c r="N1496" t="s">
        <v>35</v>
      </c>
      <c r="O1496" s="3">
        <v>44517</v>
      </c>
      <c r="P1496">
        <v>-1</v>
      </c>
      <c r="T1496" t="s">
        <v>50</v>
      </c>
      <c r="U1496">
        <v>45</v>
      </c>
      <c r="V1496">
        <v>33.274999999999999</v>
      </c>
    </row>
    <row r="1497" spans="1:22" x14ac:dyDescent="0.35">
      <c r="A1497" s="3">
        <v>44481</v>
      </c>
      <c r="B1497" t="s">
        <v>29</v>
      </c>
      <c r="C1497">
        <v>0</v>
      </c>
      <c r="D1497">
        <v>0</v>
      </c>
      <c r="E1497">
        <v>0</v>
      </c>
      <c r="F1497">
        <v>0</v>
      </c>
      <c r="G1497">
        <v>25.175000000000001</v>
      </c>
      <c r="H1497">
        <v>0</v>
      </c>
      <c r="I1497">
        <v>0</v>
      </c>
      <c r="J1497">
        <v>0</v>
      </c>
      <c r="K1497">
        <v>0</v>
      </c>
      <c r="L1497">
        <v>152</v>
      </c>
      <c r="M1497">
        <v>218</v>
      </c>
      <c r="N1497" t="s">
        <v>29</v>
      </c>
      <c r="O1497" s="3">
        <v>44699</v>
      </c>
      <c r="P1497">
        <v>-1</v>
      </c>
      <c r="T1497" t="s">
        <v>49</v>
      </c>
      <c r="U1497">
        <v>64</v>
      </c>
      <c r="V1497">
        <v>32.674999999999997</v>
      </c>
    </row>
    <row r="1498" spans="1:22" x14ac:dyDescent="0.35">
      <c r="A1498" s="3">
        <v>44481</v>
      </c>
      <c r="B1498" t="s">
        <v>34</v>
      </c>
      <c r="C1498">
        <v>0</v>
      </c>
      <c r="D1498">
        <v>0</v>
      </c>
      <c r="E1498">
        <v>0</v>
      </c>
      <c r="F1498">
        <v>0</v>
      </c>
      <c r="G1498">
        <v>22.3979</v>
      </c>
      <c r="H1498">
        <v>0</v>
      </c>
      <c r="I1498">
        <v>0</v>
      </c>
      <c r="J1498">
        <v>0</v>
      </c>
      <c r="K1498">
        <v>0</v>
      </c>
      <c r="L1498">
        <v>50</v>
      </c>
      <c r="M1498">
        <v>71</v>
      </c>
      <c r="N1498" t="s">
        <v>34</v>
      </c>
      <c r="O1498" s="3">
        <v>44552</v>
      </c>
      <c r="P1498">
        <v>-1</v>
      </c>
      <c r="T1498" t="s">
        <v>48</v>
      </c>
      <c r="U1498">
        <v>89</v>
      </c>
      <c r="V1498">
        <v>33.625</v>
      </c>
    </row>
    <row r="1499" spans="1:22" x14ac:dyDescent="0.35">
      <c r="A1499" s="3">
        <v>44481</v>
      </c>
      <c r="B1499" t="s">
        <v>28</v>
      </c>
      <c r="C1499">
        <v>0</v>
      </c>
      <c r="D1499">
        <v>0</v>
      </c>
      <c r="E1499">
        <v>0</v>
      </c>
      <c r="F1499">
        <v>0</v>
      </c>
      <c r="G1499">
        <v>25.25</v>
      </c>
      <c r="H1499">
        <v>0</v>
      </c>
      <c r="I1499">
        <v>0</v>
      </c>
      <c r="J1499">
        <v>0</v>
      </c>
      <c r="K1499">
        <v>0</v>
      </c>
      <c r="L1499">
        <v>171</v>
      </c>
      <c r="M1499">
        <v>246</v>
      </c>
      <c r="N1499" t="s">
        <v>28</v>
      </c>
      <c r="O1499" s="3">
        <v>44727</v>
      </c>
      <c r="P1499">
        <v>-1</v>
      </c>
      <c r="T1499" t="s">
        <v>47</v>
      </c>
      <c r="U1499">
        <v>109</v>
      </c>
      <c r="V1499">
        <v>31.524999999999999</v>
      </c>
    </row>
    <row r="1500" spans="1:22" x14ac:dyDescent="0.35">
      <c r="A1500" s="3">
        <v>44481</v>
      </c>
      <c r="B1500" t="s">
        <v>31</v>
      </c>
      <c r="C1500">
        <v>0</v>
      </c>
      <c r="D1500">
        <v>0</v>
      </c>
      <c r="E1500">
        <v>0</v>
      </c>
      <c r="F1500">
        <v>0</v>
      </c>
      <c r="G1500">
        <v>24.8461</v>
      </c>
      <c r="H1500">
        <v>0</v>
      </c>
      <c r="I1500">
        <v>0</v>
      </c>
      <c r="J1500">
        <v>0</v>
      </c>
      <c r="K1500">
        <v>0</v>
      </c>
      <c r="L1500">
        <v>106</v>
      </c>
      <c r="M1500">
        <v>154</v>
      </c>
      <c r="N1500" t="s">
        <v>31</v>
      </c>
      <c r="O1500" s="3">
        <v>44635</v>
      </c>
      <c r="P1500">
        <v>-1</v>
      </c>
      <c r="T1500" t="s">
        <v>46</v>
      </c>
      <c r="U1500">
        <v>128</v>
      </c>
      <c r="V1500">
        <v>29.875</v>
      </c>
    </row>
    <row r="1501" spans="1:22" x14ac:dyDescent="0.35">
      <c r="A1501" s="3">
        <v>44480</v>
      </c>
      <c r="B1501" t="s">
        <v>35</v>
      </c>
      <c r="C1501">
        <v>0</v>
      </c>
      <c r="D1501">
        <v>0</v>
      </c>
      <c r="E1501">
        <v>0</v>
      </c>
      <c r="F1501">
        <v>0</v>
      </c>
      <c r="G1501">
        <v>21.8565</v>
      </c>
      <c r="H1501">
        <v>0</v>
      </c>
      <c r="I1501">
        <v>0</v>
      </c>
      <c r="J1501">
        <v>0</v>
      </c>
      <c r="K1501">
        <v>0</v>
      </c>
      <c r="L1501">
        <v>27</v>
      </c>
      <c r="M1501">
        <v>37</v>
      </c>
      <c r="N1501" t="s">
        <v>35</v>
      </c>
      <c r="O1501" s="3">
        <v>44517</v>
      </c>
      <c r="P1501">
        <v>-1</v>
      </c>
      <c r="S1501" s="3">
        <v>44000</v>
      </c>
      <c r="T1501" t="s">
        <v>45</v>
      </c>
      <c r="U1501">
        <v>149</v>
      </c>
      <c r="V1501">
        <v>29.925000000000001</v>
      </c>
    </row>
    <row r="1502" spans="1:22" x14ac:dyDescent="0.35">
      <c r="A1502" s="3">
        <v>44480</v>
      </c>
      <c r="B1502" t="s">
        <v>29</v>
      </c>
      <c r="C1502">
        <v>0</v>
      </c>
      <c r="D1502">
        <v>0</v>
      </c>
      <c r="E1502">
        <v>0</v>
      </c>
      <c r="F1502">
        <v>0</v>
      </c>
      <c r="G1502">
        <v>25.425000000000001</v>
      </c>
      <c r="H1502">
        <v>0</v>
      </c>
      <c r="I1502">
        <v>0</v>
      </c>
      <c r="J1502">
        <v>0</v>
      </c>
      <c r="K1502">
        <v>0</v>
      </c>
      <c r="L1502">
        <v>153</v>
      </c>
      <c r="M1502">
        <v>219</v>
      </c>
      <c r="N1502" t="s">
        <v>29</v>
      </c>
      <c r="O1502" s="3">
        <v>44699</v>
      </c>
      <c r="P1502">
        <v>-1</v>
      </c>
      <c r="T1502" t="s">
        <v>44</v>
      </c>
      <c r="U1502">
        <v>168</v>
      </c>
      <c r="V1502">
        <v>29.625</v>
      </c>
    </row>
    <row r="1503" spans="1:22" x14ac:dyDescent="0.35">
      <c r="A1503" s="3">
        <v>44480</v>
      </c>
      <c r="B1503" t="s">
        <v>34</v>
      </c>
      <c r="C1503">
        <v>0</v>
      </c>
      <c r="D1503">
        <v>0</v>
      </c>
      <c r="E1503">
        <v>0</v>
      </c>
      <c r="F1503">
        <v>0</v>
      </c>
      <c r="G1503">
        <v>22.8</v>
      </c>
      <c r="H1503">
        <v>0</v>
      </c>
      <c r="I1503">
        <v>0</v>
      </c>
      <c r="J1503">
        <v>0</v>
      </c>
      <c r="K1503">
        <v>0</v>
      </c>
      <c r="L1503">
        <v>51</v>
      </c>
      <c r="M1503">
        <v>72</v>
      </c>
      <c r="N1503" t="s">
        <v>34</v>
      </c>
      <c r="O1503" s="3">
        <v>44552</v>
      </c>
      <c r="P1503">
        <v>-1</v>
      </c>
      <c r="T1503" t="s">
        <v>51</v>
      </c>
      <c r="U1503">
        <v>24</v>
      </c>
      <c r="V1503">
        <v>33.575000000000003</v>
      </c>
    </row>
    <row r="1504" spans="1:22" x14ac:dyDescent="0.35">
      <c r="A1504" s="3">
        <v>44480</v>
      </c>
      <c r="B1504" t="s">
        <v>28</v>
      </c>
      <c r="C1504">
        <v>0</v>
      </c>
      <c r="D1504">
        <v>0</v>
      </c>
      <c r="E1504">
        <v>0</v>
      </c>
      <c r="F1504">
        <v>0</v>
      </c>
      <c r="G1504">
        <v>25.625</v>
      </c>
      <c r="H1504">
        <v>0</v>
      </c>
      <c r="I1504">
        <v>0</v>
      </c>
      <c r="J1504">
        <v>0</v>
      </c>
      <c r="K1504">
        <v>0</v>
      </c>
      <c r="L1504">
        <v>172</v>
      </c>
      <c r="M1504">
        <v>247</v>
      </c>
      <c r="N1504" t="s">
        <v>28</v>
      </c>
      <c r="O1504" s="3">
        <v>44727</v>
      </c>
      <c r="P1504">
        <v>-1</v>
      </c>
      <c r="T1504" t="s">
        <v>50</v>
      </c>
      <c r="U1504">
        <v>44</v>
      </c>
      <c r="V1504">
        <v>33.375</v>
      </c>
    </row>
    <row r="1505" spans="1:22" x14ac:dyDescent="0.35">
      <c r="A1505" s="3">
        <v>44480</v>
      </c>
      <c r="B1505" t="s">
        <v>31</v>
      </c>
      <c r="C1505">
        <v>0</v>
      </c>
      <c r="D1505">
        <v>0</v>
      </c>
      <c r="E1505">
        <v>0</v>
      </c>
      <c r="F1505">
        <v>0</v>
      </c>
      <c r="G1505">
        <v>25.15</v>
      </c>
      <c r="H1505">
        <v>0</v>
      </c>
      <c r="I1505">
        <v>0</v>
      </c>
      <c r="J1505">
        <v>0</v>
      </c>
      <c r="K1505">
        <v>0</v>
      </c>
      <c r="L1505">
        <v>107</v>
      </c>
      <c r="M1505">
        <v>155</v>
      </c>
      <c r="N1505" t="s">
        <v>31</v>
      </c>
      <c r="O1505" s="3">
        <v>44635</v>
      </c>
      <c r="P1505">
        <v>-1</v>
      </c>
      <c r="T1505" t="s">
        <v>49</v>
      </c>
      <c r="U1505">
        <v>63</v>
      </c>
      <c r="V1505">
        <v>32.924999999999997</v>
      </c>
    </row>
    <row r="1506" spans="1:22" x14ac:dyDescent="0.35">
      <c r="A1506" s="3">
        <v>44480</v>
      </c>
      <c r="B1506" t="s">
        <v>32</v>
      </c>
      <c r="C1506">
        <v>0</v>
      </c>
      <c r="D1506">
        <v>0</v>
      </c>
      <c r="E1506">
        <v>0</v>
      </c>
      <c r="F1506">
        <v>0</v>
      </c>
      <c r="G1506">
        <v>24.499099999999999</v>
      </c>
      <c r="H1506">
        <v>0</v>
      </c>
      <c r="I1506">
        <v>0</v>
      </c>
      <c r="J1506">
        <v>0</v>
      </c>
      <c r="K1506">
        <v>0</v>
      </c>
      <c r="L1506">
        <v>89</v>
      </c>
      <c r="M1506">
        <v>128</v>
      </c>
      <c r="N1506" t="s">
        <v>32</v>
      </c>
      <c r="O1506" s="3">
        <v>44608</v>
      </c>
      <c r="P1506">
        <v>-1</v>
      </c>
      <c r="T1506" t="s">
        <v>48</v>
      </c>
      <c r="U1506">
        <v>88</v>
      </c>
      <c r="V1506">
        <v>33.799999999999997</v>
      </c>
    </row>
    <row r="1507" spans="1:22" x14ac:dyDescent="0.35">
      <c r="A1507" s="3">
        <v>44480</v>
      </c>
      <c r="B1507" t="s">
        <v>30</v>
      </c>
      <c r="C1507">
        <v>0</v>
      </c>
      <c r="D1507">
        <v>0</v>
      </c>
      <c r="E1507">
        <v>0</v>
      </c>
      <c r="F1507">
        <v>0</v>
      </c>
      <c r="G1507">
        <v>25.4</v>
      </c>
      <c r="H1507">
        <v>0</v>
      </c>
      <c r="I1507">
        <v>0</v>
      </c>
      <c r="J1507">
        <v>0</v>
      </c>
      <c r="K1507">
        <v>0</v>
      </c>
      <c r="L1507">
        <v>133</v>
      </c>
      <c r="M1507">
        <v>191</v>
      </c>
      <c r="N1507" t="s">
        <v>30</v>
      </c>
      <c r="O1507" s="3">
        <v>44671</v>
      </c>
      <c r="P1507">
        <v>-1</v>
      </c>
      <c r="T1507" t="s">
        <v>47</v>
      </c>
      <c r="U1507">
        <v>108</v>
      </c>
      <c r="V1507">
        <v>31.625</v>
      </c>
    </row>
    <row r="1508" spans="1:22" x14ac:dyDescent="0.35">
      <c r="A1508" s="3">
        <v>44480</v>
      </c>
      <c r="B1508" t="s">
        <v>36</v>
      </c>
      <c r="C1508">
        <v>0</v>
      </c>
      <c r="D1508">
        <v>0</v>
      </c>
      <c r="E1508">
        <v>0</v>
      </c>
      <c r="F1508">
        <v>0</v>
      </c>
      <c r="G1508">
        <v>20.150500000000001</v>
      </c>
      <c r="H1508">
        <v>0</v>
      </c>
      <c r="I1508">
        <v>0</v>
      </c>
      <c r="J1508">
        <v>0</v>
      </c>
      <c r="K1508">
        <v>0</v>
      </c>
      <c r="L1508">
        <v>7</v>
      </c>
      <c r="M1508">
        <v>9</v>
      </c>
      <c r="N1508" t="s">
        <v>36</v>
      </c>
      <c r="O1508" s="3">
        <v>44489</v>
      </c>
      <c r="P1508">
        <v>-1</v>
      </c>
      <c r="T1508" t="s">
        <v>46</v>
      </c>
      <c r="U1508">
        <v>127</v>
      </c>
      <c r="V1508">
        <v>30.024999999999999</v>
      </c>
    </row>
    <row r="1509" spans="1:22" x14ac:dyDescent="0.35">
      <c r="A1509" s="3">
        <v>44480</v>
      </c>
      <c r="B1509" t="s">
        <v>33</v>
      </c>
      <c r="C1509">
        <v>0</v>
      </c>
      <c r="D1509">
        <v>0</v>
      </c>
      <c r="E1509">
        <v>0</v>
      </c>
      <c r="F1509">
        <v>0</v>
      </c>
      <c r="G1509">
        <v>23.9</v>
      </c>
      <c r="H1509">
        <v>0</v>
      </c>
      <c r="I1509">
        <v>0</v>
      </c>
      <c r="J1509">
        <v>0</v>
      </c>
      <c r="K1509">
        <v>0</v>
      </c>
      <c r="L1509">
        <v>69</v>
      </c>
      <c r="M1509">
        <v>100</v>
      </c>
      <c r="N1509" t="s">
        <v>33</v>
      </c>
      <c r="O1509" s="3">
        <v>44580</v>
      </c>
      <c r="P1509">
        <v>-1</v>
      </c>
      <c r="S1509" s="3">
        <v>44001</v>
      </c>
      <c r="T1509" t="s">
        <v>45</v>
      </c>
      <c r="U1509">
        <v>148</v>
      </c>
      <c r="V1509">
        <v>31</v>
      </c>
    </row>
    <row r="1510" spans="1:22" x14ac:dyDescent="0.35">
      <c r="A1510" s="3">
        <v>44477</v>
      </c>
      <c r="B1510" t="s">
        <v>32</v>
      </c>
      <c r="C1510">
        <v>0</v>
      </c>
      <c r="D1510">
        <v>0</v>
      </c>
      <c r="E1510">
        <v>0</v>
      </c>
      <c r="F1510">
        <v>0</v>
      </c>
      <c r="G1510">
        <v>24.496300000000002</v>
      </c>
      <c r="H1510">
        <v>0</v>
      </c>
      <c r="I1510">
        <v>0</v>
      </c>
      <c r="J1510">
        <v>0</v>
      </c>
      <c r="K1510">
        <v>0</v>
      </c>
      <c r="L1510">
        <v>90</v>
      </c>
      <c r="M1510">
        <v>131</v>
      </c>
      <c r="N1510" t="s">
        <v>32</v>
      </c>
      <c r="O1510" s="3">
        <v>44608</v>
      </c>
      <c r="P1510">
        <v>-1</v>
      </c>
      <c r="T1510" t="s">
        <v>44</v>
      </c>
      <c r="U1510">
        <v>167</v>
      </c>
      <c r="V1510">
        <v>30.55</v>
      </c>
    </row>
    <row r="1511" spans="1:22" x14ac:dyDescent="0.35">
      <c r="A1511" s="3">
        <v>44477</v>
      </c>
      <c r="B1511" t="s">
        <v>30</v>
      </c>
      <c r="C1511">
        <v>0</v>
      </c>
      <c r="D1511">
        <v>0</v>
      </c>
      <c r="E1511">
        <v>0</v>
      </c>
      <c r="F1511">
        <v>0</v>
      </c>
      <c r="G1511">
        <v>25.375</v>
      </c>
      <c r="H1511">
        <v>0</v>
      </c>
      <c r="I1511">
        <v>0</v>
      </c>
      <c r="J1511">
        <v>0</v>
      </c>
      <c r="K1511">
        <v>0</v>
      </c>
      <c r="L1511">
        <v>134</v>
      </c>
      <c r="M1511">
        <v>194</v>
      </c>
      <c r="N1511" t="s">
        <v>30</v>
      </c>
      <c r="O1511" s="3">
        <v>44671</v>
      </c>
      <c r="P1511">
        <v>-1</v>
      </c>
      <c r="T1511" t="s">
        <v>51</v>
      </c>
      <c r="U1511">
        <v>23</v>
      </c>
      <c r="V1511">
        <v>35.274999999999999</v>
      </c>
    </row>
    <row r="1512" spans="1:22" x14ac:dyDescent="0.35">
      <c r="A1512" s="3">
        <v>44477</v>
      </c>
      <c r="B1512" t="s">
        <v>36</v>
      </c>
      <c r="C1512">
        <v>0</v>
      </c>
      <c r="D1512">
        <v>0</v>
      </c>
      <c r="E1512">
        <v>0</v>
      </c>
      <c r="F1512">
        <v>0</v>
      </c>
      <c r="G1512">
        <v>19.716899999999999</v>
      </c>
      <c r="H1512">
        <v>0</v>
      </c>
      <c r="I1512">
        <v>0</v>
      </c>
      <c r="J1512">
        <v>0</v>
      </c>
      <c r="K1512">
        <v>0</v>
      </c>
      <c r="L1512">
        <v>8</v>
      </c>
      <c r="M1512">
        <v>12</v>
      </c>
      <c r="N1512" t="s">
        <v>36</v>
      </c>
      <c r="O1512" s="3">
        <v>44489</v>
      </c>
      <c r="P1512">
        <v>-1</v>
      </c>
      <c r="T1512" t="s">
        <v>50</v>
      </c>
      <c r="U1512">
        <v>43</v>
      </c>
      <c r="V1512">
        <v>34.725000000000001</v>
      </c>
    </row>
    <row r="1513" spans="1:22" x14ac:dyDescent="0.35">
      <c r="A1513" s="3">
        <v>44477</v>
      </c>
      <c r="B1513" t="s">
        <v>33</v>
      </c>
      <c r="C1513">
        <v>0</v>
      </c>
      <c r="D1513">
        <v>0</v>
      </c>
      <c r="E1513">
        <v>0</v>
      </c>
      <c r="F1513">
        <v>0</v>
      </c>
      <c r="G1513">
        <v>23.863600000000002</v>
      </c>
      <c r="H1513">
        <v>0</v>
      </c>
      <c r="I1513">
        <v>0</v>
      </c>
      <c r="J1513">
        <v>0</v>
      </c>
      <c r="K1513">
        <v>0</v>
      </c>
      <c r="L1513">
        <v>70</v>
      </c>
      <c r="M1513">
        <v>103</v>
      </c>
      <c r="N1513" t="s">
        <v>33</v>
      </c>
      <c r="O1513" s="3">
        <v>44580</v>
      </c>
      <c r="P1513">
        <v>-1</v>
      </c>
      <c r="T1513" t="s">
        <v>49</v>
      </c>
      <c r="U1513">
        <v>62</v>
      </c>
      <c r="V1513">
        <v>34.225000000000001</v>
      </c>
    </row>
    <row r="1514" spans="1:22" x14ac:dyDescent="0.35">
      <c r="A1514" s="3">
        <v>44477</v>
      </c>
      <c r="B1514" t="s">
        <v>35</v>
      </c>
      <c r="C1514">
        <v>0</v>
      </c>
      <c r="D1514">
        <v>0</v>
      </c>
      <c r="E1514">
        <v>0</v>
      </c>
      <c r="F1514">
        <v>0</v>
      </c>
      <c r="G1514">
        <v>21.6097</v>
      </c>
      <c r="H1514">
        <v>0</v>
      </c>
      <c r="I1514">
        <v>0</v>
      </c>
      <c r="J1514">
        <v>0</v>
      </c>
      <c r="K1514">
        <v>0</v>
      </c>
      <c r="L1514">
        <v>28</v>
      </c>
      <c r="M1514">
        <v>40</v>
      </c>
      <c r="N1514" t="s">
        <v>35</v>
      </c>
      <c r="O1514" s="3">
        <v>44517</v>
      </c>
      <c r="P1514">
        <v>-1</v>
      </c>
      <c r="T1514" t="s">
        <v>48</v>
      </c>
      <c r="U1514">
        <v>87</v>
      </c>
      <c r="V1514">
        <v>35.125</v>
      </c>
    </row>
    <row r="1515" spans="1:22" x14ac:dyDescent="0.35">
      <c r="A1515" s="3">
        <v>44477</v>
      </c>
      <c r="B1515" t="s">
        <v>29</v>
      </c>
      <c r="C1515">
        <v>0</v>
      </c>
      <c r="D1515">
        <v>0</v>
      </c>
      <c r="E1515">
        <v>0</v>
      </c>
      <c r="F1515">
        <v>0</v>
      </c>
      <c r="G1515">
        <v>25.35</v>
      </c>
      <c r="H1515">
        <v>0</v>
      </c>
      <c r="I1515">
        <v>0</v>
      </c>
      <c r="J1515">
        <v>0</v>
      </c>
      <c r="K1515">
        <v>0</v>
      </c>
      <c r="L1515">
        <v>154</v>
      </c>
      <c r="M1515">
        <v>222</v>
      </c>
      <c r="N1515" t="s">
        <v>29</v>
      </c>
      <c r="O1515" s="3">
        <v>44699</v>
      </c>
      <c r="P1515">
        <v>-1</v>
      </c>
      <c r="T1515" t="s">
        <v>47</v>
      </c>
      <c r="U1515">
        <v>107</v>
      </c>
      <c r="V1515">
        <v>32.674999999999997</v>
      </c>
    </row>
    <row r="1516" spans="1:22" x14ac:dyDescent="0.35">
      <c r="A1516" s="3">
        <v>44477</v>
      </c>
      <c r="B1516" t="s">
        <v>34</v>
      </c>
      <c r="C1516">
        <v>0</v>
      </c>
      <c r="D1516">
        <v>0</v>
      </c>
      <c r="E1516">
        <v>0</v>
      </c>
      <c r="F1516">
        <v>0</v>
      </c>
      <c r="G1516">
        <v>22.598500000000001</v>
      </c>
      <c r="H1516">
        <v>0</v>
      </c>
      <c r="I1516">
        <v>0</v>
      </c>
      <c r="J1516">
        <v>0</v>
      </c>
      <c r="K1516">
        <v>0</v>
      </c>
      <c r="L1516">
        <v>52</v>
      </c>
      <c r="M1516">
        <v>75</v>
      </c>
      <c r="N1516" t="s">
        <v>34</v>
      </c>
      <c r="O1516" s="3">
        <v>44552</v>
      </c>
      <c r="P1516">
        <v>-1</v>
      </c>
      <c r="T1516" t="s">
        <v>46</v>
      </c>
      <c r="U1516">
        <v>126</v>
      </c>
      <c r="V1516">
        <v>31.074999999999999</v>
      </c>
    </row>
    <row r="1517" spans="1:22" x14ac:dyDescent="0.35">
      <c r="A1517" s="3">
        <v>44477</v>
      </c>
      <c r="B1517" t="s">
        <v>28</v>
      </c>
      <c r="C1517">
        <v>0</v>
      </c>
      <c r="D1517">
        <v>0</v>
      </c>
      <c r="E1517">
        <v>0</v>
      </c>
      <c r="F1517">
        <v>0</v>
      </c>
      <c r="G1517">
        <v>25.25</v>
      </c>
      <c r="H1517">
        <v>0</v>
      </c>
      <c r="I1517">
        <v>0</v>
      </c>
      <c r="J1517">
        <v>0</v>
      </c>
      <c r="K1517">
        <v>0</v>
      </c>
      <c r="L1517">
        <v>173</v>
      </c>
      <c r="M1517">
        <v>250</v>
      </c>
      <c r="N1517" t="s">
        <v>28</v>
      </c>
      <c r="O1517" s="3">
        <v>44727</v>
      </c>
      <c r="P1517">
        <v>-1</v>
      </c>
      <c r="S1517" s="3">
        <v>44004</v>
      </c>
      <c r="T1517" t="s">
        <v>45</v>
      </c>
      <c r="U1517">
        <v>147</v>
      </c>
      <c r="V1517">
        <v>29.675000000000001</v>
      </c>
    </row>
    <row r="1518" spans="1:22" x14ac:dyDescent="0.35">
      <c r="A1518" s="3">
        <v>44477</v>
      </c>
      <c r="B1518" t="s">
        <v>31</v>
      </c>
      <c r="C1518">
        <v>0</v>
      </c>
      <c r="D1518">
        <v>0</v>
      </c>
      <c r="E1518">
        <v>0</v>
      </c>
      <c r="F1518">
        <v>0</v>
      </c>
      <c r="G1518">
        <v>25.092600000000001</v>
      </c>
      <c r="H1518">
        <v>0</v>
      </c>
      <c r="I1518">
        <v>0</v>
      </c>
      <c r="J1518">
        <v>0</v>
      </c>
      <c r="K1518">
        <v>0</v>
      </c>
      <c r="L1518">
        <v>108</v>
      </c>
      <c r="M1518">
        <v>158</v>
      </c>
      <c r="N1518" t="s">
        <v>31</v>
      </c>
      <c r="O1518" s="3">
        <v>44635</v>
      </c>
      <c r="P1518">
        <v>-1</v>
      </c>
      <c r="T1518" t="s">
        <v>44</v>
      </c>
      <c r="U1518">
        <v>166</v>
      </c>
      <c r="V1518">
        <v>29.5</v>
      </c>
    </row>
    <row r="1519" spans="1:22" x14ac:dyDescent="0.35">
      <c r="A1519" s="3">
        <v>44476</v>
      </c>
      <c r="B1519" t="s">
        <v>35</v>
      </c>
      <c r="C1519">
        <v>0</v>
      </c>
      <c r="D1519">
        <v>0</v>
      </c>
      <c r="E1519">
        <v>0</v>
      </c>
      <c r="F1519">
        <v>0</v>
      </c>
      <c r="G1519">
        <v>22.085100000000001</v>
      </c>
      <c r="H1519">
        <v>0</v>
      </c>
      <c r="I1519">
        <v>0</v>
      </c>
      <c r="J1519">
        <v>0</v>
      </c>
      <c r="K1519">
        <v>0</v>
      </c>
      <c r="L1519">
        <v>29</v>
      </c>
      <c r="M1519">
        <v>41</v>
      </c>
      <c r="N1519" t="s">
        <v>35</v>
      </c>
      <c r="O1519" s="3">
        <v>44517</v>
      </c>
      <c r="P1519">
        <v>-1</v>
      </c>
      <c r="T1519" t="s">
        <v>51</v>
      </c>
      <c r="U1519">
        <v>22</v>
      </c>
      <c r="V1519">
        <v>31.625</v>
      </c>
    </row>
    <row r="1520" spans="1:22" x14ac:dyDescent="0.35">
      <c r="A1520" s="3">
        <v>44476</v>
      </c>
      <c r="B1520" t="s">
        <v>29</v>
      </c>
      <c r="C1520">
        <v>0</v>
      </c>
      <c r="D1520">
        <v>0</v>
      </c>
      <c r="E1520">
        <v>0</v>
      </c>
      <c r="F1520">
        <v>0</v>
      </c>
      <c r="G1520">
        <v>25.25</v>
      </c>
      <c r="H1520">
        <v>0</v>
      </c>
      <c r="I1520">
        <v>0</v>
      </c>
      <c r="J1520">
        <v>0</v>
      </c>
      <c r="K1520">
        <v>0</v>
      </c>
      <c r="L1520">
        <v>155</v>
      </c>
      <c r="M1520">
        <v>223</v>
      </c>
      <c r="N1520" t="s">
        <v>29</v>
      </c>
      <c r="O1520" s="3">
        <v>44699</v>
      </c>
      <c r="P1520">
        <v>-1</v>
      </c>
      <c r="T1520" t="s">
        <v>50</v>
      </c>
      <c r="U1520">
        <v>42</v>
      </c>
      <c r="V1520">
        <v>31.675000000000001</v>
      </c>
    </row>
    <row r="1521" spans="1:22" x14ac:dyDescent="0.35">
      <c r="A1521" s="3">
        <v>44476</v>
      </c>
      <c r="B1521" t="s">
        <v>34</v>
      </c>
      <c r="C1521">
        <v>0</v>
      </c>
      <c r="D1521">
        <v>0</v>
      </c>
      <c r="E1521">
        <v>0</v>
      </c>
      <c r="F1521">
        <v>0</v>
      </c>
      <c r="G1521">
        <v>22.809100000000001</v>
      </c>
      <c r="H1521">
        <v>0</v>
      </c>
      <c r="I1521">
        <v>0</v>
      </c>
      <c r="J1521">
        <v>0</v>
      </c>
      <c r="K1521">
        <v>0</v>
      </c>
      <c r="L1521">
        <v>53</v>
      </c>
      <c r="M1521">
        <v>76</v>
      </c>
      <c r="N1521" t="s">
        <v>34</v>
      </c>
      <c r="O1521" s="3">
        <v>44552</v>
      </c>
      <c r="P1521">
        <v>-1</v>
      </c>
      <c r="T1521" t="s">
        <v>49</v>
      </c>
      <c r="U1521">
        <v>61</v>
      </c>
      <c r="V1521">
        <v>31.725000000000001</v>
      </c>
    </row>
    <row r="1522" spans="1:22" x14ac:dyDescent="0.35">
      <c r="A1522" s="3">
        <v>44476</v>
      </c>
      <c r="B1522" t="s">
        <v>28</v>
      </c>
      <c r="C1522">
        <v>0</v>
      </c>
      <c r="D1522">
        <v>0</v>
      </c>
      <c r="E1522">
        <v>0</v>
      </c>
      <c r="F1522">
        <v>0</v>
      </c>
      <c r="G1522">
        <v>25.375</v>
      </c>
      <c r="H1522">
        <v>0</v>
      </c>
      <c r="I1522">
        <v>0</v>
      </c>
      <c r="J1522">
        <v>0</v>
      </c>
      <c r="K1522">
        <v>0</v>
      </c>
      <c r="L1522">
        <v>174</v>
      </c>
      <c r="M1522">
        <v>251</v>
      </c>
      <c r="N1522" t="s">
        <v>28</v>
      </c>
      <c r="O1522" s="3">
        <v>44727</v>
      </c>
      <c r="P1522">
        <v>-1</v>
      </c>
      <c r="T1522" t="s">
        <v>48</v>
      </c>
      <c r="U1522">
        <v>86</v>
      </c>
      <c r="V1522">
        <v>33.174999999999997</v>
      </c>
    </row>
    <row r="1523" spans="1:22" x14ac:dyDescent="0.35">
      <c r="A1523" s="3">
        <v>44476</v>
      </c>
      <c r="B1523" t="s">
        <v>31</v>
      </c>
      <c r="C1523">
        <v>0</v>
      </c>
      <c r="D1523">
        <v>0</v>
      </c>
      <c r="E1523">
        <v>0</v>
      </c>
      <c r="F1523">
        <v>0</v>
      </c>
      <c r="G1523">
        <v>25.000599999999999</v>
      </c>
      <c r="H1523">
        <v>0</v>
      </c>
      <c r="I1523">
        <v>0</v>
      </c>
      <c r="J1523">
        <v>0</v>
      </c>
      <c r="K1523">
        <v>0</v>
      </c>
      <c r="L1523">
        <v>109</v>
      </c>
      <c r="M1523">
        <v>159</v>
      </c>
      <c r="N1523" t="s">
        <v>31</v>
      </c>
      <c r="O1523" s="3">
        <v>44635</v>
      </c>
      <c r="P1523">
        <v>-1</v>
      </c>
      <c r="T1523" t="s">
        <v>47</v>
      </c>
      <c r="U1523">
        <v>106</v>
      </c>
      <c r="V1523">
        <v>30.925000000000001</v>
      </c>
    </row>
    <row r="1524" spans="1:22" x14ac:dyDescent="0.35">
      <c r="A1524" s="3">
        <v>44476</v>
      </c>
      <c r="B1524" t="s">
        <v>32</v>
      </c>
      <c r="C1524">
        <v>0</v>
      </c>
      <c r="D1524">
        <v>0</v>
      </c>
      <c r="E1524">
        <v>0</v>
      </c>
      <c r="F1524">
        <v>0</v>
      </c>
      <c r="G1524">
        <v>24.495200000000001</v>
      </c>
      <c r="H1524">
        <v>0</v>
      </c>
      <c r="I1524">
        <v>0</v>
      </c>
      <c r="J1524">
        <v>0</v>
      </c>
      <c r="K1524">
        <v>0</v>
      </c>
      <c r="L1524">
        <v>91</v>
      </c>
      <c r="M1524">
        <v>132</v>
      </c>
      <c r="N1524" t="s">
        <v>32</v>
      </c>
      <c r="O1524" s="3">
        <v>44608</v>
      </c>
      <c r="P1524">
        <v>-1</v>
      </c>
      <c r="T1524" t="s">
        <v>46</v>
      </c>
      <c r="U1524">
        <v>125</v>
      </c>
      <c r="V1524">
        <v>29.425000000000001</v>
      </c>
    </row>
    <row r="1525" spans="1:22" x14ac:dyDescent="0.35">
      <c r="A1525" s="3">
        <v>44476</v>
      </c>
      <c r="B1525" t="s">
        <v>30</v>
      </c>
      <c r="C1525">
        <v>0</v>
      </c>
      <c r="D1525">
        <v>0</v>
      </c>
      <c r="E1525">
        <v>0</v>
      </c>
      <c r="F1525">
        <v>0</v>
      </c>
      <c r="G1525">
        <v>25.25</v>
      </c>
      <c r="H1525">
        <v>0</v>
      </c>
      <c r="I1525">
        <v>0</v>
      </c>
      <c r="J1525">
        <v>0</v>
      </c>
      <c r="K1525">
        <v>0</v>
      </c>
      <c r="L1525">
        <v>135</v>
      </c>
      <c r="M1525">
        <v>195</v>
      </c>
      <c r="N1525" t="s">
        <v>30</v>
      </c>
      <c r="O1525" s="3">
        <v>44671</v>
      </c>
      <c r="P1525">
        <v>-1</v>
      </c>
      <c r="S1525" s="3">
        <v>44005</v>
      </c>
      <c r="T1525" t="s">
        <v>45</v>
      </c>
      <c r="U1525">
        <v>146</v>
      </c>
      <c r="V1525">
        <v>29.475000000000001</v>
      </c>
    </row>
    <row r="1526" spans="1:22" x14ac:dyDescent="0.35">
      <c r="A1526" s="3">
        <v>44476</v>
      </c>
      <c r="B1526" t="s">
        <v>36</v>
      </c>
      <c r="C1526">
        <v>0</v>
      </c>
      <c r="D1526">
        <v>0</v>
      </c>
      <c r="E1526">
        <v>0</v>
      </c>
      <c r="F1526">
        <v>0</v>
      </c>
      <c r="G1526">
        <v>20.101299999999998</v>
      </c>
      <c r="H1526">
        <v>0</v>
      </c>
      <c r="I1526">
        <v>0</v>
      </c>
      <c r="J1526">
        <v>0</v>
      </c>
      <c r="K1526">
        <v>0</v>
      </c>
      <c r="L1526">
        <v>9</v>
      </c>
      <c r="M1526">
        <v>13</v>
      </c>
      <c r="N1526" t="s">
        <v>36</v>
      </c>
      <c r="O1526" s="3">
        <v>44489</v>
      </c>
      <c r="P1526">
        <v>-1</v>
      </c>
      <c r="T1526" t="s">
        <v>44</v>
      </c>
      <c r="U1526">
        <v>165</v>
      </c>
      <c r="V1526">
        <v>29.15</v>
      </c>
    </row>
    <row r="1527" spans="1:22" x14ac:dyDescent="0.35">
      <c r="A1527" s="3">
        <v>44476</v>
      </c>
      <c r="B1527" t="s">
        <v>33</v>
      </c>
      <c r="C1527">
        <v>0</v>
      </c>
      <c r="D1527">
        <v>0</v>
      </c>
      <c r="E1527">
        <v>0</v>
      </c>
      <c r="F1527">
        <v>0</v>
      </c>
      <c r="G1527">
        <v>23.8978</v>
      </c>
      <c r="H1527">
        <v>0</v>
      </c>
      <c r="I1527">
        <v>0</v>
      </c>
      <c r="J1527">
        <v>0</v>
      </c>
      <c r="K1527">
        <v>0</v>
      </c>
      <c r="L1527">
        <v>71</v>
      </c>
      <c r="M1527">
        <v>104</v>
      </c>
      <c r="N1527" t="s">
        <v>33</v>
      </c>
      <c r="O1527" s="3">
        <v>44580</v>
      </c>
      <c r="P1527">
        <v>-1</v>
      </c>
      <c r="T1527" t="s">
        <v>51</v>
      </c>
      <c r="U1527">
        <v>21</v>
      </c>
      <c r="V1527">
        <v>31.925000000000001</v>
      </c>
    </row>
    <row r="1528" spans="1:22" x14ac:dyDescent="0.35">
      <c r="A1528" s="3">
        <v>44475</v>
      </c>
      <c r="B1528" t="s">
        <v>32</v>
      </c>
      <c r="C1528">
        <v>0</v>
      </c>
      <c r="D1528">
        <v>0</v>
      </c>
      <c r="E1528">
        <v>0</v>
      </c>
      <c r="F1528">
        <v>0</v>
      </c>
      <c r="G1528">
        <v>24.795500000000001</v>
      </c>
      <c r="H1528">
        <v>0</v>
      </c>
      <c r="I1528">
        <v>0</v>
      </c>
      <c r="J1528">
        <v>0</v>
      </c>
      <c r="K1528">
        <v>0</v>
      </c>
      <c r="L1528">
        <v>92</v>
      </c>
      <c r="M1528">
        <v>133</v>
      </c>
      <c r="N1528" t="s">
        <v>32</v>
      </c>
      <c r="O1528" s="3">
        <v>44608</v>
      </c>
      <c r="P1528">
        <v>-1</v>
      </c>
      <c r="T1528" t="s">
        <v>50</v>
      </c>
      <c r="U1528">
        <v>41</v>
      </c>
      <c r="V1528">
        <v>31.925000000000001</v>
      </c>
    </row>
    <row r="1529" spans="1:22" x14ac:dyDescent="0.35">
      <c r="A1529" s="3">
        <v>44475</v>
      </c>
      <c r="B1529" t="s">
        <v>30</v>
      </c>
      <c r="C1529">
        <v>0</v>
      </c>
      <c r="D1529">
        <v>0</v>
      </c>
      <c r="E1529">
        <v>0</v>
      </c>
      <c r="F1529">
        <v>0</v>
      </c>
      <c r="G1529">
        <v>25.5</v>
      </c>
      <c r="H1529">
        <v>0</v>
      </c>
      <c r="I1529">
        <v>0</v>
      </c>
      <c r="J1529">
        <v>0</v>
      </c>
      <c r="K1529">
        <v>0</v>
      </c>
      <c r="L1529">
        <v>136</v>
      </c>
      <c r="M1529">
        <v>196</v>
      </c>
      <c r="N1529" t="s">
        <v>30</v>
      </c>
      <c r="O1529" s="3">
        <v>44671</v>
      </c>
      <c r="P1529">
        <v>-1</v>
      </c>
      <c r="T1529" t="s">
        <v>49</v>
      </c>
      <c r="U1529">
        <v>60</v>
      </c>
      <c r="V1529">
        <v>31.725000000000001</v>
      </c>
    </row>
    <row r="1530" spans="1:22" x14ac:dyDescent="0.35">
      <c r="A1530" s="3">
        <v>44475</v>
      </c>
      <c r="B1530" t="s">
        <v>36</v>
      </c>
      <c r="C1530">
        <v>0</v>
      </c>
      <c r="D1530">
        <v>0</v>
      </c>
      <c r="E1530">
        <v>0</v>
      </c>
      <c r="F1530">
        <v>0</v>
      </c>
      <c r="G1530">
        <v>21.217099999999999</v>
      </c>
      <c r="H1530">
        <v>0</v>
      </c>
      <c r="I1530">
        <v>0</v>
      </c>
      <c r="J1530">
        <v>0</v>
      </c>
      <c r="K1530">
        <v>0</v>
      </c>
      <c r="L1530">
        <v>10</v>
      </c>
      <c r="M1530">
        <v>14</v>
      </c>
      <c r="N1530" t="s">
        <v>36</v>
      </c>
      <c r="O1530" s="3">
        <v>44489</v>
      </c>
      <c r="P1530">
        <v>-1</v>
      </c>
      <c r="T1530" t="s">
        <v>48</v>
      </c>
      <c r="U1530">
        <v>85</v>
      </c>
      <c r="V1530">
        <v>33.075000000000003</v>
      </c>
    </row>
    <row r="1531" spans="1:22" x14ac:dyDescent="0.35">
      <c r="A1531" s="3">
        <v>44475</v>
      </c>
      <c r="B1531" t="s">
        <v>33</v>
      </c>
      <c r="C1531">
        <v>0</v>
      </c>
      <c r="D1531">
        <v>0</v>
      </c>
      <c r="E1531">
        <v>0</v>
      </c>
      <c r="F1531">
        <v>0</v>
      </c>
      <c r="G1531">
        <v>24.252199999999998</v>
      </c>
      <c r="H1531">
        <v>0</v>
      </c>
      <c r="I1531">
        <v>0</v>
      </c>
      <c r="J1531">
        <v>0</v>
      </c>
      <c r="K1531">
        <v>0</v>
      </c>
      <c r="L1531">
        <v>72</v>
      </c>
      <c r="M1531">
        <v>105</v>
      </c>
      <c r="N1531" t="s">
        <v>33</v>
      </c>
      <c r="O1531" s="3">
        <v>44580</v>
      </c>
      <c r="P1531">
        <v>-1</v>
      </c>
      <c r="T1531" t="s">
        <v>47</v>
      </c>
      <c r="U1531">
        <v>105</v>
      </c>
      <c r="V1531">
        <v>30.725000000000001</v>
      </c>
    </row>
    <row r="1532" spans="1:22" x14ac:dyDescent="0.35">
      <c r="A1532" s="3">
        <v>44475</v>
      </c>
      <c r="B1532" t="s">
        <v>35</v>
      </c>
      <c r="C1532">
        <v>0</v>
      </c>
      <c r="D1532">
        <v>0</v>
      </c>
      <c r="E1532">
        <v>0</v>
      </c>
      <c r="F1532">
        <v>0</v>
      </c>
      <c r="G1532">
        <v>22.6587</v>
      </c>
      <c r="H1532">
        <v>0</v>
      </c>
      <c r="I1532">
        <v>0</v>
      </c>
      <c r="J1532">
        <v>0</v>
      </c>
      <c r="K1532">
        <v>0</v>
      </c>
      <c r="L1532">
        <v>30</v>
      </c>
      <c r="M1532">
        <v>42</v>
      </c>
      <c r="N1532" t="s">
        <v>35</v>
      </c>
      <c r="O1532" s="3">
        <v>44517</v>
      </c>
      <c r="P1532">
        <v>-1</v>
      </c>
      <c r="T1532" t="s">
        <v>46</v>
      </c>
      <c r="U1532">
        <v>124</v>
      </c>
      <c r="V1532">
        <v>29.274999999999999</v>
      </c>
    </row>
    <row r="1533" spans="1:22" x14ac:dyDescent="0.35">
      <c r="A1533" s="3">
        <v>44475</v>
      </c>
      <c r="B1533" t="s">
        <v>29</v>
      </c>
      <c r="C1533">
        <v>0</v>
      </c>
      <c r="D1533">
        <v>0</v>
      </c>
      <c r="E1533">
        <v>0</v>
      </c>
      <c r="F1533">
        <v>0</v>
      </c>
      <c r="G1533">
        <v>25.55</v>
      </c>
      <c r="H1533">
        <v>0</v>
      </c>
      <c r="I1533">
        <v>0</v>
      </c>
      <c r="J1533">
        <v>0</v>
      </c>
      <c r="K1533">
        <v>0</v>
      </c>
      <c r="L1533">
        <v>156</v>
      </c>
      <c r="M1533">
        <v>224</v>
      </c>
      <c r="N1533" t="s">
        <v>29</v>
      </c>
      <c r="O1533" s="3">
        <v>44699</v>
      </c>
      <c r="P1533">
        <v>-1</v>
      </c>
      <c r="S1533" s="3">
        <v>44006</v>
      </c>
      <c r="T1533" t="s">
        <v>45</v>
      </c>
      <c r="U1533">
        <v>145</v>
      </c>
      <c r="V1533">
        <v>31.125</v>
      </c>
    </row>
    <row r="1534" spans="1:22" x14ac:dyDescent="0.35">
      <c r="A1534" s="3">
        <v>44475</v>
      </c>
      <c r="B1534" t="s">
        <v>34</v>
      </c>
      <c r="C1534">
        <v>0</v>
      </c>
      <c r="D1534">
        <v>0</v>
      </c>
      <c r="E1534">
        <v>0</v>
      </c>
      <c r="F1534">
        <v>0</v>
      </c>
      <c r="G1534">
        <v>23.2669</v>
      </c>
      <c r="H1534">
        <v>0</v>
      </c>
      <c r="I1534">
        <v>0</v>
      </c>
      <c r="J1534">
        <v>0</v>
      </c>
      <c r="K1534">
        <v>0</v>
      </c>
      <c r="L1534">
        <v>54</v>
      </c>
      <c r="M1534">
        <v>77</v>
      </c>
      <c r="N1534" t="s">
        <v>34</v>
      </c>
      <c r="O1534" s="3">
        <v>44552</v>
      </c>
      <c r="P1534">
        <v>-1</v>
      </c>
      <c r="T1534" t="s">
        <v>44</v>
      </c>
      <c r="U1534">
        <v>164</v>
      </c>
      <c r="V1534">
        <v>30.725000000000001</v>
      </c>
    </row>
    <row r="1535" spans="1:22" x14ac:dyDescent="0.35">
      <c r="A1535" s="3">
        <v>44475</v>
      </c>
      <c r="B1535" t="s">
        <v>28</v>
      </c>
      <c r="C1535">
        <v>0</v>
      </c>
      <c r="D1535">
        <v>0</v>
      </c>
      <c r="E1535">
        <v>0</v>
      </c>
      <c r="F1535">
        <v>0</v>
      </c>
      <c r="G1535">
        <v>25.65</v>
      </c>
      <c r="H1535">
        <v>0</v>
      </c>
      <c r="I1535">
        <v>0</v>
      </c>
      <c r="J1535">
        <v>0</v>
      </c>
      <c r="K1535">
        <v>0</v>
      </c>
      <c r="L1535">
        <v>175</v>
      </c>
      <c r="M1535">
        <v>252</v>
      </c>
      <c r="N1535" t="s">
        <v>28</v>
      </c>
      <c r="O1535" s="3">
        <v>44727</v>
      </c>
      <c r="P1535">
        <v>-1</v>
      </c>
      <c r="T1535" t="s">
        <v>51</v>
      </c>
      <c r="U1535">
        <v>20</v>
      </c>
      <c r="V1535">
        <v>33.575000000000003</v>
      </c>
    </row>
    <row r="1536" spans="1:22" x14ac:dyDescent="0.35">
      <c r="A1536" s="3">
        <v>44475</v>
      </c>
      <c r="B1536" t="s">
        <v>31</v>
      </c>
      <c r="C1536">
        <v>0</v>
      </c>
      <c r="D1536">
        <v>0</v>
      </c>
      <c r="E1536">
        <v>0</v>
      </c>
      <c r="F1536">
        <v>0</v>
      </c>
      <c r="G1536">
        <v>25.3005</v>
      </c>
      <c r="H1536">
        <v>0</v>
      </c>
      <c r="I1536">
        <v>0</v>
      </c>
      <c r="J1536">
        <v>0</v>
      </c>
      <c r="K1536">
        <v>0</v>
      </c>
      <c r="L1536">
        <v>110</v>
      </c>
      <c r="M1536">
        <v>160</v>
      </c>
      <c r="N1536" t="s">
        <v>31</v>
      </c>
      <c r="O1536" s="3">
        <v>44635</v>
      </c>
      <c r="P1536">
        <v>-1</v>
      </c>
      <c r="T1536" t="s">
        <v>50</v>
      </c>
      <c r="U1536">
        <v>40</v>
      </c>
      <c r="V1536">
        <v>33.475000000000001</v>
      </c>
    </row>
    <row r="1537" spans="1:22" x14ac:dyDescent="0.35">
      <c r="A1537" s="3">
        <v>44474</v>
      </c>
      <c r="B1537" t="s">
        <v>35</v>
      </c>
      <c r="C1537">
        <v>0</v>
      </c>
      <c r="D1537">
        <v>0</v>
      </c>
      <c r="E1537">
        <v>0</v>
      </c>
      <c r="F1537">
        <v>0</v>
      </c>
      <c r="G1537">
        <v>23.027100000000001</v>
      </c>
      <c r="H1537">
        <v>0</v>
      </c>
      <c r="I1537">
        <v>0</v>
      </c>
      <c r="J1537">
        <v>0</v>
      </c>
      <c r="K1537">
        <v>0</v>
      </c>
      <c r="L1537">
        <v>31</v>
      </c>
      <c r="M1537">
        <v>43</v>
      </c>
      <c r="N1537" t="s">
        <v>35</v>
      </c>
      <c r="O1537" s="3">
        <v>44517</v>
      </c>
      <c r="P1537">
        <v>-1</v>
      </c>
      <c r="T1537" t="s">
        <v>49</v>
      </c>
      <c r="U1537">
        <v>59</v>
      </c>
      <c r="V1537">
        <v>33.225000000000001</v>
      </c>
    </row>
    <row r="1538" spans="1:22" x14ac:dyDescent="0.35">
      <c r="A1538" s="3">
        <v>44474</v>
      </c>
      <c r="B1538" t="s">
        <v>29</v>
      </c>
      <c r="C1538">
        <v>0</v>
      </c>
      <c r="D1538">
        <v>0</v>
      </c>
      <c r="E1538">
        <v>0</v>
      </c>
      <c r="F1538">
        <v>0</v>
      </c>
      <c r="G1538">
        <v>25.65</v>
      </c>
      <c r="H1538">
        <v>0</v>
      </c>
      <c r="I1538">
        <v>0</v>
      </c>
      <c r="J1538">
        <v>0</v>
      </c>
      <c r="K1538">
        <v>0</v>
      </c>
      <c r="L1538">
        <v>157</v>
      </c>
      <c r="M1538">
        <v>225</v>
      </c>
      <c r="N1538" t="s">
        <v>29</v>
      </c>
      <c r="O1538" s="3">
        <v>44699</v>
      </c>
      <c r="P1538">
        <v>-1</v>
      </c>
      <c r="T1538" t="s">
        <v>48</v>
      </c>
      <c r="U1538">
        <v>84</v>
      </c>
      <c r="V1538">
        <v>34.475000000000001</v>
      </c>
    </row>
    <row r="1539" spans="1:22" x14ac:dyDescent="0.35">
      <c r="A1539" s="3">
        <v>44474</v>
      </c>
      <c r="B1539" t="s">
        <v>34</v>
      </c>
      <c r="C1539">
        <v>0</v>
      </c>
      <c r="D1539">
        <v>0</v>
      </c>
      <c r="E1539">
        <v>0</v>
      </c>
      <c r="F1539">
        <v>0</v>
      </c>
      <c r="G1539">
        <v>23.534700000000001</v>
      </c>
      <c r="H1539">
        <v>0</v>
      </c>
      <c r="I1539">
        <v>0</v>
      </c>
      <c r="J1539">
        <v>0</v>
      </c>
      <c r="K1539">
        <v>0</v>
      </c>
      <c r="L1539">
        <v>55</v>
      </c>
      <c r="M1539">
        <v>78</v>
      </c>
      <c r="N1539" t="s">
        <v>34</v>
      </c>
      <c r="O1539" s="3">
        <v>44552</v>
      </c>
      <c r="P1539">
        <v>-1</v>
      </c>
      <c r="T1539" t="s">
        <v>47</v>
      </c>
      <c r="U1539">
        <v>104</v>
      </c>
      <c r="V1539">
        <v>32.125</v>
      </c>
    </row>
    <row r="1540" spans="1:22" x14ac:dyDescent="0.35">
      <c r="A1540" s="3">
        <v>44474</v>
      </c>
      <c r="B1540" t="s">
        <v>28</v>
      </c>
      <c r="C1540">
        <v>0</v>
      </c>
      <c r="D1540">
        <v>0</v>
      </c>
      <c r="E1540">
        <v>0</v>
      </c>
      <c r="F1540">
        <v>0</v>
      </c>
      <c r="G1540">
        <v>25.65</v>
      </c>
      <c r="H1540">
        <v>0</v>
      </c>
      <c r="I1540">
        <v>0</v>
      </c>
      <c r="J1540">
        <v>0</v>
      </c>
      <c r="K1540">
        <v>0</v>
      </c>
      <c r="L1540">
        <v>176</v>
      </c>
      <c r="M1540">
        <v>253</v>
      </c>
      <c r="N1540" t="s">
        <v>28</v>
      </c>
      <c r="O1540" s="3">
        <v>44727</v>
      </c>
      <c r="P1540">
        <v>-1</v>
      </c>
      <c r="T1540" t="s">
        <v>46</v>
      </c>
      <c r="U1540">
        <v>123</v>
      </c>
      <c r="V1540">
        <v>30.675000000000001</v>
      </c>
    </row>
    <row r="1541" spans="1:22" x14ac:dyDescent="0.35">
      <c r="A1541" s="3">
        <v>44474</v>
      </c>
      <c r="B1541" t="s">
        <v>31</v>
      </c>
      <c r="C1541">
        <v>0</v>
      </c>
      <c r="D1541">
        <v>0</v>
      </c>
      <c r="E1541">
        <v>0</v>
      </c>
      <c r="F1541">
        <v>0</v>
      </c>
      <c r="G1541">
        <v>25.415099999999999</v>
      </c>
      <c r="H1541">
        <v>0</v>
      </c>
      <c r="I1541">
        <v>0</v>
      </c>
      <c r="J1541">
        <v>0</v>
      </c>
      <c r="K1541">
        <v>0</v>
      </c>
      <c r="L1541">
        <v>111</v>
      </c>
      <c r="M1541">
        <v>161</v>
      </c>
      <c r="N1541" t="s">
        <v>31</v>
      </c>
      <c r="O1541" s="3">
        <v>44635</v>
      </c>
      <c r="P1541">
        <v>-1</v>
      </c>
      <c r="S1541" s="3">
        <v>44007</v>
      </c>
      <c r="T1541" t="s">
        <v>45</v>
      </c>
      <c r="U1541">
        <v>144</v>
      </c>
      <c r="V1541">
        <v>30.175000000000001</v>
      </c>
    </row>
    <row r="1542" spans="1:22" x14ac:dyDescent="0.35">
      <c r="A1542" s="3">
        <v>44474</v>
      </c>
      <c r="B1542" t="s">
        <v>32</v>
      </c>
      <c r="C1542">
        <v>0</v>
      </c>
      <c r="D1542">
        <v>0</v>
      </c>
      <c r="E1542">
        <v>0</v>
      </c>
      <c r="F1542">
        <v>0</v>
      </c>
      <c r="G1542">
        <v>24.908100000000001</v>
      </c>
      <c r="H1542">
        <v>0</v>
      </c>
      <c r="I1542">
        <v>0</v>
      </c>
      <c r="J1542">
        <v>0</v>
      </c>
      <c r="K1542">
        <v>0</v>
      </c>
      <c r="L1542">
        <v>93</v>
      </c>
      <c r="M1542">
        <v>134</v>
      </c>
      <c r="N1542" t="s">
        <v>32</v>
      </c>
      <c r="O1542" s="3">
        <v>44608</v>
      </c>
      <c r="P1542">
        <v>-1</v>
      </c>
      <c r="T1542" t="s">
        <v>44</v>
      </c>
      <c r="U1542">
        <v>163</v>
      </c>
      <c r="V1542">
        <v>30</v>
      </c>
    </row>
    <row r="1543" spans="1:22" x14ac:dyDescent="0.35">
      <c r="A1543" s="3">
        <v>44474</v>
      </c>
      <c r="B1543" t="s">
        <v>30</v>
      </c>
      <c r="C1543">
        <v>0</v>
      </c>
      <c r="D1543">
        <v>0</v>
      </c>
      <c r="E1543">
        <v>0</v>
      </c>
      <c r="F1543">
        <v>0</v>
      </c>
      <c r="G1543">
        <v>25.6587</v>
      </c>
      <c r="H1543">
        <v>0</v>
      </c>
      <c r="I1543">
        <v>0</v>
      </c>
      <c r="J1543">
        <v>0</v>
      </c>
      <c r="K1543">
        <v>0</v>
      </c>
      <c r="L1543">
        <v>137</v>
      </c>
      <c r="M1543">
        <v>197</v>
      </c>
      <c r="N1543" t="s">
        <v>30</v>
      </c>
      <c r="O1543" s="3">
        <v>44671</v>
      </c>
      <c r="P1543">
        <v>-1</v>
      </c>
      <c r="T1543" t="s">
        <v>51</v>
      </c>
      <c r="U1543">
        <v>19</v>
      </c>
      <c r="V1543">
        <v>32.174999999999997</v>
      </c>
    </row>
    <row r="1544" spans="1:22" x14ac:dyDescent="0.35">
      <c r="A1544" s="3">
        <v>44474</v>
      </c>
      <c r="B1544" t="s">
        <v>36</v>
      </c>
      <c r="C1544">
        <v>0</v>
      </c>
      <c r="D1544">
        <v>0</v>
      </c>
      <c r="E1544">
        <v>0</v>
      </c>
      <c r="F1544">
        <v>0</v>
      </c>
      <c r="G1544">
        <v>21.754100000000001</v>
      </c>
      <c r="H1544">
        <v>0</v>
      </c>
      <c r="I1544">
        <v>0</v>
      </c>
      <c r="J1544">
        <v>0</v>
      </c>
      <c r="K1544">
        <v>0</v>
      </c>
      <c r="L1544">
        <v>11</v>
      </c>
      <c r="M1544">
        <v>15</v>
      </c>
      <c r="N1544" t="s">
        <v>36</v>
      </c>
      <c r="O1544" s="3">
        <v>44489</v>
      </c>
      <c r="P1544">
        <v>-1</v>
      </c>
      <c r="T1544" t="s">
        <v>50</v>
      </c>
      <c r="U1544">
        <v>39</v>
      </c>
      <c r="V1544">
        <v>32.325000000000003</v>
      </c>
    </row>
    <row r="1545" spans="1:22" x14ac:dyDescent="0.35">
      <c r="A1545" s="3">
        <v>44474</v>
      </c>
      <c r="B1545" t="s">
        <v>33</v>
      </c>
      <c r="C1545">
        <v>0</v>
      </c>
      <c r="D1545">
        <v>0</v>
      </c>
      <c r="E1545">
        <v>0</v>
      </c>
      <c r="F1545">
        <v>0</v>
      </c>
      <c r="G1545">
        <v>24.423999999999999</v>
      </c>
      <c r="H1545">
        <v>0</v>
      </c>
      <c r="I1545">
        <v>0</v>
      </c>
      <c r="J1545">
        <v>0</v>
      </c>
      <c r="K1545">
        <v>0</v>
      </c>
      <c r="L1545">
        <v>73</v>
      </c>
      <c r="M1545">
        <v>106</v>
      </c>
      <c r="N1545" t="s">
        <v>33</v>
      </c>
      <c r="O1545" s="3">
        <v>44580</v>
      </c>
      <c r="P1545">
        <v>-1</v>
      </c>
      <c r="T1545" t="s">
        <v>49</v>
      </c>
      <c r="U1545">
        <v>58</v>
      </c>
      <c r="V1545">
        <v>32.325000000000003</v>
      </c>
    </row>
    <row r="1546" spans="1:22" x14ac:dyDescent="0.35">
      <c r="A1546" s="3">
        <v>44473</v>
      </c>
      <c r="B1546" t="s">
        <v>32</v>
      </c>
      <c r="C1546">
        <v>0</v>
      </c>
      <c r="D1546">
        <v>0</v>
      </c>
      <c r="E1546">
        <v>0</v>
      </c>
      <c r="F1546">
        <v>0</v>
      </c>
      <c r="G1546">
        <v>25.414300000000001</v>
      </c>
      <c r="H1546">
        <v>0</v>
      </c>
      <c r="I1546">
        <v>0</v>
      </c>
      <c r="J1546">
        <v>0</v>
      </c>
      <c r="K1546">
        <v>0</v>
      </c>
      <c r="L1546">
        <v>94</v>
      </c>
      <c r="M1546">
        <v>135</v>
      </c>
      <c r="N1546" t="s">
        <v>32</v>
      </c>
      <c r="O1546" s="3">
        <v>44608</v>
      </c>
      <c r="P1546">
        <v>-1</v>
      </c>
      <c r="T1546" t="s">
        <v>48</v>
      </c>
      <c r="U1546">
        <v>83</v>
      </c>
      <c r="V1546">
        <v>33.575000000000003</v>
      </c>
    </row>
    <row r="1547" spans="1:22" x14ac:dyDescent="0.35">
      <c r="A1547" s="3">
        <v>44473</v>
      </c>
      <c r="B1547" t="s">
        <v>30</v>
      </c>
      <c r="C1547">
        <v>0</v>
      </c>
      <c r="D1547">
        <v>0</v>
      </c>
      <c r="E1547">
        <v>0</v>
      </c>
      <c r="F1547">
        <v>0</v>
      </c>
      <c r="G1547">
        <v>25.9816</v>
      </c>
      <c r="H1547">
        <v>0</v>
      </c>
      <c r="I1547">
        <v>0</v>
      </c>
      <c r="J1547">
        <v>0</v>
      </c>
      <c r="K1547">
        <v>0</v>
      </c>
      <c r="L1547">
        <v>138</v>
      </c>
      <c r="M1547">
        <v>198</v>
      </c>
      <c r="N1547" t="s">
        <v>30</v>
      </c>
      <c r="O1547" s="3">
        <v>44671</v>
      </c>
      <c r="P1547">
        <v>-1</v>
      </c>
      <c r="T1547" t="s">
        <v>47</v>
      </c>
      <c r="U1547">
        <v>103</v>
      </c>
      <c r="V1547">
        <v>31.125</v>
      </c>
    </row>
    <row r="1548" spans="1:22" x14ac:dyDescent="0.35">
      <c r="A1548" s="3">
        <v>44473</v>
      </c>
      <c r="B1548" t="s">
        <v>36</v>
      </c>
      <c r="C1548">
        <v>0</v>
      </c>
      <c r="D1548">
        <v>0</v>
      </c>
      <c r="E1548">
        <v>0</v>
      </c>
      <c r="F1548">
        <v>0</v>
      </c>
      <c r="G1548">
        <v>22.681000000000001</v>
      </c>
      <c r="H1548">
        <v>0</v>
      </c>
      <c r="I1548">
        <v>0</v>
      </c>
      <c r="J1548">
        <v>0</v>
      </c>
      <c r="K1548">
        <v>0</v>
      </c>
      <c r="L1548">
        <v>12</v>
      </c>
      <c r="M1548">
        <v>16</v>
      </c>
      <c r="N1548" t="s">
        <v>36</v>
      </c>
      <c r="O1548" s="3">
        <v>44489</v>
      </c>
      <c r="P1548">
        <v>-1</v>
      </c>
      <c r="T1548" t="s">
        <v>46</v>
      </c>
      <c r="U1548">
        <v>122</v>
      </c>
      <c r="V1548">
        <v>29.625</v>
      </c>
    </row>
    <row r="1549" spans="1:22" x14ac:dyDescent="0.35">
      <c r="A1549" s="3">
        <v>44473</v>
      </c>
      <c r="B1549" t="s">
        <v>33</v>
      </c>
      <c r="C1549">
        <v>0</v>
      </c>
      <c r="D1549">
        <v>0</v>
      </c>
      <c r="E1549">
        <v>0</v>
      </c>
      <c r="F1549">
        <v>0</v>
      </c>
      <c r="G1549">
        <v>25.029599999999999</v>
      </c>
      <c r="H1549">
        <v>0</v>
      </c>
      <c r="I1549">
        <v>0</v>
      </c>
      <c r="J1549">
        <v>0</v>
      </c>
      <c r="K1549">
        <v>0</v>
      </c>
      <c r="L1549">
        <v>74</v>
      </c>
      <c r="M1549">
        <v>107</v>
      </c>
      <c r="N1549" t="s">
        <v>33</v>
      </c>
      <c r="O1549" s="3">
        <v>44580</v>
      </c>
      <c r="P1549">
        <v>-1</v>
      </c>
      <c r="S1549" s="3">
        <v>44008</v>
      </c>
      <c r="T1549" t="s">
        <v>45</v>
      </c>
      <c r="U1549">
        <v>143</v>
      </c>
      <c r="V1549">
        <v>31.574999999999999</v>
      </c>
    </row>
    <row r="1550" spans="1:22" x14ac:dyDescent="0.35">
      <c r="A1550" s="3">
        <v>44473</v>
      </c>
      <c r="B1550" t="s">
        <v>35</v>
      </c>
      <c r="C1550">
        <v>0</v>
      </c>
      <c r="D1550">
        <v>0</v>
      </c>
      <c r="E1550">
        <v>0</v>
      </c>
      <c r="F1550">
        <v>0</v>
      </c>
      <c r="G1550">
        <v>23.699200000000001</v>
      </c>
      <c r="H1550">
        <v>0</v>
      </c>
      <c r="I1550">
        <v>0</v>
      </c>
      <c r="J1550">
        <v>0</v>
      </c>
      <c r="K1550">
        <v>0</v>
      </c>
      <c r="L1550">
        <v>32</v>
      </c>
      <c r="M1550">
        <v>44</v>
      </c>
      <c r="N1550" t="s">
        <v>35</v>
      </c>
      <c r="O1550" s="3">
        <v>44517</v>
      </c>
      <c r="P1550">
        <v>-1</v>
      </c>
      <c r="T1550" t="s">
        <v>44</v>
      </c>
      <c r="U1550">
        <v>162</v>
      </c>
      <c r="V1550">
        <v>31.1</v>
      </c>
    </row>
    <row r="1551" spans="1:22" x14ac:dyDescent="0.35">
      <c r="A1551" s="3">
        <v>44473</v>
      </c>
      <c r="B1551" t="s">
        <v>29</v>
      </c>
      <c r="C1551">
        <v>0</v>
      </c>
      <c r="D1551">
        <v>0</v>
      </c>
      <c r="E1551">
        <v>0</v>
      </c>
      <c r="F1551">
        <v>0</v>
      </c>
      <c r="G1551">
        <v>25.95</v>
      </c>
      <c r="H1551">
        <v>0</v>
      </c>
      <c r="I1551">
        <v>0</v>
      </c>
      <c r="J1551">
        <v>0</v>
      </c>
      <c r="K1551">
        <v>0</v>
      </c>
      <c r="L1551">
        <v>158</v>
      </c>
      <c r="M1551">
        <v>226</v>
      </c>
      <c r="N1551" t="s">
        <v>29</v>
      </c>
      <c r="O1551" s="3">
        <v>44699</v>
      </c>
      <c r="P1551">
        <v>-1</v>
      </c>
      <c r="T1551" t="s">
        <v>51</v>
      </c>
      <c r="U1551">
        <v>18</v>
      </c>
      <c r="V1551">
        <v>34.524999999999999</v>
      </c>
    </row>
    <row r="1552" spans="1:22" x14ac:dyDescent="0.35">
      <c r="A1552" s="3">
        <v>44473</v>
      </c>
      <c r="B1552" t="s">
        <v>34</v>
      </c>
      <c r="C1552">
        <v>0</v>
      </c>
      <c r="D1552">
        <v>0</v>
      </c>
      <c r="E1552">
        <v>0</v>
      </c>
      <c r="F1552">
        <v>0</v>
      </c>
      <c r="G1552">
        <v>24.153199999999998</v>
      </c>
      <c r="H1552">
        <v>0</v>
      </c>
      <c r="I1552">
        <v>0</v>
      </c>
      <c r="J1552">
        <v>0</v>
      </c>
      <c r="K1552">
        <v>0</v>
      </c>
      <c r="L1552">
        <v>56</v>
      </c>
      <c r="M1552">
        <v>79</v>
      </c>
      <c r="N1552" t="s">
        <v>34</v>
      </c>
      <c r="O1552" s="3">
        <v>44552</v>
      </c>
      <c r="P1552">
        <v>-1</v>
      </c>
      <c r="T1552" t="s">
        <v>50</v>
      </c>
      <c r="U1552">
        <v>38</v>
      </c>
      <c r="V1552">
        <v>34.475000000000001</v>
      </c>
    </row>
    <row r="1553" spans="1:22" x14ac:dyDescent="0.35">
      <c r="A1553" s="3">
        <v>44473</v>
      </c>
      <c r="B1553" t="s">
        <v>28</v>
      </c>
      <c r="C1553">
        <v>0</v>
      </c>
      <c r="D1553">
        <v>0</v>
      </c>
      <c r="E1553">
        <v>0</v>
      </c>
      <c r="F1553">
        <v>0</v>
      </c>
      <c r="G1553">
        <v>25.824999999999999</v>
      </c>
      <c r="H1553">
        <v>0</v>
      </c>
      <c r="I1553">
        <v>0</v>
      </c>
      <c r="J1553">
        <v>0</v>
      </c>
      <c r="K1553">
        <v>0</v>
      </c>
      <c r="L1553">
        <v>177</v>
      </c>
      <c r="M1553">
        <v>254</v>
      </c>
      <c r="N1553" t="s">
        <v>28</v>
      </c>
      <c r="O1553" s="3">
        <v>44727</v>
      </c>
      <c r="P1553">
        <v>-1</v>
      </c>
      <c r="T1553" t="s">
        <v>49</v>
      </c>
      <c r="U1553">
        <v>57</v>
      </c>
      <c r="V1553">
        <v>34.225000000000001</v>
      </c>
    </row>
    <row r="1554" spans="1:22" x14ac:dyDescent="0.35">
      <c r="A1554" s="3">
        <v>44473</v>
      </c>
      <c r="B1554" t="s">
        <v>31</v>
      </c>
      <c r="C1554">
        <v>0</v>
      </c>
      <c r="D1554">
        <v>0</v>
      </c>
      <c r="E1554">
        <v>0</v>
      </c>
      <c r="F1554">
        <v>0</v>
      </c>
      <c r="G1554">
        <v>25.8383</v>
      </c>
      <c r="H1554">
        <v>0</v>
      </c>
      <c r="I1554">
        <v>0</v>
      </c>
      <c r="J1554">
        <v>0</v>
      </c>
      <c r="K1554">
        <v>0</v>
      </c>
      <c r="L1554">
        <v>112</v>
      </c>
      <c r="M1554">
        <v>162</v>
      </c>
      <c r="N1554" t="s">
        <v>31</v>
      </c>
      <c r="O1554" s="3">
        <v>44635</v>
      </c>
      <c r="P1554">
        <v>-1</v>
      </c>
      <c r="T1554" t="s">
        <v>48</v>
      </c>
      <c r="U1554">
        <v>82</v>
      </c>
      <c r="V1554">
        <v>35.325000000000003</v>
      </c>
    </row>
    <row r="1555" spans="1:22" x14ac:dyDescent="0.35">
      <c r="A1555" s="3">
        <v>44470</v>
      </c>
      <c r="B1555" t="s">
        <v>35</v>
      </c>
      <c r="C1555">
        <v>0</v>
      </c>
      <c r="D1555">
        <v>0</v>
      </c>
      <c r="E1555">
        <v>0</v>
      </c>
      <c r="F1555">
        <v>0</v>
      </c>
      <c r="G1555">
        <v>23.215800000000002</v>
      </c>
      <c r="H1555">
        <v>0</v>
      </c>
      <c r="I1555">
        <v>0</v>
      </c>
      <c r="J1555">
        <v>0</v>
      </c>
      <c r="K1555">
        <v>0</v>
      </c>
      <c r="L1555">
        <v>33</v>
      </c>
      <c r="M1555">
        <v>47</v>
      </c>
      <c r="N1555" t="s">
        <v>35</v>
      </c>
      <c r="O1555" s="3">
        <v>44517</v>
      </c>
      <c r="P1555">
        <v>-1</v>
      </c>
      <c r="T1555" t="s">
        <v>47</v>
      </c>
      <c r="U1555">
        <v>102</v>
      </c>
      <c r="V1555">
        <v>32.774999999999999</v>
      </c>
    </row>
    <row r="1556" spans="1:22" x14ac:dyDescent="0.35">
      <c r="A1556" s="3">
        <v>44470</v>
      </c>
      <c r="B1556" t="s">
        <v>29</v>
      </c>
      <c r="C1556">
        <v>0</v>
      </c>
      <c r="D1556">
        <v>0</v>
      </c>
      <c r="E1556">
        <v>0</v>
      </c>
      <c r="F1556">
        <v>0</v>
      </c>
      <c r="G1556">
        <v>25.574999999999999</v>
      </c>
      <c r="H1556">
        <v>0</v>
      </c>
      <c r="I1556">
        <v>0</v>
      </c>
      <c r="J1556">
        <v>0</v>
      </c>
      <c r="K1556">
        <v>0</v>
      </c>
      <c r="L1556">
        <v>159</v>
      </c>
      <c r="M1556">
        <v>229</v>
      </c>
      <c r="N1556" t="s">
        <v>29</v>
      </c>
      <c r="O1556" s="3">
        <v>44699</v>
      </c>
      <c r="P1556">
        <v>-1</v>
      </c>
      <c r="T1556" t="s">
        <v>46</v>
      </c>
      <c r="U1556">
        <v>121</v>
      </c>
      <c r="V1556">
        <v>31.175000000000001</v>
      </c>
    </row>
    <row r="1557" spans="1:22" x14ac:dyDescent="0.35">
      <c r="A1557" s="3">
        <v>44470</v>
      </c>
      <c r="B1557" t="s">
        <v>34</v>
      </c>
      <c r="C1557">
        <v>0</v>
      </c>
      <c r="D1557">
        <v>0</v>
      </c>
      <c r="E1557">
        <v>0</v>
      </c>
      <c r="F1557">
        <v>0</v>
      </c>
      <c r="G1557">
        <v>23.668800000000001</v>
      </c>
      <c r="H1557">
        <v>0</v>
      </c>
      <c r="I1557">
        <v>0</v>
      </c>
      <c r="J1557">
        <v>0</v>
      </c>
      <c r="K1557">
        <v>0</v>
      </c>
      <c r="L1557">
        <v>57</v>
      </c>
      <c r="M1557">
        <v>82</v>
      </c>
      <c r="N1557" t="s">
        <v>34</v>
      </c>
      <c r="O1557" s="3">
        <v>44552</v>
      </c>
      <c r="P1557">
        <v>-1</v>
      </c>
      <c r="S1557" s="3">
        <v>44011</v>
      </c>
      <c r="T1557" t="s">
        <v>45</v>
      </c>
      <c r="U1557">
        <v>142</v>
      </c>
      <c r="V1557">
        <v>30.55</v>
      </c>
    </row>
    <row r="1558" spans="1:22" x14ac:dyDescent="0.35">
      <c r="A1558" s="3">
        <v>44470</v>
      </c>
      <c r="B1558" t="s">
        <v>28</v>
      </c>
      <c r="C1558">
        <v>0</v>
      </c>
      <c r="D1558">
        <v>0</v>
      </c>
      <c r="E1558">
        <v>0</v>
      </c>
      <c r="F1558">
        <v>0</v>
      </c>
      <c r="G1558">
        <v>25.574999999999999</v>
      </c>
      <c r="H1558">
        <v>0</v>
      </c>
      <c r="I1558">
        <v>0</v>
      </c>
      <c r="J1558">
        <v>0</v>
      </c>
      <c r="K1558">
        <v>0</v>
      </c>
      <c r="L1558">
        <v>178</v>
      </c>
      <c r="M1558">
        <v>257</v>
      </c>
      <c r="N1558" t="s">
        <v>28</v>
      </c>
      <c r="O1558" s="3">
        <v>44727</v>
      </c>
      <c r="P1558">
        <v>-1</v>
      </c>
      <c r="T1558" t="s">
        <v>44</v>
      </c>
      <c r="U1558">
        <v>161</v>
      </c>
      <c r="V1558">
        <v>30.375</v>
      </c>
    </row>
    <row r="1559" spans="1:22" x14ac:dyDescent="0.35">
      <c r="A1559" s="3">
        <v>44470</v>
      </c>
      <c r="B1559" t="s">
        <v>31</v>
      </c>
      <c r="C1559">
        <v>0</v>
      </c>
      <c r="D1559">
        <v>0</v>
      </c>
      <c r="E1559">
        <v>0</v>
      </c>
      <c r="F1559">
        <v>0</v>
      </c>
      <c r="G1559">
        <v>25.384899999999998</v>
      </c>
      <c r="H1559">
        <v>0</v>
      </c>
      <c r="I1559">
        <v>0</v>
      </c>
      <c r="J1559">
        <v>0</v>
      </c>
      <c r="K1559">
        <v>0</v>
      </c>
      <c r="L1559">
        <v>113</v>
      </c>
      <c r="M1559">
        <v>165</v>
      </c>
      <c r="N1559" t="s">
        <v>31</v>
      </c>
      <c r="O1559" s="3">
        <v>44635</v>
      </c>
      <c r="P1559">
        <v>-1</v>
      </c>
      <c r="T1559" t="s">
        <v>51</v>
      </c>
      <c r="U1559">
        <v>17</v>
      </c>
      <c r="V1559">
        <v>32.325000000000003</v>
      </c>
    </row>
    <row r="1560" spans="1:22" x14ac:dyDescent="0.35">
      <c r="A1560" s="3">
        <v>44470</v>
      </c>
      <c r="B1560" t="s">
        <v>32</v>
      </c>
      <c r="C1560">
        <v>0</v>
      </c>
      <c r="D1560">
        <v>0</v>
      </c>
      <c r="E1560">
        <v>0</v>
      </c>
      <c r="F1560">
        <v>0</v>
      </c>
      <c r="G1560">
        <v>24.923400000000001</v>
      </c>
      <c r="H1560">
        <v>0</v>
      </c>
      <c r="I1560">
        <v>0</v>
      </c>
      <c r="J1560">
        <v>0</v>
      </c>
      <c r="K1560">
        <v>0</v>
      </c>
      <c r="L1560">
        <v>95</v>
      </c>
      <c r="M1560">
        <v>138</v>
      </c>
      <c r="N1560" t="s">
        <v>32</v>
      </c>
      <c r="O1560" s="3">
        <v>44608</v>
      </c>
      <c r="P1560">
        <v>-1</v>
      </c>
      <c r="T1560" t="s">
        <v>50</v>
      </c>
      <c r="U1560">
        <v>37</v>
      </c>
      <c r="V1560">
        <v>32.825000000000003</v>
      </c>
    </row>
    <row r="1561" spans="1:22" x14ac:dyDescent="0.35">
      <c r="A1561" s="3">
        <v>44470</v>
      </c>
      <c r="B1561" t="s">
        <v>30</v>
      </c>
      <c r="C1561">
        <v>0</v>
      </c>
      <c r="D1561">
        <v>0</v>
      </c>
      <c r="E1561">
        <v>0</v>
      </c>
      <c r="F1561">
        <v>0</v>
      </c>
      <c r="G1561">
        <v>25.616700000000002</v>
      </c>
      <c r="H1561">
        <v>0</v>
      </c>
      <c r="I1561">
        <v>0</v>
      </c>
      <c r="J1561">
        <v>0</v>
      </c>
      <c r="K1561">
        <v>0</v>
      </c>
      <c r="L1561">
        <v>139</v>
      </c>
      <c r="M1561">
        <v>201</v>
      </c>
      <c r="N1561" t="s">
        <v>30</v>
      </c>
      <c r="O1561" s="3">
        <v>44671</v>
      </c>
      <c r="P1561">
        <v>-1</v>
      </c>
      <c r="T1561" t="s">
        <v>49</v>
      </c>
      <c r="U1561">
        <v>56</v>
      </c>
      <c r="V1561">
        <v>32.774999999999999</v>
      </c>
    </row>
    <row r="1562" spans="1:22" x14ac:dyDescent="0.35">
      <c r="A1562" s="3">
        <v>44470</v>
      </c>
      <c r="B1562" t="s">
        <v>36</v>
      </c>
      <c r="C1562">
        <v>0</v>
      </c>
      <c r="D1562">
        <v>0</v>
      </c>
      <c r="E1562">
        <v>0</v>
      </c>
      <c r="F1562">
        <v>0</v>
      </c>
      <c r="G1562">
        <v>21.994</v>
      </c>
      <c r="H1562">
        <v>0</v>
      </c>
      <c r="I1562">
        <v>0</v>
      </c>
      <c r="J1562">
        <v>0</v>
      </c>
      <c r="K1562">
        <v>0</v>
      </c>
      <c r="L1562">
        <v>13</v>
      </c>
      <c r="M1562">
        <v>19</v>
      </c>
      <c r="N1562" t="s">
        <v>36</v>
      </c>
      <c r="O1562" s="3">
        <v>44489</v>
      </c>
      <c r="P1562">
        <v>-1</v>
      </c>
      <c r="T1562" t="s">
        <v>48</v>
      </c>
      <c r="U1562">
        <v>81</v>
      </c>
      <c r="V1562">
        <v>34.024999999999999</v>
      </c>
    </row>
    <row r="1563" spans="1:22" x14ac:dyDescent="0.35">
      <c r="A1563" s="3">
        <v>44470</v>
      </c>
      <c r="B1563" t="s">
        <v>33</v>
      </c>
      <c r="C1563">
        <v>0</v>
      </c>
      <c r="D1563">
        <v>0</v>
      </c>
      <c r="E1563">
        <v>0</v>
      </c>
      <c r="F1563">
        <v>0</v>
      </c>
      <c r="G1563">
        <v>24.482299999999999</v>
      </c>
      <c r="H1563">
        <v>0</v>
      </c>
      <c r="I1563">
        <v>0</v>
      </c>
      <c r="J1563">
        <v>0</v>
      </c>
      <c r="K1563">
        <v>0</v>
      </c>
      <c r="L1563">
        <v>75</v>
      </c>
      <c r="M1563">
        <v>110</v>
      </c>
      <c r="N1563" t="s">
        <v>33</v>
      </c>
      <c r="O1563" s="3">
        <v>44580</v>
      </c>
      <c r="P1563">
        <v>-1</v>
      </c>
      <c r="T1563" t="s">
        <v>47</v>
      </c>
      <c r="U1563">
        <v>101</v>
      </c>
      <c r="V1563">
        <v>31.5</v>
      </c>
    </row>
    <row r="1564" spans="1:22" x14ac:dyDescent="0.35">
      <c r="A1564" s="3">
        <v>44469</v>
      </c>
      <c r="B1564" t="s">
        <v>32</v>
      </c>
      <c r="C1564">
        <v>0</v>
      </c>
      <c r="D1564">
        <v>0</v>
      </c>
      <c r="E1564">
        <v>0</v>
      </c>
      <c r="F1564">
        <v>0</v>
      </c>
      <c r="G1564">
        <v>25.226500000000001</v>
      </c>
      <c r="H1564">
        <v>0</v>
      </c>
      <c r="I1564">
        <v>0</v>
      </c>
      <c r="J1564">
        <v>0</v>
      </c>
      <c r="K1564">
        <v>0</v>
      </c>
      <c r="L1564">
        <v>96</v>
      </c>
      <c r="M1564">
        <v>139</v>
      </c>
      <c r="N1564" t="s">
        <v>32</v>
      </c>
      <c r="O1564" s="3">
        <v>44608</v>
      </c>
      <c r="P1564">
        <v>-1</v>
      </c>
      <c r="T1564" t="s">
        <v>46</v>
      </c>
      <c r="U1564">
        <v>120</v>
      </c>
      <c r="V1564">
        <v>30.024999999999999</v>
      </c>
    </row>
    <row r="1565" spans="1:22" x14ac:dyDescent="0.35">
      <c r="A1565" s="3">
        <v>44469</v>
      </c>
      <c r="B1565" t="s">
        <v>30</v>
      </c>
      <c r="C1565">
        <v>0</v>
      </c>
      <c r="D1565">
        <v>0</v>
      </c>
      <c r="E1565">
        <v>0</v>
      </c>
      <c r="F1565">
        <v>0</v>
      </c>
      <c r="G1565">
        <v>25.828299999999999</v>
      </c>
      <c r="H1565">
        <v>0</v>
      </c>
      <c r="I1565">
        <v>0</v>
      </c>
      <c r="J1565">
        <v>0</v>
      </c>
      <c r="K1565">
        <v>0</v>
      </c>
      <c r="L1565">
        <v>140</v>
      </c>
      <c r="M1565">
        <v>202</v>
      </c>
      <c r="N1565" t="s">
        <v>30</v>
      </c>
      <c r="O1565" s="3">
        <v>44671</v>
      </c>
      <c r="P1565">
        <v>-1</v>
      </c>
      <c r="S1565" s="3">
        <v>44012</v>
      </c>
      <c r="T1565" t="s">
        <v>45</v>
      </c>
      <c r="U1565">
        <v>141</v>
      </c>
      <c r="V1565">
        <v>29.425000000000001</v>
      </c>
    </row>
    <row r="1566" spans="1:22" x14ac:dyDescent="0.35">
      <c r="A1566" s="3">
        <v>44469</v>
      </c>
      <c r="B1566" t="s">
        <v>36</v>
      </c>
      <c r="C1566">
        <v>0</v>
      </c>
      <c r="D1566">
        <v>0</v>
      </c>
      <c r="E1566">
        <v>0</v>
      </c>
      <c r="F1566">
        <v>0</v>
      </c>
      <c r="G1566">
        <v>22.867799999999999</v>
      </c>
      <c r="H1566">
        <v>0</v>
      </c>
      <c r="I1566">
        <v>0</v>
      </c>
      <c r="J1566">
        <v>0</v>
      </c>
      <c r="K1566">
        <v>0</v>
      </c>
      <c r="L1566">
        <v>14</v>
      </c>
      <c r="M1566">
        <v>20</v>
      </c>
      <c r="N1566" t="s">
        <v>36</v>
      </c>
      <c r="O1566" s="3">
        <v>44489</v>
      </c>
      <c r="P1566">
        <v>-1</v>
      </c>
      <c r="T1566" t="s">
        <v>44</v>
      </c>
      <c r="U1566">
        <v>160</v>
      </c>
      <c r="V1566">
        <v>29.425000000000001</v>
      </c>
    </row>
    <row r="1567" spans="1:22" x14ac:dyDescent="0.35">
      <c r="A1567" s="3">
        <v>44469</v>
      </c>
      <c r="B1567" t="s">
        <v>33</v>
      </c>
      <c r="C1567">
        <v>0</v>
      </c>
      <c r="D1567">
        <v>0</v>
      </c>
      <c r="E1567">
        <v>0</v>
      </c>
      <c r="F1567">
        <v>0</v>
      </c>
      <c r="G1567">
        <v>24.800699999999999</v>
      </c>
      <c r="H1567">
        <v>0</v>
      </c>
      <c r="I1567">
        <v>0</v>
      </c>
      <c r="J1567">
        <v>0</v>
      </c>
      <c r="K1567">
        <v>0</v>
      </c>
      <c r="L1567">
        <v>76</v>
      </c>
      <c r="M1567">
        <v>111</v>
      </c>
      <c r="N1567" t="s">
        <v>33</v>
      </c>
      <c r="O1567" s="3">
        <v>44580</v>
      </c>
      <c r="P1567">
        <v>-1</v>
      </c>
      <c r="T1567" t="s">
        <v>51</v>
      </c>
      <c r="U1567">
        <v>16</v>
      </c>
      <c r="V1567">
        <v>30.875</v>
      </c>
    </row>
    <row r="1568" spans="1:22" x14ac:dyDescent="0.35">
      <c r="A1568" s="3">
        <v>44469</v>
      </c>
      <c r="B1568" t="s">
        <v>35</v>
      </c>
      <c r="C1568">
        <v>0</v>
      </c>
      <c r="D1568">
        <v>0</v>
      </c>
      <c r="E1568">
        <v>0</v>
      </c>
      <c r="F1568">
        <v>0</v>
      </c>
      <c r="G1568">
        <v>23.6859</v>
      </c>
      <c r="H1568">
        <v>0</v>
      </c>
      <c r="I1568">
        <v>0</v>
      </c>
      <c r="J1568">
        <v>0</v>
      </c>
      <c r="K1568">
        <v>0</v>
      </c>
      <c r="L1568">
        <v>34</v>
      </c>
      <c r="M1568">
        <v>48</v>
      </c>
      <c r="N1568" t="s">
        <v>35</v>
      </c>
      <c r="O1568" s="3">
        <v>44517</v>
      </c>
      <c r="P1568">
        <v>-1</v>
      </c>
      <c r="T1568" t="s">
        <v>50</v>
      </c>
      <c r="U1568">
        <v>36</v>
      </c>
      <c r="V1568">
        <v>31.824999999999999</v>
      </c>
    </row>
    <row r="1569" spans="1:22" x14ac:dyDescent="0.35">
      <c r="A1569" s="3">
        <v>44469</v>
      </c>
      <c r="B1569" t="s">
        <v>29</v>
      </c>
      <c r="C1569">
        <v>0</v>
      </c>
      <c r="D1569">
        <v>0</v>
      </c>
      <c r="E1569">
        <v>0</v>
      </c>
      <c r="F1569">
        <v>0</v>
      </c>
      <c r="G1569">
        <v>25.8</v>
      </c>
      <c r="H1569">
        <v>0</v>
      </c>
      <c r="I1569">
        <v>0</v>
      </c>
      <c r="J1569">
        <v>0</v>
      </c>
      <c r="K1569">
        <v>0</v>
      </c>
      <c r="L1569">
        <v>160</v>
      </c>
      <c r="M1569">
        <v>230</v>
      </c>
      <c r="N1569" t="s">
        <v>29</v>
      </c>
      <c r="O1569" s="3">
        <v>44699</v>
      </c>
      <c r="P1569">
        <v>-1</v>
      </c>
      <c r="T1569" t="s">
        <v>49</v>
      </c>
      <c r="U1569">
        <v>55</v>
      </c>
      <c r="V1569">
        <v>31.774999999999999</v>
      </c>
    </row>
    <row r="1570" spans="1:22" x14ac:dyDescent="0.35">
      <c r="A1570" s="3">
        <v>44469</v>
      </c>
      <c r="B1570" t="s">
        <v>34</v>
      </c>
      <c r="C1570">
        <v>0</v>
      </c>
      <c r="D1570">
        <v>0</v>
      </c>
      <c r="E1570">
        <v>0</v>
      </c>
      <c r="F1570">
        <v>0</v>
      </c>
      <c r="G1570">
        <v>23.9984</v>
      </c>
      <c r="H1570">
        <v>0</v>
      </c>
      <c r="I1570">
        <v>0</v>
      </c>
      <c r="J1570">
        <v>0</v>
      </c>
      <c r="K1570">
        <v>0</v>
      </c>
      <c r="L1570">
        <v>58</v>
      </c>
      <c r="M1570">
        <v>83</v>
      </c>
      <c r="N1570" t="s">
        <v>34</v>
      </c>
      <c r="O1570" s="3">
        <v>44552</v>
      </c>
      <c r="P1570">
        <v>-1</v>
      </c>
      <c r="T1570" t="s">
        <v>48</v>
      </c>
      <c r="U1570">
        <v>80</v>
      </c>
      <c r="V1570">
        <v>33.174999999999997</v>
      </c>
    </row>
    <row r="1571" spans="1:22" x14ac:dyDescent="0.35">
      <c r="A1571" s="3">
        <v>44469</v>
      </c>
      <c r="B1571" t="s">
        <v>28</v>
      </c>
      <c r="C1571">
        <v>0</v>
      </c>
      <c r="D1571">
        <v>0</v>
      </c>
      <c r="E1571">
        <v>0</v>
      </c>
      <c r="F1571">
        <v>0</v>
      </c>
      <c r="G1571">
        <v>25.7</v>
      </c>
      <c r="H1571">
        <v>0</v>
      </c>
      <c r="I1571">
        <v>0</v>
      </c>
      <c r="J1571">
        <v>0</v>
      </c>
      <c r="K1571">
        <v>0</v>
      </c>
      <c r="L1571">
        <v>179</v>
      </c>
      <c r="M1571">
        <v>258</v>
      </c>
      <c r="N1571" t="s">
        <v>28</v>
      </c>
      <c r="O1571" s="3">
        <v>44727</v>
      </c>
      <c r="P1571">
        <v>-1</v>
      </c>
      <c r="T1571" t="s">
        <v>47</v>
      </c>
      <c r="U1571">
        <v>100</v>
      </c>
      <c r="V1571">
        <v>30.574999999999999</v>
      </c>
    </row>
    <row r="1572" spans="1:22" x14ac:dyDescent="0.35">
      <c r="A1572" s="3">
        <v>44469</v>
      </c>
      <c r="B1572" t="s">
        <v>31</v>
      </c>
      <c r="C1572">
        <v>0</v>
      </c>
      <c r="D1572">
        <v>0</v>
      </c>
      <c r="E1572">
        <v>0</v>
      </c>
      <c r="F1572">
        <v>0</v>
      </c>
      <c r="G1572">
        <v>25.655100000000001</v>
      </c>
      <c r="H1572">
        <v>0</v>
      </c>
      <c r="I1572">
        <v>0</v>
      </c>
      <c r="J1572">
        <v>0</v>
      </c>
      <c r="K1572">
        <v>0</v>
      </c>
      <c r="L1572">
        <v>114</v>
      </c>
      <c r="M1572">
        <v>166</v>
      </c>
      <c r="N1572" t="s">
        <v>31</v>
      </c>
      <c r="O1572" s="3">
        <v>44635</v>
      </c>
      <c r="P1572">
        <v>-1</v>
      </c>
      <c r="T1572" t="s">
        <v>46</v>
      </c>
      <c r="U1572">
        <v>119</v>
      </c>
      <c r="V1572">
        <v>29.074999999999999</v>
      </c>
    </row>
    <row r="1573" spans="1:22" x14ac:dyDescent="0.35">
      <c r="A1573" s="3">
        <v>44468</v>
      </c>
      <c r="B1573" t="s">
        <v>35</v>
      </c>
      <c r="C1573">
        <v>0</v>
      </c>
      <c r="D1573">
        <v>0</v>
      </c>
      <c r="E1573">
        <v>0</v>
      </c>
      <c r="F1573">
        <v>0</v>
      </c>
      <c r="G1573">
        <v>23.782299999999999</v>
      </c>
      <c r="H1573">
        <v>0</v>
      </c>
      <c r="I1573">
        <v>0</v>
      </c>
      <c r="J1573">
        <v>0</v>
      </c>
      <c r="K1573">
        <v>0</v>
      </c>
      <c r="L1573">
        <v>35</v>
      </c>
      <c r="M1573">
        <v>49</v>
      </c>
      <c r="N1573" t="s">
        <v>35</v>
      </c>
      <c r="O1573" s="3">
        <v>44517</v>
      </c>
      <c r="P1573">
        <v>-1</v>
      </c>
      <c r="S1573" s="3">
        <v>44013</v>
      </c>
      <c r="T1573" t="s">
        <v>45</v>
      </c>
      <c r="U1573">
        <v>140</v>
      </c>
      <c r="V1573">
        <v>28.925000000000001</v>
      </c>
    </row>
    <row r="1574" spans="1:22" x14ac:dyDescent="0.35">
      <c r="A1574" s="3">
        <v>44468</v>
      </c>
      <c r="B1574" t="s">
        <v>29</v>
      </c>
      <c r="C1574">
        <v>0</v>
      </c>
      <c r="D1574">
        <v>0</v>
      </c>
      <c r="E1574">
        <v>0</v>
      </c>
      <c r="F1574">
        <v>0</v>
      </c>
      <c r="G1574">
        <v>25.65</v>
      </c>
      <c r="H1574">
        <v>0</v>
      </c>
      <c r="I1574">
        <v>0</v>
      </c>
      <c r="J1574">
        <v>0</v>
      </c>
      <c r="K1574">
        <v>0</v>
      </c>
      <c r="L1574">
        <v>161</v>
      </c>
      <c r="M1574">
        <v>231</v>
      </c>
      <c r="N1574" t="s">
        <v>29</v>
      </c>
      <c r="O1574" s="3">
        <v>44699</v>
      </c>
      <c r="P1574">
        <v>-1</v>
      </c>
      <c r="T1574" t="s">
        <v>44</v>
      </c>
      <c r="U1574">
        <v>159</v>
      </c>
      <c r="V1574">
        <v>29.074999999999999</v>
      </c>
    </row>
    <row r="1575" spans="1:22" x14ac:dyDescent="0.35">
      <c r="A1575" s="3">
        <v>44468</v>
      </c>
      <c r="B1575" t="s">
        <v>34</v>
      </c>
      <c r="C1575">
        <v>0</v>
      </c>
      <c r="D1575">
        <v>0</v>
      </c>
      <c r="E1575">
        <v>0</v>
      </c>
      <c r="F1575">
        <v>0</v>
      </c>
      <c r="G1575">
        <v>24.012799999999999</v>
      </c>
      <c r="H1575">
        <v>0</v>
      </c>
      <c r="I1575">
        <v>0</v>
      </c>
      <c r="J1575">
        <v>0</v>
      </c>
      <c r="K1575">
        <v>0</v>
      </c>
      <c r="L1575">
        <v>59</v>
      </c>
      <c r="M1575">
        <v>84</v>
      </c>
      <c r="N1575" t="s">
        <v>34</v>
      </c>
      <c r="O1575" s="3">
        <v>44552</v>
      </c>
      <c r="P1575">
        <v>-1</v>
      </c>
      <c r="T1575" t="s">
        <v>51</v>
      </c>
      <c r="U1575">
        <v>15</v>
      </c>
      <c r="V1575">
        <v>29.824999999999999</v>
      </c>
    </row>
    <row r="1576" spans="1:22" x14ac:dyDescent="0.35">
      <c r="A1576" s="3">
        <v>44468</v>
      </c>
      <c r="B1576" t="s">
        <v>28</v>
      </c>
      <c r="C1576">
        <v>0</v>
      </c>
      <c r="D1576">
        <v>0</v>
      </c>
      <c r="E1576">
        <v>0</v>
      </c>
      <c r="F1576">
        <v>0</v>
      </c>
      <c r="G1576">
        <v>25.524999999999999</v>
      </c>
      <c r="H1576">
        <v>0</v>
      </c>
      <c r="I1576">
        <v>0</v>
      </c>
      <c r="J1576">
        <v>0</v>
      </c>
      <c r="K1576">
        <v>0</v>
      </c>
      <c r="L1576">
        <v>180</v>
      </c>
      <c r="M1576">
        <v>259</v>
      </c>
      <c r="N1576" t="s">
        <v>28</v>
      </c>
      <c r="O1576" s="3">
        <v>44727</v>
      </c>
      <c r="P1576">
        <v>-1</v>
      </c>
      <c r="T1576" t="s">
        <v>50</v>
      </c>
      <c r="U1576">
        <v>35</v>
      </c>
      <c r="V1576">
        <v>30.824999999999999</v>
      </c>
    </row>
    <row r="1577" spans="1:22" x14ac:dyDescent="0.35">
      <c r="A1577" s="3">
        <v>44468</v>
      </c>
      <c r="B1577" t="s">
        <v>31</v>
      </c>
      <c r="C1577">
        <v>0</v>
      </c>
      <c r="D1577">
        <v>0</v>
      </c>
      <c r="E1577">
        <v>0</v>
      </c>
      <c r="F1577">
        <v>0</v>
      </c>
      <c r="G1577">
        <v>25.532900000000001</v>
      </c>
      <c r="H1577">
        <v>0</v>
      </c>
      <c r="I1577">
        <v>0</v>
      </c>
      <c r="J1577">
        <v>0</v>
      </c>
      <c r="K1577">
        <v>0</v>
      </c>
      <c r="L1577">
        <v>115</v>
      </c>
      <c r="M1577">
        <v>167</v>
      </c>
      <c r="N1577" t="s">
        <v>31</v>
      </c>
      <c r="O1577" s="3">
        <v>44635</v>
      </c>
      <c r="P1577">
        <v>-1</v>
      </c>
      <c r="T1577" t="s">
        <v>49</v>
      </c>
      <c r="U1577">
        <v>54</v>
      </c>
      <c r="V1577">
        <v>30.925000000000001</v>
      </c>
    </row>
    <row r="1578" spans="1:22" x14ac:dyDescent="0.35">
      <c r="A1578" s="3">
        <v>44468</v>
      </c>
      <c r="B1578" t="s">
        <v>32</v>
      </c>
      <c r="C1578">
        <v>0</v>
      </c>
      <c r="D1578">
        <v>0</v>
      </c>
      <c r="E1578">
        <v>0</v>
      </c>
      <c r="F1578">
        <v>0</v>
      </c>
      <c r="G1578">
        <v>25.154499999999999</v>
      </c>
      <c r="H1578">
        <v>0</v>
      </c>
      <c r="I1578">
        <v>0</v>
      </c>
      <c r="J1578">
        <v>0</v>
      </c>
      <c r="K1578">
        <v>0</v>
      </c>
      <c r="L1578">
        <v>97</v>
      </c>
      <c r="M1578">
        <v>140</v>
      </c>
      <c r="N1578" t="s">
        <v>32</v>
      </c>
      <c r="O1578" s="3">
        <v>44608</v>
      </c>
      <c r="P1578">
        <v>-1</v>
      </c>
      <c r="T1578" t="s">
        <v>48</v>
      </c>
      <c r="U1578">
        <v>79</v>
      </c>
      <c r="V1578">
        <v>32.774999999999999</v>
      </c>
    </row>
    <row r="1579" spans="1:22" x14ac:dyDescent="0.35">
      <c r="A1579" s="3">
        <v>44468</v>
      </c>
      <c r="B1579" t="s">
        <v>30</v>
      </c>
      <c r="C1579">
        <v>0</v>
      </c>
      <c r="D1579">
        <v>0</v>
      </c>
      <c r="E1579">
        <v>0</v>
      </c>
      <c r="F1579">
        <v>0</v>
      </c>
      <c r="G1579">
        <v>25.7</v>
      </c>
      <c r="H1579">
        <v>0</v>
      </c>
      <c r="I1579">
        <v>0</v>
      </c>
      <c r="J1579">
        <v>0</v>
      </c>
      <c r="K1579">
        <v>0</v>
      </c>
      <c r="L1579">
        <v>141</v>
      </c>
      <c r="M1579">
        <v>203</v>
      </c>
      <c r="N1579" t="s">
        <v>30</v>
      </c>
      <c r="O1579" s="3">
        <v>44671</v>
      </c>
      <c r="P1579">
        <v>-1</v>
      </c>
      <c r="T1579" t="s">
        <v>47</v>
      </c>
      <c r="U1579">
        <v>99</v>
      </c>
      <c r="V1579">
        <v>30.274999999999999</v>
      </c>
    </row>
    <row r="1580" spans="1:22" x14ac:dyDescent="0.35">
      <c r="A1580" s="3">
        <v>44468</v>
      </c>
      <c r="B1580" t="s">
        <v>36</v>
      </c>
      <c r="C1580">
        <v>0</v>
      </c>
      <c r="D1580">
        <v>0</v>
      </c>
      <c r="E1580">
        <v>0</v>
      </c>
      <c r="F1580">
        <v>0</v>
      </c>
      <c r="G1580">
        <v>22.991199999999999</v>
      </c>
      <c r="H1580">
        <v>0</v>
      </c>
      <c r="I1580">
        <v>0</v>
      </c>
      <c r="J1580">
        <v>0</v>
      </c>
      <c r="K1580">
        <v>0</v>
      </c>
      <c r="L1580">
        <v>15</v>
      </c>
      <c r="M1580">
        <v>21</v>
      </c>
      <c r="N1580" t="s">
        <v>36</v>
      </c>
      <c r="O1580" s="3">
        <v>44489</v>
      </c>
      <c r="P1580">
        <v>-1</v>
      </c>
      <c r="T1580" t="s">
        <v>46</v>
      </c>
      <c r="U1580">
        <v>118</v>
      </c>
      <c r="V1580">
        <v>28.725000000000001</v>
      </c>
    </row>
    <row r="1581" spans="1:22" x14ac:dyDescent="0.35">
      <c r="A1581" s="3">
        <v>44468</v>
      </c>
      <c r="B1581" t="s">
        <v>33</v>
      </c>
      <c r="C1581">
        <v>0</v>
      </c>
      <c r="D1581">
        <v>0</v>
      </c>
      <c r="E1581">
        <v>0</v>
      </c>
      <c r="F1581">
        <v>0</v>
      </c>
      <c r="G1581">
        <v>24.755500000000001</v>
      </c>
      <c r="H1581">
        <v>0</v>
      </c>
      <c r="I1581">
        <v>0</v>
      </c>
      <c r="J1581">
        <v>0</v>
      </c>
      <c r="K1581">
        <v>0</v>
      </c>
      <c r="L1581">
        <v>77</v>
      </c>
      <c r="M1581">
        <v>112</v>
      </c>
      <c r="N1581" t="s">
        <v>33</v>
      </c>
      <c r="O1581" s="3">
        <v>44580</v>
      </c>
      <c r="P1581">
        <v>-1</v>
      </c>
      <c r="S1581" s="3">
        <v>44014</v>
      </c>
      <c r="T1581" t="s">
        <v>45</v>
      </c>
      <c r="U1581">
        <v>139</v>
      </c>
      <c r="V1581">
        <v>28.725000000000001</v>
      </c>
    </row>
    <row r="1582" spans="1:22" x14ac:dyDescent="0.35">
      <c r="A1582" s="3">
        <v>44467</v>
      </c>
      <c r="B1582" t="s">
        <v>32</v>
      </c>
      <c r="C1582">
        <v>0</v>
      </c>
      <c r="D1582">
        <v>0</v>
      </c>
      <c r="E1582">
        <v>0</v>
      </c>
      <c r="F1582">
        <v>0</v>
      </c>
      <c r="G1582">
        <v>24.991099999999999</v>
      </c>
      <c r="H1582">
        <v>0</v>
      </c>
      <c r="I1582">
        <v>0</v>
      </c>
      <c r="J1582">
        <v>0</v>
      </c>
      <c r="K1582">
        <v>0</v>
      </c>
      <c r="L1582">
        <v>98</v>
      </c>
      <c r="M1582">
        <v>141</v>
      </c>
      <c r="N1582" t="s">
        <v>32</v>
      </c>
      <c r="O1582" s="3">
        <v>44608</v>
      </c>
      <c r="P1582">
        <v>-1</v>
      </c>
      <c r="T1582" t="s">
        <v>44</v>
      </c>
      <c r="U1582">
        <v>158</v>
      </c>
      <c r="V1582">
        <v>28.7</v>
      </c>
    </row>
    <row r="1583" spans="1:22" x14ac:dyDescent="0.35">
      <c r="A1583" s="3">
        <v>44467</v>
      </c>
      <c r="B1583" t="s">
        <v>30</v>
      </c>
      <c r="C1583">
        <v>0</v>
      </c>
      <c r="D1583">
        <v>0</v>
      </c>
      <c r="E1583">
        <v>0</v>
      </c>
      <c r="F1583">
        <v>0</v>
      </c>
      <c r="G1583">
        <v>25.573799999999999</v>
      </c>
      <c r="H1583">
        <v>0</v>
      </c>
      <c r="I1583">
        <v>0</v>
      </c>
      <c r="J1583">
        <v>0</v>
      </c>
      <c r="K1583">
        <v>0</v>
      </c>
      <c r="L1583">
        <v>142</v>
      </c>
      <c r="M1583">
        <v>204</v>
      </c>
      <c r="N1583" t="s">
        <v>30</v>
      </c>
      <c r="O1583" s="3">
        <v>44671</v>
      </c>
      <c r="P1583">
        <v>-1</v>
      </c>
      <c r="T1583" t="s">
        <v>51</v>
      </c>
      <c r="U1583">
        <v>14</v>
      </c>
      <c r="V1583">
        <v>29.074999999999999</v>
      </c>
    </row>
    <row r="1584" spans="1:22" x14ac:dyDescent="0.35">
      <c r="A1584" s="3">
        <v>44467</v>
      </c>
      <c r="B1584" t="s">
        <v>36</v>
      </c>
      <c r="C1584">
        <v>0</v>
      </c>
      <c r="D1584">
        <v>0</v>
      </c>
      <c r="E1584">
        <v>0</v>
      </c>
      <c r="F1584">
        <v>0</v>
      </c>
      <c r="G1584">
        <v>22.517299999999999</v>
      </c>
      <c r="H1584">
        <v>0</v>
      </c>
      <c r="I1584">
        <v>0</v>
      </c>
      <c r="J1584">
        <v>0</v>
      </c>
      <c r="K1584">
        <v>0</v>
      </c>
      <c r="L1584">
        <v>16</v>
      </c>
      <c r="M1584">
        <v>22</v>
      </c>
      <c r="N1584" t="s">
        <v>36</v>
      </c>
      <c r="O1584" s="3">
        <v>44489</v>
      </c>
      <c r="P1584">
        <v>-1</v>
      </c>
      <c r="T1584" t="s">
        <v>50</v>
      </c>
      <c r="U1584">
        <v>34</v>
      </c>
      <c r="V1584">
        <v>30.074999999999999</v>
      </c>
    </row>
    <row r="1585" spans="1:22" x14ac:dyDescent="0.35">
      <c r="A1585" s="3">
        <v>44467</v>
      </c>
      <c r="B1585" t="s">
        <v>33</v>
      </c>
      <c r="C1585">
        <v>0</v>
      </c>
      <c r="D1585">
        <v>0</v>
      </c>
      <c r="E1585">
        <v>0</v>
      </c>
      <c r="F1585">
        <v>0</v>
      </c>
      <c r="G1585">
        <v>24.586200000000002</v>
      </c>
      <c r="H1585">
        <v>0</v>
      </c>
      <c r="I1585">
        <v>0</v>
      </c>
      <c r="J1585">
        <v>0</v>
      </c>
      <c r="K1585">
        <v>0</v>
      </c>
      <c r="L1585">
        <v>78</v>
      </c>
      <c r="M1585">
        <v>113</v>
      </c>
      <c r="N1585" t="s">
        <v>33</v>
      </c>
      <c r="O1585" s="3">
        <v>44580</v>
      </c>
      <c r="P1585">
        <v>-1</v>
      </c>
      <c r="T1585" t="s">
        <v>49</v>
      </c>
      <c r="U1585">
        <v>53</v>
      </c>
      <c r="V1585">
        <v>30.225000000000001</v>
      </c>
    </row>
    <row r="1586" spans="1:22" x14ac:dyDescent="0.35">
      <c r="A1586" s="3">
        <v>44467</v>
      </c>
      <c r="B1586" t="s">
        <v>35</v>
      </c>
      <c r="C1586">
        <v>0</v>
      </c>
      <c r="D1586">
        <v>0</v>
      </c>
      <c r="E1586">
        <v>0</v>
      </c>
      <c r="F1586">
        <v>0</v>
      </c>
      <c r="G1586">
        <v>23.4435</v>
      </c>
      <c r="H1586">
        <v>0</v>
      </c>
      <c r="I1586">
        <v>0</v>
      </c>
      <c r="J1586">
        <v>0</v>
      </c>
      <c r="K1586">
        <v>0</v>
      </c>
      <c r="L1586">
        <v>36</v>
      </c>
      <c r="M1586">
        <v>50</v>
      </c>
      <c r="N1586" t="s">
        <v>35</v>
      </c>
      <c r="O1586" s="3">
        <v>44517</v>
      </c>
      <c r="P1586">
        <v>-1</v>
      </c>
      <c r="T1586" t="s">
        <v>48</v>
      </c>
      <c r="U1586">
        <v>78</v>
      </c>
      <c r="V1586">
        <v>32.424999999999997</v>
      </c>
    </row>
    <row r="1587" spans="1:22" x14ac:dyDescent="0.35">
      <c r="A1587" s="3">
        <v>44467</v>
      </c>
      <c r="B1587" t="s">
        <v>29</v>
      </c>
      <c r="C1587">
        <v>0</v>
      </c>
      <c r="D1587">
        <v>0</v>
      </c>
      <c r="E1587">
        <v>0</v>
      </c>
      <c r="F1587">
        <v>0</v>
      </c>
      <c r="G1587">
        <v>25.55</v>
      </c>
      <c r="H1587">
        <v>0</v>
      </c>
      <c r="I1587">
        <v>0</v>
      </c>
      <c r="J1587">
        <v>0</v>
      </c>
      <c r="K1587">
        <v>0</v>
      </c>
      <c r="L1587">
        <v>162</v>
      </c>
      <c r="M1587">
        <v>232</v>
      </c>
      <c r="N1587" t="s">
        <v>29</v>
      </c>
      <c r="O1587" s="3">
        <v>44699</v>
      </c>
      <c r="P1587">
        <v>-1</v>
      </c>
      <c r="T1587" t="s">
        <v>47</v>
      </c>
      <c r="U1587">
        <v>98</v>
      </c>
      <c r="V1587">
        <v>29.95</v>
      </c>
    </row>
    <row r="1588" spans="1:22" x14ac:dyDescent="0.35">
      <c r="A1588" s="3">
        <v>44467</v>
      </c>
      <c r="B1588" t="s">
        <v>34</v>
      </c>
      <c r="C1588">
        <v>0</v>
      </c>
      <c r="D1588">
        <v>0</v>
      </c>
      <c r="E1588">
        <v>0</v>
      </c>
      <c r="F1588">
        <v>0</v>
      </c>
      <c r="G1588">
        <v>23.805900000000001</v>
      </c>
      <c r="H1588">
        <v>0</v>
      </c>
      <c r="I1588">
        <v>0</v>
      </c>
      <c r="J1588">
        <v>0</v>
      </c>
      <c r="K1588">
        <v>0</v>
      </c>
      <c r="L1588">
        <v>60</v>
      </c>
      <c r="M1588">
        <v>85</v>
      </c>
      <c r="N1588" t="s">
        <v>34</v>
      </c>
      <c r="O1588" s="3">
        <v>44552</v>
      </c>
      <c r="P1588">
        <v>-1</v>
      </c>
      <c r="T1588" t="s">
        <v>46</v>
      </c>
      <c r="U1588">
        <v>117</v>
      </c>
      <c r="V1588">
        <v>28.524999999999999</v>
      </c>
    </row>
    <row r="1589" spans="1:22" x14ac:dyDescent="0.35">
      <c r="A1589" s="3">
        <v>44467</v>
      </c>
      <c r="B1589" t="s">
        <v>28</v>
      </c>
      <c r="C1589">
        <v>0</v>
      </c>
      <c r="D1589">
        <v>0</v>
      </c>
      <c r="E1589">
        <v>0</v>
      </c>
      <c r="F1589">
        <v>0</v>
      </c>
      <c r="G1589">
        <v>25.524999999999999</v>
      </c>
      <c r="H1589">
        <v>0</v>
      </c>
      <c r="I1589">
        <v>0</v>
      </c>
      <c r="J1589">
        <v>0</v>
      </c>
      <c r="K1589">
        <v>0</v>
      </c>
      <c r="L1589">
        <v>181</v>
      </c>
      <c r="M1589">
        <v>260</v>
      </c>
      <c r="N1589" t="s">
        <v>28</v>
      </c>
      <c r="O1589" s="3">
        <v>44727</v>
      </c>
      <c r="P1589">
        <v>-1</v>
      </c>
      <c r="S1589" s="3">
        <v>44018</v>
      </c>
      <c r="T1589" t="s">
        <v>45</v>
      </c>
      <c r="U1589">
        <v>137</v>
      </c>
      <c r="V1589">
        <v>28.725000000000001</v>
      </c>
    </row>
    <row r="1590" spans="1:22" x14ac:dyDescent="0.35">
      <c r="A1590" s="3">
        <v>44467</v>
      </c>
      <c r="B1590" t="s">
        <v>31</v>
      </c>
      <c r="C1590">
        <v>0</v>
      </c>
      <c r="D1590">
        <v>0</v>
      </c>
      <c r="E1590">
        <v>0</v>
      </c>
      <c r="F1590">
        <v>0</v>
      </c>
      <c r="G1590">
        <v>25.439</v>
      </c>
      <c r="H1590">
        <v>0</v>
      </c>
      <c r="I1590">
        <v>0</v>
      </c>
      <c r="J1590">
        <v>0</v>
      </c>
      <c r="K1590">
        <v>0</v>
      </c>
      <c r="L1590">
        <v>116</v>
      </c>
      <c r="M1590">
        <v>168</v>
      </c>
      <c r="N1590" t="s">
        <v>31</v>
      </c>
      <c r="O1590" s="3">
        <v>44635</v>
      </c>
      <c r="P1590">
        <v>-1</v>
      </c>
      <c r="T1590" t="s">
        <v>44</v>
      </c>
      <c r="U1590">
        <v>156</v>
      </c>
      <c r="V1590">
        <v>28.55</v>
      </c>
    </row>
    <row r="1591" spans="1:22" x14ac:dyDescent="0.35">
      <c r="A1591" s="3">
        <v>44466</v>
      </c>
      <c r="B1591" t="s">
        <v>35</v>
      </c>
      <c r="C1591">
        <v>0</v>
      </c>
      <c r="D1591">
        <v>0</v>
      </c>
      <c r="E1591">
        <v>0</v>
      </c>
      <c r="F1591">
        <v>0</v>
      </c>
      <c r="G1591">
        <v>21.677800000000001</v>
      </c>
      <c r="H1591">
        <v>0</v>
      </c>
      <c r="I1591">
        <v>0</v>
      </c>
      <c r="J1591">
        <v>0</v>
      </c>
      <c r="K1591">
        <v>0</v>
      </c>
      <c r="L1591">
        <v>37</v>
      </c>
      <c r="M1591">
        <v>51</v>
      </c>
      <c r="N1591" t="s">
        <v>35</v>
      </c>
      <c r="O1591" s="3">
        <v>44517</v>
      </c>
      <c r="P1591">
        <v>-1</v>
      </c>
      <c r="T1591" t="s">
        <v>51</v>
      </c>
      <c r="U1591">
        <v>12</v>
      </c>
      <c r="V1591">
        <v>29.25</v>
      </c>
    </row>
    <row r="1592" spans="1:22" x14ac:dyDescent="0.35">
      <c r="A1592" s="3">
        <v>44466</v>
      </c>
      <c r="B1592" t="s">
        <v>29</v>
      </c>
      <c r="C1592">
        <v>0</v>
      </c>
      <c r="D1592">
        <v>0</v>
      </c>
      <c r="E1592">
        <v>0</v>
      </c>
      <c r="F1592">
        <v>0</v>
      </c>
      <c r="G1592">
        <v>24.8</v>
      </c>
      <c r="H1592">
        <v>0</v>
      </c>
      <c r="I1592">
        <v>0</v>
      </c>
      <c r="J1592">
        <v>0</v>
      </c>
      <c r="K1592">
        <v>0</v>
      </c>
      <c r="L1592">
        <v>163</v>
      </c>
      <c r="M1592">
        <v>233</v>
      </c>
      <c r="N1592" t="s">
        <v>29</v>
      </c>
      <c r="O1592" s="3">
        <v>44699</v>
      </c>
      <c r="P1592">
        <v>-1</v>
      </c>
      <c r="T1592" t="s">
        <v>50</v>
      </c>
      <c r="U1592">
        <v>32</v>
      </c>
      <c r="V1592">
        <v>30.2</v>
      </c>
    </row>
    <row r="1593" spans="1:22" x14ac:dyDescent="0.35">
      <c r="A1593" s="3">
        <v>44466</v>
      </c>
      <c r="B1593" t="s">
        <v>34</v>
      </c>
      <c r="C1593">
        <v>0</v>
      </c>
      <c r="D1593">
        <v>0</v>
      </c>
      <c r="E1593">
        <v>0</v>
      </c>
      <c r="F1593">
        <v>0</v>
      </c>
      <c r="G1593">
        <v>22.443100000000001</v>
      </c>
      <c r="H1593">
        <v>0</v>
      </c>
      <c r="I1593">
        <v>0</v>
      </c>
      <c r="J1593">
        <v>0</v>
      </c>
      <c r="K1593">
        <v>0</v>
      </c>
      <c r="L1593">
        <v>61</v>
      </c>
      <c r="M1593">
        <v>86</v>
      </c>
      <c r="N1593" t="s">
        <v>34</v>
      </c>
      <c r="O1593" s="3">
        <v>44552</v>
      </c>
      <c r="P1593">
        <v>-1</v>
      </c>
      <c r="T1593" t="s">
        <v>49</v>
      </c>
      <c r="U1593">
        <v>51</v>
      </c>
      <c r="V1593">
        <v>30.274999999999999</v>
      </c>
    </row>
    <row r="1594" spans="1:22" x14ac:dyDescent="0.35">
      <c r="A1594" s="3">
        <v>44466</v>
      </c>
      <c r="B1594" t="s">
        <v>28</v>
      </c>
      <c r="C1594">
        <v>0</v>
      </c>
      <c r="D1594">
        <v>0</v>
      </c>
      <c r="E1594">
        <v>0</v>
      </c>
      <c r="F1594">
        <v>0</v>
      </c>
      <c r="G1594">
        <v>24.774999999999999</v>
      </c>
      <c r="H1594">
        <v>0</v>
      </c>
      <c r="I1594">
        <v>0</v>
      </c>
      <c r="J1594">
        <v>0</v>
      </c>
      <c r="K1594">
        <v>0</v>
      </c>
      <c r="L1594">
        <v>182</v>
      </c>
      <c r="M1594">
        <v>261</v>
      </c>
      <c r="N1594" t="s">
        <v>28</v>
      </c>
      <c r="O1594" s="3">
        <v>44727</v>
      </c>
      <c r="P1594">
        <v>-1</v>
      </c>
      <c r="T1594" t="s">
        <v>48</v>
      </c>
      <c r="U1594">
        <v>76</v>
      </c>
      <c r="V1594">
        <v>32.475000000000001</v>
      </c>
    </row>
    <row r="1595" spans="1:22" x14ac:dyDescent="0.35">
      <c r="A1595" s="3">
        <v>44466</v>
      </c>
      <c r="B1595" t="s">
        <v>31</v>
      </c>
      <c r="C1595">
        <v>0</v>
      </c>
      <c r="D1595">
        <v>0</v>
      </c>
      <c r="E1595">
        <v>0</v>
      </c>
      <c r="F1595">
        <v>0</v>
      </c>
      <c r="G1595">
        <v>24.642199999999999</v>
      </c>
      <c r="H1595">
        <v>0</v>
      </c>
      <c r="I1595">
        <v>0</v>
      </c>
      <c r="J1595">
        <v>0</v>
      </c>
      <c r="K1595">
        <v>0</v>
      </c>
      <c r="L1595">
        <v>117</v>
      </c>
      <c r="M1595">
        <v>169</v>
      </c>
      <c r="N1595" t="s">
        <v>31</v>
      </c>
      <c r="O1595" s="3">
        <v>44635</v>
      </c>
      <c r="P1595">
        <v>-1</v>
      </c>
      <c r="T1595" t="s">
        <v>47</v>
      </c>
      <c r="U1595">
        <v>96</v>
      </c>
      <c r="V1595">
        <v>30.024999999999999</v>
      </c>
    </row>
    <row r="1596" spans="1:22" x14ac:dyDescent="0.35">
      <c r="A1596" s="3">
        <v>44466</v>
      </c>
      <c r="B1596" t="s">
        <v>32</v>
      </c>
      <c r="C1596">
        <v>0</v>
      </c>
      <c r="D1596">
        <v>0</v>
      </c>
      <c r="E1596">
        <v>0</v>
      </c>
      <c r="F1596">
        <v>0</v>
      </c>
      <c r="G1596">
        <v>24.0502</v>
      </c>
      <c r="H1596">
        <v>0</v>
      </c>
      <c r="I1596">
        <v>0</v>
      </c>
      <c r="J1596">
        <v>0</v>
      </c>
      <c r="K1596">
        <v>0</v>
      </c>
      <c r="L1596">
        <v>99</v>
      </c>
      <c r="M1596">
        <v>142</v>
      </c>
      <c r="N1596" t="s">
        <v>32</v>
      </c>
      <c r="O1596" s="3">
        <v>44608</v>
      </c>
      <c r="P1596">
        <v>-1</v>
      </c>
      <c r="T1596" t="s">
        <v>46</v>
      </c>
      <c r="U1596">
        <v>115</v>
      </c>
      <c r="V1596">
        <v>28.574999999999999</v>
      </c>
    </row>
    <row r="1597" spans="1:22" x14ac:dyDescent="0.35">
      <c r="A1597" s="3">
        <v>44466</v>
      </c>
      <c r="B1597" t="s">
        <v>30</v>
      </c>
      <c r="C1597">
        <v>0</v>
      </c>
      <c r="D1597">
        <v>0</v>
      </c>
      <c r="E1597">
        <v>0</v>
      </c>
      <c r="F1597">
        <v>0</v>
      </c>
      <c r="G1597">
        <v>24.807500000000001</v>
      </c>
      <c r="H1597">
        <v>0</v>
      </c>
      <c r="I1597">
        <v>0</v>
      </c>
      <c r="J1597">
        <v>0</v>
      </c>
      <c r="K1597">
        <v>0</v>
      </c>
      <c r="L1597">
        <v>143</v>
      </c>
      <c r="M1597">
        <v>205</v>
      </c>
      <c r="N1597" t="s">
        <v>30</v>
      </c>
      <c r="O1597" s="3">
        <v>44671</v>
      </c>
      <c r="P1597">
        <v>-1</v>
      </c>
      <c r="S1597" s="3">
        <v>44019</v>
      </c>
      <c r="T1597" t="s">
        <v>45</v>
      </c>
      <c r="U1597">
        <v>136</v>
      </c>
      <c r="V1597">
        <v>29.35</v>
      </c>
    </row>
    <row r="1598" spans="1:22" x14ac:dyDescent="0.35">
      <c r="A1598" s="3">
        <v>44466</v>
      </c>
      <c r="B1598" t="s">
        <v>36</v>
      </c>
      <c r="C1598">
        <v>0</v>
      </c>
      <c r="D1598">
        <v>0</v>
      </c>
      <c r="E1598">
        <v>0</v>
      </c>
      <c r="F1598">
        <v>0</v>
      </c>
      <c r="G1598">
        <v>20.1083</v>
      </c>
      <c r="H1598">
        <v>0</v>
      </c>
      <c r="I1598">
        <v>0</v>
      </c>
      <c r="J1598">
        <v>0</v>
      </c>
      <c r="K1598">
        <v>0</v>
      </c>
      <c r="L1598">
        <v>17</v>
      </c>
      <c r="M1598">
        <v>23</v>
      </c>
      <c r="N1598" t="s">
        <v>36</v>
      </c>
      <c r="O1598" s="3">
        <v>44489</v>
      </c>
      <c r="P1598">
        <v>-1</v>
      </c>
      <c r="T1598" t="s">
        <v>44</v>
      </c>
      <c r="U1598">
        <v>155</v>
      </c>
      <c r="V1598">
        <v>29.125</v>
      </c>
    </row>
    <row r="1599" spans="1:22" x14ac:dyDescent="0.35">
      <c r="A1599" s="3">
        <v>44466</v>
      </c>
      <c r="B1599" t="s">
        <v>33</v>
      </c>
      <c r="C1599">
        <v>0</v>
      </c>
      <c r="D1599">
        <v>0</v>
      </c>
      <c r="E1599">
        <v>0</v>
      </c>
      <c r="F1599">
        <v>0</v>
      </c>
      <c r="G1599">
        <v>23.441800000000001</v>
      </c>
      <c r="H1599">
        <v>0</v>
      </c>
      <c r="I1599">
        <v>0</v>
      </c>
      <c r="J1599">
        <v>0</v>
      </c>
      <c r="K1599">
        <v>0</v>
      </c>
      <c r="L1599">
        <v>79</v>
      </c>
      <c r="M1599">
        <v>114</v>
      </c>
      <c r="N1599" t="s">
        <v>33</v>
      </c>
      <c r="O1599" s="3">
        <v>44580</v>
      </c>
      <c r="P1599">
        <v>-1</v>
      </c>
      <c r="T1599" t="s">
        <v>51</v>
      </c>
      <c r="U1599">
        <v>11</v>
      </c>
      <c r="V1599">
        <v>30.574999999999999</v>
      </c>
    </row>
    <row r="1600" spans="1:22" x14ac:dyDescent="0.35">
      <c r="A1600" s="3">
        <v>44463</v>
      </c>
      <c r="B1600" t="s">
        <v>32</v>
      </c>
      <c r="C1600">
        <v>0</v>
      </c>
      <c r="D1600">
        <v>0</v>
      </c>
      <c r="E1600">
        <v>0</v>
      </c>
      <c r="F1600">
        <v>0</v>
      </c>
      <c r="G1600">
        <v>23.997599999999998</v>
      </c>
      <c r="H1600">
        <v>0</v>
      </c>
      <c r="I1600">
        <v>0</v>
      </c>
      <c r="J1600">
        <v>0</v>
      </c>
      <c r="K1600">
        <v>0</v>
      </c>
      <c r="L1600">
        <v>100</v>
      </c>
      <c r="M1600">
        <v>145</v>
      </c>
      <c r="N1600" t="s">
        <v>32</v>
      </c>
      <c r="O1600" s="3">
        <v>44608</v>
      </c>
      <c r="P1600">
        <v>-1</v>
      </c>
      <c r="T1600" t="s">
        <v>50</v>
      </c>
      <c r="U1600">
        <v>31</v>
      </c>
      <c r="V1600">
        <v>31.125</v>
      </c>
    </row>
    <row r="1601" spans="1:22" x14ac:dyDescent="0.35">
      <c r="A1601" s="3">
        <v>44463</v>
      </c>
      <c r="B1601" t="s">
        <v>30</v>
      </c>
      <c r="C1601">
        <v>0</v>
      </c>
      <c r="D1601">
        <v>0</v>
      </c>
      <c r="E1601">
        <v>0</v>
      </c>
      <c r="F1601">
        <v>0</v>
      </c>
      <c r="G1601">
        <v>24.741700000000002</v>
      </c>
      <c r="H1601">
        <v>0</v>
      </c>
      <c r="I1601">
        <v>0</v>
      </c>
      <c r="J1601">
        <v>0</v>
      </c>
      <c r="K1601">
        <v>0</v>
      </c>
      <c r="L1601">
        <v>144</v>
      </c>
      <c r="M1601">
        <v>208</v>
      </c>
      <c r="N1601" t="s">
        <v>30</v>
      </c>
      <c r="O1601" s="3">
        <v>44671</v>
      </c>
      <c r="P1601">
        <v>-1</v>
      </c>
      <c r="T1601" t="s">
        <v>49</v>
      </c>
      <c r="U1601">
        <v>50</v>
      </c>
      <c r="V1601">
        <v>31.024999999999999</v>
      </c>
    </row>
    <row r="1602" spans="1:22" x14ac:dyDescent="0.35">
      <c r="A1602" s="3">
        <v>44463</v>
      </c>
      <c r="B1602" t="s">
        <v>36</v>
      </c>
      <c r="C1602">
        <v>0</v>
      </c>
      <c r="D1602">
        <v>0</v>
      </c>
      <c r="E1602">
        <v>0</v>
      </c>
      <c r="F1602">
        <v>0</v>
      </c>
      <c r="G1602">
        <v>19.818200000000001</v>
      </c>
      <c r="H1602">
        <v>0</v>
      </c>
      <c r="I1602">
        <v>0</v>
      </c>
      <c r="J1602">
        <v>0</v>
      </c>
      <c r="K1602">
        <v>0</v>
      </c>
      <c r="L1602">
        <v>18</v>
      </c>
      <c r="M1602">
        <v>26</v>
      </c>
      <c r="N1602" t="s">
        <v>36</v>
      </c>
      <c r="O1602" s="3">
        <v>44489</v>
      </c>
      <c r="P1602">
        <v>-1</v>
      </c>
      <c r="T1602" t="s">
        <v>48</v>
      </c>
      <c r="U1602">
        <v>75</v>
      </c>
      <c r="V1602">
        <v>33.174999999999997</v>
      </c>
    </row>
    <row r="1603" spans="1:22" x14ac:dyDescent="0.35">
      <c r="A1603" s="3">
        <v>44463</v>
      </c>
      <c r="B1603" t="s">
        <v>33</v>
      </c>
      <c r="C1603">
        <v>0</v>
      </c>
      <c r="D1603">
        <v>0</v>
      </c>
      <c r="E1603">
        <v>0</v>
      </c>
      <c r="F1603">
        <v>0</v>
      </c>
      <c r="G1603">
        <v>23.45</v>
      </c>
      <c r="H1603">
        <v>0</v>
      </c>
      <c r="I1603">
        <v>0</v>
      </c>
      <c r="J1603">
        <v>0</v>
      </c>
      <c r="K1603">
        <v>0</v>
      </c>
      <c r="L1603">
        <v>80</v>
      </c>
      <c r="M1603">
        <v>117</v>
      </c>
      <c r="N1603" t="s">
        <v>33</v>
      </c>
      <c r="O1603" s="3">
        <v>44580</v>
      </c>
      <c r="P1603">
        <v>-1</v>
      </c>
      <c r="T1603" t="s">
        <v>47</v>
      </c>
      <c r="U1603">
        <v>95</v>
      </c>
      <c r="V1603">
        <v>30.774999999999999</v>
      </c>
    </row>
    <row r="1604" spans="1:22" x14ac:dyDescent="0.35">
      <c r="A1604" s="3">
        <v>44463</v>
      </c>
      <c r="B1604" t="s">
        <v>35</v>
      </c>
      <c r="C1604">
        <v>0</v>
      </c>
      <c r="D1604">
        <v>0</v>
      </c>
      <c r="E1604">
        <v>0</v>
      </c>
      <c r="F1604">
        <v>0</v>
      </c>
      <c r="G1604">
        <v>21.647099999999998</v>
      </c>
      <c r="H1604">
        <v>0</v>
      </c>
      <c r="I1604">
        <v>0</v>
      </c>
      <c r="J1604">
        <v>0</v>
      </c>
      <c r="K1604">
        <v>0</v>
      </c>
      <c r="L1604">
        <v>38</v>
      </c>
      <c r="M1604">
        <v>54</v>
      </c>
      <c r="N1604" t="s">
        <v>35</v>
      </c>
      <c r="O1604" s="3">
        <v>44517</v>
      </c>
      <c r="P1604">
        <v>-1</v>
      </c>
      <c r="T1604" t="s">
        <v>46</v>
      </c>
      <c r="U1604">
        <v>114</v>
      </c>
      <c r="V1604">
        <v>29.225000000000001</v>
      </c>
    </row>
    <row r="1605" spans="1:22" x14ac:dyDescent="0.35">
      <c r="A1605" s="3">
        <v>44463</v>
      </c>
      <c r="B1605" t="s">
        <v>29</v>
      </c>
      <c r="C1605">
        <v>0</v>
      </c>
      <c r="D1605">
        <v>0</v>
      </c>
      <c r="E1605">
        <v>0</v>
      </c>
      <c r="F1605">
        <v>0</v>
      </c>
      <c r="G1605">
        <v>24.725000000000001</v>
      </c>
      <c r="H1605">
        <v>0</v>
      </c>
      <c r="I1605">
        <v>0</v>
      </c>
      <c r="J1605">
        <v>0</v>
      </c>
      <c r="K1605">
        <v>0</v>
      </c>
      <c r="L1605">
        <v>164</v>
      </c>
      <c r="M1605">
        <v>236</v>
      </c>
      <c r="N1605" t="s">
        <v>29</v>
      </c>
      <c r="O1605" s="3">
        <v>44699</v>
      </c>
      <c r="P1605">
        <v>-1</v>
      </c>
      <c r="S1605" s="3">
        <v>44020</v>
      </c>
      <c r="T1605" t="s">
        <v>45</v>
      </c>
      <c r="U1605">
        <v>135</v>
      </c>
      <c r="V1605">
        <v>28.824999999999999</v>
      </c>
    </row>
    <row r="1606" spans="1:22" x14ac:dyDescent="0.35">
      <c r="A1606" s="3">
        <v>44463</v>
      </c>
      <c r="B1606" t="s">
        <v>34</v>
      </c>
      <c r="C1606">
        <v>0</v>
      </c>
      <c r="D1606">
        <v>0</v>
      </c>
      <c r="E1606">
        <v>0</v>
      </c>
      <c r="F1606">
        <v>0</v>
      </c>
      <c r="G1606">
        <v>22.408799999999999</v>
      </c>
      <c r="H1606">
        <v>0</v>
      </c>
      <c r="I1606">
        <v>0</v>
      </c>
      <c r="J1606">
        <v>0</v>
      </c>
      <c r="K1606">
        <v>0</v>
      </c>
      <c r="L1606">
        <v>62</v>
      </c>
      <c r="M1606">
        <v>89</v>
      </c>
      <c r="N1606" t="s">
        <v>34</v>
      </c>
      <c r="O1606" s="3">
        <v>44552</v>
      </c>
      <c r="P1606">
        <v>-1</v>
      </c>
      <c r="T1606" t="s">
        <v>44</v>
      </c>
      <c r="U1606">
        <v>154</v>
      </c>
      <c r="V1606">
        <v>28.625</v>
      </c>
    </row>
    <row r="1607" spans="1:22" x14ac:dyDescent="0.35">
      <c r="A1607" s="3">
        <v>44463</v>
      </c>
      <c r="B1607" t="s">
        <v>28</v>
      </c>
      <c r="C1607">
        <v>0</v>
      </c>
      <c r="D1607">
        <v>0</v>
      </c>
      <c r="E1607">
        <v>0</v>
      </c>
      <c r="F1607">
        <v>0</v>
      </c>
      <c r="G1607">
        <v>24.725000000000001</v>
      </c>
      <c r="H1607">
        <v>0</v>
      </c>
      <c r="I1607">
        <v>0</v>
      </c>
      <c r="J1607">
        <v>0</v>
      </c>
      <c r="K1607">
        <v>0</v>
      </c>
      <c r="L1607">
        <v>183</v>
      </c>
      <c r="M1607">
        <v>264</v>
      </c>
      <c r="N1607" t="s">
        <v>28</v>
      </c>
      <c r="O1607" s="3">
        <v>44727</v>
      </c>
      <c r="P1607">
        <v>-1</v>
      </c>
      <c r="T1607" t="s">
        <v>51</v>
      </c>
      <c r="U1607">
        <v>10</v>
      </c>
      <c r="V1607">
        <v>29.524999999999999</v>
      </c>
    </row>
    <row r="1608" spans="1:22" x14ac:dyDescent="0.35">
      <c r="A1608" s="3">
        <v>44463</v>
      </c>
      <c r="B1608" t="s">
        <v>31</v>
      </c>
      <c r="C1608">
        <v>0</v>
      </c>
      <c r="D1608">
        <v>0</v>
      </c>
      <c r="E1608">
        <v>0</v>
      </c>
      <c r="F1608">
        <v>0</v>
      </c>
      <c r="G1608">
        <v>24.550599999999999</v>
      </c>
      <c r="H1608">
        <v>0</v>
      </c>
      <c r="I1608">
        <v>0</v>
      </c>
      <c r="J1608">
        <v>0</v>
      </c>
      <c r="K1608">
        <v>0</v>
      </c>
      <c r="L1608">
        <v>118</v>
      </c>
      <c r="M1608">
        <v>172</v>
      </c>
      <c r="N1608" t="s">
        <v>31</v>
      </c>
      <c r="O1608" s="3">
        <v>44635</v>
      </c>
      <c r="P1608">
        <v>-1</v>
      </c>
      <c r="T1608" t="s">
        <v>50</v>
      </c>
      <c r="U1608">
        <v>30</v>
      </c>
      <c r="V1608">
        <v>30.425000000000001</v>
      </c>
    </row>
    <row r="1609" spans="1:22" x14ac:dyDescent="0.35">
      <c r="A1609" s="3">
        <v>44462</v>
      </c>
      <c r="B1609" t="s">
        <v>35</v>
      </c>
      <c r="C1609">
        <v>0</v>
      </c>
      <c r="D1609">
        <v>0</v>
      </c>
      <c r="E1609">
        <v>0</v>
      </c>
      <c r="F1609">
        <v>0</v>
      </c>
      <c r="G1609">
        <v>22.2012</v>
      </c>
      <c r="H1609">
        <v>0</v>
      </c>
      <c r="I1609">
        <v>0</v>
      </c>
      <c r="J1609">
        <v>0</v>
      </c>
      <c r="K1609">
        <v>0</v>
      </c>
      <c r="L1609">
        <v>39</v>
      </c>
      <c r="M1609">
        <v>55</v>
      </c>
      <c r="N1609" t="s">
        <v>35</v>
      </c>
      <c r="O1609" s="3">
        <v>44517</v>
      </c>
      <c r="P1609">
        <v>-1</v>
      </c>
      <c r="T1609" t="s">
        <v>49</v>
      </c>
      <c r="U1609">
        <v>49</v>
      </c>
      <c r="V1609">
        <v>30.524999999999999</v>
      </c>
    </row>
    <row r="1610" spans="1:22" x14ac:dyDescent="0.35">
      <c r="A1610" s="3">
        <v>44462</v>
      </c>
      <c r="B1610" t="s">
        <v>29</v>
      </c>
      <c r="C1610">
        <v>0</v>
      </c>
      <c r="D1610">
        <v>0</v>
      </c>
      <c r="E1610">
        <v>0</v>
      </c>
      <c r="F1610">
        <v>0</v>
      </c>
      <c r="G1610">
        <v>24.8</v>
      </c>
      <c r="H1610">
        <v>0</v>
      </c>
      <c r="I1610">
        <v>0</v>
      </c>
      <c r="J1610">
        <v>0</v>
      </c>
      <c r="K1610">
        <v>0</v>
      </c>
      <c r="L1610">
        <v>165</v>
      </c>
      <c r="M1610">
        <v>237</v>
      </c>
      <c r="N1610" t="s">
        <v>29</v>
      </c>
      <c r="O1610" s="3">
        <v>44699</v>
      </c>
      <c r="P1610">
        <v>-1</v>
      </c>
      <c r="T1610" t="s">
        <v>48</v>
      </c>
      <c r="U1610">
        <v>74</v>
      </c>
      <c r="V1610">
        <v>32.575000000000003</v>
      </c>
    </row>
    <row r="1611" spans="1:22" x14ac:dyDescent="0.35">
      <c r="A1611" s="3">
        <v>44462</v>
      </c>
      <c r="B1611" t="s">
        <v>34</v>
      </c>
      <c r="C1611">
        <v>0</v>
      </c>
      <c r="D1611">
        <v>0</v>
      </c>
      <c r="E1611">
        <v>0</v>
      </c>
      <c r="F1611">
        <v>0</v>
      </c>
      <c r="G1611">
        <v>22.7456</v>
      </c>
      <c r="H1611">
        <v>0</v>
      </c>
      <c r="I1611">
        <v>0</v>
      </c>
      <c r="J1611">
        <v>0</v>
      </c>
      <c r="K1611">
        <v>0</v>
      </c>
      <c r="L1611">
        <v>63</v>
      </c>
      <c r="M1611">
        <v>90</v>
      </c>
      <c r="N1611" t="s">
        <v>34</v>
      </c>
      <c r="O1611" s="3">
        <v>44552</v>
      </c>
      <c r="P1611">
        <v>-1</v>
      </c>
      <c r="T1611" t="s">
        <v>47</v>
      </c>
      <c r="U1611">
        <v>94</v>
      </c>
      <c r="V1611">
        <v>30.225000000000001</v>
      </c>
    </row>
    <row r="1612" spans="1:22" x14ac:dyDescent="0.35">
      <c r="A1612" s="3">
        <v>44462</v>
      </c>
      <c r="B1612" t="s">
        <v>28</v>
      </c>
      <c r="C1612">
        <v>0</v>
      </c>
      <c r="D1612">
        <v>0</v>
      </c>
      <c r="E1612">
        <v>0</v>
      </c>
      <c r="F1612">
        <v>0</v>
      </c>
      <c r="G1612">
        <v>24.675000000000001</v>
      </c>
      <c r="H1612">
        <v>0</v>
      </c>
      <c r="I1612">
        <v>0</v>
      </c>
      <c r="J1612">
        <v>0</v>
      </c>
      <c r="K1612">
        <v>0</v>
      </c>
      <c r="L1612">
        <v>184</v>
      </c>
      <c r="M1612">
        <v>265</v>
      </c>
      <c r="N1612" t="s">
        <v>28</v>
      </c>
      <c r="O1612" s="3">
        <v>44727</v>
      </c>
      <c r="P1612">
        <v>-1</v>
      </c>
      <c r="T1612" t="s">
        <v>46</v>
      </c>
      <c r="U1612">
        <v>113</v>
      </c>
      <c r="V1612">
        <v>28.675000000000001</v>
      </c>
    </row>
    <row r="1613" spans="1:22" x14ac:dyDescent="0.35">
      <c r="A1613" s="3">
        <v>44462</v>
      </c>
      <c r="B1613" t="s">
        <v>31</v>
      </c>
      <c r="C1613">
        <v>0</v>
      </c>
      <c r="D1613">
        <v>0</v>
      </c>
      <c r="E1613">
        <v>0</v>
      </c>
      <c r="F1613">
        <v>0</v>
      </c>
      <c r="G1613">
        <v>24.6601</v>
      </c>
      <c r="H1613">
        <v>0</v>
      </c>
      <c r="I1613">
        <v>0</v>
      </c>
      <c r="J1613">
        <v>0</v>
      </c>
      <c r="K1613">
        <v>0</v>
      </c>
      <c r="L1613">
        <v>119</v>
      </c>
      <c r="M1613">
        <v>173</v>
      </c>
      <c r="N1613" t="s">
        <v>31</v>
      </c>
      <c r="O1613" s="3">
        <v>44635</v>
      </c>
      <c r="P1613">
        <v>-1</v>
      </c>
      <c r="S1613" s="3">
        <v>44021</v>
      </c>
      <c r="T1613" t="s">
        <v>45</v>
      </c>
      <c r="U1613">
        <v>134</v>
      </c>
      <c r="V1613">
        <v>29.324999999999999</v>
      </c>
    </row>
    <row r="1614" spans="1:22" x14ac:dyDescent="0.35">
      <c r="A1614" s="3">
        <v>44462</v>
      </c>
      <c r="B1614" t="s">
        <v>32</v>
      </c>
      <c r="C1614">
        <v>0</v>
      </c>
      <c r="D1614">
        <v>0</v>
      </c>
      <c r="E1614">
        <v>0</v>
      </c>
      <c r="F1614">
        <v>0</v>
      </c>
      <c r="G1614">
        <v>24.142299999999999</v>
      </c>
      <c r="H1614">
        <v>0</v>
      </c>
      <c r="I1614">
        <v>0</v>
      </c>
      <c r="J1614">
        <v>0</v>
      </c>
      <c r="K1614">
        <v>0</v>
      </c>
      <c r="L1614">
        <v>101</v>
      </c>
      <c r="M1614">
        <v>146</v>
      </c>
      <c r="N1614" t="s">
        <v>32</v>
      </c>
      <c r="O1614" s="3">
        <v>44608</v>
      </c>
      <c r="P1614">
        <v>-1</v>
      </c>
      <c r="T1614" t="s">
        <v>44</v>
      </c>
      <c r="U1614">
        <v>153</v>
      </c>
      <c r="V1614">
        <v>29.1</v>
      </c>
    </row>
    <row r="1615" spans="1:22" x14ac:dyDescent="0.35">
      <c r="A1615" s="3">
        <v>44462</v>
      </c>
      <c r="B1615" t="s">
        <v>30</v>
      </c>
      <c r="C1615">
        <v>0</v>
      </c>
      <c r="D1615">
        <v>0</v>
      </c>
      <c r="E1615">
        <v>0</v>
      </c>
      <c r="F1615">
        <v>0</v>
      </c>
      <c r="G1615">
        <v>24.8794</v>
      </c>
      <c r="H1615">
        <v>0</v>
      </c>
      <c r="I1615">
        <v>0</v>
      </c>
      <c r="J1615">
        <v>0</v>
      </c>
      <c r="K1615">
        <v>0</v>
      </c>
      <c r="L1615">
        <v>145</v>
      </c>
      <c r="M1615">
        <v>209</v>
      </c>
      <c r="N1615" t="s">
        <v>30</v>
      </c>
      <c r="O1615" s="3">
        <v>44671</v>
      </c>
      <c r="P1615">
        <v>-1</v>
      </c>
      <c r="T1615" t="s">
        <v>51</v>
      </c>
      <c r="U1615">
        <v>9</v>
      </c>
      <c r="V1615">
        <v>30.225000000000001</v>
      </c>
    </row>
    <row r="1616" spans="1:22" x14ac:dyDescent="0.35">
      <c r="A1616" s="3">
        <v>44462</v>
      </c>
      <c r="B1616" t="s">
        <v>36</v>
      </c>
      <c r="C1616">
        <v>0</v>
      </c>
      <c r="D1616">
        <v>0</v>
      </c>
      <c r="E1616">
        <v>0</v>
      </c>
      <c r="F1616">
        <v>0</v>
      </c>
      <c r="G1616">
        <v>20.599599999999999</v>
      </c>
      <c r="H1616">
        <v>0</v>
      </c>
      <c r="I1616">
        <v>0</v>
      </c>
      <c r="J1616">
        <v>0</v>
      </c>
      <c r="K1616">
        <v>0</v>
      </c>
      <c r="L1616">
        <v>19</v>
      </c>
      <c r="M1616">
        <v>27</v>
      </c>
      <c r="N1616" t="s">
        <v>36</v>
      </c>
      <c r="O1616" s="3">
        <v>44489</v>
      </c>
      <c r="P1616">
        <v>-1</v>
      </c>
      <c r="T1616" t="s">
        <v>50</v>
      </c>
      <c r="U1616">
        <v>29</v>
      </c>
      <c r="V1616">
        <v>31.225000000000001</v>
      </c>
    </row>
    <row r="1617" spans="1:22" x14ac:dyDescent="0.35">
      <c r="A1617" s="3">
        <v>44462</v>
      </c>
      <c r="B1617" t="s">
        <v>33</v>
      </c>
      <c r="C1617">
        <v>0</v>
      </c>
      <c r="D1617">
        <v>0</v>
      </c>
      <c r="E1617">
        <v>0</v>
      </c>
      <c r="F1617">
        <v>0</v>
      </c>
      <c r="G1617">
        <v>23.6541</v>
      </c>
      <c r="H1617">
        <v>0</v>
      </c>
      <c r="I1617">
        <v>0</v>
      </c>
      <c r="J1617">
        <v>0</v>
      </c>
      <c r="K1617">
        <v>0</v>
      </c>
      <c r="L1617">
        <v>81</v>
      </c>
      <c r="M1617">
        <v>118</v>
      </c>
      <c r="N1617" t="s">
        <v>33</v>
      </c>
      <c r="O1617" s="3">
        <v>44580</v>
      </c>
      <c r="P1617">
        <v>-1</v>
      </c>
      <c r="T1617" t="s">
        <v>49</v>
      </c>
      <c r="U1617">
        <v>48</v>
      </c>
      <c r="V1617">
        <v>31.4</v>
      </c>
    </row>
    <row r="1618" spans="1:22" x14ac:dyDescent="0.35">
      <c r="A1618" s="3">
        <v>44461</v>
      </c>
      <c r="B1618" t="s">
        <v>32</v>
      </c>
      <c r="C1618">
        <v>0</v>
      </c>
      <c r="D1618">
        <v>0</v>
      </c>
      <c r="E1618">
        <v>0</v>
      </c>
      <c r="F1618">
        <v>0</v>
      </c>
      <c r="G1618">
        <v>24.698699999999999</v>
      </c>
      <c r="H1618">
        <v>0</v>
      </c>
      <c r="I1618">
        <v>0</v>
      </c>
      <c r="J1618">
        <v>0</v>
      </c>
      <c r="K1618">
        <v>0</v>
      </c>
      <c r="L1618">
        <v>102</v>
      </c>
      <c r="M1618">
        <v>147</v>
      </c>
      <c r="N1618" t="s">
        <v>32</v>
      </c>
      <c r="O1618" s="3">
        <v>44608</v>
      </c>
      <c r="P1618">
        <v>-1</v>
      </c>
      <c r="T1618" t="s">
        <v>48</v>
      </c>
      <c r="U1618">
        <v>73</v>
      </c>
      <c r="V1618">
        <v>33.200000000000003</v>
      </c>
    </row>
    <row r="1619" spans="1:22" x14ac:dyDescent="0.35">
      <c r="A1619" s="3">
        <v>44461</v>
      </c>
      <c r="B1619" t="s">
        <v>30</v>
      </c>
      <c r="C1619">
        <v>0</v>
      </c>
      <c r="D1619">
        <v>0</v>
      </c>
      <c r="E1619">
        <v>0</v>
      </c>
      <c r="F1619">
        <v>0</v>
      </c>
      <c r="G1619">
        <v>25.2563</v>
      </c>
      <c r="H1619">
        <v>0</v>
      </c>
      <c r="I1619">
        <v>0</v>
      </c>
      <c r="J1619">
        <v>0</v>
      </c>
      <c r="K1619">
        <v>0</v>
      </c>
      <c r="L1619">
        <v>146</v>
      </c>
      <c r="M1619">
        <v>210</v>
      </c>
      <c r="N1619" t="s">
        <v>30</v>
      </c>
      <c r="O1619" s="3">
        <v>44671</v>
      </c>
      <c r="P1619">
        <v>-1</v>
      </c>
      <c r="T1619" t="s">
        <v>47</v>
      </c>
      <c r="U1619">
        <v>93</v>
      </c>
      <c r="V1619">
        <v>30.774999999999999</v>
      </c>
    </row>
    <row r="1620" spans="1:22" x14ac:dyDescent="0.35">
      <c r="A1620" s="3">
        <v>44461</v>
      </c>
      <c r="B1620" t="s">
        <v>36</v>
      </c>
      <c r="C1620">
        <v>0</v>
      </c>
      <c r="D1620">
        <v>0</v>
      </c>
      <c r="E1620">
        <v>0</v>
      </c>
      <c r="F1620">
        <v>0</v>
      </c>
      <c r="G1620">
        <v>22.099399999999999</v>
      </c>
      <c r="H1620">
        <v>0</v>
      </c>
      <c r="I1620">
        <v>0</v>
      </c>
      <c r="J1620">
        <v>0</v>
      </c>
      <c r="K1620">
        <v>0</v>
      </c>
      <c r="L1620">
        <v>20</v>
      </c>
      <c r="M1620">
        <v>28</v>
      </c>
      <c r="N1620" t="s">
        <v>36</v>
      </c>
      <c r="O1620" s="3">
        <v>44489</v>
      </c>
      <c r="P1620">
        <v>-1</v>
      </c>
      <c r="T1620" t="s">
        <v>46</v>
      </c>
      <c r="U1620">
        <v>112</v>
      </c>
      <c r="V1620">
        <v>29.175000000000001</v>
      </c>
    </row>
    <row r="1621" spans="1:22" x14ac:dyDescent="0.35">
      <c r="A1621" s="3">
        <v>44461</v>
      </c>
      <c r="B1621" t="s">
        <v>33</v>
      </c>
      <c r="C1621">
        <v>0</v>
      </c>
      <c r="D1621">
        <v>0</v>
      </c>
      <c r="E1621">
        <v>0</v>
      </c>
      <c r="F1621">
        <v>0</v>
      </c>
      <c r="G1621">
        <v>24.3399</v>
      </c>
      <c r="H1621">
        <v>0</v>
      </c>
      <c r="I1621">
        <v>0</v>
      </c>
      <c r="J1621">
        <v>0</v>
      </c>
      <c r="K1621">
        <v>0</v>
      </c>
      <c r="L1621">
        <v>82</v>
      </c>
      <c r="M1621">
        <v>119</v>
      </c>
      <c r="N1621" t="s">
        <v>33</v>
      </c>
      <c r="O1621" s="3">
        <v>44580</v>
      </c>
      <c r="P1621">
        <v>-1</v>
      </c>
      <c r="S1621" s="3">
        <v>44022</v>
      </c>
      <c r="T1621" t="s">
        <v>45</v>
      </c>
      <c r="U1621">
        <v>133</v>
      </c>
      <c r="V1621">
        <v>28.975000000000001</v>
      </c>
    </row>
    <row r="1622" spans="1:22" x14ac:dyDescent="0.35">
      <c r="A1622" s="3">
        <v>44461</v>
      </c>
      <c r="B1622" t="s">
        <v>35</v>
      </c>
      <c r="C1622">
        <v>0</v>
      </c>
      <c r="D1622">
        <v>0</v>
      </c>
      <c r="E1622">
        <v>0</v>
      </c>
      <c r="F1622">
        <v>0</v>
      </c>
      <c r="G1622">
        <v>23.134699999999999</v>
      </c>
      <c r="H1622">
        <v>0</v>
      </c>
      <c r="I1622">
        <v>0</v>
      </c>
      <c r="J1622">
        <v>0</v>
      </c>
      <c r="K1622">
        <v>0</v>
      </c>
      <c r="L1622">
        <v>40</v>
      </c>
      <c r="M1622">
        <v>56</v>
      </c>
      <c r="N1622" t="s">
        <v>35</v>
      </c>
      <c r="O1622" s="3">
        <v>44517</v>
      </c>
      <c r="P1622">
        <v>-1</v>
      </c>
      <c r="T1622" t="s">
        <v>44</v>
      </c>
      <c r="U1622">
        <v>152</v>
      </c>
      <c r="V1622">
        <v>28.675000000000001</v>
      </c>
    </row>
    <row r="1623" spans="1:22" x14ac:dyDescent="0.35">
      <c r="A1623" s="3">
        <v>44461</v>
      </c>
      <c r="B1623" t="s">
        <v>29</v>
      </c>
      <c r="C1623">
        <v>0</v>
      </c>
      <c r="D1623">
        <v>0</v>
      </c>
      <c r="E1623">
        <v>0</v>
      </c>
      <c r="F1623">
        <v>0</v>
      </c>
      <c r="G1623">
        <v>25.15</v>
      </c>
      <c r="H1623">
        <v>0</v>
      </c>
      <c r="I1623">
        <v>0</v>
      </c>
      <c r="J1623">
        <v>0</v>
      </c>
      <c r="K1623">
        <v>0</v>
      </c>
      <c r="L1623">
        <v>166</v>
      </c>
      <c r="M1623">
        <v>238</v>
      </c>
      <c r="N1623" t="s">
        <v>29</v>
      </c>
      <c r="O1623" s="3">
        <v>44699</v>
      </c>
      <c r="P1623">
        <v>-1</v>
      </c>
      <c r="T1623" t="s">
        <v>51</v>
      </c>
      <c r="U1623">
        <v>8</v>
      </c>
      <c r="V1623">
        <v>28.774999999999999</v>
      </c>
    </row>
    <row r="1624" spans="1:22" x14ac:dyDescent="0.35">
      <c r="A1624" s="3">
        <v>44461</v>
      </c>
      <c r="B1624" t="s">
        <v>34</v>
      </c>
      <c r="C1624">
        <v>0</v>
      </c>
      <c r="D1624">
        <v>0</v>
      </c>
      <c r="E1624">
        <v>0</v>
      </c>
      <c r="F1624">
        <v>0</v>
      </c>
      <c r="G1624">
        <v>23.538699999999999</v>
      </c>
      <c r="H1624">
        <v>0</v>
      </c>
      <c r="I1624">
        <v>0</v>
      </c>
      <c r="J1624">
        <v>0</v>
      </c>
      <c r="K1624">
        <v>0</v>
      </c>
      <c r="L1624">
        <v>64</v>
      </c>
      <c r="M1624">
        <v>91</v>
      </c>
      <c r="N1624" t="s">
        <v>34</v>
      </c>
      <c r="O1624" s="3">
        <v>44552</v>
      </c>
      <c r="P1624">
        <v>-1</v>
      </c>
      <c r="T1624" t="s">
        <v>50</v>
      </c>
      <c r="U1624">
        <v>28</v>
      </c>
      <c r="V1624">
        <v>30.324999999999999</v>
      </c>
    </row>
    <row r="1625" spans="1:22" x14ac:dyDescent="0.35">
      <c r="A1625" s="3">
        <v>44461</v>
      </c>
      <c r="B1625" t="s">
        <v>28</v>
      </c>
      <c r="C1625">
        <v>0</v>
      </c>
      <c r="D1625">
        <v>0</v>
      </c>
      <c r="E1625">
        <v>0</v>
      </c>
      <c r="F1625">
        <v>0</v>
      </c>
      <c r="G1625">
        <v>25.05</v>
      </c>
      <c r="H1625">
        <v>0</v>
      </c>
      <c r="I1625">
        <v>0</v>
      </c>
      <c r="J1625">
        <v>0</v>
      </c>
      <c r="K1625">
        <v>0</v>
      </c>
      <c r="L1625">
        <v>185</v>
      </c>
      <c r="M1625">
        <v>266</v>
      </c>
      <c r="N1625" t="s">
        <v>28</v>
      </c>
      <c r="O1625" s="3">
        <v>44727</v>
      </c>
      <c r="P1625">
        <v>-1</v>
      </c>
      <c r="T1625" t="s">
        <v>49</v>
      </c>
      <c r="U1625">
        <v>47</v>
      </c>
      <c r="V1625">
        <v>30.875</v>
      </c>
    </row>
    <row r="1626" spans="1:22" x14ac:dyDescent="0.35">
      <c r="A1626" s="3">
        <v>44461</v>
      </c>
      <c r="B1626" t="s">
        <v>31</v>
      </c>
      <c r="C1626">
        <v>0</v>
      </c>
      <c r="D1626">
        <v>0</v>
      </c>
      <c r="E1626">
        <v>0</v>
      </c>
      <c r="F1626">
        <v>0</v>
      </c>
      <c r="G1626">
        <v>25.092700000000001</v>
      </c>
      <c r="H1626">
        <v>0</v>
      </c>
      <c r="I1626">
        <v>0</v>
      </c>
      <c r="J1626">
        <v>0</v>
      </c>
      <c r="K1626">
        <v>0</v>
      </c>
      <c r="L1626">
        <v>120</v>
      </c>
      <c r="M1626">
        <v>174</v>
      </c>
      <c r="N1626" t="s">
        <v>31</v>
      </c>
      <c r="O1626" s="3">
        <v>44635</v>
      </c>
      <c r="P1626">
        <v>-1</v>
      </c>
      <c r="T1626" t="s">
        <v>48</v>
      </c>
      <c r="U1626">
        <v>72</v>
      </c>
      <c r="V1626">
        <v>32.774999999999999</v>
      </c>
    </row>
    <row r="1627" spans="1:22" x14ac:dyDescent="0.35">
      <c r="A1627" s="3">
        <v>44460</v>
      </c>
      <c r="B1627" t="s">
        <v>35</v>
      </c>
      <c r="C1627">
        <v>0</v>
      </c>
      <c r="D1627">
        <v>0</v>
      </c>
      <c r="E1627">
        <v>0</v>
      </c>
      <c r="F1627">
        <v>0</v>
      </c>
      <c r="G1627">
        <v>24.115400000000001</v>
      </c>
      <c r="H1627">
        <v>0</v>
      </c>
      <c r="I1627">
        <v>0</v>
      </c>
      <c r="J1627">
        <v>0</v>
      </c>
      <c r="K1627">
        <v>0</v>
      </c>
      <c r="L1627">
        <v>41</v>
      </c>
      <c r="M1627">
        <v>57</v>
      </c>
      <c r="N1627" t="s">
        <v>35</v>
      </c>
      <c r="O1627" s="3">
        <v>44517</v>
      </c>
      <c r="P1627">
        <v>-1</v>
      </c>
      <c r="T1627" t="s">
        <v>47</v>
      </c>
      <c r="U1627">
        <v>92</v>
      </c>
      <c r="V1627">
        <v>30.524999999999999</v>
      </c>
    </row>
    <row r="1628" spans="1:22" x14ac:dyDescent="0.35">
      <c r="A1628" s="3">
        <v>44460</v>
      </c>
      <c r="B1628" t="s">
        <v>29</v>
      </c>
      <c r="C1628">
        <v>0</v>
      </c>
      <c r="D1628">
        <v>0</v>
      </c>
      <c r="E1628">
        <v>0</v>
      </c>
      <c r="F1628">
        <v>0</v>
      </c>
      <c r="G1628">
        <v>25.625</v>
      </c>
      <c r="H1628">
        <v>0</v>
      </c>
      <c r="I1628">
        <v>0</v>
      </c>
      <c r="J1628">
        <v>0</v>
      </c>
      <c r="K1628">
        <v>0</v>
      </c>
      <c r="L1628">
        <v>167</v>
      </c>
      <c r="M1628">
        <v>239</v>
      </c>
      <c r="N1628" t="s">
        <v>29</v>
      </c>
      <c r="O1628" s="3">
        <v>44699</v>
      </c>
      <c r="P1628">
        <v>-1</v>
      </c>
      <c r="T1628" t="s">
        <v>46</v>
      </c>
      <c r="U1628">
        <v>111</v>
      </c>
      <c r="V1628">
        <v>28.8</v>
      </c>
    </row>
    <row r="1629" spans="1:22" x14ac:dyDescent="0.35">
      <c r="A1629" s="3">
        <v>44460</v>
      </c>
      <c r="B1629" t="s">
        <v>34</v>
      </c>
      <c r="C1629">
        <v>0</v>
      </c>
      <c r="D1629">
        <v>0</v>
      </c>
      <c r="E1629">
        <v>0</v>
      </c>
      <c r="F1629">
        <v>0</v>
      </c>
      <c r="G1629">
        <v>24.3827</v>
      </c>
      <c r="H1629">
        <v>0</v>
      </c>
      <c r="I1629">
        <v>0</v>
      </c>
      <c r="J1629">
        <v>0</v>
      </c>
      <c r="K1629">
        <v>0</v>
      </c>
      <c r="L1629">
        <v>65</v>
      </c>
      <c r="M1629">
        <v>92</v>
      </c>
      <c r="N1629" t="s">
        <v>34</v>
      </c>
      <c r="O1629" s="3">
        <v>44552</v>
      </c>
      <c r="P1629">
        <v>-1</v>
      </c>
      <c r="S1629" s="3">
        <v>44025</v>
      </c>
      <c r="T1629" t="s">
        <v>45</v>
      </c>
      <c r="U1629">
        <v>132</v>
      </c>
      <c r="V1629">
        <v>30.65</v>
      </c>
    </row>
    <row r="1630" spans="1:22" x14ac:dyDescent="0.35">
      <c r="A1630" s="3">
        <v>44460</v>
      </c>
      <c r="B1630" t="s">
        <v>28</v>
      </c>
      <c r="C1630">
        <v>0</v>
      </c>
      <c r="D1630">
        <v>0</v>
      </c>
      <c r="E1630">
        <v>0</v>
      </c>
      <c r="F1630">
        <v>0</v>
      </c>
      <c r="G1630">
        <v>25.5</v>
      </c>
      <c r="H1630">
        <v>0</v>
      </c>
      <c r="I1630">
        <v>0</v>
      </c>
      <c r="J1630">
        <v>0</v>
      </c>
      <c r="K1630">
        <v>0</v>
      </c>
      <c r="L1630">
        <v>186</v>
      </c>
      <c r="M1630">
        <v>267</v>
      </c>
      <c r="N1630" t="s">
        <v>28</v>
      </c>
      <c r="O1630" s="3">
        <v>44727</v>
      </c>
      <c r="P1630">
        <v>-1</v>
      </c>
      <c r="T1630" t="s">
        <v>44</v>
      </c>
      <c r="U1630">
        <v>151</v>
      </c>
      <c r="V1630">
        <v>30.225000000000001</v>
      </c>
    </row>
    <row r="1631" spans="1:22" x14ac:dyDescent="0.35">
      <c r="A1631" s="3">
        <v>44460</v>
      </c>
      <c r="B1631" t="s">
        <v>31</v>
      </c>
      <c r="C1631">
        <v>0</v>
      </c>
      <c r="D1631">
        <v>0</v>
      </c>
      <c r="E1631">
        <v>0</v>
      </c>
      <c r="F1631">
        <v>0</v>
      </c>
      <c r="G1631">
        <v>25.548999999999999</v>
      </c>
      <c r="H1631">
        <v>0</v>
      </c>
      <c r="I1631">
        <v>0</v>
      </c>
      <c r="J1631">
        <v>0</v>
      </c>
      <c r="K1631">
        <v>0</v>
      </c>
      <c r="L1631">
        <v>121</v>
      </c>
      <c r="M1631">
        <v>175</v>
      </c>
      <c r="N1631" t="s">
        <v>31</v>
      </c>
      <c r="O1631" s="3">
        <v>44635</v>
      </c>
      <c r="P1631">
        <v>-1</v>
      </c>
      <c r="T1631" t="s">
        <v>51</v>
      </c>
      <c r="U1631">
        <v>7</v>
      </c>
      <c r="V1631">
        <v>31.824999999999999</v>
      </c>
    </row>
    <row r="1632" spans="1:22" x14ac:dyDescent="0.35">
      <c r="A1632" s="3">
        <v>44460</v>
      </c>
      <c r="B1632" t="s">
        <v>32</v>
      </c>
      <c r="C1632">
        <v>0</v>
      </c>
      <c r="D1632">
        <v>0</v>
      </c>
      <c r="E1632">
        <v>0</v>
      </c>
      <c r="F1632">
        <v>0</v>
      </c>
      <c r="G1632">
        <v>25.2</v>
      </c>
      <c r="H1632">
        <v>0</v>
      </c>
      <c r="I1632">
        <v>0</v>
      </c>
      <c r="J1632">
        <v>0</v>
      </c>
      <c r="K1632">
        <v>0</v>
      </c>
      <c r="L1632">
        <v>103</v>
      </c>
      <c r="M1632">
        <v>148</v>
      </c>
      <c r="N1632" t="s">
        <v>32</v>
      </c>
      <c r="O1632" s="3">
        <v>44608</v>
      </c>
      <c r="P1632">
        <v>-1</v>
      </c>
      <c r="T1632" t="s">
        <v>50</v>
      </c>
      <c r="U1632">
        <v>27</v>
      </c>
      <c r="V1632">
        <v>32.975000000000001</v>
      </c>
    </row>
    <row r="1633" spans="1:22" x14ac:dyDescent="0.35">
      <c r="A1633" s="3">
        <v>44460</v>
      </c>
      <c r="B1633" t="s">
        <v>30</v>
      </c>
      <c r="C1633">
        <v>0</v>
      </c>
      <c r="D1633">
        <v>0</v>
      </c>
      <c r="E1633">
        <v>0</v>
      </c>
      <c r="F1633">
        <v>0</v>
      </c>
      <c r="G1633">
        <v>25.6</v>
      </c>
      <c r="H1633">
        <v>0</v>
      </c>
      <c r="I1633">
        <v>0</v>
      </c>
      <c r="J1633">
        <v>0</v>
      </c>
      <c r="K1633">
        <v>0</v>
      </c>
      <c r="L1633">
        <v>147</v>
      </c>
      <c r="M1633">
        <v>211</v>
      </c>
      <c r="N1633" t="s">
        <v>30</v>
      </c>
      <c r="O1633" s="3">
        <v>44671</v>
      </c>
      <c r="P1633">
        <v>-1</v>
      </c>
      <c r="T1633" t="s">
        <v>49</v>
      </c>
      <c r="U1633">
        <v>46</v>
      </c>
      <c r="V1633">
        <v>33.225000000000001</v>
      </c>
    </row>
    <row r="1634" spans="1:22" x14ac:dyDescent="0.35">
      <c r="A1634" s="3">
        <v>44460</v>
      </c>
      <c r="B1634" t="s">
        <v>36</v>
      </c>
      <c r="C1634">
        <v>0</v>
      </c>
      <c r="D1634">
        <v>0</v>
      </c>
      <c r="E1634">
        <v>0</v>
      </c>
      <c r="F1634">
        <v>0</v>
      </c>
      <c r="G1634">
        <v>23.429400000000001</v>
      </c>
      <c r="H1634">
        <v>0</v>
      </c>
      <c r="I1634">
        <v>0</v>
      </c>
      <c r="J1634">
        <v>0</v>
      </c>
      <c r="K1634">
        <v>0</v>
      </c>
      <c r="L1634">
        <v>21</v>
      </c>
      <c r="M1634">
        <v>29</v>
      </c>
      <c r="N1634" t="s">
        <v>36</v>
      </c>
      <c r="O1634" s="3">
        <v>44489</v>
      </c>
      <c r="P1634">
        <v>-1</v>
      </c>
      <c r="T1634" t="s">
        <v>48</v>
      </c>
      <c r="U1634">
        <v>71</v>
      </c>
      <c r="V1634">
        <v>34.875</v>
      </c>
    </row>
    <row r="1635" spans="1:22" x14ac:dyDescent="0.35">
      <c r="A1635" s="3">
        <v>44460</v>
      </c>
      <c r="B1635" t="s">
        <v>33</v>
      </c>
      <c r="C1635">
        <v>0</v>
      </c>
      <c r="D1635">
        <v>0</v>
      </c>
      <c r="E1635">
        <v>0</v>
      </c>
      <c r="F1635">
        <v>0</v>
      </c>
      <c r="G1635">
        <v>24.993200000000002</v>
      </c>
      <c r="H1635">
        <v>0</v>
      </c>
      <c r="I1635">
        <v>0</v>
      </c>
      <c r="J1635">
        <v>0</v>
      </c>
      <c r="K1635">
        <v>0</v>
      </c>
      <c r="L1635">
        <v>83</v>
      </c>
      <c r="M1635">
        <v>120</v>
      </c>
      <c r="N1635" t="s">
        <v>33</v>
      </c>
      <c r="O1635" s="3">
        <v>44580</v>
      </c>
      <c r="P1635">
        <v>-1</v>
      </c>
      <c r="T1635" t="s">
        <v>47</v>
      </c>
      <c r="U1635">
        <v>91</v>
      </c>
      <c r="V1635">
        <v>32.424999999999997</v>
      </c>
    </row>
    <row r="1636" spans="1:22" x14ac:dyDescent="0.35">
      <c r="A1636" s="3">
        <v>44459</v>
      </c>
      <c r="B1636" t="s">
        <v>32</v>
      </c>
      <c r="C1636">
        <v>0</v>
      </c>
      <c r="D1636">
        <v>0</v>
      </c>
      <c r="E1636">
        <v>0</v>
      </c>
      <c r="F1636">
        <v>0</v>
      </c>
      <c r="G1636">
        <v>25.624199999999998</v>
      </c>
      <c r="H1636">
        <v>0</v>
      </c>
      <c r="I1636">
        <v>0</v>
      </c>
      <c r="J1636">
        <v>0</v>
      </c>
      <c r="K1636">
        <v>0</v>
      </c>
      <c r="L1636">
        <v>104</v>
      </c>
      <c r="M1636">
        <v>149</v>
      </c>
      <c r="N1636" t="s">
        <v>32</v>
      </c>
      <c r="O1636" s="3">
        <v>44608</v>
      </c>
      <c r="P1636">
        <v>-1</v>
      </c>
      <c r="T1636" t="s">
        <v>46</v>
      </c>
      <c r="U1636">
        <v>110</v>
      </c>
      <c r="V1636">
        <v>30.625</v>
      </c>
    </row>
    <row r="1637" spans="1:22" x14ac:dyDescent="0.35">
      <c r="A1637" s="3">
        <v>44459</v>
      </c>
      <c r="B1637" t="s">
        <v>30</v>
      </c>
      <c r="C1637">
        <v>0</v>
      </c>
      <c r="D1637">
        <v>0</v>
      </c>
      <c r="E1637">
        <v>0</v>
      </c>
      <c r="F1637">
        <v>0</v>
      </c>
      <c r="G1637">
        <v>26.074999999999999</v>
      </c>
      <c r="H1637">
        <v>0</v>
      </c>
      <c r="I1637">
        <v>0</v>
      </c>
      <c r="J1637">
        <v>0</v>
      </c>
      <c r="K1637">
        <v>0</v>
      </c>
      <c r="L1637">
        <v>148</v>
      </c>
      <c r="M1637">
        <v>212</v>
      </c>
      <c r="N1637" t="s">
        <v>30</v>
      </c>
      <c r="O1637" s="3">
        <v>44671</v>
      </c>
      <c r="P1637">
        <v>-1</v>
      </c>
      <c r="S1637" s="3">
        <v>44026</v>
      </c>
      <c r="T1637" t="s">
        <v>45</v>
      </c>
      <c r="U1637">
        <v>131</v>
      </c>
      <c r="V1637">
        <v>29.524999999999999</v>
      </c>
    </row>
    <row r="1638" spans="1:22" x14ac:dyDescent="0.35">
      <c r="A1638" s="3">
        <v>44459</v>
      </c>
      <c r="B1638" t="s">
        <v>36</v>
      </c>
      <c r="C1638">
        <v>0</v>
      </c>
      <c r="D1638">
        <v>0</v>
      </c>
      <c r="E1638">
        <v>0</v>
      </c>
      <c r="F1638">
        <v>0</v>
      </c>
      <c r="G1638">
        <v>24.462900000000001</v>
      </c>
      <c r="H1638">
        <v>0</v>
      </c>
      <c r="I1638">
        <v>0</v>
      </c>
      <c r="J1638">
        <v>0</v>
      </c>
      <c r="K1638">
        <v>0</v>
      </c>
      <c r="L1638">
        <v>22</v>
      </c>
      <c r="M1638">
        <v>30</v>
      </c>
      <c r="N1638" t="s">
        <v>36</v>
      </c>
      <c r="O1638" s="3">
        <v>44489</v>
      </c>
      <c r="P1638">
        <v>-1</v>
      </c>
      <c r="T1638" t="s">
        <v>44</v>
      </c>
      <c r="U1638">
        <v>150</v>
      </c>
      <c r="V1638">
        <v>29.05</v>
      </c>
    </row>
    <row r="1639" spans="1:22" x14ac:dyDescent="0.35">
      <c r="A1639" s="3">
        <v>44459</v>
      </c>
      <c r="B1639" t="s">
        <v>33</v>
      </c>
      <c r="C1639">
        <v>0</v>
      </c>
      <c r="D1639">
        <v>0</v>
      </c>
      <c r="E1639">
        <v>0</v>
      </c>
      <c r="F1639">
        <v>0</v>
      </c>
      <c r="G1639">
        <v>25.4788</v>
      </c>
      <c r="H1639">
        <v>0</v>
      </c>
      <c r="I1639">
        <v>0</v>
      </c>
      <c r="J1639">
        <v>0</v>
      </c>
      <c r="K1639">
        <v>0</v>
      </c>
      <c r="L1639">
        <v>84</v>
      </c>
      <c r="M1639">
        <v>121</v>
      </c>
      <c r="N1639" t="s">
        <v>33</v>
      </c>
      <c r="O1639" s="3">
        <v>44580</v>
      </c>
      <c r="P1639">
        <v>-1</v>
      </c>
      <c r="T1639" t="s">
        <v>51</v>
      </c>
      <c r="U1639">
        <v>6</v>
      </c>
      <c r="V1639">
        <v>29.625</v>
      </c>
    </row>
    <row r="1640" spans="1:22" x14ac:dyDescent="0.35">
      <c r="A1640" s="3">
        <v>44459</v>
      </c>
      <c r="B1640" t="s">
        <v>35</v>
      </c>
      <c r="C1640">
        <v>0</v>
      </c>
      <c r="D1640">
        <v>0</v>
      </c>
      <c r="E1640">
        <v>0</v>
      </c>
      <c r="F1640">
        <v>0</v>
      </c>
      <c r="G1640">
        <v>24.697500000000002</v>
      </c>
      <c r="H1640">
        <v>0</v>
      </c>
      <c r="I1640">
        <v>0</v>
      </c>
      <c r="J1640">
        <v>0</v>
      </c>
      <c r="K1640">
        <v>0</v>
      </c>
      <c r="L1640">
        <v>42</v>
      </c>
      <c r="M1640">
        <v>58</v>
      </c>
      <c r="N1640" t="s">
        <v>35</v>
      </c>
      <c r="O1640" s="3">
        <v>44517</v>
      </c>
      <c r="P1640">
        <v>-1</v>
      </c>
      <c r="T1640" t="s">
        <v>50</v>
      </c>
      <c r="U1640">
        <v>26</v>
      </c>
      <c r="V1640">
        <v>31.274999999999999</v>
      </c>
    </row>
    <row r="1641" spans="1:22" x14ac:dyDescent="0.35">
      <c r="A1641" s="3">
        <v>44459</v>
      </c>
      <c r="B1641" t="s">
        <v>29</v>
      </c>
      <c r="C1641">
        <v>0</v>
      </c>
      <c r="D1641">
        <v>0</v>
      </c>
      <c r="E1641">
        <v>0</v>
      </c>
      <c r="F1641">
        <v>0</v>
      </c>
      <c r="G1641">
        <v>25.824999999999999</v>
      </c>
      <c r="H1641">
        <v>0</v>
      </c>
      <c r="I1641">
        <v>0</v>
      </c>
      <c r="J1641">
        <v>0</v>
      </c>
      <c r="K1641">
        <v>0</v>
      </c>
      <c r="L1641">
        <v>168</v>
      </c>
      <c r="M1641">
        <v>240</v>
      </c>
      <c r="N1641" t="s">
        <v>29</v>
      </c>
      <c r="O1641" s="3">
        <v>44699</v>
      </c>
      <c r="P1641">
        <v>-1</v>
      </c>
      <c r="T1641" t="s">
        <v>49</v>
      </c>
      <c r="U1641">
        <v>45</v>
      </c>
      <c r="V1641">
        <v>31.675000000000001</v>
      </c>
    </row>
    <row r="1642" spans="1:22" x14ac:dyDescent="0.35">
      <c r="A1642" s="3">
        <v>44459</v>
      </c>
      <c r="B1642" t="s">
        <v>34</v>
      </c>
      <c r="C1642">
        <v>0</v>
      </c>
      <c r="D1642">
        <v>0</v>
      </c>
      <c r="E1642">
        <v>0</v>
      </c>
      <c r="F1642">
        <v>0</v>
      </c>
      <c r="G1642">
        <v>24.8125</v>
      </c>
      <c r="H1642">
        <v>0</v>
      </c>
      <c r="I1642">
        <v>0</v>
      </c>
      <c r="J1642">
        <v>0</v>
      </c>
      <c r="K1642">
        <v>0</v>
      </c>
      <c r="L1642">
        <v>66</v>
      </c>
      <c r="M1642">
        <v>93</v>
      </c>
      <c r="N1642" t="s">
        <v>34</v>
      </c>
      <c r="O1642" s="3">
        <v>44552</v>
      </c>
      <c r="P1642">
        <v>-1</v>
      </c>
      <c r="T1642" t="s">
        <v>48</v>
      </c>
      <c r="U1642">
        <v>70</v>
      </c>
      <c r="V1642">
        <v>33.524999999999999</v>
      </c>
    </row>
    <row r="1643" spans="1:22" x14ac:dyDescent="0.35">
      <c r="A1643" s="3">
        <v>44459</v>
      </c>
      <c r="B1643" t="s">
        <v>28</v>
      </c>
      <c r="C1643">
        <v>0</v>
      </c>
      <c r="D1643">
        <v>0</v>
      </c>
      <c r="E1643">
        <v>0</v>
      </c>
      <c r="F1643">
        <v>0</v>
      </c>
      <c r="G1643">
        <v>25.824999999999999</v>
      </c>
      <c r="H1643">
        <v>0</v>
      </c>
      <c r="I1643">
        <v>0</v>
      </c>
      <c r="J1643">
        <v>0</v>
      </c>
      <c r="K1643">
        <v>0</v>
      </c>
      <c r="L1643">
        <v>187</v>
      </c>
      <c r="M1643">
        <v>268</v>
      </c>
      <c r="N1643" t="s">
        <v>28</v>
      </c>
      <c r="O1643" s="3">
        <v>44727</v>
      </c>
      <c r="P1643">
        <v>-1</v>
      </c>
      <c r="T1643" t="s">
        <v>47</v>
      </c>
      <c r="U1643">
        <v>90</v>
      </c>
      <c r="V1643">
        <v>31.324999999999999</v>
      </c>
    </row>
    <row r="1644" spans="1:22" x14ac:dyDescent="0.35">
      <c r="A1644" s="3">
        <v>44459</v>
      </c>
      <c r="B1644" t="s">
        <v>31</v>
      </c>
      <c r="C1644">
        <v>0</v>
      </c>
      <c r="D1644">
        <v>0</v>
      </c>
      <c r="E1644">
        <v>0</v>
      </c>
      <c r="F1644">
        <v>0</v>
      </c>
      <c r="G1644">
        <v>25.965900000000001</v>
      </c>
      <c r="H1644">
        <v>0</v>
      </c>
      <c r="I1644">
        <v>0</v>
      </c>
      <c r="J1644">
        <v>0</v>
      </c>
      <c r="K1644">
        <v>0</v>
      </c>
      <c r="L1644">
        <v>122</v>
      </c>
      <c r="M1644">
        <v>176</v>
      </c>
      <c r="N1644" t="s">
        <v>31</v>
      </c>
      <c r="O1644" s="3">
        <v>44635</v>
      </c>
      <c r="P1644">
        <v>-1</v>
      </c>
      <c r="T1644" t="s">
        <v>46</v>
      </c>
      <c r="U1644">
        <v>109</v>
      </c>
      <c r="V1644">
        <v>29.524999999999999</v>
      </c>
    </row>
    <row r="1645" spans="1:22" x14ac:dyDescent="0.35">
      <c r="A1645" s="3">
        <v>44456</v>
      </c>
      <c r="B1645" t="s">
        <v>35</v>
      </c>
      <c r="C1645">
        <v>0</v>
      </c>
      <c r="D1645">
        <v>0</v>
      </c>
      <c r="E1645">
        <v>0</v>
      </c>
      <c r="F1645">
        <v>0</v>
      </c>
      <c r="G1645">
        <v>22.948899999999998</v>
      </c>
      <c r="H1645">
        <v>0</v>
      </c>
      <c r="I1645">
        <v>0</v>
      </c>
      <c r="J1645">
        <v>0</v>
      </c>
      <c r="K1645">
        <v>0</v>
      </c>
      <c r="L1645">
        <v>43</v>
      </c>
      <c r="M1645">
        <v>61</v>
      </c>
      <c r="N1645" t="s">
        <v>35</v>
      </c>
      <c r="O1645" s="3">
        <v>44517</v>
      </c>
      <c r="P1645">
        <v>-1</v>
      </c>
      <c r="S1645" s="3">
        <v>44027</v>
      </c>
      <c r="T1645" t="s">
        <v>45</v>
      </c>
      <c r="U1645">
        <v>130</v>
      </c>
      <c r="V1645">
        <v>29.324999999999999</v>
      </c>
    </row>
    <row r="1646" spans="1:22" x14ac:dyDescent="0.35">
      <c r="A1646" s="3">
        <v>44456</v>
      </c>
      <c r="B1646" t="s">
        <v>29</v>
      </c>
      <c r="C1646">
        <v>0</v>
      </c>
      <c r="D1646">
        <v>0</v>
      </c>
      <c r="E1646">
        <v>0</v>
      </c>
      <c r="F1646">
        <v>0</v>
      </c>
      <c r="G1646">
        <v>25.15</v>
      </c>
      <c r="H1646">
        <v>0</v>
      </c>
      <c r="I1646">
        <v>0</v>
      </c>
      <c r="J1646">
        <v>0</v>
      </c>
      <c r="K1646">
        <v>0</v>
      </c>
      <c r="L1646">
        <v>169</v>
      </c>
      <c r="M1646">
        <v>243</v>
      </c>
      <c r="N1646" t="s">
        <v>29</v>
      </c>
      <c r="O1646" s="3">
        <v>44699</v>
      </c>
      <c r="P1646">
        <v>-1</v>
      </c>
      <c r="T1646" t="s">
        <v>44</v>
      </c>
      <c r="U1646">
        <v>149</v>
      </c>
      <c r="V1646">
        <v>28.875</v>
      </c>
    </row>
    <row r="1647" spans="1:22" x14ac:dyDescent="0.35">
      <c r="A1647" s="3">
        <v>44456</v>
      </c>
      <c r="B1647" t="s">
        <v>34</v>
      </c>
      <c r="C1647">
        <v>0</v>
      </c>
      <c r="D1647">
        <v>0</v>
      </c>
      <c r="E1647">
        <v>0</v>
      </c>
      <c r="F1647">
        <v>0</v>
      </c>
      <c r="G1647">
        <v>23.4405</v>
      </c>
      <c r="H1647">
        <v>0</v>
      </c>
      <c r="I1647">
        <v>0</v>
      </c>
      <c r="J1647">
        <v>0</v>
      </c>
      <c r="K1647">
        <v>0</v>
      </c>
      <c r="L1647">
        <v>67</v>
      </c>
      <c r="M1647">
        <v>96</v>
      </c>
      <c r="N1647" t="s">
        <v>34</v>
      </c>
      <c r="O1647" s="3">
        <v>44552</v>
      </c>
      <c r="P1647">
        <v>-1</v>
      </c>
      <c r="T1647" t="s">
        <v>51</v>
      </c>
      <c r="U1647">
        <v>5</v>
      </c>
      <c r="V1647">
        <v>28.324999999999999</v>
      </c>
    </row>
    <row r="1648" spans="1:22" x14ac:dyDescent="0.35">
      <c r="A1648" s="3">
        <v>44456</v>
      </c>
      <c r="B1648" t="s">
        <v>31</v>
      </c>
      <c r="C1648">
        <v>0</v>
      </c>
      <c r="D1648">
        <v>0</v>
      </c>
      <c r="E1648">
        <v>0</v>
      </c>
      <c r="F1648">
        <v>0</v>
      </c>
      <c r="G1648">
        <v>25.209099999999999</v>
      </c>
      <c r="H1648">
        <v>0</v>
      </c>
      <c r="I1648">
        <v>0</v>
      </c>
      <c r="J1648">
        <v>0</v>
      </c>
      <c r="K1648">
        <v>0</v>
      </c>
      <c r="L1648">
        <v>123</v>
      </c>
      <c r="M1648">
        <v>179</v>
      </c>
      <c r="N1648" t="s">
        <v>31</v>
      </c>
      <c r="O1648" s="3">
        <v>44635</v>
      </c>
      <c r="P1648">
        <v>-1</v>
      </c>
      <c r="T1648" t="s">
        <v>50</v>
      </c>
      <c r="U1648">
        <v>25</v>
      </c>
      <c r="V1648">
        <v>30.375</v>
      </c>
    </row>
    <row r="1649" spans="1:22" x14ac:dyDescent="0.35">
      <c r="A1649" s="3">
        <v>44456</v>
      </c>
      <c r="B1649" t="s">
        <v>32</v>
      </c>
      <c r="C1649">
        <v>0</v>
      </c>
      <c r="D1649">
        <v>0</v>
      </c>
      <c r="E1649">
        <v>0</v>
      </c>
      <c r="F1649">
        <v>0</v>
      </c>
      <c r="G1649">
        <v>24.7</v>
      </c>
      <c r="H1649">
        <v>0</v>
      </c>
      <c r="I1649">
        <v>0</v>
      </c>
      <c r="J1649">
        <v>0</v>
      </c>
      <c r="K1649">
        <v>0</v>
      </c>
      <c r="L1649">
        <v>105</v>
      </c>
      <c r="M1649">
        <v>152</v>
      </c>
      <c r="N1649" t="s">
        <v>32</v>
      </c>
      <c r="O1649" s="3">
        <v>44608</v>
      </c>
      <c r="P1649">
        <v>-1</v>
      </c>
      <c r="T1649" t="s">
        <v>49</v>
      </c>
      <c r="U1649">
        <v>44</v>
      </c>
      <c r="V1649">
        <v>31.175000000000001</v>
      </c>
    </row>
    <row r="1650" spans="1:22" x14ac:dyDescent="0.35">
      <c r="A1650" s="3">
        <v>44456</v>
      </c>
      <c r="B1650" t="s">
        <v>30</v>
      </c>
      <c r="C1650">
        <v>0</v>
      </c>
      <c r="D1650">
        <v>0</v>
      </c>
      <c r="E1650">
        <v>0</v>
      </c>
      <c r="F1650">
        <v>0</v>
      </c>
      <c r="G1650">
        <v>25.3</v>
      </c>
      <c r="H1650">
        <v>0</v>
      </c>
      <c r="I1650">
        <v>0</v>
      </c>
      <c r="J1650">
        <v>0</v>
      </c>
      <c r="K1650">
        <v>0</v>
      </c>
      <c r="L1650">
        <v>149</v>
      </c>
      <c r="M1650">
        <v>215</v>
      </c>
      <c r="N1650" t="s">
        <v>30</v>
      </c>
      <c r="O1650" s="3">
        <v>44671</v>
      </c>
      <c r="P1650">
        <v>-1</v>
      </c>
      <c r="T1650" t="s">
        <v>48</v>
      </c>
      <c r="U1650">
        <v>69</v>
      </c>
      <c r="V1650">
        <v>33.125</v>
      </c>
    </row>
    <row r="1651" spans="1:22" x14ac:dyDescent="0.35">
      <c r="A1651" s="3">
        <v>44456</v>
      </c>
      <c r="B1651" t="s">
        <v>36</v>
      </c>
      <c r="C1651">
        <v>0</v>
      </c>
      <c r="D1651">
        <v>0</v>
      </c>
      <c r="E1651">
        <v>0</v>
      </c>
      <c r="F1651">
        <v>0</v>
      </c>
      <c r="G1651">
        <v>21.9377</v>
      </c>
      <c r="H1651">
        <v>0</v>
      </c>
      <c r="I1651">
        <v>0</v>
      </c>
      <c r="J1651">
        <v>0</v>
      </c>
      <c r="K1651">
        <v>0</v>
      </c>
      <c r="L1651">
        <v>23</v>
      </c>
      <c r="M1651">
        <v>33</v>
      </c>
      <c r="N1651" t="s">
        <v>36</v>
      </c>
      <c r="O1651" s="3">
        <v>44489</v>
      </c>
      <c r="P1651">
        <v>-1</v>
      </c>
      <c r="T1651" t="s">
        <v>47</v>
      </c>
      <c r="U1651">
        <v>89</v>
      </c>
      <c r="V1651">
        <v>31.024999999999999</v>
      </c>
    </row>
    <row r="1652" spans="1:22" x14ac:dyDescent="0.35">
      <c r="A1652" s="3">
        <v>44456</v>
      </c>
      <c r="B1652" t="s">
        <v>33</v>
      </c>
      <c r="C1652">
        <v>0</v>
      </c>
      <c r="D1652">
        <v>0</v>
      </c>
      <c r="E1652">
        <v>0</v>
      </c>
      <c r="F1652">
        <v>0</v>
      </c>
      <c r="G1652">
        <v>24.349499999999999</v>
      </c>
      <c r="H1652">
        <v>0</v>
      </c>
      <c r="I1652">
        <v>0</v>
      </c>
      <c r="J1652">
        <v>0</v>
      </c>
      <c r="K1652">
        <v>0</v>
      </c>
      <c r="L1652">
        <v>85</v>
      </c>
      <c r="M1652">
        <v>124</v>
      </c>
      <c r="N1652" t="s">
        <v>33</v>
      </c>
      <c r="O1652" s="3">
        <v>44580</v>
      </c>
      <c r="P1652">
        <v>-1</v>
      </c>
      <c r="T1652" t="s">
        <v>46</v>
      </c>
      <c r="U1652">
        <v>108</v>
      </c>
      <c r="V1652">
        <v>29.274999999999999</v>
      </c>
    </row>
    <row r="1653" spans="1:22" x14ac:dyDescent="0.35">
      <c r="A1653" s="3">
        <v>44455</v>
      </c>
      <c r="B1653" t="s">
        <v>32</v>
      </c>
      <c r="C1653">
        <v>0</v>
      </c>
      <c r="D1653">
        <v>0</v>
      </c>
      <c r="E1653">
        <v>0</v>
      </c>
      <c r="F1653">
        <v>0</v>
      </c>
      <c r="G1653">
        <v>24.2941</v>
      </c>
      <c r="H1653">
        <v>0</v>
      </c>
      <c r="I1653">
        <v>0</v>
      </c>
      <c r="J1653">
        <v>0</v>
      </c>
      <c r="K1653">
        <v>0</v>
      </c>
      <c r="L1653">
        <v>106</v>
      </c>
      <c r="M1653">
        <v>153</v>
      </c>
      <c r="N1653" t="s">
        <v>32</v>
      </c>
      <c r="O1653" s="3">
        <v>44608</v>
      </c>
      <c r="P1653">
        <v>-1</v>
      </c>
      <c r="S1653" s="3">
        <v>44028</v>
      </c>
      <c r="T1653" t="s">
        <v>45</v>
      </c>
      <c r="U1653">
        <v>129</v>
      </c>
      <c r="V1653">
        <v>29.375</v>
      </c>
    </row>
    <row r="1654" spans="1:22" x14ac:dyDescent="0.35">
      <c r="A1654" s="3">
        <v>44455</v>
      </c>
      <c r="B1654" t="s">
        <v>30</v>
      </c>
      <c r="C1654">
        <v>0</v>
      </c>
      <c r="D1654">
        <v>0</v>
      </c>
      <c r="E1654">
        <v>0</v>
      </c>
      <c r="F1654">
        <v>0</v>
      </c>
      <c r="G1654">
        <v>24.914999999999999</v>
      </c>
      <c r="H1654">
        <v>0</v>
      </c>
      <c r="I1654">
        <v>0</v>
      </c>
      <c r="J1654">
        <v>0</v>
      </c>
      <c r="K1654">
        <v>0</v>
      </c>
      <c r="L1654">
        <v>150</v>
      </c>
      <c r="M1654">
        <v>216</v>
      </c>
      <c r="N1654" t="s">
        <v>30</v>
      </c>
      <c r="O1654" s="3">
        <v>44671</v>
      </c>
      <c r="P1654">
        <v>-1</v>
      </c>
      <c r="T1654" t="s">
        <v>44</v>
      </c>
      <c r="U1654">
        <v>148</v>
      </c>
      <c r="V1654">
        <v>28.85</v>
      </c>
    </row>
    <row r="1655" spans="1:22" x14ac:dyDescent="0.35">
      <c r="A1655" s="3">
        <v>44455</v>
      </c>
      <c r="B1655" t="s">
        <v>36</v>
      </c>
      <c r="C1655">
        <v>0</v>
      </c>
      <c r="D1655">
        <v>0</v>
      </c>
      <c r="E1655">
        <v>0</v>
      </c>
      <c r="F1655">
        <v>0</v>
      </c>
      <c r="G1655">
        <v>20.555599999999998</v>
      </c>
      <c r="H1655">
        <v>0</v>
      </c>
      <c r="I1655">
        <v>0</v>
      </c>
      <c r="J1655">
        <v>0</v>
      </c>
      <c r="K1655">
        <v>0</v>
      </c>
      <c r="L1655">
        <v>24</v>
      </c>
      <c r="M1655">
        <v>34</v>
      </c>
      <c r="N1655" t="s">
        <v>36</v>
      </c>
      <c r="O1655" s="3">
        <v>44489</v>
      </c>
      <c r="P1655">
        <v>-1</v>
      </c>
      <c r="T1655" t="s">
        <v>43</v>
      </c>
      <c r="U1655">
        <v>168</v>
      </c>
      <c r="V1655">
        <v>26.65</v>
      </c>
    </row>
    <row r="1656" spans="1:22" x14ac:dyDescent="0.35">
      <c r="A1656" s="3">
        <v>44455</v>
      </c>
      <c r="B1656" t="s">
        <v>33</v>
      </c>
      <c r="C1656">
        <v>0</v>
      </c>
      <c r="D1656">
        <v>0</v>
      </c>
      <c r="E1656">
        <v>0</v>
      </c>
      <c r="F1656">
        <v>0</v>
      </c>
      <c r="G1656">
        <v>23.85</v>
      </c>
      <c r="H1656">
        <v>0</v>
      </c>
      <c r="I1656">
        <v>0</v>
      </c>
      <c r="J1656">
        <v>0</v>
      </c>
      <c r="K1656">
        <v>0</v>
      </c>
      <c r="L1656">
        <v>86</v>
      </c>
      <c r="M1656">
        <v>125</v>
      </c>
      <c r="N1656" t="s">
        <v>33</v>
      </c>
      <c r="O1656" s="3">
        <v>44580</v>
      </c>
      <c r="P1656">
        <v>-1</v>
      </c>
      <c r="T1656" t="s">
        <v>51</v>
      </c>
      <c r="U1656">
        <v>4</v>
      </c>
      <c r="V1656">
        <v>28.125</v>
      </c>
    </row>
    <row r="1657" spans="1:22" x14ac:dyDescent="0.35">
      <c r="A1657" s="3">
        <v>44455</v>
      </c>
      <c r="B1657" t="s">
        <v>35</v>
      </c>
      <c r="C1657">
        <v>0</v>
      </c>
      <c r="D1657">
        <v>0</v>
      </c>
      <c r="E1657">
        <v>0</v>
      </c>
      <c r="F1657">
        <v>0</v>
      </c>
      <c r="G1657">
        <v>22.002099999999999</v>
      </c>
      <c r="H1657">
        <v>0</v>
      </c>
      <c r="I1657">
        <v>0</v>
      </c>
      <c r="J1657">
        <v>0</v>
      </c>
      <c r="K1657">
        <v>0</v>
      </c>
      <c r="L1657">
        <v>44</v>
      </c>
      <c r="M1657">
        <v>62</v>
      </c>
      <c r="N1657" t="s">
        <v>35</v>
      </c>
      <c r="O1657" s="3">
        <v>44517</v>
      </c>
      <c r="P1657">
        <v>-1</v>
      </c>
      <c r="T1657" t="s">
        <v>50</v>
      </c>
      <c r="U1657">
        <v>24</v>
      </c>
      <c r="V1657">
        <v>30.274999999999999</v>
      </c>
    </row>
    <row r="1658" spans="1:22" x14ac:dyDescent="0.35">
      <c r="A1658" s="3">
        <v>44455</v>
      </c>
      <c r="B1658" t="s">
        <v>29</v>
      </c>
      <c r="C1658">
        <v>0</v>
      </c>
      <c r="D1658">
        <v>0</v>
      </c>
      <c r="E1658">
        <v>0</v>
      </c>
      <c r="F1658">
        <v>0</v>
      </c>
      <c r="G1658">
        <v>24.875</v>
      </c>
      <c r="H1658">
        <v>0</v>
      </c>
      <c r="I1658">
        <v>0</v>
      </c>
      <c r="J1658">
        <v>0</v>
      </c>
      <c r="K1658">
        <v>0</v>
      </c>
      <c r="L1658">
        <v>170</v>
      </c>
      <c r="M1658">
        <v>244</v>
      </c>
      <c r="N1658" t="s">
        <v>29</v>
      </c>
      <c r="O1658" s="3">
        <v>44699</v>
      </c>
      <c r="P1658">
        <v>-1</v>
      </c>
      <c r="T1658" t="s">
        <v>49</v>
      </c>
      <c r="U1658">
        <v>43</v>
      </c>
      <c r="V1658">
        <v>31.074999999999999</v>
      </c>
    </row>
    <row r="1659" spans="1:22" x14ac:dyDescent="0.35">
      <c r="A1659" s="3">
        <v>44455</v>
      </c>
      <c r="B1659" t="s">
        <v>34</v>
      </c>
      <c r="C1659">
        <v>0</v>
      </c>
      <c r="D1659">
        <v>0</v>
      </c>
      <c r="E1659">
        <v>0</v>
      </c>
      <c r="F1659">
        <v>0</v>
      </c>
      <c r="G1659">
        <v>22.795400000000001</v>
      </c>
      <c r="H1659">
        <v>0</v>
      </c>
      <c r="I1659">
        <v>0</v>
      </c>
      <c r="J1659">
        <v>0</v>
      </c>
      <c r="K1659">
        <v>0</v>
      </c>
      <c r="L1659">
        <v>68</v>
      </c>
      <c r="M1659">
        <v>97</v>
      </c>
      <c r="N1659" t="s">
        <v>34</v>
      </c>
      <c r="O1659" s="3">
        <v>44552</v>
      </c>
      <c r="P1659">
        <v>-1</v>
      </c>
      <c r="T1659" t="s">
        <v>48</v>
      </c>
      <c r="U1659">
        <v>68</v>
      </c>
      <c r="V1659">
        <v>33.125</v>
      </c>
    </row>
    <row r="1660" spans="1:22" x14ac:dyDescent="0.35">
      <c r="A1660" s="3">
        <v>44455</v>
      </c>
      <c r="B1660" t="s">
        <v>31</v>
      </c>
      <c r="C1660">
        <v>0</v>
      </c>
      <c r="D1660">
        <v>0</v>
      </c>
      <c r="E1660">
        <v>0</v>
      </c>
      <c r="F1660">
        <v>0</v>
      </c>
      <c r="G1660">
        <v>24.8</v>
      </c>
      <c r="H1660">
        <v>0</v>
      </c>
      <c r="I1660">
        <v>0</v>
      </c>
      <c r="J1660">
        <v>0</v>
      </c>
      <c r="K1660">
        <v>0</v>
      </c>
      <c r="L1660">
        <v>124</v>
      </c>
      <c r="M1660">
        <v>180</v>
      </c>
      <c r="N1660" t="s">
        <v>31</v>
      </c>
      <c r="O1660" s="3">
        <v>44635</v>
      </c>
      <c r="P1660">
        <v>-1</v>
      </c>
      <c r="T1660" t="s">
        <v>47</v>
      </c>
      <c r="U1660">
        <v>88</v>
      </c>
      <c r="V1660">
        <v>30.975000000000001</v>
      </c>
    </row>
    <row r="1661" spans="1:22" x14ac:dyDescent="0.35">
      <c r="A1661" s="3">
        <v>44454</v>
      </c>
      <c r="B1661" t="s">
        <v>35</v>
      </c>
      <c r="C1661">
        <v>0</v>
      </c>
      <c r="D1661">
        <v>0</v>
      </c>
      <c r="E1661">
        <v>0</v>
      </c>
      <c r="F1661">
        <v>0</v>
      </c>
      <c r="G1661">
        <v>22.2987</v>
      </c>
      <c r="H1661">
        <v>0</v>
      </c>
      <c r="I1661">
        <v>0</v>
      </c>
      <c r="J1661">
        <v>0</v>
      </c>
      <c r="K1661">
        <v>0</v>
      </c>
      <c r="L1661">
        <v>45</v>
      </c>
      <c r="M1661">
        <v>63</v>
      </c>
      <c r="N1661" t="s">
        <v>35</v>
      </c>
      <c r="O1661" s="3">
        <v>44517</v>
      </c>
      <c r="P1661">
        <v>-1</v>
      </c>
      <c r="T1661" t="s">
        <v>46</v>
      </c>
      <c r="U1661">
        <v>107</v>
      </c>
      <c r="V1661">
        <v>29.25</v>
      </c>
    </row>
    <row r="1662" spans="1:22" x14ac:dyDescent="0.35">
      <c r="A1662" s="3">
        <v>44454</v>
      </c>
      <c r="B1662" t="s">
        <v>29</v>
      </c>
      <c r="C1662">
        <v>0</v>
      </c>
      <c r="D1662">
        <v>0</v>
      </c>
      <c r="E1662">
        <v>0</v>
      </c>
      <c r="F1662">
        <v>0</v>
      </c>
      <c r="G1662">
        <v>24.975000000000001</v>
      </c>
      <c r="H1662">
        <v>0</v>
      </c>
      <c r="I1662">
        <v>0</v>
      </c>
      <c r="J1662">
        <v>0</v>
      </c>
      <c r="K1662">
        <v>0</v>
      </c>
      <c r="L1662">
        <v>171</v>
      </c>
      <c r="M1662">
        <v>245</v>
      </c>
      <c r="N1662" t="s">
        <v>29</v>
      </c>
      <c r="O1662" s="3">
        <v>44699</v>
      </c>
      <c r="P1662">
        <v>-1</v>
      </c>
      <c r="S1662" s="3">
        <v>44029</v>
      </c>
      <c r="T1662" t="s">
        <v>45</v>
      </c>
      <c r="U1662">
        <v>128</v>
      </c>
      <c r="V1662">
        <v>29</v>
      </c>
    </row>
    <row r="1663" spans="1:22" x14ac:dyDescent="0.35">
      <c r="A1663" s="3">
        <v>44454</v>
      </c>
      <c r="B1663" t="s">
        <v>34</v>
      </c>
      <c r="C1663">
        <v>0</v>
      </c>
      <c r="D1663">
        <v>0</v>
      </c>
      <c r="E1663">
        <v>0</v>
      </c>
      <c r="F1663">
        <v>0</v>
      </c>
      <c r="G1663">
        <v>23.043299999999999</v>
      </c>
      <c r="H1663">
        <v>0</v>
      </c>
      <c r="I1663">
        <v>0</v>
      </c>
      <c r="J1663">
        <v>0</v>
      </c>
      <c r="K1663">
        <v>0</v>
      </c>
      <c r="L1663">
        <v>69</v>
      </c>
      <c r="M1663">
        <v>98</v>
      </c>
      <c r="N1663" t="s">
        <v>34</v>
      </c>
      <c r="O1663" s="3">
        <v>44552</v>
      </c>
      <c r="P1663">
        <v>-1</v>
      </c>
      <c r="T1663" t="s">
        <v>44</v>
      </c>
      <c r="U1663">
        <v>147</v>
      </c>
      <c r="V1663">
        <v>28.5</v>
      </c>
    </row>
    <row r="1664" spans="1:22" x14ac:dyDescent="0.35">
      <c r="A1664" s="3">
        <v>44454</v>
      </c>
      <c r="B1664" t="s">
        <v>31</v>
      </c>
      <c r="C1664">
        <v>0</v>
      </c>
      <c r="D1664">
        <v>0</v>
      </c>
      <c r="E1664">
        <v>0</v>
      </c>
      <c r="F1664">
        <v>0</v>
      </c>
      <c r="G1664">
        <v>24.9</v>
      </c>
      <c r="H1664">
        <v>0</v>
      </c>
      <c r="I1664">
        <v>0</v>
      </c>
      <c r="J1664">
        <v>0</v>
      </c>
      <c r="K1664">
        <v>0</v>
      </c>
      <c r="L1664">
        <v>125</v>
      </c>
      <c r="M1664">
        <v>181</v>
      </c>
      <c r="N1664" t="s">
        <v>31</v>
      </c>
      <c r="O1664" s="3">
        <v>44635</v>
      </c>
      <c r="P1664">
        <v>-1</v>
      </c>
      <c r="T1664" t="s">
        <v>43</v>
      </c>
      <c r="U1664">
        <v>167</v>
      </c>
      <c r="V1664">
        <v>28.024999999999999</v>
      </c>
    </row>
    <row r="1665" spans="1:22" x14ac:dyDescent="0.35">
      <c r="A1665" s="3">
        <v>44454</v>
      </c>
      <c r="B1665" t="s">
        <v>32</v>
      </c>
      <c r="C1665">
        <v>0</v>
      </c>
      <c r="D1665">
        <v>0</v>
      </c>
      <c r="E1665">
        <v>0</v>
      </c>
      <c r="F1665">
        <v>0</v>
      </c>
      <c r="G1665">
        <v>24.417899999999999</v>
      </c>
      <c r="H1665">
        <v>0</v>
      </c>
      <c r="I1665">
        <v>0</v>
      </c>
      <c r="J1665">
        <v>0</v>
      </c>
      <c r="K1665">
        <v>0</v>
      </c>
      <c r="L1665">
        <v>107</v>
      </c>
      <c r="M1665">
        <v>154</v>
      </c>
      <c r="N1665" t="s">
        <v>32</v>
      </c>
      <c r="O1665" s="3">
        <v>44608</v>
      </c>
      <c r="P1665">
        <v>-1</v>
      </c>
      <c r="T1665" t="s">
        <v>51</v>
      </c>
      <c r="U1665">
        <v>3</v>
      </c>
      <c r="V1665">
        <v>26.425000000000001</v>
      </c>
    </row>
    <row r="1666" spans="1:22" x14ac:dyDescent="0.35">
      <c r="A1666" s="3">
        <v>44454</v>
      </c>
      <c r="B1666" t="s">
        <v>30</v>
      </c>
      <c r="C1666">
        <v>0</v>
      </c>
      <c r="D1666">
        <v>0</v>
      </c>
      <c r="E1666">
        <v>0</v>
      </c>
      <c r="F1666">
        <v>0</v>
      </c>
      <c r="G1666">
        <v>25.0031</v>
      </c>
      <c r="H1666">
        <v>0</v>
      </c>
      <c r="I1666">
        <v>0</v>
      </c>
      <c r="J1666">
        <v>0</v>
      </c>
      <c r="K1666">
        <v>0</v>
      </c>
      <c r="L1666">
        <v>151</v>
      </c>
      <c r="M1666">
        <v>217</v>
      </c>
      <c r="N1666" t="s">
        <v>30</v>
      </c>
      <c r="O1666" s="3">
        <v>44671</v>
      </c>
      <c r="P1666">
        <v>-1</v>
      </c>
      <c r="T1666" t="s">
        <v>50</v>
      </c>
      <c r="U1666">
        <v>23</v>
      </c>
      <c r="V1666">
        <v>28.975000000000001</v>
      </c>
    </row>
    <row r="1667" spans="1:22" x14ac:dyDescent="0.35">
      <c r="A1667" s="3">
        <v>44454</v>
      </c>
      <c r="B1667" t="s">
        <v>36</v>
      </c>
      <c r="C1667">
        <v>0</v>
      </c>
      <c r="D1667">
        <v>0</v>
      </c>
      <c r="E1667">
        <v>0</v>
      </c>
      <c r="F1667">
        <v>0</v>
      </c>
      <c r="G1667">
        <v>20.837900000000001</v>
      </c>
      <c r="H1667">
        <v>0</v>
      </c>
      <c r="I1667">
        <v>0</v>
      </c>
      <c r="J1667">
        <v>0</v>
      </c>
      <c r="K1667">
        <v>0</v>
      </c>
      <c r="L1667">
        <v>25</v>
      </c>
      <c r="M1667">
        <v>35</v>
      </c>
      <c r="N1667" t="s">
        <v>36</v>
      </c>
      <c r="O1667" s="3">
        <v>44489</v>
      </c>
      <c r="P1667">
        <v>-1</v>
      </c>
      <c r="T1667" t="s">
        <v>49</v>
      </c>
      <c r="U1667">
        <v>42</v>
      </c>
      <c r="V1667">
        <v>30.175000000000001</v>
      </c>
    </row>
    <row r="1668" spans="1:22" x14ac:dyDescent="0.35">
      <c r="A1668" s="3">
        <v>44454</v>
      </c>
      <c r="B1668" t="s">
        <v>33</v>
      </c>
      <c r="C1668">
        <v>0</v>
      </c>
      <c r="D1668">
        <v>0</v>
      </c>
      <c r="E1668">
        <v>0</v>
      </c>
      <c r="F1668">
        <v>0</v>
      </c>
      <c r="G1668">
        <v>24.000499999999999</v>
      </c>
      <c r="H1668">
        <v>0</v>
      </c>
      <c r="I1668">
        <v>0</v>
      </c>
      <c r="J1668">
        <v>0</v>
      </c>
      <c r="K1668">
        <v>0</v>
      </c>
      <c r="L1668">
        <v>87</v>
      </c>
      <c r="M1668">
        <v>126</v>
      </c>
      <c r="N1668" t="s">
        <v>33</v>
      </c>
      <c r="O1668" s="3">
        <v>44580</v>
      </c>
      <c r="P1668">
        <v>-1</v>
      </c>
      <c r="T1668" t="s">
        <v>48</v>
      </c>
      <c r="U1668">
        <v>67</v>
      </c>
      <c r="V1668">
        <v>32.424999999999997</v>
      </c>
    </row>
    <row r="1669" spans="1:22" x14ac:dyDescent="0.35">
      <c r="A1669" s="3">
        <v>44453</v>
      </c>
      <c r="B1669" t="s">
        <v>32</v>
      </c>
      <c r="C1669">
        <v>0</v>
      </c>
      <c r="D1669">
        <v>0</v>
      </c>
      <c r="E1669">
        <v>0</v>
      </c>
      <c r="F1669">
        <v>0</v>
      </c>
      <c r="G1669">
        <v>24.709599999999998</v>
      </c>
      <c r="H1669">
        <v>0</v>
      </c>
      <c r="I1669">
        <v>0</v>
      </c>
      <c r="J1669">
        <v>0</v>
      </c>
      <c r="K1669">
        <v>0</v>
      </c>
      <c r="L1669">
        <v>108</v>
      </c>
      <c r="M1669">
        <v>155</v>
      </c>
      <c r="N1669" t="s">
        <v>32</v>
      </c>
      <c r="O1669" s="3">
        <v>44608</v>
      </c>
      <c r="P1669">
        <v>-1</v>
      </c>
      <c r="T1669" t="s">
        <v>47</v>
      </c>
      <c r="U1669">
        <v>87</v>
      </c>
      <c r="V1669">
        <v>30.475000000000001</v>
      </c>
    </row>
    <row r="1670" spans="1:22" x14ac:dyDescent="0.35">
      <c r="A1670" s="3">
        <v>44453</v>
      </c>
      <c r="B1670" t="s">
        <v>30</v>
      </c>
      <c r="C1670">
        <v>0</v>
      </c>
      <c r="D1670">
        <v>0</v>
      </c>
      <c r="E1670">
        <v>0</v>
      </c>
      <c r="F1670">
        <v>0</v>
      </c>
      <c r="G1670">
        <v>25.274999999999999</v>
      </c>
      <c r="H1670">
        <v>0</v>
      </c>
      <c r="I1670">
        <v>0</v>
      </c>
      <c r="J1670">
        <v>0</v>
      </c>
      <c r="K1670">
        <v>0</v>
      </c>
      <c r="L1670">
        <v>152</v>
      </c>
      <c r="M1670">
        <v>218</v>
      </c>
      <c r="N1670" t="s">
        <v>30</v>
      </c>
      <c r="O1670" s="3">
        <v>44671</v>
      </c>
      <c r="P1670">
        <v>-1</v>
      </c>
      <c r="T1670" t="s">
        <v>46</v>
      </c>
      <c r="U1670">
        <v>106</v>
      </c>
      <c r="V1670">
        <v>28.95</v>
      </c>
    </row>
    <row r="1671" spans="1:22" x14ac:dyDescent="0.35">
      <c r="A1671" s="3">
        <v>44453</v>
      </c>
      <c r="B1671" t="s">
        <v>36</v>
      </c>
      <c r="C1671">
        <v>0</v>
      </c>
      <c r="D1671">
        <v>0</v>
      </c>
      <c r="E1671">
        <v>0</v>
      </c>
      <c r="F1671">
        <v>0</v>
      </c>
      <c r="G1671">
        <v>21.560500000000001</v>
      </c>
      <c r="H1671">
        <v>0</v>
      </c>
      <c r="I1671">
        <v>0</v>
      </c>
      <c r="J1671">
        <v>0</v>
      </c>
      <c r="K1671">
        <v>0</v>
      </c>
      <c r="L1671">
        <v>26</v>
      </c>
      <c r="M1671">
        <v>36</v>
      </c>
      <c r="N1671" t="s">
        <v>36</v>
      </c>
      <c r="O1671" s="3">
        <v>44489</v>
      </c>
      <c r="P1671">
        <v>-1</v>
      </c>
      <c r="S1671" s="3">
        <v>44032</v>
      </c>
      <c r="T1671" t="s">
        <v>45</v>
      </c>
      <c r="U1671">
        <v>127</v>
      </c>
      <c r="V1671">
        <v>28.024999999999999</v>
      </c>
    </row>
    <row r="1672" spans="1:22" x14ac:dyDescent="0.35">
      <c r="A1672" s="3">
        <v>44453</v>
      </c>
      <c r="B1672" t="s">
        <v>33</v>
      </c>
      <c r="C1672">
        <v>0</v>
      </c>
      <c r="D1672">
        <v>0</v>
      </c>
      <c r="E1672">
        <v>0</v>
      </c>
      <c r="F1672">
        <v>0</v>
      </c>
      <c r="G1672">
        <v>24.299299999999999</v>
      </c>
      <c r="H1672">
        <v>0</v>
      </c>
      <c r="I1672">
        <v>0</v>
      </c>
      <c r="J1672">
        <v>0</v>
      </c>
      <c r="K1672">
        <v>0</v>
      </c>
      <c r="L1672">
        <v>88</v>
      </c>
      <c r="M1672">
        <v>127</v>
      </c>
      <c r="N1672" t="s">
        <v>33</v>
      </c>
      <c r="O1672" s="3">
        <v>44580</v>
      </c>
      <c r="P1672">
        <v>-1</v>
      </c>
      <c r="T1672" t="s">
        <v>44</v>
      </c>
      <c r="U1672">
        <v>146</v>
      </c>
      <c r="V1672">
        <v>27.574999999999999</v>
      </c>
    </row>
    <row r="1673" spans="1:22" x14ac:dyDescent="0.35">
      <c r="A1673" s="3">
        <v>44453</v>
      </c>
      <c r="B1673" t="s">
        <v>35</v>
      </c>
      <c r="C1673">
        <v>0</v>
      </c>
      <c r="D1673">
        <v>0</v>
      </c>
      <c r="E1673">
        <v>0</v>
      </c>
      <c r="F1673">
        <v>0</v>
      </c>
      <c r="G1673">
        <v>22.6707</v>
      </c>
      <c r="H1673">
        <v>0</v>
      </c>
      <c r="I1673">
        <v>0</v>
      </c>
      <c r="J1673">
        <v>0</v>
      </c>
      <c r="K1673">
        <v>0</v>
      </c>
      <c r="L1673">
        <v>46</v>
      </c>
      <c r="M1673">
        <v>64</v>
      </c>
      <c r="N1673" t="s">
        <v>35</v>
      </c>
      <c r="O1673" s="3">
        <v>44517</v>
      </c>
      <c r="P1673">
        <v>-1</v>
      </c>
      <c r="T1673" t="s">
        <v>51</v>
      </c>
      <c r="U1673">
        <v>2</v>
      </c>
      <c r="V1673">
        <v>24.725000000000001</v>
      </c>
    </row>
    <row r="1674" spans="1:22" x14ac:dyDescent="0.35">
      <c r="A1674" s="3">
        <v>44453</v>
      </c>
      <c r="B1674" t="s">
        <v>29</v>
      </c>
      <c r="C1674">
        <v>0</v>
      </c>
      <c r="D1674">
        <v>0</v>
      </c>
      <c r="E1674">
        <v>0</v>
      </c>
      <c r="F1674">
        <v>0</v>
      </c>
      <c r="G1674">
        <v>25.2</v>
      </c>
      <c r="H1674">
        <v>0</v>
      </c>
      <c r="I1674">
        <v>0</v>
      </c>
      <c r="J1674">
        <v>0</v>
      </c>
      <c r="K1674">
        <v>0</v>
      </c>
      <c r="L1674">
        <v>172</v>
      </c>
      <c r="M1674">
        <v>246</v>
      </c>
      <c r="N1674" t="s">
        <v>29</v>
      </c>
      <c r="O1674" s="3">
        <v>44699</v>
      </c>
      <c r="P1674">
        <v>-1</v>
      </c>
      <c r="T1674" t="s">
        <v>50</v>
      </c>
      <c r="U1674">
        <v>22</v>
      </c>
      <c r="V1674">
        <v>27.524999999999999</v>
      </c>
    </row>
    <row r="1675" spans="1:22" x14ac:dyDescent="0.35">
      <c r="A1675" s="3">
        <v>44453</v>
      </c>
      <c r="B1675" t="s">
        <v>34</v>
      </c>
      <c r="C1675">
        <v>0</v>
      </c>
      <c r="D1675">
        <v>0</v>
      </c>
      <c r="E1675">
        <v>0</v>
      </c>
      <c r="F1675">
        <v>0</v>
      </c>
      <c r="G1675">
        <v>23.306100000000001</v>
      </c>
      <c r="H1675">
        <v>0</v>
      </c>
      <c r="I1675">
        <v>0</v>
      </c>
      <c r="J1675">
        <v>0</v>
      </c>
      <c r="K1675">
        <v>0</v>
      </c>
      <c r="L1675">
        <v>70</v>
      </c>
      <c r="M1675">
        <v>99</v>
      </c>
      <c r="N1675" t="s">
        <v>34</v>
      </c>
      <c r="O1675" s="3">
        <v>44552</v>
      </c>
      <c r="P1675">
        <v>-1</v>
      </c>
      <c r="T1675" t="s">
        <v>49</v>
      </c>
      <c r="U1675">
        <v>41</v>
      </c>
      <c r="V1675">
        <v>28.975000000000001</v>
      </c>
    </row>
    <row r="1676" spans="1:22" x14ac:dyDescent="0.35">
      <c r="A1676" s="3">
        <v>44453</v>
      </c>
      <c r="B1676" t="s">
        <v>31</v>
      </c>
      <c r="C1676">
        <v>0</v>
      </c>
      <c r="D1676">
        <v>0</v>
      </c>
      <c r="E1676">
        <v>0</v>
      </c>
      <c r="F1676">
        <v>0</v>
      </c>
      <c r="G1676">
        <v>25.2</v>
      </c>
      <c r="H1676">
        <v>0</v>
      </c>
      <c r="I1676">
        <v>0</v>
      </c>
      <c r="J1676">
        <v>0</v>
      </c>
      <c r="K1676">
        <v>0</v>
      </c>
      <c r="L1676">
        <v>126</v>
      </c>
      <c r="M1676">
        <v>182</v>
      </c>
      <c r="N1676" t="s">
        <v>31</v>
      </c>
      <c r="O1676" s="3">
        <v>44635</v>
      </c>
      <c r="P1676">
        <v>-1</v>
      </c>
      <c r="T1676" t="s">
        <v>48</v>
      </c>
      <c r="U1676">
        <v>66</v>
      </c>
      <c r="V1676">
        <v>31.274999999999999</v>
      </c>
    </row>
    <row r="1677" spans="1:22" x14ac:dyDescent="0.35">
      <c r="A1677" s="3">
        <v>44452</v>
      </c>
      <c r="B1677" t="s">
        <v>35</v>
      </c>
      <c r="C1677">
        <v>0</v>
      </c>
      <c r="D1677">
        <v>0</v>
      </c>
      <c r="E1677">
        <v>0</v>
      </c>
      <c r="F1677">
        <v>0</v>
      </c>
      <c r="G1677">
        <v>22.392399999999999</v>
      </c>
      <c r="H1677">
        <v>0</v>
      </c>
      <c r="I1677">
        <v>0</v>
      </c>
      <c r="J1677">
        <v>0</v>
      </c>
      <c r="K1677">
        <v>0</v>
      </c>
      <c r="L1677">
        <v>47</v>
      </c>
      <c r="M1677">
        <v>65</v>
      </c>
      <c r="N1677" t="s">
        <v>35</v>
      </c>
      <c r="O1677" s="3">
        <v>44517</v>
      </c>
      <c r="P1677">
        <v>-1</v>
      </c>
      <c r="T1677" t="s">
        <v>47</v>
      </c>
      <c r="U1677">
        <v>86</v>
      </c>
      <c r="V1677">
        <v>29.274999999999999</v>
      </c>
    </row>
    <row r="1678" spans="1:22" x14ac:dyDescent="0.35">
      <c r="A1678" s="3">
        <v>44452</v>
      </c>
      <c r="B1678" t="s">
        <v>29</v>
      </c>
      <c r="C1678">
        <v>0</v>
      </c>
      <c r="D1678">
        <v>0</v>
      </c>
      <c r="E1678">
        <v>0</v>
      </c>
      <c r="F1678">
        <v>0</v>
      </c>
      <c r="G1678">
        <v>25.05</v>
      </c>
      <c r="H1678">
        <v>0</v>
      </c>
      <c r="I1678">
        <v>0</v>
      </c>
      <c r="J1678">
        <v>0</v>
      </c>
      <c r="K1678">
        <v>0</v>
      </c>
      <c r="L1678">
        <v>173</v>
      </c>
      <c r="M1678">
        <v>247</v>
      </c>
      <c r="N1678" t="s">
        <v>29</v>
      </c>
      <c r="O1678" s="3">
        <v>44699</v>
      </c>
      <c r="P1678">
        <v>-1</v>
      </c>
      <c r="T1678" t="s">
        <v>46</v>
      </c>
      <c r="U1678">
        <v>105</v>
      </c>
      <c r="V1678">
        <v>27.824999999999999</v>
      </c>
    </row>
    <row r="1679" spans="1:22" x14ac:dyDescent="0.35">
      <c r="A1679" s="3">
        <v>44452</v>
      </c>
      <c r="B1679" t="s">
        <v>34</v>
      </c>
      <c r="C1679">
        <v>0</v>
      </c>
      <c r="D1679">
        <v>0</v>
      </c>
      <c r="E1679">
        <v>0</v>
      </c>
      <c r="F1679">
        <v>0</v>
      </c>
      <c r="G1679">
        <v>22.987300000000001</v>
      </c>
      <c r="H1679">
        <v>0</v>
      </c>
      <c r="I1679">
        <v>0</v>
      </c>
      <c r="J1679">
        <v>0</v>
      </c>
      <c r="K1679">
        <v>0</v>
      </c>
      <c r="L1679">
        <v>71</v>
      </c>
      <c r="M1679">
        <v>100</v>
      </c>
      <c r="N1679" t="s">
        <v>34</v>
      </c>
      <c r="O1679" s="3">
        <v>44552</v>
      </c>
      <c r="P1679">
        <v>-1</v>
      </c>
      <c r="S1679" s="3">
        <v>44033</v>
      </c>
      <c r="T1679" t="s">
        <v>45</v>
      </c>
      <c r="U1679">
        <v>126</v>
      </c>
      <c r="V1679">
        <v>28.274999999999999</v>
      </c>
    </row>
    <row r="1680" spans="1:22" x14ac:dyDescent="0.35">
      <c r="A1680" s="3">
        <v>44452</v>
      </c>
      <c r="B1680" t="s">
        <v>31</v>
      </c>
      <c r="C1680">
        <v>0</v>
      </c>
      <c r="D1680">
        <v>0</v>
      </c>
      <c r="E1680">
        <v>0</v>
      </c>
      <c r="F1680">
        <v>0</v>
      </c>
      <c r="G1680">
        <v>25.05</v>
      </c>
      <c r="H1680">
        <v>0</v>
      </c>
      <c r="I1680">
        <v>0</v>
      </c>
      <c r="J1680">
        <v>0</v>
      </c>
      <c r="K1680">
        <v>0</v>
      </c>
      <c r="L1680">
        <v>127</v>
      </c>
      <c r="M1680">
        <v>183</v>
      </c>
      <c r="N1680" t="s">
        <v>31</v>
      </c>
      <c r="O1680" s="3">
        <v>44635</v>
      </c>
      <c r="P1680">
        <v>-1</v>
      </c>
      <c r="T1680" t="s">
        <v>44</v>
      </c>
      <c r="U1680">
        <v>145</v>
      </c>
      <c r="V1680">
        <v>27.824999999999999</v>
      </c>
    </row>
    <row r="1681" spans="1:22" x14ac:dyDescent="0.35">
      <c r="A1681" s="3">
        <v>44452</v>
      </c>
      <c r="B1681" t="s">
        <v>32</v>
      </c>
      <c r="C1681">
        <v>0</v>
      </c>
      <c r="D1681">
        <v>0</v>
      </c>
      <c r="E1681">
        <v>0</v>
      </c>
      <c r="F1681">
        <v>0</v>
      </c>
      <c r="G1681">
        <v>24.535900000000002</v>
      </c>
      <c r="H1681">
        <v>0</v>
      </c>
      <c r="I1681">
        <v>0</v>
      </c>
      <c r="J1681">
        <v>0</v>
      </c>
      <c r="K1681">
        <v>0</v>
      </c>
      <c r="L1681">
        <v>109</v>
      </c>
      <c r="M1681">
        <v>156</v>
      </c>
      <c r="N1681" t="s">
        <v>32</v>
      </c>
      <c r="O1681" s="3">
        <v>44608</v>
      </c>
      <c r="P1681">
        <v>-1</v>
      </c>
      <c r="T1681" t="s">
        <v>51</v>
      </c>
      <c r="U1681">
        <v>1</v>
      </c>
      <c r="V1681">
        <v>24.774999999999999</v>
      </c>
    </row>
    <row r="1682" spans="1:22" x14ac:dyDescent="0.35">
      <c r="A1682" s="3">
        <v>44452</v>
      </c>
      <c r="B1682" t="s">
        <v>30</v>
      </c>
      <c r="C1682">
        <v>0</v>
      </c>
      <c r="D1682">
        <v>0</v>
      </c>
      <c r="E1682">
        <v>0</v>
      </c>
      <c r="F1682">
        <v>0</v>
      </c>
      <c r="G1682">
        <v>25.074999999999999</v>
      </c>
      <c r="H1682">
        <v>0</v>
      </c>
      <c r="I1682">
        <v>0</v>
      </c>
      <c r="J1682">
        <v>0</v>
      </c>
      <c r="K1682">
        <v>0</v>
      </c>
      <c r="L1682">
        <v>153</v>
      </c>
      <c r="M1682">
        <v>219</v>
      </c>
      <c r="N1682" t="s">
        <v>30</v>
      </c>
      <c r="O1682" s="3">
        <v>44671</v>
      </c>
      <c r="P1682">
        <v>-1</v>
      </c>
      <c r="T1682" t="s">
        <v>50</v>
      </c>
      <c r="U1682">
        <v>21</v>
      </c>
      <c r="V1682">
        <v>27.824999999999999</v>
      </c>
    </row>
    <row r="1683" spans="1:22" x14ac:dyDescent="0.35">
      <c r="A1683" s="3">
        <v>44452</v>
      </c>
      <c r="B1683" t="s">
        <v>36</v>
      </c>
      <c r="C1683">
        <v>0</v>
      </c>
      <c r="D1683">
        <v>0</v>
      </c>
      <c r="E1683">
        <v>0</v>
      </c>
      <c r="F1683">
        <v>0</v>
      </c>
      <c r="G1683">
        <v>21.332100000000001</v>
      </c>
      <c r="H1683">
        <v>0</v>
      </c>
      <c r="I1683">
        <v>0</v>
      </c>
      <c r="J1683">
        <v>0</v>
      </c>
      <c r="K1683">
        <v>0</v>
      </c>
      <c r="L1683">
        <v>27</v>
      </c>
      <c r="M1683">
        <v>37</v>
      </c>
      <c r="N1683" t="s">
        <v>36</v>
      </c>
      <c r="O1683" s="3">
        <v>44489</v>
      </c>
      <c r="P1683">
        <v>-1</v>
      </c>
      <c r="T1683" t="s">
        <v>49</v>
      </c>
      <c r="U1683">
        <v>40</v>
      </c>
      <c r="V1683">
        <v>29.324999999999999</v>
      </c>
    </row>
    <row r="1684" spans="1:22" x14ac:dyDescent="0.35">
      <c r="A1684" s="3">
        <v>44452</v>
      </c>
      <c r="B1684" t="s">
        <v>33</v>
      </c>
      <c r="C1684">
        <v>0</v>
      </c>
      <c r="D1684">
        <v>0</v>
      </c>
      <c r="E1684">
        <v>0</v>
      </c>
      <c r="F1684">
        <v>0</v>
      </c>
      <c r="G1684">
        <v>24.0686</v>
      </c>
      <c r="H1684">
        <v>0</v>
      </c>
      <c r="I1684">
        <v>0</v>
      </c>
      <c r="J1684">
        <v>0</v>
      </c>
      <c r="K1684">
        <v>0</v>
      </c>
      <c r="L1684">
        <v>89</v>
      </c>
      <c r="M1684">
        <v>128</v>
      </c>
      <c r="N1684" t="s">
        <v>33</v>
      </c>
      <c r="O1684" s="3">
        <v>44580</v>
      </c>
      <c r="P1684">
        <v>-1</v>
      </c>
      <c r="T1684" t="s">
        <v>48</v>
      </c>
      <c r="U1684">
        <v>65</v>
      </c>
      <c r="V1684">
        <v>31.475000000000001</v>
      </c>
    </row>
    <row r="1685" spans="1:22" x14ac:dyDescent="0.35">
      <c r="A1685" s="3">
        <v>44449</v>
      </c>
      <c r="B1685" t="s">
        <v>32</v>
      </c>
      <c r="C1685">
        <v>0</v>
      </c>
      <c r="D1685">
        <v>0</v>
      </c>
      <c r="E1685">
        <v>0</v>
      </c>
      <c r="F1685">
        <v>0</v>
      </c>
      <c r="G1685">
        <v>24.721299999999999</v>
      </c>
      <c r="H1685">
        <v>0</v>
      </c>
      <c r="I1685">
        <v>0</v>
      </c>
      <c r="J1685">
        <v>0</v>
      </c>
      <c r="K1685">
        <v>0</v>
      </c>
      <c r="L1685">
        <v>110</v>
      </c>
      <c r="M1685">
        <v>159</v>
      </c>
      <c r="N1685" t="s">
        <v>32</v>
      </c>
      <c r="O1685" s="3">
        <v>44608</v>
      </c>
      <c r="P1685">
        <v>-1</v>
      </c>
      <c r="T1685" t="s">
        <v>47</v>
      </c>
      <c r="U1685">
        <v>85</v>
      </c>
      <c r="V1685">
        <v>29.425000000000001</v>
      </c>
    </row>
    <row r="1686" spans="1:22" x14ac:dyDescent="0.35">
      <c r="A1686" s="3">
        <v>44449</v>
      </c>
      <c r="B1686" t="s">
        <v>30</v>
      </c>
      <c r="C1686">
        <v>0</v>
      </c>
      <c r="D1686">
        <v>0</v>
      </c>
      <c r="E1686">
        <v>0</v>
      </c>
      <c r="F1686">
        <v>0</v>
      </c>
      <c r="G1686">
        <v>25.296199999999999</v>
      </c>
      <c r="H1686">
        <v>0</v>
      </c>
      <c r="I1686">
        <v>0</v>
      </c>
      <c r="J1686">
        <v>0</v>
      </c>
      <c r="K1686">
        <v>0</v>
      </c>
      <c r="L1686">
        <v>154</v>
      </c>
      <c r="M1686">
        <v>222</v>
      </c>
      <c r="N1686" t="s">
        <v>30</v>
      </c>
      <c r="O1686" s="3">
        <v>44671</v>
      </c>
      <c r="P1686">
        <v>-1</v>
      </c>
      <c r="T1686" t="s">
        <v>46</v>
      </c>
      <c r="U1686">
        <v>104</v>
      </c>
      <c r="V1686">
        <v>28.024999999999999</v>
      </c>
    </row>
    <row r="1687" spans="1:22" x14ac:dyDescent="0.35">
      <c r="A1687" s="3">
        <v>44449</v>
      </c>
      <c r="B1687" t="s">
        <v>36</v>
      </c>
      <c r="C1687">
        <v>0</v>
      </c>
      <c r="D1687">
        <v>0</v>
      </c>
      <c r="E1687">
        <v>0</v>
      </c>
      <c r="F1687">
        <v>0</v>
      </c>
      <c r="G1687">
        <v>22.154299999999999</v>
      </c>
      <c r="H1687">
        <v>0</v>
      </c>
      <c r="I1687">
        <v>0</v>
      </c>
      <c r="J1687">
        <v>0</v>
      </c>
      <c r="K1687">
        <v>0</v>
      </c>
      <c r="L1687">
        <v>28</v>
      </c>
      <c r="M1687">
        <v>40</v>
      </c>
      <c r="N1687" t="s">
        <v>36</v>
      </c>
      <c r="O1687" s="3">
        <v>44489</v>
      </c>
      <c r="P1687">
        <v>-1</v>
      </c>
      <c r="S1687" s="3">
        <v>44034</v>
      </c>
      <c r="T1687" t="s">
        <v>45</v>
      </c>
      <c r="U1687">
        <v>125</v>
      </c>
      <c r="V1687">
        <v>28.175000000000001</v>
      </c>
    </row>
    <row r="1688" spans="1:22" x14ac:dyDescent="0.35">
      <c r="A1688" s="3">
        <v>44449</v>
      </c>
      <c r="B1688" t="s">
        <v>33</v>
      </c>
      <c r="C1688">
        <v>0</v>
      </c>
      <c r="D1688">
        <v>0</v>
      </c>
      <c r="E1688">
        <v>0</v>
      </c>
      <c r="F1688">
        <v>0</v>
      </c>
      <c r="G1688">
        <v>24.259799999999998</v>
      </c>
      <c r="H1688">
        <v>0</v>
      </c>
      <c r="I1688">
        <v>0</v>
      </c>
      <c r="J1688">
        <v>0</v>
      </c>
      <c r="K1688">
        <v>0</v>
      </c>
      <c r="L1688">
        <v>90</v>
      </c>
      <c r="M1688">
        <v>131</v>
      </c>
      <c r="N1688" t="s">
        <v>33</v>
      </c>
      <c r="O1688" s="3">
        <v>44580</v>
      </c>
      <c r="P1688">
        <v>-1</v>
      </c>
      <c r="T1688" t="s">
        <v>44</v>
      </c>
      <c r="U1688">
        <v>144</v>
      </c>
      <c r="V1688">
        <v>27.824999999999999</v>
      </c>
    </row>
    <row r="1689" spans="1:22" x14ac:dyDescent="0.35">
      <c r="A1689" s="3">
        <v>44449</v>
      </c>
      <c r="B1689" t="s">
        <v>35</v>
      </c>
      <c r="C1689">
        <v>0</v>
      </c>
      <c r="D1689">
        <v>0</v>
      </c>
      <c r="E1689">
        <v>0</v>
      </c>
      <c r="F1689">
        <v>0</v>
      </c>
      <c r="G1689">
        <v>22.847200000000001</v>
      </c>
      <c r="H1689">
        <v>0</v>
      </c>
      <c r="I1689">
        <v>0</v>
      </c>
      <c r="J1689">
        <v>0</v>
      </c>
      <c r="K1689">
        <v>0</v>
      </c>
      <c r="L1689">
        <v>48</v>
      </c>
      <c r="M1689">
        <v>68</v>
      </c>
      <c r="N1689" t="s">
        <v>35</v>
      </c>
      <c r="O1689" s="3">
        <v>44517</v>
      </c>
      <c r="P1689">
        <v>-1</v>
      </c>
      <c r="T1689" t="s">
        <v>51</v>
      </c>
      <c r="U1689">
        <v>0</v>
      </c>
      <c r="V1689">
        <v>25.45</v>
      </c>
    </row>
    <row r="1690" spans="1:22" x14ac:dyDescent="0.35">
      <c r="A1690" s="3">
        <v>44449</v>
      </c>
      <c r="B1690" t="s">
        <v>29</v>
      </c>
      <c r="C1690">
        <v>0</v>
      </c>
      <c r="D1690">
        <v>0</v>
      </c>
      <c r="E1690">
        <v>0</v>
      </c>
      <c r="F1690">
        <v>0</v>
      </c>
      <c r="G1690">
        <v>25.125</v>
      </c>
      <c r="H1690">
        <v>0</v>
      </c>
      <c r="I1690">
        <v>0</v>
      </c>
      <c r="J1690">
        <v>0</v>
      </c>
      <c r="K1690">
        <v>0</v>
      </c>
      <c r="L1690">
        <v>174</v>
      </c>
      <c r="M1690">
        <v>250</v>
      </c>
      <c r="N1690" t="s">
        <v>29</v>
      </c>
      <c r="O1690" s="3">
        <v>44699</v>
      </c>
      <c r="P1690">
        <v>-1</v>
      </c>
      <c r="T1690" t="s">
        <v>50</v>
      </c>
      <c r="U1690">
        <v>20</v>
      </c>
      <c r="V1690">
        <v>27.25</v>
      </c>
    </row>
    <row r="1691" spans="1:22" x14ac:dyDescent="0.35">
      <c r="A1691" s="3">
        <v>44449</v>
      </c>
      <c r="B1691" t="s">
        <v>34</v>
      </c>
      <c r="C1691">
        <v>0</v>
      </c>
      <c r="D1691">
        <v>0</v>
      </c>
      <c r="E1691">
        <v>0</v>
      </c>
      <c r="F1691">
        <v>0</v>
      </c>
      <c r="G1691">
        <v>23.200399999999998</v>
      </c>
      <c r="H1691">
        <v>0</v>
      </c>
      <c r="I1691">
        <v>0</v>
      </c>
      <c r="J1691">
        <v>0</v>
      </c>
      <c r="K1691">
        <v>0</v>
      </c>
      <c r="L1691">
        <v>72</v>
      </c>
      <c r="M1691">
        <v>103</v>
      </c>
      <c r="N1691" t="s">
        <v>34</v>
      </c>
      <c r="O1691" s="3">
        <v>44552</v>
      </c>
      <c r="P1691">
        <v>-1</v>
      </c>
      <c r="T1691" t="s">
        <v>49</v>
      </c>
      <c r="U1691">
        <v>39</v>
      </c>
      <c r="V1691">
        <v>29.125</v>
      </c>
    </row>
    <row r="1692" spans="1:22" x14ac:dyDescent="0.35">
      <c r="A1692" s="3">
        <v>44449</v>
      </c>
      <c r="B1692" t="s">
        <v>31</v>
      </c>
      <c r="C1692">
        <v>0</v>
      </c>
      <c r="D1692">
        <v>0</v>
      </c>
      <c r="E1692">
        <v>0</v>
      </c>
      <c r="F1692">
        <v>0</v>
      </c>
      <c r="G1692">
        <v>25.22</v>
      </c>
      <c r="H1692">
        <v>0</v>
      </c>
      <c r="I1692">
        <v>0</v>
      </c>
      <c r="J1692">
        <v>0</v>
      </c>
      <c r="K1692">
        <v>0</v>
      </c>
      <c r="L1692">
        <v>128</v>
      </c>
      <c r="M1692">
        <v>186</v>
      </c>
      <c r="N1692" t="s">
        <v>31</v>
      </c>
      <c r="O1692" s="3">
        <v>44635</v>
      </c>
      <c r="P1692">
        <v>-1</v>
      </c>
      <c r="T1692" t="s">
        <v>48</v>
      </c>
      <c r="U1692">
        <v>64</v>
      </c>
      <c r="V1692">
        <v>31.25</v>
      </c>
    </row>
    <row r="1693" spans="1:22" x14ac:dyDescent="0.35">
      <c r="A1693" s="3">
        <v>44448</v>
      </c>
      <c r="B1693" t="s">
        <v>35</v>
      </c>
      <c r="C1693">
        <v>0</v>
      </c>
      <c r="D1693">
        <v>0</v>
      </c>
      <c r="E1693">
        <v>0</v>
      </c>
      <c r="F1693">
        <v>0</v>
      </c>
      <c r="G1693">
        <v>22.4282</v>
      </c>
      <c r="H1693">
        <v>0</v>
      </c>
      <c r="I1693">
        <v>0</v>
      </c>
      <c r="J1693">
        <v>0</v>
      </c>
      <c r="K1693">
        <v>0</v>
      </c>
      <c r="L1693">
        <v>49</v>
      </c>
      <c r="M1693">
        <v>69</v>
      </c>
      <c r="N1693" t="s">
        <v>35</v>
      </c>
      <c r="O1693" s="3">
        <v>44517</v>
      </c>
      <c r="P1693">
        <v>-1</v>
      </c>
      <c r="T1693" t="s">
        <v>47</v>
      </c>
      <c r="U1693">
        <v>84</v>
      </c>
      <c r="V1693">
        <v>29.2</v>
      </c>
    </row>
    <row r="1694" spans="1:22" x14ac:dyDescent="0.35">
      <c r="A1694" s="3">
        <v>44448</v>
      </c>
      <c r="B1694" t="s">
        <v>29</v>
      </c>
      <c r="C1694">
        <v>0</v>
      </c>
      <c r="D1694">
        <v>0</v>
      </c>
      <c r="E1694">
        <v>0</v>
      </c>
      <c r="F1694">
        <v>0</v>
      </c>
      <c r="G1694">
        <v>24.8</v>
      </c>
      <c r="H1694">
        <v>0</v>
      </c>
      <c r="I1694">
        <v>0</v>
      </c>
      <c r="J1694">
        <v>0</v>
      </c>
      <c r="K1694">
        <v>0</v>
      </c>
      <c r="L1694">
        <v>175</v>
      </c>
      <c r="M1694">
        <v>251</v>
      </c>
      <c r="N1694" t="s">
        <v>29</v>
      </c>
      <c r="O1694" s="3">
        <v>44699</v>
      </c>
      <c r="P1694">
        <v>-1</v>
      </c>
      <c r="T1694" t="s">
        <v>46</v>
      </c>
      <c r="U1694">
        <v>103</v>
      </c>
      <c r="V1694">
        <v>27.875</v>
      </c>
    </row>
    <row r="1695" spans="1:22" x14ac:dyDescent="0.35">
      <c r="A1695" s="3">
        <v>44448</v>
      </c>
      <c r="B1695" t="s">
        <v>34</v>
      </c>
      <c r="C1695">
        <v>0</v>
      </c>
      <c r="D1695">
        <v>0</v>
      </c>
      <c r="E1695">
        <v>0</v>
      </c>
      <c r="F1695">
        <v>0</v>
      </c>
      <c r="G1695">
        <v>22.894600000000001</v>
      </c>
      <c r="H1695">
        <v>0</v>
      </c>
      <c r="I1695">
        <v>0</v>
      </c>
      <c r="J1695">
        <v>0</v>
      </c>
      <c r="K1695">
        <v>0</v>
      </c>
      <c r="L1695">
        <v>73</v>
      </c>
      <c r="M1695">
        <v>104</v>
      </c>
      <c r="N1695" t="s">
        <v>34</v>
      </c>
      <c r="O1695" s="3">
        <v>44552</v>
      </c>
      <c r="P1695">
        <v>-1</v>
      </c>
      <c r="S1695" s="3">
        <v>44035</v>
      </c>
      <c r="T1695" t="s">
        <v>45</v>
      </c>
      <c r="U1695">
        <v>124</v>
      </c>
      <c r="V1695">
        <v>28.725000000000001</v>
      </c>
    </row>
    <row r="1696" spans="1:22" x14ac:dyDescent="0.35">
      <c r="A1696" s="3">
        <v>44448</v>
      </c>
      <c r="B1696" t="s">
        <v>31</v>
      </c>
      <c r="C1696">
        <v>0</v>
      </c>
      <c r="D1696">
        <v>0</v>
      </c>
      <c r="E1696">
        <v>0</v>
      </c>
      <c r="F1696">
        <v>0</v>
      </c>
      <c r="G1696">
        <v>24.95</v>
      </c>
      <c r="H1696">
        <v>0</v>
      </c>
      <c r="I1696">
        <v>0</v>
      </c>
      <c r="J1696">
        <v>0</v>
      </c>
      <c r="K1696">
        <v>0</v>
      </c>
      <c r="L1696">
        <v>129</v>
      </c>
      <c r="M1696">
        <v>187</v>
      </c>
      <c r="N1696" t="s">
        <v>31</v>
      </c>
      <c r="O1696" s="3">
        <v>44635</v>
      </c>
      <c r="P1696">
        <v>-1</v>
      </c>
      <c r="T1696" t="s">
        <v>44</v>
      </c>
      <c r="U1696">
        <v>143</v>
      </c>
      <c r="V1696">
        <v>28.4</v>
      </c>
    </row>
    <row r="1697" spans="1:22" x14ac:dyDescent="0.35">
      <c r="A1697" s="3">
        <v>44448</v>
      </c>
      <c r="B1697" t="s">
        <v>32</v>
      </c>
      <c r="C1697">
        <v>0</v>
      </c>
      <c r="D1697">
        <v>0</v>
      </c>
      <c r="E1697">
        <v>0</v>
      </c>
      <c r="F1697">
        <v>0</v>
      </c>
      <c r="G1697">
        <v>24.449100000000001</v>
      </c>
      <c r="H1697">
        <v>0</v>
      </c>
      <c r="I1697">
        <v>0</v>
      </c>
      <c r="J1697">
        <v>0</v>
      </c>
      <c r="K1697">
        <v>0</v>
      </c>
      <c r="L1697">
        <v>111</v>
      </c>
      <c r="M1697">
        <v>160</v>
      </c>
      <c r="N1697" t="s">
        <v>32</v>
      </c>
      <c r="O1697" s="3">
        <v>44608</v>
      </c>
      <c r="P1697">
        <v>-1</v>
      </c>
      <c r="T1697" t="s">
        <v>43</v>
      </c>
      <c r="U1697">
        <v>163</v>
      </c>
      <c r="V1697">
        <v>28.074999999999999</v>
      </c>
    </row>
    <row r="1698" spans="1:22" x14ac:dyDescent="0.35">
      <c r="A1698" s="3">
        <v>44448</v>
      </c>
      <c r="B1698" t="s">
        <v>30</v>
      </c>
      <c r="C1698">
        <v>0</v>
      </c>
      <c r="D1698">
        <v>0</v>
      </c>
      <c r="E1698">
        <v>0</v>
      </c>
      <c r="F1698">
        <v>0</v>
      </c>
      <c r="G1698">
        <v>24.925000000000001</v>
      </c>
      <c r="H1698">
        <v>0</v>
      </c>
      <c r="I1698">
        <v>0</v>
      </c>
      <c r="J1698">
        <v>0</v>
      </c>
      <c r="K1698">
        <v>0</v>
      </c>
      <c r="L1698">
        <v>155</v>
      </c>
      <c r="M1698">
        <v>223</v>
      </c>
      <c r="N1698" t="s">
        <v>30</v>
      </c>
      <c r="O1698" s="3">
        <v>44671</v>
      </c>
      <c r="P1698">
        <v>-1</v>
      </c>
      <c r="T1698" t="s">
        <v>50</v>
      </c>
      <c r="U1698">
        <v>19</v>
      </c>
      <c r="V1698">
        <v>28.774999999999999</v>
      </c>
    </row>
    <row r="1699" spans="1:22" x14ac:dyDescent="0.35">
      <c r="A1699" s="3">
        <v>44448</v>
      </c>
      <c r="B1699" t="s">
        <v>36</v>
      </c>
      <c r="C1699">
        <v>0</v>
      </c>
      <c r="D1699">
        <v>0</v>
      </c>
      <c r="E1699">
        <v>0</v>
      </c>
      <c r="F1699">
        <v>0</v>
      </c>
      <c r="G1699">
        <v>21.353000000000002</v>
      </c>
      <c r="H1699">
        <v>0</v>
      </c>
      <c r="I1699">
        <v>0</v>
      </c>
      <c r="J1699">
        <v>0</v>
      </c>
      <c r="K1699">
        <v>0</v>
      </c>
      <c r="L1699">
        <v>29</v>
      </c>
      <c r="M1699">
        <v>41</v>
      </c>
      <c r="N1699" t="s">
        <v>36</v>
      </c>
      <c r="O1699" s="3">
        <v>44489</v>
      </c>
      <c r="P1699">
        <v>-1</v>
      </c>
      <c r="T1699" t="s">
        <v>49</v>
      </c>
      <c r="U1699">
        <v>38</v>
      </c>
      <c r="V1699">
        <v>30.274999999999999</v>
      </c>
    </row>
    <row r="1700" spans="1:22" x14ac:dyDescent="0.35">
      <c r="A1700" s="3">
        <v>44448</v>
      </c>
      <c r="B1700" t="s">
        <v>33</v>
      </c>
      <c r="C1700">
        <v>0</v>
      </c>
      <c r="D1700">
        <v>0</v>
      </c>
      <c r="E1700">
        <v>0</v>
      </c>
      <c r="F1700">
        <v>0</v>
      </c>
      <c r="G1700">
        <v>23.987100000000002</v>
      </c>
      <c r="H1700">
        <v>0</v>
      </c>
      <c r="I1700">
        <v>0</v>
      </c>
      <c r="J1700">
        <v>0</v>
      </c>
      <c r="K1700">
        <v>0</v>
      </c>
      <c r="L1700">
        <v>91</v>
      </c>
      <c r="M1700">
        <v>132</v>
      </c>
      <c r="N1700" t="s">
        <v>33</v>
      </c>
      <c r="O1700" s="3">
        <v>44580</v>
      </c>
      <c r="P1700">
        <v>-1</v>
      </c>
      <c r="T1700" t="s">
        <v>48</v>
      </c>
      <c r="U1700">
        <v>63</v>
      </c>
      <c r="V1700">
        <v>32.174999999999997</v>
      </c>
    </row>
    <row r="1701" spans="1:22" x14ac:dyDescent="0.35">
      <c r="A1701" s="3">
        <v>44447</v>
      </c>
      <c r="B1701" t="s">
        <v>32</v>
      </c>
      <c r="C1701">
        <v>0</v>
      </c>
      <c r="D1701">
        <v>0</v>
      </c>
      <c r="E1701">
        <v>0</v>
      </c>
      <c r="F1701">
        <v>0</v>
      </c>
      <c r="G1701">
        <v>24.15</v>
      </c>
      <c r="H1701">
        <v>0</v>
      </c>
      <c r="I1701">
        <v>0</v>
      </c>
      <c r="J1701">
        <v>0</v>
      </c>
      <c r="K1701">
        <v>0</v>
      </c>
      <c r="L1701">
        <v>112</v>
      </c>
      <c r="M1701">
        <v>161</v>
      </c>
      <c r="N1701" t="s">
        <v>32</v>
      </c>
      <c r="O1701" s="3">
        <v>44608</v>
      </c>
      <c r="P1701">
        <v>-1</v>
      </c>
      <c r="T1701" t="s">
        <v>47</v>
      </c>
      <c r="U1701">
        <v>83</v>
      </c>
      <c r="V1701">
        <v>29.975000000000001</v>
      </c>
    </row>
    <row r="1702" spans="1:22" x14ac:dyDescent="0.35">
      <c r="A1702" s="3">
        <v>44447</v>
      </c>
      <c r="B1702" t="s">
        <v>30</v>
      </c>
      <c r="C1702">
        <v>0</v>
      </c>
      <c r="D1702">
        <v>0</v>
      </c>
      <c r="E1702">
        <v>0</v>
      </c>
      <c r="F1702">
        <v>0</v>
      </c>
      <c r="G1702">
        <v>24.75</v>
      </c>
      <c r="H1702">
        <v>0</v>
      </c>
      <c r="I1702">
        <v>0</v>
      </c>
      <c r="J1702">
        <v>0</v>
      </c>
      <c r="K1702">
        <v>0</v>
      </c>
      <c r="L1702">
        <v>156</v>
      </c>
      <c r="M1702">
        <v>224</v>
      </c>
      <c r="N1702" t="s">
        <v>30</v>
      </c>
      <c r="O1702" s="3">
        <v>44671</v>
      </c>
      <c r="P1702">
        <v>-1</v>
      </c>
      <c r="T1702" t="s">
        <v>46</v>
      </c>
      <c r="U1702">
        <v>102</v>
      </c>
      <c r="V1702">
        <v>28.45</v>
      </c>
    </row>
    <row r="1703" spans="1:22" x14ac:dyDescent="0.35">
      <c r="A1703" s="3">
        <v>44447</v>
      </c>
      <c r="B1703" t="s">
        <v>36</v>
      </c>
      <c r="C1703">
        <v>0</v>
      </c>
      <c r="D1703">
        <v>0</v>
      </c>
      <c r="E1703">
        <v>0</v>
      </c>
      <c r="F1703">
        <v>0</v>
      </c>
      <c r="G1703">
        <v>20.9315</v>
      </c>
      <c r="H1703">
        <v>0</v>
      </c>
      <c r="I1703">
        <v>0</v>
      </c>
      <c r="J1703">
        <v>0</v>
      </c>
      <c r="K1703">
        <v>0</v>
      </c>
      <c r="L1703">
        <v>30</v>
      </c>
      <c r="M1703">
        <v>42</v>
      </c>
      <c r="N1703" t="s">
        <v>36</v>
      </c>
      <c r="O1703" s="3">
        <v>44489</v>
      </c>
      <c r="P1703">
        <v>-1</v>
      </c>
      <c r="S1703" s="3">
        <v>44036</v>
      </c>
      <c r="T1703" t="s">
        <v>45</v>
      </c>
      <c r="U1703">
        <v>123</v>
      </c>
      <c r="V1703">
        <v>29.074999999999999</v>
      </c>
    </row>
    <row r="1704" spans="1:22" x14ac:dyDescent="0.35">
      <c r="A1704" s="3">
        <v>44447</v>
      </c>
      <c r="B1704" t="s">
        <v>33</v>
      </c>
      <c r="C1704">
        <v>0</v>
      </c>
      <c r="D1704">
        <v>0</v>
      </c>
      <c r="E1704">
        <v>0</v>
      </c>
      <c r="F1704">
        <v>0</v>
      </c>
      <c r="G1704">
        <v>23.737500000000001</v>
      </c>
      <c r="H1704">
        <v>0</v>
      </c>
      <c r="I1704">
        <v>0</v>
      </c>
      <c r="J1704">
        <v>0</v>
      </c>
      <c r="K1704">
        <v>0</v>
      </c>
      <c r="L1704">
        <v>92</v>
      </c>
      <c r="M1704">
        <v>133</v>
      </c>
      <c r="N1704" t="s">
        <v>33</v>
      </c>
      <c r="O1704" s="3">
        <v>44580</v>
      </c>
      <c r="P1704">
        <v>-1</v>
      </c>
      <c r="T1704" t="s">
        <v>44</v>
      </c>
      <c r="U1704">
        <v>142</v>
      </c>
      <c r="V1704">
        <v>28.675000000000001</v>
      </c>
    </row>
    <row r="1705" spans="1:22" x14ac:dyDescent="0.35">
      <c r="A1705" s="3">
        <v>44447</v>
      </c>
      <c r="B1705" t="s">
        <v>35</v>
      </c>
      <c r="C1705">
        <v>0</v>
      </c>
      <c r="D1705">
        <v>0</v>
      </c>
      <c r="E1705">
        <v>0</v>
      </c>
      <c r="F1705">
        <v>0</v>
      </c>
      <c r="G1705">
        <v>22.194900000000001</v>
      </c>
      <c r="H1705">
        <v>0</v>
      </c>
      <c r="I1705">
        <v>0</v>
      </c>
      <c r="J1705">
        <v>0</v>
      </c>
      <c r="K1705">
        <v>0</v>
      </c>
      <c r="L1705">
        <v>50</v>
      </c>
      <c r="M1705">
        <v>70</v>
      </c>
      <c r="N1705" t="s">
        <v>35</v>
      </c>
      <c r="O1705" s="3">
        <v>44517</v>
      </c>
      <c r="P1705">
        <v>-1</v>
      </c>
      <c r="T1705" t="s">
        <v>43</v>
      </c>
      <c r="U1705">
        <v>162</v>
      </c>
      <c r="V1705">
        <v>28.524999999999999</v>
      </c>
    </row>
    <row r="1706" spans="1:22" x14ac:dyDescent="0.35">
      <c r="A1706" s="3">
        <v>44447</v>
      </c>
      <c r="B1706" t="s">
        <v>29</v>
      </c>
      <c r="C1706">
        <v>0</v>
      </c>
      <c r="D1706">
        <v>0</v>
      </c>
      <c r="E1706">
        <v>0</v>
      </c>
      <c r="F1706">
        <v>0</v>
      </c>
      <c r="G1706">
        <v>24.675000000000001</v>
      </c>
      <c r="H1706">
        <v>0</v>
      </c>
      <c r="I1706">
        <v>0</v>
      </c>
      <c r="J1706">
        <v>0</v>
      </c>
      <c r="K1706">
        <v>0</v>
      </c>
      <c r="L1706">
        <v>176</v>
      </c>
      <c r="M1706">
        <v>252</v>
      </c>
      <c r="N1706" t="s">
        <v>29</v>
      </c>
      <c r="O1706" s="3">
        <v>44699</v>
      </c>
      <c r="P1706">
        <v>-1</v>
      </c>
      <c r="T1706" t="s">
        <v>50</v>
      </c>
      <c r="U1706">
        <v>18</v>
      </c>
      <c r="V1706">
        <v>28.725000000000001</v>
      </c>
    </row>
    <row r="1707" spans="1:22" x14ac:dyDescent="0.35">
      <c r="A1707" s="3">
        <v>44447</v>
      </c>
      <c r="B1707" t="s">
        <v>34</v>
      </c>
      <c r="C1707">
        <v>0</v>
      </c>
      <c r="D1707">
        <v>0</v>
      </c>
      <c r="E1707">
        <v>0</v>
      </c>
      <c r="F1707">
        <v>0</v>
      </c>
      <c r="G1707">
        <v>22.6114</v>
      </c>
      <c r="H1707">
        <v>0</v>
      </c>
      <c r="I1707">
        <v>0</v>
      </c>
      <c r="J1707">
        <v>0</v>
      </c>
      <c r="K1707">
        <v>0</v>
      </c>
      <c r="L1707">
        <v>74</v>
      </c>
      <c r="M1707">
        <v>105</v>
      </c>
      <c r="N1707" t="s">
        <v>34</v>
      </c>
      <c r="O1707" s="3">
        <v>44552</v>
      </c>
      <c r="P1707">
        <v>-1</v>
      </c>
      <c r="T1707" t="s">
        <v>49</v>
      </c>
      <c r="U1707">
        <v>37</v>
      </c>
      <c r="V1707">
        <v>30.524999999999999</v>
      </c>
    </row>
    <row r="1708" spans="1:22" x14ac:dyDescent="0.35">
      <c r="A1708" s="3">
        <v>44447</v>
      </c>
      <c r="B1708" t="s">
        <v>31</v>
      </c>
      <c r="C1708">
        <v>0</v>
      </c>
      <c r="D1708">
        <v>0</v>
      </c>
      <c r="E1708">
        <v>0</v>
      </c>
      <c r="F1708">
        <v>0</v>
      </c>
      <c r="G1708">
        <v>24.65</v>
      </c>
      <c r="H1708">
        <v>0</v>
      </c>
      <c r="I1708">
        <v>0</v>
      </c>
      <c r="J1708">
        <v>0</v>
      </c>
      <c r="K1708">
        <v>0</v>
      </c>
      <c r="L1708">
        <v>130</v>
      </c>
      <c r="M1708">
        <v>188</v>
      </c>
      <c r="N1708" t="s">
        <v>31</v>
      </c>
      <c r="O1708" s="3">
        <v>44635</v>
      </c>
      <c r="P1708">
        <v>-1</v>
      </c>
      <c r="T1708" t="s">
        <v>48</v>
      </c>
      <c r="U1708">
        <v>62</v>
      </c>
      <c r="V1708">
        <v>32.524999999999999</v>
      </c>
    </row>
    <row r="1709" spans="1:22" x14ac:dyDescent="0.35">
      <c r="A1709" s="3">
        <v>44446</v>
      </c>
      <c r="B1709" t="s">
        <v>35</v>
      </c>
      <c r="C1709">
        <v>0</v>
      </c>
      <c r="D1709">
        <v>0</v>
      </c>
      <c r="E1709">
        <v>0</v>
      </c>
      <c r="F1709">
        <v>0</v>
      </c>
      <c r="G1709">
        <v>22.0426</v>
      </c>
      <c r="H1709">
        <v>0</v>
      </c>
      <c r="I1709">
        <v>0</v>
      </c>
      <c r="J1709">
        <v>0</v>
      </c>
      <c r="K1709">
        <v>0</v>
      </c>
      <c r="L1709">
        <v>51</v>
      </c>
      <c r="M1709">
        <v>71</v>
      </c>
      <c r="N1709" t="s">
        <v>35</v>
      </c>
      <c r="O1709" s="3">
        <v>44517</v>
      </c>
      <c r="P1709">
        <v>-1</v>
      </c>
      <c r="T1709" t="s">
        <v>47</v>
      </c>
      <c r="U1709">
        <v>82</v>
      </c>
      <c r="V1709">
        <v>30.375</v>
      </c>
    </row>
    <row r="1710" spans="1:22" x14ac:dyDescent="0.35">
      <c r="A1710" s="3">
        <v>44446</v>
      </c>
      <c r="B1710" t="s">
        <v>29</v>
      </c>
      <c r="C1710">
        <v>0</v>
      </c>
      <c r="D1710">
        <v>0</v>
      </c>
      <c r="E1710">
        <v>0</v>
      </c>
      <c r="F1710">
        <v>0</v>
      </c>
      <c r="G1710">
        <v>24.625</v>
      </c>
      <c r="H1710">
        <v>0</v>
      </c>
      <c r="I1710">
        <v>0</v>
      </c>
      <c r="J1710">
        <v>0</v>
      </c>
      <c r="K1710">
        <v>0</v>
      </c>
      <c r="L1710">
        <v>177</v>
      </c>
      <c r="M1710">
        <v>253</v>
      </c>
      <c r="N1710" t="s">
        <v>29</v>
      </c>
      <c r="O1710" s="3">
        <v>44699</v>
      </c>
      <c r="P1710">
        <v>-1</v>
      </c>
      <c r="T1710" t="s">
        <v>46</v>
      </c>
      <c r="U1710">
        <v>101</v>
      </c>
      <c r="V1710">
        <v>28.675000000000001</v>
      </c>
    </row>
    <row r="1711" spans="1:22" x14ac:dyDescent="0.35">
      <c r="A1711" s="3">
        <v>44446</v>
      </c>
      <c r="B1711" t="s">
        <v>34</v>
      </c>
      <c r="C1711">
        <v>0</v>
      </c>
      <c r="D1711">
        <v>0</v>
      </c>
      <c r="E1711">
        <v>0</v>
      </c>
      <c r="F1711">
        <v>0</v>
      </c>
      <c r="G1711">
        <v>22.448</v>
      </c>
      <c r="H1711">
        <v>0</v>
      </c>
      <c r="I1711">
        <v>0</v>
      </c>
      <c r="J1711">
        <v>0</v>
      </c>
      <c r="K1711">
        <v>0</v>
      </c>
      <c r="L1711">
        <v>75</v>
      </c>
      <c r="M1711">
        <v>106</v>
      </c>
      <c r="N1711" t="s">
        <v>34</v>
      </c>
      <c r="O1711" s="3">
        <v>44552</v>
      </c>
      <c r="P1711">
        <v>-1</v>
      </c>
      <c r="S1711" s="3">
        <v>44039</v>
      </c>
      <c r="T1711" t="s">
        <v>45</v>
      </c>
      <c r="U1711">
        <v>122</v>
      </c>
      <c r="V1711">
        <v>28.824999999999999</v>
      </c>
    </row>
    <row r="1712" spans="1:22" x14ac:dyDescent="0.35">
      <c r="A1712" s="3">
        <v>44446</v>
      </c>
      <c r="B1712" t="s">
        <v>31</v>
      </c>
      <c r="C1712">
        <v>0</v>
      </c>
      <c r="D1712">
        <v>0</v>
      </c>
      <c r="E1712">
        <v>0</v>
      </c>
      <c r="F1712">
        <v>0</v>
      </c>
      <c r="G1712">
        <v>24.613499999999998</v>
      </c>
      <c r="H1712">
        <v>0</v>
      </c>
      <c r="I1712">
        <v>0</v>
      </c>
      <c r="J1712">
        <v>0</v>
      </c>
      <c r="K1712">
        <v>0</v>
      </c>
      <c r="L1712">
        <v>131</v>
      </c>
      <c r="M1712">
        <v>189</v>
      </c>
      <c r="N1712" t="s">
        <v>31</v>
      </c>
      <c r="O1712" s="3">
        <v>44635</v>
      </c>
      <c r="P1712">
        <v>-1</v>
      </c>
      <c r="T1712" t="s">
        <v>44</v>
      </c>
      <c r="U1712">
        <v>141</v>
      </c>
      <c r="V1712">
        <v>28.475000000000001</v>
      </c>
    </row>
    <row r="1713" spans="1:22" x14ac:dyDescent="0.35">
      <c r="A1713" s="3">
        <v>44446</v>
      </c>
      <c r="B1713" t="s">
        <v>32</v>
      </c>
      <c r="C1713">
        <v>0</v>
      </c>
      <c r="D1713">
        <v>0</v>
      </c>
      <c r="E1713">
        <v>0</v>
      </c>
      <c r="F1713">
        <v>0</v>
      </c>
      <c r="G1713">
        <v>24.1401</v>
      </c>
      <c r="H1713">
        <v>0</v>
      </c>
      <c r="I1713">
        <v>0</v>
      </c>
      <c r="J1713">
        <v>0</v>
      </c>
      <c r="K1713">
        <v>0</v>
      </c>
      <c r="L1713">
        <v>113</v>
      </c>
      <c r="M1713">
        <v>162</v>
      </c>
      <c r="N1713" t="s">
        <v>32</v>
      </c>
      <c r="O1713" s="3">
        <v>44608</v>
      </c>
      <c r="P1713">
        <v>-1</v>
      </c>
      <c r="T1713" t="s">
        <v>43</v>
      </c>
      <c r="U1713">
        <v>161</v>
      </c>
      <c r="V1713">
        <v>28.375</v>
      </c>
    </row>
    <row r="1714" spans="1:22" x14ac:dyDescent="0.35">
      <c r="A1714" s="3">
        <v>44446</v>
      </c>
      <c r="B1714" t="s">
        <v>30</v>
      </c>
      <c r="C1714">
        <v>0</v>
      </c>
      <c r="D1714">
        <v>0</v>
      </c>
      <c r="E1714">
        <v>0</v>
      </c>
      <c r="F1714">
        <v>0</v>
      </c>
      <c r="G1714">
        <v>24.65</v>
      </c>
      <c r="H1714">
        <v>0</v>
      </c>
      <c r="I1714">
        <v>0</v>
      </c>
      <c r="J1714">
        <v>0</v>
      </c>
      <c r="K1714">
        <v>0</v>
      </c>
      <c r="L1714">
        <v>157</v>
      </c>
      <c r="M1714">
        <v>225</v>
      </c>
      <c r="N1714" t="s">
        <v>30</v>
      </c>
      <c r="O1714" s="3">
        <v>44671</v>
      </c>
      <c r="P1714">
        <v>-1</v>
      </c>
      <c r="T1714" t="s">
        <v>50</v>
      </c>
      <c r="U1714">
        <v>17</v>
      </c>
      <c r="V1714">
        <v>27.524999999999999</v>
      </c>
    </row>
    <row r="1715" spans="1:22" x14ac:dyDescent="0.35">
      <c r="A1715" s="3">
        <v>44446</v>
      </c>
      <c r="B1715" t="s">
        <v>36</v>
      </c>
      <c r="C1715">
        <v>0</v>
      </c>
      <c r="D1715">
        <v>0</v>
      </c>
      <c r="E1715">
        <v>0</v>
      </c>
      <c r="F1715">
        <v>0</v>
      </c>
      <c r="G1715">
        <v>20.900500000000001</v>
      </c>
      <c r="H1715">
        <v>0</v>
      </c>
      <c r="I1715">
        <v>0</v>
      </c>
      <c r="J1715">
        <v>0</v>
      </c>
      <c r="K1715">
        <v>0</v>
      </c>
      <c r="L1715">
        <v>31</v>
      </c>
      <c r="M1715">
        <v>43</v>
      </c>
      <c r="N1715" t="s">
        <v>36</v>
      </c>
      <c r="O1715" s="3">
        <v>44489</v>
      </c>
      <c r="P1715">
        <v>-1</v>
      </c>
      <c r="T1715" t="s">
        <v>49</v>
      </c>
      <c r="U1715">
        <v>36</v>
      </c>
      <c r="V1715">
        <v>29.925000000000001</v>
      </c>
    </row>
    <row r="1716" spans="1:22" x14ac:dyDescent="0.35">
      <c r="A1716" s="3">
        <v>44446</v>
      </c>
      <c r="B1716" t="s">
        <v>33</v>
      </c>
      <c r="C1716">
        <v>0</v>
      </c>
      <c r="D1716">
        <v>0</v>
      </c>
      <c r="E1716">
        <v>0</v>
      </c>
      <c r="F1716">
        <v>0</v>
      </c>
      <c r="G1716">
        <v>23.65</v>
      </c>
      <c r="H1716">
        <v>0</v>
      </c>
      <c r="I1716">
        <v>0</v>
      </c>
      <c r="J1716">
        <v>0</v>
      </c>
      <c r="K1716">
        <v>0</v>
      </c>
      <c r="L1716">
        <v>93</v>
      </c>
      <c r="M1716">
        <v>134</v>
      </c>
      <c r="N1716" t="s">
        <v>33</v>
      </c>
      <c r="O1716" s="3">
        <v>44580</v>
      </c>
      <c r="P1716">
        <v>-1</v>
      </c>
      <c r="T1716" t="s">
        <v>48</v>
      </c>
      <c r="U1716">
        <v>61</v>
      </c>
      <c r="V1716">
        <v>32.125</v>
      </c>
    </row>
    <row r="1717" spans="1:22" x14ac:dyDescent="0.35">
      <c r="A1717" s="3">
        <v>44442</v>
      </c>
      <c r="B1717" t="s">
        <v>32</v>
      </c>
      <c r="C1717">
        <v>0</v>
      </c>
      <c r="D1717">
        <v>0</v>
      </c>
      <c r="E1717">
        <v>0</v>
      </c>
      <c r="F1717">
        <v>0</v>
      </c>
      <c r="G1717">
        <v>23.803999999999998</v>
      </c>
      <c r="H1717">
        <v>0</v>
      </c>
      <c r="I1717">
        <v>0</v>
      </c>
      <c r="J1717">
        <v>0</v>
      </c>
      <c r="K1717">
        <v>0</v>
      </c>
      <c r="L1717">
        <v>114</v>
      </c>
      <c r="M1717">
        <v>166</v>
      </c>
      <c r="N1717" t="s">
        <v>32</v>
      </c>
      <c r="O1717" s="3">
        <v>44608</v>
      </c>
      <c r="P1717">
        <v>-1</v>
      </c>
      <c r="T1717" t="s">
        <v>47</v>
      </c>
      <c r="U1717">
        <v>81</v>
      </c>
      <c r="V1717">
        <v>29.975000000000001</v>
      </c>
    </row>
    <row r="1718" spans="1:22" x14ac:dyDescent="0.35">
      <c r="A1718" s="3">
        <v>44442</v>
      </c>
      <c r="B1718" t="s">
        <v>30</v>
      </c>
      <c r="C1718">
        <v>0</v>
      </c>
      <c r="D1718">
        <v>0</v>
      </c>
      <c r="E1718">
        <v>0</v>
      </c>
      <c r="F1718">
        <v>0</v>
      </c>
      <c r="G1718">
        <v>24.35</v>
      </c>
      <c r="H1718">
        <v>0</v>
      </c>
      <c r="I1718">
        <v>0</v>
      </c>
      <c r="J1718">
        <v>0</v>
      </c>
      <c r="K1718">
        <v>0</v>
      </c>
      <c r="L1718">
        <v>158</v>
      </c>
      <c r="M1718">
        <v>229</v>
      </c>
      <c r="N1718" t="s">
        <v>30</v>
      </c>
      <c r="O1718" s="3">
        <v>44671</v>
      </c>
      <c r="P1718">
        <v>-1</v>
      </c>
      <c r="T1718" t="s">
        <v>46</v>
      </c>
      <c r="U1718">
        <v>100</v>
      </c>
      <c r="V1718">
        <v>28.425000000000001</v>
      </c>
    </row>
    <row r="1719" spans="1:22" x14ac:dyDescent="0.35">
      <c r="A1719" s="3">
        <v>44442</v>
      </c>
      <c r="B1719" t="s">
        <v>36</v>
      </c>
      <c r="C1719">
        <v>0</v>
      </c>
      <c r="D1719">
        <v>0</v>
      </c>
      <c r="E1719">
        <v>0</v>
      </c>
      <c r="F1719">
        <v>0</v>
      </c>
      <c r="G1719">
        <v>20.5624</v>
      </c>
      <c r="H1719">
        <v>0</v>
      </c>
      <c r="I1719">
        <v>0</v>
      </c>
      <c r="J1719">
        <v>0</v>
      </c>
      <c r="K1719">
        <v>0</v>
      </c>
      <c r="L1719">
        <v>32</v>
      </c>
      <c r="M1719">
        <v>47</v>
      </c>
      <c r="N1719" t="s">
        <v>36</v>
      </c>
      <c r="O1719" s="3">
        <v>44489</v>
      </c>
      <c r="P1719">
        <v>-1</v>
      </c>
      <c r="S1719" s="3">
        <v>44040</v>
      </c>
      <c r="T1719" t="s">
        <v>45</v>
      </c>
      <c r="U1719">
        <v>121</v>
      </c>
      <c r="V1719">
        <v>28.975000000000001</v>
      </c>
    </row>
    <row r="1720" spans="1:22" x14ac:dyDescent="0.35">
      <c r="A1720" s="3">
        <v>44442</v>
      </c>
      <c r="B1720" t="s">
        <v>33</v>
      </c>
      <c r="C1720">
        <v>0</v>
      </c>
      <c r="D1720">
        <v>0</v>
      </c>
      <c r="E1720">
        <v>0</v>
      </c>
      <c r="F1720">
        <v>0</v>
      </c>
      <c r="G1720">
        <v>23.354099999999999</v>
      </c>
      <c r="H1720">
        <v>0</v>
      </c>
      <c r="I1720">
        <v>0</v>
      </c>
      <c r="J1720">
        <v>0</v>
      </c>
      <c r="K1720">
        <v>0</v>
      </c>
      <c r="L1720">
        <v>94</v>
      </c>
      <c r="M1720">
        <v>138</v>
      </c>
      <c r="N1720" t="s">
        <v>33</v>
      </c>
      <c r="O1720" s="3">
        <v>44580</v>
      </c>
      <c r="P1720">
        <v>-1</v>
      </c>
      <c r="T1720" t="s">
        <v>44</v>
      </c>
      <c r="U1720">
        <v>140</v>
      </c>
      <c r="V1720">
        <v>28.574999999999999</v>
      </c>
    </row>
    <row r="1721" spans="1:22" x14ac:dyDescent="0.35">
      <c r="A1721" s="3">
        <v>44442</v>
      </c>
      <c r="B1721" t="s">
        <v>35</v>
      </c>
      <c r="C1721">
        <v>0</v>
      </c>
      <c r="D1721">
        <v>0</v>
      </c>
      <c r="E1721">
        <v>0</v>
      </c>
      <c r="F1721">
        <v>0</v>
      </c>
      <c r="G1721">
        <v>21.730699999999999</v>
      </c>
      <c r="H1721">
        <v>0</v>
      </c>
      <c r="I1721">
        <v>0</v>
      </c>
      <c r="J1721">
        <v>0</v>
      </c>
      <c r="K1721">
        <v>0</v>
      </c>
      <c r="L1721">
        <v>52</v>
      </c>
      <c r="M1721">
        <v>75</v>
      </c>
      <c r="N1721" t="s">
        <v>35</v>
      </c>
      <c r="O1721" s="3">
        <v>44517</v>
      </c>
      <c r="P1721">
        <v>-1</v>
      </c>
      <c r="T1721" t="s">
        <v>43</v>
      </c>
      <c r="U1721">
        <v>160</v>
      </c>
      <c r="V1721">
        <v>28.274999999999999</v>
      </c>
    </row>
    <row r="1722" spans="1:22" x14ac:dyDescent="0.35">
      <c r="A1722" s="3">
        <v>44442</v>
      </c>
      <c r="B1722" t="s">
        <v>29</v>
      </c>
      <c r="C1722">
        <v>0</v>
      </c>
      <c r="D1722">
        <v>0</v>
      </c>
      <c r="E1722">
        <v>0</v>
      </c>
      <c r="F1722">
        <v>0</v>
      </c>
      <c r="G1722">
        <v>24.3</v>
      </c>
      <c r="H1722">
        <v>0</v>
      </c>
      <c r="I1722">
        <v>0</v>
      </c>
      <c r="J1722">
        <v>0</v>
      </c>
      <c r="K1722">
        <v>0</v>
      </c>
      <c r="L1722">
        <v>178</v>
      </c>
      <c r="M1722">
        <v>257</v>
      </c>
      <c r="N1722" t="s">
        <v>29</v>
      </c>
      <c r="O1722" s="3">
        <v>44699</v>
      </c>
      <c r="P1722">
        <v>-1</v>
      </c>
      <c r="T1722" t="s">
        <v>50</v>
      </c>
      <c r="U1722">
        <v>16</v>
      </c>
      <c r="V1722">
        <v>27.524999999999999</v>
      </c>
    </row>
    <row r="1723" spans="1:22" x14ac:dyDescent="0.35">
      <c r="A1723" s="3">
        <v>44442</v>
      </c>
      <c r="B1723" t="s">
        <v>34</v>
      </c>
      <c r="C1723">
        <v>0</v>
      </c>
      <c r="D1723">
        <v>0</v>
      </c>
      <c r="E1723">
        <v>0</v>
      </c>
      <c r="F1723">
        <v>0</v>
      </c>
      <c r="G1723">
        <v>22.150200000000002</v>
      </c>
      <c r="H1723">
        <v>0</v>
      </c>
      <c r="I1723">
        <v>0</v>
      </c>
      <c r="J1723">
        <v>0</v>
      </c>
      <c r="K1723">
        <v>0</v>
      </c>
      <c r="L1723">
        <v>76</v>
      </c>
      <c r="M1723">
        <v>110</v>
      </c>
      <c r="N1723" t="s">
        <v>34</v>
      </c>
      <c r="O1723" s="3">
        <v>44552</v>
      </c>
      <c r="P1723">
        <v>-1</v>
      </c>
      <c r="T1723" t="s">
        <v>49</v>
      </c>
      <c r="U1723">
        <v>35</v>
      </c>
      <c r="V1723">
        <v>29.875</v>
      </c>
    </row>
    <row r="1724" spans="1:22" x14ac:dyDescent="0.35">
      <c r="A1724" s="3">
        <v>44442</v>
      </c>
      <c r="B1724" t="s">
        <v>31</v>
      </c>
      <c r="C1724">
        <v>0</v>
      </c>
      <c r="D1724">
        <v>0</v>
      </c>
      <c r="E1724">
        <v>0</v>
      </c>
      <c r="F1724">
        <v>0</v>
      </c>
      <c r="G1724">
        <v>24.36</v>
      </c>
      <c r="H1724">
        <v>0</v>
      </c>
      <c r="I1724">
        <v>0</v>
      </c>
      <c r="J1724">
        <v>0</v>
      </c>
      <c r="K1724">
        <v>0</v>
      </c>
      <c r="L1724">
        <v>132</v>
      </c>
      <c r="M1724">
        <v>193</v>
      </c>
      <c r="N1724" t="s">
        <v>31</v>
      </c>
      <c r="O1724" s="3">
        <v>44635</v>
      </c>
      <c r="P1724">
        <v>-1</v>
      </c>
      <c r="T1724" t="s">
        <v>48</v>
      </c>
      <c r="U1724">
        <v>60</v>
      </c>
      <c r="V1724">
        <v>32.225000000000001</v>
      </c>
    </row>
    <row r="1725" spans="1:22" x14ac:dyDescent="0.35">
      <c r="A1725" s="3">
        <v>44441</v>
      </c>
      <c r="B1725" t="s">
        <v>35</v>
      </c>
      <c r="C1725">
        <v>0</v>
      </c>
      <c r="D1725">
        <v>0</v>
      </c>
      <c r="E1725">
        <v>0</v>
      </c>
      <c r="F1725">
        <v>0</v>
      </c>
      <c r="G1725">
        <v>21.55</v>
      </c>
      <c r="H1725">
        <v>0</v>
      </c>
      <c r="I1725">
        <v>0</v>
      </c>
      <c r="J1725">
        <v>0</v>
      </c>
      <c r="K1725">
        <v>0</v>
      </c>
      <c r="L1725">
        <v>53</v>
      </c>
      <c r="M1725">
        <v>76</v>
      </c>
      <c r="N1725" t="s">
        <v>35</v>
      </c>
      <c r="O1725" s="3">
        <v>44517</v>
      </c>
      <c r="P1725">
        <v>-1</v>
      </c>
      <c r="T1725" t="s">
        <v>47</v>
      </c>
      <c r="U1725">
        <v>80</v>
      </c>
      <c r="V1725">
        <v>30.074999999999999</v>
      </c>
    </row>
    <row r="1726" spans="1:22" x14ac:dyDescent="0.35">
      <c r="A1726" s="3">
        <v>44441</v>
      </c>
      <c r="B1726" t="s">
        <v>29</v>
      </c>
      <c r="C1726">
        <v>0</v>
      </c>
      <c r="D1726">
        <v>0</v>
      </c>
      <c r="E1726">
        <v>0</v>
      </c>
      <c r="F1726">
        <v>0</v>
      </c>
      <c r="G1726">
        <v>24.225000000000001</v>
      </c>
      <c r="H1726">
        <v>0</v>
      </c>
      <c r="I1726">
        <v>0</v>
      </c>
      <c r="J1726">
        <v>0</v>
      </c>
      <c r="K1726">
        <v>0</v>
      </c>
      <c r="L1726">
        <v>179</v>
      </c>
      <c r="M1726">
        <v>258</v>
      </c>
      <c r="N1726" t="s">
        <v>29</v>
      </c>
      <c r="O1726" s="3">
        <v>44699</v>
      </c>
      <c r="P1726">
        <v>-1</v>
      </c>
      <c r="T1726" t="s">
        <v>46</v>
      </c>
      <c r="U1726">
        <v>99</v>
      </c>
      <c r="V1726">
        <v>28.524999999999999</v>
      </c>
    </row>
    <row r="1727" spans="1:22" x14ac:dyDescent="0.35">
      <c r="A1727" s="3">
        <v>44441</v>
      </c>
      <c r="B1727" t="s">
        <v>34</v>
      </c>
      <c r="C1727">
        <v>0</v>
      </c>
      <c r="D1727">
        <v>0</v>
      </c>
      <c r="E1727">
        <v>0</v>
      </c>
      <c r="F1727">
        <v>0</v>
      </c>
      <c r="G1727">
        <v>22</v>
      </c>
      <c r="H1727">
        <v>0</v>
      </c>
      <c r="I1727">
        <v>0</v>
      </c>
      <c r="J1727">
        <v>0</v>
      </c>
      <c r="K1727">
        <v>0</v>
      </c>
      <c r="L1727">
        <v>77</v>
      </c>
      <c r="M1727">
        <v>111</v>
      </c>
      <c r="N1727" t="s">
        <v>34</v>
      </c>
      <c r="O1727" s="3">
        <v>44552</v>
      </c>
      <c r="P1727">
        <v>-1</v>
      </c>
      <c r="S1727" s="3">
        <v>44041</v>
      </c>
      <c r="T1727" t="s">
        <v>45</v>
      </c>
      <c r="U1727">
        <v>120</v>
      </c>
      <c r="V1727">
        <v>28.824999999999999</v>
      </c>
    </row>
    <row r="1728" spans="1:22" x14ac:dyDescent="0.35">
      <c r="A1728" s="3">
        <v>44441</v>
      </c>
      <c r="B1728" t="s">
        <v>31</v>
      </c>
      <c r="C1728">
        <v>0</v>
      </c>
      <c r="D1728">
        <v>0</v>
      </c>
      <c r="E1728">
        <v>0</v>
      </c>
      <c r="F1728">
        <v>0</v>
      </c>
      <c r="G1728">
        <v>24.125</v>
      </c>
      <c r="H1728">
        <v>0</v>
      </c>
      <c r="I1728">
        <v>0</v>
      </c>
      <c r="J1728">
        <v>0</v>
      </c>
      <c r="K1728">
        <v>0</v>
      </c>
      <c r="L1728">
        <v>133</v>
      </c>
      <c r="M1728">
        <v>194</v>
      </c>
      <c r="N1728" t="s">
        <v>31</v>
      </c>
      <c r="O1728" s="3">
        <v>44635</v>
      </c>
      <c r="P1728">
        <v>-1</v>
      </c>
      <c r="T1728" t="s">
        <v>44</v>
      </c>
      <c r="U1728">
        <v>139</v>
      </c>
      <c r="V1728">
        <v>28.375</v>
      </c>
    </row>
    <row r="1729" spans="1:22" x14ac:dyDescent="0.35">
      <c r="A1729" s="3">
        <v>44441</v>
      </c>
      <c r="B1729" t="s">
        <v>32</v>
      </c>
      <c r="C1729">
        <v>0</v>
      </c>
      <c r="D1729">
        <v>0</v>
      </c>
      <c r="E1729">
        <v>0</v>
      </c>
      <c r="F1729">
        <v>0</v>
      </c>
      <c r="G1729">
        <v>23.625900000000001</v>
      </c>
      <c r="H1729">
        <v>0</v>
      </c>
      <c r="I1729">
        <v>0</v>
      </c>
      <c r="J1729">
        <v>0</v>
      </c>
      <c r="K1729">
        <v>0</v>
      </c>
      <c r="L1729">
        <v>115</v>
      </c>
      <c r="M1729">
        <v>167</v>
      </c>
      <c r="N1729" t="s">
        <v>32</v>
      </c>
      <c r="O1729" s="3">
        <v>44608</v>
      </c>
      <c r="P1729">
        <v>-1</v>
      </c>
      <c r="T1729" t="s">
        <v>43</v>
      </c>
      <c r="U1729">
        <v>159</v>
      </c>
      <c r="V1729">
        <v>28.1</v>
      </c>
    </row>
    <row r="1730" spans="1:22" x14ac:dyDescent="0.35">
      <c r="A1730" s="3">
        <v>44441</v>
      </c>
      <c r="B1730" t="s">
        <v>30</v>
      </c>
      <c r="C1730">
        <v>0</v>
      </c>
      <c r="D1730">
        <v>0</v>
      </c>
      <c r="E1730">
        <v>0</v>
      </c>
      <c r="F1730">
        <v>0</v>
      </c>
      <c r="G1730">
        <v>24.2</v>
      </c>
      <c r="H1730">
        <v>0</v>
      </c>
      <c r="I1730">
        <v>0</v>
      </c>
      <c r="J1730">
        <v>0</v>
      </c>
      <c r="K1730">
        <v>0</v>
      </c>
      <c r="L1730">
        <v>159</v>
      </c>
      <c r="M1730">
        <v>230</v>
      </c>
      <c r="N1730" t="s">
        <v>30</v>
      </c>
      <c r="O1730" s="3">
        <v>44671</v>
      </c>
      <c r="P1730">
        <v>-1</v>
      </c>
      <c r="T1730" t="s">
        <v>50</v>
      </c>
      <c r="U1730">
        <v>15</v>
      </c>
      <c r="V1730">
        <v>26.774999999999999</v>
      </c>
    </row>
    <row r="1731" spans="1:22" x14ac:dyDescent="0.35">
      <c r="A1731" s="3">
        <v>44441</v>
      </c>
      <c r="B1731" t="s">
        <v>36</v>
      </c>
      <c r="C1731">
        <v>0</v>
      </c>
      <c r="D1731">
        <v>0</v>
      </c>
      <c r="E1731">
        <v>0</v>
      </c>
      <c r="F1731">
        <v>0</v>
      </c>
      <c r="G1731">
        <v>20.443200000000001</v>
      </c>
      <c r="H1731">
        <v>0</v>
      </c>
      <c r="I1731">
        <v>0</v>
      </c>
      <c r="J1731">
        <v>0</v>
      </c>
      <c r="K1731">
        <v>0</v>
      </c>
      <c r="L1731">
        <v>33</v>
      </c>
      <c r="M1731">
        <v>48</v>
      </c>
      <c r="N1731" t="s">
        <v>36</v>
      </c>
      <c r="O1731" s="3">
        <v>44489</v>
      </c>
      <c r="P1731">
        <v>-1</v>
      </c>
      <c r="T1731" t="s">
        <v>49</v>
      </c>
      <c r="U1731">
        <v>34</v>
      </c>
      <c r="V1731">
        <v>29.475000000000001</v>
      </c>
    </row>
    <row r="1732" spans="1:22" x14ac:dyDescent="0.35">
      <c r="A1732" s="3">
        <v>44441</v>
      </c>
      <c r="B1732" t="s">
        <v>33</v>
      </c>
      <c r="C1732">
        <v>0</v>
      </c>
      <c r="D1732">
        <v>0</v>
      </c>
      <c r="E1732">
        <v>0</v>
      </c>
      <c r="F1732">
        <v>0</v>
      </c>
      <c r="G1732">
        <v>23.2</v>
      </c>
      <c r="H1732">
        <v>0</v>
      </c>
      <c r="I1732">
        <v>0</v>
      </c>
      <c r="J1732">
        <v>0</v>
      </c>
      <c r="K1732">
        <v>0</v>
      </c>
      <c r="L1732">
        <v>95</v>
      </c>
      <c r="M1732">
        <v>139</v>
      </c>
      <c r="N1732" t="s">
        <v>33</v>
      </c>
      <c r="O1732" s="3">
        <v>44580</v>
      </c>
      <c r="P1732">
        <v>-1</v>
      </c>
      <c r="T1732" t="s">
        <v>48</v>
      </c>
      <c r="U1732">
        <v>59</v>
      </c>
      <c r="V1732">
        <v>31.925000000000001</v>
      </c>
    </row>
    <row r="1733" spans="1:22" x14ac:dyDescent="0.35">
      <c r="A1733" s="3">
        <v>44440</v>
      </c>
      <c r="B1733" t="s">
        <v>32</v>
      </c>
      <c r="C1733">
        <v>0</v>
      </c>
      <c r="D1733">
        <v>0</v>
      </c>
      <c r="E1733">
        <v>0</v>
      </c>
      <c r="F1733">
        <v>0</v>
      </c>
      <c r="G1733">
        <v>23.62</v>
      </c>
      <c r="H1733">
        <v>0</v>
      </c>
      <c r="I1733">
        <v>0</v>
      </c>
      <c r="J1733">
        <v>0</v>
      </c>
      <c r="K1733">
        <v>0</v>
      </c>
      <c r="L1733">
        <v>116</v>
      </c>
      <c r="M1733">
        <v>168</v>
      </c>
      <c r="N1733" t="s">
        <v>32</v>
      </c>
      <c r="O1733" s="3">
        <v>44608</v>
      </c>
      <c r="P1733">
        <v>-1</v>
      </c>
      <c r="T1733" t="s">
        <v>47</v>
      </c>
      <c r="U1733">
        <v>79</v>
      </c>
      <c r="V1733">
        <v>29.824999999999999</v>
      </c>
    </row>
    <row r="1734" spans="1:22" x14ac:dyDescent="0.35">
      <c r="A1734" s="3">
        <v>44440</v>
      </c>
      <c r="B1734" t="s">
        <v>30</v>
      </c>
      <c r="C1734">
        <v>0</v>
      </c>
      <c r="D1734">
        <v>0</v>
      </c>
      <c r="E1734">
        <v>0</v>
      </c>
      <c r="F1734">
        <v>0</v>
      </c>
      <c r="G1734">
        <v>24.15</v>
      </c>
      <c r="H1734">
        <v>0</v>
      </c>
      <c r="I1734">
        <v>0</v>
      </c>
      <c r="J1734">
        <v>0</v>
      </c>
      <c r="K1734">
        <v>0</v>
      </c>
      <c r="L1734">
        <v>160</v>
      </c>
      <c r="M1734">
        <v>231</v>
      </c>
      <c r="N1734" t="s">
        <v>30</v>
      </c>
      <c r="O1734" s="3">
        <v>44671</v>
      </c>
      <c r="P1734">
        <v>-1</v>
      </c>
      <c r="T1734" t="s">
        <v>46</v>
      </c>
      <c r="U1734">
        <v>98</v>
      </c>
      <c r="V1734">
        <v>28.375</v>
      </c>
    </row>
    <row r="1735" spans="1:22" x14ac:dyDescent="0.35">
      <c r="A1735" s="3">
        <v>44440</v>
      </c>
      <c r="B1735" t="s">
        <v>36</v>
      </c>
      <c r="C1735">
        <v>0</v>
      </c>
      <c r="D1735">
        <v>0</v>
      </c>
      <c r="E1735">
        <v>0</v>
      </c>
      <c r="F1735">
        <v>0</v>
      </c>
      <c r="G1735">
        <v>20.446000000000002</v>
      </c>
      <c r="H1735">
        <v>0</v>
      </c>
      <c r="I1735">
        <v>0</v>
      </c>
      <c r="J1735">
        <v>0</v>
      </c>
      <c r="K1735">
        <v>0</v>
      </c>
      <c r="L1735">
        <v>34</v>
      </c>
      <c r="M1735">
        <v>49</v>
      </c>
      <c r="N1735" t="s">
        <v>36</v>
      </c>
      <c r="O1735" s="3">
        <v>44489</v>
      </c>
      <c r="P1735">
        <v>-1</v>
      </c>
      <c r="S1735" s="3">
        <v>44042</v>
      </c>
      <c r="T1735" t="s">
        <v>45</v>
      </c>
      <c r="U1735">
        <v>119</v>
      </c>
      <c r="V1735">
        <v>29.074999999999999</v>
      </c>
    </row>
    <row r="1736" spans="1:22" x14ac:dyDescent="0.35">
      <c r="A1736" s="3">
        <v>44440</v>
      </c>
      <c r="B1736" t="s">
        <v>33</v>
      </c>
      <c r="C1736">
        <v>0</v>
      </c>
      <c r="D1736">
        <v>0</v>
      </c>
      <c r="E1736">
        <v>0</v>
      </c>
      <c r="F1736">
        <v>0</v>
      </c>
      <c r="G1736">
        <v>23.2</v>
      </c>
      <c r="H1736">
        <v>0</v>
      </c>
      <c r="I1736">
        <v>0</v>
      </c>
      <c r="J1736">
        <v>0</v>
      </c>
      <c r="K1736">
        <v>0</v>
      </c>
      <c r="L1736">
        <v>96</v>
      </c>
      <c r="M1736">
        <v>140</v>
      </c>
      <c r="N1736" t="s">
        <v>33</v>
      </c>
      <c r="O1736" s="3">
        <v>44580</v>
      </c>
      <c r="P1736">
        <v>-1</v>
      </c>
      <c r="T1736" t="s">
        <v>44</v>
      </c>
      <c r="U1736">
        <v>138</v>
      </c>
      <c r="V1736">
        <v>28.65</v>
      </c>
    </row>
    <row r="1737" spans="1:22" x14ac:dyDescent="0.35">
      <c r="A1737" s="3">
        <v>44440</v>
      </c>
      <c r="B1737" t="s">
        <v>35</v>
      </c>
      <c r="C1737">
        <v>0</v>
      </c>
      <c r="D1737">
        <v>0</v>
      </c>
      <c r="E1737">
        <v>0</v>
      </c>
      <c r="F1737">
        <v>0</v>
      </c>
      <c r="G1737">
        <v>21.5063</v>
      </c>
      <c r="H1737">
        <v>0</v>
      </c>
      <c r="I1737">
        <v>0</v>
      </c>
      <c r="J1737">
        <v>0</v>
      </c>
      <c r="K1737">
        <v>0</v>
      </c>
      <c r="L1737">
        <v>54</v>
      </c>
      <c r="M1737">
        <v>77</v>
      </c>
      <c r="N1737" t="s">
        <v>35</v>
      </c>
      <c r="O1737" s="3">
        <v>44517</v>
      </c>
      <c r="P1737">
        <v>-1</v>
      </c>
      <c r="T1737" t="s">
        <v>43</v>
      </c>
      <c r="U1737">
        <v>158</v>
      </c>
      <c r="V1737">
        <v>28.55</v>
      </c>
    </row>
    <row r="1738" spans="1:22" x14ac:dyDescent="0.35">
      <c r="A1738" s="3">
        <v>44440</v>
      </c>
      <c r="B1738" t="s">
        <v>29</v>
      </c>
      <c r="C1738">
        <v>0</v>
      </c>
      <c r="D1738">
        <v>0</v>
      </c>
      <c r="E1738">
        <v>0</v>
      </c>
      <c r="F1738">
        <v>0</v>
      </c>
      <c r="G1738">
        <v>24.1</v>
      </c>
      <c r="H1738">
        <v>0</v>
      </c>
      <c r="I1738">
        <v>0</v>
      </c>
      <c r="J1738">
        <v>0</v>
      </c>
      <c r="K1738">
        <v>0</v>
      </c>
      <c r="L1738">
        <v>180</v>
      </c>
      <c r="M1738">
        <v>259</v>
      </c>
      <c r="N1738" t="s">
        <v>29</v>
      </c>
      <c r="O1738" s="3">
        <v>44699</v>
      </c>
      <c r="P1738">
        <v>-1</v>
      </c>
      <c r="T1738" t="s">
        <v>50</v>
      </c>
      <c r="U1738">
        <v>14</v>
      </c>
      <c r="V1738">
        <v>27.175000000000001</v>
      </c>
    </row>
    <row r="1739" spans="1:22" x14ac:dyDescent="0.35">
      <c r="A1739" s="3">
        <v>44440</v>
      </c>
      <c r="B1739" t="s">
        <v>34</v>
      </c>
      <c r="C1739">
        <v>0</v>
      </c>
      <c r="D1739">
        <v>0</v>
      </c>
      <c r="E1739">
        <v>0</v>
      </c>
      <c r="F1739">
        <v>0</v>
      </c>
      <c r="G1739">
        <v>21.965900000000001</v>
      </c>
      <c r="H1739">
        <v>0</v>
      </c>
      <c r="I1739">
        <v>0</v>
      </c>
      <c r="J1739">
        <v>0</v>
      </c>
      <c r="K1739">
        <v>0</v>
      </c>
      <c r="L1739">
        <v>78</v>
      </c>
      <c r="M1739">
        <v>112</v>
      </c>
      <c r="N1739" t="s">
        <v>34</v>
      </c>
      <c r="O1739" s="3">
        <v>44552</v>
      </c>
      <c r="P1739">
        <v>-1</v>
      </c>
      <c r="T1739" t="s">
        <v>49</v>
      </c>
      <c r="U1739">
        <v>33</v>
      </c>
      <c r="V1739">
        <v>29.824999999999999</v>
      </c>
    </row>
    <row r="1740" spans="1:22" x14ac:dyDescent="0.35">
      <c r="A1740" s="3">
        <v>44440</v>
      </c>
      <c r="B1740" t="s">
        <v>31</v>
      </c>
      <c r="C1740">
        <v>0</v>
      </c>
      <c r="D1740">
        <v>0</v>
      </c>
      <c r="E1740">
        <v>0</v>
      </c>
      <c r="F1740">
        <v>0</v>
      </c>
      <c r="G1740">
        <v>24.1</v>
      </c>
      <c r="H1740">
        <v>0</v>
      </c>
      <c r="I1740">
        <v>0</v>
      </c>
      <c r="J1740">
        <v>0</v>
      </c>
      <c r="K1740">
        <v>0</v>
      </c>
      <c r="L1740">
        <v>134</v>
      </c>
      <c r="M1740">
        <v>195</v>
      </c>
      <c r="N1740" t="s">
        <v>31</v>
      </c>
      <c r="O1740" s="3">
        <v>44635</v>
      </c>
      <c r="P1740">
        <v>-1</v>
      </c>
      <c r="T1740" t="s">
        <v>48</v>
      </c>
      <c r="U1740">
        <v>58</v>
      </c>
      <c r="V1740">
        <v>32.174999999999997</v>
      </c>
    </row>
    <row r="1741" spans="1:22" x14ac:dyDescent="0.35">
      <c r="A1741" s="3">
        <v>44439</v>
      </c>
      <c r="B1741" t="s">
        <v>35</v>
      </c>
      <c r="C1741">
        <v>0</v>
      </c>
      <c r="D1741">
        <v>0</v>
      </c>
      <c r="E1741">
        <v>0</v>
      </c>
      <c r="F1741">
        <v>0</v>
      </c>
      <c r="G1741">
        <v>21.897500000000001</v>
      </c>
      <c r="H1741">
        <v>0</v>
      </c>
      <c r="I1741">
        <v>0</v>
      </c>
      <c r="J1741">
        <v>0</v>
      </c>
      <c r="K1741">
        <v>0</v>
      </c>
      <c r="L1741">
        <v>55</v>
      </c>
      <c r="M1741">
        <v>78</v>
      </c>
      <c r="N1741" t="s">
        <v>35</v>
      </c>
      <c r="O1741" s="3">
        <v>44517</v>
      </c>
      <c r="P1741">
        <v>-1</v>
      </c>
      <c r="T1741" t="s">
        <v>47</v>
      </c>
      <c r="U1741">
        <v>78</v>
      </c>
      <c r="V1741">
        <v>30.024999999999999</v>
      </c>
    </row>
    <row r="1742" spans="1:22" x14ac:dyDescent="0.35">
      <c r="A1742" s="3">
        <v>44439</v>
      </c>
      <c r="B1742" t="s">
        <v>29</v>
      </c>
      <c r="C1742">
        <v>0</v>
      </c>
      <c r="D1742">
        <v>0</v>
      </c>
      <c r="E1742">
        <v>0</v>
      </c>
      <c r="F1742">
        <v>0</v>
      </c>
      <c r="G1742">
        <v>24.225000000000001</v>
      </c>
      <c r="H1742">
        <v>0</v>
      </c>
      <c r="I1742">
        <v>0</v>
      </c>
      <c r="J1742">
        <v>0</v>
      </c>
      <c r="K1742">
        <v>0</v>
      </c>
      <c r="L1742">
        <v>181</v>
      </c>
      <c r="M1742">
        <v>260</v>
      </c>
      <c r="N1742" t="s">
        <v>29</v>
      </c>
      <c r="O1742" s="3">
        <v>44699</v>
      </c>
      <c r="P1742">
        <v>-1</v>
      </c>
      <c r="T1742" t="s">
        <v>46</v>
      </c>
      <c r="U1742">
        <v>97</v>
      </c>
      <c r="V1742">
        <v>28.574999999999999</v>
      </c>
    </row>
    <row r="1743" spans="1:22" x14ac:dyDescent="0.35">
      <c r="A1743" s="3">
        <v>44439</v>
      </c>
      <c r="B1743" t="s">
        <v>34</v>
      </c>
      <c r="C1743">
        <v>0</v>
      </c>
      <c r="D1743">
        <v>0</v>
      </c>
      <c r="E1743">
        <v>0</v>
      </c>
      <c r="F1743">
        <v>0</v>
      </c>
      <c r="G1743">
        <v>22.3</v>
      </c>
      <c r="H1743">
        <v>0</v>
      </c>
      <c r="I1743">
        <v>0</v>
      </c>
      <c r="J1743">
        <v>0</v>
      </c>
      <c r="K1743">
        <v>0</v>
      </c>
      <c r="L1743">
        <v>79</v>
      </c>
      <c r="M1743">
        <v>113</v>
      </c>
      <c r="N1743" t="s">
        <v>34</v>
      </c>
      <c r="O1743" s="3">
        <v>44552</v>
      </c>
      <c r="P1743">
        <v>-1</v>
      </c>
      <c r="S1743" s="3">
        <v>44043</v>
      </c>
      <c r="T1743" t="s">
        <v>45</v>
      </c>
      <c r="U1743">
        <v>118</v>
      </c>
      <c r="V1743">
        <v>28.975000000000001</v>
      </c>
    </row>
    <row r="1744" spans="1:22" x14ac:dyDescent="0.35">
      <c r="A1744" s="3">
        <v>44439</v>
      </c>
      <c r="B1744" t="s">
        <v>31</v>
      </c>
      <c r="C1744">
        <v>0</v>
      </c>
      <c r="D1744">
        <v>0</v>
      </c>
      <c r="E1744">
        <v>0</v>
      </c>
      <c r="F1744">
        <v>0</v>
      </c>
      <c r="G1744">
        <v>24.305900000000001</v>
      </c>
      <c r="H1744">
        <v>0</v>
      </c>
      <c r="I1744">
        <v>0</v>
      </c>
      <c r="J1744">
        <v>0</v>
      </c>
      <c r="K1744">
        <v>0</v>
      </c>
      <c r="L1744">
        <v>135</v>
      </c>
      <c r="M1744">
        <v>196</v>
      </c>
      <c r="N1744" t="s">
        <v>31</v>
      </c>
      <c r="O1744" s="3">
        <v>44635</v>
      </c>
      <c r="P1744">
        <v>-1</v>
      </c>
      <c r="T1744" t="s">
        <v>44</v>
      </c>
      <c r="U1744">
        <v>137</v>
      </c>
      <c r="V1744">
        <v>28.475000000000001</v>
      </c>
    </row>
    <row r="1745" spans="1:22" x14ac:dyDescent="0.35">
      <c r="A1745" s="3">
        <v>44439</v>
      </c>
      <c r="B1745" t="s">
        <v>32</v>
      </c>
      <c r="C1745">
        <v>0</v>
      </c>
      <c r="D1745">
        <v>0</v>
      </c>
      <c r="E1745">
        <v>0</v>
      </c>
      <c r="F1745">
        <v>0</v>
      </c>
      <c r="G1745">
        <v>23.85</v>
      </c>
      <c r="H1745">
        <v>0</v>
      </c>
      <c r="I1745">
        <v>0</v>
      </c>
      <c r="J1745">
        <v>0</v>
      </c>
      <c r="K1745">
        <v>0</v>
      </c>
      <c r="L1745">
        <v>117</v>
      </c>
      <c r="M1745">
        <v>169</v>
      </c>
      <c r="N1745" t="s">
        <v>32</v>
      </c>
      <c r="O1745" s="3">
        <v>44608</v>
      </c>
      <c r="P1745">
        <v>-1</v>
      </c>
      <c r="T1745" t="s">
        <v>43</v>
      </c>
      <c r="U1745">
        <v>157</v>
      </c>
      <c r="V1745">
        <v>28.4</v>
      </c>
    </row>
    <row r="1746" spans="1:22" x14ac:dyDescent="0.35">
      <c r="A1746" s="3">
        <v>44439</v>
      </c>
      <c r="B1746" t="s">
        <v>30</v>
      </c>
      <c r="C1746">
        <v>0</v>
      </c>
      <c r="D1746">
        <v>0</v>
      </c>
      <c r="E1746">
        <v>0</v>
      </c>
      <c r="F1746">
        <v>0</v>
      </c>
      <c r="G1746">
        <v>24.3</v>
      </c>
      <c r="H1746">
        <v>0</v>
      </c>
      <c r="I1746">
        <v>0</v>
      </c>
      <c r="J1746">
        <v>0</v>
      </c>
      <c r="K1746">
        <v>0</v>
      </c>
      <c r="L1746">
        <v>161</v>
      </c>
      <c r="M1746">
        <v>232</v>
      </c>
      <c r="N1746" t="s">
        <v>30</v>
      </c>
      <c r="O1746" s="3">
        <v>44671</v>
      </c>
      <c r="P1746">
        <v>-1</v>
      </c>
      <c r="T1746" t="s">
        <v>50</v>
      </c>
      <c r="U1746">
        <v>13</v>
      </c>
      <c r="V1746">
        <v>26.824999999999999</v>
      </c>
    </row>
    <row r="1747" spans="1:22" x14ac:dyDescent="0.35">
      <c r="A1747" s="3">
        <v>44439</v>
      </c>
      <c r="B1747" t="s">
        <v>36</v>
      </c>
      <c r="C1747">
        <v>0</v>
      </c>
      <c r="D1747">
        <v>0</v>
      </c>
      <c r="E1747">
        <v>0</v>
      </c>
      <c r="F1747">
        <v>0</v>
      </c>
      <c r="G1747">
        <v>20.907399999999999</v>
      </c>
      <c r="H1747">
        <v>0</v>
      </c>
      <c r="I1747">
        <v>0</v>
      </c>
      <c r="J1747">
        <v>0</v>
      </c>
      <c r="K1747">
        <v>0</v>
      </c>
      <c r="L1747">
        <v>35</v>
      </c>
      <c r="M1747">
        <v>50</v>
      </c>
      <c r="N1747" t="s">
        <v>36</v>
      </c>
      <c r="O1747" s="3">
        <v>44489</v>
      </c>
      <c r="P1747">
        <v>-1</v>
      </c>
      <c r="T1747" t="s">
        <v>49</v>
      </c>
      <c r="U1747">
        <v>32</v>
      </c>
      <c r="V1747">
        <v>29.625</v>
      </c>
    </row>
    <row r="1748" spans="1:22" x14ac:dyDescent="0.35">
      <c r="A1748" s="3">
        <v>44439</v>
      </c>
      <c r="B1748" t="s">
        <v>33</v>
      </c>
      <c r="C1748">
        <v>0</v>
      </c>
      <c r="D1748">
        <v>0</v>
      </c>
      <c r="E1748">
        <v>0</v>
      </c>
      <c r="F1748">
        <v>0</v>
      </c>
      <c r="G1748">
        <v>23.4177</v>
      </c>
      <c r="H1748">
        <v>0</v>
      </c>
      <c r="I1748">
        <v>0</v>
      </c>
      <c r="J1748">
        <v>0</v>
      </c>
      <c r="K1748">
        <v>0</v>
      </c>
      <c r="L1748">
        <v>97</v>
      </c>
      <c r="M1748">
        <v>141</v>
      </c>
      <c r="N1748" t="s">
        <v>33</v>
      </c>
      <c r="O1748" s="3">
        <v>44580</v>
      </c>
      <c r="P1748">
        <v>-1</v>
      </c>
      <c r="T1748" t="s">
        <v>48</v>
      </c>
      <c r="U1748">
        <v>57</v>
      </c>
      <c r="V1748">
        <v>32.125</v>
      </c>
    </row>
    <row r="1749" spans="1:22" x14ac:dyDescent="0.35">
      <c r="A1749" s="3">
        <v>44438</v>
      </c>
      <c r="B1749" t="s">
        <v>32</v>
      </c>
      <c r="C1749">
        <v>0</v>
      </c>
      <c r="D1749">
        <v>0</v>
      </c>
      <c r="E1749">
        <v>0</v>
      </c>
      <c r="F1749">
        <v>0</v>
      </c>
      <c r="G1749">
        <v>23.815300000000001</v>
      </c>
      <c r="H1749">
        <v>0</v>
      </c>
      <c r="I1749">
        <v>0</v>
      </c>
      <c r="J1749">
        <v>0</v>
      </c>
      <c r="K1749">
        <v>0</v>
      </c>
      <c r="L1749">
        <v>118</v>
      </c>
      <c r="M1749">
        <v>170</v>
      </c>
      <c r="N1749" t="s">
        <v>32</v>
      </c>
      <c r="O1749" s="3">
        <v>44608</v>
      </c>
      <c r="P1749">
        <v>-1</v>
      </c>
      <c r="T1749" t="s">
        <v>47</v>
      </c>
      <c r="U1749">
        <v>77</v>
      </c>
      <c r="V1749">
        <v>30.024999999999999</v>
      </c>
    </row>
    <row r="1750" spans="1:22" x14ac:dyDescent="0.35">
      <c r="A1750" s="3">
        <v>44438</v>
      </c>
      <c r="B1750" t="s">
        <v>30</v>
      </c>
      <c r="C1750">
        <v>0</v>
      </c>
      <c r="D1750">
        <v>0</v>
      </c>
      <c r="E1750">
        <v>0</v>
      </c>
      <c r="F1750">
        <v>0</v>
      </c>
      <c r="G1750">
        <v>24.25</v>
      </c>
      <c r="H1750">
        <v>0</v>
      </c>
      <c r="I1750">
        <v>0</v>
      </c>
      <c r="J1750">
        <v>0</v>
      </c>
      <c r="K1750">
        <v>0</v>
      </c>
      <c r="L1750">
        <v>162</v>
      </c>
      <c r="M1750">
        <v>233</v>
      </c>
      <c r="N1750" t="s">
        <v>30</v>
      </c>
      <c r="O1750" s="3">
        <v>44671</v>
      </c>
      <c r="P1750">
        <v>-1</v>
      </c>
      <c r="T1750" t="s">
        <v>46</v>
      </c>
      <c r="U1750">
        <v>96</v>
      </c>
      <c r="V1750">
        <v>28.574999999999999</v>
      </c>
    </row>
    <row r="1751" spans="1:22" x14ac:dyDescent="0.35">
      <c r="A1751" s="3">
        <v>44438</v>
      </c>
      <c r="B1751" t="s">
        <v>36</v>
      </c>
      <c r="C1751">
        <v>0</v>
      </c>
      <c r="D1751">
        <v>0</v>
      </c>
      <c r="E1751">
        <v>0</v>
      </c>
      <c r="F1751">
        <v>0</v>
      </c>
      <c r="G1751">
        <v>20.949100000000001</v>
      </c>
      <c r="H1751">
        <v>0</v>
      </c>
      <c r="I1751">
        <v>0</v>
      </c>
      <c r="J1751">
        <v>0</v>
      </c>
      <c r="K1751">
        <v>0</v>
      </c>
      <c r="L1751">
        <v>36</v>
      </c>
      <c r="M1751">
        <v>51</v>
      </c>
      <c r="N1751" t="s">
        <v>36</v>
      </c>
      <c r="O1751" s="3">
        <v>44489</v>
      </c>
      <c r="P1751">
        <v>-1</v>
      </c>
      <c r="S1751" s="3">
        <v>44046</v>
      </c>
      <c r="T1751" t="s">
        <v>45</v>
      </c>
      <c r="U1751">
        <v>117</v>
      </c>
      <c r="V1751">
        <v>28.975000000000001</v>
      </c>
    </row>
    <row r="1752" spans="1:22" x14ac:dyDescent="0.35">
      <c r="A1752" s="3">
        <v>44438</v>
      </c>
      <c r="B1752" t="s">
        <v>33</v>
      </c>
      <c r="C1752">
        <v>0</v>
      </c>
      <c r="D1752">
        <v>0</v>
      </c>
      <c r="E1752">
        <v>0</v>
      </c>
      <c r="F1752">
        <v>0</v>
      </c>
      <c r="G1752">
        <v>23.437899999999999</v>
      </c>
      <c r="H1752">
        <v>0</v>
      </c>
      <c r="I1752">
        <v>0</v>
      </c>
      <c r="J1752">
        <v>0</v>
      </c>
      <c r="K1752">
        <v>0</v>
      </c>
      <c r="L1752">
        <v>98</v>
      </c>
      <c r="M1752">
        <v>142</v>
      </c>
      <c r="N1752" t="s">
        <v>33</v>
      </c>
      <c r="O1752" s="3">
        <v>44580</v>
      </c>
      <c r="P1752">
        <v>-1</v>
      </c>
      <c r="T1752" t="s">
        <v>44</v>
      </c>
      <c r="U1752">
        <v>136</v>
      </c>
      <c r="V1752">
        <v>28.475000000000001</v>
      </c>
    </row>
    <row r="1753" spans="1:22" x14ac:dyDescent="0.35">
      <c r="A1753" s="3">
        <v>44438</v>
      </c>
      <c r="B1753" t="s">
        <v>35</v>
      </c>
      <c r="C1753">
        <v>0</v>
      </c>
      <c r="D1753">
        <v>0</v>
      </c>
      <c r="E1753">
        <v>0</v>
      </c>
      <c r="F1753">
        <v>0</v>
      </c>
      <c r="G1753">
        <v>21.9068</v>
      </c>
      <c r="H1753">
        <v>0</v>
      </c>
      <c r="I1753">
        <v>0</v>
      </c>
      <c r="J1753">
        <v>0</v>
      </c>
      <c r="K1753">
        <v>0</v>
      </c>
      <c r="L1753">
        <v>56</v>
      </c>
      <c r="M1753">
        <v>79</v>
      </c>
      <c r="N1753" t="s">
        <v>35</v>
      </c>
      <c r="O1753" s="3">
        <v>44517</v>
      </c>
      <c r="P1753">
        <v>-1</v>
      </c>
      <c r="T1753" t="s">
        <v>43</v>
      </c>
      <c r="U1753">
        <v>156</v>
      </c>
      <c r="V1753">
        <v>28.35</v>
      </c>
    </row>
    <row r="1754" spans="1:22" x14ac:dyDescent="0.35">
      <c r="A1754" s="3">
        <v>44438</v>
      </c>
      <c r="B1754" t="s">
        <v>29</v>
      </c>
      <c r="C1754">
        <v>0</v>
      </c>
      <c r="D1754">
        <v>0</v>
      </c>
      <c r="E1754">
        <v>0</v>
      </c>
      <c r="F1754">
        <v>0</v>
      </c>
      <c r="G1754">
        <v>24.1</v>
      </c>
      <c r="H1754">
        <v>0</v>
      </c>
      <c r="I1754">
        <v>0</v>
      </c>
      <c r="J1754">
        <v>0</v>
      </c>
      <c r="K1754">
        <v>0</v>
      </c>
      <c r="L1754">
        <v>182</v>
      </c>
      <c r="M1754">
        <v>261</v>
      </c>
      <c r="N1754" t="s">
        <v>29</v>
      </c>
      <c r="O1754" s="3">
        <v>44699</v>
      </c>
      <c r="P1754">
        <v>-1</v>
      </c>
      <c r="T1754" t="s">
        <v>50</v>
      </c>
      <c r="U1754">
        <v>12</v>
      </c>
      <c r="V1754">
        <v>26.774999999999999</v>
      </c>
    </row>
    <row r="1755" spans="1:22" x14ac:dyDescent="0.35">
      <c r="A1755" s="3">
        <v>44438</v>
      </c>
      <c r="B1755" t="s">
        <v>34</v>
      </c>
      <c r="C1755">
        <v>0</v>
      </c>
      <c r="D1755">
        <v>0</v>
      </c>
      <c r="E1755">
        <v>0</v>
      </c>
      <c r="F1755">
        <v>0</v>
      </c>
      <c r="G1755">
        <v>22.299900000000001</v>
      </c>
      <c r="H1755">
        <v>0</v>
      </c>
      <c r="I1755">
        <v>0</v>
      </c>
      <c r="J1755">
        <v>0</v>
      </c>
      <c r="K1755">
        <v>0</v>
      </c>
      <c r="L1755">
        <v>80</v>
      </c>
      <c r="M1755">
        <v>114</v>
      </c>
      <c r="N1755" t="s">
        <v>34</v>
      </c>
      <c r="O1755" s="3">
        <v>44552</v>
      </c>
      <c r="P1755">
        <v>-1</v>
      </c>
      <c r="T1755" t="s">
        <v>49</v>
      </c>
      <c r="U1755">
        <v>31</v>
      </c>
      <c r="V1755">
        <v>29.375</v>
      </c>
    </row>
    <row r="1756" spans="1:22" x14ac:dyDescent="0.35">
      <c r="A1756" s="3">
        <v>44438</v>
      </c>
      <c r="B1756" t="s">
        <v>31</v>
      </c>
      <c r="C1756">
        <v>0</v>
      </c>
      <c r="D1756">
        <v>0</v>
      </c>
      <c r="E1756">
        <v>0</v>
      </c>
      <c r="F1756">
        <v>0</v>
      </c>
      <c r="G1756">
        <v>24.254200000000001</v>
      </c>
      <c r="H1756">
        <v>0</v>
      </c>
      <c r="I1756">
        <v>0</v>
      </c>
      <c r="J1756">
        <v>0</v>
      </c>
      <c r="K1756">
        <v>0</v>
      </c>
      <c r="L1756">
        <v>136</v>
      </c>
      <c r="M1756">
        <v>197</v>
      </c>
      <c r="N1756" t="s">
        <v>31</v>
      </c>
      <c r="O1756" s="3">
        <v>44635</v>
      </c>
      <c r="P1756">
        <v>-1</v>
      </c>
      <c r="T1756" t="s">
        <v>48</v>
      </c>
      <c r="U1756">
        <v>56</v>
      </c>
      <c r="V1756">
        <v>31.85</v>
      </c>
    </row>
    <row r="1757" spans="1:22" x14ac:dyDescent="0.35">
      <c r="A1757" s="3">
        <v>44435</v>
      </c>
      <c r="B1757" t="s">
        <v>35</v>
      </c>
      <c r="C1757">
        <v>0</v>
      </c>
      <c r="D1757">
        <v>0</v>
      </c>
      <c r="E1757">
        <v>0</v>
      </c>
      <c r="F1757">
        <v>0</v>
      </c>
      <c r="G1757">
        <v>21.9481</v>
      </c>
      <c r="H1757">
        <v>0</v>
      </c>
      <c r="I1757">
        <v>0</v>
      </c>
      <c r="J1757">
        <v>0</v>
      </c>
      <c r="K1757">
        <v>0</v>
      </c>
      <c r="L1757">
        <v>57</v>
      </c>
      <c r="M1757">
        <v>82</v>
      </c>
      <c r="N1757" t="s">
        <v>35</v>
      </c>
      <c r="O1757" s="3">
        <v>44517</v>
      </c>
      <c r="P1757">
        <v>-1</v>
      </c>
      <c r="T1757" t="s">
        <v>47</v>
      </c>
      <c r="U1757">
        <v>76</v>
      </c>
      <c r="V1757">
        <v>29.875</v>
      </c>
    </row>
    <row r="1758" spans="1:22" x14ac:dyDescent="0.35">
      <c r="A1758" s="3">
        <v>44435</v>
      </c>
      <c r="B1758" t="s">
        <v>29</v>
      </c>
      <c r="C1758">
        <v>0</v>
      </c>
      <c r="D1758">
        <v>0</v>
      </c>
      <c r="E1758">
        <v>0</v>
      </c>
      <c r="F1758">
        <v>0</v>
      </c>
      <c r="G1758">
        <v>24.1</v>
      </c>
      <c r="H1758">
        <v>0</v>
      </c>
      <c r="I1758">
        <v>0</v>
      </c>
      <c r="J1758">
        <v>0</v>
      </c>
      <c r="K1758">
        <v>0</v>
      </c>
      <c r="L1758">
        <v>183</v>
      </c>
      <c r="M1758">
        <v>264</v>
      </c>
      <c r="N1758" t="s">
        <v>29</v>
      </c>
      <c r="O1758" s="3">
        <v>44699</v>
      </c>
      <c r="P1758">
        <v>-1</v>
      </c>
      <c r="T1758" t="s">
        <v>46</v>
      </c>
      <c r="U1758">
        <v>95</v>
      </c>
      <c r="V1758">
        <v>28.55</v>
      </c>
    </row>
    <row r="1759" spans="1:22" x14ac:dyDescent="0.35">
      <c r="A1759" s="3">
        <v>44435</v>
      </c>
      <c r="B1759" t="s">
        <v>34</v>
      </c>
      <c r="C1759">
        <v>0</v>
      </c>
      <c r="D1759">
        <v>0</v>
      </c>
      <c r="E1759">
        <v>0</v>
      </c>
      <c r="F1759">
        <v>0</v>
      </c>
      <c r="G1759">
        <v>22.2424</v>
      </c>
      <c r="H1759">
        <v>0</v>
      </c>
      <c r="I1759">
        <v>0</v>
      </c>
      <c r="J1759">
        <v>0</v>
      </c>
      <c r="K1759">
        <v>0</v>
      </c>
      <c r="L1759">
        <v>81</v>
      </c>
      <c r="M1759">
        <v>117</v>
      </c>
      <c r="N1759" t="s">
        <v>34</v>
      </c>
      <c r="O1759" s="3">
        <v>44552</v>
      </c>
      <c r="P1759">
        <v>-1</v>
      </c>
      <c r="S1759" s="3">
        <v>44047</v>
      </c>
      <c r="T1759" t="s">
        <v>45</v>
      </c>
      <c r="U1759">
        <v>116</v>
      </c>
      <c r="V1759">
        <v>28.475000000000001</v>
      </c>
    </row>
    <row r="1760" spans="1:22" x14ac:dyDescent="0.35">
      <c r="A1760" s="3">
        <v>44435</v>
      </c>
      <c r="B1760" t="s">
        <v>31</v>
      </c>
      <c r="C1760">
        <v>0</v>
      </c>
      <c r="D1760">
        <v>0</v>
      </c>
      <c r="E1760">
        <v>0</v>
      </c>
      <c r="F1760">
        <v>0</v>
      </c>
      <c r="G1760">
        <v>24.26</v>
      </c>
      <c r="H1760">
        <v>0</v>
      </c>
      <c r="I1760">
        <v>0</v>
      </c>
      <c r="J1760">
        <v>0</v>
      </c>
      <c r="K1760">
        <v>0</v>
      </c>
      <c r="L1760">
        <v>137</v>
      </c>
      <c r="M1760">
        <v>200</v>
      </c>
      <c r="N1760" t="s">
        <v>31</v>
      </c>
      <c r="O1760" s="3">
        <v>44635</v>
      </c>
      <c r="P1760">
        <v>-1</v>
      </c>
      <c r="T1760" t="s">
        <v>44</v>
      </c>
      <c r="U1760">
        <v>135</v>
      </c>
      <c r="V1760">
        <v>28.074999999999999</v>
      </c>
    </row>
    <row r="1761" spans="1:22" x14ac:dyDescent="0.35">
      <c r="A1761" s="3">
        <v>44435</v>
      </c>
      <c r="B1761" t="s">
        <v>32</v>
      </c>
      <c r="C1761">
        <v>0</v>
      </c>
      <c r="D1761">
        <v>0</v>
      </c>
      <c r="E1761">
        <v>0</v>
      </c>
      <c r="F1761">
        <v>0</v>
      </c>
      <c r="G1761">
        <v>23.796500000000002</v>
      </c>
      <c r="H1761">
        <v>0</v>
      </c>
      <c r="I1761">
        <v>0</v>
      </c>
      <c r="J1761">
        <v>0</v>
      </c>
      <c r="K1761">
        <v>0</v>
      </c>
      <c r="L1761">
        <v>119</v>
      </c>
      <c r="M1761">
        <v>173</v>
      </c>
      <c r="N1761" t="s">
        <v>32</v>
      </c>
      <c r="O1761" s="3">
        <v>44608</v>
      </c>
      <c r="P1761">
        <v>-1</v>
      </c>
      <c r="T1761" t="s">
        <v>43</v>
      </c>
      <c r="U1761">
        <v>155</v>
      </c>
      <c r="V1761">
        <v>27.95</v>
      </c>
    </row>
    <row r="1762" spans="1:22" x14ac:dyDescent="0.35">
      <c r="A1762" s="3">
        <v>44435</v>
      </c>
      <c r="B1762" t="s">
        <v>30</v>
      </c>
      <c r="C1762">
        <v>0</v>
      </c>
      <c r="D1762">
        <v>0</v>
      </c>
      <c r="E1762">
        <v>0</v>
      </c>
      <c r="F1762">
        <v>0</v>
      </c>
      <c r="G1762">
        <v>24.274999999999999</v>
      </c>
      <c r="H1762">
        <v>0</v>
      </c>
      <c r="I1762">
        <v>0</v>
      </c>
      <c r="J1762">
        <v>0</v>
      </c>
      <c r="K1762">
        <v>0</v>
      </c>
      <c r="L1762">
        <v>163</v>
      </c>
      <c r="M1762">
        <v>236</v>
      </c>
      <c r="N1762" t="s">
        <v>30</v>
      </c>
      <c r="O1762" s="3">
        <v>44671</v>
      </c>
      <c r="P1762">
        <v>-1</v>
      </c>
      <c r="T1762" t="s">
        <v>50</v>
      </c>
      <c r="U1762">
        <v>11</v>
      </c>
      <c r="V1762">
        <v>25.875</v>
      </c>
    </row>
    <row r="1763" spans="1:22" x14ac:dyDescent="0.35">
      <c r="A1763" s="3">
        <v>44435</v>
      </c>
      <c r="B1763" t="s">
        <v>36</v>
      </c>
      <c r="C1763">
        <v>0</v>
      </c>
      <c r="D1763">
        <v>0</v>
      </c>
      <c r="E1763">
        <v>0</v>
      </c>
      <c r="F1763">
        <v>0</v>
      </c>
      <c r="G1763">
        <v>21.1309</v>
      </c>
      <c r="H1763">
        <v>0</v>
      </c>
      <c r="I1763">
        <v>0</v>
      </c>
      <c r="J1763">
        <v>0</v>
      </c>
      <c r="K1763">
        <v>0</v>
      </c>
      <c r="L1763">
        <v>37</v>
      </c>
      <c r="M1763">
        <v>54</v>
      </c>
      <c r="N1763" t="s">
        <v>36</v>
      </c>
      <c r="O1763" s="3">
        <v>44489</v>
      </c>
      <c r="P1763">
        <v>-1</v>
      </c>
      <c r="T1763" t="s">
        <v>49</v>
      </c>
      <c r="U1763">
        <v>30</v>
      </c>
      <c r="V1763">
        <v>28.425000000000001</v>
      </c>
    </row>
    <row r="1764" spans="1:22" x14ac:dyDescent="0.35">
      <c r="A1764" s="3">
        <v>44435</v>
      </c>
      <c r="B1764" t="s">
        <v>33</v>
      </c>
      <c r="C1764">
        <v>0</v>
      </c>
      <c r="D1764">
        <v>0</v>
      </c>
      <c r="E1764">
        <v>0</v>
      </c>
      <c r="F1764">
        <v>0</v>
      </c>
      <c r="G1764">
        <v>23.322500000000002</v>
      </c>
      <c r="H1764">
        <v>0</v>
      </c>
      <c r="I1764">
        <v>0</v>
      </c>
      <c r="J1764">
        <v>0</v>
      </c>
      <c r="K1764">
        <v>0</v>
      </c>
      <c r="L1764">
        <v>99</v>
      </c>
      <c r="M1764">
        <v>145</v>
      </c>
      <c r="N1764" t="s">
        <v>33</v>
      </c>
      <c r="O1764" s="3">
        <v>44580</v>
      </c>
      <c r="P1764">
        <v>-1</v>
      </c>
      <c r="T1764" t="s">
        <v>48</v>
      </c>
      <c r="U1764">
        <v>55</v>
      </c>
      <c r="V1764">
        <v>30.975000000000001</v>
      </c>
    </row>
    <row r="1765" spans="1:22" x14ac:dyDescent="0.35">
      <c r="A1765" s="3">
        <v>44434</v>
      </c>
      <c r="B1765" t="s">
        <v>32</v>
      </c>
      <c r="C1765">
        <v>0</v>
      </c>
      <c r="D1765">
        <v>0</v>
      </c>
      <c r="E1765">
        <v>0</v>
      </c>
      <c r="F1765">
        <v>0</v>
      </c>
      <c r="G1765">
        <v>24.344999999999999</v>
      </c>
      <c r="H1765">
        <v>0</v>
      </c>
      <c r="I1765">
        <v>0</v>
      </c>
      <c r="J1765">
        <v>0</v>
      </c>
      <c r="K1765">
        <v>0</v>
      </c>
      <c r="L1765">
        <v>120</v>
      </c>
      <c r="M1765">
        <v>174</v>
      </c>
      <c r="N1765" t="s">
        <v>32</v>
      </c>
      <c r="O1765" s="3">
        <v>44608</v>
      </c>
      <c r="P1765">
        <v>-1</v>
      </c>
      <c r="T1765" t="s">
        <v>47</v>
      </c>
      <c r="U1765">
        <v>75</v>
      </c>
      <c r="V1765">
        <v>29.125</v>
      </c>
    </row>
    <row r="1766" spans="1:22" x14ac:dyDescent="0.35">
      <c r="A1766" s="3">
        <v>44434</v>
      </c>
      <c r="B1766" t="s">
        <v>30</v>
      </c>
      <c r="C1766">
        <v>0</v>
      </c>
      <c r="D1766">
        <v>0</v>
      </c>
      <c r="E1766">
        <v>0</v>
      </c>
      <c r="F1766">
        <v>0</v>
      </c>
      <c r="G1766">
        <v>24.824999999999999</v>
      </c>
      <c r="H1766">
        <v>0</v>
      </c>
      <c r="I1766">
        <v>0</v>
      </c>
      <c r="J1766">
        <v>0</v>
      </c>
      <c r="K1766">
        <v>0</v>
      </c>
      <c r="L1766">
        <v>164</v>
      </c>
      <c r="M1766">
        <v>237</v>
      </c>
      <c r="N1766" t="s">
        <v>30</v>
      </c>
      <c r="O1766" s="3">
        <v>44671</v>
      </c>
      <c r="P1766">
        <v>-1</v>
      </c>
      <c r="T1766" t="s">
        <v>46</v>
      </c>
      <c r="U1766">
        <v>94</v>
      </c>
      <c r="V1766">
        <v>28.024999999999999</v>
      </c>
    </row>
    <row r="1767" spans="1:22" x14ac:dyDescent="0.35">
      <c r="A1767" s="3">
        <v>44434</v>
      </c>
      <c r="B1767" t="s">
        <v>36</v>
      </c>
      <c r="C1767">
        <v>0</v>
      </c>
      <c r="D1767">
        <v>0</v>
      </c>
      <c r="E1767">
        <v>0</v>
      </c>
      <c r="F1767">
        <v>0</v>
      </c>
      <c r="G1767">
        <v>21.950099999999999</v>
      </c>
      <c r="H1767">
        <v>0</v>
      </c>
      <c r="I1767">
        <v>0</v>
      </c>
      <c r="J1767">
        <v>0</v>
      </c>
      <c r="K1767">
        <v>0</v>
      </c>
      <c r="L1767">
        <v>38</v>
      </c>
      <c r="M1767">
        <v>55</v>
      </c>
      <c r="N1767" t="s">
        <v>36</v>
      </c>
      <c r="O1767" s="3">
        <v>44489</v>
      </c>
      <c r="P1767">
        <v>-1</v>
      </c>
      <c r="S1767" s="3">
        <v>44048</v>
      </c>
      <c r="T1767" t="s">
        <v>45</v>
      </c>
      <c r="U1767">
        <v>115</v>
      </c>
      <c r="V1767">
        <v>28.375</v>
      </c>
    </row>
    <row r="1768" spans="1:22" x14ac:dyDescent="0.35">
      <c r="A1768" s="3">
        <v>44434</v>
      </c>
      <c r="B1768" t="s">
        <v>33</v>
      </c>
      <c r="C1768">
        <v>0</v>
      </c>
      <c r="D1768">
        <v>0</v>
      </c>
      <c r="E1768">
        <v>0</v>
      </c>
      <c r="F1768">
        <v>0</v>
      </c>
      <c r="G1768">
        <v>23.9</v>
      </c>
      <c r="H1768">
        <v>0</v>
      </c>
      <c r="I1768">
        <v>0</v>
      </c>
      <c r="J1768">
        <v>0</v>
      </c>
      <c r="K1768">
        <v>0</v>
      </c>
      <c r="L1768">
        <v>100</v>
      </c>
      <c r="M1768">
        <v>146</v>
      </c>
      <c r="N1768" t="s">
        <v>33</v>
      </c>
      <c r="O1768" s="3">
        <v>44580</v>
      </c>
      <c r="P1768">
        <v>-1</v>
      </c>
      <c r="T1768" t="s">
        <v>44</v>
      </c>
      <c r="U1768">
        <v>134</v>
      </c>
      <c r="V1768">
        <v>27.975000000000001</v>
      </c>
    </row>
    <row r="1769" spans="1:22" x14ac:dyDescent="0.35">
      <c r="A1769" s="3">
        <v>44434</v>
      </c>
      <c r="B1769" t="s">
        <v>35</v>
      </c>
      <c r="C1769">
        <v>0</v>
      </c>
      <c r="D1769">
        <v>0</v>
      </c>
      <c r="E1769">
        <v>0</v>
      </c>
      <c r="F1769">
        <v>0</v>
      </c>
      <c r="G1769">
        <v>22.605799999999999</v>
      </c>
      <c r="H1769">
        <v>0</v>
      </c>
      <c r="I1769">
        <v>0</v>
      </c>
      <c r="J1769">
        <v>0</v>
      </c>
      <c r="K1769">
        <v>0</v>
      </c>
      <c r="L1769">
        <v>58</v>
      </c>
      <c r="M1769">
        <v>83</v>
      </c>
      <c r="N1769" t="s">
        <v>35</v>
      </c>
      <c r="O1769" s="3">
        <v>44517</v>
      </c>
      <c r="P1769">
        <v>-1</v>
      </c>
      <c r="T1769" t="s">
        <v>43</v>
      </c>
      <c r="U1769">
        <v>154</v>
      </c>
      <c r="V1769">
        <v>27.774999999999999</v>
      </c>
    </row>
    <row r="1770" spans="1:22" x14ac:dyDescent="0.35">
      <c r="A1770" s="3">
        <v>44434</v>
      </c>
      <c r="B1770" t="s">
        <v>29</v>
      </c>
      <c r="C1770">
        <v>0</v>
      </c>
      <c r="D1770">
        <v>0</v>
      </c>
      <c r="E1770">
        <v>0</v>
      </c>
      <c r="F1770">
        <v>0</v>
      </c>
      <c r="G1770">
        <v>24.675000000000001</v>
      </c>
      <c r="H1770">
        <v>0</v>
      </c>
      <c r="I1770">
        <v>0</v>
      </c>
      <c r="J1770">
        <v>0</v>
      </c>
      <c r="K1770">
        <v>0</v>
      </c>
      <c r="L1770">
        <v>184</v>
      </c>
      <c r="M1770">
        <v>265</v>
      </c>
      <c r="N1770" t="s">
        <v>29</v>
      </c>
      <c r="O1770" s="3">
        <v>44699</v>
      </c>
      <c r="P1770">
        <v>-1</v>
      </c>
      <c r="T1770" t="s">
        <v>50</v>
      </c>
      <c r="U1770">
        <v>10</v>
      </c>
      <c r="V1770">
        <v>25.324999999999999</v>
      </c>
    </row>
    <row r="1771" spans="1:22" x14ac:dyDescent="0.35">
      <c r="A1771" s="3">
        <v>44434</v>
      </c>
      <c r="B1771" t="s">
        <v>34</v>
      </c>
      <c r="C1771">
        <v>0</v>
      </c>
      <c r="D1771">
        <v>0</v>
      </c>
      <c r="E1771">
        <v>0</v>
      </c>
      <c r="F1771">
        <v>0</v>
      </c>
      <c r="G1771">
        <v>22.859200000000001</v>
      </c>
      <c r="H1771">
        <v>0</v>
      </c>
      <c r="I1771">
        <v>0</v>
      </c>
      <c r="J1771">
        <v>0</v>
      </c>
      <c r="K1771">
        <v>0</v>
      </c>
      <c r="L1771">
        <v>82</v>
      </c>
      <c r="M1771">
        <v>118</v>
      </c>
      <c r="N1771" t="s">
        <v>34</v>
      </c>
      <c r="O1771" s="3">
        <v>44552</v>
      </c>
      <c r="P1771">
        <v>-1</v>
      </c>
      <c r="T1771" t="s">
        <v>49</v>
      </c>
      <c r="U1771">
        <v>29</v>
      </c>
      <c r="V1771">
        <v>28.125</v>
      </c>
    </row>
    <row r="1772" spans="1:22" x14ac:dyDescent="0.35">
      <c r="A1772" s="3">
        <v>44434</v>
      </c>
      <c r="B1772" t="s">
        <v>31</v>
      </c>
      <c r="C1772">
        <v>0</v>
      </c>
      <c r="D1772">
        <v>0</v>
      </c>
      <c r="E1772">
        <v>0</v>
      </c>
      <c r="F1772">
        <v>0</v>
      </c>
      <c r="G1772">
        <v>24.8</v>
      </c>
      <c r="H1772">
        <v>0</v>
      </c>
      <c r="I1772">
        <v>0</v>
      </c>
      <c r="J1772">
        <v>0</v>
      </c>
      <c r="K1772">
        <v>0</v>
      </c>
      <c r="L1772">
        <v>138</v>
      </c>
      <c r="M1772">
        <v>201</v>
      </c>
      <c r="N1772" t="s">
        <v>31</v>
      </c>
      <c r="O1772" s="3">
        <v>44635</v>
      </c>
      <c r="P1772">
        <v>-1</v>
      </c>
      <c r="T1772" t="s">
        <v>48</v>
      </c>
      <c r="U1772">
        <v>54</v>
      </c>
      <c r="V1772">
        <v>30.774999999999999</v>
      </c>
    </row>
    <row r="1773" spans="1:22" x14ac:dyDescent="0.35">
      <c r="A1773" s="3">
        <v>44434</v>
      </c>
      <c r="B1773" t="s">
        <v>37</v>
      </c>
      <c r="C1773">
        <v>0</v>
      </c>
      <c r="D1773">
        <v>0</v>
      </c>
      <c r="E1773">
        <v>0</v>
      </c>
      <c r="F1773">
        <v>0</v>
      </c>
      <c r="G1773">
        <v>20.122900000000001</v>
      </c>
      <c r="H1773">
        <v>0</v>
      </c>
      <c r="I1773">
        <v>0</v>
      </c>
      <c r="J1773">
        <v>0</v>
      </c>
      <c r="K1773">
        <v>0</v>
      </c>
      <c r="L1773">
        <v>13</v>
      </c>
      <c r="M1773">
        <v>20</v>
      </c>
      <c r="N1773" t="s">
        <v>37</v>
      </c>
      <c r="O1773" s="3">
        <v>44454</v>
      </c>
      <c r="P1773">
        <v>-1</v>
      </c>
      <c r="T1773" t="s">
        <v>47</v>
      </c>
      <c r="U1773">
        <v>74</v>
      </c>
      <c r="V1773">
        <v>29.024999999999999</v>
      </c>
    </row>
    <row r="1774" spans="1:22" x14ac:dyDescent="0.35">
      <c r="A1774" s="3">
        <v>44433</v>
      </c>
      <c r="B1774" t="s">
        <v>35</v>
      </c>
      <c r="C1774">
        <v>0</v>
      </c>
      <c r="D1774">
        <v>0</v>
      </c>
      <c r="E1774">
        <v>0</v>
      </c>
      <c r="F1774">
        <v>0</v>
      </c>
      <c r="G1774">
        <v>22.1983</v>
      </c>
      <c r="H1774">
        <v>0</v>
      </c>
      <c r="I1774">
        <v>0</v>
      </c>
      <c r="J1774">
        <v>0</v>
      </c>
      <c r="K1774">
        <v>0</v>
      </c>
      <c r="L1774">
        <v>59</v>
      </c>
      <c r="M1774">
        <v>84</v>
      </c>
      <c r="N1774" t="s">
        <v>35</v>
      </c>
      <c r="O1774" s="3">
        <v>44517</v>
      </c>
      <c r="P1774">
        <v>-1</v>
      </c>
      <c r="T1774" t="s">
        <v>46</v>
      </c>
      <c r="U1774">
        <v>93</v>
      </c>
      <c r="V1774">
        <v>27.975000000000001</v>
      </c>
    </row>
    <row r="1775" spans="1:22" x14ac:dyDescent="0.35">
      <c r="A1775" s="3">
        <v>44433</v>
      </c>
      <c r="B1775" t="s">
        <v>29</v>
      </c>
      <c r="C1775">
        <v>0</v>
      </c>
      <c r="D1775">
        <v>0</v>
      </c>
      <c r="E1775">
        <v>0</v>
      </c>
      <c r="F1775">
        <v>0</v>
      </c>
      <c r="G1775">
        <v>24.375</v>
      </c>
      <c r="H1775">
        <v>0</v>
      </c>
      <c r="I1775">
        <v>0</v>
      </c>
      <c r="J1775">
        <v>0</v>
      </c>
      <c r="K1775">
        <v>0</v>
      </c>
      <c r="L1775">
        <v>185</v>
      </c>
      <c r="M1775">
        <v>266</v>
      </c>
      <c r="N1775" t="s">
        <v>29</v>
      </c>
      <c r="O1775" s="3">
        <v>44699</v>
      </c>
      <c r="P1775">
        <v>-1</v>
      </c>
      <c r="S1775" s="3">
        <v>44049</v>
      </c>
      <c r="T1775" t="s">
        <v>45</v>
      </c>
      <c r="U1775">
        <v>114</v>
      </c>
      <c r="V1775">
        <v>28.274999999999999</v>
      </c>
    </row>
    <row r="1776" spans="1:22" x14ac:dyDescent="0.35">
      <c r="A1776" s="3">
        <v>44433</v>
      </c>
      <c r="B1776" t="s">
        <v>34</v>
      </c>
      <c r="C1776">
        <v>0</v>
      </c>
      <c r="D1776">
        <v>0</v>
      </c>
      <c r="E1776">
        <v>0</v>
      </c>
      <c r="F1776">
        <v>0</v>
      </c>
      <c r="G1776">
        <v>22.500499999999999</v>
      </c>
      <c r="H1776">
        <v>0</v>
      </c>
      <c r="I1776">
        <v>0</v>
      </c>
      <c r="J1776">
        <v>0</v>
      </c>
      <c r="K1776">
        <v>0</v>
      </c>
      <c r="L1776">
        <v>83</v>
      </c>
      <c r="M1776">
        <v>119</v>
      </c>
      <c r="N1776" t="s">
        <v>34</v>
      </c>
      <c r="O1776" s="3">
        <v>44552</v>
      </c>
      <c r="P1776">
        <v>-1</v>
      </c>
      <c r="T1776" t="s">
        <v>44</v>
      </c>
      <c r="U1776">
        <v>133</v>
      </c>
      <c r="V1776">
        <v>27.875</v>
      </c>
    </row>
    <row r="1777" spans="1:22" x14ac:dyDescent="0.35">
      <c r="A1777" s="3">
        <v>44433</v>
      </c>
      <c r="B1777" t="s">
        <v>31</v>
      </c>
      <c r="C1777">
        <v>0</v>
      </c>
      <c r="D1777">
        <v>0</v>
      </c>
      <c r="E1777">
        <v>0</v>
      </c>
      <c r="F1777">
        <v>0</v>
      </c>
      <c r="G1777">
        <v>24.55</v>
      </c>
      <c r="H1777">
        <v>0</v>
      </c>
      <c r="I1777">
        <v>0</v>
      </c>
      <c r="J1777">
        <v>0</v>
      </c>
      <c r="K1777">
        <v>0</v>
      </c>
      <c r="L1777">
        <v>139</v>
      </c>
      <c r="M1777">
        <v>202</v>
      </c>
      <c r="N1777" t="s">
        <v>31</v>
      </c>
      <c r="O1777" s="3">
        <v>44635</v>
      </c>
      <c r="P1777">
        <v>-1</v>
      </c>
      <c r="T1777" t="s">
        <v>43</v>
      </c>
      <c r="U1777">
        <v>153</v>
      </c>
      <c r="V1777">
        <v>27.65</v>
      </c>
    </row>
    <row r="1778" spans="1:22" x14ac:dyDescent="0.35">
      <c r="A1778" s="3">
        <v>44433</v>
      </c>
      <c r="B1778" t="s">
        <v>37</v>
      </c>
      <c r="C1778">
        <v>0</v>
      </c>
      <c r="D1778">
        <v>0</v>
      </c>
      <c r="E1778">
        <v>0</v>
      </c>
      <c r="F1778">
        <v>0</v>
      </c>
      <c r="G1778">
        <v>19.232800000000001</v>
      </c>
      <c r="H1778">
        <v>0</v>
      </c>
      <c r="I1778">
        <v>0</v>
      </c>
      <c r="J1778">
        <v>0</v>
      </c>
      <c r="K1778">
        <v>0</v>
      </c>
      <c r="L1778">
        <v>14</v>
      </c>
      <c r="M1778">
        <v>21</v>
      </c>
      <c r="N1778" t="s">
        <v>37</v>
      </c>
      <c r="O1778" s="3">
        <v>44454</v>
      </c>
      <c r="P1778">
        <v>-1</v>
      </c>
      <c r="T1778" t="s">
        <v>42</v>
      </c>
      <c r="U1778">
        <v>178</v>
      </c>
      <c r="V1778">
        <v>27.5</v>
      </c>
    </row>
    <row r="1779" spans="1:22" x14ac:dyDescent="0.35">
      <c r="A1779" s="3">
        <v>44433</v>
      </c>
      <c r="B1779" t="s">
        <v>32</v>
      </c>
      <c r="C1779">
        <v>0</v>
      </c>
      <c r="D1779">
        <v>0</v>
      </c>
      <c r="E1779">
        <v>0</v>
      </c>
      <c r="F1779">
        <v>0</v>
      </c>
      <c r="G1779">
        <v>24.0456</v>
      </c>
      <c r="H1779">
        <v>0</v>
      </c>
      <c r="I1779">
        <v>0</v>
      </c>
      <c r="J1779">
        <v>0</v>
      </c>
      <c r="K1779">
        <v>0</v>
      </c>
      <c r="L1779">
        <v>121</v>
      </c>
      <c r="M1779">
        <v>175</v>
      </c>
      <c r="N1779" t="s">
        <v>32</v>
      </c>
      <c r="O1779" s="3">
        <v>44608</v>
      </c>
      <c r="P1779">
        <v>-1</v>
      </c>
      <c r="T1779" t="s">
        <v>50</v>
      </c>
      <c r="U1779">
        <v>9</v>
      </c>
      <c r="V1779">
        <v>24.875</v>
      </c>
    </row>
    <row r="1780" spans="1:22" x14ac:dyDescent="0.35">
      <c r="A1780" s="3">
        <v>44433</v>
      </c>
      <c r="B1780" t="s">
        <v>30</v>
      </c>
      <c r="C1780">
        <v>0</v>
      </c>
      <c r="D1780">
        <v>0</v>
      </c>
      <c r="E1780">
        <v>0</v>
      </c>
      <c r="F1780">
        <v>0</v>
      </c>
      <c r="G1780">
        <v>24.55</v>
      </c>
      <c r="H1780">
        <v>0</v>
      </c>
      <c r="I1780">
        <v>0</v>
      </c>
      <c r="J1780">
        <v>0</v>
      </c>
      <c r="K1780">
        <v>0</v>
      </c>
      <c r="L1780">
        <v>165</v>
      </c>
      <c r="M1780">
        <v>238</v>
      </c>
      <c r="N1780" t="s">
        <v>30</v>
      </c>
      <c r="O1780" s="3">
        <v>44671</v>
      </c>
      <c r="P1780">
        <v>-1</v>
      </c>
      <c r="T1780" t="s">
        <v>49</v>
      </c>
      <c r="U1780">
        <v>28</v>
      </c>
      <c r="V1780">
        <v>27.875</v>
      </c>
    </row>
    <row r="1781" spans="1:22" x14ac:dyDescent="0.35">
      <c r="A1781" s="3">
        <v>44433</v>
      </c>
      <c r="B1781" t="s">
        <v>36</v>
      </c>
      <c r="C1781">
        <v>0</v>
      </c>
      <c r="D1781">
        <v>0</v>
      </c>
      <c r="E1781">
        <v>0</v>
      </c>
      <c r="F1781">
        <v>0</v>
      </c>
      <c r="G1781">
        <v>21.289899999999999</v>
      </c>
      <c r="H1781">
        <v>0</v>
      </c>
      <c r="I1781">
        <v>0</v>
      </c>
      <c r="J1781">
        <v>0</v>
      </c>
      <c r="K1781">
        <v>0</v>
      </c>
      <c r="L1781">
        <v>39</v>
      </c>
      <c r="M1781">
        <v>56</v>
      </c>
      <c r="N1781" t="s">
        <v>36</v>
      </c>
      <c r="O1781" s="3">
        <v>44489</v>
      </c>
      <c r="P1781">
        <v>-1</v>
      </c>
      <c r="T1781" t="s">
        <v>48</v>
      </c>
      <c r="U1781">
        <v>53</v>
      </c>
      <c r="V1781">
        <v>30.425000000000001</v>
      </c>
    </row>
    <row r="1782" spans="1:22" x14ac:dyDescent="0.35">
      <c r="A1782" s="3">
        <v>44433</v>
      </c>
      <c r="B1782" t="s">
        <v>33</v>
      </c>
      <c r="C1782">
        <v>0</v>
      </c>
      <c r="D1782">
        <v>0</v>
      </c>
      <c r="E1782">
        <v>0</v>
      </c>
      <c r="F1782">
        <v>0</v>
      </c>
      <c r="G1782">
        <v>23.6</v>
      </c>
      <c r="H1782">
        <v>0</v>
      </c>
      <c r="I1782">
        <v>0</v>
      </c>
      <c r="J1782">
        <v>0</v>
      </c>
      <c r="K1782">
        <v>0</v>
      </c>
      <c r="L1782">
        <v>101</v>
      </c>
      <c r="M1782">
        <v>147</v>
      </c>
      <c r="N1782" t="s">
        <v>33</v>
      </c>
      <c r="O1782" s="3">
        <v>44580</v>
      </c>
      <c r="P1782">
        <v>-1</v>
      </c>
      <c r="T1782" t="s">
        <v>47</v>
      </c>
      <c r="U1782">
        <v>73</v>
      </c>
      <c r="V1782">
        <v>28.85</v>
      </c>
    </row>
    <row r="1783" spans="1:22" x14ac:dyDescent="0.35">
      <c r="A1783" s="3">
        <v>44432</v>
      </c>
      <c r="B1783" t="s">
        <v>32</v>
      </c>
      <c r="C1783">
        <v>0</v>
      </c>
      <c r="D1783">
        <v>0</v>
      </c>
      <c r="E1783">
        <v>0</v>
      </c>
      <c r="F1783">
        <v>0</v>
      </c>
      <c r="G1783">
        <v>24.35</v>
      </c>
      <c r="H1783">
        <v>0</v>
      </c>
      <c r="I1783">
        <v>0</v>
      </c>
      <c r="J1783">
        <v>0</v>
      </c>
      <c r="K1783">
        <v>0</v>
      </c>
      <c r="L1783">
        <v>122</v>
      </c>
      <c r="M1783">
        <v>176</v>
      </c>
      <c r="N1783" t="s">
        <v>32</v>
      </c>
      <c r="O1783" s="3">
        <v>44608</v>
      </c>
      <c r="P1783">
        <v>-1</v>
      </c>
      <c r="T1783" t="s">
        <v>46</v>
      </c>
      <c r="U1783">
        <v>92</v>
      </c>
      <c r="V1783">
        <v>27.875</v>
      </c>
    </row>
    <row r="1784" spans="1:22" x14ac:dyDescent="0.35">
      <c r="A1784" s="3">
        <v>44432</v>
      </c>
      <c r="B1784" t="s">
        <v>30</v>
      </c>
      <c r="C1784">
        <v>0</v>
      </c>
      <c r="D1784">
        <v>0</v>
      </c>
      <c r="E1784">
        <v>0</v>
      </c>
      <c r="F1784">
        <v>0</v>
      </c>
      <c r="G1784">
        <v>24.975000000000001</v>
      </c>
      <c r="H1784">
        <v>0</v>
      </c>
      <c r="I1784">
        <v>0</v>
      </c>
      <c r="J1784">
        <v>0</v>
      </c>
      <c r="K1784">
        <v>0</v>
      </c>
      <c r="L1784">
        <v>166</v>
      </c>
      <c r="M1784">
        <v>239</v>
      </c>
      <c r="N1784" t="s">
        <v>30</v>
      </c>
      <c r="O1784" s="3">
        <v>44671</v>
      </c>
      <c r="P1784">
        <v>-1</v>
      </c>
      <c r="S1784" s="3">
        <v>44050</v>
      </c>
      <c r="T1784" t="s">
        <v>45</v>
      </c>
      <c r="U1784">
        <v>113</v>
      </c>
      <c r="V1784">
        <v>28.425000000000001</v>
      </c>
    </row>
    <row r="1785" spans="1:22" x14ac:dyDescent="0.35">
      <c r="A1785" s="3">
        <v>44432</v>
      </c>
      <c r="B1785" t="s">
        <v>36</v>
      </c>
      <c r="C1785">
        <v>0</v>
      </c>
      <c r="D1785">
        <v>0</v>
      </c>
      <c r="E1785">
        <v>0</v>
      </c>
      <c r="F1785">
        <v>0</v>
      </c>
      <c r="G1785">
        <v>22.155100000000001</v>
      </c>
      <c r="H1785">
        <v>0</v>
      </c>
      <c r="I1785">
        <v>0</v>
      </c>
      <c r="J1785">
        <v>0</v>
      </c>
      <c r="K1785">
        <v>0</v>
      </c>
      <c r="L1785">
        <v>40</v>
      </c>
      <c r="M1785">
        <v>57</v>
      </c>
      <c r="N1785" t="s">
        <v>36</v>
      </c>
      <c r="O1785" s="3">
        <v>44489</v>
      </c>
      <c r="P1785">
        <v>-1</v>
      </c>
      <c r="T1785" t="s">
        <v>44</v>
      </c>
      <c r="U1785">
        <v>132</v>
      </c>
      <c r="V1785">
        <v>28.024999999999999</v>
      </c>
    </row>
    <row r="1786" spans="1:22" x14ac:dyDescent="0.35">
      <c r="A1786" s="3">
        <v>44432</v>
      </c>
      <c r="B1786" t="s">
        <v>33</v>
      </c>
      <c r="C1786">
        <v>0</v>
      </c>
      <c r="D1786">
        <v>0</v>
      </c>
      <c r="E1786">
        <v>0</v>
      </c>
      <c r="F1786">
        <v>0</v>
      </c>
      <c r="G1786">
        <v>23.889099999999999</v>
      </c>
      <c r="H1786">
        <v>0</v>
      </c>
      <c r="I1786">
        <v>0</v>
      </c>
      <c r="J1786">
        <v>0</v>
      </c>
      <c r="K1786">
        <v>0</v>
      </c>
      <c r="L1786">
        <v>102</v>
      </c>
      <c r="M1786">
        <v>148</v>
      </c>
      <c r="N1786" t="s">
        <v>33</v>
      </c>
      <c r="O1786" s="3">
        <v>44580</v>
      </c>
      <c r="P1786">
        <v>-1</v>
      </c>
      <c r="T1786" t="s">
        <v>43</v>
      </c>
      <c r="U1786">
        <v>152</v>
      </c>
      <c r="V1786">
        <v>27.774999999999999</v>
      </c>
    </row>
    <row r="1787" spans="1:22" x14ac:dyDescent="0.35">
      <c r="A1787" s="3">
        <v>44432</v>
      </c>
      <c r="B1787" t="s">
        <v>35</v>
      </c>
      <c r="C1787">
        <v>0</v>
      </c>
      <c r="D1787">
        <v>0</v>
      </c>
      <c r="E1787">
        <v>0</v>
      </c>
      <c r="F1787">
        <v>0</v>
      </c>
      <c r="G1787">
        <v>22.747499999999999</v>
      </c>
      <c r="H1787">
        <v>0</v>
      </c>
      <c r="I1787">
        <v>0</v>
      </c>
      <c r="J1787">
        <v>0</v>
      </c>
      <c r="K1787">
        <v>0</v>
      </c>
      <c r="L1787">
        <v>60</v>
      </c>
      <c r="M1787">
        <v>85</v>
      </c>
      <c r="N1787" t="s">
        <v>35</v>
      </c>
      <c r="O1787" s="3">
        <v>44517</v>
      </c>
      <c r="P1787">
        <v>-1</v>
      </c>
      <c r="T1787" t="s">
        <v>50</v>
      </c>
      <c r="U1787">
        <v>8</v>
      </c>
      <c r="V1787">
        <v>24.625</v>
      </c>
    </row>
    <row r="1788" spans="1:22" x14ac:dyDescent="0.35">
      <c r="A1788" s="3">
        <v>44432</v>
      </c>
      <c r="B1788" t="s">
        <v>34</v>
      </c>
      <c r="C1788">
        <v>0</v>
      </c>
      <c r="D1788">
        <v>0</v>
      </c>
      <c r="E1788">
        <v>0</v>
      </c>
      <c r="F1788">
        <v>0</v>
      </c>
      <c r="G1788">
        <v>22.931799999999999</v>
      </c>
      <c r="H1788">
        <v>0</v>
      </c>
      <c r="I1788">
        <v>0</v>
      </c>
      <c r="J1788">
        <v>0</v>
      </c>
      <c r="K1788">
        <v>0</v>
      </c>
      <c r="L1788">
        <v>84</v>
      </c>
      <c r="M1788">
        <v>120</v>
      </c>
      <c r="N1788" t="s">
        <v>34</v>
      </c>
      <c r="O1788" s="3">
        <v>44552</v>
      </c>
      <c r="P1788">
        <v>-1</v>
      </c>
      <c r="T1788" t="s">
        <v>49</v>
      </c>
      <c r="U1788">
        <v>27</v>
      </c>
      <c r="V1788">
        <v>27.824999999999999</v>
      </c>
    </row>
    <row r="1789" spans="1:22" x14ac:dyDescent="0.35">
      <c r="A1789" s="3">
        <v>44432</v>
      </c>
      <c r="B1789" t="s">
        <v>31</v>
      </c>
      <c r="C1789">
        <v>0</v>
      </c>
      <c r="D1789">
        <v>0</v>
      </c>
      <c r="E1789">
        <v>0</v>
      </c>
      <c r="F1789">
        <v>0</v>
      </c>
      <c r="G1789">
        <v>24.955300000000001</v>
      </c>
      <c r="H1789">
        <v>0</v>
      </c>
      <c r="I1789">
        <v>0</v>
      </c>
      <c r="J1789">
        <v>0</v>
      </c>
      <c r="K1789">
        <v>0</v>
      </c>
      <c r="L1789">
        <v>140</v>
      </c>
      <c r="M1789">
        <v>203</v>
      </c>
      <c r="N1789" t="s">
        <v>31</v>
      </c>
      <c r="O1789" s="3">
        <v>44635</v>
      </c>
      <c r="P1789">
        <v>-1</v>
      </c>
      <c r="T1789" t="s">
        <v>48</v>
      </c>
      <c r="U1789">
        <v>52</v>
      </c>
      <c r="V1789">
        <v>30.524999999999999</v>
      </c>
    </row>
    <row r="1790" spans="1:22" x14ac:dyDescent="0.35">
      <c r="A1790" s="3">
        <v>44432</v>
      </c>
      <c r="B1790" t="s">
        <v>37</v>
      </c>
      <c r="C1790">
        <v>0</v>
      </c>
      <c r="D1790">
        <v>0</v>
      </c>
      <c r="E1790">
        <v>0</v>
      </c>
      <c r="F1790">
        <v>0</v>
      </c>
      <c r="G1790">
        <v>20.5273</v>
      </c>
      <c r="H1790">
        <v>0</v>
      </c>
      <c r="I1790">
        <v>0</v>
      </c>
      <c r="J1790">
        <v>0</v>
      </c>
      <c r="K1790">
        <v>0</v>
      </c>
      <c r="L1790">
        <v>15</v>
      </c>
      <c r="M1790">
        <v>22</v>
      </c>
      <c r="N1790" t="s">
        <v>37</v>
      </c>
      <c r="O1790" s="3">
        <v>44454</v>
      </c>
      <c r="P1790">
        <v>-1</v>
      </c>
      <c r="T1790" t="s">
        <v>47</v>
      </c>
      <c r="U1790">
        <v>72</v>
      </c>
      <c r="V1790">
        <v>28.975000000000001</v>
      </c>
    </row>
    <row r="1791" spans="1:22" x14ac:dyDescent="0.35">
      <c r="A1791" s="3">
        <v>44428</v>
      </c>
      <c r="B1791" t="s">
        <v>35</v>
      </c>
      <c r="C1791">
        <v>0</v>
      </c>
      <c r="D1791">
        <v>0</v>
      </c>
      <c r="E1791">
        <v>0</v>
      </c>
      <c r="F1791">
        <v>0</v>
      </c>
      <c r="G1791">
        <v>22.747499999999999</v>
      </c>
      <c r="H1791">
        <v>0</v>
      </c>
      <c r="I1791">
        <v>0</v>
      </c>
      <c r="J1791">
        <v>0</v>
      </c>
      <c r="K1791">
        <v>0</v>
      </c>
      <c r="L1791">
        <v>62</v>
      </c>
      <c r="M1791">
        <v>89</v>
      </c>
      <c r="N1791" t="s">
        <v>35</v>
      </c>
      <c r="O1791" s="3">
        <v>44517</v>
      </c>
      <c r="P1791">
        <v>-1</v>
      </c>
      <c r="T1791" t="s">
        <v>46</v>
      </c>
      <c r="U1791">
        <v>91</v>
      </c>
      <c r="V1791">
        <v>27.975000000000001</v>
      </c>
    </row>
    <row r="1792" spans="1:22" x14ac:dyDescent="0.35">
      <c r="A1792" s="3">
        <v>44428</v>
      </c>
      <c r="B1792" t="s">
        <v>34</v>
      </c>
      <c r="C1792">
        <v>0</v>
      </c>
      <c r="D1792">
        <v>0</v>
      </c>
      <c r="E1792">
        <v>0</v>
      </c>
      <c r="F1792">
        <v>0</v>
      </c>
      <c r="G1792">
        <v>22.931799999999999</v>
      </c>
      <c r="H1792">
        <v>0</v>
      </c>
      <c r="I1792">
        <v>0</v>
      </c>
      <c r="J1792">
        <v>0</v>
      </c>
      <c r="K1792">
        <v>0</v>
      </c>
      <c r="L1792">
        <v>86</v>
      </c>
      <c r="M1792">
        <v>124</v>
      </c>
      <c r="N1792" t="s">
        <v>34</v>
      </c>
      <c r="O1792" s="3">
        <v>44552</v>
      </c>
      <c r="P1792">
        <v>-1</v>
      </c>
      <c r="S1792" s="3">
        <v>44053</v>
      </c>
      <c r="T1792" t="s">
        <v>45</v>
      </c>
      <c r="U1792">
        <v>112</v>
      </c>
      <c r="V1792">
        <v>28.074999999999999</v>
      </c>
    </row>
    <row r="1793" spans="1:22" x14ac:dyDescent="0.35">
      <c r="A1793" s="3">
        <v>44428</v>
      </c>
      <c r="B1793" t="s">
        <v>31</v>
      </c>
      <c r="C1793">
        <v>0</v>
      </c>
      <c r="D1793">
        <v>0</v>
      </c>
      <c r="E1793">
        <v>0</v>
      </c>
      <c r="F1793">
        <v>0</v>
      </c>
      <c r="G1793">
        <v>24.955300000000001</v>
      </c>
      <c r="H1793">
        <v>0</v>
      </c>
      <c r="I1793">
        <v>0</v>
      </c>
      <c r="J1793">
        <v>0</v>
      </c>
      <c r="K1793">
        <v>0</v>
      </c>
      <c r="L1793">
        <v>142</v>
      </c>
      <c r="M1793">
        <v>207</v>
      </c>
      <c r="N1793" t="s">
        <v>31</v>
      </c>
      <c r="O1793" s="3">
        <v>44635</v>
      </c>
      <c r="P1793">
        <v>-1</v>
      </c>
      <c r="T1793" t="s">
        <v>44</v>
      </c>
      <c r="U1793">
        <v>131</v>
      </c>
      <c r="V1793">
        <v>27.725000000000001</v>
      </c>
    </row>
    <row r="1794" spans="1:22" x14ac:dyDescent="0.35">
      <c r="A1794" s="3">
        <v>44428</v>
      </c>
      <c r="B1794" t="s">
        <v>37</v>
      </c>
      <c r="C1794">
        <v>0</v>
      </c>
      <c r="D1794">
        <v>0</v>
      </c>
      <c r="E1794">
        <v>0</v>
      </c>
      <c r="F1794">
        <v>0</v>
      </c>
      <c r="G1794">
        <v>20.5273</v>
      </c>
      <c r="H1794">
        <v>0</v>
      </c>
      <c r="I1794">
        <v>0</v>
      </c>
      <c r="J1794">
        <v>0</v>
      </c>
      <c r="K1794">
        <v>0</v>
      </c>
      <c r="L1794">
        <v>17</v>
      </c>
      <c r="M1794">
        <v>26</v>
      </c>
      <c r="N1794" t="s">
        <v>37</v>
      </c>
      <c r="O1794" s="3">
        <v>44454</v>
      </c>
      <c r="P1794">
        <v>-1</v>
      </c>
      <c r="T1794" t="s">
        <v>43</v>
      </c>
      <c r="U1794">
        <v>151</v>
      </c>
      <c r="V1794">
        <v>27.45</v>
      </c>
    </row>
    <row r="1795" spans="1:22" x14ac:dyDescent="0.35">
      <c r="A1795" s="3">
        <v>44428</v>
      </c>
      <c r="B1795" t="s">
        <v>32</v>
      </c>
      <c r="C1795">
        <v>0</v>
      </c>
      <c r="D1795">
        <v>0</v>
      </c>
      <c r="E1795">
        <v>0</v>
      </c>
      <c r="F1795">
        <v>0</v>
      </c>
      <c r="G1795">
        <v>24.35</v>
      </c>
      <c r="H1795">
        <v>0</v>
      </c>
      <c r="I1795">
        <v>0</v>
      </c>
      <c r="J1795">
        <v>0</v>
      </c>
      <c r="K1795">
        <v>0</v>
      </c>
      <c r="L1795">
        <v>124</v>
      </c>
      <c r="M1795">
        <v>180</v>
      </c>
      <c r="N1795" t="s">
        <v>32</v>
      </c>
      <c r="O1795" s="3">
        <v>44608</v>
      </c>
      <c r="P1795">
        <v>-1</v>
      </c>
      <c r="T1795" t="s">
        <v>50</v>
      </c>
      <c r="U1795">
        <v>7</v>
      </c>
      <c r="V1795">
        <v>23.774999999999999</v>
      </c>
    </row>
    <row r="1796" spans="1:22" x14ac:dyDescent="0.35">
      <c r="A1796" s="3">
        <v>44428</v>
      </c>
      <c r="B1796" t="s">
        <v>30</v>
      </c>
      <c r="C1796">
        <v>0</v>
      </c>
      <c r="D1796">
        <v>0</v>
      </c>
      <c r="E1796">
        <v>0</v>
      </c>
      <c r="F1796">
        <v>0</v>
      </c>
      <c r="G1796">
        <v>24.975000000000001</v>
      </c>
      <c r="H1796">
        <v>0</v>
      </c>
      <c r="I1796">
        <v>0</v>
      </c>
      <c r="J1796">
        <v>0</v>
      </c>
      <c r="K1796">
        <v>0</v>
      </c>
      <c r="L1796">
        <v>168</v>
      </c>
      <c r="M1796">
        <v>243</v>
      </c>
      <c r="N1796" t="s">
        <v>30</v>
      </c>
      <c r="O1796" s="3">
        <v>44671</v>
      </c>
      <c r="P1796">
        <v>-1</v>
      </c>
      <c r="T1796" t="s">
        <v>49</v>
      </c>
      <c r="U1796">
        <v>26</v>
      </c>
      <c r="V1796">
        <v>27.125</v>
      </c>
    </row>
    <row r="1797" spans="1:22" x14ac:dyDescent="0.35">
      <c r="A1797" s="3">
        <v>44428</v>
      </c>
      <c r="B1797" t="s">
        <v>36</v>
      </c>
      <c r="C1797">
        <v>0</v>
      </c>
      <c r="D1797">
        <v>0</v>
      </c>
      <c r="E1797">
        <v>0</v>
      </c>
      <c r="F1797">
        <v>0</v>
      </c>
      <c r="G1797">
        <v>22.155100000000001</v>
      </c>
      <c r="H1797">
        <v>0</v>
      </c>
      <c r="I1797">
        <v>0</v>
      </c>
      <c r="J1797">
        <v>0</v>
      </c>
      <c r="K1797">
        <v>0</v>
      </c>
      <c r="L1797">
        <v>42</v>
      </c>
      <c r="M1797">
        <v>61</v>
      </c>
      <c r="N1797" t="s">
        <v>36</v>
      </c>
      <c r="O1797" s="3">
        <v>44489</v>
      </c>
      <c r="P1797">
        <v>-1</v>
      </c>
      <c r="T1797" t="s">
        <v>48</v>
      </c>
      <c r="U1797">
        <v>51</v>
      </c>
      <c r="V1797">
        <v>30.024999999999999</v>
      </c>
    </row>
    <row r="1798" spans="1:22" x14ac:dyDescent="0.35">
      <c r="A1798" s="3">
        <v>44428</v>
      </c>
      <c r="B1798" t="s">
        <v>33</v>
      </c>
      <c r="C1798">
        <v>0</v>
      </c>
      <c r="D1798">
        <v>0</v>
      </c>
      <c r="E1798">
        <v>0</v>
      </c>
      <c r="F1798">
        <v>0</v>
      </c>
      <c r="G1798">
        <v>23.889099999999999</v>
      </c>
      <c r="H1798">
        <v>0</v>
      </c>
      <c r="I1798">
        <v>0</v>
      </c>
      <c r="J1798">
        <v>0</v>
      </c>
      <c r="K1798">
        <v>0</v>
      </c>
      <c r="L1798">
        <v>104</v>
      </c>
      <c r="M1798">
        <v>152</v>
      </c>
      <c r="N1798" t="s">
        <v>33</v>
      </c>
      <c r="O1798" s="3">
        <v>44580</v>
      </c>
      <c r="P1798">
        <v>-1</v>
      </c>
      <c r="T1798" t="s">
        <v>47</v>
      </c>
      <c r="U1798">
        <v>71</v>
      </c>
      <c r="V1798">
        <v>28.574999999999999</v>
      </c>
    </row>
    <row r="1799" spans="1:22" x14ac:dyDescent="0.35">
      <c r="A1799" s="3">
        <v>44427</v>
      </c>
      <c r="B1799" t="s">
        <v>32</v>
      </c>
      <c r="C1799">
        <v>0</v>
      </c>
      <c r="D1799">
        <v>0</v>
      </c>
      <c r="E1799">
        <v>0</v>
      </c>
      <c r="F1799">
        <v>0</v>
      </c>
      <c r="G1799">
        <v>24.6708</v>
      </c>
      <c r="H1799">
        <v>0</v>
      </c>
      <c r="I1799">
        <v>0</v>
      </c>
      <c r="J1799">
        <v>0</v>
      </c>
      <c r="K1799">
        <v>0</v>
      </c>
      <c r="L1799">
        <v>125</v>
      </c>
      <c r="M1799">
        <v>181</v>
      </c>
      <c r="N1799" t="s">
        <v>32</v>
      </c>
      <c r="O1799" s="3">
        <v>44608</v>
      </c>
      <c r="P1799">
        <v>-1</v>
      </c>
      <c r="T1799" t="s">
        <v>46</v>
      </c>
      <c r="U1799">
        <v>90</v>
      </c>
      <c r="V1799">
        <v>27.625</v>
      </c>
    </row>
    <row r="1800" spans="1:22" x14ac:dyDescent="0.35">
      <c r="A1800" s="3">
        <v>44427</v>
      </c>
      <c r="B1800" t="s">
        <v>30</v>
      </c>
      <c r="C1800">
        <v>0</v>
      </c>
      <c r="D1800">
        <v>0</v>
      </c>
      <c r="E1800">
        <v>0</v>
      </c>
      <c r="F1800">
        <v>0</v>
      </c>
      <c r="G1800">
        <v>25.25</v>
      </c>
      <c r="H1800">
        <v>0</v>
      </c>
      <c r="I1800">
        <v>0</v>
      </c>
      <c r="J1800">
        <v>0</v>
      </c>
      <c r="K1800">
        <v>0</v>
      </c>
      <c r="L1800">
        <v>169</v>
      </c>
      <c r="M1800">
        <v>244</v>
      </c>
      <c r="N1800" t="s">
        <v>30</v>
      </c>
      <c r="O1800" s="3">
        <v>44671</v>
      </c>
      <c r="P1800">
        <v>-1</v>
      </c>
      <c r="S1800" s="3">
        <v>44054</v>
      </c>
      <c r="T1800" t="s">
        <v>45</v>
      </c>
      <c r="U1800">
        <v>111</v>
      </c>
      <c r="V1800">
        <v>28.625</v>
      </c>
    </row>
    <row r="1801" spans="1:22" x14ac:dyDescent="0.35">
      <c r="A1801" s="3">
        <v>44427</v>
      </c>
      <c r="B1801" t="s">
        <v>36</v>
      </c>
      <c r="C1801">
        <v>0</v>
      </c>
      <c r="D1801">
        <v>0</v>
      </c>
      <c r="E1801">
        <v>0</v>
      </c>
      <c r="F1801">
        <v>0</v>
      </c>
      <c r="G1801">
        <v>23.177299999999999</v>
      </c>
      <c r="H1801">
        <v>0</v>
      </c>
      <c r="I1801">
        <v>0</v>
      </c>
      <c r="J1801">
        <v>0</v>
      </c>
      <c r="K1801">
        <v>0</v>
      </c>
      <c r="L1801">
        <v>43</v>
      </c>
      <c r="M1801">
        <v>62</v>
      </c>
      <c r="N1801" t="s">
        <v>36</v>
      </c>
      <c r="O1801" s="3">
        <v>44489</v>
      </c>
      <c r="P1801">
        <v>-1</v>
      </c>
      <c r="T1801" t="s">
        <v>44</v>
      </c>
      <c r="U1801">
        <v>130</v>
      </c>
      <c r="V1801">
        <v>28.225000000000001</v>
      </c>
    </row>
    <row r="1802" spans="1:22" x14ac:dyDescent="0.35">
      <c r="A1802" s="3">
        <v>44427</v>
      </c>
      <c r="B1802" t="s">
        <v>33</v>
      </c>
      <c r="C1802">
        <v>0</v>
      </c>
      <c r="D1802">
        <v>0</v>
      </c>
      <c r="E1802">
        <v>0</v>
      </c>
      <c r="F1802">
        <v>0</v>
      </c>
      <c r="G1802">
        <v>24.311900000000001</v>
      </c>
      <c r="H1802">
        <v>0</v>
      </c>
      <c r="I1802">
        <v>0</v>
      </c>
      <c r="J1802">
        <v>0</v>
      </c>
      <c r="K1802">
        <v>0</v>
      </c>
      <c r="L1802">
        <v>105</v>
      </c>
      <c r="M1802">
        <v>153</v>
      </c>
      <c r="N1802" t="s">
        <v>33</v>
      </c>
      <c r="O1802" s="3">
        <v>44580</v>
      </c>
      <c r="P1802">
        <v>-1</v>
      </c>
      <c r="T1802" t="s">
        <v>43</v>
      </c>
      <c r="U1802">
        <v>150</v>
      </c>
      <c r="V1802">
        <v>27.975000000000001</v>
      </c>
    </row>
    <row r="1803" spans="1:22" x14ac:dyDescent="0.35">
      <c r="A1803" s="3">
        <v>44427</v>
      </c>
      <c r="B1803" t="s">
        <v>35</v>
      </c>
      <c r="C1803">
        <v>0</v>
      </c>
      <c r="D1803">
        <v>0</v>
      </c>
      <c r="E1803">
        <v>0</v>
      </c>
      <c r="F1803">
        <v>0</v>
      </c>
      <c r="G1803">
        <v>23.4269</v>
      </c>
      <c r="H1803">
        <v>0</v>
      </c>
      <c r="I1803">
        <v>0</v>
      </c>
      <c r="J1803">
        <v>0</v>
      </c>
      <c r="K1803">
        <v>0</v>
      </c>
      <c r="L1803">
        <v>63</v>
      </c>
      <c r="M1803">
        <v>90</v>
      </c>
      <c r="N1803" t="s">
        <v>35</v>
      </c>
      <c r="O1803" s="3">
        <v>44517</v>
      </c>
      <c r="P1803">
        <v>-1</v>
      </c>
      <c r="T1803" t="s">
        <v>50</v>
      </c>
      <c r="U1803">
        <v>6</v>
      </c>
      <c r="V1803">
        <v>24.925000000000001</v>
      </c>
    </row>
    <row r="1804" spans="1:22" x14ac:dyDescent="0.35">
      <c r="A1804" s="3">
        <v>44427</v>
      </c>
      <c r="B1804" t="s">
        <v>34</v>
      </c>
      <c r="C1804">
        <v>0</v>
      </c>
      <c r="D1804">
        <v>0</v>
      </c>
      <c r="E1804">
        <v>0</v>
      </c>
      <c r="F1804">
        <v>0</v>
      </c>
      <c r="G1804">
        <v>23.385999999999999</v>
      </c>
      <c r="H1804">
        <v>0</v>
      </c>
      <c r="I1804">
        <v>0</v>
      </c>
      <c r="J1804">
        <v>0</v>
      </c>
      <c r="K1804">
        <v>0</v>
      </c>
      <c r="L1804">
        <v>87</v>
      </c>
      <c r="M1804">
        <v>125</v>
      </c>
      <c r="N1804" t="s">
        <v>34</v>
      </c>
      <c r="O1804" s="3">
        <v>44552</v>
      </c>
      <c r="P1804">
        <v>-1</v>
      </c>
      <c r="T1804" t="s">
        <v>49</v>
      </c>
      <c r="U1804">
        <v>25</v>
      </c>
      <c r="V1804">
        <v>28.175000000000001</v>
      </c>
    </row>
    <row r="1805" spans="1:22" x14ac:dyDescent="0.35">
      <c r="A1805" s="3">
        <v>44427</v>
      </c>
      <c r="B1805" t="s">
        <v>31</v>
      </c>
      <c r="C1805">
        <v>0</v>
      </c>
      <c r="D1805">
        <v>0</v>
      </c>
      <c r="E1805">
        <v>0</v>
      </c>
      <c r="F1805">
        <v>0</v>
      </c>
      <c r="G1805">
        <v>25.212499999999999</v>
      </c>
      <c r="H1805">
        <v>0</v>
      </c>
      <c r="I1805">
        <v>0</v>
      </c>
      <c r="J1805">
        <v>0</v>
      </c>
      <c r="K1805">
        <v>0</v>
      </c>
      <c r="L1805">
        <v>143</v>
      </c>
      <c r="M1805">
        <v>208</v>
      </c>
      <c r="N1805" t="s">
        <v>31</v>
      </c>
      <c r="O1805" s="3">
        <v>44635</v>
      </c>
      <c r="P1805">
        <v>-1</v>
      </c>
      <c r="T1805" t="s">
        <v>48</v>
      </c>
      <c r="U1805">
        <v>50</v>
      </c>
      <c r="V1805">
        <v>30.975000000000001</v>
      </c>
    </row>
    <row r="1806" spans="1:22" x14ac:dyDescent="0.35">
      <c r="A1806" s="3">
        <v>44427</v>
      </c>
      <c r="B1806" t="s">
        <v>37</v>
      </c>
      <c r="C1806">
        <v>0</v>
      </c>
      <c r="D1806">
        <v>0</v>
      </c>
      <c r="E1806">
        <v>0</v>
      </c>
      <c r="F1806">
        <v>0</v>
      </c>
      <c r="G1806">
        <v>22.346</v>
      </c>
      <c r="H1806">
        <v>0</v>
      </c>
      <c r="I1806">
        <v>0</v>
      </c>
      <c r="J1806">
        <v>0</v>
      </c>
      <c r="K1806">
        <v>0</v>
      </c>
      <c r="L1806">
        <v>18</v>
      </c>
      <c r="M1806">
        <v>27</v>
      </c>
      <c r="N1806" t="s">
        <v>37</v>
      </c>
      <c r="O1806" s="3">
        <v>44454</v>
      </c>
      <c r="P1806">
        <v>-1</v>
      </c>
      <c r="T1806" t="s">
        <v>47</v>
      </c>
      <c r="U1806">
        <v>70</v>
      </c>
      <c r="V1806">
        <v>29.274999999999999</v>
      </c>
    </row>
    <row r="1807" spans="1:22" x14ac:dyDescent="0.35">
      <c r="A1807" s="3">
        <v>44426</v>
      </c>
      <c r="B1807" t="s">
        <v>35</v>
      </c>
      <c r="C1807">
        <v>0</v>
      </c>
      <c r="D1807">
        <v>0</v>
      </c>
      <c r="E1807">
        <v>0</v>
      </c>
      <c r="F1807">
        <v>0</v>
      </c>
      <c r="G1807">
        <v>23.336300000000001</v>
      </c>
      <c r="H1807">
        <v>0</v>
      </c>
      <c r="I1807">
        <v>0</v>
      </c>
      <c r="J1807">
        <v>0</v>
      </c>
      <c r="K1807">
        <v>0</v>
      </c>
      <c r="L1807">
        <v>64</v>
      </c>
      <c r="M1807">
        <v>91</v>
      </c>
      <c r="N1807" t="s">
        <v>35</v>
      </c>
      <c r="O1807" s="3">
        <v>44517</v>
      </c>
      <c r="P1807">
        <v>-1</v>
      </c>
      <c r="T1807" t="s">
        <v>46</v>
      </c>
      <c r="U1807">
        <v>89</v>
      </c>
      <c r="V1807">
        <v>28.225000000000001</v>
      </c>
    </row>
    <row r="1808" spans="1:22" x14ac:dyDescent="0.35">
      <c r="A1808" s="3">
        <v>44426</v>
      </c>
      <c r="B1808" t="s">
        <v>38</v>
      </c>
      <c r="C1808">
        <v>0</v>
      </c>
      <c r="D1808">
        <v>0</v>
      </c>
      <c r="E1808">
        <v>0</v>
      </c>
      <c r="F1808">
        <v>0</v>
      </c>
      <c r="G1808">
        <v>18.579999999999998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38</v>
      </c>
      <c r="O1808" s="3">
        <v>44426</v>
      </c>
      <c r="P1808">
        <v>-1</v>
      </c>
      <c r="S1808" s="3">
        <v>44055</v>
      </c>
      <c r="T1808" t="s">
        <v>45</v>
      </c>
      <c r="U1808">
        <v>110</v>
      </c>
      <c r="V1808">
        <v>28.074999999999999</v>
      </c>
    </row>
    <row r="1809" spans="1:22" x14ac:dyDescent="0.35">
      <c r="A1809" s="3">
        <v>44426</v>
      </c>
      <c r="B1809" t="s">
        <v>34</v>
      </c>
      <c r="C1809">
        <v>0</v>
      </c>
      <c r="D1809">
        <v>0</v>
      </c>
      <c r="E1809">
        <v>0</v>
      </c>
      <c r="F1809">
        <v>0</v>
      </c>
      <c r="G1809">
        <v>23.4313</v>
      </c>
      <c r="H1809">
        <v>0</v>
      </c>
      <c r="I1809">
        <v>0</v>
      </c>
      <c r="J1809">
        <v>0</v>
      </c>
      <c r="K1809">
        <v>0</v>
      </c>
      <c r="L1809">
        <v>88</v>
      </c>
      <c r="M1809">
        <v>126</v>
      </c>
      <c r="N1809" t="s">
        <v>34</v>
      </c>
      <c r="O1809" s="3">
        <v>44552</v>
      </c>
      <c r="P1809">
        <v>-1</v>
      </c>
      <c r="T1809" t="s">
        <v>44</v>
      </c>
      <c r="U1809">
        <v>129</v>
      </c>
      <c r="V1809">
        <v>27.725000000000001</v>
      </c>
    </row>
    <row r="1810" spans="1:22" x14ac:dyDescent="0.35">
      <c r="A1810" s="3">
        <v>44426</v>
      </c>
      <c r="B1810" t="s">
        <v>31</v>
      </c>
      <c r="C1810">
        <v>0</v>
      </c>
      <c r="D1810">
        <v>0</v>
      </c>
      <c r="E1810">
        <v>0</v>
      </c>
      <c r="F1810">
        <v>0</v>
      </c>
      <c r="G1810">
        <v>25.165600000000001</v>
      </c>
      <c r="H1810">
        <v>0</v>
      </c>
      <c r="I1810">
        <v>0</v>
      </c>
      <c r="J1810">
        <v>0</v>
      </c>
      <c r="K1810">
        <v>0</v>
      </c>
      <c r="L1810">
        <v>144</v>
      </c>
      <c r="M1810">
        <v>209</v>
      </c>
      <c r="N1810" t="s">
        <v>31</v>
      </c>
      <c r="O1810" s="3">
        <v>44635</v>
      </c>
      <c r="P1810">
        <v>-1</v>
      </c>
      <c r="T1810" t="s">
        <v>43</v>
      </c>
      <c r="U1810">
        <v>149</v>
      </c>
      <c r="V1810">
        <v>27.45</v>
      </c>
    </row>
    <row r="1811" spans="1:22" x14ac:dyDescent="0.35">
      <c r="A1811" s="3">
        <v>44426</v>
      </c>
      <c r="B1811" t="s">
        <v>37</v>
      </c>
      <c r="C1811">
        <v>0</v>
      </c>
      <c r="D1811">
        <v>0</v>
      </c>
      <c r="E1811">
        <v>0</v>
      </c>
      <c r="F1811">
        <v>0</v>
      </c>
      <c r="G1811">
        <v>21.7058</v>
      </c>
      <c r="H1811">
        <v>0</v>
      </c>
      <c r="I1811">
        <v>0</v>
      </c>
      <c r="J1811">
        <v>0</v>
      </c>
      <c r="K1811">
        <v>0</v>
      </c>
      <c r="L1811">
        <v>19</v>
      </c>
      <c r="M1811">
        <v>28</v>
      </c>
      <c r="N1811" t="s">
        <v>37</v>
      </c>
      <c r="O1811" s="3">
        <v>44454</v>
      </c>
      <c r="P1811">
        <v>-1</v>
      </c>
      <c r="T1811" t="s">
        <v>42</v>
      </c>
      <c r="U1811">
        <v>174</v>
      </c>
      <c r="V1811">
        <v>27.6</v>
      </c>
    </row>
    <row r="1812" spans="1:22" x14ac:dyDescent="0.35">
      <c r="A1812" s="3">
        <v>44426</v>
      </c>
      <c r="B1812" t="s">
        <v>32</v>
      </c>
      <c r="C1812">
        <v>0</v>
      </c>
      <c r="D1812">
        <v>0</v>
      </c>
      <c r="E1812">
        <v>0</v>
      </c>
      <c r="F1812">
        <v>0</v>
      </c>
      <c r="G1812">
        <v>24.6891</v>
      </c>
      <c r="H1812">
        <v>0</v>
      </c>
      <c r="I1812">
        <v>0</v>
      </c>
      <c r="J1812">
        <v>0</v>
      </c>
      <c r="K1812">
        <v>0</v>
      </c>
      <c r="L1812">
        <v>126</v>
      </c>
      <c r="M1812">
        <v>182</v>
      </c>
      <c r="N1812" t="s">
        <v>32</v>
      </c>
      <c r="O1812" s="3">
        <v>44608</v>
      </c>
      <c r="P1812">
        <v>-1</v>
      </c>
      <c r="T1812" t="s">
        <v>50</v>
      </c>
      <c r="U1812">
        <v>5</v>
      </c>
      <c r="V1812">
        <v>23.274999999999999</v>
      </c>
    </row>
    <row r="1813" spans="1:22" x14ac:dyDescent="0.35">
      <c r="A1813" s="3">
        <v>44426</v>
      </c>
      <c r="B1813" t="s">
        <v>30</v>
      </c>
      <c r="C1813">
        <v>0</v>
      </c>
      <c r="D1813">
        <v>0</v>
      </c>
      <c r="E1813">
        <v>0</v>
      </c>
      <c r="F1813">
        <v>0</v>
      </c>
      <c r="G1813">
        <v>25.2</v>
      </c>
      <c r="H1813">
        <v>0</v>
      </c>
      <c r="I1813">
        <v>0</v>
      </c>
      <c r="J1813">
        <v>0</v>
      </c>
      <c r="K1813">
        <v>0</v>
      </c>
      <c r="L1813">
        <v>170</v>
      </c>
      <c r="M1813">
        <v>245</v>
      </c>
      <c r="N1813" t="s">
        <v>30</v>
      </c>
      <c r="O1813" s="3">
        <v>44671</v>
      </c>
      <c r="P1813">
        <v>-1</v>
      </c>
      <c r="T1813" t="s">
        <v>49</v>
      </c>
      <c r="U1813">
        <v>24</v>
      </c>
      <c r="V1813">
        <v>26.875</v>
      </c>
    </row>
    <row r="1814" spans="1:22" x14ac:dyDescent="0.35">
      <c r="A1814" s="3">
        <v>44426</v>
      </c>
      <c r="B1814" t="s">
        <v>36</v>
      </c>
      <c r="C1814">
        <v>0</v>
      </c>
      <c r="D1814">
        <v>0</v>
      </c>
      <c r="E1814">
        <v>0</v>
      </c>
      <c r="F1814">
        <v>0</v>
      </c>
      <c r="G1814">
        <v>22.927099999999999</v>
      </c>
      <c r="H1814">
        <v>0</v>
      </c>
      <c r="I1814">
        <v>0</v>
      </c>
      <c r="J1814">
        <v>0</v>
      </c>
      <c r="K1814">
        <v>0</v>
      </c>
      <c r="L1814">
        <v>44</v>
      </c>
      <c r="M1814">
        <v>63</v>
      </c>
      <c r="N1814" t="s">
        <v>36</v>
      </c>
      <c r="O1814" s="3">
        <v>44489</v>
      </c>
      <c r="P1814">
        <v>-1</v>
      </c>
      <c r="T1814" t="s">
        <v>48</v>
      </c>
      <c r="U1814">
        <v>49</v>
      </c>
      <c r="V1814">
        <v>30.024999999999999</v>
      </c>
    </row>
    <row r="1815" spans="1:22" x14ac:dyDescent="0.35">
      <c r="A1815" s="3">
        <v>44426</v>
      </c>
      <c r="B1815" t="s">
        <v>33</v>
      </c>
      <c r="C1815">
        <v>0</v>
      </c>
      <c r="D1815">
        <v>0</v>
      </c>
      <c r="E1815">
        <v>0</v>
      </c>
      <c r="F1815">
        <v>0</v>
      </c>
      <c r="G1815">
        <v>24.343399999999999</v>
      </c>
      <c r="H1815">
        <v>0</v>
      </c>
      <c r="I1815">
        <v>0</v>
      </c>
      <c r="J1815">
        <v>0</v>
      </c>
      <c r="K1815">
        <v>0</v>
      </c>
      <c r="L1815">
        <v>106</v>
      </c>
      <c r="M1815">
        <v>154</v>
      </c>
      <c r="N1815" t="s">
        <v>33</v>
      </c>
      <c r="O1815" s="3">
        <v>44580</v>
      </c>
      <c r="P1815">
        <v>-1</v>
      </c>
      <c r="T1815" t="s">
        <v>47</v>
      </c>
      <c r="U1815">
        <v>69</v>
      </c>
      <c r="V1815">
        <v>28.524999999999999</v>
      </c>
    </row>
    <row r="1816" spans="1:22" x14ac:dyDescent="0.35">
      <c r="A1816" s="3">
        <v>44425</v>
      </c>
      <c r="B1816" t="s">
        <v>32</v>
      </c>
      <c r="C1816">
        <v>0</v>
      </c>
      <c r="D1816">
        <v>0</v>
      </c>
      <c r="E1816">
        <v>0</v>
      </c>
      <c r="F1816">
        <v>0</v>
      </c>
      <c r="G1816">
        <v>23.95</v>
      </c>
      <c r="H1816">
        <v>0</v>
      </c>
      <c r="I1816">
        <v>0</v>
      </c>
      <c r="J1816">
        <v>0</v>
      </c>
      <c r="K1816">
        <v>0</v>
      </c>
      <c r="L1816">
        <v>127</v>
      </c>
      <c r="M1816">
        <v>183</v>
      </c>
      <c r="N1816" t="s">
        <v>32</v>
      </c>
      <c r="O1816" s="3">
        <v>44608</v>
      </c>
      <c r="P1816">
        <v>-1</v>
      </c>
      <c r="T1816" t="s">
        <v>46</v>
      </c>
      <c r="U1816">
        <v>88</v>
      </c>
      <c r="V1816">
        <v>27.675000000000001</v>
      </c>
    </row>
    <row r="1817" spans="1:22" x14ac:dyDescent="0.35">
      <c r="A1817" s="3">
        <v>44425</v>
      </c>
      <c r="B1817" t="s">
        <v>30</v>
      </c>
      <c r="C1817">
        <v>0</v>
      </c>
      <c r="D1817">
        <v>0</v>
      </c>
      <c r="E1817">
        <v>0</v>
      </c>
      <c r="F1817">
        <v>0</v>
      </c>
      <c r="G1817">
        <v>24.4</v>
      </c>
      <c r="H1817">
        <v>0</v>
      </c>
      <c r="I1817">
        <v>0</v>
      </c>
      <c r="J1817">
        <v>0</v>
      </c>
      <c r="K1817">
        <v>0</v>
      </c>
      <c r="L1817">
        <v>171</v>
      </c>
      <c r="M1817">
        <v>246</v>
      </c>
      <c r="N1817" t="s">
        <v>30</v>
      </c>
      <c r="O1817" s="3">
        <v>44671</v>
      </c>
      <c r="P1817">
        <v>-1</v>
      </c>
      <c r="S1817" s="3">
        <v>44056</v>
      </c>
      <c r="T1817" t="s">
        <v>45</v>
      </c>
      <c r="U1817">
        <v>109</v>
      </c>
      <c r="V1817">
        <v>28.274999999999999</v>
      </c>
    </row>
    <row r="1818" spans="1:22" x14ac:dyDescent="0.35">
      <c r="A1818" s="3">
        <v>44425</v>
      </c>
      <c r="B1818" t="s">
        <v>36</v>
      </c>
      <c r="C1818">
        <v>0</v>
      </c>
      <c r="D1818">
        <v>0</v>
      </c>
      <c r="E1818">
        <v>0</v>
      </c>
      <c r="F1818">
        <v>0</v>
      </c>
      <c r="G1818">
        <v>21.684100000000001</v>
      </c>
      <c r="H1818">
        <v>0</v>
      </c>
      <c r="I1818">
        <v>0</v>
      </c>
      <c r="J1818">
        <v>0</v>
      </c>
      <c r="K1818">
        <v>0</v>
      </c>
      <c r="L1818">
        <v>45</v>
      </c>
      <c r="M1818">
        <v>64</v>
      </c>
      <c r="N1818" t="s">
        <v>36</v>
      </c>
      <c r="O1818" s="3">
        <v>44489</v>
      </c>
      <c r="P1818">
        <v>-1</v>
      </c>
      <c r="T1818" t="s">
        <v>44</v>
      </c>
      <c r="U1818">
        <v>128</v>
      </c>
      <c r="V1818">
        <v>27.925000000000001</v>
      </c>
    </row>
    <row r="1819" spans="1:22" x14ac:dyDescent="0.35">
      <c r="A1819" s="3">
        <v>44425</v>
      </c>
      <c r="B1819" t="s">
        <v>33</v>
      </c>
      <c r="C1819">
        <v>0</v>
      </c>
      <c r="D1819">
        <v>0</v>
      </c>
      <c r="E1819">
        <v>0</v>
      </c>
      <c r="F1819">
        <v>0</v>
      </c>
      <c r="G1819">
        <v>23.5015</v>
      </c>
      <c r="H1819">
        <v>0</v>
      </c>
      <c r="I1819">
        <v>0</v>
      </c>
      <c r="J1819">
        <v>0</v>
      </c>
      <c r="K1819">
        <v>0</v>
      </c>
      <c r="L1819">
        <v>107</v>
      </c>
      <c r="M1819">
        <v>155</v>
      </c>
      <c r="N1819" t="s">
        <v>33</v>
      </c>
      <c r="O1819" s="3">
        <v>44580</v>
      </c>
      <c r="P1819">
        <v>-1</v>
      </c>
      <c r="T1819" t="s">
        <v>43</v>
      </c>
      <c r="U1819">
        <v>148</v>
      </c>
      <c r="V1819">
        <v>27.675000000000001</v>
      </c>
    </row>
    <row r="1820" spans="1:22" x14ac:dyDescent="0.35">
      <c r="A1820" s="3">
        <v>44425</v>
      </c>
      <c r="B1820" t="s">
        <v>35</v>
      </c>
      <c r="C1820">
        <v>0</v>
      </c>
      <c r="D1820">
        <v>0</v>
      </c>
      <c r="E1820">
        <v>0</v>
      </c>
      <c r="F1820">
        <v>0</v>
      </c>
      <c r="G1820">
        <v>22.3124</v>
      </c>
      <c r="H1820">
        <v>0</v>
      </c>
      <c r="I1820">
        <v>0</v>
      </c>
      <c r="J1820">
        <v>0</v>
      </c>
      <c r="K1820">
        <v>0</v>
      </c>
      <c r="L1820">
        <v>65</v>
      </c>
      <c r="M1820">
        <v>92</v>
      </c>
      <c r="N1820" t="s">
        <v>35</v>
      </c>
      <c r="O1820" s="3">
        <v>44517</v>
      </c>
      <c r="P1820">
        <v>-1</v>
      </c>
      <c r="T1820" t="s">
        <v>42</v>
      </c>
      <c r="U1820">
        <v>173</v>
      </c>
      <c r="V1820">
        <v>27.324999999999999</v>
      </c>
    </row>
    <row r="1821" spans="1:22" x14ac:dyDescent="0.35">
      <c r="A1821" s="3">
        <v>44425</v>
      </c>
      <c r="B1821" t="s">
        <v>38</v>
      </c>
      <c r="C1821">
        <v>0</v>
      </c>
      <c r="D1821">
        <v>0</v>
      </c>
      <c r="E1821">
        <v>0</v>
      </c>
      <c r="F1821">
        <v>0</v>
      </c>
      <c r="G1821">
        <v>17.578700000000001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1</v>
      </c>
      <c r="N1821" t="s">
        <v>38</v>
      </c>
      <c r="O1821" s="3">
        <v>44426</v>
      </c>
      <c r="P1821">
        <v>-1</v>
      </c>
      <c r="T1821" t="s">
        <v>50</v>
      </c>
      <c r="U1821">
        <v>4</v>
      </c>
      <c r="V1821">
        <v>23.225000000000001</v>
      </c>
    </row>
    <row r="1822" spans="1:22" x14ac:dyDescent="0.35">
      <c r="A1822" s="3">
        <v>44425</v>
      </c>
      <c r="B1822" t="s">
        <v>34</v>
      </c>
      <c r="C1822">
        <v>0</v>
      </c>
      <c r="D1822">
        <v>0</v>
      </c>
      <c r="E1822">
        <v>0</v>
      </c>
      <c r="F1822">
        <v>0</v>
      </c>
      <c r="G1822">
        <v>22.623699999999999</v>
      </c>
      <c r="H1822">
        <v>0</v>
      </c>
      <c r="I1822">
        <v>0</v>
      </c>
      <c r="J1822">
        <v>0</v>
      </c>
      <c r="K1822">
        <v>0</v>
      </c>
      <c r="L1822">
        <v>89</v>
      </c>
      <c r="M1822">
        <v>127</v>
      </c>
      <c r="N1822" t="s">
        <v>34</v>
      </c>
      <c r="O1822" s="3">
        <v>44552</v>
      </c>
      <c r="P1822">
        <v>-1</v>
      </c>
      <c r="T1822" t="s">
        <v>49</v>
      </c>
      <c r="U1822">
        <v>23</v>
      </c>
      <c r="V1822">
        <v>26.824999999999999</v>
      </c>
    </row>
    <row r="1823" spans="1:22" x14ac:dyDescent="0.35">
      <c r="A1823" s="3">
        <v>44425</v>
      </c>
      <c r="B1823" t="s">
        <v>31</v>
      </c>
      <c r="C1823">
        <v>0</v>
      </c>
      <c r="D1823">
        <v>0</v>
      </c>
      <c r="E1823">
        <v>0</v>
      </c>
      <c r="F1823">
        <v>0</v>
      </c>
      <c r="G1823">
        <v>24.4</v>
      </c>
      <c r="H1823">
        <v>0</v>
      </c>
      <c r="I1823">
        <v>0</v>
      </c>
      <c r="J1823">
        <v>0</v>
      </c>
      <c r="K1823">
        <v>0</v>
      </c>
      <c r="L1823">
        <v>145</v>
      </c>
      <c r="M1823">
        <v>210</v>
      </c>
      <c r="N1823" t="s">
        <v>31</v>
      </c>
      <c r="O1823" s="3">
        <v>44635</v>
      </c>
      <c r="P1823">
        <v>-1</v>
      </c>
      <c r="T1823" t="s">
        <v>48</v>
      </c>
      <c r="U1823">
        <v>48</v>
      </c>
      <c r="V1823">
        <v>30.024999999999999</v>
      </c>
    </row>
    <row r="1824" spans="1:22" x14ac:dyDescent="0.35">
      <c r="A1824" s="3">
        <v>44425</v>
      </c>
      <c r="B1824" t="s">
        <v>37</v>
      </c>
      <c r="C1824">
        <v>0</v>
      </c>
      <c r="D1824">
        <v>0</v>
      </c>
      <c r="E1824">
        <v>0</v>
      </c>
      <c r="F1824">
        <v>0</v>
      </c>
      <c r="G1824">
        <v>20.169699999999999</v>
      </c>
      <c r="H1824">
        <v>0</v>
      </c>
      <c r="I1824">
        <v>0</v>
      </c>
      <c r="J1824">
        <v>0</v>
      </c>
      <c r="K1824">
        <v>0</v>
      </c>
      <c r="L1824">
        <v>20</v>
      </c>
      <c r="M1824">
        <v>29</v>
      </c>
      <c r="N1824" t="s">
        <v>37</v>
      </c>
      <c r="O1824" s="3">
        <v>44454</v>
      </c>
      <c r="P1824">
        <v>-1</v>
      </c>
      <c r="T1824" t="s">
        <v>47</v>
      </c>
      <c r="U1824">
        <v>68</v>
      </c>
      <c r="V1824">
        <v>28.574999999999999</v>
      </c>
    </row>
    <row r="1825" spans="1:22" x14ac:dyDescent="0.35">
      <c r="A1825" s="3">
        <v>44424</v>
      </c>
      <c r="B1825" t="s">
        <v>35</v>
      </c>
      <c r="C1825">
        <v>0</v>
      </c>
      <c r="D1825">
        <v>0</v>
      </c>
      <c r="E1825">
        <v>0</v>
      </c>
      <c r="F1825">
        <v>0</v>
      </c>
      <c r="G1825">
        <v>21.712499999999999</v>
      </c>
      <c r="H1825">
        <v>0</v>
      </c>
      <c r="I1825">
        <v>0</v>
      </c>
      <c r="J1825">
        <v>0</v>
      </c>
      <c r="K1825">
        <v>0</v>
      </c>
      <c r="L1825">
        <v>66</v>
      </c>
      <c r="M1825">
        <v>93</v>
      </c>
      <c r="N1825" t="s">
        <v>35</v>
      </c>
      <c r="O1825" s="3">
        <v>44517</v>
      </c>
      <c r="P1825">
        <v>-1</v>
      </c>
      <c r="T1825" t="s">
        <v>46</v>
      </c>
      <c r="U1825">
        <v>87</v>
      </c>
      <c r="V1825">
        <v>27.824999999999999</v>
      </c>
    </row>
    <row r="1826" spans="1:22" x14ac:dyDescent="0.35">
      <c r="A1826" s="3">
        <v>44424</v>
      </c>
      <c r="B1826" t="s">
        <v>38</v>
      </c>
      <c r="C1826">
        <v>0</v>
      </c>
      <c r="D1826">
        <v>0</v>
      </c>
      <c r="E1826">
        <v>0</v>
      </c>
      <c r="F1826">
        <v>0</v>
      </c>
      <c r="G1826">
        <v>16.504000000000001</v>
      </c>
      <c r="H1826">
        <v>0</v>
      </c>
      <c r="I1826">
        <v>0</v>
      </c>
      <c r="J1826">
        <v>0</v>
      </c>
      <c r="K1826">
        <v>0</v>
      </c>
      <c r="L1826">
        <v>2</v>
      </c>
      <c r="M1826">
        <v>2</v>
      </c>
      <c r="N1826" t="s">
        <v>38</v>
      </c>
      <c r="O1826" s="3">
        <v>44426</v>
      </c>
      <c r="P1826">
        <v>-1</v>
      </c>
      <c r="S1826" s="3">
        <v>44057</v>
      </c>
      <c r="T1826" t="s">
        <v>45</v>
      </c>
      <c r="U1826">
        <v>108</v>
      </c>
      <c r="V1826">
        <v>28.675000000000001</v>
      </c>
    </row>
    <row r="1827" spans="1:22" x14ac:dyDescent="0.35">
      <c r="A1827" s="3">
        <v>44424</v>
      </c>
      <c r="B1827" t="s">
        <v>34</v>
      </c>
      <c r="C1827">
        <v>0</v>
      </c>
      <c r="D1827">
        <v>0</v>
      </c>
      <c r="E1827">
        <v>0</v>
      </c>
      <c r="F1827">
        <v>0</v>
      </c>
      <c r="G1827">
        <v>22.200500000000002</v>
      </c>
      <c r="H1827">
        <v>0</v>
      </c>
      <c r="I1827">
        <v>0</v>
      </c>
      <c r="J1827">
        <v>0</v>
      </c>
      <c r="K1827">
        <v>0</v>
      </c>
      <c r="L1827">
        <v>90</v>
      </c>
      <c r="M1827">
        <v>128</v>
      </c>
      <c r="N1827" t="s">
        <v>34</v>
      </c>
      <c r="O1827" s="3">
        <v>44552</v>
      </c>
      <c r="P1827">
        <v>-1</v>
      </c>
      <c r="T1827" t="s">
        <v>44</v>
      </c>
      <c r="U1827">
        <v>127</v>
      </c>
      <c r="V1827">
        <v>28.324999999999999</v>
      </c>
    </row>
    <row r="1828" spans="1:22" x14ac:dyDescent="0.35">
      <c r="A1828" s="3">
        <v>44424</v>
      </c>
      <c r="B1828" t="s">
        <v>31</v>
      </c>
      <c r="C1828">
        <v>0</v>
      </c>
      <c r="D1828">
        <v>0</v>
      </c>
      <c r="E1828">
        <v>0</v>
      </c>
      <c r="F1828">
        <v>0</v>
      </c>
      <c r="G1828">
        <v>24.125</v>
      </c>
      <c r="H1828">
        <v>0</v>
      </c>
      <c r="I1828">
        <v>0</v>
      </c>
      <c r="J1828">
        <v>0</v>
      </c>
      <c r="K1828">
        <v>0</v>
      </c>
      <c r="L1828">
        <v>146</v>
      </c>
      <c r="M1828">
        <v>211</v>
      </c>
      <c r="N1828" t="s">
        <v>31</v>
      </c>
      <c r="O1828" s="3">
        <v>44635</v>
      </c>
      <c r="P1828">
        <v>-1</v>
      </c>
      <c r="T1828" t="s">
        <v>43</v>
      </c>
      <c r="U1828">
        <v>147</v>
      </c>
      <c r="V1828">
        <v>27.95</v>
      </c>
    </row>
    <row r="1829" spans="1:22" x14ac:dyDescent="0.35">
      <c r="A1829" s="3">
        <v>44424</v>
      </c>
      <c r="B1829" t="s">
        <v>37</v>
      </c>
      <c r="C1829">
        <v>0</v>
      </c>
      <c r="D1829">
        <v>0</v>
      </c>
      <c r="E1829">
        <v>0</v>
      </c>
      <c r="F1829">
        <v>0</v>
      </c>
      <c r="G1829">
        <v>19.623699999999999</v>
      </c>
      <c r="H1829">
        <v>0</v>
      </c>
      <c r="I1829">
        <v>0</v>
      </c>
      <c r="J1829">
        <v>0</v>
      </c>
      <c r="K1829">
        <v>0</v>
      </c>
      <c r="L1829">
        <v>21</v>
      </c>
      <c r="M1829">
        <v>30</v>
      </c>
      <c r="N1829" t="s">
        <v>37</v>
      </c>
      <c r="O1829" s="3">
        <v>44454</v>
      </c>
      <c r="P1829">
        <v>-1</v>
      </c>
      <c r="T1829" t="s">
        <v>50</v>
      </c>
      <c r="U1829">
        <v>3</v>
      </c>
      <c r="V1829">
        <v>23.274999999999999</v>
      </c>
    </row>
    <row r="1830" spans="1:22" x14ac:dyDescent="0.35">
      <c r="A1830" s="3">
        <v>44424</v>
      </c>
      <c r="B1830" t="s">
        <v>32</v>
      </c>
      <c r="C1830">
        <v>0</v>
      </c>
      <c r="D1830">
        <v>0</v>
      </c>
      <c r="E1830">
        <v>0</v>
      </c>
      <c r="F1830">
        <v>0</v>
      </c>
      <c r="G1830">
        <v>23.7</v>
      </c>
      <c r="H1830">
        <v>0</v>
      </c>
      <c r="I1830">
        <v>0</v>
      </c>
      <c r="J1830">
        <v>0</v>
      </c>
      <c r="K1830">
        <v>0</v>
      </c>
      <c r="L1830">
        <v>128</v>
      </c>
      <c r="M1830">
        <v>184</v>
      </c>
      <c r="N1830" t="s">
        <v>32</v>
      </c>
      <c r="O1830" s="3">
        <v>44608</v>
      </c>
      <c r="P1830">
        <v>-1</v>
      </c>
      <c r="T1830" t="s">
        <v>49</v>
      </c>
      <c r="U1830">
        <v>22</v>
      </c>
      <c r="V1830">
        <v>26.975000000000001</v>
      </c>
    </row>
    <row r="1831" spans="1:22" x14ac:dyDescent="0.35">
      <c r="A1831" s="3">
        <v>44424</v>
      </c>
      <c r="B1831" t="s">
        <v>30</v>
      </c>
      <c r="C1831">
        <v>0</v>
      </c>
      <c r="D1831">
        <v>0</v>
      </c>
      <c r="E1831">
        <v>0</v>
      </c>
      <c r="F1831">
        <v>0</v>
      </c>
      <c r="G1831">
        <v>24.175000000000001</v>
      </c>
      <c r="H1831">
        <v>0</v>
      </c>
      <c r="I1831">
        <v>0</v>
      </c>
      <c r="J1831">
        <v>0</v>
      </c>
      <c r="K1831">
        <v>0</v>
      </c>
      <c r="L1831">
        <v>172</v>
      </c>
      <c r="M1831">
        <v>247</v>
      </c>
      <c r="N1831" t="s">
        <v>30</v>
      </c>
      <c r="O1831" s="3">
        <v>44671</v>
      </c>
      <c r="P1831">
        <v>-1</v>
      </c>
      <c r="T1831" t="s">
        <v>48</v>
      </c>
      <c r="U1831">
        <v>47</v>
      </c>
      <c r="V1831">
        <v>30.05</v>
      </c>
    </row>
    <row r="1832" spans="1:22" x14ac:dyDescent="0.35">
      <c r="A1832" s="3">
        <v>44424</v>
      </c>
      <c r="B1832" t="s">
        <v>36</v>
      </c>
      <c r="C1832">
        <v>0</v>
      </c>
      <c r="D1832">
        <v>0</v>
      </c>
      <c r="E1832">
        <v>0</v>
      </c>
      <c r="F1832">
        <v>0</v>
      </c>
      <c r="G1832">
        <v>21</v>
      </c>
      <c r="H1832">
        <v>0</v>
      </c>
      <c r="I1832">
        <v>0</v>
      </c>
      <c r="J1832">
        <v>0</v>
      </c>
      <c r="K1832">
        <v>0</v>
      </c>
      <c r="L1832">
        <v>46</v>
      </c>
      <c r="M1832">
        <v>65</v>
      </c>
      <c r="N1832" t="s">
        <v>36</v>
      </c>
      <c r="O1832" s="3">
        <v>44489</v>
      </c>
      <c r="P1832">
        <v>-1</v>
      </c>
      <c r="T1832" t="s">
        <v>47</v>
      </c>
      <c r="U1832">
        <v>67</v>
      </c>
      <c r="V1832">
        <v>28.774999999999999</v>
      </c>
    </row>
    <row r="1833" spans="1:22" x14ac:dyDescent="0.35">
      <c r="A1833" s="3">
        <v>44424</v>
      </c>
      <c r="B1833" t="s">
        <v>33</v>
      </c>
      <c r="C1833">
        <v>0</v>
      </c>
      <c r="D1833">
        <v>0</v>
      </c>
      <c r="E1833">
        <v>0</v>
      </c>
      <c r="F1833">
        <v>0</v>
      </c>
      <c r="G1833">
        <v>23.2013</v>
      </c>
      <c r="H1833">
        <v>0</v>
      </c>
      <c r="I1833">
        <v>0</v>
      </c>
      <c r="J1833">
        <v>0</v>
      </c>
      <c r="K1833">
        <v>0</v>
      </c>
      <c r="L1833">
        <v>108</v>
      </c>
      <c r="M1833">
        <v>156</v>
      </c>
      <c r="N1833" t="s">
        <v>33</v>
      </c>
      <c r="O1833" s="3">
        <v>44580</v>
      </c>
      <c r="P1833">
        <v>-1</v>
      </c>
      <c r="T1833" t="s">
        <v>46</v>
      </c>
      <c r="U1833">
        <v>86</v>
      </c>
      <c r="V1833">
        <v>28.3</v>
      </c>
    </row>
    <row r="1834" spans="1:22" x14ac:dyDescent="0.35">
      <c r="A1834" s="3">
        <v>44421</v>
      </c>
      <c r="B1834" t="s">
        <v>32</v>
      </c>
      <c r="C1834">
        <v>0</v>
      </c>
      <c r="D1834">
        <v>0</v>
      </c>
      <c r="E1834">
        <v>0</v>
      </c>
      <c r="F1834">
        <v>0</v>
      </c>
      <c r="G1834">
        <v>23.533300000000001</v>
      </c>
      <c r="H1834">
        <v>0</v>
      </c>
      <c r="I1834">
        <v>0</v>
      </c>
      <c r="J1834">
        <v>0</v>
      </c>
      <c r="K1834">
        <v>0</v>
      </c>
      <c r="L1834">
        <v>129</v>
      </c>
      <c r="M1834">
        <v>187</v>
      </c>
      <c r="N1834" t="s">
        <v>32</v>
      </c>
      <c r="O1834" s="3">
        <v>44608</v>
      </c>
      <c r="P1834">
        <v>-1</v>
      </c>
      <c r="S1834" s="3">
        <v>44060</v>
      </c>
      <c r="T1834" t="s">
        <v>45</v>
      </c>
      <c r="U1834">
        <v>107</v>
      </c>
      <c r="V1834">
        <v>27.875</v>
      </c>
    </row>
    <row r="1835" spans="1:22" x14ac:dyDescent="0.35">
      <c r="A1835" s="3">
        <v>44421</v>
      </c>
      <c r="B1835" t="s">
        <v>30</v>
      </c>
      <c r="C1835">
        <v>0</v>
      </c>
      <c r="D1835">
        <v>0</v>
      </c>
      <c r="E1835">
        <v>0</v>
      </c>
      <c r="F1835">
        <v>0</v>
      </c>
      <c r="G1835">
        <v>24.125</v>
      </c>
      <c r="H1835">
        <v>0</v>
      </c>
      <c r="I1835">
        <v>0</v>
      </c>
      <c r="J1835">
        <v>0</v>
      </c>
      <c r="K1835">
        <v>0</v>
      </c>
      <c r="L1835">
        <v>173</v>
      </c>
      <c r="M1835">
        <v>250</v>
      </c>
      <c r="N1835" t="s">
        <v>30</v>
      </c>
      <c r="O1835" s="3">
        <v>44671</v>
      </c>
      <c r="P1835">
        <v>-1</v>
      </c>
      <c r="T1835" t="s">
        <v>44</v>
      </c>
      <c r="U1835">
        <v>126</v>
      </c>
      <c r="V1835">
        <v>27.774999999999999</v>
      </c>
    </row>
    <row r="1836" spans="1:22" x14ac:dyDescent="0.35">
      <c r="A1836" s="3">
        <v>44421</v>
      </c>
      <c r="B1836" t="s">
        <v>36</v>
      </c>
      <c r="C1836">
        <v>0</v>
      </c>
      <c r="D1836">
        <v>0</v>
      </c>
      <c r="E1836">
        <v>0</v>
      </c>
      <c r="F1836">
        <v>0</v>
      </c>
      <c r="G1836">
        <v>20.8154</v>
      </c>
      <c r="H1836">
        <v>0</v>
      </c>
      <c r="I1836">
        <v>0</v>
      </c>
      <c r="J1836">
        <v>0</v>
      </c>
      <c r="K1836">
        <v>0</v>
      </c>
      <c r="L1836">
        <v>47</v>
      </c>
      <c r="M1836">
        <v>68</v>
      </c>
      <c r="N1836" t="s">
        <v>36</v>
      </c>
      <c r="O1836" s="3">
        <v>44489</v>
      </c>
      <c r="P1836">
        <v>-1</v>
      </c>
      <c r="T1836" t="s">
        <v>43</v>
      </c>
      <c r="U1836">
        <v>146</v>
      </c>
      <c r="V1836">
        <v>27.4</v>
      </c>
    </row>
    <row r="1837" spans="1:22" x14ac:dyDescent="0.35">
      <c r="A1837" s="3">
        <v>44421</v>
      </c>
      <c r="B1837" t="s">
        <v>33</v>
      </c>
      <c r="C1837">
        <v>0</v>
      </c>
      <c r="D1837">
        <v>0</v>
      </c>
      <c r="E1837">
        <v>0</v>
      </c>
      <c r="F1837">
        <v>0</v>
      </c>
      <c r="G1837">
        <v>23.064900000000002</v>
      </c>
      <c r="H1837">
        <v>0</v>
      </c>
      <c r="I1837">
        <v>0</v>
      </c>
      <c r="J1837">
        <v>0</v>
      </c>
      <c r="K1837">
        <v>0</v>
      </c>
      <c r="L1837">
        <v>109</v>
      </c>
      <c r="M1837">
        <v>159</v>
      </c>
      <c r="N1837" t="s">
        <v>33</v>
      </c>
      <c r="O1837" s="3">
        <v>44580</v>
      </c>
      <c r="P1837">
        <v>-1</v>
      </c>
      <c r="T1837" t="s">
        <v>50</v>
      </c>
      <c r="U1837">
        <v>2</v>
      </c>
      <c r="V1837">
        <v>21.774999999999999</v>
      </c>
    </row>
    <row r="1838" spans="1:22" x14ac:dyDescent="0.35">
      <c r="A1838" s="3">
        <v>44421</v>
      </c>
      <c r="B1838" t="s">
        <v>35</v>
      </c>
      <c r="C1838">
        <v>0</v>
      </c>
      <c r="D1838">
        <v>0</v>
      </c>
      <c r="E1838">
        <v>0</v>
      </c>
      <c r="F1838">
        <v>0</v>
      </c>
      <c r="G1838">
        <v>21.558700000000002</v>
      </c>
      <c r="H1838">
        <v>0</v>
      </c>
      <c r="I1838">
        <v>0</v>
      </c>
      <c r="J1838">
        <v>0</v>
      </c>
      <c r="K1838">
        <v>0</v>
      </c>
      <c r="L1838">
        <v>67</v>
      </c>
      <c r="M1838">
        <v>96</v>
      </c>
      <c r="N1838" t="s">
        <v>35</v>
      </c>
      <c r="O1838" s="3">
        <v>44517</v>
      </c>
      <c r="P1838">
        <v>-1</v>
      </c>
      <c r="T1838" t="s">
        <v>49</v>
      </c>
      <c r="U1838">
        <v>21</v>
      </c>
      <c r="V1838">
        <v>25.824999999999999</v>
      </c>
    </row>
    <row r="1839" spans="1:22" x14ac:dyDescent="0.35">
      <c r="A1839" s="3">
        <v>44421</v>
      </c>
      <c r="B1839" t="s">
        <v>38</v>
      </c>
      <c r="C1839">
        <v>0</v>
      </c>
      <c r="D1839">
        <v>0</v>
      </c>
      <c r="E1839">
        <v>0</v>
      </c>
      <c r="F1839">
        <v>0</v>
      </c>
      <c r="G1839">
        <v>16.631</v>
      </c>
      <c r="H1839">
        <v>0</v>
      </c>
      <c r="I1839">
        <v>0</v>
      </c>
      <c r="J1839">
        <v>0</v>
      </c>
      <c r="K1839">
        <v>0</v>
      </c>
      <c r="L1839">
        <v>3</v>
      </c>
      <c r="M1839">
        <v>5</v>
      </c>
      <c r="N1839" t="s">
        <v>38</v>
      </c>
      <c r="O1839" s="3">
        <v>44426</v>
      </c>
      <c r="P1839">
        <v>-1</v>
      </c>
      <c r="T1839" t="s">
        <v>48</v>
      </c>
      <c r="U1839">
        <v>46</v>
      </c>
      <c r="V1839">
        <v>29.125</v>
      </c>
    </row>
    <row r="1840" spans="1:22" x14ac:dyDescent="0.35">
      <c r="A1840" s="3">
        <v>44421</v>
      </c>
      <c r="B1840" t="s">
        <v>34</v>
      </c>
      <c r="C1840">
        <v>0</v>
      </c>
      <c r="D1840">
        <v>0</v>
      </c>
      <c r="E1840">
        <v>0</v>
      </c>
      <c r="F1840">
        <v>0</v>
      </c>
      <c r="G1840">
        <v>22.0669</v>
      </c>
      <c r="H1840">
        <v>0</v>
      </c>
      <c r="I1840">
        <v>0</v>
      </c>
      <c r="J1840">
        <v>0</v>
      </c>
      <c r="K1840">
        <v>0</v>
      </c>
      <c r="L1840">
        <v>91</v>
      </c>
      <c r="M1840">
        <v>131</v>
      </c>
      <c r="N1840" t="s">
        <v>34</v>
      </c>
      <c r="O1840" s="3">
        <v>44552</v>
      </c>
      <c r="P1840">
        <v>-1</v>
      </c>
      <c r="T1840" t="s">
        <v>47</v>
      </c>
      <c r="U1840">
        <v>66</v>
      </c>
      <c r="V1840">
        <v>28.125</v>
      </c>
    </row>
    <row r="1841" spans="1:22" x14ac:dyDescent="0.35">
      <c r="A1841" s="3">
        <v>44421</v>
      </c>
      <c r="B1841" t="s">
        <v>31</v>
      </c>
      <c r="C1841">
        <v>0</v>
      </c>
      <c r="D1841">
        <v>0</v>
      </c>
      <c r="E1841">
        <v>0</v>
      </c>
      <c r="F1841">
        <v>0</v>
      </c>
      <c r="G1841">
        <v>23.975000000000001</v>
      </c>
      <c r="H1841">
        <v>0</v>
      </c>
      <c r="I1841">
        <v>0</v>
      </c>
      <c r="J1841">
        <v>0</v>
      </c>
      <c r="K1841">
        <v>0</v>
      </c>
      <c r="L1841">
        <v>147</v>
      </c>
      <c r="M1841">
        <v>214</v>
      </c>
      <c r="N1841" t="s">
        <v>31</v>
      </c>
      <c r="O1841" s="3">
        <v>44635</v>
      </c>
      <c r="P1841">
        <v>-1</v>
      </c>
      <c r="T1841" t="s">
        <v>46</v>
      </c>
      <c r="U1841">
        <v>85</v>
      </c>
      <c r="V1841">
        <v>27.375</v>
      </c>
    </row>
    <row r="1842" spans="1:22" x14ac:dyDescent="0.35">
      <c r="A1842" s="3">
        <v>44421</v>
      </c>
      <c r="B1842" t="s">
        <v>37</v>
      </c>
      <c r="C1842">
        <v>0</v>
      </c>
      <c r="D1842">
        <v>0</v>
      </c>
      <c r="E1842">
        <v>0</v>
      </c>
      <c r="F1842">
        <v>0</v>
      </c>
      <c r="G1842">
        <v>19.486000000000001</v>
      </c>
      <c r="H1842">
        <v>0</v>
      </c>
      <c r="I1842">
        <v>0</v>
      </c>
      <c r="J1842">
        <v>0</v>
      </c>
      <c r="K1842">
        <v>0</v>
      </c>
      <c r="L1842">
        <v>22</v>
      </c>
      <c r="M1842">
        <v>33</v>
      </c>
      <c r="N1842" t="s">
        <v>37</v>
      </c>
      <c r="O1842" s="3">
        <v>44454</v>
      </c>
      <c r="P1842">
        <v>-1</v>
      </c>
      <c r="S1842" s="3">
        <v>44061</v>
      </c>
      <c r="T1842" t="s">
        <v>45</v>
      </c>
      <c r="U1842">
        <v>106</v>
      </c>
      <c r="V1842">
        <v>27.774999999999999</v>
      </c>
    </row>
    <row r="1843" spans="1:22" x14ac:dyDescent="0.35">
      <c r="A1843" s="3">
        <v>44420</v>
      </c>
      <c r="B1843" t="s">
        <v>35</v>
      </c>
      <c r="C1843">
        <v>0</v>
      </c>
      <c r="D1843">
        <v>0</v>
      </c>
      <c r="E1843">
        <v>0</v>
      </c>
      <c r="F1843">
        <v>0</v>
      </c>
      <c r="G1843">
        <v>21.549299999999999</v>
      </c>
      <c r="H1843">
        <v>0</v>
      </c>
      <c r="I1843">
        <v>0</v>
      </c>
      <c r="J1843">
        <v>0</v>
      </c>
      <c r="K1843">
        <v>0</v>
      </c>
      <c r="L1843">
        <v>68</v>
      </c>
      <c r="M1843">
        <v>97</v>
      </c>
      <c r="N1843" t="s">
        <v>35</v>
      </c>
      <c r="O1843" s="3">
        <v>44517</v>
      </c>
      <c r="P1843">
        <v>-1</v>
      </c>
      <c r="T1843" t="s">
        <v>44</v>
      </c>
      <c r="U1843">
        <v>125</v>
      </c>
      <c r="V1843">
        <v>27.675000000000001</v>
      </c>
    </row>
    <row r="1844" spans="1:22" x14ac:dyDescent="0.35">
      <c r="A1844" s="3">
        <v>44420</v>
      </c>
      <c r="B1844" t="s">
        <v>38</v>
      </c>
      <c r="C1844">
        <v>0</v>
      </c>
      <c r="D1844">
        <v>0</v>
      </c>
      <c r="E1844">
        <v>0</v>
      </c>
      <c r="F1844">
        <v>0</v>
      </c>
      <c r="G1844">
        <v>17.002800000000001</v>
      </c>
      <c r="H1844">
        <v>0</v>
      </c>
      <c r="I1844">
        <v>0</v>
      </c>
      <c r="J1844">
        <v>0</v>
      </c>
      <c r="K1844">
        <v>0</v>
      </c>
      <c r="L1844">
        <v>4</v>
      </c>
      <c r="M1844">
        <v>6</v>
      </c>
      <c r="N1844" t="s">
        <v>38</v>
      </c>
      <c r="O1844" s="3">
        <v>44426</v>
      </c>
      <c r="P1844">
        <v>-1</v>
      </c>
      <c r="T1844" t="s">
        <v>43</v>
      </c>
      <c r="U1844">
        <v>145</v>
      </c>
      <c r="V1844">
        <v>27.375</v>
      </c>
    </row>
    <row r="1845" spans="1:22" x14ac:dyDescent="0.35">
      <c r="A1845" s="3">
        <v>44420</v>
      </c>
      <c r="B1845" t="s">
        <v>34</v>
      </c>
      <c r="C1845">
        <v>0</v>
      </c>
      <c r="D1845">
        <v>0</v>
      </c>
      <c r="E1845">
        <v>0</v>
      </c>
      <c r="F1845">
        <v>0</v>
      </c>
      <c r="G1845">
        <v>22.051300000000001</v>
      </c>
      <c r="H1845">
        <v>0</v>
      </c>
      <c r="I1845">
        <v>0</v>
      </c>
      <c r="J1845">
        <v>0</v>
      </c>
      <c r="K1845">
        <v>0</v>
      </c>
      <c r="L1845">
        <v>92</v>
      </c>
      <c r="M1845">
        <v>132</v>
      </c>
      <c r="N1845" t="s">
        <v>34</v>
      </c>
      <c r="O1845" s="3">
        <v>44552</v>
      </c>
      <c r="P1845">
        <v>-1</v>
      </c>
      <c r="T1845" t="s">
        <v>50</v>
      </c>
      <c r="U1845">
        <v>1</v>
      </c>
      <c r="V1845">
        <v>21.774999999999999</v>
      </c>
    </row>
    <row r="1846" spans="1:22" x14ac:dyDescent="0.35">
      <c r="A1846" s="3">
        <v>44420</v>
      </c>
      <c r="B1846" t="s">
        <v>31</v>
      </c>
      <c r="C1846">
        <v>0</v>
      </c>
      <c r="D1846">
        <v>0</v>
      </c>
      <c r="E1846">
        <v>0</v>
      </c>
      <c r="F1846">
        <v>0</v>
      </c>
      <c r="G1846">
        <v>23.95</v>
      </c>
      <c r="H1846">
        <v>0</v>
      </c>
      <c r="I1846">
        <v>0</v>
      </c>
      <c r="J1846">
        <v>0</v>
      </c>
      <c r="K1846">
        <v>0</v>
      </c>
      <c r="L1846">
        <v>148</v>
      </c>
      <c r="M1846">
        <v>215</v>
      </c>
      <c r="N1846" t="s">
        <v>31</v>
      </c>
      <c r="O1846" s="3">
        <v>44635</v>
      </c>
      <c r="P1846">
        <v>-1</v>
      </c>
      <c r="T1846" t="s">
        <v>49</v>
      </c>
      <c r="U1846">
        <v>20</v>
      </c>
      <c r="V1846">
        <v>25.475000000000001</v>
      </c>
    </row>
    <row r="1847" spans="1:22" x14ac:dyDescent="0.35">
      <c r="A1847" s="3">
        <v>44420</v>
      </c>
      <c r="B1847" t="s">
        <v>37</v>
      </c>
      <c r="C1847">
        <v>0</v>
      </c>
      <c r="D1847">
        <v>0</v>
      </c>
      <c r="E1847">
        <v>0</v>
      </c>
      <c r="F1847">
        <v>0</v>
      </c>
      <c r="G1847">
        <v>19.3979</v>
      </c>
      <c r="H1847">
        <v>0</v>
      </c>
      <c r="I1847">
        <v>0</v>
      </c>
      <c r="J1847">
        <v>0</v>
      </c>
      <c r="K1847">
        <v>0</v>
      </c>
      <c r="L1847">
        <v>23</v>
      </c>
      <c r="M1847">
        <v>34</v>
      </c>
      <c r="N1847" t="s">
        <v>37</v>
      </c>
      <c r="O1847" s="3">
        <v>44454</v>
      </c>
      <c r="P1847">
        <v>-1</v>
      </c>
      <c r="T1847" t="s">
        <v>48</v>
      </c>
      <c r="U1847">
        <v>45</v>
      </c>
      <c r="V1847">
        <v>28.824999999999999</v>
      </c>
    </row>
    <row r="1848" spans="1:22" x14ac:dyDescent="0.35">
      <c r="A1848" s="3">
        <v>44420</v>
      </c>
      <c r="B1848" t="s">
        <v>32</v>
      </c>
      <c r="C1848">
        <v>0</v>
      </c>
      <c r="D1848">
        <v>0</v>
      </c>
      <c r="E1848">
        <v>0</v>
      </c>
      <c r="F1848">
        <v>0</v>
      </c>
      <c r="G1848">
        <v>23.524999999999999</v>
      </c>
      <c r="H1848">
        <v>0</v>
      </c>
      <c r="I1848">
        <v>0</v>
      </c>
      <c r="J1848">
        <v>0</v>
      </c>
      <c r="K1848">
        <v>0</v>
      </c>
      <c r="L1848">
        <v>130</v>
      </c>
      <c r="M1848">
        <v>188</v>
      </c>
      <c r="N1848" t="s">
        <v>32</v>
      </c>
      <c r="O1848" s="3">
        <v>44608</v>
      </c>
      <c r="P1848">
        <v>-1</v>
      </c>
      <c r="T1848" t="s">
        <v>47</v>
      </c>
      <c r="U1848">
        <v>65</v>
      </c>
      <c r="V1848">
        <v>28.225000000000001</v>
      </c>
    </row>
    <row r="1849" spans="1:22" x14ac:dyDescent="0.35">
      <c r="A1849" s="3">
        <v>44420</v>
      </c>
      <c r="B1849" t="s">
        <v>30</v>
      </c>
      <c r="C1849">
        <v>0</v>
      </c>
      <c r="D1849">
        <v>0</v>
      </c>
      <c r="E1849">
        <v>0</v>
      </c>
      <c r="F1849">
        <v>0</v>
      </c>
      <c r="G1849">
        <v>24.024999999999999</v>
      </c>
      <c r="H1849">
        <v>0</v>
      </c>
      <c r="I1849">
        <v>0</v>
      </c>
      <c r="J1849">
        <v>0</v>
      </c>
      <c r="K1849">
        <v>0</v>
      </c>
      <c r="L1849">
        <v>174</v>
      </c>
      <c r="M1849">
        <v>251</v>
      </c>
      <c r="N1849" t="s">
        <v>30</v>
      </c>
      <c r="O1849" s="3">
        <v>44671</v>
      </c>
      <c r="P1849">
        <v>-1</v>
      </c>
      <c r="T1849" t="s">
        <v>46</v>
      </c>
      <c r="U1849">
        <v>84</v>
      </c>
      <c r="V1849">
        <v>27.475000000000001</v>
      </c>
    </row>
    <row r="1850" spans="1:22" x14ac:dyDescent="0.35">
      <c r="A1850" s="3">
        <v>44420</v>
      </c>
      <c r="B1850" t="s">
        <v>36</v>
      </c>
      <c r="C1850">
        <v>0</v>
      </c>
      <c r="D1850">
        <v>0</v>
      </c>
      <c r="E1850">
        <v>0</v>
      </c>
      <c r="F1850">
        <v>0</v>
      </c>
      <c r="G1850">
        <v>20.752500000000001</v>
      </c>
      <c r="H1850">
        <v>0</v>
      </c>
      <c r="I1850">
        <v>0</v>
      </c>
      <c r="J1850">
        <v>0</v>
      </c>
      <c r="K1850">
        <v>0</v>
      </c>
      <c r="L1850">
        <v>48</v>
      </c>
      <c r="M1850">
        <v>69</v>
      </c>
      <c r="N1850" t="s">
        <v>36</v>
      </c>
      <c r="O1850" s="3">
        <v>44489</v>
      </c>
      <c r="P1850">
        <v>-1</v>
      </c>
      <c r="S1850" s="3">
        <v>44062</v>
      </c>
      <c r="T1850" t="s">
        <v>45</v>
      </c>
      <c r="U1850">
        <v>105</v>
      </c>
      <c r="V1850">
        <v>28.125</v>
      </c>
    </row>
    <row r="1851" spans="1:22" x14ac:dyDescent="0.35">
      <c r="A1851" s="3">
        <v>44420</v>
      </c>
      <c r="B1851" t="s">
        <v>33</v>
      </c>
      <c r="C1851">
        <v>0</v>
      </c>
      <c r="D1851">
        <v>0</v>
      </c>
      <c r="E1851">
        <v>0</v>
      </c>
      <c r="F1851">
        <v>0</v>
      </c>
      <c r="G1851">
        <v>23.05</v>
      </c>
      <c r="H1851">
        <v>0</v>
      </c>
      <c r="I1851">
        <v>0</v>
      </c>
      <c r="J1851">
        <v>0</v>
      </c>
      <c r="K1851">
        <v>0</v>
      </c>
      <c r="L1851">
        <v>110</v>
      </c>
      <c r="M1851">
        <v>160</v>
      </c>
      <c r="N1851" t="s">
        <v>33</v>
      </c>
      <c r="O1851" s="3">
        <v>44580</v>
      </c>
      <c r="P1851">
        <v>-1</v>
      </c>
      <c r="T1851" t="s">
        <v>44</v>
      </c>
      <c r="U1851">
        <v>124</v>
      </c>
      <c r="V1851">
        <v>28.125</v>
      </c>
    </row>
    <row r="1852" spans="1:22" x14ac:dyDescent="0.35">
      <c r="A1852" s="3">
        <v>44419</v>
      </c>
      <c r="B1852" t="s">
        <v>32</v>
      </c>
      <c r="C1852">
        <v>0</v>
      </c>
      <c r="D1852">
        <v>0</v>
      </c>
      <c r="E1852">
        <v>0</v>
      </c>
      <c r="F1852">
        <v>0</v>
      </c>
      <c r="G1852">
        <v>23.7</v>
      </c>
      <c r="H1852">
        <v>0</v>
      </c>
      <c r="I1852">
        <v>0</v>
      </c>
      <c r="J1852">
        <v>0</v>
      </c>
      <c r="K1852">
        <v>0</v>
      </c>
      <c r="L1852">
        <v>131</v>
      </c>
      <c r="M1852">
        <v>189</v>
      </c>
      <c r="N1852" t="s">
        <v>32</v>
      </c>
      <c r="O1852" s="3">
        <v>44608</v>
      </c>
      <c r="P1852">
        <v>-1</v>
      </c>
      <c r="T1852" t="s">
        <v>43</v>
      </c>
      <c r="U1852">
        <v>144</v>
      </c>
      <c r="V1852">
        <v>27.8</v>
      </c>
    </row>
    <row r="1853" spans="1:22" x14ac:dyDescent="0.35">
      <c r="A1853" s="3">
        <v>44419</v>
      </c>
      <c r="B1853" t="s">
        <v>30</v>
      </c>
      <c r="C1853">
        <v>0</v>
      </c>
      <c r="D1853">
        <v>0</v>
      </c>
      <c r="E1853">
        <v>0</v>
      </c>
      <c r="F1853">
        <v>0</v>
      </c>
      <c r="G1853">
        <v>24.15</v>
      </c>
      <c r="H1853">
        <v>0</v>
      </c>
      <c r="I1853">
        <v>0</v>
      </c>
      <c r="J1853">
        <v>0</v>
      </c>
      <c r="K1853">
        <v>0</v>
      </c>
      <c r="L1853">
        <v>175</v>
      </c>
      <c r="M1853">
        <v>252</v>
      </c>
      <c r="N1853" t="s">
        <v>30</v>
      </c>
      <c r="O1853" s="3">
        <v>44671</v>
      </c>
      <c r="P1853">
        <v>-1</v>
      </c>
      <c r="T1853" t="s">
        <v>42</v>
      </c>
      <c r="U1853">
        <v>169</v>
      </c>
      <c r="V1853">
        <v>25.35</v>
      </c>
    </row>
    <row r="1854" spans="1:22" x14ac:dyDescent="0.35">
      <c r="A1854" s="3">
        <v>44419</v>
      </c>
      <c r="B1854" t="s">
        <v>36</v>
      </c>
      <c r="C1854">
        <v>0</v>
      </c>
      <c r="D1854">
        <v>0</v>
      </c>
      <c r="E1854">
        <v>0</v>
      </c>
      <c r="F1854">
        <v>0</v>
      </c>
      <c r="G1854">
        <v>21.215599999999998</v>
      </c>
      <c r="H1854">
        <v>0</v>
      </c>
      <c r="I1854">
        <v>0</v>
      </c>
      <c r="J1854">
        <v>0</v>
      </c>
      <c r="K1854">
        <v>0</v>
      </c>
      <c r="L1854">
        <v>49</v>
      </c>
      <c r="M1854">
        <v>70</v>
      </c>
      <c r="N1854" t="s">
        <v>36</v>
      </c>
      <c r="O1854" s="3">
        <v>44489</v>
      </c>
      <c r="P1854">
        <v>-1</v>
      </c>
      <c r="T1854" t="s">
        <v>50</v>
      </c>
      <c r="U1854">
        <v>0</v>
      </c>
      <c r="V1854">
        <v>21.71</v>
      </c>
    </row>
    <row r="1855" spans="1:22" x14ac:dyDescent="0.35">
      <c r="A1855" s="3">
        <v>44419</v>
      </c>
      <c r="B1855" t="s">
        <v>33</v>
      </c>
      <c r="C1855">
        <v>0</v>
      </c>
      <c r="D1855">
        <v>0</v>
      </c>
      <c r="E1855">
        <v>0</v>
      </c>
      <c r="F1855">
        <v>0</v>
      </c>
      <c r="G1855">
        <v>23.33</v>
      </c>
      <c r="H1855">
        <v>0</v>
      </c>
      <c r="I1855">
        <v>0</v>
      </c>
      <c r="J1855">
        <v>0</v>
      </c>
      <c r="K1855">
        <v>0</v>
      </c>
      <c r="L1855">
        <v>111</v>
      </c>
      <c r="M1855">
        <v>161</v>
      </c>
      <c r="N1855" t="s">
        <v>33</v>
      </c>
      <c r="O1855" s="3">
        <v>44580</v>
      </c>
      <c r="P1855">
        <v>-1</v>
      </c>
      <c r="T1855" t="s">
        <v>49</v>
      </c>
      <c r="U1855">
        <v>19</v>
      </c>
      <c r="V1855">
        <v>26.225000000000001</v>
      </c>
    </row>
    <row r="1856" spans="1:22" x14ac:dyDescent="0.35">
      <c r="A1856" s="3">
        <v>44419</v>
      </c>
      <c r="B1856" t="s">
        <v>35</v>
      </c>
      <c r="C1856">
        <v>0</v>
      </c>
      <c r="D1856">
        <v>0</v>
      </c>
      <c r="E1856">
        <v>0</v>
      </c>
      <c r="F1856">
        <v>0</v>
      </c>
      <c r="G1856">
        <v>21.930399999999999</v>
      </c>
      <c r="H1856">
        <v>0</v>
      </c>
      <c r="I1856">
        <v>0</v>
      </c>
      <c r="J1856">
        <v>0</v>
      </c>
      <c r="K1856">
        <v>0</v>
      </c>
      <c r="L1856">
        <v>69</v>
      </c>
      <c r="M1856">
        <v>98</v>
      </c>
      <c r="N1856" t="s">
        <v>35</v>
      </c>
      <c r="O1856" s="3">
        <v>44517</v>
      </c>
      <c r="P1856">
        <v>-1</v>
      </c>
      <c r="T1856" t="s">
        <v>48</v>
      </c>
      <c r="U1856">
        <v>44</v>
      </c>
      <c r="V1856">
        <v>29.375</v>
      </c>
    </row>
    <row r="1857" spans="1:22" x14ac:dyDescent="0.35">
      <c r="A1857" s="3">
        <v>44419</v>
      </c>
      <c r="B1857" t="s">
        <v>38</v>
      </c>
      <c r="C1857">
        <v>0</v>
      </c>
      <c r="D1857">
        <v>0</v>
      </c>
      <c r="E1857">
        <v>0</v>
      </c>
      <c r="F1857">
        <v>0</v>
      </c>
      <c r="G1857">
        <v>17.444299999999998</v>
      </c>
      <c r="H1857">
        <v>0</v>
      </c>
      <c r="I1857">
        <v>0</v>
      </c>
      <c r="J1857">
        <v>0</v>
      </c>
      <c r="K1857">
        <v>0</v>
      </c>
      <c r="L1857">
        <v>5</v>
      </c>
      <c r="M1857">
        <v>7</v>
      </c>
      <c r="N1857" t="s">
        <v>38</v>
      </c>
      <c r="O1857" s="3">
        <v>44426</v>
      </c>
      <c r="P1857">
        <v>-1</v>
      </c>
      <c r="T1857" t="s">
        <v>47</v>
      </c>
      <c r="U1857">
        <v>64</v>
      </c>
      <c r="V1857">
        <v>28.675000000000001</v>
      </c>
    </row>
    <row r="1858" spans="1:22" x14ac:dyDescent="0.35">
      <c r="A1858" s="3">
        <v>44419</v>
      </c>
      <c r="B1858" t="s">
        <v>34</v>
      </c>
      <c r="C1858">
        <v>0</v>
      </c>
      <c r="D1858">
        <v>0</v>
      </c>
      <c r="E1858">
        <v>0</v>
      </c>
      <c r="F1858">
        <v>0</v>
      </c>
      <c r="G1858">
        <v>22.3583</v>
      </c>
      <c r="H1858">
        <v>0</v>
      </c>
      <c r="I1858">
        <v>0</v>
      </c>
      <c r="J1858">
        <v>0</v>
      </c>
      <c r="K1858">
        <v>0</v>
      </c>
      <c r="L1858">
        <v>93</v>
      </c>
      <c r="M1858">
        <v>133</v>
      </c>
      <c r="N1858" t="s">
        <v>34</v>
      </c>
      <c r="O1858" s="3">
        <v>44552</v>
      </c>
      <c r="P1858">
        <v>-1</v>
      </c>
      <c r="T1858" t="s">
        <v>46</v>
      </c>
      <c r="U1858">
        <v>83</v>
      </c>
      <c r="V1858">
        <v>27.9</v>
      </c>
    </row>
    <row r="1859" spans="1:22" x14ac:dyDescent="0.35">
      <c r="A1859" s="3">
        <v>44419</v>
      </c>
      <c r="B1859" t="s">
        <v>31</v>
      </c>
      <c r="C1859">
        <v>0</v>
      </c>
      <c r="D1859">
        <v>0</v>
      </c>
      <c r="E1859">
        <v>0</v>
      </c>
      <c r="F1859">
        <v>0</v>
      </c>
      <c r="G1859">
        <v>24.024999999999999</v>
      </c>
      <c r="H1859">
        <v>0</v>
      </c>
      <c r="I1859">
        <v>0</v>
      </c>
      <c r="J1859">
        <v>0</v>
      </c>
      <c r="K1859">
        <v>0</v>
      </c>
      <c r="L1859">
        <v>149</v>
      </c>
      <c r="M1859">
        <v>216</v>
      </c>
      <c r="N1859" t="s">
        <v>31</v>
      </c>
      <c r="O1859" s="3">
        <v>44635</v>
      </c>
      <c r="P1859">
        <v>-1</v>
      </c>
      <c r="S1859" s="3">
        <v>44063</v>
      </c>
      <c r="T1859" t="s">
        <v>45</v>
      </c>
      <c r="U1859">
        <v>104</v>
      </c>
      <c r="V1859">
        <v>27.975000000000001</v>
      </c>
    </row>
    <row r="1860" spans="1:22" x14ac:dyDescent="0.35">
      <c r="A1860" s="3">
        <v>44419</v>
      </c>
      <c r="B1860" t="s">
        <v>37</v>
      </c>
      <c r="C1860">
        <v>0</v>
      </c>
      <c r="D1860">
        <v>0</v>
      </c>
      <c r="E1860">
        <v>0</v>
      </c>
      <c r="F1860">
        <v>0</v>
      </c>
      <c r="G1860">
        <v>19.7318</v>
      </c>
      <c r="H1860">
        <v>0</v>
      </c>
      <c r="I1860">
        <v>0</v>
      </c>
      <c r="J1860">
        <v>0</v>
      </c>
      <c r="K1860">
        <v>0</v>
      </c>
      <c r="L1860">
        <v>24</v>
      </c>
      <c r="M1860">
        <v>35</v>
      </c>
      <c r="N1860" t="s">
        <v>37</v>
      </c>
      <c r="O1860" s="3">
        <v>44454</v>
      </c>
      <c r="P1860">
        <v>-1</v>
      </c>
      <c r="T1860" t="s">
        <v>44</v>
      </c>
      <c r="U1860">
        <v>123</v>
      </c>
      <c r="V1860">
        <v>27.975000000000001</v>
      </c>
    </row>
    <row r="1861" spans="1:22" x14ac:dyDescent="0.35">
      <c r="A1861" s="3">
        <v>44418</v>
      </c>
      <c r="B1861" t="s">
        <v>35</v>
      </c>
      <c r="C1861">
        <v>0</v>
      </c>
      <c r="D1861">
        <v>0</v>
      </c>
      <c r="E1861">
        <v>0</v>
      </c>
      <c r="F1861">
        <v>0</v>
      </c>
      <c r="G1861">
        <v>22.401299999999999</v>
      </c>
      <c r="H1861">
        <v>0</v>
      </c>
      <c r="I1861">
        <v>0</v>
      </c>
      <c r="J1861">
        <v>0</v>
      </c>
      <c r="K1861">
        <v>0</v>
      </c>
      <c r="L1861">
        <v>70</v>
      </c>
      <c r="M1861">
        <v>99</v>
      </c>
      <c r="N1861" t="s">
        <v>35</v>
      </c>
      <c r="O1861" s="3">
        <v>44517</v>
      </c>
      <c r="P1861">
        <v>-1</v>
      </c>
      <c r="T1861" t="s">
        <v>43</v>
      </c>
      <c r="U1861">
        <v>143</v>
      </c>
      <c r="V1861">
        <v>27.625</v>
      </c>
    </row>
    <row r="1862" spans="1:22" x14ac:dyDescent="0.35">
      <c r="A1862" s="3">
        <v>44418</v>
      </c>
      <c r="B1862" t="s">
        <v>38</v>
      </c>
      <c r="C1862">
        <v>0</v>
      </c>
      <c r="D1862">
        <v>0</v>
      </c>
      <c r="E1862">
        <v>0</v>
      </c>
      <c r="F1862">
        <v>0</v>
      </c>
      <c r="G1862">
        <v>17.977599999999999</v>
      </c>
      <c r="H1862">
        <v>0</v>
      </c>
      <c r="I1862">
        <v>0</v>
      </c>
      <c r="J1862">
        <v>0</v>
      </c>
      <c r="K1862">
        <v>0</v>
      </c>
      <c r="L1862">
        <v>6</v>
      </c>
      <c r="M1862">
        <v>8</v>
      </c>
      <c r="N1862" t="s">
        <v>38</v>
      </c>
      <c r="O1862" s="3">
        <v>44426</v>
      </c>
      <c r="P1862">
        <v>-1</v>
      </c>
      <c r="T1862" t="s">
        <v>42</v>
      </c>
      <c r="U1862">
        <v>168</v>
      </c>
      <c r="V1862">
        <v>27.375</v>
      </c>
    </row>
    <row r="1863" spans="1:22" x14ac:dyDescent="0.35">
      <c r="A1863" s="3">
        <v>44418</v>
      </c>
      <c r="B1863" t="s">
        <v>34</v>
      </c>
      <c r="C1863">
        <v>0</v>
      </c>
      <c r="D1863">
        <v>0</v>
      </c>
      <c r="E1863">
        <v>0</v>
      </c>
      <c r="F1863">
        <v>0</v>
      </c>
      <c r="G1863">
        <v>22.8</v>
      </c>
      <c r="H1863">
        <v>0</v>
      </c>
      <c r="I1863">
        <v>0</v>
      </c>
      <c r="J1863">
        <v>0</v>
      </c>
      <c r="K1863">
        <v>0</v>
      </c>
      <c r="L1863">
        <v>94</v>
      </c>
      <c r="M1863">
        <v>134</v>
      </c>
      <c r="N1863" t="s">
        <v>34</v>
      </c>
      <c r="O1863" s="3">
        <v>44552</v>
      </c>
      <c r="P1863">
        <v>-1</v>
      </c>
      <c r="T1863" t="s">
        <v>49</v>
      </c>
      <c r="U1863">
        <v>18</v>
      </c>
      <c r="V1863">
        <v>25.875</v>
      </c>
    </row>
    <row r="1864" spans="1:22" x14ac:dyDescent="0.35">
      <c r="A1864" s="3">
        <v>44418</v>
      </c>
      <c r="B1864" t="s">
        <v>31</v>
      </c>
      <c r="C1864">
        <v>0</v>
      </c>
      <c r="D1864">
        <v>0</v>
      </c>
      <c r="E1864">
        <v>0</v>
      </c>
      <c r="F1864">
        <v>0</v>
      </c>
      <c r="G1864">
        <v>24.274999999999999</v>
      </c>
      <c r="H1864">
        <v>0</v>
      </c>
      <c r="I1864">
        <v>0</v>
      </c>
      <c r="J1864">
        <v>0</v>
      </c>
      <c r="K1864">
        <v>0</v>
      </c>
      <c r="L1864">
        <v>150</v>
      </c>
      <c r="M1864">
        <v>217</v>
      </c>
      <c r="N1864" t="s">
        <v>31</v>
      </c>
      <c r="O1864" s="3">
        <v>44635</v>
      </c>
      <c r="P1864">
        <v>-1</v>
      </c>
      <c r="T1864" t="s">
        <v>48</v>
      </c>
      <c r="U1864">
        <v>43</v>
      </c>
      <c r="V1864">
        <v>29.225000000000001</v>
      </c>
    </row>
    <row r="1865" spans="1:22" x14ac:dyDescent="0.35">
      <c r="A1865" s="3">
        <v>44418</v>
      </c>
      <c r="B1865" t="s">
        <v>37</v>
      </c>
      <c r="C1865">
        <v>0</v>
      </c>
      <c r="D1865">
        <v>0</v>
      </c>
      <c r="E1865">
        <v>0</v>
      </c>
      <c r="F1865">
        <v>0</v>
      </c>
      <c r="G1865">
        <v>20.345600000000001</v>
      </c>
      <c r="H1865">
        <v>0</v>
      </c>
      <c r="I1865">
        <v>0</v>
      </c>
      <c r="J1865">
        <v>0</v>
      </c>
      <c r="K1865">
        <v>0</v>
      </c>
      <c r="L1865">
        <v>25</v>
      </c>
      <c r="M1865">
        <v>36</v>
      </c>
      <c r="N1865" t="s">
        <v>37</v>
      </c>
      <c r="O1865" s="3">
        <v>44454</v>
      </c>
      <c r="P1865">
        <v>-1</v>
      </c>
      <c r="T1865" t="s">
        <v>47</v>
      </c>
      <c r="U1865">
        <v>63</v>
      </c>
      <c r="V1865">
        <v>28.574999999999999</v>
      </c>
    </row>
    <row r="1866" spans="1:22" x14ac:dyDescent="0.35">
      <c r="A1866" s="3">
        <v>44418</v>
      </c>
      <c r="B1866" t="s">
        <v>32</v>
      </c>
      <c r="C1866">
        <v>0</v>
      </c>
      <c r="D1866">
        <v>0</v>
      </c>
      <c r="E1866">
        <v>0</v>
      </c>
      <c r="F1866">
        <v>0</v>
      </c>
      <c r="G1866">
        <v>24.0212</v>
      </c>
      <c r="H1866">
        <v>0</v>
      </c>
      <c r="I1866">
        <v>0</v>
      </c>
      <c r="J1866">
        <v>0</v>
      </c>
      <c r="K1866">
        <v>0</v>
      </c>
      <c r="L1866">
        <v>132</v>
      </c>
      <c r="M1866">
        <v>190</v>
      </c>
      <c r="N1866" t="s">
        <v>32</v>
      </c>
      <c r="O1866" s="3">
        <v>44608</v>
      </c>
      <c r="P1866">
        <v>-1</v>
      </c>
      <c r="T1866" t="s">
        <v>46</v>
      </c>
      <c r="U1866">
        <v>82</v>
      </c>
      <c r="V1866">
        <v>27.824999999999999</v>
      </c>
    </row>
    <row r="1867" spans="1:22" x14ac:dyDescent="0.35">
      <c r="A1867" s="3">
        <v>44418</v>
      </c>
      <c r="B1867" t="s">
        <v>30</v>
      </c>
      <c r="C1867">
        <v>0</v>
      </c>
      <c r="D1867">
        <v>0</v>
      </c>
      <c r="E1867">
        <v>0</v>
      </c>
      <c r="F1867">
        <v>0</v>
      </c>
      <c r="G1867">
        <v>25</v>
      </c>
      <c r="H1867">
        <v>0</v>
      </c>
      <c r="I1867">
        <v>0</v>
      </c>
      <c r="J1867">
        <v>0</v>
      </c>
      <c r="K1867">
        <v>0</v>
      </c>
      <c r="L1867">
        <v>176</v>
      </c>
      <c r="M1867">
        <v>253</v>
      </c>
      <c r="N1867" t="s">
        <v>30</v>
      </c>
      <c r="O1867" s="3">
        <v>44671</v>
      </c>
      <c r="P1867">
        <v>-1</v>
      </c>
      <c r="S1867" s="3">
        <v>44064</v>
      </c>
      <c r="T1867" t="s">
        <v>45</v>
      </c>
      <c r="U1867">
        <v>103</v>
      </c>
      <c r="V1867">
        <v>28.524999999999999</v>
      </c>
    </row>
    <row r="1868" spans="1:22" x14ac:dyDescent="0.35">
      <c r="A1868" s="3">
        <v>44418</v>
      </c>
      <c r="B1868" t="s">
        <v>36</v>
      </c>
      <c r="C1868">
        <v>0</v>
      </c>
      <c r="D1868">
        <v>0</v>
      </c>
      <c r="E1868">
        <v>0</v>
      </c>
      <c r="F1868">
        <v>0</v>
      </c>
      <c r="G1868">
        <v>21.669</v>
      </c>
      <c r="H1868">
        <v>0</v>
      </c>
      <c r="I1868">
        <v>0</v>
      </c>
      <c r="J1868">
        <v>0</v>
      </c>
      <c r="K1868">
        <v>0</v>
      </c>
      <c r="L1868">
        <v>50</v>
      </c>
      <c r="M1868">
        <v>71</v>
      </c>
      <c r="N1868" t="s">
        <v>36</v>
      </c>
      <c r="O1868" s="3">
        <v>44489</v>
      </c>
      <c r="P1868">
        <v>-1</v>
      </c>
      <c r="T1868" t="s">
        <v>44</v>
      </c>
      <c r="U1868">
        <v>122</v>
      </c>
      <c r="V1868">
        <v>28.7</v>
      </c>
    </row>
    <row r="1869" spans="1:22" x14ac:dyDescent="0.35">
      <c r="A1869" s="3">
        <v>44418</v>
      </c>
      <c r="B1869" t="s">
        <v>33</v>
      </c>
      <c r="C1869">
        <v>0</v>
      </c>
      <c r="D1869">
        <v>0</v>
      </c>
      <c r="E1869">
        <v>0</v>
      </c>
      <c r="F1869">
        <v>0</v>
      </c>
      <c r="G1869">
        <v>23.65</v>
      </c>
      <c r="H1869">
        <v>0</v>
      </c>
      <c r="I1869">
        <v>0</v>
      </c>
      <c r="J1869">
        <v>0</v>
      </c>
      <c r="K1869">
        <v>0</v>
      </c>
      <c r="L1869">
        <v>112</v>
      </c>
      <c r="M1869">
        <v>162</v>
      </c>
      <c r="N1869" t="s">
        <v>33</v>
      </c>
      <c r="O1869" s="3">
        <v>44580</v>
      </c>
      <c r="P1869">
        <v>-1</v>
      </c>
      <c r="T1869" t="s">
        <v>43</v>
      </c>
      <c r="U1869">
        <v>142</v>
      </c>
      <c r="V1869">
        <v>28.375</v>
      </c>
    </row>
    <row r="1870" spans="1:22" x14ac:dyDescent="0.35">
      <c r="A1870" s="3">
        <v>44417</v>
      </c>
      <c r="B1870" t="s">
        <v>32</v>
      </c>
      <c r="C1870">
        <v>0</v>
      </c>
      <c r="D1870">
        <v>0</v>
      </c>
      <c r="E1870">
        <v>0</v>
      </c>
      <c r="F1870">
        <v>0</v>
      </c>
      <c r="G1870">
        <v>24.1083</v>
      </c>
      <c r="H1870">
        <v>0</v>
      </c>
      <c r="I1870">
        <v>0</v>
      </c>
      <c r="J1870">
        <v>0</v>
      </c>
      <c r="K1870">
        <v>0</v>
      </c>
      <c r="L1870">
        <v>133</v>
      </c>
      <c r="M1870">
        <v>191</v>
      </c>
      <c r="N1870" t="s">
        <v>32</v>
      </c>
      <c r="O1870" s="3">
        <v>44608</v>
      </c>
      <c r="P1870">
        <v>-1</v>
      </c>
      <c r="T1870" t="s">
        <v>42</v>
      </c>
      <c r="U1870">
        <v>167</v>
      </c>
      <c r="V1870">
        <v>27.824999999999999</v>
      </c>
    </row>
    <row r="1871" spans="1:22" x14ac:dyDescent="0.35">
      <c r="A1871" s="3">
        <v>44417</v>
      </c>
      <c r="B1871" t="s">
        <v>30</v>
      </c>
      <c r="C1871">
        <v>0</v>
      </c>
      <c r="D1871">
        <v>0</v>
      </c>
      <c r="E1871">
        <v>0</v>
      </c>
      <c r="F1871">
        <v>0</v>
      </c>
      <c r="G1871">
        <v>24.425000000000001</v>
      </c>
      <c r="H1871">
        <v>0</v>
      </c>
      <c r="I1871">
        <v>0</v>
      </c>
      <c r="J1871">
        <v>0</v>
      </c>
      <c r="K1871">
        <v>0</v>
      </c>
      <c r="L1871">
        <v>177</v>
      </c>
      <c r="M1871">
        <v>254</v>
      </c>
      <c r="N1871" t="s">
        <v>30</v>
      </c>
      <c r="O1871" s="3">
        <v>44671</v>
      </c>
      <c r="P1871">
        <v>-1</v>
      </c>
      <c r="T1871" t="s">
        <v>49</v>
      </c>
      <c r="U1871">
        <v>17</v>
      </c>
      <c r="V1871">
        <v>25.925000000000001</v>
      </c>
    </row>
    <row r="1872" spans="1:22" x14ac:dyDescent="0.35">
      <c r="A1872" s="3">
        <v>44417</v>
      </c>
      <c r="B1872" t="s">
        <v>36</v>
      </c>
      <c r="C1872">
        <v>0</v>
      </c>
      <c r="D1872">
        <v>0</v>
      </c>
      <c r="E1872">
        <v>0</v>
      </c>
      <c r="F1872">
        <v>0</v>
      </c>
      <c r="G1872">
        <v>21.828600000000002</v>
      </c>
      <c r="H1872">
        <v>0</v>
      </c>
      <c r="I1872">
        <v>0</v>
      </c>
      <c r="J1872">
        <v>0</v>
      </c>
      <c r="K1872">
        <v>0</v>
      </c>
      <c r="L1872">
        <v>51</v>
      </c>
      <c r="M1872">
        <v>72</v>
      </c>
      <c r="N1872" t="s">
        <v>36</v>
      </c>
      <c r="O1872" s="3">
        <v>44489</v>
      </c>
      <c r="P1872">
        <v>-1</v>
      </c>
      <c r="T1872" t="s">
        <v>48</v>
      </c>
      <c r="U1872">
        <v>42</v>
      </c>
      <c r="V1872">
        <v>29.574999999999999</v>
      </c>
    </row>
    <row r="1873" spans="1:22" x14ac:dyDescent="0.35">
      <c r="A1873" s="3">
        <v>44417</v>
      </c>
      <c r="B1873" t="s">
        <v>33</v>
      </c>
      <c r="C1873">
        <v>0</v>
      </c>
      <c r="D1873">
        <v>0</v>
      </c>
      <c r="E1873">
        <v>0</v>
      </c>
      <c r="F1873">
        <v>0</v>
      </c>
      <c r="G1873">
        <v>23.749700000000001</v>
      </c>
      <c r="H1873">
        <v>0</v>
      </c>
      <c r="I1873">
        <v>0</v>
      </c>
      <c r="J1873">
        <v>0</v>
      </c>
      <c r="K1873">
        <v>0</v>
      </c>
      <c r="L1873">
        <v>113</v>
      </c>
      <c r="M1873">
        <v>163</v>
      </c>
      <c r="N1873" t="s">
        <v>33</v>
      </c>
      <c r="O1873" s="3">
        <v>44580</v>
      </c>
      <c r="P1873">
        <v>-1</v>
      </c>
      <c r="T1873" t="s">
        <v>47</v>
      </c>
      <c r="U1873">
        <v>62</v>
      </c>
      <c r="V1873">
        <v>28.875</v>
      </c>
    </row>
    <row r="1874" spans="1:22" x14ac:dyDescent="0.35">
      <c r="A1874" s="3">
        <v>44417</v>
      </c>
      <c r="B1874" t="s">
        <v>35</v>
      </c>
      <c r="C1874">
        <v>0</v>
      </c>
      <c r="D1874">
        <v>0</v>
      </c>
      <c r="E1874">
        <v>0</v>
      </c>
      <c r="F1874">
        <v>0</v>
      </c>
      <c r="G1874">
        <v>22.551300000000001</v>
      </c>
      <c r="H1874">
        <v>0</v>
      </c>
      <c r="I1874">
        <v>0</v>
      </c>
      <c r="J1874">
        <v>0</v>
      </c>
      <c r="K1874">
        <v>0</v>
      </c>
      <c r="L1874">
        <v>71</v>
      </c>
      <c r="M1874">
        <v>100</v>
      </c>
      <c r="N1874" t="s">
        <v>35</v>
      </c>
      <c r="O1874" s="3">
        <v>44517</v>
      </c>
      <c r="P1874">
        <v>-1</v>
      </c>
      <c r="T1874" t="s">
        <v>46</v>
      </c>
      <c r="U1874">
        <v>81</v>
      </c>
      <c r="V1874">
        <v>28.175000000000001</v>
      </c>
    </row>
    <row r="1875" spans="1:22" x14ac:dyDescent="0.35">
      <c r="A1875" s="3">
        <v>44417</v>
      </c>
      <c r="B1875" t="s">
        <v>38</v>
      </c>
      <c r="C1875">
        <v>0</v>
      </c>
      <c r="D1875">
        <v>0</v>
      </c>
      <c r="E1875">
        <v>0</v>
      </c>
      <c r="F1875">
        <v>0</v>
      </c>
      <c r="G1875">
        <v>18.423100000000002</v>
      </c>
      <c r="H1875">
        <v>0</v>
      </c>
      <c r="I1875">
        <v>0</v>
      </c>
      <c r="J1875">
        <v>0</v>
      </c>
      <c r="K1875">
        <v>0</v>
      </c>
      <c r="L1875">
        <v>7</v>
      </c>
      <c r="M1875">
        <v>9</v>
      </c>
      <c r="N1875" t="s">
        <v>38</v>
      </c>
      <c r="O1875" s="3">
        <v>44426</v>
      </c>
      <c r="P1875">
        <v>-1</v>
      </c>
      <c r="S1875" s="3">
        <v>44067</v>
      </c>
      <c r="T1875" t="s">
        <v>45</v>
      </c>
      <c r="U1875">
        <v>102</v>
      </c>
      <c r="V1875">
        <v>28.524999999999999</v>
      </c>
    </row>
    <row r="1876" spans="1:22" x14ac:dyDescent="0.35">
      <c r="A1876" s="3">
        <v>44417</v>
      </c>
      <c r="B1876" t="s">
        <v>34</v>
      </c>
      <c r="C1876">
        <v>0</v>
      </c>
      <c r="D1876">
        <v>0</v>
      </c>
      <c r="E1876">
        <v>0</v>
      </c>
      <c r="F1876">
        <v>0</v>
      </c>
      <c r="G1876">
        <v>22.883299999999998</v>
      </c>
      <c r="H1876">
        <v>0</v>
      </c>
      <c r="I1876">
        <v>0</v>
      </c>
      <c r="J1876">
        <v>0</v>
      </c>
      <c r="K1876">
        <v>0</v>
      </c>
      <c r="L1876">
        <v>95</v>
      </c>
      <c r="M1876">
        <v>135</v>
      </c>
      <c r="N1876" t="s">
        <v>34</v>
      </c>
      <c r="O1876" s="3">
        <v>44552</v>
      </c>
      <c r="P1876">
        <v>-1</v>
      </c>
      <c r="T1876" t="s">
        <v>44</v>
      </c>
      <c r="U1876">
        <v>121</v>
      </c>
      <c r="V1876">
        <v>28.65</v>
      </c>
    </row>
    <row r="1877" spans="1:22" x14ac:dyDescent="0.35">
      <c r="A1877" s="3">
        <v>44417</v>
      </c>
      <c r="B1877" t="s">
        <v>31</v>
      </c>
      <c r="C1877">
        <v>0</v>
      </c>
      <c r="D1877">
        <v>0</v>
      </c>
      <c r="E1877">
        <v>0</v>
      </c>
      <c r="F1877">
        <v>0</v>
      </c>
      <c r="G1877">
        <v>24.324999999999999</v>
      </c>
      <c r="H1877">
        <v>0</v>
      </c>
      <c r="I1877">
        <v>0</v>
      </c>
      <c r="J1877">
        <v>0</v>
      </c>
      <c r="K1877">
        <v>0</v>
      </c>
      <c r="L1877">
        <v>151</v>
      </c>
      <c r="M1877">
        <v>218</v>
      </c>
      <c r="N1877" t="s">
        <v>31</v>
      </c>
      <c r="O1877" s="3">
        <v>44635</v>
      </c>
      <c r="P1877">
        <v>-1</v>
      </c>
      <c r="T1877" t="s">
        <v>43</v>
      </c>
      <c r="U1877">
        <v>141</v>
      </c>
      <c r="V1877">
        <v>28.225000000000001</v>
      </c>
    </row>
    <row r="1878" spans="1:22" x14ac:dyDescent="0.35">
      <c r="A1878" s="3">
        <v>44417</v>
      </c>
      <c r="B1878" t="s">
        <v>37</v>
      </c>
      <c r="C1878">
        <v>0</v>
      </c>
      <c r="D1878">
        <v>0</v>
      </c>
      <c r="E1878">
        <v>0</v>
      </c>
      <c r="F1878">
        <v>0</v>
      </c>
      <c r="G1878">
        <v>20.686699999999998</v>
      </c>
      <c r="H1878">
        <v>0</v>
      </c>
      <c r="I1878">
        <v>0</v>
      </c>
      <c r="J1878">
        <v>0</v>
      </c>
      <c r="K1878">
        <v>0</v>
      </c>
      <c r="L1878">
        <v>26</v>
      </c>
      <c r="M1878">
        <v>37</v>
      </c>
      <c r="N1878" t="s">
        <v>37</v>
      </c>
      <c r="O1878" s="3">
        <v>44454</v>
      </c>
      <c r="P1878">
        <v>-1</v>
      </c>
      <c r="T1878" t="s">
        <v>42</v>
      </c>
      <c r="U1878">
        <v>166</v>
      </c>
      <c r="V1878">
        <v>27.95</v>
      </c>
    </row>
    <row r="1879" spans="1:22" x14ac:dyDescent="0.35">
      <c r="A1879" s="3">
        <v>44414</v>
      </c>
      <c r="B1879" t="s">
        <v>35</v>
      </c>
      <c r="C1879">
        <v>0</v>
      </c>
      <c r="D1879">
        <v>0</v>
      </c>
      <c r="E1879">
        <v>0</v>
      </c>
      <c r="F1879">
        <v>0</v>
      </c>
      <c r="G1879">
        <v>22.511900000000001</v>
      </c>
      <c r="H1879">
        <v>0</v>
      </c>
      <c r="I1879">
        <v>0</v>
      </c>
      <c r="J1879">
        <v>0</v>
      </c>
      <c r="K1879">
        <v>0</v>
      </c>
      <c r="L1879">
        <v>72</v>
      </c>
      <c r="M1879">
        <v>103</v>
      </c>
      <c r="N1879" t="s">
        <v>35</v>
      </c>
      <c r="O1879" s="3">
        <v>44517</v>
      </c>
      <c r="P1879">
        <v>-1</v>
      </c>
      <c r="T1879" t="s">
        <v>49</v>
      </c>
      <c r="U1879">
        <v>16</v>
      </c>
      <c r="V1879">
        <v>25.824999999999999</v>
      </c>
    </row>
    <row r="1880" spans="1:22" x14ac:dyDescent="0.35">
      <c r="A1880" s="3">
        <v>44414</v>
      </c>
      <c r="B1880" t="s">
        <v>38</v>
      </c>
      <c r="C1880">
        <v>0</v>
      </c>
      <c r="D1880">
        <v>0</v>
      </c>
      <c r="E1880">
        <v>0</v>
      </c>
      <c r="F1880">
        <v>0</v>
      </c>
      <c r="G1880">
        <v>18.702400000000001</v>
      </c>
      <c r="H1880">
        <v>0</v>
      </c>
      <c r="I1880">
        <v>0</v>
      </c>
      <c r="J1880">
        <v>0</v>
      </c>
      <c r="K1880">
        <v>0</v>
      </c>
      <c r="L1880">
        <v>8</v>
      </c>
      <c r="M1880">
        <v>12</v>
      </c>
      <c r="N1880" t="s">
        <v>38</v>
      </c>
      <c r="O1880" s="3">
        <v>44426</v>
      </c>
      <c r="P1880">
        <v>-1</v>
      </c>
      <c r="T1880" t="s">
        <v>48</v>
      </c>
      <c r="U1880">
        <v>41</v>
      </c>
      <c r="V1880">
        <v>29.574999999999999</v>
      </c>
    </row>
    <row r="1881" spans="1:22" x14ac:dyDescent="0.35">
      <c r="A1881" s="3">
        <v>44414</v>
      </c>
      <c r="B1881" t="s">
        <v>34</v>
      </c>
      <c r="C1881">
        <v>0</v>
      </c>
      <c r="D1881">
        <v>0</v>
      </c>
      <c r="E1881">
        <v>0</v>
      </c>
      <c r="F1881">
        <v>0</v>
      </c>
      <c r="G1881">
        <v>22.761099999999999</v>
      </c>
      <c r="H1881">
        <v>0</v>
      </c>
      <c r="I1881">
        <v>0</v>
      </c>
      <c r="J1881">
        <v>0</v>
      </c>
      <c r="K1881">
        <v>0</v>
      </c>
      <c r="L1881">
        <v>96</v>
      </c>
      <c r="M1881">
        <v>138</v>
      </c>
      <c r="N1881" t="s">
        <v>34</v>
      </c>
      <c r="O1881" s="3">
        <v>44552</v>
      </c>
      <c r="P1881">
        <v>-1</v>
      </c>
      <c r="T1881" t="s">
        <v>47</v>
      </c>
      <c r="U1881">
        <v>61</v>
      </c>
      <c r="V1881">
        <v>28.9</v>
      </c>
    </row>
    <row r="1882" spans="1:22" x14ac:dyDescent="0.35">
      <c r="A1882" s="3">
        <v>44414</v>
      </c>
      <c r="B1882" t="s">
        <v>31</v>
      </c>
      <c r="C1882">
        <v>0</v>
      </c>
      <c r="D1882">
        <v>0</v>
      </c>
      <c r="E1882">
        <v>0</v>
      </c>
      <c r="F1882">
        <v>0</v>
      </c>
      <c r="G1882">
        <v>24.225000000000001</v>
      </c>
      <c r="H1882">
        <v>0</v>
      </c>
      <c r="I1882">
        <v>0</v>
      </c>
      <c r="J1882">
        <v>0</v>
      </c>
      <c r="K1882">
        <v>0</v>
      </c>
      <c r="L1882">
        <v>152</v>
      </c>
      <c r="M1882">
        <v>221</v>
      </c>
      <c r="N1882" t="s">
        <v>31</v>
      </c>
      <c r="O1882" s="3">
        <v>44635</v>
      </c>
      <c r="P1882">
        <v>-1</v>
      </c>
      <c r="T1882" t="s">
        <v>46</v>
      </c>
      <c r="U1882">
        <v>80</v>
      </c>
      <c r="V1882">
        <v>28.2</v>
      </c>
    </row>
    <row r="1883" spans="1:22" x14ac:dyDescent="0.35">
      <c r="A1883" s="3">
        <v>44414</v>
      </c>
      <c r="B1883" t="s">
        <v>37</v>
      </c>
      <c r="C1883">
        <v>0</v>
      </c>
      <c r="D1883">
        <v>0</v>
      </c>
      <c r="E1883">
        <v>0</v>
      </c>
      <c r="F1883">
        <v>0</v>
      </c>
      <c r="G1883">
        <v>20.751000000000001</v>
      </c>
      <c r="H1883">
        <v>0</v>
      </c>
      <c r="I1883">
        <v>0</v>
      </c>
      <c r="J1883">
        <v>0</v>
      </c>
      <c r="K1883">
        <v>0</v>
      </c>
      <c r="L1883">
        <v>27</v>
      </c>
      <c r="M1883">
        <v>40</v>
      </c>
      <c r="N1883" t="s">
        <v>37</v>
      </c>
      <c r="O1883" s="3">
        <v>44454</v>
      </c>
      <c r="P1883">
        <v>-1</v>
      </c>
      <c r="S1883" s="3">
        <v>44068</v>
      </c>
      <c r="T1883" t="s">
        <v>45</v>
      </c>
      <c r="U1883">
        <v>101</v>
      </c>
      <c r="V1883">
        <v>28.375</v>
      </c>
    </row>
    <row r="1884" spans="1:22" x14ac:dyDescent="0.35">
      <c r="A1884" s="3">
        <v>44414</v>
      </c>
      <c r="B1884" t="s">
        <v>32</v>
      </c>
      <c r="C1884">
        <v>0</v>
      </c>
      <c r="D1884">
        <v>0</v>
      </c>
      <c r="E1884">
        <v>0</v>
      </c>
      <c r="F1884">
        <v>0</v>
      </c>
      <c r="G1884">
        <v>23.975000000000001</v>
      </c>
      <c r="H1884">
        <v>0</v>
      </c>
      <c r="I1884">
        <v>0</v>
      </c>
      <c r="J1884">
        <v>0</v>
      </c>
      <c r="K1884">
        <v>0</v>
      </c>
      <c r="L1884">
        <v>134</v>
      </c>
      <c r="M1884">
        <v>194</v>
      </c>
      <c r="N1884" t="s">
        <v>32</v>
      </c>
      <c r="O1884" s="3">
        <v>44608</v>
      </c>
      <c r="P1884">
        <v>-1</v>
      </c>
      <c r="T1884" t="s">
        <v>44</v>
      </c>
      <c r="U1884">
        <v>120</v>
      </c>
      <c r="V1884">
        <v>28.475000000000001</v>
      </c>
    </row>
    <row r="1885" spans="1:22" x14ac:dyDescent="0.35">
      <c r="A1885" s="3">
        <v>44414</v>
      </c>
      <c r="B1885" t="s">
        <v>30</v>
      </c>
      <c r="C1885">
        <v>0</v>
      </c>
      <c r="D1885">
        <v>0</v>
      </c>
      <c r="E1885">
        <v>0</v>
      </c>
      <c r="F1885">
        <v>0</v>
      </c>
      <c r="G1885">
        <v>24.175000000000001</v>
      </c>
      <c r="H1885">
        <v>0</v>
      </c>
      <c r="I1885">
        <v>0</v>
      </c>
      <c r="J1885">
        <v>0</v>
      </c>
      <c r="K1885">
        <v>0</v>
      </c>
      <c r="L1885">
        <v>178</v>
      </c>
      <c r="M1885">
        <v>257</v>
      </c>
      <c r="N1885" t="s">
        <v>30</v>
      </c>
      <c r="O1885" s="3">
        <v>44671</v>
      </c>
      <c r="P1885">
        <v>-1</v>
      </c>
      <c r="T1885" t="s">
        <v>43</v>
      </c>
      <c r="U1885">
        <v>140</v>
      </c>
      <c r="V1885">
        <v>28.074999999999999</v>
      </c>
    </row>
    <row r="1886" spans="1:22" x14ac:dyDescent="0.35">
      <c r="A1886" s="3">
        <v>44414</v>
      </c>
      <c r="B1886" t="s">
        <v>36</v>
      </c>
      <c r="C1886">
        <v>0</v>
      </c>
      <c r="D1886">
        <v>0</v>
      </c>
      <c r="E1886">
        <v>0</v>
      </c>
      <c r="F1886">
        <v>0</v>
      </c>
      <c r="G1886">
        <v>21.837399999999999</v>
      </c>
      <c r="H1886">
        <v>0</v>
      </c>
      <c r="I1886">
        <v>0</v>
      </c>
      <c r="J1886">
        <v>0</v>
      </c>
      <c r="K1886">
        <v>0</v>
      </c>
      <c r="L1886">
        <v>52</v>
      </c>
      <c r="M1886">
        <v>75</v>
      </c>
      <c r="N1886" t="s">
        <v>36</v>
      </c>
      <c r="O1886" s="3">
        <v>44489</v>
      </c>
      <c r="P1886">
        <v>-1</v>
      </c>
      <c r="T1886" t="s">
        <v>49</v>
      </c>
      <c r="U1886">
        <v>15</v>
      </c>
      <c r="V1886">
        <v>25.475000000000001</v>
      </c>
    </row>
    <row r="1887" spans="1:22" x14ac:dyDescent="0.35">
      <c r="A1887" s="3">
        <v>44414</v>
      </c>
      <c r="B1887" t="s">
        <v>33</v>
      </c>
      <c r="C1887">
        <v>0</v>
      </c>
      <c r="D1887">
        <v>0</v>
      </c>
      <c r="E1887">
        <v>0</v>
      </c>
      <c r="F1887">
        <v>0</v>
      </c>
      <c r="G1887">
        <v>23.65</v>
      </c>
      <c r="H1887">
        <v>0</v>
      </c>
      <c r="I1887">
        <v>0</v>
      </c>
      <c r="J1887">
        <v>0</v>
      </c>
      <c r="K1887">
        <v>0</v>
      </c>
      <c r="L1887">
        <v>114</v>
      </c>
      <c r="M1887">
        <v>166</v>
      </c>
      <c r="N1887" t="s">
        <v>33</v>
      </c>
      <c r="O1887" s="3">
        <v>44580</v>
      </c>
      <c r="P1887">
        <v>-1</v>
      </c>
      <c r="T1887" t="s">
        <v>48</v>
      </c>
      <c r="U1887">
        <v>40</v>
      </c>
      <c r="V1887">
        <v>29.475000000000001</v>
      </c>
    </row>
    <row r="1888" spans="1:22" x14ac:dyDescent="0.35">
      <c r="A1888" s="3">
        <v>44413</v>
      </c>
      <c r="B1888" t="s">
        <v>32</v>
      </c>
      <c r="C1888">
        <v>0</v>
      </c>
      <c r="D1888">
        <v>0</v>
      </c>
      <c r="E1888">
        <v>0</v>
      </c>
      <c r="F1888">
        <v>0</v>
      </c>
      <c r="G1888">
        <v>24.196200000000001</v>
      </c>
      <c r="H1888">
        <v>0</v>
      </c>
      <c r="I1888">
        <v>0</v>
      </c>
      <c r="J1888">
        <v>0</v>
      </c>
      <c r="K1888">
        <v>0</v>
      </c>
      <c r="L1888">
        <v>135</v>
      </c>
      <c r="M1888">
        <v>195</v>
      </c>
      <c r="N1888" t="s">
        <v>32</v>
      </c>
      <c r="O1888" s="3">
        <v>44608</v>
      </c>
      <c r="P1888">
        <v>-1</v>
      </c>
      <c r="T1888" t="s">
        <v>47</v>
      </c>
      <c r="U1888">
        <v>60</v>
      </c>
      <c r="V1888">
        <v>28.824999999999999</v>
      </c>
    </row>
    <row r="1889" spans="1:22" x14ac:dyDescent="0.35">
      <c r="A1889" s="3">
        <v>44413</v>
      </c>
      <c r="B1889" t="s">
        <v>30</v>
      </c>
      <c r="C1889">
        <v>0</v>
      </c>
      <c r="D1889">
        <v>0</v>
      </c>
      <c r="E1889">
        <v>0</v>
      </c>
      <c r="F1889">
        <v>0</v>
      </c>
      <c r="G1889">
        <v>24.375</v>
      </c>
      <c r="H1889">
        <v>0</v>
      </c>
      <c r="I1889">
        <v>0</v>
      </c>
      <c r="J1889">
        <v>0</v>
      </c>
      <c r="K1889">
        <v>0</v>
      </c>
      <c r="L1889">
        <v>179</v>
      </c>
      <c r="M1889">
        <v>258</v>
      </c>
      <c r="N1889" t="s">
        <v>30</v>
      </c>
      <c r="O1889" s="3">
        <v>44671</v>
      </c>
      <c r="P1889">
        <v>-1</v>
      </c>
      <c r="T1889" t="s">
        <v>46</v>
      </c>
      <c r="U1889">
        <v>79</v>
      </c>
      <c r="V1889">
        <v>28.074999999999999</v>
      </c>
    </row>
    <row r="1890" spans="1:22" x14ac:dyDescent="0.35">
      <c r="A1890" s="3">
        <v>44413</v>
      </c>
      <c r="B1890" t="s">
        <v>36</v>
      </c>
      <c r="C1890">
        <v>0</v>
      </c>
      <c r="D1890">
        <v>0</v>
      </c>
      <c r="E1890">
        <v>0</v>
      </c>
      <c r="F1890">
        <v>0</v>
      </c>
      <c r="G1890">
        <v>22.333300000000001</v>
      </c>
      <c r="H1890">
        <v>0</v>
      </c>
      <c r="I1890">
        <v>0</v>
      </c>
      <c r="J1890">
        <v>0</v>
      </c>
      <c r="K1890">
        <v>0</v>
      </c>
      <c r="L1890">
        <v>53</v>
      </c>
      <c r="M1890">
        <v>76</v>
      </c>
      <c r="N1890" t="s">
        <v>36</v>
      </c>
      <c r="O1890" s="3">
        <v>44489</v>
      </c>
      <c r="P1890">
        <v>-1</v>
      </c>
      <c r="S1890" s="3">
        <v>44069</v>
      </c>
      <c r="T1890" t="s">
        <v>45</v>
      </c>
      <c r="U1890">
        <v>100</v>
      </c>
      <c r="V1890">
        <v>28.65</v>
      </c>
    </row>
    <row r="1891" spans="1:22" x14ac:dyDescent="0.35">
      <c r="A1891" s="3">
        <v>44413</v>
      </c>
      <c r="B1891" t="s">
        <v>33</v>
      </c>
      <c r="C1891">
        <v>0</v>
      </c>
      <c r="D1891">
        <v>0</v>
      </c>
      <c r="E1891">
        <v>0</v>
      </c>
      <c r="F1891">
        <v>0</v>
      </c>
      <c r="G1891">
        <v>23.85</v>
      </c>
      <c r="H1891">
        <v>0</v>
      </c>
      <c r="I1891">
        <v>0</v>
      </c>
      <c r="J1891">
        <v>0</v>
      </c>
      <c r="K1891">
        <v>0</v>
      </c>
      <c r="L1891">
        <v>115</v>
      </c>
      <c r="M1891">
        <v>167</v>
      </c>
      <c r="N1891" t="s">
        <v>33</v>
      </c>
      <c r="O1891" s="3">
        <v>44580</v>
      </c>
      <c r="P1891">
        <v>-1</v>
      </c>
      <c r="T1891" t="s">
        <v>44</v>
      </c>
      <c r="U1891">
        <v>119</v>
      </c>
      <c r="V1891">
        <v>28.625</v>
      </c>
    </row>
    <row r="1892" spans="1:22" x14ac:dyDescent="0.35">
      <c r="A1892" s="3">
        <v>44413</v>
      </c>
      <c r="B1892" t="s">
        <v>35</v>
      </c>
      <c r="C1892">
        <v>0</v>
      </c>
      <c r="D1892">
        <v>0</v>
      </c>
      <c r="E1892">
        <v>0</v>
      </c>
      <c r="F1892">
        <v>0</v>
      </c>
      <c r="G1892">
        <v>22.9</v>
      </c>
      <c r="H1892">
        <v>0</v>
      </c>
      <c r="I1892">
        <v>0</v>
      </c>
      <c r="J1892">
        <v>0</v>
      </c>
      <c r="K1892">
        <v>0</v>
      </c>
      <c r="L1892">
        <v>73</v>
      </c>
      <c r="M1892">
        <v>104</v>
      </c>
      <c r="N1892" t="s">
        <v>35</v>
      </c>
      <c r="O1892" s="3">
        <v>44517</v>
      </c>
      <c r="P1892">
        <v>-1</v>
      </c>
      <c r="T1892" t="s">
        <v>43</v>
      </c>
      <c r="U1892">
        <v>139</v>
      </c>
      <c r="V1892">
        <v>28.074999999999999</v>
      </c>
    </row>
    <row r="1893" spans="1:22" x14ac:dyDescent="0.35">
      <c r="A1893" s="3">
        <v>44413</v>
      </c>
      <c r="B1893" t="s">
        <v>38</v>
      </c>
      <c r="C1893">
        <v>0</v>
      </c>
      <c r="D1893">
        <v>0</v>
      </c>
      <c r="E1893">
        <v>0</v>
      </c>
      <c r="F1893">
        <v>0</v>
      </c>
      <c r="G1893">
        <v>19.312899999999999</v>
      </c>
      <c r="H1893">
        <v>0</v>
      </c>
      <c r="I1893">
        <v>0</v>
      </c>
      <c r="J1893">
        <v>0</v>
      </c>
      <c r="K1893">
        <v>0</v>
      </c>
      <c r="L1893">
        <v>9</v>
      </c>
      <c r="M1893">
        <v>13</v>
      </c>
      <c r="N1893" t="s">
        <v>38</v>
      </c>
      <c r="O1893" s="3">
        <v>44426</v>
      </c>
      <c r="P1893">
        <v>-1</v>
      </c>
      <c r="T1893" t="s">
        <v>42</v>
      </c>
      <c r="U1893">
        <v>164</v>
      </c>
      <c r="V1893">
        <v>27.725000000000001</v>
      </c>
    </row>
    <row r="1894" spans="1:22" x14ac:dyDescent="0.35">
      <c r="A1894" s="3">
        <v>44413</v>
      </c>
      <c r="B1894" t="s">
        <v>34</v>
      </c>
      <c r="C1894">
        <v>0</v>
      </c>
      <c r="D1894">
        <v>0</v>
      </c>
      <c r="E1894">
        <v>0</v>
      </c>
      <c r="F1894">
        <v>0</v>
      </c>
      <c r="G1894">
        <v>22.999500000000001</v>
      </c>
      <c r="H1894">
        <v>0</v>
      </c>
      <c r="I1894">
        <v>0</v>
      </c>
      <c r="J1894">
        <v>0</v>
      </c>
      <c r="K1894">
        <v>0</v>
      </c>
      <c r="L1894">
        <v>97</v>
      </c>
      <c r="M1894">
        <v>139</v>
      </c>
      <c r="N1894" t="s">
        <v>34</v>
      </c>
      <c r="O1894" s="3">
        <v>44552</v>
      </c>
      <c r="P1894">
        <v>-1</v>
      </c>
      <c r="T1894" t="s">
        <v>41</v>
      </c>
      <c r="U1894">
        <v>184</v>
      </c>
      <c r="V1894">
        <v>27.2</v>
      </c>
    </row>
    <row r="1895" spans="1:22" x14ac:dyDescent="0.35">
      <c r="A1895" s="3">
        <v>44413</v>
      </c>
      <c r="B1895" t="s">
        <v>31</v>
      </c>
      <c r="C1895">
        <v>0</v>
      </c>
      <c r="D1895">
        <v>0</v>
      </c>
      <c r="E1895">
        <v>0</v>
      </c>
      <c r="F1895">
        <v>0</v>
      </c>
      <c r="G1895">
        <v>24.375</v>
      </c>
      <c r="H1895">
        <v>0</v>
      </c>
      <c r="I1895">
        <v>0</v>
      </c>
      <c r="J1895">
        <v>0</v>
      </c>
      <c r="K1895">
        <v>0</v>
      </c>
      <c r="L1895">
        <v>153</v>
      </c>
      <c r="M1895">
        <v>222</v>
      </c>
      <c r="N1895" t="s">
        <v>31</v>
      </c>
      <c r="O1895" s="3">
        <v>44635</v>
      </c>
      <c r="P1895">
        <v>-1</v>
      </c>
      <c r="T1895" t="s">
        <v>49</v>
      </c>
      <c r="U1895">
        <v>14</v>
      </c>
      <c r="V1895">
        <v>26.074999999999999</v>
      </c>
    </row>
    <row r="1896" spans="1:22" x14ac:dyDescent="0.35">
      <c r="A1896" s="3">
        <v>44413</v>
      </c>
      <c r="B1896" t="s">
        <v>37</v>
      </c>
      <c r="C1896">
        <v>0</v>
      </c>
      <c r="D1896">
        <v>0</v>
      </c>
      <c r="E1896">
        <v>0</v>
      </c>
      <c r="F1896">
        <v>0</v>
      </c>
      <c r="G1896">
        <v>21.289200000000001</v>
      </c>
      <c r="H1896">
        <v>0</v>
      </c>
      <c r="I1896">
        <v>0</v>
      </c>
      <c r="J1896">
        <v>0</v>
      </c>
      <c r="K1896">
        <v>0</v>
      </c>
      <c r="L1896">
        <v>28</v>
      </c>
      <c r="M1896">
        <v>41</v>
      </c>
      <c r="N1896" t="s">
        <v>37</v>
      </c>
      <c r="O1896" s="3">
        <v>44454</v>
      </c>
      <c r="P1896">
        <v>-1</v>
      </c>
      <c r="T1896" t="s">
        <v>48</v>
      </c>
      <c r="U1896">
        <v>39</v>
      </c>
      <c r="V1896">
        <v>30.375</v>
      </c>
    </row>
    <row r="1897" spans="1:22" x14ac:dyDescent="0.35">
      <c r="A1897" s="3">
        <v>44412</v>
      </c>
      <c r="B1897" t="s">
        <v>35</v>
      </c>
      <c r="C1897">
        <v>0</v>
      </c>
      <c r="D1897">
        <v>0</v>
      </c>
      <c r="E1897">
        <v>0</v>
      </c>
      <c r="F1897">
        <v>0</v>
      </c>
      <c r="G1897">
        <v>23.1982</v>
      </c>
      <c r="H1897">
        <v>0</v>
      </c>
      <c r="I1897">
        <v>0</v>
      </c>
      <c r="J1897">
        <v>0</v>
      </c>
      <c r="K1897">
        <v>0</v>
      </c>
      <c r="L1897">
        <v>74</v>
      </c>
      <c r="M1897">
        <v>105</v>
      </c>
      <c r="N1897" t="s">
        <v>35</v>
      </c>
      <c r="O1897" s="3">
        <v>44517</v>
      </c>
      <c r="P1897">
        <v>-1</v>
      </c>
      <c r="T1897" t="s">
        <v>47</v>
      </c>
      <c r="U1897">
        <v>59</v>
      </c>
      <c r="V1897">
        <v>29.625</v>
      </c>
    </row>
    <row r="1898" spans="1:22" x14ac:dyDescent="0.35">
      <c r="A1898" s="3">
        <v>44412</v>
      </c>
      <c r="B1898" t="s">
        <v>38</v>
      </c>
      <c r="C1898">
        <v>0</v>
      </c>
      <c r="D1898">
        <v>0</v>
      </c>
      <c r="E1898">
        <v>0</v>
      </c>
      <c r="F1898">
        <v>0</v>
      </c>
      <c r="G1898">
        <v>19.849399999999999</v>
      </c>
      <c r="H1898">
        <v>0</v>
      </c>
      <c r="I1898">
        <v>0</v>
      </c>
      <c r="J1898">
        <v>0</v>
      </c>
      <c r="K1898">
        <v>0</v>
      </c>
      <c r="L1898">
        <v>10</v>
      </c>
      <c r="M1898">
        <v>14</v>
      </c>
      <c r="N1898" t="s">
        <v>38</v>
      </c>
      <c r="O1898" s="3">
        <v>44426</v>
      </c>
      <c r="P1898">
        <v>-1</v>
      </c>
      <c r="T1898" t="s">
        <v>46</v>
      </c>
      <c r="U1898">
        <v>78</v>
      </c>
      <c r="V1898">
        <v>28.524999999999999</v>
      </c>
    </row>
    <row r="1899" spans="1:22" x14ac:dyDescent="0.35">
      <c r="A1899" s="3">
        <v>44412</v>
      </c>
      <c r="B1899" t="s">
        <v>34</v>
      </c>
      <c r="C1899">
        <v>0</v>
      </c>
      <c r="D1899">
        <v>0</v>
      </c>
      <c r="E1899">
        <v>0</v>
      </c>
      <c r="F1899">
        <v>0</v>
      </c>
      <c r="G1899">
        <v>23.296800000000001</v>
      </c>
      <c r="H1899">
        <v>0</v>
      </c>
      <c r="I1899">
        <v>0</v>
      </c>
      <c r="J1899">
        <v>0</v>
      </c>
      <c r="K1899">
        <v>0</v>
      </c>
      <c r="L1899">
        <v>98</v>
      </c>
      <c r="M1899">
        <v>140</v>
      </c>
      <c r="N1899" t="s">
        <v>34</v>
      </c>
      <c r="O1899" s="3">
        <v>44552</v>
      </c>
      <c r="P1899">
        <v>-1</v>
      </c>
      <c r="S1899" s="3">
        <v>44070</v>
      </c>
      <c r="T1899" t="s">
        <v>45</v>
      </c>
      <c r="U1899">
        <v>99</v>
      </c>
      <c r="V1899">
        <v>28.675000000000001</v>
      </c>
    </row>
    <row r="1900" spans="1:22" x14ac:dyDescent="0.35">
      <c r="A1900" s="3">
        <v>44412</v>
      </c>
      <c r="B1900" t="s">
        <v>31</v>
      </c>
      <c r="C1900">
        <v>0</v>
      </c>
      <c r="D1900">
        <v>0</v>
      </c>
      <c r="E1900">
        <v>0</v>
      </c>
      <c r="F1900">
        <v>0</v>
      </c>
      <c r="G1900">
        <v>24.675000000000001</v>
      </c>
      <c r="H1900">
        <v>0</v>
      </c>
      <c r="I1900">
        <v>0</v>
      </c>
      <c r="J1900">
        <v>0</v>
      </c>
      <c r="K1900">
        <v>0</v>
      </c>
      <c r="L1900">
        <v>154</v>
      </c>
      <c r="M1900">
        <v>223</v>
      </c>
      <c r="N1900" t="s">
        <v>31</v>
      </c>
      <c r="O1900" s="3">
        <v>44635</v>
      </c>
      <c r="P1900">
        <v>-1</v>
      </c>
      <c r="T1900" t="s">
        <v>44</v>
      </c>
      <c r="U1900">
        <v>118</v>
      </c>
      <c r="V1900">
        <v>28.574999999999999</v>
      </c>
    </row>
    <row r="1901" spans="1:22" x14ac:dyDescent="0.35">
      <c r="A1901" s="3">
        <v>44412</v>
      </c>
      <c r="B1901" t="s">
        <v>37</v>
      </c>
      <c r="C1901">
        <v>0</v>
      </c>
      <c r="D1901">
        <v>0</v>
      </c>
      <c r="E1901">
        <v>0</v>
      </c>
      <c r="F1901">
        <v>0</v>
      </c>
      <c r="G1901">
        <v>21.7559</v>
      </c>
      <c r="H1901">
        <v>0</v>
      </c>
      <c r="I1901">
        <v>0</v>
      </c>
      <c r="J1901">
        <v>0</v>
      </c>
      <c r="K1901">
        <v>0</v>
      </c>
      <c r="L1901">
        <v>29</v>
      </c>
      <c r="M1901">
        <v>42</v>
      </c>
      <c r="N1901" t="s">
        <v>37</v>
      </c>
      <c r="O1901" s="3">
        <v>44454</v>
      </c>
      <c r="P1901">
        <v>-1</v>
      </c>
      <c r="T1901" t="s">
        <v>43</v>
      </c>
      <c r="U1901">
        <v>138</v>
      </c>
      <c r="V1901">
        <v>27.9</v>
      </c>
    </row>
    <row r="1902" spans="1:22" x14ac:dyDescent="0.35">
      <c r="A1902" s="3">
        <v>44412</v>
      </c>
      <c r="B1902" t="s">
        <v>32</v>
      </c>
      <c r="C1902">
        <v>0</v>
      </c>
      <c r="D1902">
        <v>0</v>
      </c>
      <c r="E1902">
        <v>0</v>
      </c>
      <c r="F1902">
        <v>0</v>
      </c>
      <c r="G1902">
        <v>24.504200000000001</v>
      </c>
      <c r="H1902">
        <v>0</v>
      </c>
      <c r="I1902">
        <v>0</v>
      </c>
      <c r="J1902">
        <v>0</v>
      </c>
      <c r="K1902">
        <v>0</v>
      </c>
      <c r="L1902">
        <v>136</v>
      </c>
      <c r="M1902">
        <v>196</v>
      </c>
      <c r="N1902" t="s">
        <v>32</v>
      </c>
      <c r="O1902" s="3">
        <v>44608</v>
      </c>
      <c r="P1902">
        <v>-1</v>
      </c>
      <c r="T1902" t="s">
        <v>42</v>
      </c>
      <c r="U1902">
        <v>163</v>
      </c>
      <c r="V1902">
        <v>27.8</v>
      </c>
    </row>
    <row r="1903" spans="1:22" x14ac:dyDescent="0.35">
      <c r="A1903" s="3">
        <v>44412</v>
      </c>
      <c r="B1903" t="s">
        <v>30</v>
      </c>
      <c r="C1903">
        <v>0</v>
      </c>
      <c r="D1903">
        <v>0</v>
      </c>
      <c r="E1903">
        <v>0</v>
      </c>
      <c r="F1903">
        <v>0</v>
      </c>
      <c r="G1903">
        <v>25.1</v>
      </c>
      <c r="H1903">
        <v>0</v>
      </c>
      <c r="I1903">
        <v>0</v>
      </c>
      <c r="J1903">
        <v>0</v>
      </c>
      <c r="K1903">
        <v>0</v>
      </c>
      <c r="L1903">
        <v>180</v>
      </c>
      <c r="M1903">
        <v>259</v>
      </c>
      <c r="N1903" t="s">
        <v>30</v>
      </c>
      <c r="O1903" s="3">
        <v>44671</v>
      </c>
      <c r="P1903">
        <v>-1</v>
      </c>
      <c r="T1903" t="s">
        <v>49</v>
      </c>
      <c r="U1903">
        <v>13</v>
      </c>
      <c r="V1903">
        <v>27.024999999999999</v>
      </c>
    </row>
    <row r="1904" spans="1:22" x14ac:dyDescent="0.35">
      <c r="A1904" s="3">
        <v>44412</v>
      </c>
      <c r="B1904" t="s">
        <v>36</v>
      </c>
      <c r="C1904">
        <v>0</v>
      </c>
      <c r="D1904">
        <v>0</v>
      </c>
      <c r="E1904">
        <v>0</v>
      </c>
      <c r="F1904">
        <v>0</v>
      </c>
      <c r="G1904">
        <v>22.7944</v>
      </c>
      <c r="H1904">
        <v>0</v>
      </c>
      <c r="I1904">
        <v>0</v>
      </c>
      <c r="J1904">
        <v>0</v>
      </c>
      <c r="K1904">
        <v>0</v>
      </c>
      <c r="L1904">
        <v>54</v>
      </c>
      <c r="M1904">
        <v>77</v>
      </c>
      <c r="N1904" t="s">
        <v>36</v>
      </c>
      <c r="O1904" s="3">
        <v>44489</v>
      </c>
      <c r="P1904">
        <v>-1</v>
      </c>
      <c r="T1904" t="s">
        <v>48</v>
      </c>
      <c r="U1904">
        <v>38</v>
      </c>
      <c r="V1904">
        <v>31.324999999999999</v>
      </c>
    </row>
    <row r="1905" spans="1:22" x14ac:dyDescent="0.35">
      <c r="A1905" s="3">
        <v>44412</v>
      </c>
      <c r="B1905" t="s">
        <v>33</v>
      </c>
      <c r="C1905">
        <v>0</v>
      </c>
      <c r="D1905">
        <v>0</v>
      </c>
      <c r="E1905">
        <v>0</v>
      </c>
      <c r="F1905">
        <v>0</v>
      </c>
      <c r="G1905">
        <v>24.152100000000001</v>
      </c>
      <c r="H1905">
        <v>0</v>
      </c>
      <c r="I1905">
        <v>0</v>
      </c>
      <c r="J1905">
        <v>0</v>
      </c>
      <c r="K1905">
        <v>0</v>
      </c>
      <c r="L1905">
        <v>116</v>
      </c>
      <c r="M1905">
        <v>168</v>
      </c>
      <c r="N1905" t="s">
        <v>33</v>
      </c>
      <c r="O1905" s="3">
        <v>44580</v>
      </c>
      <c r="P1905">
        <v>-1</v>
      </c>
      <c r="T1905" t="s">
        <v>47</v>
      </c>
      <c r="U1905">
        <v>58</v>
      </c>
      <c r="V1905">
        <v>30.225000000000001</v>
      </c>
    </row>
    <row r="1906" spans="1:22" x14ac:dyDescent="0.35">
      <c r="A1906" s="3">
        <v>44411</v>
      </c>
      <c r="B1906" t="s">
        <v>32</v>
      </c>
      <c r="C1906">
        <v>0</v>
      </c>
      <c r="D1906">
        <v>0</v>
      </c>
      <c r="E1906">
        <v>0</v>
      </c>
      <c r="F1906">
        <v>0</v>
      </c>
      <c r="G1906">
        <v>24.5</v>
      </c>
      <c r="H1906">
        <v>0</v>
      </c>
      <c r="I1906">
        <v>0</v>
      </c>
      <c r="J1906">
        <v>0</v>
      </c>
      <c r="K1906">
        <v>0</v>
      </c>
      <c r="L1906">
        <v>137</v>
      </c>
      <c r="M1906">
        <v>197</v>
      </c>
      <c r="N1906" t="s">
        <v>32</v>
      </c>
      <c r="O1906" s="3">
        <v>44608</v>
      </c>
      <c r="P1906">
        <v>-1</v>
      </c>
      <c r="T1906" t="s">
        <v>46</v>
      </c>
      <c r="U1906">
        <v>77</v>
      </c>
      <c r="V1906">
        <v>28.824999999999999</v>
      </c>
    </row>
    <row r="1907" spans="1:22" x14ac:dyDescent="0.35">
      <c r="A1907" s="3">
        <v>44411</v>
      </c>
      <c r="B1907" t="s">
        <v>30</v>
      </c>
      <c r="C1907">
        <v>0</v>
      </c>
      <c r="D1907">
        <v>0</v>
      </c>
      <c r="E1907">
        <v>0</v>
      </c>
      <c r="F1907">
        <v>0</v>
      </c>
      <c r="G1907">
        <v>25.125</v>
      </c>
      <c r="H1907">
        <v>0</v>
      </c>
      <c r="I1907">
        <v>0</v>
      </c>
      <c r="J1907">
        <v>0</v>
      </c>
      <c r="K1907">
        <v>0</v>
      </c>
      <c r="L1907">
        <v>181</v>
      </c>
      <c r="M1907">
        <v>260</v>
      </c>
      <c r="N1907" t="s">
        <v>30</v>
      </c>
      <c r="O1907" s="3">
        <v>44671</v>
      </c>
      <c r="P1907">
        <v>-1</v>
      </c>
      <c r="S1907" s="3">
        <v>44071</v>
      </c>
      <c r="T1907" t="s">
        <v>45</v>
      </c>
      <c r="U1907">
        <v>98</v>
      </c>
      <c r="V1907">
        <v>28.725000000000001</v>
      </c>
    </row>
    <row r="1908" spans="1:22" x14ac:dyDescent="0.35">
      <c r="A1908" s="3">
        <v>44411</v>
      </c>
      <c r="B1908" t="s">
        <v>36</v>
      </c>
      <c r="C1908">
        <v>0</v>
      </c>
      <c r="D1908">
        <v>0</v>
      </c>
      <c r="E1908">
        <v>0</v>
      </c>
      <c r="F1908">
        <v>0</v>
      </c>
      <c r="G1908">
        <v>22.828099999999999</v>
      </c>
      <c r="H1908">
        <v>0</v>
      </c>
      <c r="I1908">
        <v>0</v>
      </c>
      <c r="J1908">
        <v>0</v>
      </c>
      <c r="K1908">
        <v>0</v>
      </c>
      <c r="L1908">
        <v>55</v>
      </c>
      <c r="M1908">
        <v>78</v>
      </c>
      <c r="N1908" t="s">
        <v>36</v>
      </c>
      <c r="O1908" s="3">
        <v>44489</v>
      </c>
      <c r="P1908">
        <v>-1</v>
      </c>
      <c r="T1908" t="s">
        <v>44</v>
      </c>
      <c r="U1908">
        <v>117</v>
      </c>
      <c r="V1908">
        <v>28.675000000000001</v>
      </c>
    </row>
    <row r="1909" spans="1:22" x14ac:dyDescent="0.35">
      <c r="A1909" s="3">
        <v>44411</v>
      </c>
      <c r="B1909" t="s">
        <v>33</v>
      </c>
      <c r="C1909">
        <v>0</v>
      </c>
      <c r="D1909">
        <v>0</v>
      </c>
      <c r="E1909">
        <v>0</v>
      </c>
      <c r="F1909">
        <v>0</v>
      </c>
      <c r="G1909">
        <v>24.15</v>
      </c>
      <c r="H1909">
        <v>0</v>
      </c>
      <c r="I1909">
        <v>0</v>
      </c>
      <c r="J1909">
        <v>0</v>
      </c>
      <c r="K1909">
        <v>0</v>
      </c>
      <c r="L1909">
        <v>117</v>
      </c>
      <c r="M1909">
        <v>169</v>
      </c>
      <c r="N1909" t="s">
        <v>33</v>
      </c>
      <c r="O1909" s="3">
        <v>44580</v>
      </c>
      <c r="P1909">
        <v>-1</v>
      </c>
      <c r="T1909" t="s">
        <v>43</v>
      </c>
      <c r="U1909">
        <v>137</v>
      </c>
      <c r="V1909">
        <v>27.875</v>
      </c>
    </row>
    <row r="1910" spans="1:22" x14ac:dyDescent="0.35">
      <c r="A1910" s="3">
        <v>44411</v>
      </c>
      <c r="B1910" t="s">
        <v>35</v>
      </c>
      <c r="C1910">
        <v>0</v>
      </c>
      <c r="D1910">
        <v>0</v>
      </c>
      <c r="E1910">
        <v>0</v>
      </c>
      <c r="F1910">
        <v>0</v>
      </c>
      <c r="G1910">
        <v>23.179300000000001</v>
      </c>
      <c r="H1910">
        <v>0</v>
      </c>
      <c r="I1910">
        <v>0</v>
      </c>
      <c r="J1910">
        <v>0</v>
      </c>
      <c r="K1910">
        <v>0</v>
      </c>
      <c r="L1910">
        <v>75</v>
      </c>
      <c r="M1910">
        <v>106</v>
      </c>
      <c r="N1910" t="s">
        <v>35</v>
      </c>
      <c r="O1910" s="3">
        <v>44517</v>
      </c>
      <c r="P1910">
        <v>-1</v>
      </c>
      <c r="T1910" t="s">
        <v>42</v>
      </c>
      <c r="U1910">
        <v>162</v>
      </c>
      <c r="V1910">
        <v>27.3</v>
      </c>
    </row>
    <row r="1911" spans="1:22" x14ac:dyDescent="0.35">
      <c r="A1911" s="3">
        <v>44411</v>
      </c>
      <c r="B1911" t="s">
        <v>38</v>
      </c>
      <c r="C1911">
        <v>0</v>
      </c>
      <c r="D1911">
        <v>0</v>
      </c>
      <c r="E1911">
        <v>0</v>
      </c>
      <c r="F1911">
        <v>0</v>
      </c>
      <c r="G1911">
        <v>19.852499999999999</v>
      </c>
      <c r="H1911">
        <v>0</v>
      </c>
      <c r="I1911">
        <v>0</v>
      </c>
      <c r="J1911">
        <v>0</v>
      </c>
      <c r="K1911">
        <v>0</v>
      </c>
      <c r="L1911">
        <v>11</v>
      </c>
      <c r="M1911">
        <v>15</v>
      </c>
      <c r="N1911" t="s">
        <v>38</v>
      </c>
      <c r="O1911" s="3">
        <v>44426</v>
      </c>
      <c r="P1911">
        <v>-1</v>
      </c>
      <c r="T1911" t="s">
        <v>41</v>
      </c>
      <c r="U1911">
        <v>182</v>
      </c>
      <c r="V1911">
        <v>26.824999999999999</v>
      </c>
    </row>
    <row r="1912" spans="1:22" x14ac:dyDescent="0.35">
      <c r="A1912" s="3">
        <v>44411</v>
      </c>
      <c r="B1912" t="s">
        <v>34</v>
      </c>
      <c r="C1912">
        <v>0</v>
      </c>
      <c r="D1912">
        <v>0</v>
      </c>
      <c r="E1912">
        <v>0</v>
      </c>
      <c r="F1912">
        <v>0</v>
      </c>
      <c r="G1912">
        <v>23.241</v>
      </c>
      <c r="H1912">
        <v>0</v>
      </c>
      <c r="I1912">
        <v>0</v>
      </c>
      <c r="J1912">
        <v>0</v>
      </c>
      <c r="K1912">
        <v>0</v>
      </c>
      <c r="L1912">
        <v>99</v>
      </c>
      <c r="M1912">
        <v>141</v>
      </c>
      <c r="N1912" t="s">
        <v>34</v>
      </c>
      <c r="O1912" s="3">
        <v>44552</v>
      </c>
      <c r="P1912">
        <v>-1</v>
      </c>
      <c r="T1912" t="s">
        <v>49</v>
      </c>
      <c r="U1912">
        <v>12</v>
      </c>
      <c r="V1912">
        <v>26.95</v>
      </c>
    </row>
    <row r="1913" spans="1:22" x14ac:dyDescent="0.35">
      <c r="A1913" s="3">
        <v>44411</v>
      </c>
      <c r="B1913" t="s">
        <v>31</v>
      </c>
      <c r="C1913">
        <v>0</v>
      </c>
      <c r="D1913">
        <v>0</v>
      </c>
      <c r="E1913">
        <v>0</v>
      </c>
      <c r="F1913">
        <v>0</v>
      </c>
      <c r="G1913">
        <v>24.7</v>
      </c>
      <c r="H1913">
        <v>0</v>
      </c>
      <c r="I1913">
        <v>0</v>
      </c>
      <c r="J1913">
        <v>0</v>
      </c>
      <c r="K1913">
        <v>0</v>
      </c>
      <c r="L1913">
        <v>155</v>
      </c>
      <c r="M1913">
        <v>224</v>
      </c>
      <c r="N1913" t="s">
        <v>31</v>
      </c>
      <c r="O1913" s="3">
        <v>44635</v>
      </c>
      <c r="P1913">
        <v>-1</v>
      </c>
      <c r="T1913" t="s">
        <v>48</v>
      </c>
      <c r="U1913">
        <v>37</v>
      </c>
      <c r="V1913">
        <v>31.675000000000001</v>
      </c>
    </row>
    <row r="1914" spans="1:22" x14ac:dyDescent="0.35">
      <c r="A1914" s="3">
        <v>44411</v>
      </c>
      <c r="B1914" t="s">
        <v>37</v>
      </c>
      <c r="C1914">
        <v>0</v>
      </c>
      <c r="D1914">
        <v>0</v>
      </c>
      <c r="E1914">
        <v>0</v>
      </c>
      <c r="F1914">
        <v>0</v>
      </c>
      <c r="G1914">
        <v>21.8428</v>
      </c>
      <c r="H1914">
        <v>0</v>
      </c>
      <c r="I1914">
        <v>0</v>
      </c>
      <c r="J1914">
        <v>0</v>
      </c>
      <c r="K1914">
        <v>0</v>
      </c>
      <c r="L1914">
        <v>30</v>
      </c>
      <c r="M1914">
        <v>43</v>
      </c>
      <c r="N1914" t="s">
        <v>37</v>
      </c>
      <c r="O1914" s="3">
        <v>44454</v>
      </c>
      <c r="P1914">
        <v>-1</v>
      </c>
      <c r="T1914" t="s">
        <v>47</v>
      </c>
      <c r="U1914">
        <v>57</v>
      </c>
      <c r="V1914">
        <v>30.45</v>
      </c>
    </row>
    <row r="1915" spans="1:22" x14ac:dyDescent="0.35">
      <c r="A1915" s="3">
        <v>44410</v>
      </c>
      <c r="B1915" t="s">
        <v>35</v>
      </c>
      <c r="C1915">
        <v>0</v>
      </c>
      <c r="D1915">
        <v>0</v>
      </c>
      <c r="E1915">
        <v>0</v>
      </c>
      <c r="F1915">
        <v>0</v>
      </c>
      <c r="G1915">
        <v>23.7</v>
      </c>
      <c r="H1915">
        <v>0</v>
      </c>
      <c r="I1915">
        <v>0</v>
      </c>
      <c r="J1915">
        <v>0</v>
      </c>
      <c r="K1915">
        <v>0</v>
      </c>
      <c r="L1915">
        <v>76</v>
      </c>
      <c r="M1915">
        <v>107</v>
      </c>
      <c r="N1915" t="s">
        <v>35</v>
      </c>
      <c r="O1915" s="3">
        <v>44517</v>
      </c>
      <c r="P1915">
        <v>-1</v>
      </c>
      <c r="T1915" t="s">
        <v>46</v>
      </c>
      <c r="U1915">
        <v>76</v>
      </c>
      <c r="V1915">
        <v>28.925000000000001</v>
      </c>
    </row>
    <row r="1916" spans="1:22" x14ac:dyDescent="0.35">
      <c r="A1916" s="3">
        <v>44410</v>
      </c>
      <c r="B1916" t="s">
        <v>38</v>
      </c>
      <c r="C1916">
        <v>0</v>
      </c>
      <c r="D1916">
        <v>0</v>
      </c>
      <c r="E1916">
        <v>0</v>
      </c>
      <c r="F1916">
        <v>0</v>
      </c>
      <c r="G1916">
        <v>21.1496</v>
      </c>
      <c r="H1916">
        <v>0</v>
      </c>
      <c r="I1916">
        <v>0</v>
      </c>
      <c r="J1916">
        <v>0</v>
      </c>
      <c r="K1916">
        <v>0</v>
      </c>
      <c r="L1916">
        <v>12</v>
      </c>
      <c r="M1916">
        <v>16</v>
      </c>
      <c r="N1916" t="s">
        <v>38</v>
      </c>
      <c r="O1916" s="3">
        <v>44426</v>
      </c>
      <c r="P1916">
        <v>-1</v>
      </c>
      <c r="S1916" s="3">
        <v>44074</v>
      </c>
      <c r="T1916" t="s">
        <v>45</v>
      </c>
      <c r="U1916">
        <v>97</v>
      </c>
      <c r="V1916">
        <v>29.35</v>
      </c>
    </row>
    <row r="1917" spans="1:22" x14ac:dyDescent="0.35">
      <c r="A1917" s="3">
        <v>44410</v>
      </c>
      <c r="B1917" t="s">
        <v>34</v>
      </c>
      <c r="C1917">
        <v>0</v>
      </c>
      <c r="D1917">
        <v>0</v>
      </c>
      <c r="E1917">
        <v>0</v>
      </c>
      <c r="F1917">
        <v>0</v>
      </c>
      <c r="G1917">
        <v>23.699100000000001</v>
      </c>
      <c r="H1917">
        <v>0</v>
      </c>
      <c r="I1917">
        <v>0</v>
      </c>
      <c r="J1917">
        <v>0</v>
      </c>
      <c r="K1917">
        <v>0</v>
      </c>
      <c r="L1917">
        <v>100</v>
      </c>
      <c r="M1917">
        <v>142</v>
      </c>
      <c r="N1917" t="s">
        <v>34</v>
      </c>
      <c r="O1917" s="3">
        <v>44552</v>
      </c>
      <c r="P1917">
        <v>-1</v>
      </c>
      <c r="T1917" t="s">
        <v>44</v>
      </c>
      <c r="U1917">
        <v>116</v>
      </c>
      <c r="V1917">
        <v>29.125</v>
      </c>
    </row>
    <row r="1918" spans="1:22" x14ac:dyDescent="0.35">
      <c r="A1918" s="3">
        <v>44410</v>
      </c>
      <c r="B1918" t="s">
        <v>31</v>
      </c>
      <c r="C1918">
        <v>0</v>
      </c>
      <c r="D1918">
        <v>0</v>
      </c>
      <c r="E1918">
        <v>0</v>
      </c>
      <c r="F1918">
        <v>0</v>
      </c>
      <c r="G1918">
        <v>25.1</v>
      </c>
      <c r="H1918">
        <v>0</v>
      </c>
      <c r="I1918">
        <v>0</v>
      </c>
      <c r="J1918">
        <v>0</v>
      </c>
      <c r="K1918">
        <v>0</v>
      </c>
      <c r="L1918">
        <v>156</v>
      </c>
      <c r="M1918">
        <v>225</v>
      </c>
      <c r="N1918" t="s">
        <v>31</v>
      </c>
      <c r="O1918" s="3">
        <v>44635</v>
      </c>
      <c r="P1918">
        <v>-1</v>
      </c>
      <c r="T1918" t="s">
        <v>43</v>
      </c>
      <c r="U1918">
        <v>136</v>
      </c>
      <c r="V1918">
        <v>28.225000000000001</v>
      </c>
    </row>
    <row r="1919" spans="1:22" x14ac:dyDescent="0.35">
      <c r="A1919" s="3">
        <v>44410</v>
      </c>
      <c r="B1919" t="s">
        <v>37</v>
      </c>
      <c r="C1919">
        <v>0</v>
      </c>
      <c r="D1919">
        <v>0</v>
      </c>
      <c r="E1919">
        <v>0</v>
      </c>
      <c r="F1919">
        <v>0</v>
      </c>
      <c r="G1919">
        <v>22.7197</v>
      </c>
      <c r="H1919">
        <v>0</v>
      </c>
      <c r="I1919">
        <v>0</v>
      </c>
      <c r="J1919">
        <v>0</v>
      </c>
      <c r="K1919">
        <v>0</v>
      </c>
      <c r="L1919">
        <v>31</v>
      </c>
      <c r="M1919">
        <v>44</v>
      </c>
      <c r="N1919" t="s">
        <v>37</v>
      </c>
      <c r="O1919" s="3">
        <v>44454</v>
      </c>
      <c r="P1919">
        <v>-1</v>
      </c>
      <c r="T1919" t="s">
        <v>42</v>
      </c>
      <c r="U1919">
        <v>161</v>
      </c>
      <c r="V1919">
        <v>27.5</v>
      </c>
    </row>
    <row r="1920" spans="1:22" x14ac:dyDescent="0.35">
      <c r="A1920" s="3">
        <v>44410</v>
      </c>
      <c r="B1920" t="s">
        <v>32</v>
      </c>
      <c r="C1920">
        <v>0</v>
      </c>
      <c r="D1920">
        <v>0</v>
      </c>
      <c r="E1920">
        <v>0</v>
      </c>
      <c r="F1920">
        <v>0</v>
      </c>
      <c r="G1920">
        <v>24.9</v>
      </c>
      <c r="H1920">
        <v>0</v>
      </c>
      <c r="I1920">
        <v>0</v>
      </c>
      <c r="J1920">
        <v>0</v>
      </c>
      <c r="K1920">
        <v>0</v>
      </c>
      <c r="L1920">
        <v>138</v>
      </c>
      <c r="M1920">
        <v>198</v>
      </c>
      <c r="N1920" t="s">
        <v>32</v>
      </c>
      <c r="O1920" s="3">
        <v>44608</v>
      </c>
      <c r="P1920">
        <v>-1</v>
      </c>
      <c r="T1920" t="s">
        <v>49</v>
      </c>
      <c r="U1920">
        <v>11</v>
      </c>
      <c r="V1920">
        <v>27.875</v>
      </c>
    </row>
    <row r="1921" spans="1:22" x14ac:dyDescent="0.35">
      <c r="A1921" s="3">
        <v>44410</v>
      </c>
      <c r="B1921" t="s">
        <v>30</v>
      </c>
      <c r="C1921">
        <v>0</v>
      </c>
      <c r="D1921">
        <v>0</v>
      </c>
      <c r="E1921">
        <v>0</v>
      </c>
      <c r="F1921">
        <v>0</v>
      </c>
      <c r="G1921">
        <v>24.875</v>
      </c>
      <c r="H1921">
        <v>0</v>
      </c>
      <c r="I1921">
        <v>0</v>
      </c>
      <c r="J1921">
        <v>0</v>
      </c>
      <c r="K1921">
        <v>0</v>
      </c>
      <c r="L1921">
        <v>182</v>
      </c>
      <c r="M1921">
        <v>261</v>
      </c>
      <c r="N1921" t="s">
        <v>30</v>
      </c>
      <c r="O1921" s="3">
        <v>44671</v>
      </c>
      <c r="P1921">
        <v>-1</v>
      </c>
      <c r="T1921" t="s">
        <v>48</v>
      </c>
      <c r="U1921">
        <v>36</v>
      </c>
      <c r="V1921">
        <v>33.225000000000001</v>
      </c>
    </row>
    <row r="1922" spans="1:22" x14ac:dyDescent="0.35">
      <c r="A1922" s="3">
        <v>44410</v>
      </c>
      <c r="B1922" t="s">
        <v>36</v>
      </c>
      <c r="C1922">
        <v>0</v>
      </c>
      <c r="D1922">
        <v>0</v>
      </c>
      <c r="E1922">
        <v>0</v>
      </c>
      <c r="F1922">
        <v>0</v>
      </c>
      <c r="G1922">
        <v>23.451499999999999</v>
      </c>
      <c r="H1922">
        <v>0</v>
      </c>
      <c r="I1922">
        <v>0</v>
      </c>
      <c r="J1922">
        <v>0</v>
      </c>
      <c r="K1922">
        <v>0</v>
      </c>
      <c r="L1922">
        <v>56</v>
      </c>
      <c r="M1922">
        <v>79</v>
      </c>
      <c r="N1922" t="s">
        <v>36</v>
      </c>
      <c r="O1922" s="3">
        <v>44489</v>
      </c>
      <c r="P1922">
        <v>-1</v>
      </c>
      <c r="T1922" t="s">
        <v>47</v>
      </c>
      <c r="U1922">
        <v>56</v>
      </c>
      <c r="V1922">
        <v>31.625</v>
      </c>
    </row>
    <row r="1923" spans="1:22" x14ac:dyDescent="0.35">
      <c r="A1923" s="3">
        <v>44410</v>
      </c>
      <c r="B1923" t="s">
        <v>33</v>
      </c>
      <c r="C1923">
        <v>0</v>
      </c>
      <c r="D1923">
        <v>0</v>
      </c>
      <c r="E1923">
        <v>0</v>
      </c>
      <c r="F1923">
        <v>0</v>
      </c>
      <c r="G1923">
        <v>24.6</v>
      </c>
      <c r="H1923">
        <v>0</v>
      </c>
      <c r="I1923">
        <v>0</v>
      </c>
      <c r="J1923">
        <v>0</v>
      </c>
      <c r="K1923">
        <v>0</v>
      </c>
      <c r="L1923">
        <v>118</v>
      </c>
      <c r="M1923">
        <v>170</v>
      </c>
      <c r="N1923" t="s">
        <v>33</v>
      </c>
      <c r="O1923" s="3">
        <v>44580</v>
      </c>
      <c r="P1923">
        <v>-1</v>
      </c>
      <c r="T1923" t="s">
        <v>46</v>
      </c>
      <c r="U1923">
        <v>75</v>
      </c>
      <c r="V1923">
        <v>29.675000000000001</v>
      </c>
    </row>
    <row r="1924" spans="1:22" x14ac:dyDescent="0.35">
      <c r="A1924" s="3">
        <v>44407</v>
      </c>
      <c r="B1924" t="s">
        <v>32</v>
      </c>
      <c r="C1924">
        <v>0</v>
      </c>
      <c r="D1924">
        <v>0</v>
      </c>
      <c r="E1924">
        <v>0</v>
      </c>
      <c r="F1924">
        <v>0</v>
      </c>
      <c r="G1924">
        <v>24.5</v>
      </c>
      <c r="H1924">
        <v>0</v>
      </c>
      <c r="I1924">
        <v>0</v>
      </c>
      <c r="J1924">
        <v>0</v>
      </c>
      <c r="K1924">
        <v>0</v>
      </c>
      <c r="L1924">
        <v>139</v>
      </c>
      <c r="M1924">
        <v>201</v>
      </c>
      <c r="N1924" t="s">
        <v>32</v>
      </c>
      <c r="O1924" s="3">
        <v>44608</v>
      </c>
      <c r="P1924">
        <v>-1</v>
      </c>
      <c r="S1924" s="3">
        <v>44075</v>
      </c>
      <c r="T1924" t="s">
        <v>45</v>
      </c>
      <c r="U1924">
        <v>96</v>
      </c>
      <c r="V1924">
        <v>29.625</v>
      </c>
    </row>
    <row r="1925" spans="1:22" x14ac:dyDescent="0.35">
      <c r="A1925" s="3">
        <v>44407</v>
      </c>
      <c r="B1925" t="s">
        <v>30</v>
      </c>
      <c r="C1925">
        <v>0</v>
      </c>
      <c r="D1925">
        <v>0</v>
      </c>
      <c r="E1925">
        <v>0</v>
      </c>
      <c r="F1925">
        <v>0</v>
      </c>
      <c r="G1925">
        <v>24.75</v>
      </c>
      <c r="H1925">
        <v>0</v>
      </c>
      <c r="I1925">
        <v>0</v>
      </c>
      <c r="J1925">
        <v>0</v>
      </c>
      <c r="K1925">
        <v>0</v>
      </c>
      <c r="L1925">
        <v>183</v>
      </c>
      <c r="M1925">
        <v>264</v>
      </c>
      <c r="N1925" t="s">
        <v>30</v>
      </c>
      <c r="O1925" s="3">
        <v>44671</v>
      </c>
      <c r="P1925">
        <v>-1</v>
      </c>
      <c r="T1925" t="s">
        <v>44</v>
      </c>
      <c r="U1925">
        <v>115</v>
      </c>
      <c r="V1925">
        <v>29.324999999999999</v>
      </c>
    </row>
    <row r="1926" spans="1:22" x14ac:dyDescent="0.35">
      <c r="A1926" s="3">
        <v>44407</v>
      </c>
      <c r="B1926" t="s">
        <v>36</v>
      </c>
      <c r="C1926">
        <v>0</v>
      </c>
      <c r="D1926">
        <v>0</v>
      </c>
      <c r="E1926">
        <v>0</v>
      </c>
      <c r="F1926">
        <v>0</v>
      </c>
      <c r="G1926">
        <v>22.95</v>
      </c>
      <c r="H1926">
        <v>0</v>
      </c>
      <c r="I1926">
        <v>0</v>
      </c>
      <c r="J1926">
        <v>0</v>
      </c>
      <c r="K1926">
        <v>0</v>
      </c>
      <c r="L1926">
        <v>57</v>
      </c>
      <c r="M1926">
        <v>82</v>
      </c>
      <c r="N1926" t="s">
        <v>36</v>
      </c>
      <c r="O1926" s="3">
        <v>44489</v>
      </c>
      <c r="P1926">
        <v>-1</v>
      </c>
      <c r="T1926" t="s">
        <v>43</v>
      </c>
      <c r="U1926">
        <v>135</v>
      </c>
      <c r="V1926">
        <v>28.274999999999999</v>
      </c>
    </row>
    <row r="1927" spans="1:22" x14ac:dyDescent="0.35">
      <c r="A1927" s="3">
        <v>44407</v>
      </c>
      <c r="B1927" t="s">
        <v>33</v>
      </c>
      <c r="C1927">
        <v>0</v>
      </c>
      <c r="D1927">
        <v>0</v>
      </c>
      <c r="E1927">
        <v>0</v>
      </c>
      <c r="F1927">
        <v>0</v>
      </c>
      <c r="G1927">
        <v>24.198399999999999</v>
      </c>
      <c r="H1927">
        <v>0</v>
      </c>
      <c r="I1927">
        <v>0</v>
      </c>
      <c r="J1927">
        <v>0</v>
      </c>
      <c r="K1927">
        <v>0</v>
      </c>
      <c r="L1927">
        <v>119</v>
      </c>
      <c r="M1927">
        <v>173</v>
      </c>
      <c r="N1927" t="s">
        <v>33</v>
      </c>
      <c r="O1927" s="3">
        <v>44580</v>
      </c>
      <c r="P1927">
        <v>-1</v>
      </c>
      <c r="T1927" t="s">
        <v>42</v>
      </c>
      <c r="U1927">
        <v>160</v>
      </c>
      <c r="V1927">
        <v>27.55</v>
      </c>
    </row>
    <row r="1928" spans="1:22" x14ac:dyDescent="0.35">
      <c r="A1928" s="3">
        <v>44407</v>
      </c>
      <c r="B1928" t="s">
        <v>35</v>
      </c>
      <c r="C1928">
        <v>0</v>
      </c>
      <c r="D1928">
        <v>0</v>
      </c>
      <c r="E1928">
        <v>0</v>
      </c>
      <c r="F1928">
        <v>0</v>
      </c>
      <c r="G1928">
        <v>23.249600000000001</v>
      </c>
      <c r="H1928">
        <v>0</v>
      </c>
      <c r="I1928">
        <v>0</v>
      </c>
      <c r="J1928">
        <v>0</v>
      </c>
      <c r="K1928">
        <v>0</v>
      </c>
      <c r="L1928">
        <v>77</v>
      </c>
      <c r="M1928">
        <v>110</v>
      </c>
      <c r="N1928" t="s">
        <v>35</v>
      </c>
      <c r="O1928" s="3">
        <v>44517</v>
      </c>
      <c r="P1928">
        <v>-1</v>
      </c>
      <c r="T1928" t="s">
        <v>41</v>
      </c>
      <c r="U1928">
        <v>180</v>
      </c>
      <c r="V1928">
        <v>27</v>
      </c>
    </row>
    <row r="1929" spans="1:22" x14ac:dyDescent="0.35">
      <c r="A1929" s="3">
        <v>44407</v>
      </c>
      <c r="B1929" t="s">
        <v>38</v>
      </c>
      <c r="C1929">
        <v>0</v>
      </c>
      <c r="D1929">
        <v>0</v>
      </c>
      <c r="E1929">
        <v>0</v>
      </c>
      <c r="F1929">
        <v>0</v>
      </c>
      <c r="G1929">
        <v>20.274000000000001</v>
      </c>
      <c r="H1929">
        <v>0</v>
      </c>
      <c r="I1929">
        <v>0</v>
      </c>
      <c r="J1929">
        <v>0</v>
      </c>
      <c r="K1929">
        <v>0</v>
      </c>
      <c r="L1929">
        <v>13</v>
      </c>
      <c r="M1929">
        <v>19</v>
      </c>
      <c r="N1929" t="s">
        <v>38</v>
      </c>
      <c r="O1929" s="3">
        <v>44426</v>
      </c>
      <c r="P1929">
        <v>-1</v>
      </c>
      <c r="T1929" t="s">
        <v>49</v>
      </c>
      <c r="U1929">
        <v>10</v>
      </c>
      <c r="V1929">
        <v>28.324999999999999</v>
      </c>
    </row>
    <row r="1930" spans="1:22" x14ac:dyDescent="0.35">
      <c r="A1930" s="3">
        <v>44407</v>
      </c>
      <c r="B1930" t="s">
        <v>34</v>
      </c>
      <c r="C1930">
        <v>0</v>
      </c>
      <c r="D1930">
        <v>0</v>
      </c>
      <c r="E1930">
        <v>0</v>
      </c>
      <c r="F1930">
        <v>0</v>
      </c>
      <c r="G1930">
        <v>23.272200000000002</v>
      </c>
      <c r="H1930">
        <v>0</v>
      </c>
      <c r="I1930">
        <v>0</v>
      </c>
      <c r="J1930">
        <v>0</v>
      </c>
      <c r="K1930">
        <v>0</v>
      </c>
      <c r="L1930">
        <v>101</v>
      </c>
      <c r="M1930">
        <v>145</v>
      </c>
      <c r="N1930" t="s">
        <v>34</v>
      </c>
      <c r="O1930" s="3">
        <v>44552</v>
      </c>
      <c r="P1930">
        <v>-1</v>
      </c>
      <c r="T1930" t="s">
        <v>48</v>
      </c>
      <c r="U1930">
        <v>35</v>
      </c>
      <c r="V1930">
        <v>33.524999999999999</v>
      </c>
    </row>
    <row r="1931" spans="1:22" x14ac:dyDescent="0.35">
      <c r="A1931" s="3">
        <v>44407</v>
      </c>
      <c r="B1931" t="s">
        <v>31</v>
      </c>
      <c r="C1931">
        <v>0</v>
      </c>
      <c r="D1931">
        <v>0</v>
      </c>
      <c r="E1931">
        <v>0</v>
      </c>
      <c r="F1931">
        <v>0</v>
      </c>
      <c r="G1931">
        <v>24.75</v>
      </c>
      <c r="H1931">
        <v>0</v>
      </c>
      <c r="I1931">
        <v>0</v>
      </c>
      <c r="J1931">
        <v>0</v>
      </c>
      <c r="K1931">
        <v>0</v>
      </c>
      <c r="L1931">
        <v>157</v>
      </c>
      <c r="M1931">
        <v>228</v>
      </c>
      <c r="N1931" t="s">
        <v>31</v>
      </c>
      <c r="O1931" s="3">
        <v>44635</v>
      </c>
      <c r="P1931">
        <v>-1</v>
      </c>
      <c r="T1931" t="s">
        <v>47</v>
      </c>
      <c r="U1931">
        <v>55</v>
      </c>
      <c r="V1931">
        <v>31.875</v>
      </c>
    </row>
    <row r="1932" spans="1:22" x14ac:dyDescent="0.35">
      <c r="A1932" s="3">
        <v>44407</v>
      </c>
      <c r="B1932" t="s">
        <v>37</v>
      </c>
      <c r="C1932">
        <v>0</v>
      </c>
      <c r="D1932">
        <v>0</v>
      </c>
      <c r="E1932">
        <v>0</v>
      </c>
      <c r="F1932">
        <v>0</v>
      </c>
      <c r="G1932">
        <v>22.0749</v>
      </c>
      <c r="H1932">
        <v>0</v>
      </c>
      <c r="I1932">
        <v>0</v>
      </c>
      <c r="J1932">
        <v>0</v>
      </c>
      <c r="K1932">
        <v>0</v>
      </c>
      <c r="L1932">
        <v>32</v>
      </c>
      <c r="M1932">
        <v>47</v>
      </c>
      <c r="N1932" t="s">
        <v>37</v>
      </c>
      <c r="O1932" s="3">
        <v>44454</v>
      </c>
      <c r="P1932">
        <v>-1</v>
      </c>
      <c r="T1932" t="s">
        <v>46</v>
      </c>
      <c r="U1932">
        <v>74</v>
      </c>
      <c r="V1932">
        <v>29.875</v>
      </c>
    </row>
    <row r="1933" spans="1:22" x14ac:dyDescent="0.35">
      <c r="A1933" s="3">
        <v>44406</v>
      </c>
      <c r="B1933" t="s">
        <v>35</v>
      </c>
      <c r="C1933">
        <v>0</v>
      </c>
      <c r="D1933">
        <v>0</v>
      </c>
      <c r="E1933">
        <v>0</v>
      </c>
      <c r="F1933">
        <v>0</v>
      </c>
      <c r="G1933">
        <v>22.8</v>
      </c>
      <c r="H1933">
        <v>0</v>
      </c>
      <c r="I1933">
        <v>0</v>
      </c>
      <c r="J1933">
        <v>0</v>
      </c>
      <c r="K1933">
        <v>0</v>
      </c>
      <c r="L1933">
        <v>78</v>
      </c>
      <c r="M1933">
        <v>111</v>
      </c>
      <c r="N1933" t="s">
        <v>35</v>
      </c>
      <c r="O1933" s="3">
        <v>44517</v>
      </c>
      <c r="P1933">
        <v>-1</v>
      </c>
      <c r="S1933" s="3">
        <v>44076</v>
      </c>
      <c r="T1933" t="s">
        <v>45</v>
      </c>
      <c r="U1933">
        <v>95</v>
      </c>
      <c r="V1933">
        <v>30.425000000000001</v>
      </c>
    </row>
    <row r="1934" spans="1:22" x14ac:dyDescent="0.35">
      <c r="A1934" s="3">
        <v>44406</v>
      </c>
      <c r="B1934" t="s">
        <v>38</v>
      </c>
      <c r="C1934">
        <v>0</v>
      </c>
      <c r="D1934">
        <v>0</v>
      </c>
      <c r="E1934">
        <v>0</v>
      </c>
      <c r="F1934">
        <v>0</v>
      </c>
      <c r="G1934">
        <v>19.709199999999999</v>
      </c>
      <c r="H1934">
        <v>0</v>
      </c>
      <c r="I1934">
        <v>0</v>
      </c>
      <c r="J1934">
        <v>0</v>
      </c>
      <c r="K1934">
        <v>0</v>
      </c>
      <c r="L1934">
        <v>14</v>
      </c>
      <c r="M1934">
        <v>20</v>
      </c>
      <c r="N1934" t="s">
        <v>38</v>
      </c>
      <c r="O1934" s="3">
        <v>44426</v>
      </c>
      <c r="P1934">
        <v>-1</v>
      </c>
      <c r="T1934" t="s">
        <v>44</v>
      </c>
      <c r="U1934">
        <v>114</v>
      </c>
      <c r="V1934">
        <v>29.975000000000001</v>
      </c>
    </row>
    <row r="1935" spans="1:22" x14ac:dyDescent="0.35">
      <c r="A1935" s="3">
        <v>44406</v>
      </c>
      <c r="B1935" t="s">
        <v>34</v>
      </c>
      <c r="C1935">
        <v>0</v>
      </c>
      <c r="D1935">
        <v>0</v>
      </c>
      <c r="E1935">
        <v>0</v>
      </c>
      <c r="F1935">
        <v>0</v>
      </c>
      <c r="G1935">
        <v>22.900400000000001</v>
      </c>
      <c r="H1935">
        <v>0</v>
      </c>
      <c r="I1935">
        <v>0</v>
      </c>
      <c r="J1935">
        <v>0</v>
      </c>
      <c r="K1935">
        <v>0</v>
      </c>
      <c r="L1935">
        <v>102</v>
      </c>
      <c r="M1935">
        <v>146</v>
      </c>
      <c r="N1935" t="s">
        <v>34</v>
      </c>
      <c r="O1935" s="3">
        <v>44552</v>
      </c>
      <c r="P1935">
        <v>-1</v>
      </c>
      <c r="T1935" t="s">
        <v>43</v>
      </c>
      <c r="U1935">
        <v>134</v>
      </c>
      <c r="V1935">
        <v>28.524999999999999</v>
      </c>
    </row>
    <row r="1936" spans="1:22" x14ac:dyDescent="0.35">
      <c r="A1936" s="3">
        <v>44406</v>
      </c>
      <c r="B1936" t="s">
        <v>31</v>
      </c>
      <c r="C1936">
        <v>0</v>
      </c>
      <c r="D1936">
        <v>0</v>
      </c>
      <c r="E1936">
        <v>0</v>
      </c>
      <c r="F1936">
        <v>0</v>
      </c>
      <c r="G1936">
        <v>24.475000000000001</v>
      </c>
      <c r="H1936">
        <v>0</v>
      </c>
      <c r="I1936">
        <v>0</v>
      </c>
      <c r="J1936">
        <v>0</v>
      </c>
      <c r="K1936">
        <v>0</v>
      </c>
      <c r="L1936">
        <v>158</v>
      </c>
      <c r="M1936">
        <v>229</v>
      </c>
      <c r="N1936" t="s">
        <v>31</v>
      </c>
      <c r="O1936" s="3">
        <v>44635</v>
      </c>
      <c r="P1936">
        <v>-1</v>
      </c>
      <c r="T1936" t="s">
        <v>42</v>
      </c>
      <c r="U1936">
        <v>159</v>
      </c>
      <c r="V1936">
        <v>27.85</v>
      </c>
    </row>
    <row r="1937" spans="1:22" x14ac:dyDescent="0.35">
      <c r="A1937" s="3">
        <v>44406</v>
      </c>
      <c r="B1937" t="s">
        <v>37</v>
      </c>
      <c r="C1937">
        <v>0</v>
      </c>
      <c r="D1937">
        <v>0</v>
      </c>
      <c r="E1937">
        <v>0</v>
      </c>
      <c r="F1937">
        <v>0</v>
      </c>
      <c r="G1937">
        <v>21.548300000000001</v>
      </c>
      <c r="H1937">
        <v>0</v>
      </c>
      <c r="I1937">
        <v>0</v>
      </c>
      <c r="J1937">
        <v>0</v>
      </c>
      <c r="K1937">
        <v>0</v>
      </c>
      <c r="L1937">
        <v>33</v>
      </c>
      <c r="M1937">
        <v>48</v>
      </c>
      <c r="N1937" t="s">
        <v>37</v>
      </c>
      <c r="O1937" s="3">
        <v>44454</v>
      </c>
      <c r="P1937">
        <v>-1</v>
      </c>
      <c r="T1937" t="s">
        <v>49</v>
      </c>
      <c r="U1937">
        <v>9</v>
      </c>
      <c r="V1937">
        <v>28.875</v>
      </c>
    </row>
    <row r="1938" spans="1:22" x14ac:dyDescent="0.35">
      <c r="A1938" s="3">
        <v>44406</v>
      </c>
      <c r="B1938" t="s">
        <v>32</v>
      </c>
      <c r="C1938">
        <v>0</v>
      </c>
      <c r="D1938">
        <v>0</v>
      </c>
      <c r="E1938">
        <v>0</v>
      </c>
      <c r="F1938">
        <v>0</v>
      </c>
      <c r="G1938">
        <v>24.206099999999999</v>
      </c>
      <c r="H1938">
        <v>0</v>
      </c>
      <c r="I1938">
        <v>0</v>
      </c>
      <c r="J1938">
        <v>0</v>
      </c>
      <c r="K1938">
        <v>0</v>
      </c>
      <c r="L1938">
        <v>140</v>
      </c>
      <c r="M1938">
        <v>202</v>
      </c>
      <c r="N1938" t="s">
        <v>32</v>
      </c>
      <c r="O1938" s="3">
        <v>44608</v>
      </c>
      <c r="P1938">
        <v>-1</v>
      </c>
      <c r="T1938" t="s">
        <v>48</v>
      </c>
      <c r="U1938">
        <v>34</v>
      </c>
      <c r="V1938">
        <v>35.325000000000003</v>
      </c>
    </row>
    <row r="1939" spans="1:22" x14ac:dyDescent="0.35">
      <c r="A1939" s="3">
        <v>44406</v>
      </c>
      <c r="B1939" t="s">
        <v>30</v>
      </c>
      <c r="C1939">
        <v>0</v>
      </c>
      <c r="D1939">
        <v>0</v>
      </c>
      <c r="E1939">
        <v>0</v>
      </c>
      <c r="F1939">
        <v>0</v>
      </c>
      <c r="G1939">
        <v>24.45</v>
      </c>
      <c r="H1939">
        <v>0</v>
      </c>
      <c r="I1939">
        <v>0</v>
      </c>
      <c r="J1939">
        <v>0</v>
      </c>
      <c r="K1939">
        <v>0</v>
      </c>
      <c r="L1939">
        <v>184</v>
      </c>
      <c r="M1939">
        <v>265</v>
      </c>
      <c r="N1939" t="s">
        <v>30</v>
      </c>
      <c r="O1939" s="3">
        <v>44671</v>
      </c>
      <c r="P1939">
        <v>-1</v>
      </c>
      <c r="T1939" t="s">
        <v>47</v>
      </c>
      <c r="U1939">
        <v>54</v>
      </c>
      <c r="V1939">
        <v>33.625</v>
      </c>
    </row>
    <row r="1940" spans="1:22" x14ac:dyDescent="0.35">
      <c r="A1940" s="3">
        <v>44406</v>
      </c>
      <c r="B1940" t="s">
        <v>36</v>
      </c>
      <c r="C1940">
        <v>0</v>
      </c>
      <c r="D1940">
        <v>0</v>
      </c>
      <c r="E1940">
        <v>0</v>
      </c>
      <c r="F1940">
        <v>0</v>
      </c>
      <c r="G1940">
        <v>22.441299999999998</v>
      </c>
      <c r="H1940">
        <v>0</v>
      </c>
      <c r="I1940">
        <v>0</v>
      </c>
      <c r="J1940">
        <v>0</v>
      </c>
      <c r="K1940">
        <v>0</v>
      </c>
      <c r="L1940">
        <v>58</v>
      </c>
      <c r="M1940">
        <v>83</v>
      </c>
      <c r="N1940" t="s">
        <v>36</v>
      </c>
      <c r="O1940" s="3">
        <v>44489</v>
      </c>
      <c r="P1940">
        <v>-1</v>
      </c>
      <c r="T1940" t="s">
        <v>46</v>
      </c>
      <c r="U1940">
        <v>73</v>
      </c>
      <c r="V1940">
        <v>30.774999999999999</v>
      </c>
    </row>
    <row r="1941" spans="1:22" x14ac:dyDescent="0.35">
      <c r="A1941" s="3">
        <v>44406</v>
      </c>
      <c r="B1941" t="s">
        <v>33</v>
      </c>
      <c r="C1941">
        <v>0</v>
      </c>
      <c r="D1941">
        <v>0</v>
      </c>
      <c r="E1941">
        <v>0</v>
      </c>
      <c r="F1941">
        <v>0</v>
      </c>
      <c r="G1941">
        <v>23.839700000000001</v>
      </c>
      <c r="H1941">
        <v>0</v>
      </c>
      <c r="I1941">
        <v>0</v>
      </c>
      <c r="J1941">
        <v>0</v>
      </c>
      <c r="K1941">
        <v>0</v>
      </c>
      <c r="L1941">
        <v>120</v>
      </c>
      <c r="M1941">
        <v>174</v>
      </c>
      <c r="N1941" t="s">
        <v>33</v>
      </c>
      <c r="O1941" s="3">
        <v>44580</v>
      </c>
      <c r="P1941">
        <v>-1</v>
      </c>
      <c r="S1941" s="3">
        <v>44077</v>
      </c>
      <c r="T1941" t="s">
        <v>45</v>
      </c>
      <c r="U1941">
        <v>94</v>
      </c>
      <c r="V1941">
        <v>30.875</v>
      </c>
    </row>
    <row r="1942" spans="1:22" x14ac:dyDescent="0.35">
      <c r="A1942" s="3">
        <v>44405</v>
      </c>
      <c r="B1942" t="s">
        <v>32</v>
      </c>
      <c r="C1942">
        <v>0</v>
      </c>
      <c r="D1942">
        <v>0</v>
      </c>
      <c r="E1942">
        <v>0</v>
      </c>
      <c r="F1942">
        <v>0</v>
      </c>
      <c r="G1942">
        <v>24.357099999999999</v>
      </c>
      <c r="H1942">
        <v>0</v>
      </c>
      <c r="I1942">
        <v>0</v>
      </c>
      <c r="J1942">
        <v>0</v>
      </c>
      <c r="K1942">
        <v>0</v>
      </c>
      <c r="L1942">
        <v>141</v>
      </c>
      <c r="M1942">
        <v>203</v>
      </c>
      <c r="N1942" t="s">
        <v>32</v>
      </c>
      <c r="O1942" s="3">
        <v>44608</v>
      </c>
      <c r="P1942">
        <v>-1</v>
      </c>
      <c r="T1942" t="s">
        <v>44</v>
      </c>
      <c r="U1942">
        <v>113</v>
      </c>
      <c r="V1942">
        <v>30.15</v>
      </c>
    </row>
    <row r="1943" spans="1:22" x14ac:dyDescent="0.35">
      <c r="A1943" s="3">
        <v>44405</v>
      </c>
      <c r="B1943" t="s">
        <v>30</v>
      </c>
      <c r="C1943">
        <v>0</v>
      </c>
      <c r="D1943">
        <v>0</v>
      </c>
      <c r="E1943">
        <v>0</v>
      </c>
      <c r="F1943">
        <v>0</v>
      </c>
      <c r="G1943">
        <v>24.75</v>
      </c>
      <c r="H1943">
        <v>0</v>
      </c>
      <c r="I1943">
        <v>0</v>
      </c>
      <c r="J1943">
        <v>0</v>
      </c>
      <c r="K1943">
        <v>0</v>
      </c>
      <c r="L1943">
        <v>185</v>
      </c>
      <c r="M1943">
        <v>266</v>
      </c>
      <c r="N1943" t="s">
        <v>30</v>
      </c>
      <c r="O1943" s="3">
        <v>44671</v>
      </c>
      <c r="P1943">
        <v>-1</v>
      </c>
      <c r="T1943" t="s">
        <v>43</v>
      </c>
      <c r="U1943">
        <v>133</v>
      </c>
      <c r="V1943">
        <v>28.7</v>
      </c>
    </row>
    <row r="1944" spans="1:22" x14ac:dyDescent="0.35">
      <c r="A1944" s="3">
        <v>44405</v>
      </c>
      <c r="B1944" t="s">
        <v>36</v>
      </c>
      <c r="C1944">
        <v>0</v>
      </c>
      <c r="D1944">
        <v>0</v>
      </c>
      <c r="E1944">
        <v>0</v>
      </c>
      <c r="F1944">
        <v>0</v>
      </c>
      <c r="G1944">
        <v>22.6279</v>
      </c>
      <c r="H1944">
        <v>0</v>
      </c>
      <c r="I1944">
        <v>0</v>
      </c>
      <c r="J1944">
        <v>0</v>
      </c>
      <c r="K1944">
        <v>0</v>
      </c>
      <c r="L1944">
        <v>59</v>
      </c>
      <c r="M1944">
        <v>84</v>
      </c>
      <c r="N1944" t="s">
        <v>36</v>
      </c>
      <c r="O1944" s="3">
        <v>44489</v>
      </c>
      <c r="P1944">
        <v>-1</v>
      </c>
      <c r="T1944" t="s">
        <v>42</v>
      </c>
      <c r="U1944">
        <v>158</v>
      </c>
      <c r="V1944">
        <v>27.9</v>
      </c>
    </row>
    <row r="1945" spans="1:22" x14ac:dyDescent="0.35">
      <c r="A1945" s="3">
        <v>44405</v>
      </c>
      <c r="B1945" t="s">
        <v>33</v>
      </c>
      <c r="C1945">
        <v>0</v>
      </c>
      <c r="D1945">
        <v>0</v>
      </c>
      <c r="E1945">
        <v>0</v>
      </c>
      <c r="F1945">
        <v>0</v>
      </c>
      <c r="G1945">
        <v>24</v>
      </c>
      <c r="H1945">
        <v>0</v>
      </c>
      <c r="I1945">
        <v>0</v>
      </c>
      <c r="J1945">
        <v>0</v>
      </c>
      <c r="K1945">
        <v>0</v>
      </c>
      <c r="L1945">
        <v>121</v>
      </c>
      <c r="M1945">
        <v>175</v>
      </c>
      <c r="N1945" t="s">
        <v>33</v>
      </c>
      <c r="O1945" s="3">
        <v>44580</v>
      </c>
      <c r="P1945">
        <v>-1</v>
      </c>
      <c r="T1945" t="s">
        <v>41</v>
      </c>
      <c r="U1945">
        <v>178</v>
      </c>
      <c r="V1945">
        <v>27.274999999999999</v>
      </c>
    </row>
    <row r="1946" spans="1:22" x14ac:dyDescent="0.35">
      <c r="A1946" s="3">
        <v>44405</v>
      </c>
      <c r="B1946" t="s">
        <v>35</v>
      </c>
      <c r="C1946">
        <v>0</v>
      </c>
      <c r="D1946">
        <v>0</v>
      </c>
      <c r="E1946">
        <v>0</v>
      </c>
      <c r="F1946">
        <v>0</v>
      </c>
      <c r="G1946">
        <v>22.928899999999999</v>
      </c>
      <c r="H1946">
        <v>0</v>
      </c>
      <c r="I1946">
        <v>0</v>
      </c>
      <c r="J1946">
        <v>0</v>
      </c>
      <c r="K1946">
        <v>0</v>
      </c>
      <c r="L1946">
        <v>79</v>
      </c>
      <c r="M1946">
        <v>112</v>
      </c>
      <c r="N1946" t="s">
        <v>35</v>
      </c>
      <c r="O1946" s="3">
        <v>44517</v>
      </c>
      <c r="P1946">
        <v>-1</v>
      </c>
      <c r="T1946" t="s">
        <v>49</v>
      </c>
      <c r="U1946">
        <v>8</v>
      </c>
      <c r="V1946">
        <v>33.875</v>
      </c>
    </row>
    <row r="1947" spans="1:22" x14ac:dyDescent="0.35">
      <c r="A1947" s="3">
        <v>44405</v>
      </c>
      <c r="B1947" t="s">
        <v>38</v>
      </c>
      <c r="C1947">
        <v>0</v>
      </c>
      <c r="D1947">
        <v>0</v>
      </c>
      <c r="E1947">
        <v>0</v>
      </c>
      <c r="F1947">
        <v>0</v>
      </c>
      <c r="G1947">
        <v>20.108899999999998</v>
      </c>
      <c r="H1947">
        <v>0</v>
      </c>
      <c r="I1947">
        <v>0</v>
      </c>
      <c r="J1947">
        <v>0</v>
      </c>
      <c r="K1947">
        <v>0</v>
      </c>
      <c r="L1947">
        <v>15</v>
      </c>
      <c r="M1947">
        <v>21</v>
      </c>
      <c r="N1947" t="s">
        <v>38</v>
      </c>
      <c r="O1947" s="3">
        <v>44426</v>
      </c>
      <c r="P1947">
        <v>-1</v>
      </c>
      <c r="T1947" t="s">
        <v>48</v>
      </c>
      <c r="U1947">
        <v>33</v>
      </c>
      <c r="V1947">
        <v>39.024999999999999</v>
      </c>
    </row>
    <row r="1948" spans="1:22" x14ac:dyDescent="0.35">
      <c r="A1948" s="3">
        <v>44405</v>
      </c>
      <c r="B1948" t="s">
        <v>34</v>
      </c>
      <c r="C1948">
        <v>0</v>
      </c>
      <c r="D1948">
        <v>0</v>
      </c>
      <c r="E1948">
        <v>0</v>
      </c>
      <c r="F1948">
        <v>0</v>
      </c>
      <c r="G1948">
        <v>23.014399999999998</v>
      </c>
      <c r="H1948">
        <v>0</v>
      </c>
      <c r="I1948">
        <v>0</v>
      </c>
      <c r="J1948">
        <v>0</v>
      </c>
      <c r="K1948">
        <v>0</v>
      </c>
      <c r="L1948">
        <v>103</v>
      </c>
      <c r="M1948">
        <v>147</v>
      </c>
      <c r="N1948" t="s">
        <v>34</v>
      </c>
      <c r="O1948" s="3">
        <v>44552</v>
      </c>
      <c r="P1948">
        <v>-1</v>
      </c>
      <c r="T1948" t="s">
        <v>47</v>
      </c>
      <c r="U1948">
        <v>53</v>
      </c>
      <c r="V1948">
        <v>35.15</v>
      </c>
    </row>
    <row r="1949" spans="1:22" x14ac:dyDescent="0.35">
      <c r="A1949" s="3">
        <v>44405</v>
      </c>
      <c r="B1949" t="s">
        <v>31</v>
      </c>
      <c r="C1949">
        <v>0</v>
      </c>
      <c r="D1949">
        <v>0</v>
      </c>
      <c r="E1949">
        <v>0</v>
      </c>
      <c r="F1949">
        <v>0</v>
      </c>
      <c r="G1949">
        <v>24.55</v>
      </c>
      <c r="H1949">
        <v>0</v>
      </c>
      <c r="I1949">
        <v>0</v>
      </c>
      <c r="J1949">
        <v>0</v>
      </c>
      <c r="K1949">
        <v>0</v>
      </c>
      <c r="L1949">
        <v>159</v>
      </c>
      <c r="M1949">
        <v>230</v>
      </c>
      <c r="N1949" t="s">
        <v>31</v>
      </c>
      <c r="O1949" s="3">
        <v>44635</v>
      </c>
      <c r="P1949">
        <v>-1</v>
      </c>
      <c r="T1949" t="s">
        <v>46</v>
      </c>
      <c r="U1949">
        <v>72</v>
      </c>
      <c r="V1949">
        <v>31.574999999999999</v>
      </c>
    </row>
    <row r="1950" spans="1:22" x14ac:dyDescent="0.35">
      <c r="A1950" s="3">
        <v>44405</v>
      </c>
      <c r="B1950" t="s">
        <v>37</v>
      </c>
      <c r="C1950">
        <v>0</v>
      </c>
      <c r="D1950">
        <v>0</v>
      </c>
      <c r="E1950">
        <v>0</v>
      </c>
      <c r="F1950">
        <v>0</v>
      </c>
      <c r="G1950">
        <v>21.799900000000001</v>
      </c>
      <c r="H1950">
        <v>0</v>
      </c>
      <c r="I1950">
        <v>0</v>
      </c>
      <c r="J1950">
        <v>0</v>
      </c>
      <c r="K1950">
        <v>0</v>
      </c>
      <c r="L1950">
        <v>34</v>
      </c>
      <c r="M1950">
        <v>49</v>
      </c>
      <c r="N1950" t="s">
        <v>37</v>
      </c>
      <c r="O1950" s="3">
        <v>44454</v>
      </c>
      <c r="P1950">
        <v>-1</v>
      </c>
      <c r="S1950" s="3">
        <v>44078</v>
      </c>
      <c r="T1950" t="s">
        <v>45</v>
      </c>
      <c r="U1950">
        <v>93</v>
      </c>
      <c r="V1950">
        <v>29.925000000000001</v>
      </c>
    </row>
    <row r="1951" spans="1:22" x14ac:dyDescent="0.35">
      <c r="A1951" s="3">
        <v>44404</v>
      </c>
      <c r="B1951" t="s">
        <v>35</v>
      </c>
      <c r="C1951">
        <v>0</v>
      </c>
      <c r="D1951">
        <v>0</v>
      </c>
      <c r="E1951">
        <v>0</v>
      </c>
      <c r="F1951">
        <v>0</v>
      </c>
      <c r="G1951">
        <v>23.1721</v>
      </c>
      <c r="H1951">
        <v>0</v>
      </c>
      <c r="I1951">
        <v>0</v>
      </c>
      <c r="J1951">
        <v>0</v>
      </c>
      <c r="K1951">
        <v>0</v>
      </c>
      <c r="L1951">
        <v>80</v>
      </c>
      <c r="M1951">
        <v>113</v>
      </c>
      <c r="N1951" t="s">
        <v>35</v>
      </c>
      <c r="O1951" s="3">
        <v>44517</v>
      </c>
      <c r="P1951">
        <v>-1</v>
      </c>
      <c r="T1951" t="s">
        <v>44</v>
      </c>
      <c r="U1951">
        <v>112</v>
      </c>
      <c r="V1951">
        <v>28.975000000000001</v>
      </c>
    </row>
    <row r="1952" spans="1:22" x14ac:dyDescent="0.35">
      <c r="A1952" s="3">
        <v>44404</v>
      </c>
      <c r="B1952" t="s">
        <v>38</v>
      </c>
      <c r="C1952">
        <v>0</v>
      </c>
      <c r="D1952">
        <v>0</v>
      </c>
      <c r="E1952">
        <v>0</v>
      </c>
      <c r="F1952">
        <v>0</v>
      </c>
      <c r="G1952">
        <v>20.714700000000001</v>
      </c>
      <c r="H1952">
        <v>0</v>
      </c>
      <c r="I1952">
        <v>0</v>
      </c>
      <c r="J1952">
        <v>0</v>
      </c>
      <c r="K1952">
        <v>0</v>
      </c>
      <c r="L1952">
        <v>16</v>
      </c>
      <c r="M1952">
        <v>22</v>
      </c>
      <c r="N1952" t="s">
        <v>38</v>
      </c>
      <c r="O1952" s="3">
        <v>44426</v>
      </c>
      <c r="P1952">
        <v>-1</v>
      </c>
      <c r="T1952" t="s">
        <v>43</v>
      </c>
      <c r="U1952">
        <v>132</v>
      </c>
      <c r="V1952">
        <v>27.925000000000001</v>
      </c>
    </row>
    <row r="1953" spans="1:22" x14ac:dyDescent="0.35">
      <c r="A1953" s="3">
        <v>44404</v>
      </c>
      <c r="B1953" t="s">
        <v>34</v>
      </c>
      <c r="C1953">
        <v>0</v>
      </c>
      <c r="D1953">
        <v>0</v>
      </c>
      <c r="E1953">
        <v>0</v>
      </c>
      <c r="F1953">
        <v>0</v>
      </c>
      <c r="G1953">
        <v>23.241399999999999</v>
      </c>
      <c r="H1953">
        <v>0</v>
      </c>
      <c r="I1953">
        <v>0</v>
      </c>
      <c r="J1953">
        <v>0</v>
      </c>
      <c r="K1953">
        <v>0</v>
      </c>
      <c r="L1953">
        <v>104</v>
      </c>
      <c r="M1953">
        <v>148</v>
      </c>
      <c r="N1953" t="s">
        <v>34</v>
      </c>
      <c r="O1953" s="3">
        <v>44552</v>
      </c>
      <c r="P1953">
        <v>-1</v>
      </c>
      <c r="T1953" t="s">
        <v>42</v>
      </c>
      <c r="U1953">
        <v>157</v>
      </c>
      <c r="V1953">
        <v>27.175000000000001</v>
      </c>
    </row>
    <row r="1954" spans="1:22" x14ac:dyDescent="0.35">
      <c r="A1954" s="3">
        <v>44404</v>
      </c>
      <c r="B1954" t="s">
        <v>31</v>
      </c>
      <c r="C1954">
        <v>0</v>
      </c>
      <c r="D1954">
        <v>0</v>
      </c>
      <c r="E1954">
        <v>0</v>
      </c>
      <c r="F1954">
        <v>0</v>
      </c>
      <c r="G1954">
        <v>24.824999999999999</v>
      </c>
      <c r="H1954">
        <v>0</v>
      </c>
      <c r="I1954">
        <v>0</v>
      </c>
      <c r="J1954">
        <v>0</v>
      </c>
      <c r="K1954">
        <v>0</v>
      </c>
      <c r="L1954">
        <v>160</v>
      </c>
      <c r="M1954">
        <v>231</v>
      </c>
      <c r="N1954" t="s">
        <v>31</v>
      </c>
      <c r="O1954" s="3">
        <v>44635</v>
      </c>
      <c r="P1954">
        <v>-1</v>
      </c>
      <c r="T1954" t="s">
        <v>41</v>
      </c>
      <c r="U1954">
        <v>177</v>
      </c>
      <c r="V1954">
        <v>27.15</v>
      </c>
    </row>
    <row r="1955" spans="1:22" x14ac:dyDescent="0.35">
      <c r="A1955" s="3">
        <v>44404</v>
      </c>
      <c r="B1955" t="s">
        <v>37</v>
      </c>
      <c r="C1955">
        <v>0</v>
      </c>
      <c r="D1955">
        <v>0</v>
      </c>
      <c r="E1955">
        <v>0</v>
      </c>
      <c r="F1955">
        <v>0</v>
      </c>
      <c r="G1955">
        <v>22.200500000000002</v>
      </c>
      <c r="H1955">
        <v>0</v>
      </c>
      <c r="I1955">
        <v>0</v>
      </c>
      <c r="J1955">
        <v>0</v>
      </c>
      <c r="K1955">
        <v>0</v>
      </c>
      <c r="L1955">
        <v>35</v>
      </c>
      <c r="M1955">
        <v>50</v>
      </c>
      <c r="N1955" t="s">
        <v>37</v>
      </c>
      <c r="O1955" s="3">
        <v>44454</v>
      </c>
      <c r="P1955">
        <v>-1</v>
      </c>
      <c r="T1955" t="s">
        <v>49</v>
      </c>
      <c r="U1955">
        <v>7</v>
      </c>
      <c r="V1955">
        <v>29.65</v>
      </c>
    </row>
    <row r="1956" spans="1:22" x14ac:dyDescent="0.35">
      <c r="A1956" s="3">
        <v>44404</v>
      </c>
      <c r="B1956" t="s">
        <v>32</v>
      </c>
      <c r="C1956">
        <v>0</v>
      </c>
      <c r="D1956">
        <v>0</v>
      </c>
      <c r="E1956">
        <v>0</v>
      </c>
      <c r="F1956">
        <v>0</v>
      </c>
      <c r="G1956">
        <v>24.5611</v>
      </c>
      <c r="H1956">
        <v>0</v>
      </c>
      <c r="I1956">
        <v>0</v>
      </c>
      <c r="J1956">
        <v>0</v>
      </c>
      <c r="K1956">
        <v>0</v>
      </c>
      <c r="L1956">
        <v>142</v>
      </c>
      <c r="M1956">
        <v>204</v>
      </c>
      <c r="N1956" t="s">
        <v>32</v>
      </c>
      <c r="O1956" s="3">
        <v>44608</v>
      </c>
      <c r="P1956">
        <v>-1</v>
      </c>
      <c r="T1956" t="s">
        <v>48</v>
      </c>
      <c r="U1956">
        <v>32</v>
      </c>
      <c r="V1956">
        <v>36.174999999999997</v>
      </c>
    </row>
    <row r="1957" spans="1:22" x14ac:dyDescent="0.35">
      <c r="A1957" s="3">
        <v>44404</v>
      </c>
      <c r="B1957" t="s">
        <v>30</v>
      </c>
      <c r="C1957">
        <v>0</v>
      </c>
      <c r="D1957">
        <v>0</v>
      </c>
      <c r="E1957">
        <v>0</v>
      </c>
      <c r="F1957">
        <v>0</v>
      </c>
      <c r="G1957">
        <v>25.05</v>
      </c>
      <c r="H1957">
        <v>0</v>
      </c>
      <c r="I1957">
        <v>0</v>
      </c>
      <c r="J1957">
        <v>0</v>
      </c>
      <c r="K1957">
        <v>0</v>
      </c>
      <c r="L1957">
        <v>186</v>
      </c>
      <c r="M1957">
        <v>267</v>
      </c>
      <c r="N1957" t="s">
        <v>30</v>
      </c>
      <c r="O1957" s="3">
        <v>44671</v>
      </c>
      <c r="P1957">
        <v>-1</v>
      </c>
      <c r="T1957" t="s">
        <v>47</v>
      </c>
      <c r="U1957">
        <v>52</v>
      </c>
      <c r="V1957">
        <v>33.799999999999997</v>
      </c>
    </row>
    <row r="1958" spans="1:22" x14ac:dyDescent="0.35">
      <c r="A1958" s="3">
        <v>44404</v>
      </c>
      <c r="B1958" t="s">
        <v>36</v>
      </c>
      <c r="C1958">
        <v>0</v>
      </c>
      <c r="D1958">
        <v>0</v>
      </c>
      <c r="E1958">
        <v>0</v>
      </c>
      <c r="F1958">
        <v>0</v>
      </c>
      <c r="G1958">
        <v>22.9026</v>
      </c>
      <c r="H1958">
        <v>0</v>
      </c>
      <c r="I1958">
        <v>0</v>
      </c>
      <c r="J1958">
        <v>0</v>
      </c>
      <c r="K1958">
        <v>0</v>
      </c>
      <c r="L1958">
        <v>60</v>
      </c>
      <c r="M1958">
        <v>85</v>
      </c>
      <c r="N1958" t="s">
        <v>36</v>
      </c>
      <c r="O1958" s="3">
        <v>44489</v>
      </c>
      <c r="P1958">
        <v>-1</v>
      </c>
      <c r="T1958" t="s">
        <v>46</v>
      </c>
      <c r="U1958">
        <v>71</v>
      </c>
      <c r="V1958">
        <v>30.925000000000001</v>
      </c>
    </row>
    <row r="1959" spans="1:22" x14ac:dyDescent="0.35">
      <c r="A1959" s="3">
        <v>44404</v>
      </c>
      <c r="B1959" t="s">
        <v>33</v>
      </c>
      <c r="C1959">
        <v>0</v>
      </c>
      <c r="D1959">
        <v>0</v>
      </c>
      <c r="E1959">
        <v>0</v>
      </c>
      <c r="F1959">
        <v>0</v>
      </c>
      <c r="G1959">
        <v>24.251000000000001</v>
      </c>
      <c r="H1959">
        <v>0</v>
      </c>
      <c r="I1959">
        <v>0</v>
      </c>
      <c r="J1959">
        <v>0</v>
      </c>
      <c r="K1959">
        <v>0</v>
      </c>
      <c r="L1959">
        <v>122</v>
      </c>
      <c r="M1959">
        <v>176</v>
      </c>
      <c r="N1959" t="s">
        <v>33</v>
      </c>
      <c r="O1959" s="3">
        <v>44580</v>
      </c>
      <c r="P1959">
        <v>-1</v>
      </c>
      <c r="S1959" s="3">
        <v>44082</v>
      </c>
      <c r="T1959" t="s">
        <v>45</v>
      </c>
      <c r="U1959">
        <v>92</v>
      </c>
      <c r="V1959">
        <v>28.675000000000001</v>
      </c>
    </row>
    <row r="1960" spans="1:22" x14ac:dyDescent="0.35">
      <c r="A1960" s="3">
        <v>44403</v>
      </c>
      <c r="B1960" t="s">
        <v>32</v>
      </c>
      <c r="C1960">
        <v>0</v>
      </c>
      <c r="D1960">
        <v>0</v>
      </c>
      <c r="E1960">
        <v>0</v>
      </c>
      <c r="F1960">
        <v>0</v>
      </c>
      <c r="G1960">
        <v>24.331299999999999</v>
      </c>
      <c r="H1960">
        <v>0</v>
      </c>
      <c r="I1960">
        <v>0</v>
      </c>
      <c r="J1960">
        <v>0</v>
      </c>
      <c r="K1960">
        <v>0</v>
      </c>
      <c r="L1960">
        <v>143</v>
      </c>
      <c r="M1960">
        <v>205</v>
      </c>
      <c r="N1960" t="s">
        <v>32</v>
      </c>
      <c r="O1960" s="3">
        <v>44608</v>
      </c>
      <c r="P1960">
        <v>-1</v>
      </c>
      <c r="T1960" t="s">
        <v>44</v>
      </c>
      <c r="U1960">
        <v>111</v>
      </c>
      <c r="V1960">
        <v>28.25</v>
      </c>
    </row>
    <row r="1961" spans="1:22" x14ac:dyDescent="0.35">
      <c r="A1961" s="3">
        <v>44403</v>
      </c>
      <c r="B1961" t="s">
        <v>30</v>
      </c>
      <c r="C1961">
        <v>0</v>
      </c>
      <c r="D1961">
        <v>0</v>
      </c>
      <c r="E1961">
        <v>0</v>
      </c>
      <c r="F1961">
        <v>0</v>
      </c>
      <c r="G1961">
        <v>24.55</v>
      </c>
      <c r="H1961">
        <v>0</v>
      </c>
      <c r="I1961">
        <v>0</v>
      </c>
      <c r="J1961">
        <v>0</v>
      </c>
      <c r="K1961">
        <v>0</v>
      </c>
      <c r="L1961">
        <v>187</v>
      </c>
      <c r="M1961">
        <v>268</v>
      </c>
      <c r="N1961" t="s">
        <v>30</v>
      </c>
      <c r="O1961" s="3">
        <v>44671</v>
      </c>
      <c r="P1961">
        <v>-1</v>
      </c>
      <c r="T1961" t="s">
        <v>43</v>
      </c>
      <c r="U1961">
        <v>131</v>
      </c>
      <c r="V1961">
        <v>27.774999999999999</v>
      </c>
    </row>
    <row r="1962" spans="1:22" x14ac:dyDescent="0.35">
      <c r="A1962" s="3">
        <v>44403</v>
      </c>
      <c r="B1962" t="s">
        <v>36</v>
      </c>
      <c r="C1962">
        <v>0</v>
      </c>
      <c r="D1962">
        <v>0</v>
      </c>
      <c r="E1962">
        <v>0</v>
      </c>
      <c r="F1962">
        <v>0</v>
      </c>
      <c r="G1962">
        <v>22.514399999999998</v>
      </c>
      <c r="H1962">
        <v>0</v>
      </c>
      <c r="I1962">
        <v>0</v>
      </c>
      <c r="J1962">
        <v>0</v>
      </c>
      <c r="K1962">
        <v>0</v>
      </c>
      <c r="L1962">
        <v>61</v>
      </c>
      <c r="M1962">
        <v>86</v>
      </c>
      <c r="N1962" t="s">
        <v>36</v>
      </c>
      <c r="O1962" s="3">
        <v>44489</v>
      </c>
      <c r="P1962">
        <v>-1</v>
      </c>
      <c r="T1962" t="s">
        <v>42</v>
      </c>
      <c r="U1962">
        <v>156</v>
      </c>
      <c r="V1962">
        <v>27.3</v>
      </c>
    </row>
    <row r="1963" spans="1:22" x14ac:dyDescent="0.35">
      <c r="A1963" s="3">
        <v>44403</v>
      </c>
      <c r="B1963" t="s">
        <v>33</v>
      </c>
      <c r="C1963">
        <v>0</v>
      </c>
      <c r="D1963">
        <v>0</v>
      </c>
      <c r="E1963">
        <v>0</v>
      </c>
      <c r="F1963">
        <v>0</v>
      </c>
      <c r="G1963">
        <v>23.9284</v>
      </c>
      <c r="H1963">
        <v>0</v>
      </c>
      <c r="I1963">
        <v>0</v>
      </c>
      <c r="J1963">
        <v>0</v>
      </c>
      <c r="K1963">
        <v>0</v>
      </c>
      <c r="L1963">
        <v>123</v>
      </c>
      <c r="M1963">
        <v>177</v>
      </c>
      <c r="N1963" t="s">
        <v>33</v>
      </c>
      <c r="O1963" s="3">
        <v>44580</v>
      </c>
      <c r="P1963">
        <v>-1</v>
      </c>
      <c r="T1963" t="s">
        <v>41</v>
      </c>
      <c r="U1963">
        <v>176</v>
      </c>
      <c r="V1963">
        <v>26.95</v>
      </c>
    </row>
    <row r="1964" spans="1:22" x14ac:dyDescent="0.35">
      <c r="A1964" s="3">
        <v>44403</v>
      </c>
      <c r="B1964" t="s">
        <v>35</v>
      </c>
      <c r="C1964">
        <v>0</v>
      </c>
      <c r="D1964">
        <v>0</v>
      </c>
      <c r="E1964">
        <v>0</v>
      </c>
      <c r="F1964">
        <v>0</v>
      </c>
      <c r="G1964">
        <v>22.840299999999999</v>
      </c>
      <c r="H1964">
        <v>0</v>
      </c>
      <c r="I1964">
        <v>0</v>
      </c>
      <c r="J1964">
        <v>0</v>
      </c>
      <c r="K1964">
        <v>0</v>
      </c>
      <c r="L1964">
        <v>81</v>
      </c>
      <c r="M1964">
        <v>114</v>
      </c>
      <c r="N1964" t="s">
        <v>35</v>
      </c>
      <c r="O1964" s="3">
        <v>44517</v>
      </c>
      <c r="P1964">
        <v>-1</v>
      </c>
      <c r="T1964" t="s">
        <v>49</v>
      </c>
      <c r="U1964">
        <v>6</v>
      </c>
      <c r="V1964">
        <v>30.225000000000001</v>
      </c>
    </row>
    <row r="1965" spans="1:22" x14ac:dyDescent="0.35">
      <c r="A1965" s="3">
        <v>44403</v>
      </c>
      <c r="B1965" t="s">
        <v>38</v>
      </c>
      <c r="C1965">
        <v>0</v>
      </c>
      <c r="D1965">
        <v>0</v>
      </c>
      <c r="E1965">
        <v>0</v>
      </c>
      <c r="F1965">
        <v>0</v>
      </c>
      <c r="G1965">
        <v>20.149699999999999</v>
      </c>
      <c r="H1965">
        <v>0</v>
      </c>
      <c r="I1965">
        <v>0</v>
      </c>
      <c r="J1965">
        <v>0</v>
      </c>
      <c r="K1965">
        <v>0</v>
      </c>
      <c r="L1965">
        <v>17</v>
      </c>
      <c r="M1965">
        <v>23</v>
      </c>
      <c r="N1965" t="s">
        <v>38</v>
      </c>
      <c r="O1965" s="3">
        <v>44426</v>
      </c>
      <c r="P1965">
        <v>-1</v>
      </c>
      <c r="T1965" t="s">
        <v>48</v>
      </c>
      <c r="U1965">
        <v>31</v>
      </c>
      <c r="V1965">
        <v>34.625</v>
      </c>
    </row>
    <row r="1966" spans="1:22" x14ac:dyDescent="0.35">
      <c r="A1966" s="3">
        <v>44403</v>
      </c>
      <c r="B1966" t="s">
        <v>34</v>
      </c>
      <c r="C1966">
        <v>0</v>
      </c>
      <c r="D1966">
        <v>0</v>
      </c>
      <c r="E1966">
        <v>0</v>
      </c>
      <c r="F1966">
        <v>0</v>
      </c>
      <c r="G1966">
        <v>22.933700000000002</v>
      </c>
      <c r="H1966">
        <v>0</v>
      </c>
      <c r="I1966">
        <v>0</v>
      </c>
      <c r="J1966">
        <v>0</v>
      </c>
      <c r="K1966">
        <v>0</v>
      </c>
      <c r="L1966">
        <v>105</v>
      </c>
      <c r="M1966">
        <v>149</v>
      </c>
      <c r="N1966" t="s">
        <v>34</v>
      </c>
      <c r="O1966" s="3">
        <v>44552</v>
      </c>
      <c r="P1966">
        <v>-1</v>
      </c>
      <c r="T1966" t="s">
        <v>47</v>
      </c>
      <c r="U1966">
        <v>51</v>
      </c>
      <c r="V1966">
        <v>31.824999999999999</v>
      </c>
    </row>
    <row r="1967" spans="1:22" x14ac:dyDescent="0.35">
      <c r="A1967" s="3">
        <v>44403</v>
      </c>
      <c r="B1967" t="s">
        <v>31</v>
      </c>
      <c r="C1967">
        <v>0</v>
      </c>
      <c r="D1967">
        <v>0</v>
      </c>
      <c r="E1967">
        <v>0</v>
      </c>
      <c r="F1967">
        <v>0</v>
      </c>
      <c r="G1967">
        <v>24.55</v>
      </c>
      <c r="H1967">
        <v>0</v>
      </c>
      <c r="I1967">
        <v>0</v>
      </c>
      <c r="J1967">
        <v>0</v>
      </c>
      <c r="K1967">
        <v>0</v>
      </c>
      <c r="L1967">
        <v>161</v>
      </c>
      <c r="M1967">
        <v>232</v>
      </c>
      <c r="N1967" t="s">
        <v>31</v>
      </c>
      <c r="O1967" s="3">
        <v>44635</v>
      </c>
      <c r="P1967">
        <v>-1</v>
      </c>
      <c r="T1967" t="s">
        <v>46</v>
      </c>
      <c r="U1967">
        <v>70</v>
      </c>
      <c r="V1967">
        <v>29.4</v>
      </c>
    </row>
    <row r="1968" spans="1:22" x14ac:dyDescent="0.35">
      <c r="A1968" s="3">
        <v>44403</v>
      </c>
      <c r="B1968" t="s">
        <v>37</v>
      </c>
      <c r="C1968">
        <v>0</v>
      </c>
      <c r="D1968">
        <v>0</v>
      </c>
      <c r="E1968">
        <v>0</v>
      </c>
      <c r="F1968">
        <v>0</v>
      </c>
      <c r="G1968">
        <v>21.694700000000001</v>
      </c>
      <c r="H1968">
        <v>0</v>
      </c>
      <c r="I1968">
        <v>0</v>
      </c>
      <c r="J1968">
        <v>0</v>
      </c>
      <c r="K1968">
        <v>0</v>
      </c>
      <c r="L1968">
        <v>36</v>
      </c>
      <c r="M1968">
        <v>51</v>
      </c>
      <c r="N1968" t="s">
        <v>37</v>
      </c>
      <c r="O1968" s="3">
        <v>44454</v>
      </c>
      <c r="P1968">
        <v>-1</v>
      </c>
      <c r="S1968" s="3">
        <v>44083</v>
      </c>
      <c r="T1968" t="s">
        <v>45</v>
      </c>
      <c r="U1968">
        <v>91</v>
      </c>
      <c r="V1968">
        <v>28.574999999999999</v>
      </c>
    </row>
    <row r="1969" spans="1:22" x14ac:dyDescent="0.35">
      <c r="A1969" s="3">
        <v>44400</v>
      </c>
      <c r="B1969" t="s">
        <v>35</v>
      </c>
      <c r="C1969">
        <v>0</v>
      </c>
      <c r="D1969">
        <v>0</v>
      </c>
      <c r="E1969">
        <v>0</v>
      </c>
      <c r="F1969">
        <v>0</v>
      </c>
      <c r="G1969">
        <v>22.700299999999999</v>
      </c>
      <c r="H1969">
        <v>0</v>
      </c>
      <c r="I1969">
        <v>0</v>
      </c>
      <c r="J1969">
        <v>0</v>
      </c>
      <c r="K1969">
        <v>0</v>
      </c>
      <c r="L1969">
        <v>82</v>
      </c>
      <c r="M1969">
        <v>117</v>
      </c>
      <c r="N1969" t="s">
        <v>35</v>
      </c>
      <c r="O1969" s="3">
        <v>44517</v>
      </c>
      <c r="P1969">
        <v>-1</v>
      </c>
      <c r="T1969" t="s">
        <v>44</v>
      </c>
      <c r="U1969">
        <v>110</v>
      </c>
      <c r="V1969">
        <v>28.1</v>
      </c>
    </row>
    <row r="1970" spans="1:22" x14ac:dyDescent="0.35">
      <c r="A1970" s="3">
        <v>44400</v>
      </c>
      <c r="B1970" t="s">
        <v>38</v>
      </c>
      <c r="C1970">
        <v>0</v>
      </c>
      <c r="D1970">
        <v>0</v>
      </c>
      <c r="E1970">
        <v>0</v>
      </c>
      <c r="F1970">
        <v>0</v>
      </c>
      <c r="G1970">
        <v>20.3675</v>
      </c>
      <c r="H1970">
        <v>0</v>
      </c>
      <c r="I1970">
        <v>0</v>
      </c>
      <c r="J1970">
        <v>0</v>
      </c>
      <c r="K1970">
        <v>0</v>
      </c>
      <c r="L1970">
        <v>18</v>
      </c>
      <c r="M1970">
        <v>26</v>
      </c>
      <c r="N1970" t="s">
        <v>38</v>
      </c>
      <c r="O1970" s="3">
        <v>44426</v>
      </c>
      <c r="P1970">
        <v>-1</v>
      </c>
      <c r="T1970" t="s">
        <v>43</v>
      </c>
      <c r="U1970">
        <v>130</v>
      </c>
      <c r="V1970">
        <v>27.65</v>
      </c>
    </row>
    <row r="1971" spans="1:22" x14ac:dyDescent="0.35">
      <c r="A1971" s="3">
        <v>44400</v>
      </c>
      <c r="B1971" t="s">
        <v>34</v>
      </c>
      <c r="C1971">
        <v>0</v>
      </c>
      <c r="D1971">
        <v>0</v>
      </c>
      <c r="E1971">
        <v>0</v>
      </c>
      <c r="F1971">
        <v>0</v>
      </c>
      <c r="G1971">
        <v>22.8018</v>
      </c>
      <c r="H1971">
        <v>0</v>
      </c>
      <c r="I1971">
        <v>0</v>
      </c>
      <c r="J1971">
        <v>0</v>
      </c>
      <c r="K1971">
        <v>0</v>
      </c>
      <c r="L1971">
        <v>106</v>
      </c>
      <c r="M1971">
        <v>152</v>
      </c>
      <c r="N1971" t="s">
        <v>34</v>
      </c>
      <c r="O1971" s="3">
        <v>44552</v>
      </c>
      <c r="P1971">
        <v>-1</v>
      </c>
      <c r="T1971" t="s">
        <v>42</v>
      </c>
      <c r="U1971">
        <v>155</v>
      </c>
      <c r="V1971">
        <v>27.024999999999999</v>
      </c>
    </row>
    <row r="1972" spans="1:22" x14ac:dyDescent="0.35">
      <c r="A1972" s="3">
        <v>44400</v>
      </c>
      <c r="B1972" t="s">
        <v>31</v>
      </c>
      <c r="C1972">
        <v>0</v>
      </c>
      <c r="D1972">
        <v>0</v>
      </c>
      <c r="E1972">
        <v>0</v>
      </c>
      <c r="F1972">
        <v>0</v>
      </c>
      <c r="G1972">
        <v>24.5</v>
      </c>
      <c r="H1972">
        <v>0</v>
      </c>
      <c r="I1972">
        <v>0</v>
      </c>
      <c r="J1972">
        <v>0</v>
      </c>
      <c r="K1972">
        <v>0</v>
      </c>
      <c r="L1972">
        <v>162</v>
      </c>
      <c r="M1972">
        <v>235</v>
      </c>
      <c r="N1972" t="s">
        <v>31</v>
      </c>
      <c r="O1972" s="3">
        <v>44635</v>
      </c>
      <c r="P1972">
        <v>-1</v>
      </c>
      <c r="T1972" t="s">
        <v>49</v>
      </c>
      <c r="U1972">
        <v>5</v>
      </c>
      <c r="V1972">
        <v>28.375</v>
      </c>
    </row>
    <row r="1973" spans="1:22" x14ac:dyDescent="0.35">
      <c r="A1973" s="3">
        <v>44400</v>
      </c>
      <c r="B1973" t="s">
        <v>37</v>
      </c>
      <c r="C1973">
        <v>0</v>
      </c>
      <c r="D1973">
        <v>0</v>
      </c>
      <c r="E1973">
        <v>0</v>
      </c>
      <c r="F1973">
        <v>0</v>
      </c>
      <c r="G1973">
        <v>21.650600000000001</v>
      </c>
      <c r="H1973">
        <v>0</v>
      </c>
      <c r="I1973">
        <v>0</v>
      </c>
      <c r="J1973">
        <v>0</v>
      </c>
      <c r="K1973">
        <v>0</v>
      </c>
      <c r="L1973">
        <v>37</v>
      </c>
      <c r="M1973">
        <v>54</v>
      </c>
      <c r="N1973" t="s">
        <v>37</v>
      </c>
      <c r="O1973" s="3">
        <v>44454</v>
      </c>
      <c r="P1973">
        <v>-1</v>
      </c>
      <c r="T1973" t="s">
        <v>48</v>
      </c>
      <c r="U1973">
        <v>30</v>
      </c>
      <c r="V1973">
        <v>33.225000000000001</v>
      </c>
    </row>
    <row r="1974" spans="1:22" x14ac:dyDescent="0.35">
      <c r="A1974" s="3">
        <v>44400</v>
      </c>
      <c r="B1974" t="s">
        <v>32</v>
      </c>
      <c r="C1974">
        <v>0</v>
      </c>
      <c r="D1974">
        <v>0</v>
      </c>
      <c r="E1974">
        <v>0</v>
      </c>
      <c r="F1974">
        <v>0</v>
      </c>
      <c r="G1974">
        <v>24.2</v>
      </c>
      <c r="H1974">
        <v>0</v>
      </c>
      <c r="I1974">
        <v>0</v>
      </c>
      <c r="J1974">
        <v>0</v>
      </c>
      <c r="K1974">
        <v>0</v>
      </c>
      <c r="L1974">
        <v>144</v>
      </c>
      <c r="M1974">
        <v>208</v>
      </c>
      <c r="N1974" t="s">
        <v>32</v>
      </c>
      <c r="O1974" s="3">
        <v>44608</v>
      </c>
      <c r="P1974">
        <v>-1</v>
      </c>
      <c r="T1974" t="s">
        <v>47</v>
      </c>
      <c r="U1974">
        <v>50</v>
      </c>
      <c r="V1974">
        <v>31.324999999999999</v>
      </c>
    </row>
    <row r="1975" spans="1:22" x14ac:dyDescent="0.35">
      <c r="A1975" s="3">
        <v>44400</v>
      </c>
      <c r="B1975" t="s">
        <v>36</v>
      </c>
      <c r="C1975">
        <v>0</v>
      </c>
      <c r="D1975">
        <v>0</v>
      </c>
      <c r="E1975">
        <v>0</v>
      </c>
      <c r="F1975">
        <v>0</v>
      </c>
      <c r="G1975">
        <v>22.410900000000002</v>
      </c>
      <c r="H1975">
        <v>0</v>
      </c>
      <c r="I1975">
        <v>0</v>
      </c>
      <c r="J1975">
        <v>0</v>
      </c>
      <c r="K1975">
        <v>0</v>
      </c>
      <c r="L1975">
        <v>62</v>
      </c>
      <c r="M1975">
        <v>89</v>
      </c>
      <c r="N1975" t="s">
        <v>36</v>
      </c>
      <c r="O1975" s="3">
        <v>44489</v>
      </c>
      <c r="P1975">
        <v>-1</v>
      </c>
      <c r="T1975" t="s">
        <v>46</v>
      </c>
      <c r="U1975">
        <v>69</v>
      </c>
      <c r="V1975">
        <v>29.324999999999999</v>
      </c>
    </row>
    <row r="1976" spans="1:22" x14ac:dyDescent="0.35">
      <c r="A1976" s="3">
        <v>44400</v>
      </c>
      <c r="B1976" t="s">
        <v>33</v>
      </c>
      <c r="C1976">
        <v>0</v>
      </c>
      <c r="D1976">
        <v>0</v>
      </c>
      <c r="E1976">
        <v>0</v>
      </c>
      <c r="F1976">
        <v>0</v>
      </c>
      <c r="G1976">
        <v>23.8</v>
      </c>
      <c r="H1976">
        <v>0</v>
      </c>
      <c r="I1976">
        <v>0</v>
      </c>
      <c r="J1976">
        <v>0</v>
      </c>
      <c r="K1976">
        <v>0</v>
      </c>
      <c r="L1976">
        <v>124</v>
      </c>
      <c r="M1976">
        <v>180</v>
      </c>
      <c r="N1976" t="s">
        <v>33</v>
      </c>
      <c r="O1976" s="3">
        <v>44580</v>
      </c>
      <c r="P1976">
        <v>-1</v>
      </c>
      <c r="S1976" s="3">
        <v>44084</v>
      </c>
      <c r="T1976" t="s">
        <v>45</v>
      </c>
      <c r="U1976">
        <v>90</v>
      </c>
      <c r="V1976">
        <v>28.35</v>
      </c>
    </row>
    <row r="1977" spans="1:22" x14ac:dyDescent="0.35">
      <c r="A1977" s="3">
        <v>44399</v>
      </c>
      <c r="B1977" t="s">
        <v>32</v>
      </c>
      <c r="C1977">
        <v>0</v>
      </c>
      <c r="D1977">
        <v>0</v>
      </c>
      <c r="E1977">
        <v>0</v>
      </c>
      <c r="F1977">
        <v>0</v>
      </c>
      <c r="G1977">
        <v>24.273299999999999</v>
      </c>
      <c r="H1977">
        <v>0</v>
      </c>
      <c r="I1977">
        <v>0</v>
      </c>
      <c r="J1977">
        <v>0</v>
      </c>
      <c r="K1977">
        <v>0</v>
      </c>
      <c r="L1977">
        <v>145</v>
      </c>
      <c r="M1977">
        <v>209</v>
      </c>
      <c r="N1977" t="s">
        <v>32</v>
      </c>
      <c r="O1977" s="3">
        <v>44608</v>
      </c>
      <c r="P1977">
        <v>-1</v>
      </c>
      <c r="T1977" t="s">
        <v>44</v>
      </c>
      <c r="U1977">
        <v>109</v>
      </c>
      <c r="V1977">
        <v>28.024999999999999</v>
      </c>
    </row>
    <row r="1978" spans="1:22" x14ac:dyDescent="0.35">
      <c r="A1978" s="3">
        <v>44399</v>
      </c>
      <c r="B1978" t="s">
        <v>36</v>
      </c>
      <c r="C1978">
        <v>0</v>
      </c>
      <c r="D1978">
        <v>0</v>
      </c>
      <c r="E1978">
        <v>0</v>
      </c>
      <c r="F1978">
        <v>0</v>
      </c>
      <c r="G1978">
        <v>22.5382</v>
      </c>
      <c r="H1978">
        <v>0</v>
      </c>
      <c r="I1978">
        <v>0</v>
      </c>
      <c r="J1978">
        <v>0</v>
      </c>
      <c r="K1978">
        <v>0</v>
      </c>
      <c r="L1978">
        <v>63</v>
      </c>
      <c r="M1978">
        <v>90</v>
      </c>
      <c r="N1978" t="s">
        <v>36</v>
      </c>
      <c r="O1978" s="3">
        <v>44489</v>
      </c>
      <c r="P1978">
        <v>-1</v>
      </c>
      <c r="T1978" t="s">
        <v>43</v>
      </c>
      <c r="U1978">
        <v>129</v>
      </c>
      <c r="V1978">
        <v>27.574999999999999</v>
      </c>
    </row>
    <row r="1979" spans="1:22" x14ac:dyDescent="0.35">
      <c r="A1979" s="3">
        <v>44399</v>
      </c>
      <c r="B1979" t="s">
        <v>33</v>
      </c>
      <c r="C1979">
        <v>0</v>
      </c>
      <c r="D1979">
        <v>0</v>
      </c>
      <c r="E1979">
        <v>0</v>
      </c>
      <c r="F1979">
        <v>0</v>
      </c>
      <c r="G1979">
        <v>23.9</v>
      </c>
      <c r="H1979">
        <v>0</v>
      </c>
      <c r="I1979">
        <v>0</v>
      </c>
      <c r="J1979">
        <v>0</v>
      </c>
      <c r="K1979">
        <v>0</v>
      </c>
      <c r="L1979">
        <v>125</v>
      </c>
      <c r="M1979">
        <v>181</v>
      </c>
      <c r="N1979" t="s">
        <v>33</v>
      </c>
      <c r="O1979" s="3">
        <v>44580</v>
      </c>
      <c r="P1979">
        <v>-1</v>
      </c>
      <c r="T1979" t="s">
        <v>42</v>
      </c>
      <c r="U1979">
        <v>154</v>
      </c>
      <c r="V1979">
        <v>26.95</v>
      </c>
    </row>
    <row r="1980" spans="1:22" x14ac:dyDescent="0.35">
      <c r="A1980" s="3">
        <v>44399</v>
      </c>
      <c r="B1980" t="s">
        <v>35</v>
      </c>
      <c r="C1980">
        <v>0</v>
      </c>
      <c r="D1980">
        <v>0</v>
      </c>
      <c r="E1980">
        <v>0</v>
      </c>
      <c r="F1980">
        <v>0</v>
      </c>
      <c r="G1980">
        <v>22.8901</v>
      </c>
      <c r="H1980">
        <v>0</v>
      </c>
      <c r="I1980">
        <v>0</v>
      </c>
      <c r="J1980">
        <v>0</v>
      </c>
      <c r="K1980">
        <v>0</v>
      </c>
      <c r="L1980">
        <v>83</v>
      </c>
      <c r="M1980">
        <v>118</v>
      </c>
      <c r="N1980" t="s">
        <v>35</v>
      </c>
      <c r="O1980" s="3">
        <v>44517</v>
      </c>
      <c r="P1980">
        <v>-1</v>
      </c>
      <c r="T1980" t="s">
        <v>41</v>
      </c>
      <c r="U1980">
        <v>174</v>
      </c>
      <c r="V1980">
        <v>26.574999999999999</v>
      </c>
    </row>
    <row r="1981" spans="1:22" x14ac:dyDescent="0.35">
      <c r="A1981" s="3">
        <v>44399</v>
      </c>
      <c r="B1981" t="s">
        <v>38</v>
      </c>
      <c r="C1981">
        <v>0</v>
      </c>
      <c r="D1981">
        <v>0</v>
      </c>
      <c r="E1981">
        <v>0</v>
      </c>
      <c r="F1981">
        <v>0</v>
      </c>
      <c r="G1981">
        <v>20.566500000000001</v>
      </c>
      <c r="H1981">
        <v>0</v>
      </c>
      <c r="I1981">
        <v>0</v>
      </c>
      <c r="J1981">
        <v>0</v>
      </c>
      <c r="K1981">
        <v>0</v>
      </c>
      <c r="L1981">
        <v>19</v>
      </c>
      <c r="M1981">
        <v>27</v>
      </c>
      <c r="N1981" t="s">
        <v>38</v>
      </c>
      <c r="O1981" s="3">
        <v>44426</v>
      </c>
      <c r="P1981">
        <v>-1</v>
      </c>
      <c r="T1981" t="s">
        <v>49</v>
      </c>
      <c r="U1981">
        <v>4</v>
      </c>
      <c r="V1981">
        <v>28.774999999999999</v>
      </c>
    </row>
    <row r="1982" spans="1:22" x14ac:dyDescent="0.35">
      <c r="A1982" s="3">
        <v>44399</v>
      </c>
      <c r="B1982" t="s">
        <v>34</v>
      </c>
      <c r="C1982">
        <v>0</v>
      </c>
      <c r="D1982">
        <v>0</v>
      </c>
      <c r="E1982">
        <v>0</v>
      </c>
      <c r="F1982">
        <v>0</v>
      </c>
      <c r="G1982">
        <v>22.908799999999999</v>
      </c>
      <c r="H1982">
        <v>0</v>
      </c>
      <c r="I1982">
        <v>0</v>
      </c>
      <c r="J1982">
        <v>0</v>
      </c>
      <c r="K1982">
        <v>0</v>
      </c>
      <c r="L1982">
        <v>107</v>
      </c>
      <c r="M1982">
        <v>153</v>
      </c>
      <c r="N1982" t="s">
        <v>34</v>
      </c>
      <c r="O1982" s="3">
        <v>44552</v>
      </c>
      <c r="P1982">
        <v>-1</v>
      </c>
      <c r="T1982" t="s">
        <v>48</v>
      </c>
      <c r="U1982">
        <v>29</v>
      </c>
      <c r="V1982">
        <v>32.674999999999997</v>
      </c>
    </row>
    <row r="1983" spans="1:22" x14ac:dyDescent="0.35">
      <c r="A1983" s="3">
        <v>44399</v>
      </c>
      <c r="B1983" t="s">
        <v>31</v>
      </c>
      <c r="C1983">
        <v>0</v>
      </c>
      <c r="D1983">
        <v>0</v>
      </c>
      <c r="E1983">
        <v>0</v>
      </c>
      <c r="F1983">
        <v>0</v>
      </c>
      <c r="G1983">
        <v>24.475000000000001</v>
      </c>
      <c r="H1983">
        <v>0</v>
      </c>
      <c r="I1983">
        <v>0</v>
      </c>
      <c r="J1983">
        <v>0</v>
      </c>
      <c r="K1983">
        <v>0</v>
      </c>
      <c r="L1983">
        <v>163</v>
      </c>
      <c r="M1983">
        <v>236</v>
      </c>
      <c r="N1983" t="s">
        <v>31</v>
      </c>
      <c r="O1983" s="3">
        <v>44635</v>
      </c>
      <c r="P1983">
        <v>-1</v>
      </c>
      <c r="T1983" t="s">
        <v>47</v>
      </c>
      <c r="U1983">
        <v>49</v>
      </c>
      <c r="V1983">
        <v>30.875</v>
      </c>
    </row>
    <row r="1984" spans="1:22" x14ac:dyDescent="0.35">
      <c r="A1984" s="3">
        <v>44399</v>
      </c>
      <c r="B1984" t="s">
        <v>37</v>
      </c>
      <c r="C1984">
        <v>0</v>
      </c>
      <c r="D1984">
        <v>0</v>
      </c>
      <c r="E1984">
        <v>0</v>
      </c>
      <c r="F1984">
        <v>0</v>
      </c>
      <c r="G1984">
        <v>21.85</v>
      </c>
      <c r="H1984">
        <v>0</v>
      </c>
      <c r="I1984">
        <v>0</v>
      </c>
      <c r="J1984">
        <v>0</v>
      </c>
      <c r="K1984">
        <v>0</v>
      </c>
      <c r="L1984">
        <v>38</v>
      </c>
      <c r="M1984">
        <v>55</v>
      </c>
      <c r="N1984" t="s">
        <v>37</v>
      </c>
      <c r="O1984" s="3">
        <v>44454</v>
      </c>
      <c r="P1984">
        <v>-1</v>
      </c>
      <c r="T1984" t="s">
        <v>46</v>
      </c>
      <c r="U1984">
        <v>68</v>
      </c>
      <c r="V1984">
        <v>29.074999999999999</v>
      </c>
    </row>
    <row r="1985" spans="1:22" x14ac:dyDescent="0.35">
      <c r="A1985" s="3">
        <v>44398</v>
      </c>
      <c r="B1985" t="s">
        <v>35</v>
      </c>
      <c r="C1985">
        <v>0</v>
      </c>
      <c r="D1985">
        <v>0</v>
      </c>
      <c r="E1985">
        <v>0</v>
      </c>
      <c r="F1985">
        <v>0</v>
      </c>
      <c r="G1985">
        <v>22.947199999999999</v>
      </c>
      <c r="H1985">
        <v>0</v>
      </c>
      <c r="I1985">
        <v>0</v>
      </c>
      <c r="J1985">
        <v>0</v>
      </c>
      <c r="K1985">
        <v>0</v>
      </c>
      <c r="L1985">
        <v>84</v>
      </c>
      <c r="M1985">
        <v>119</v>
      </c>
      <c r="N1985" t="s">
        <v>35</v>
      </c>
      <c r="O1985" s="3">
        <v>44517</v>
      </c>
      <c r="P1985">
        <v>-1</v>
      </c>
      <c r="S1985" s="3">
        <v>44085</v>
      </c>
      <c r="T1985" t="s">
        <v>45</v>
      </c>
      <c r="U1985">
        <v>89</v>
      </c>
      <c r="V1985">
        <v>28.45</v>
      </c>
    </row>
    <row r="1986" spans="1:22" x14ac:dyDescent="0.35">
      <c r="A1986" s="3">
        <v>44398</v>
      </c>
      <c r="B1986" t="s">
        <v>39</v>
      </c>
      <c r="C1986">
        <v>0</v>
      </c>
      <c r="D1986">
        <v>0</v>
      </c>
      <c r="E1986">
        <v>0</v>
      </c>
      <c r="F1986">
        <v>0</v>
      </c>
      <c r="G1986">
        <v>18.899999999999999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39</v>
      </c>
      <c r="O1986" s="3">
        <v>44398</v>
      </c>
      <c r="P1986">
        <v>-1</v>
      </c>
      <c r="T1986" t="s">
        <v>44</v>
      </c>
      <c r="U1986">
        <v>108</v>
      </c>
      <c r="V1986">
        <v>28.175000000000001</v>
      </c>
    </row>
    <row r="1987" spans="1:22" x14ac:dyDescent="0.35">
      <c r="A1987" s="3">
        <v>44398</v>
      </c>
      <c r="B1987" t="s">
        <v>38</v>
      </c>
      <c r="C1987">
        <v>0</v>
      </c>
      <c r="D1987">
        <v>0</v>
      </c>
      <c r="E1987">
        <v>0</v>
      </c>
      <c r="F1987">
        <v>0</v>
      </c>
      <c r="G1987">
        <v>20.1082</v>
      </c>
      <c r="H1987">
        <v>0</v>
      </c>
      <c r="I1987">
        <v>0</v>
      </c>
      <c r="J1987">
        <v>0</v>
      </c>
      <c r="K1987">
        <v>0</v>
      </c>
      <c r="L1987">
        <v>20</v>
      </c>
      <c r="M1987">
        <v>28</v>
      </c>
      <c r="N1987" t="s">
        <v>38</v>
      </c>
      <c r="O1987" s="3">
        <v>44426</v>
      </c>
      <c r="P1987">
        <v>-1</v>
      </c>
      <c r="T1987" t="s">
        <v>43</v>
      </c>
      <c r="U1987">
        <v>128</v>
      </c>
      <c r="V1987">
        <v>27.75</v>
      </c>
    </row>
    <row r="1988" spans="1:22" x14ac:dyDescent="0.35">
      <c r="A1988" s="3">
        <v>44398</v>
      </c>
      <c r="B1988" t="s">
        <v>34</v>
      </c>
      <c r="C1988">
        <v>0</v>
      </c>
      <c r="D1988">
        <v>0</v>
      </c>
      <c r="E1988">
        <v>0</v>
      </c>
      <c r="F1988">
        <v>0</v>
      </c>
      <c r="G1988">
        <v>23.0046</v>
      </c>
      <c r="H1988">
        <v>0</v>
      </c>
      <c r="I1988">
        <v>0</v>
      </c>
      <c r="J1988">
        <v>0</v>
      </c>
      <c r="K1988">
        <v>0</v>
      </c>
      <c r="L1988">
        <v>108</v>
      </c>
      <c r="M1988">
        <v>154</v>
      </c>
      <c r="N1988" t="s">
        <v>34</v>
      </c>
      <c r="O1988" s="3">
        <v>44552</v>
      </c>
      <c r="P1988">
        <v>-1</v>
      </c>
      <c r="T1988" t="s">
        <v>42</v>
      </c>
      <c r="U1988">
        <v>153</v>
      </c>
      <c r="V1988">
        <v>27</v>
      </c>
    </row>
    <row r="1989" spans="1:22" x14ac:dyDescent="0.35">
      <c r="A1989" s="3">
        <v>44398</v>
      </c>
      <c r="B1989" t="s">
        <v>31</v>
      </c>
      <c r="C1989">
        <v>0</v>
      </c>
      <c r="D1989">
        <v>0</v>
      </c>
      <c r="E1989">
        <v>0</v>
      </c>
      <c r="F1989">
        <v>0</v>
      </c>
      <c r="G1989">
        <v>24.5</v>
      </c>
      <c r="H1989">
        <v>0</v>
      </c>
      <c r="I1989">
        <v>0</v>
      </c>
      <c r="J1989">
        <v>0</v>
      </c>
      <c r="K1989">
        <v>0</v>
      </c>
      <c r="L1989">
        <v>164</v>
      </c>
      <c r="M1989">
        <v>237</v>
      </c>
      <c r="N1989" t="s">
        <v>31</v>
      </c>
      <c r="O1989" s="3">
        <v>44635</v>
      </c>
      <c r="P1989">
        <v>-1</v>
      </c>
      <c r="T1989" t="s">
        <v>41</v>
      </c>
      <c r="U1989">
        <v>173</v>
      </c>
      <c r="V1989">
        <v>26.15</v>
      </c>
    </row>
    <row r="1990" spans="1:22" x14ac:dyDescent="0.35">
      <c r="A1990" s="3">
        <v>44398</v>
      </c>
      <c r="B1990" t="s">
        <v>37</v>
      </c>
      <c r="C1990">
        <v>0</v>
      </c>
      <c r="D1990">
        <v>0</v>
      </c>
      <c r="E1990">
        <v>0</v>
      </c>
      <c r="F1990">
        <v>0</v>
      </c>
      <c r="G1990">
        <v>21.646799999999999</v>
      </c>
      <c r="H1990">
        <v>0</v>
      </c>
      <c r="I1990">
        <v>0</v>
      </c>
      <c r="J1990">
        <v>0</v>
      </c>
      <c r="K1990">
        <v>0</v>
      </c>
      <c r="L1990">
        <v>39</v>
      </c>
      <c r="M1990">
        <v>56</v>
      </c>
      <c r="N1990" t="s">
        <v>37</v>
      </c>
      <c r="O1990" s="3">
        <v>44454</v>
      </c>
      <c r="P1990">
        <v>-1</v>
      </c>
      <c r="T1990" t="s">
        <v>49</v>
      </c>
      <c r="U1990">
        <v>3</v>
      </c>
      <c r="V1990">
        <v>26.324999999999999</v>
      </c>
    </row>
    <row r="1991" spans="1:22" x14ac:dyDescent="0.35">
      <c r="A1991" s="3">
        <v>44398</v>
      </c>
      <c r="B1991" t="s">
        <v>32</v>
      </c>
      <c r="C1991">
        <v>0</v>
      </c>
      <c r="D1991">
        <v>0</v>
      </c>
      <c r="E1991">
        <v>0</v>
      </c>
      <c r="F1991">
        <v>0</v>
      </c>
      <c r="G1991">
        <v>24.324999999999999</v>
      </c>
      <c r="H1991">
        <v>0</v>
      </c>
      <c r="I1991">
        <v>0</v>
      </c>
      <c r="J1991">
        <v>0</v>
      </c>
      <c r="K1991">
        <v>0</v>
      </c>
      <c r="L1991">
        <v>146</v>
      </c>
      <c r="M1991">
        <v>210</v>
      </c>
      <c r="N1991" t="s">
        <v>32</v>
      </c>
      <c r="O1991" s="3">
        <v>44608</v>
      </c>
      <c r="P1991">
        <v>-1</v>
      </c>
      <c r="T1991" t="s">
        <v>48</v>
      </c>
      <c r="U1991">
        <v>28</v>
      </c>
      <c r="V1991">
        <v>31.875</v>
      </c>
    </row>
    <row r="1992" spans="1:22" x14ac:dyDescent="0.35">
      <c r="A1992" s="3">
        <v>44398</v>
      </c>
      <c r="B1992" t="s">
        <v>36</v>
      </c>
      <c r="C1992">
        <v>0</v>
      </c>
      <c r="D1992">
        <v>0</v>
      </c>
      <c r="E1992">
        <v>0</v>
      </c>
      <c r="F1992">
        <v>0</v>
      </c>
      <c r="G1992">
        <v>22.549399999999999</v>
      </c>
      <c r="H1992">
        <v>0</v>
      </c>
      <c r="I1992">
        <v>0</v>
      </c>
      <c r="J1992">
        <v>0</v>
      </c>
      <c r="K1992">
        <v>0</v>
      </c>
      <c r="L1992">
        <v>64</v>
      </c>
      <c r="M1992">
        <v>91</v>
      </c>
      <c r="N1992" t="s">
        <v>36</v>
      </c>
      <c r="O1992" s="3">
        <v>44489</v>
      </c>
      <c r="P1992">
        <v>-1</v>
      </c>
      <c r="T1992" t="s">
        <v>47</v>
      </c>
      <c r="U1992">
        <v>48</v>
      </c>
      <c r="V1992">
        <v>30.574999999999999</v>
      </c>
    </row>
    <row r="1993" spans="1:22" x14ac:dyDescent="0.35">
      <c r="A1993" s="3">
        <v>44398</v>
      </c>
      <c r="B1993" t="s">
        <v>33</v>
      </c>
      <c r="C1993">
        <v>0</v>
      </c>
      <c r="D1993">
        <v>0</v>
      </c>
      <c r="E1993">
        <v>0</v>
      </c>
      <c r="F1993">
        <v>0</v>
      </c>
      <c r="G1993">
        <v>23.95</v>
      </c>
      <c r="H1993">
        <v>0</v>
      </c>
      <c r="I1993">
        <v>0</v>
      </c>
      <c r="J1993">
        <v>0</v>
      </c>
      <c r="K1993">
        <v>0</v>
      </c>
      <c r="L1993">
        <v>126</v>
      </c>
      <c r="M1993">
        <v>182</v>
      </c>
      <c r="N1993" t="s">
        <v>33</v>
      </c>
      <c r="O1993" s="3">
        <v>44580</v>
      </c>
      <c r="P1993">
        <v>-1</v>
      </c>
      <c r="T1993" t="s">
        <v>46</v>
      </c>
      <c r="U1993">
        <v>67</v>
      </c>
      <c r="V1993">
        <v>29.425000000000001</v>
      </c>
    </row>
    <row r="1994" spans="1:22" x14ac:dyDescent="0.35">
      <c r="A1994" s="3">
        <v>44397</v>
      </c>
      <c r="B1994" t="s">
        <v>32</v>
      </c>
      <c r="C1994">
        <v>0</v>
      </c>
      <c r="D1994">
        <v>0</v>
      </c>
      <c r="E1994">
        <v>0</v>
      </c>
      <c r="F1994">
        <v>0</v>
      </c>
      <c r="G1994">
        <v>24.8</v>
      </c>
      <c r="H1994">
        <v>0</v>
      </c>
      <c r="I1994">
        <v>0</v>
      </c>
      <c r="J1994">
        <v>0</v>
      </c>
      <c r="K1994">
        <v>0</v>
      </c>
      <c r="L1994">
        <v>147</v>
      </c>
      <c r="M1994">
        <v>211</v>
      </c>
      <c r="N1994" t="s">
        <v>32</v>
      </c>
      <c r="O1994" s="3">
        <v>44608</v>
      </c>
      <c r="P1994">
        <v>-1</v>
      </c>
      <c r="S1994" s="3">
        <v>44088</v>
      </c>
      <c r="T1994" t="s">
        <v>45</v>
      </c>
      <c r="U1994">
        <v>88</v>
      </c>
      <c r="V1994">
        <v>28.225000000000001</v>
      </c>
    </row>
    <row r="1995" spans="1:22" x14ac:dyDescent="0.35">
      <c r="A1995" s="3">
        <v>44397</v>
      </c>
      <c r="B1995" t="s">
        <v>36</v>
      </c>
      <c r="C1995">
        <v>0</v>
      </c>
      <c r="D1995">
        <v>0</v>
      </c>
      <c r="E1995">
        <v>0</v>
      </c>
      <c r="F1995">
        <v>0</v>
      </c>
      <c r="G1995">
        <v>23.395700000000001</v>
      </c>
      <c r="H1995">
        <v>0</v>
      </c>
      <c r="I1995">
        <v>0</v>
      </c>
      <c r="J1995">
        <v>0</v>
      </c>
      <c r="K1995">
        <v>0</v>
      </c>
      <c r="L1995">
        <v>65</v>
      </c>
      <c r="M1995">
        <v>92</v>
      </c>
      <c r="N1995" t="s">
        <v>36</v>
      </c>
      <c r="O1995" s="3">
        <v>44489</v>
      </c>
      <c r="P1995">
        <v>-1</v>
      </c>
      <c r="T1995" t="s">
        <v>44</v>
      </c>
      <c r="U1995">
        <v>107</v>
      </c>
      <c r="V1995">
        <v>28.024999999999999</v>
      </c>
    </row>
    <row r="1996" spans="1:22" x14ac:dyDescent="0.35">
      <c r="A1996" s="3">
        <v>44397</v>
      </c>
      <c r="B1996" t="s">
        <v>33</v>
      </c>
      <c r="C1996">
        <v>0</v>
      </c>
      <c r="D1996">
        <v>0</v>
      </c>
      <c r="E1996">
        <v>0</v>
      </c>
      <c r="F1996">
        <v>0</v>
      </c>
      <c r="G1996">
        <v>24.549499999999998</v>
      </c>
      <c r="H1996">
        <v>0</v>
      </c>
      <c r="I1996">
        <v>0</v>
      </c>
      <c r="J1996">
        <v>0</v>
      </c>
      <c r="K1996">
        <v>0</v>
      </c>
      <c r="L1996">
        <v>127</v>
      </c>
      <c r="M1996">
        <v>183</v>
      </c>
      <c r="N1996" t="s">
        <v>33</v>
      </c>
      <c r="O1996" s="3">
        <v>44580</v>
      </c>
      <c r="P1996">
        <v>-1</v>
      </c>
      <c r="T1996" t="s">
        <v>43</v>
      </c>
      <c r="U1996">
        <v>127</v>
      </c>
      <c r="V1996">
        <v>27.75</v>
      </c>
    </row>
    <row r="1997" spans="1:22" x14ac:dyDescent="0.35">
      <c r="A1997" s="3">
        <v>44397</v>
      </c>
      <c r="B1997" t="s">
        <v>35</v>
      </c>
      <c r="C1997">
        <v>0</v>
      </c>
      <c r="D1997">
        <v>0</v>
      </c>
      <c r="E1997">
        <v>0</v>
      </c>
      <c r="F1997">
        <v>0</v>
      </c>
      <c r="G1997">
        <v>23.687899999999999</v>
      </c>
      <c r="H1997">
        <v>0</v>
      </c>
      <c r="I1997">
        <v>0</v>
      </c>
      <c r="J1997">
        <v>0</v>
      </c>
      <c r="K1997">
        <v>0</v>
      </c>
      <c r="L1997">
        <v>85</v>
      </c>
      <c r="M1997">
        <v>120</v>
      </c>
      <c r="N1997" t="s">
        <v>35</v>
      </c>
      <c r="O1997" s="3">
        <v>44517</v>
      </c>
      <c r="P1997">
        <v>-1</v>
      </c>
      <c r="T1997" t="s">
        <v>42</v>
      </c>
      <c r="U1997">
        <v>152</v>
      </c>
      <c r="V1997">
        <v>27.074999999999999</v>
      </c>
    </row>
    <row r="1998" spans="1:22" x14ac:dyDescent="0.35">
      <c r="A1998" s="3">
        <v>44397</v>
      </c>
      <c r="B1998" t="s">
        <v>39</v>
      </c>
      <c r="C1998">
        <v>0</v>
      </c>
      <c r="D1998">
        <v>0</v>
      </c>
      <c r="E1998">
        <v>0</v>
      </c>
      <c r="F1998">
        <v>0</v>
      </c>
      <c r="G1998">
        <v>19.956099999999999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1</v>
      </c>
      <c r="N1998" t="s">
        <v>39</v>
      </c>
      <c r="O1998" s="3">
        <v>44398</v>
      </c>
      <c r="P1998">
        <v>-1</v>
      </c>
      <c r="T1998" t="s">
        <v>41</v>
      </c>
      <c r="U1998">
        <v>172</v>
      </c>
      <c r="V1998">
        <v>26.225000000000001</v>
      </c>
    </row>
    <row r="1999" spans="1:22" x14ac:dyDescent="0.35">
      <c r="A1999" s="3">
        <v>44397</v>
      </c>
      <c r="B1999" t="s">
        <v>38</v>
      </c>
      <c r="C1999">
        <v>0</v>
      </c>
      <c r="D1999">
        <v>0</v>
      </c>
      <c r="E1999">
        <v>0</v>
      </c>
      <c r="F1999">
        <v>0</v>
      </c>
      <c r="G1999">
        <v>21.485199999999999</v>
      </c>
      <c r="H1999">
        <v>0</v>
      </c>
      <c r="I1999">
        <v>0</v>
      </c>
      <c r="J1999">
        <v>0</v>
      </c>
      <c r="K1999">
        <v>0</v>
      </c>
      <c r="L1999">
        <v>21</v>
      </c>
      <c r="M1999">
        <v>29</v>
      </c>
      <c r="N1999" t="s">
        <v>38</v>
      </c>
      <c r="O1999" s="3">
        <v>44426</v>
      </c>
      <c r="P1999">
        <v>-1</v>
      </c>
      <c r="T1999" t="s">
        <v>49</v>
      </c>
      <c r="U1999">
        <v>2</v>
      </c>
      <c r="V1999">
        <v>25.725000000000001</v>
      </c>
    </row>
    <row r="2000" spans="1:22" x14ac:dyDescent="0.35">
      <c r="A2000" s="3">
        <v>44397</v>
      </c>
      <c r="B2000" t="s">
        <v>34</v>
      </c>
      <c r="C2000">
        <v>0</v>
      </c>
      <c r="D2000">
        <v>0</v>
      </c>
      <c r="E2000">
        <v>0</v>
      </c>
      <c r="F2000">
        <v>0</v>
      </c>
      <c r="G2000">
        <v>23.627199999999998</v>
      </c>
      <c r="H2000">
        <v>0</v>
      </c>
      <c r="I2000">
        <v>0</v>
      </c>
      <c r="J2000">
        <v>0</v>
      </c>
      <c r="K2000">
        <v>0</v>
      </c>
      <c r="L2000">
        <v>109</v>
      </c>
      <c r="M2000">
        <v>155</v>
      </c>
      <c r="N2000" t="s">
        <v>34</v>
      </c>
      <c r="O2000" s="3">
        <v>44552</v>
      </c>
      <c r="P2000">
        <v>-1</v>
      </c>
      <c r="T2000" t="s">
        <v>48</v>
      </c>
      <c r="U2000">
        <v>27</v>
      </c>
      <c r="V2000">
        <v>31.375</v>
      </c>
    </row>
    <row r="2001" spans="1:22" x14ac:dyDescent="0.35">
      <c r="A2001" s="3">
        <v>44397</v>
      </c>
      <c r="B2001" t="s">
        <v>31</v>
      </c>
      <c r="C2001">
        <v>0</v>
      </c>
      <c r="D2001">
        <v>0</v>
      </c>
      <c r="E2001">
        <v>0</v>
      </c>
      <c r="F2001">
        <v>0</v>
      </c>
      <c r="G2001">
        <v>25</v>
      </c>
      <c r="H2001">
        <v>0</v>
      </c>
      <c r="I2001">
        <v>0</v>
      </c>
      <c r="J2001">
        <v>0</v>
      </c>
      <c r="K2001">
        <v>0</v>
      </c>
      <c r="L2001">
        <v>165</v>
      </c>
      <c r="M2001">
        <v>238</v>
      </c>
      <c r="N2001" t="s">
        <v>31</v>
      </c>
      <c r="O2001" s="3">
        <v>44635</v>
      </c>
      <c r="P2001">
        <v>-1</v>
      </c>
      <c r="T2001" t="s">
        <v>47</v>
      </c>
      <c r="U2001">
        <v>47</v>
      </c>
      <c r="V2001">
        <v>30.15</v>
      </c>
    </row>
    <row r="2002" spans="1:22" x14ac:dyDescent="0.35">
      <c r="A2002" s="3">
        <v>44397</v>
      </c>
      <c r="B2002" t="s">
        <v>37</v>
      </c>
      <c r="C2002">
        <v>0</v>
      </c>
      <c r="D2002">
        <v>0</v>
      </c>
      <c r="E2002">
        <v>0</v>
      </c>
      <c r="F2002">
        <v>0</v>
      </c>
      <c r="G2002">
        <v>22.600100000000001</v>
      </c>
      <c r="H2002">
        <v>0</v>
      </c>
      <c r="I2002">
        <v>0</v>
      </c>
      <c r="J2002">
        <v>0</v>
      </c>
      <c r="K2002">
        <v>0</v>
      </c>
      <c r="L2002">
        <v>40</v>
      </c>
      <c r="M2002">
        <v>57</v>
      </c>
      <c r="N2002" t="s">
        <v>37</v>
      </c>
      <c r="O2002" s="3">
        <v>44454</v>
      </c>
      <c r="P2002">
        <v>-1</v>
      </c>
      <c r="T2002" t="s">
        <v>46</v>
      </c>
      <c r="U2002">
        <v>66</v>
      </c>
      <c r="V2002">
        <v>29.024999999999999</v>
      </c>
    </row>
    <row r="2003" spans="1:22" x14ac:dyDescent="0.35">
      <c r="A2003" s="3">
        <v>44396</v>
      </c>
      <c r="B2003" t="s">
        <v>35</v>
      </c>
      <c r="C2003">
        <v>0</v>
      </c>
      <c r="D2003">
        <v>0</v>
      </c>
      <c r="E2003">
        <v>0</v>
      </c>
      <c r="F2003">
        <v>0</v>
      </c>
      <c r="G2003">
        <v>24.068899999999999</v>
      </c>
      <c r="H2003">
        <v>0</v>
      </c>
      <c r="I2003">
        <v>0</v>
      </c>
      <c r="J2003">
        <v>0</v>
      </c>
      <c r="K2003">
        <v>0</v>
      </c>
      <c r="L2003">
        <v>86</v>
      </c>
      <c r="M2003">
        <v>121</v>
      </c>
      <c r="N2003" t="s">
        <v>35</v>
      </c>
      <c r="O2003" s="3">
        <v>44517</v>
      </c>
      <c r="P2003">
        <v>-1</v>
      </c>
      <c r="S2003" s="3">
        <v>44089</v>
      </c>
      <c r="T2003" t="s">
        <v>45</v>
      </c>
      <c r="U2003">
        <v>87</v>
      </c>
      <c r="V2003">
        <v>28.574999999999999</v>
      </c>
    </row>
    <row r="2004" spans="1:22" x14ac:dyDescent="0.35">
      <c r="A2004" s="3">
        <v>44396</v>
      </c>
      <c r="B2004" t="s">
        <v>39</v>
      </c>
      <c r="C2004">
        <v>0</v>
      </c>
      <c r="D2004">
        <v>0</v>
      </c>
      <c r="E2004">
        <v>0</v>
      </c>
      <c r="F2004">
        <v>0</v>
      </c>
      <c r="G2004">
        <v>22.738</v>
      </c>
      <c r="H2004">
        <v>0</v>
      </c>
      <c r="I2004">
        <v>0</v>
      </c>
      <c r="J2004">
        <v>0</v>
      </c>
      <c r="K2004">
        <v>0</v>
      </c>
      <c r="L2004">
        <v>2</v>
      </c>
      <c r="M2004">
        <v>2</v>
      </c>
      <c r="N2004" t="s">
        <v>39</v>
      </c>
      <c r="O2004" s="3">
        <v>44398</v>
      </c>
      <c r="P2004">
        <v>-1</v>
      </c>
      <c r="T2004" t="s">
        <v>44</v>
      </c>
      <c r="U2004">
        <v>106</v>
      </c>
      <c r="V2004">
        <v>28.125</v>
      </c>
    </row>
    <row r="2005" spans="1:22" x14ac:dyDescent="0.35">
      <c r="A2005" s="3">
        <v>44396</v>
      </c>
      <c r="B2005" t="s">
        <v>38</v>
      </c>
      <c r="C2005">
        <v>0</v>
      </c>
      <c r="D2005">
        <v>0</v>
      </c>
      <c r="E2005">
        <v>0</v>
      </c>
      <c r="F2005">
        <v>0</v>
      </c>
      <c r="G2005">
        <v>23.6675</v>
      </c>
      <c r="H2005">
        <v>0</v>
      </c>
      <c r="I2005">
        <v>0</v>
      </c>
      <c r="J2005">
        <v>0</v>
      </c>
      <c r="K2005">
        <v>0</v>
      </c>
      <c r="L2005">
        <v>22</v>
      </c>
      <c r="M2005">
        <v>30</v>
      </c>
      <c r="N2005" t="s">
        <v>38</v>
      </c>
      <c r="O2005" s="3">
        <v>44426</v>
      </c>
      <c r="P2005">
        <v>-1</v>
      </c>
      <c r="T2005" t="s">
        <v>43</v>
      </c>
      <c r="U2005">
        <v>126</v>
      </c>
      <c r="V2005">
        <v>27.8</v>
      </c>
    </row>
    <row r="2006" spans="1:22" x14ac:dyDescent="0.35">
      <c r="A2006" s="3">
        <v>44396</v>
      </c>
      <c r="B2006" t="s">
        <v>34</v>
      </c>
      <c r="C2006">
        <v>0</v>
      </c>
      <c r="D2006">
        <v>0</v>
      </c>
      <c r="E2006">
        <v>0</v>
      </c>
      <c r="F2006">
        <v>0</v>
      </c>
      <c r="G2006">
        <v>23.925799999999999</v>
      </c>
      <c r="H2006">
        <v>0</v>
      </c>
      <c r="I2006">
        <v>0</v>
      </c>
      <c r="J2006">
        <v>0</v>
      </c>
      <c r="K2006">
        <v>0</v>
      </c>
      <c r="L2006">
        <v>110</v>
      </c>
      <c r="M2006">
        <v>156</v>
      </c>
      <c r="N2006" t="s">
        <v>34</v>
      </c>
      <c r="O2006" s="3">
        <v>44552</v>
      </c>
      <c r="P2006">
        <v>-1</v>
      </c>
      <c r="T2006" t="s">
        <v>42</v>
      </c>
      <c r="U2006">
        <v>151</v>
      </c>
      <c r="V2006">
        <v>27.2</v>
      </c>
    </row>
    <row r="2007" spans="1:22" x14ac:dyDescent="0.35">
      <c r="A2007" s="3">
        <v>44396</v>
      </c>
      <c r="B2007" t="s">
        <v>31</v>
      </c>
      <c r="C2007">
        <v>0</v>
      </c>
      <c r="D2007">
        <v>0</v>
      </c>
      <c r="E2007">
        <v>0</v>
      </c>
      <c r="F2007">
        <v>0</v>
      </c>
      <c r="G2007">
        <v>24.9</v>
      </c>
      <c r="H2007">
        <v>0</v>
      </c>
      <c r="I2007">
        <v>0</v>
      </c>
      <c r="J2007">
        <v>0</v>
      </c>
      <c r="K2007">
        <v>0</v>
      </c>
      <c r="L2007">
        <v>166</v>
      </c>
      <c r="M2007">
        <v>239</v>
      </c>
      <c r="N2007" t="s">
        <v>31</v>
      </c>
      <c r="O2007" s="3">
        <v>44635</v>
      </c>
      <c r="P2007">
        <v>-1</v>
      </c>
      <c r="T2007" t="s">
        <v>41</v>
      </c>
      <c r="U2007">
        <v>171</v>
      </c>
      <c r="V2007">
        <v>26.3</v>
      </c>
    </row>
    <row r="2008" spans="1:22" x14ac:dyDescent="0.35">
      <c r="A2008" s="3">
        <v>44396</v>
      </c>
      <c r="B2008" t="s">
        <v>37</v>
      </c>
      <c r="C2008">
        <v>0</v>
      </c>
      <c r="D2008">
        <v>0</v>
      </c>
      <c r="E2008">
        <v>0</v>
      </c>
      <c r="F2008">
        <v>0</v>
      </c>
      <c r="G2008">
        <v>23.965</v>
      </c>
      <c r="H2008">
        <v>0</v>
      </c>
      <c r="I2008">
        <v>0</v>
      </c>
      <c r="J2008">
        <v>0</v>
      </c>
      <c r="K2008">
        <v>0</v>
      </c>
      <c r="L2008">
        <v>41</v>
      </c>
      <c r="M2008">
        <v>58</v>
      </c>
      <c r="N2008" t="s">
        <v>37</v>
      </c>
      <c r="O2008" s="3">
        <v>44454</v>
      </c>
      <c r="P2008">
        <v>-1</v>
      </c>
      <c r="T2008" t="s">
        <v>49</v>
      </c>
      <c r="U2008">
        <v>1</v>
      </c>
      <c r="V2008">
        <v>25.375</v>
      </c>
    </row>
    <row r="2009" spans="1:22" x14ac:dyDescent="0.35">
      <c r="A2009" s="3">
        <v>44396</v>
      </c>
      <c r="B2009" t="s">
        <v>32</v>
      </c>
      <c r="C2009">
        <v>0</v>
      </c>
      <c r="D2009">
        <v>0</v>
      </c>
      <c r="E2009">
        <v>0</v>
      </c>
      <c r="F2009">
        <v>0</v>
      </c>
      <c r="G2009">
        <v>24.9</v>
      </c>
      <c r="H2009">
        <v>0</v>
      </c>
      <c r="I2009">
        <v>0</v>
      </c>
      <c r="J2009">
        <v>0</v>
      </c>
      <c r="K2009">
        <v>0</v>
      </c>
      <c r="L2009">
        <v>148</v>
      </c>
      <c r="M2009">
        <v>212</v>
      </c>
      <c r="N2009" t="s">
        <v>32</v>
      </c>
      <c r="O2009" s="3">
        <v>44608</v>
      </c>
      <c r="P2009">
        <v>-1</v>
      </c>
      <c r="T2009" t="s">
        <v>48</v>
      </c>
      <c r="U2009">
        <v>26</v>
      </c>
      <c r="V2009">
        <v>30.425000000000001</v>
      </c>
    </row>
    <row r="2010" spans="1:22" x14ac:dyDescent="0.35">
      <c r="A2010" s="3">
        <v>44396</v>
      </c>
      <c r="B2010" t="s">
        <v>36</v>
      </c>
      <c r="C2010">
        <v>0</v>
      </c>
      <c r="D2010">
        <v>0</v>
      </c>
      <c r="E2010">
        <v>0</v>
      </c>
      <c r="F2010">
        <v>0</v>
      </c>
      <c r="G2010">
        <v>23.999600000000001</v>
      </c>
      <c r="H2010">
        <v>0</v>
      </c>
      <c r="I2010">
        <v>0</v>
      </c>
      <c r="J2010">
        <v>0</v>
      </c>
      <c r="K2010">
        <v>0</v>
      </c>
      <c r="L2010">
        <v>66</v>
      </c>
      <c r="M2010">
        <v>93</v>
      </c>
      <c r="N2010" t="s">
        <v>36</v>
      </c>
      <c r="O2010" s="3">
        <v>44489</v>
      </c>
      <c r="P2010">
        <v>-1</v>
      </c>
      <c r="T2010" t="s">
        <v>47</v>
      </c>
      <c r="U2010">
        <v>46</v>
      </c>
      <c r="V2010">
        <v>30.324999999999999</v>
      </c>
    </row>
    <row r="2011" spans="1:22" x14ac:dyDescent="0.35">
      <c r="A2011" s="3">
        <v>44396</v>
      </c>
      <c r="B2011" t="s">
        <v>33</v>
      </c>
      <c r="C2011">
        <v>0</v>
      </c>
      <c r="D2011">
        <v>0</v>
      </c>
      <c r="E2011">
        <v>0</v>
      </c>
      <c r="F2011">
        <v>0</v>
      </c>
      <c r="G2011">
        <v>24.7182</v>
      </c>
      <c r="H2011">
        <v>0</v>
      </c>
      <c r="I2011">
        <v>0</v>
      </c>
      <c r="J2011">
        <v>0</v>
      </c>
      <c r="K2011">
        <v>0</v>
      </c>
      <c r="L2011">
        <v>128</v>
      </c>
      <c r="M2011">
        <v>184</v>
      </c>
      <c r="N2011" t="s">
        <v>33</v>
      </c>
      <c r="O2011" s="3">
        <v>44580</v>
      </c>
      <c r="P2011">
        <v>-1</v>
      </c>
      <c r="T2011" t="s">
        <v>46</v>
      </c>
      <c r="U2011">
        <v>65</v>
      </c>
      <c r="V2011">
        <v>29.425000000000001</v>
      </c>
    </row>
    <row r="2012" spans="1:22" x14ac:dyDescent="0.35">
      <c r="A2012" s="3">
        <v>44393</v>
      </c>
      <c r="B2012" t="s">
        <v>32</v>
      </c>
      <c r="C2012">
        <v>0</v>
      </c>
      <c r="D2012">
        <v>0</v>
      </c>
      <c r="E2012">
        <v>0</v>
      </c>
      <c r="F2012">
        <v>0</v>
      </c>
      <c r="G2012">
        <v>24.2</v>
      </c>
      <c r="H2012">
        <v>0</v>
      </c>
      <c r="I2012">
        <v>0</v>
      </c>
      <c r="J2012">
        <v>0</v>
      </c>
      <c r="K2012">
        <v>0</v>
      </c>
      <c r="L2012">
        <v>149</v>
      </c>
      <c r="M2012">
        <v>215</v>
      </c>
      <c r="N2012" t="s">
        <v>32</v>
      </c>
      <c r="O2012" s="3">
        <v>44608</v>
      </c>
      <c r="P2012">
        <v>-1</v>
      </c>
      <c r="S2012" s="3">
        <v>44090</v>
      </c>
      <c r="T2012" t="s">
        <v>45</v>
      </c>
      <c r="U2012">
        <v>86</v>
      </c>
      <c r="V2012">
        <v>29.3</v>
      </c>
    </row>
    <row r="2013" spans="1:22" x14ac:dyDescent="0.35">
      <c r="A2013" s="3">
        <v>44393</v>
      </c>
      <c r="B2013" t="s">
        <v>36</v>
      </c>
      <c r="C2013">
        <v>0</v>
      </c>
      <c r="D2013">
        <v>0</v>
      </c>
      <c r="E2013">
        <v>0</v>
      </c>
      <c r="F2013">
        <v>0</v>
      </c>
      <c r="G2013">
        <v>22.5793</v>
      </c>
      <c r="H2013">
        <v>0</v>
      </c>
      <c r="I2013">
        <v>0</v>
      </c>
      <c r="J2013">
        <v>0</v>
      </c>
      <c r="K2013">
        <v>0</v>
      </c>
      <c r="L2013">
        <v>67</v>
      </c>
      <c r="M2013">
        <v>96</v>
      </c>
      <c r="N2013" t="s">
        <v>36</v>
      </c>
      <c r="O2013" s="3">
        <v>44489</v>
      </c>
      <c r="P2013">
        <v>-1</v>
      </c>
      <c r="T2013" t="s">
        <v>44</v>
      </c>
      <c r="U2013">
        <v>105</v>
      </c>
      <c r="V2013">
        <v>28.55</v>
      </c>
    </row>
    <row r="2014" spans="1:22" x14ac:dyDescent="0.35">
      <c r="A2014" s="3">
        <v>44393</v>
      </c>
      <c r="B2014" t="s">
        <v>33</v>
      </c>
      <c r="C2014">
        <v>0</v>
      </c>
      <c r="D2014">
        <v>0</v>
      </c>
      <c r="E2014">
        <v>0</v>
      </c>
      <c r="F2014">
        <v>0</v>
      </c>
      <c r="G2014">
        <v>24.074999999999999</v>
      </c>
      <c r="H2014">
        <v>0</v>
      </c>
      <c r="I2014">
        <v>0</v>
      </c>
      <c r="J2014">
        <v>0</v>
      </c>
      <c r="K2014">
        <v>0</v>
      </c>
      <c r="L2014">
        <v>129</v>
      </c>
      <c r="M2014">
        <v>187</v>
      </c>
      <c r="N2014" t="s">
        <v>33</v>
      </c>
      <c r="O2014" s="3">
        <v>44580</v>
      </c>
      <c r="P2014">
        <v>-1</v>
      </c>
      <c r="T2014" t="s">
        <v>43</v>
      </c>
      <c r="U2014">
        <v>125</v>
      </c>
      <c r="V2014">
        <v>28.15</v>
      </c>
    </row>
    <row r="2015" spans="1:22" x14ac:dyDescent="0.35">
      <c r="A2015" s="3">
        <v>44393</v>
      </c>
      <c r="B2015" t="s">
        <v>35</v>
      </c>
      <c r="C2015">
        <v>0</v>
      </c>
      <c r="D2015">
        <v>0</v>
      </c>
      <c r="E2015">
        <v>0</v>
      </c>
      <c r="F2015">
        <v>0</v>
      </c>
      <c r="G2015">
        <v>23.017800000000001</v>
      </c>
      <c r="H2015">
        <v>0</v>
      </c>
      <c r="I2015">
        <v>0</v>
      </c>
      <c r="J2015">
        <v>0</v>
      </c>
      <c r="K2015">
        <v>0</v>
      </c>
      <c r="L2015">
        <v>87</v>
      </c>
      <c r="M2015">
        <v>124</v>
      </c>
      <c r="N2015" t="s">
        <v>35</v>
      </c>
      <c r="O2015" s="3">
        <v>44517</v>
      </c>
      <c r="P2015">
        <v>-1</v>
      </c>
      <c r="T2015" t="s">
        <v>42</v>
      </c>
      <c r="U2015">
        <v>150</v>
      </c>
      <c r="V2015">
        <v>27.625</v>
      </c>
    </row>
    <row r="2016" spans="1:22" x14ac:dyDescent="0.35">
      <c r="A2016" s="3">
        <v>44393</v>
      </c>
      <c r="B2016" t="s">
        <v>39</v>
      </c>
      <c r="C2016">
        <v>0</v>
      </c>
      <c r="D2016">
        <v>0</v>
      </c>
      <c r="E2016">
        <v>0</v>
      </c>
      <c r="F2016">
        <v>0</v>
      </c>
      <c r="G2016">
        <v>18.622800000000002</v>
      </c>
      <c r="H2016">
        <v>0</v>
      </c>
      <c r="I2016">
        <v>0</v>
      </c>
      <c r="J2016">
        <v>0</v>
      </c>
      <c r="K2016">
        <v>0</v>
      </c>
      <c r="L2016">
        <v>3</v>
      </c>
      <c r="M2016">
        <v>5</v>
      </c>
      <c r="N2016" t="s">
        <v>39</v>
      </c>
      <c r="O2016" s="3">
        <v>44398</v>
      </c>
      <c r="P2016">
        <v>-1</v>
      </c>
      <c r="T2016" t="s">
        <v>41</v>
      </c>
      <c r="U2016">
        <v>170</v>
      </c>
      <c r="V2016">
        <v>27.05</v>
      </c>
    </row>
    <row r="2017" spans="1:22" x14ac:dyDescent="0.35">
      <c r="A2017" s="3">
        <v>44393</v>
      </c>
      <c r="B2017" t="s">
        <v>38</v>
      </c>
      <c r="C2017">
        <v>0</v>
      </c>
      <c r="D2017">
        <v>0</v>
      </c>
      <c r="E2017">
        <v>0</v>
      </c>
      <c r="F2017">
        <v>0</v>
      </c>
      <c r="G2017">
        <v>20.633900000000001</v>
      </c>
      <c r="H2017">
        <v>0</v>
      </c>
      <c r="I2017">
        <v>0</v>
      </c>
      <c r="J2017">
        <v>0</v>
      </c>
      <c r="K2017">
        <v>0</v>
      </c>
      <c r="L2017">
        <v>23</v>
      </c>
      <c r="M2017">
        <v>33</v>
      </c>
      <c r="N2017" t="s">
        <v>38</v>
      </c>
      <c r="O2017" s="3">
        <v>44426</v>
      </c>
      <c r="P2017">
        <v>-1</v>
      </c>
      <c r="T2017" t="s">
        <v>49</v>
      </c>
      <c r="U2017">
        <v>0</v>
      </c>
      <c r="V2017">
        <v>26.12</v>
      </c>
    </row>
    <row r="2018" spans="1:22" x14ac:dyDescent="0.35">
      <c r="A2018" s="3">
        <v>44393</v>
      </c>
      <c r="B2018" t="s">
        <v>34</v>
      </c>
      <c r="C2018">
        <v>0</v>
      </c>
      <c r="D2018">
        <v>0</v>
      </c>
      <c r="E2018">
        <v>0</v>
      </c>
      <c r="F2018">
        <v>0</v>
      </c>
      <c r="G2018">
        <v>23.122599999999998</v>
      </c>
      <c r="H2018">
        <v>0</v>
      </c>
      <c r="I2018">
        <v>0</v>
      </c>
      <c r="J2018">
        <v>0</v>
      </c>
      <c r="K2018">
        <v>0</v>
      </c>
      <c r="L2018">
        <v>111</v>
      </c>
      <c r="M2018">
        <v>159</v>
      </c>
      <c r="N2018" t="s">
        <v>34</v>
      </c>
      <c r="O2018" s="3">
        <v>44552</v>
      </c>
      <c r="P2018">
        <v>-1</v>
      </c>
      <c r="T2018" t="s">
        <v>48</v>
      </c>
      <c r="U2018">
        <v>25</v>
      </c>
      <c r="V2018">
        <v>30.524999999999999</v>
      </c>
    </row>
    <row r="2019" spans="1:22" x14ac:dyDescent="0.35">
      <c r="A2019" s="3">
        <v>44393</v>
      </c>
      <c r="B2019" t="s">
        <v>31</v>
      </c>
      <c r="C2019">
        <v>0</v>
      </c>
      <c r="D2019">
        <v>0</v>
      </c>
      <c r="E2019">
        <v>0</v>
      </c>
      <c r="F2019">
        <v>0</v>
      </c>
      <c r="G2019">
        <v>24.45</v>
      </c>
      <c r="H2019">
        <v>0</v>
      </c>
      <c r="I2019">
        <v>0</v>
      </c>
      <c r="J2019">
        <v>0</v>
      </c>
      <c r="K2019">
        <v>0</v>
      </c>
      <c r="L2019">
        <v>167</v>
      </c>
      <c r="M2019">
        <v>242</v>
      </c>
      <c r="N2019" t="s">
        <v>31</v>
      </c>
      <c r="O2019" s="3">
        <v>44635</v>
      </c>
      <c r="P2019">
        <v>-1</v>
      </c>
      <c r="T2019" t="s">
        <v>47</v>
      </c>
      <c r="U2019">
        <v>45</v>
      </c>
      <c r="V2019">
        <v>30.774999999999999</v>
      </c>
    </row>
    <row r="2020" spans="1:22" x14ac:dyDescent="0.35">
      <c r="A2020" s="3">
        <v>44393</v>
      </c>
      <c r="B2020" t="s">
        <v>37</v>
      </c>
      <c r="C2020">
        <v>0</v>
      </c>
      <c r="D2020">
        <v>0</v>
      </c>
      <c r="E2020">
        <v>0</v>
      </c>
      <c r="F2020">
        <v>0</v>
      </c>
      <c r="G2020">
        <v>21.746500000000001</v>
      </c>
      <c r="H2020">
        <v>0</v>
      </c>
      <c r="I2020">
        <v>0</v>
      </c>
      <c r="J2020">
        <v>0</v>
      </c>
      <c r="K2020">
        <v>0</v>
      </c>
      <c r="L2020">
        <v>42</v>
      </c>
      <c r="M2020">
        <v>61</v>
      </c>
      <c r="N2020" t="s">
        <v>37</v>
      </c>
      <c r="O2020" s="3">
        <v>44454</v>
      </c>
      <c r="P2020">
        <v>-1</v>
      </c>
      <c r="T2020" t="s">
        <v>46</v>
      </c>
      <c r="U2020">
        <v>64</v>
      </c>
      <c r="V2020">
        <v>29.975000000000001</v>
      </c>
    </row>
    <row r="2021" spans="1:22" x14ac:dyDescent="0.35">
      <c r="A2021" s="3">
        <v>44392</v>
      </c>
      <c r="B2021" t="s">
        <v>35</v>
      </c>
      <c r="C2021">
        <v>0</v>
      </c>
      <c r="D2021">
        <v>0</v>
      </c>
      <c r="E2021">
        <v>0</v>
      </c>
      <c r="F2021">
        <v>0</v>
      </c>
      <c r="G2021">
        <v>22.6617</v>
      </c>
      <c r="H2021">
        <v>0</v>
      </c>
      <c r="I2021">
        <v>0</v>
      </c>
      <c r="J2021">
        <v>0</v>
      </c>
      <c r="K2021">
        <v>0</v>
      </c>
      <c r="L2021">
        <v>88</v>
      </c>
      <c r="M2021">
        <v>125</v>
      </c>
      <c r="N2021" t="s">
        <v>35</v>
      </c>
      <c r="O2021" s="3">
        <v>44517</v>
      </c>
      <c r="P2021">
        <v>-1</v>
      </c>
      <c r="S2021" s="3">
        <v>44091</v>
      </c>
      <c r="T2021" t="s">
        <v>45</v>
      </c>
      <c r="U2021">
        <v>85</v>
      </c>
      <c r="V2021">
        <v>29.675000000000001</v>
      </c>
    </row>
    <row r="2022" spans="1:22" x14ac:dyDescent="0.35">
      <c r="A2022" s="3">
        <v>44392</v>
      </c>
      <c r="B2022" t="s">
        <v>39</v>
      </c>
      <c r="C2022">
        <v>0</v>
      </c>
      <c r="D2022">
        <v>0</v>
      </c>
      <c r="E2022">
        <v>0</v>
      </c>
      <c r="F2022">
        <v>0</v>
      </c>
      <c r="G2022">
        <v>17.510000000000002</v>
      </c>
      <c r="H2022">
        <v>0</v>
      </c>
      <c r="I2022">
        <v>0</v>
      </c>
      <c r="J2022">
        <v>0</v>
      </c>
      <c r="K2022">
        <v>0</v>
      </c>
      <c r="L2022">
        <v>4</v>
      </c>
      <c r="M2022">
        <v>6</v>
      </c>
      <c r="N2022" t="s">
        <v>39</v>
      </c>
      <c r="O2022" s="3">
        <v>44398</v>
      </c>
      <c r="P2022">
        <v>-1</v>
      </c>
      <c r="T2022" t="s">
        <v>44</v>
      </c>
      <c r="U2022">
        <v>104</v>
      </c>
      <c r="V2022">
        <v>29.024999999999999</v>
      </c>
    </row>
    <row r="2023" spans="1:22" x14ac:dyDescent="0.35">
      <c r="A2023" s="3">
        <v>44392</v>
      </c>
      <c r="B2023" t="s">
        <v>38</v>
      </c>
      <c r="C2023">
        <v>0</v>
      </c>
      <c r="D2023">
        <v>0</v>
      </c>
      <c r="E2023">
        <v>0</v>
      </c>
      <c r="F2023">
        <v>0</v>
      </c>
      <c r="G2023">
        <v>19.814900000000002</v>
      </c>
      <c r="H2023">
        <v>0</v>
      </c>
      <c r="I2023">
        <v>0</v>
      </c>
      <c r="J2023">
        <v>0</v>
      </c>
      <c r="K2023">
        <v>0</v>
      </c>
      <c r="L2023">
        <v>24</v>
      </c>
      <c r="M2023">
        <v>34</v>
      </c>
      <c r="N2023" t="s">
        <v>38</v>
      </c>
      <c r="O2023" s="3">
        <v>44426</v>
      </c>
      <c r="P2023">
        <v>-1</v>
      </c>
      <c r="T2023" t="s">
        <v>43</v>
      </c>
      <c r="U2023">
        <v>124</v>
      </c>
      <c r="V2023">
        <v>28.675000000000001</v>
      </c>
    </row>
    <row r="2024" spans="1:22" x14ac:dyDescent="0.35">
      <c r="A2024" s="3">
        <v>44392</v>
      </c>
      <c r="B2024" t="s">
        <v>34</v>
      </c>
      <c r="C2024">
        <v>0</v>
      </c>
      <c r="D2024">
        <v>0</v>
      </c>
      <c r="E2024">
        <v>0</v>
      </c>
      <c r="F2024">
        <v>0</v>
      </c>
      <c r="G2024">
        <v>22.824100000000001</v>
      </c>
      <c r="H2024">
        <v>0</v>
      </c>
      <c r="I2024">
        <v>0</v>
      </c>
      <c r="J2024">
        <v>0</v>
      </c>
      <c r="K2024">
        <v>0</v>
      </c>
      <c r="L2024">
        <v>112</v>
      </c>
      <c r="M2024">
        <v>160</v>
      </c>
      <c r="N2024" t="s">
        <v>34</v>
      </c>
      <c r="O2024" s="3">
        <v>44552</v>
      </c>
      <c r="P2024">
        <v>-1</v>
      </c>
      <c r="T2024" t="s">
        <v>42</v>
      </c>
      <c r="U2024">
        <v>149</v>
      </c>
      <c r="V2024">
        <v>28.125</v>
      </c>
    </row>
    <row r="2025" spans="1:22" x14ac:dyDescent="0.35">
      <c r="A2025" s="3">
        <v>44392</v>
      </c>
      <c r="B2025" t="s">
        <v>31</v>
      </c>
      <c r="C2025">
        <v>0</v>
      </c>
      <c r="D2025">
        <v>0</v>
      </c>
      <c r="E2025">
        <v>0</v>
      </c>
      <c r="F2025">
        <v>0</v>
      </c>
      <c r="G2025">
        <v>24.274999999999999</v>
      </c>
      <c r="H2025">
        <v>0</v>
      </c>
      <c r="I2025">
        <v>0</v>
      </c>
      <c r="J2025">
        <v>0</v>
      </c>
      <c r="K2025">
        <v>0</v>
      </c>
      <c r="L2025">
        <v>168</v>
      </c>
      <c r="M2025">
        <v>243</v>
      </c>
      <c r="N2025" t="s">
        <v>31</v>
      </c>
      <c r="O2025" s="3">
        <v>44635</v>
      </c>
      <c r="P2025">
        <v>-1</v>
      </c>
      <c r="T2025" t="s">
        <v>41</v>
      </c>
      <c r="U2025">
        <v>169</v>
      </c>
      <c r="V2025">
        <v>27.425000000000001</v>
      </c>
    </row>
    <row r="2026" spans="1:22" x14ac:dyDescent="0.35">
      <c r="A2026" s="3">
        <v>44392</v>
      </c>
      <c r="B2026" t="s">
        <v>37</v>
      </c>
      <c r="C2026">
        <v>0</v>
      </c>
      <c r="D2026">
        <v>0</v>
      </c>
      <c r="E2026">
        <v>0</v>
      </c>
      <c r="F2026">
        <v>0</v>
      </c>
      <c r="G2026">
        <v>21.215699999999998</v>
      </c>
      <c r="H2026">
        <v>0</v>
      </c>
      <c r="I2026">
        <v>0</v>
      </c>
      <c r="J2026">
        <v>0</v>
      </c>
      <c r="K2026">
        <v>0</v>
      </c>
      <c r="L2026">
        <v>43</v>
      </c>
      <c r="M2026">
        <v>62</v>
      </c>
      <c r="N2026" t="s">
        <v>37</v>
      </c>
      <c r="O2026" s="3">
        <v>44454</v>
      </c>
      <c r="P2026">
        <v>-1</v>
      </c>
      <c r="T2026" t="s">
        <v>48</v>
      </c>
      <c r="U2026">
        <v>24</v>
      </c>
      <c r="V2026">
        <v>29.824999999999999</v>
      </c>
    </row>
    <row r="2027" spans="1:22" x14ac:dyDescent="0.35">
      <c r="A2027" s="3">
        <v>44392</v>
      </c>
      <c r="B2027" t="s">
        <v>32</v>
      </c>
      <c r="C2027">
        <v>0</v>
      </c>
      <c r="D2027">
        <v>0</v>
      </c>
      <c r="E2027">
        <v>0</v>
      </c>
      <c r="F2027">
        <v>0</v>
      </c>
      <c r="G2027">
        <v>24.15</v>
      </c>
      <c r="H2027">
        <v>0</v>
      </c>
      <c r="I2027">
        <v>0</v>
      </c>
      <c r="J2027">
        <v>0</v>
      </c>
      <c r="K2027">
        <v>0</v>
      </c>
      <c r="L2027">
        <v>150</v>
      </c>
      <c r="M2027">
        <v>216</v>
      </c>
      <c r="N2027" t="s">
        <v>32</v>
      </c>
      <c r="O2027" s="3">
        <v>44608</v>
      </c>
      <c r="P2027">
        <v>-1</v>
      </c>
      <c r="T2027" t="s">
        <v>47</v>
      </c>
      <c r="U2027">
        <v>44</v>
      </c>
      <c r="V2027">
        <v>30.574999999999999</v>
      </c>
    </row>
    <row r="2028" spans="1:22" x14ac:dyDescent="0.35">
      <c r="A2028" s="3">
        <v>44392</v>
      </c>
      <c r="B2028" t="s">
        <v>36</v>
      </c>
      <c r="C2028">
        <v>0</v>
      </c>
      <c r="D2028">
        <v>0</v>
      </c>
      <c r="E2028">
        <v>0</v>
      </c>
      <c r="F2028">
        <v>0</v>
      </c>
      <c r="G2028">
        <v>22.201899999999998</v>
      </c>
      <c r="H2028">
        <v>0</v>
      </c>
      <c r="I2028">
        <v>0</v>
      </c>
      <c r="J2028">
        <v>0</v>
      </c>
      <c r="K2028">
        <v>0</v>
      </c>
      <c r="L2028">
        <v>68</v>
      </c>
      <c r="M2028">
        <v>97</v>
      </c>
      <c r="N2028" t="s">
        <v>36</v>
      </c>
      <c r="O2028" s="3">
        <v>44489</v>
      </c>
      <c r="P2028">
        <v>-1</v>
      </c>
      <c r="T2028" t="s">
        <v>46</v>
      </c>
      <c r="U2028">
        <v>63</v>
      </c>
      <c r="V2028">
        <v>30.15</v>
      </c>
    </row>
    <row r="2029" spans="1:22" x14ac:dyDescent="0.35">
      <c r="A2029" s="3">
        <v>44392</v>
      </c>
      <c r="B2029" t="s">
        <v>33</v>
      </c>
      <c r="C2029">
        <v>0</v>
      </c>
      <c r="D2029">
        <v>0</v>
      </c>
      <c r="E2029">
        <v>0</v>
      </c>
      <c r="F2029">
        <v>0</v>
      </c>
      <c r="G2029">
        <v>23.77</v>
      </c>
      <c r="H2029">
        <v>0</v>
      </c>
      <c r="I2029">
        <v>0</v>
      </c>
      <c r="J2029">
        <v>0</v>
      </c>
      <c r="K2029">
        <v>0</v>
      </c>
      <c r="L2029">
        <v>130</v>
      </c>
      <c r="M2029">
        <v>188</v>
      </c>
      <c r="N2029" t="s">
        <v>33</v>
      </c>
      <c r="O2029" s="3">
        <v>44580</v>
      </c>
      <c r="P2029">
        <v>-1</v>
      </c>
      <c r="S2029" s="3">
        <v>44092</v>
      </c>
      <c r="T2029" t="s">
        <v>45</v>
      </c>
      <c r="U2029">
        <v>84</v>
      </c>
      <c r="V2029">
        <v>29.774999999999999</v>
      </c>
    </row>
    <row r="2030" spans="1:22" x14ac:dyDescent="0.35">
      <c r="A2030" s="3">
        <v>44391</v>
      </c>
      <c r="B2030" t="s">
        <v>32</v>
      </c>
      <c r="C2030">
        <v>0</v>
      </c>
      <c r="D2030">
        <v>0</v>
      </c>
      <c r="E2030">
        <v>0</v>
      </c>
      <c r="F2030">
        <v>0</v>
      </c>
      <c r="G2030">
        <v>24.1</v>
      </c>
      <c r="H2030">
        <v>0</v>
      </c>
      <c r="I2030">
        <v>0</v>
      </c>
      <c r="J2030">
        <v>0</v>
      </c>
      <c r="K2030">
        <v>0</v>
      </c>
      <c r="L2030">
        <v>151</v>
      </c>
      <c r="M2030">
        <v>217</v>
      </c>
      <c r="N2030" t="s">
        <v>32</v>
      </c>
      <c r="O2030" s="3">
        <v>44608</v>
      </c>
      <c r="P2030">
        <v>-1</v>
      </c>
      <c r="T2030" t="s">
        <v>44</v>
      </c>
      <c r="U2030">
        <v>103</v>
      </c>
      <c r="V2030">
        <v>29.3</v>
      </c>
    </row>
    <row r="2031" spans="1:22" x14ac:dyDescent="0.35">
      <c r="A2031" s="3">
        <v>44391</v>
      </c>
      <c r="B2031" t="s">
        <v>36</v>
      </c>
      <c r="C2031">
        <v>0</v>
      </c>
      <c r="D2031">
        <v>0</v>
      </c>
      <c r="E2031">
        <v>0</v>
      </c>
      <c r="F2031">
        <v>0</v>
      </c>
      <c r="G2031">
        <v>22.25</v>
      </c>
      <c r="H2031">
        <v>0</v>
      </c>
      <c r="I2031">
        <v>0</v>
      </c>
      <c r="J2031">
        <v>0</v>
      </c>
      <c r="K2031">
        <v>0</v>
      </c>
      <c r="L2031">
        <v>69</v>
      </c>
      <c r="M2031">
        <v>98</v>
      </c>
      <c r="N2031" t="s">
        <v>36</v>
      </c>
      <c r="O2031" s="3">
        <v>44489</v>
      </c>
      <c r="P2031">
        <v>-1</v>
      </c>
      <c r="T2031" t="s">
        <v>43</v>
      </c>
      <c r="U2031">
        <v>123</v>
      </c>
      <c r="V2031">
        <v>28.975000000000001</v>
      </c>
    </row>
    <row r="2032" spans="1:22" x14ac:dyDescent="0.35">
      <c r="A2032" s="3">
        <v>44391</v>
      </c>
      <c r="B2032" t="s">
        <v>33</v>
      </c>
      <c r="C2032">
        <v>0</v>
      </c>
      <c r="D2032">
        <v>0</v>
      </c>
      <c r="E2032">
        <v>0</v>
      </c>
      <c r="F2032">
        <v>0</v>
      </c>
      <c r="G2032">
        <v>23.877800000000001</v>
      </c>
      <c r="H2032">
        <v>0</v>
      </c>
      <c r="I2032">
        <v>0</v>
      </c>
      <c r="J2032">
        <v>0</v>
      </c>
      <c r="K2032">
        <v>0</v>
      </c>
      <c r="L2032">
        <v>131</v>
      </c>
      <c r="M2032">
        <v>189</v>
      </c>
      <c r="N2032" t="s">
        <v>33</v>
      </c>
      <c r="O2032" s="3">
        <v>44580</v>
      </c>
      <c r="P2032">
        <v>-1</v>
      </c>
      <c r="T2032" t="s">
        <v>42</v>
      </c>
      <c r="U2032">
        <v>148</v>
      </c>
      <c r="V2032">
        <v>28.35</v>
      </c>
    </row>
    <row r="2033" spans="1:22" x14ac:dyDescent="0.35">
      <c r="A2033" s="3">
        <v>44391</v>
      </c>
      <c r="B2033" t="s">
        <v>35</v>
      </c>
      <c r="C2033">
        <v>0</v>
      </c>
      <c r="D2033">
        <v>0</v>
      </c>
      <c r="E2033">
        <v>0</v>
      </c>
      <c r="F2033">
        <v>0</v>
      </c>
      <c r="G2033">
        <v>22.696100000000001</v>
      </c>
      <c r="H2033">
        <v>0</v>
      </c>
      <c r="I2033">
        <v>0</v>
      </c>
      <c r="J2033">
        <v>0</v>
      </c>
      <c r="K2033">
        <v>0</v>
      </c>
      <c r="L2033">
        <v>89</v>
      </c>
      <c r="M2033">
        <v>126</v>
      </c>
      <c r="N2033" t="s">
        <v>35</v>
      </c>
      <c r="O2033" s="3">
        <v>44517</v>
      </c>
      <c r="P2033">
        <v>-1</v>
      </c>
      <c r="T2033" t="s">
        <v>41</v>
      </c>
      <c r="U2033">
        <v>168</v>
      </c>
      <c r="V2033">
        <v>27.75</v>
      </c>
    </row>
    <row r="2034" spans="1:22" x14ac:dyDescent="0.35">
      <c r="A2034" s="3">
        <v>44391</v>
      </c>
      <c r="B2034" t="s">
        <v>39</v>
      </c>
      <c r="C2034">
        <v>0</v>
      </c>
      <c r="D2034">
        <v>0</v>
      </c>
      <c r="E2034">
        <v>0</v>
      </c>
      <c r="F2034">
        <v>0</v>
      </c>
      <c r="G2034">
        <v>17.047000000000001</v>
      </c>
      <c r="H2034">
        <v>0</v>
      </c>
      <c r="I2034">
        <v>0</v>
      </c>
      <c r="J2034">
        <v>0</v>
      </c>
      <c r="K2034">
        <v>0</v>
      </c>
      <c r="L2034">
        <v>5</v>
      </c>
      <c r="M2034">
        <v>7</v>
      </c>
      <c r="N2034" t="s">
        <v>39</v>
      </c>
      <c r="O2034" s="3">
        <v>44398</v>
      </c>
      <c r="P2034">
        <v>-1</v>
      </c>
      <c r="T2034" t="s">
        <v>48</v>
      </c>
      <c r="U2034">
        <v>23</v>
      </c>
      <c r="V2034">
        <v>30.074999999999999</v>
      </c>
    </row>
    <row r="2035" spans="1:22" x14ac:dyDescent="0.35">
      <c r="A2035" s="3">
        <v>44391</v>
      </c>
      <c r="B2035" t="s">
        <v>38</v>
      </c>
      <c r="C2035">
        <v>0</v>
      </c>
      <c r="D2035">
        <v>0</v>
      </c>
      <c r="E2035">
        <v>0</v>
      </c>
      <c r="F2035">
        <v>0</v>
      </c>
      <c r="G2035">
        <v>19.602900000000002</v>
      </c>
      <c r="H2035">
        <v>0</v>
      </c>
      <c r="I2035">
        <v>0</v>
      </c>
      <c r="J2035">
        <v>0</v>
      </c>
      <c r="K2035">
        <v>0</v>
      </c>
      <c r="L2035">
        <v>25</v>
      </c>
      <c r="M2035">
        <v>35</v>
      </c>
      <c r="N2035" t="s">
        <v>38</v>
      </c>
      <c r="O2035" s="3">
        <v>44426</v>
      </c>
      <c r="P2035">
        <v>-1</v>
      </c>
      <c r="T2035" t="s">
        <v>47</v>
      </c>
      <c r="U2035">
        <v>43</v>
      </c>
      <c r="V2035">
        <v>30.675000000000001</v>
      </c>
    </row>
    <row r="2036" spans="1:22" x14ac:dyDescent="0.35">
      <c r="A2036" s="3">
        <v>44391</v>
      </c>
      <c r="B2036" t="s">
        <v>34</v>
      </c>
      <c r="C2036">
        <v>0</v>
      </c>
      <c r="D2036">
        <v>0</v>
      </c>
      <c r="E2036">
        <v>0</v>
      </c>
      <c r="F2036">
        <v>0</v>
      </c>
      <c r="G2036">
        <v>22.897400000000001</v>
      </c>
      <c r="H2036">
        <v>0</v>
      </c>
      <c r="I2036">
        <v>0</v>
      </c>
      <c r="J2036">
        <v>0</v>
      </c>
      <c r="K2036">
        <v>0</v>
      </c>
      <c r="L2036">
        <v>113</v>
      </c>
      <c r="M2036">
        <v>161</v>
      </c>
      <c r="N2036" t="s">
        <v>34</v>
      </c>
      <c r="O2036" s="3">
        <v>44552</v>
      </c>
      <c r="P2036">
        <v>-1</v>
      </c>
      <c r="T2036" t="s">
        <v>46</v>
      </c>
      <c r="U2036">
        <v>62</v>
      </c>
      <c r="V2036">
        <v>30.024999999999999</v>
      </c>
    </row>
    <row r="2037" spans="1:22" x14ac:dyDescent="0.35">
      <c r="A2037" s="3">
        <v>44391</v>
      </c>
      <c r="B2037" t="s">
        <v>31</v>
      </c>
      <c r="C2037">
        <v>0</v>
      </c>
      <c r="D2037">
        <v>0</v>
      </c>
      <c r="E2037">
        <v>0</v>
      </c>
      <c r="F2037">
        <v>0</v>
      </c>
      <c r="G2037">
        <v>24.3</v>
      </c>
      <c r="H2037">
        <v>0</v>
      </c>
      <c r="I2037">
        <v>0</v>
      </c>
      <c r="J2037">
        <v>0</v>
      </c>
      <c r="K2037">
        <v>0</v>
      </c>
      <c r="L2037">
        <v>169</v>
      </c>
      <c r="M2037">
        <v>244</v>
      </c>
      <c r="N2037" t="s">
        <v>31</v>
      </c>
      <c r="O2037" s="3">
        <v>44635</v>
      </c>
      <c r="P2037">
        <v>-1</v>
      </c>
      <c r="S2037" s="3">
        <v>44095</v>
      </c>
      <c r="T2037" t="s">
        <v>45</v>
      </c>
      <c r="U2037">
        <v>83</v>
      </c>
      <c r="V2037">
        <v>30.274999999999999</v>
      </c>
    </row>
    <row r="2038" spans="1:22" x14ac:dyDescent="0.35">
      <c r="A2038" s="3">
        <v>44391</v>
      </c>
      <c r="B2038" t="s">
        <v>37</v>
      </c>
      <c r="C2038">
        <v>0</v>
      </c>
      <c r="D2038">
        <v>0</v>
      </c>
      <c r="E2038">
        <v>0</v>
      </c>
      <c r="F2038">
        <v>0</v>
      </c>
      <c r="G2038">
        <v>21.150700000000001</v>
      </c>
      <c r="H2038">
        <v>0</v>
      </c>
      <c r="I2038">
        <v>0</v>
      </c>
      <c r="J2038">
        <v>0</v>
      </c>
      <c r="K2038">
        <v>0</v>
      </c>
      <c r="L2038">
        <v>44</v>
      </c>
      <c r="M2038">
        <v>63</v>
      </c>
      <c r="N2038" t="s">
        <v>37</v>
      </c>
      <c r="O2038" s="3">
        <v>44454</v>
      </c>
      <c r="P2038">
        <v>-1</v>
      </c>
      <c r="T2038" t="s">
        <v>44</v>
      </c>
      <c r="U2038">
        <v>102</v>
      </c>
      <c r="V2038">
        <v>29.524999999999999</v>
      </c>
    </row>
    <row r="2039" spans="1:22" x14ac:dyDescent="0.35">
      <c r="A2039" s="3">
        <v>44390</v>
      </c>
      <c r="B2039" t="s">
        <v>35</v>
      </c>
      <c r="C2039">
        <v>0</v>
      </c>
      <c r="D2039">
        <v>0</v>
      </c>
      <c r="E2039">
        <v>0</v>
      </c>
      <c r="F2039">
        <v>0</v>
      </c>
      <c r="G2039">
        <v>22.757100000000001</v>
      </c>
      <c r="H2039">
        <v>0</v>
      </c>
      <c r="I2039">
        <v>0</v>
      </c>
      <c r="J2039">
        <v>0</v>
      </c>
      <c r="K2039">
        <v>0</v>
      </c>
      <c r="L2039">
        <v>90</v>
      </c>
      <c r="M2039">
        <v>127</v>
      </c>
      <c r="N2039" t="s">
        <v>35</v>
      </c>
      <c r="O2039" s="3">
        <v>44517</v>
      </c>
      <c r="P2039">
        <v>-1</v>
      </c>
      <c r="T2039" t="s">
        <v>43</v>
      </c>
      <c r="U2039">
        <v>122</v>
      </c>
      <c r="V2039">
        <v>29.175000000000001</v>
      </c>
    </row>
    <row r="2040" spans="1:22" x14ac:dyDescent="0.35">
      <c r="A2040" s="3">
        <v>44390</v>
      </c>
      <c r="B2040" t="s">
        <v>39</v>
      </c>
      <c r="C2040">
        <v>0</v>
      </c>
      <c r="D2040">
        <v>0</v>
      </c>
      <c r="E2040">
        <v>0</v>
      </c>
      <c r="F2040">
        <v>0</v>
      </c>
      <c r="G2040">
        <v>17.734200000000001</v>
      </c>
      <c r="H2040">
        <v>0</v>
      </c>
      <c r="I2040">
        <v>0</v>
      </c>
      <c r="J2040">
        <v>0</v>
      </c>
      <c r="K2040">
        <v>0</v>
      </c>
      <c r="L2040">
        <v>6</v>
      </c>
      <c r="M2040">
        <v>8</v>
      </c>
      <c r="N2040" t="s">
        <v>39</v>
      </c>
      <c r="O2040" s="3">
        <v>44398</v>
      </c>
      <c r="P2040">
        <v>-1</v>
      </c>
      <c r="T2040" t="s">
        <v>42</v>
      </c>
      <c r="U2040">
        <v>147</v>
      </c>
      <c r="V2040">
        <v>28.65</v>
      </c>
    </row>
    <row r="2041" spans="1:22" x14ac:dyDescent="0.35">
      <c r="A2041" s="3">
        <v>44390</v>
      </c>
      <c r="B2041" t="s">
        <v>38</v>
      </c>
      <c r="C2041">
        <v>0</v>
      </c>
      <c r="D2041">
        <v>0</v>
      </c>
      <c r="E2041">
        <v>0</v>
      </c>
      <c r="F2041">
        <v>0</v>
      </c>
      <c r="G2041">
        <v>20.015699999999999</v>
      </c>
      <c r="H2041">
        <v>0</v>
      </c>
      <c r="I2041">
        <v>0</v>
      </c>
      <c r="J2041">
        <v>0</v>
      </c>
      <c r="K2041">
        <v>0</v>
      </c>
      <c r="L2041">
        <v>26</v>
      </c>
      <c r="M2041">
        <v>36</v>
      </c>
      <c r="N2041" t="s">
        <v>38</v>
      </c>
      <c r="O2041" s="3">
        <v>44426</v>
      </c>
      <c r="P2041">
        <v>-1</v>
      </c>
      <c r="T2041" t="s">
        <v>41</v>
      </c>
      <c r="U2041">
        <v>167</v>
      </c>
      <c r="V2041">
        <v>28.024999999999999</v>
      </c>
    </row>
    <row r="2042" spans="1:22" x14ac:dyDescent="0.35">
      <c r="A2042" s="3">
        <v>44390</v>
      </c>
      <c r="B2042" t="s">
        <v>34</v>
      </c>
      <c r="C2042">
        <v>0</v>
      </c>
      <c r="D2042">
        <v>0</v>
      </c>
      <c r="E2042">
        <v>0</v>
      </c>
      <c r="F2042">
        <v>0</v>
      </c>
      <c r="G2042">
        <v>22.9054</v>
      </c>
      <c r="H2042">
        <v>0</v>
      </c>
      <c r="I2042">
        <v>0</v>
      </c>
      <c r="J2042">
        <v>0</v>
      </c>
      <c r="K2042">
        <v>0</v>
      </c>
      <c r="L2042">
        <v>114</v>
      </c>
      <c r="M2042">
        <v>162</v>
      </c>
      <c r="N2042" t="s">
        <v>34</v>
      </c>
      <c r="O2042" s="3">
        <v>44552</v>
      </c>
      <c r="P2042">
        <v>-1</v>
      </c>
      <c r="T2042" t="s">
        <v>48</v>
      </c>
      <c r="U2042">
        <v>22</v>
      </c>
      <c r="V2042">
        <v>31.225000000000001</v>
      </c>
    </row>
    <row r="2043" spans="1:22" x14ac:dyDescent="0.35">
      <c r="A2043" s="3">
        <v>44390</v>
      </c>
      <c r="B2043" t="s">
        <v>31</v>
      </c>
      <c r="C2043">
        <v>0</v>
      </c>
      <c r="D2043">
        <v>0</v>
      </c>
      <c r="E2043">
        <v>0</v>
      </c>
      <c r="F2043">
        <v>0</v>
      </c>
      <c r="G2043">
        <v>24.375</v>
      </c>
      <c r="H2043">
        <v>0</v>
      </c>
      <c r="I2043">
        <v>0</v>
      </c>
      <c r="J2043">
        <v>0</v>
      </c>
      <c r="K2043">
        <v>0</v>
      </c>
      <c r="L2043">
        <v>170</v>
      </c>
      <c r="M2043">
        <v>245</v>
      </c>
      <c r="N2043" t="s">
        <v>31</v>
      </c>
      <c r="O2043" s="3">
        <v>44635</v>
      </c>
      <c r="P2043">
        <v>-1</v>
      </c>
      <c r="T2043" t="s">
        <v>47</v>
      </c>
      <c r="U2043">
        <v>42</v>
      </c>
      <c r="V2043">
        <v>31.675000000000001</v>
      </c>
    </row>
    <row r="2044" spans="1:22" x14ac:dyDescent="0.35">
      <c r="A2044" s="3">
        <v>44390</v>
      </c>
      <c r="B2044" t="s">
        <v>37</v>
      </c>
      <c r="C2044">
        <v>0</v>
      </c>
      <c r="D2044">
        <v>0</v>
      </c>
      <c r="E2044">
        <v>0</v>
      </c>
      <c r="F2044">
        <v>0</v>
      </c>
      <c r="G2044">
        <v>21.4009</v>
      </c>
      <c r="H2044">
        <v>0</v>
      </c>
      <c r="I2044">
        <v>0</v>
      </c>
      <c r="J2044">
        <v>0</v>
      </c>
      <c r="K2044">
        <v>0</v>
      </c>
      <c r="L2044">
        <v>45</v>
      </c>
      <c r="M2044">
        <v>64</v>
      </c>
      <c r="N2044" t="s">
        <v>37</v>
      </c>
      <c r="O2044" s="3">
        <v>44454</v>
      </c>
      <c r="P2044">
        <v>-1</v>
      </c>
      <c r="T2044" t="s">
        <v>46</v>
      </c>
      <c r="U2044">
        <v>61</v>
      </c>
      <c r="V2044">
        <v>30.95</v>
      </c>
    </row>
    <row r="2045" spans="1:22" x14ac:dyDescent="0.35">
      <c r="A2045" s="3">
        <v>44390</v>
      </c>
      <c r="B2045" t="s">
        <v>32</v>
      </c>
      <c r="C2045">
        <v>0</v>
      </c>
      <c r="D2045">
        <v>0</v>
      </c>
      <c r="E2045">
        <v>0</v>
      </c>
      <c r="F2045">
        <v>0</v>
      </c>
      <c r="G2045">
        <v>24.05</v>
      </c>
      <c r="H2045">
        <v>0</v>
      </c>
      <c r="I2045">
        <v>0</v>
      </c>
      <c r="J2045">
        <v>0</v>
      </c>
      <c r="K2045">
        <v>0</v>
      </c>
      <c r="L2045">
        <v>152</v>
      </c>
      <c r="M2045">
        <v>218</v>
      </c>
      <c r="N2045" t="s">
        <v>32</v>
      </c>
      <c r="O2045" s="3">
        <v>44608</v>
      </c>
      <c r="P2045">
        <v>-1</v>
      </c>
      <c r="S2045" s="3">
        <v>44096</v>
      </c>
      <c r="T2045" t="s">
        <v>45</v>
      </c>
      <c r="U2045">
        <v>82</v>
      </c>
      <c r="V2045">
        <v>30.574999999999999</v>
      </c>
    </row>
    <row r="2046" spans="1:22" x14ac:dyDescent="0.35">
      <c r="A2046" s="3">
        <v>44390</v>
      </c>
      <c r="B2046" t="s">
        <v>36</v>
      </c>
      <c r="C2046">
        <v>0</v>
      </c>
      <c r="D2046">
        <v>0</v>
      </c>
      <c r="E2046">
        <v>0</v>
      </c>
      <c r="F2046">
        <v>0</v>
      </c>
      <c r="G2046">
        <v>22.351800000000001</v>
      </c>
      <c r="H2046">
        <v>0</v>
      </c>
      <c r="I2046">
        <v>0</v>
      </c>
      <c r="J2046">
        <v>0</v>
      </c>
      <c r="K2046">
        <v>0</v>
      </c>
      <c r="L2046">
        <v>70</v>
      </c>
      <c r="M2046">
        <v>99</v>
      </c>
      <c r="N2046" t="s">
        <v>36</v>
      </c>
      <c r="O2046" s="3">
        <v>44489</v>
      </c>
      <c r="P2046">
        <v>-1</v>
      </c>
      <c r="T2046" t="s">
        <v>44</v>
      </c>
      <c r="U2046">
        <v>101</v>
      </c>
      <c r="V2046">
        <v>29.875</v>
      </c>
    </row>
    <row r="2047" spans="1:22" x14ac:dyDescent="0.35">
      <c r="A2047" s="3">
        <v>44390</v>
      </c>
      <c r="B2047" t="s">
        <v>33</v>
      </c>
      <c r="C2047">
        <v>0</v>
      </c>
      <c r="D2047">
        <v>0</v>
      </c>
      <c r="E2047">
        <v>0</v>
      </c>
      <c r="F2047">
        <v>0</v>
      </c>
      <c r="G2047">
        <v>23.7974</v>
      </c>
      <c r="H2047">
        <v>0</v>
      </c>
      <c r="I2047">
        <v>0</v>
      </c>
      <c r="J2047">
        <v>0</v>
      </c>
      <c r="K2047">
        <v>0</v>
      </c>
      <c r="L2047">
        <v>132</v>
      </c>
      <c r="M2047">
        <v>190</v>
      </c>
      <c r="N2047" t="s">
        <v>33</v>
      </c>
      <c r="O2047" s="3">
        <v>44580</v>
      </c>
      <c r="P2047">
        <v>-1</v>
      </c>
      <c r="T2047" t="s">
        <v>43</v>
      </c>
      <c r="U2047">
        <v>121</v>
      </c>
      <c r="V2047">
        <v>29.574999999999999</v>
      </c>
    </row>
    <row r="2048" spans="1:22" x14ac:dyDescent="0.35">
      <c r="A2048" s="3">
        <v>44389</v>
      </c>
      <c r="B2048" t="s">
        <v>32</v>
      </c>
      <c r="C2048">
        <v>0</v>
      </c>
      <c r="D2048">
        <v>0</v>
      </c>
      <c r="E2048">
        <v>0</v>
      </c>
      <c r="F2048">
        <v>0</v>
      </c>
      <c r="G2048">
        <v>23.85</v>
      </c>
      <c r="H2048">
        <v>0</v>
      </c>
      <c r="I2048">
        <v>0</v>
      </c>
      <c r="J2048">
        <v>0</v>
      </c>
      <c r="K2048">
        <v>0</v>
      </c>
      <c r="L2048">
        <v>153</v>
      </c>
      <c r="M2048">
        <v>219</v>
      </c>
      <c r="N2048" t="s">
        <v>32</v>
      </c>
      <c r="O2048" s="3">
        <v>44608</v>
      </c>
      <c r="P2048">
        <v>-1</v>
      </c>
      <c r="T2048" t="s">
        <v>42</v>
      </c>
      <c r="U2048">
        <v>146</v>
      </c>
      <c r="V2048">
        <v>29.024999999999999</v>
      </c>
    </row>
    <row r="2049" spans="1:22" x14ac:dyDescent="0.35">
      <c r="A2049" s="3">
        <v>44389</v>
      </c>
      <c r="B2049" t="s">
        <v>36</v>
      </c>
      <c r="C2049">
        <v>0</v>
      </c>
      <c r="D2049">
        <v>0</v>
      </c>
      <c r="E2049">
        <v>0</v>
      </c>
      <c r="F2049">
        <v>0</v>
      </c>
      <c r="G2049">
        <v>22.2</v>
      </c>
      <c r="H2049">
        <v>0</v>
      </c>
      <c r="I2049">
        <v>0</v>
      </c>
      <c r="J2049">
        <v>0</v>
      </c>
      <c r="K2049">
        <v>0</v>
      </c>
      <c r="L2049">
        <v>71</v>
      </c>
      <c r="M2049">
        <v>100</v>
      </c>
      <c r="N2049" t="s">
        <v>36</v>
      </c>
      <c r="O2049" s="3">
        <v>44489</v>
      </c>
      <c r="P2049">
        <v>-1</v>
      </c>
      <c r="T2049" t="s">
        <v>41</v>
      </c>
      <c r="U2049">
        <v>166</v>
      </c>
      <c r="V2049">
        <v>28.5</v>
      </c>
    </row>
    <row r="2050" spans="1:22" x14ac:dyDescent="0.35">
      <c r="A2050" s="3">
        <v>44389</v>
      </c>
      <c r="B2050" t="s">
        <v>33</v>
      </c>
      <c r="C2050">
        <v>0</v>
      </c>
      <c r="D2050">
        <v>0</v>
      </c>
      <c r="E2050">
        <v>0</v>
      </c>
      <c r="F2050">
        <v>0</v>
      </c>
      <c r="G2050">
        <v>23.65</v>
      </c>
      <c r="H2050">
        <v>0</v>
      </c>
      <c r="I2050">
        <v>0</v>
      </c>
      <c r="J2050">
        <v>0</v>
      </c>
      <c r="K2050">
        <v>0</v>
      </c>
      <c r="L2050">
        <v>133</v>
      </c>
      <c r="M2050">
        <v>191</v>
      </c>
      <c r="N2050" t="s">
        <v>33</v>
      </c>
      <c r="O2050" s="3">
        <v>44580</v>
      </c>
      <c r="P2050">
        <v>-1</v>
      </c>
      <c r="T2050" t="s">
        <v>48</v>
      </c>
      <c r="U2050">
        <v>21</v>
      </c>
      <c r="V2050">
        <v>31.375</v>
      </c>
    </row>
    <row r="2051" spans="1:22" x14ac:dyDescent="0.35">
      <c r="A2051" s="3">
        <v>44389</v>
      </c>
      <c r="B2051" t="s">
        <v>35</v>
      </c>
      <c r="C2051">
        <v>0</v>
      </c>
      <c r="D2051">
        <v>0</v>
      </c>
      <c r="E2051">
        <v>0</v>
      </c>
      <c r="F2051">
        <v>0</v>
      </c>
      <c r="G2051">
        <v>22.5717</v>
      </c>
      <c r="H2051">
        <v>0</v>
      </c>
      <c r="I2051">
        <v>0</v>
      </c>
      <c r="J2051">
        <v>0</v>
      </c>
      <c r="K2051">
        <v>0</v>
      </c>
      <c r="L2051">
        <v>91</v>
      </c>
      <c r="M2051">
        <v>128</v>
      </c>
      <c r="N2051" t="s">
        <v>35</v>
      </c>
      <c r="O2051" s="3">
        <v>44517</v>
      </c>
      <c r="P2051">
        <v>-1</v>
      </c>
      <c r="T2051" t="s">
        <v>47</v>
      </c>
      <c r="U2051">
        <v>41</v>
      </c>
      <c r="V2051">
        <v>32.174999999999997</v>
      </c>
    </row>
    <row r="2052" spans="1:22" x14ac:dyDescent="0.35">
      <c r="A2052" s="3">
        <v>44389</v>
      </c>
      <c r="B2052" t="s">
        <v>39</v>
      </c>
      <c r="C2052">
        <v>0</v>
      </c>
      <c r="D2052">
        <v>0</v>
      </c>
      <c r="E2052">
        <v>0</v>
      </c>
      <c r="F2052">
        <v>0</v>
      </c>
      <c r="G2052">
        <v>17.371300000000002</v>
      </c>
      <c r="H2052">
        <v>0</v>
      </c>
      <c r="I2052">
        <v>0</v>
      </c>
      <c r="J2052">
        <v>0</v>
      </c>
      <c r="K2052">
        <v>0</v>
      </c>
      <c r="L2052">
        <v>7</v>
      </c>
      <c r="M2052">
        <v>9</v>
      </c>
      <c r="N2052" t="s">
        <v>39</v>
      </c>
      <c r="O2052" s="3">
        <v>44398</v>
      </c>
      <c r="P2052">
        <v>-1</v>
      </c>
      <c r="T2052" t="s">
        <v>46</v>
      </c>
      <c r="U2052">
        <v>60</v>
      </c>
      <c r="V2052">
        <v>31.225000000000001</v>
      </c>
    </row>
    <row r="2053" spans="1:22" x14ac:dyDescent="0.35">
      <c r="A2053" s="3">
        <v>44389</v>
      </c>
      <c r="B2053" t="s">
        <v>38</v>
      </c>
      <c r="C2053">
        <v>0</v>
      </c>
      <c r="D2053">
        <v>0</v>
      </c>
      <c r="E2053">
        <v>0</v>
      </c>
      <c r="F2053">
        <v>0</v>
      </c>
      <c r="G2053">
        <v>19.839500000000001</v>
      </c>
      <c r="H2053">
        <v>0</v>
      </c>
      <c r="I2053">
        <v>0</v>
      </c>
      <c r="J2053">
        <v>0</v>
      </c>
      <c r="K2053">
        <v>0</v>
      </c>
      <c r="L2053">
        <v>27</v>
      </c>
      <c r="M2053">
        <v>37</v>
      </c>
      <c r="N2053" t="s">
        <v>38</v>
      </c>
      <c r="O2053" s="3">
        <v>44426</v>
      </c>
      <c r="P2053">
        <v>-1</v>
      </c>
      <c r="S2053" s="3">
        <v>44097</v>
      </c>
      <c r="T2053" t="s">
        <v>45</v>
      </c>
      <c r="U2053">
        <v>81</v>
      </c>
      <c r="V2053">
        <v>31.074999999999999</v>
      </c>
    </row>
    <row r="2054" spans="1:22" x14ac:dyDescent="0.35">
      <c r="A2054" s="3">
        <v>44389</v>
      </c>
      <c r="B2054" t="s">
        <v>34</v>
      </c>
      <c r="C2054">
        <v>0</v>
      </c>
      <c r="D2054">
        <v>0</v>
      </c>
      <c r="E2054">
        <v>0</v>
      </c>
      <c r="F2054">
        <v>0</v>
      </c>
      <c r="G2054">
        <v>22.695799999999998</v>
      </c>
      <c r="H2054">
        <v>0</v>
      </c>
      <c r="I2054">
        <v>0</v>
      </c>
      <c r="J2054">
        <v>0</v>
      </c>
      <c r="K2054">
        <v>0</v>
      </c>
      <c r="L2054">
        <v>115</v>
      </c>
      <c r="M2054">
        <v>163</v>
      </c>
      <c r="N2054" t="s">
        <v>34</v>
      </c>
      <c r="O2054" s="3">
        <v>44552</v>
      </c>
      <c r="P2054">
        <v>-1</v>
      </c>
      <c r="T2054" t="s">
        <v>44</v>
      </c>
      <c r="U2054">
        <v>100</v>
      </c>
      <c r="V2054">
        <v>30.375</v>
      </c>
    </row>
    <row r="2055" spans="1:22" x14ac:dyDescent="0.35">
      <c r="A2055" s="3">
        <v>44389</v>
      </c>
      <c r="B2055" t="s">
        <v>31</v>
      </c>
      <c r="C2055">
        <v>0</v>
      </c>
      <c r="D2055">
        <v>0</v>
      </c>
      <c r="E2055">
        <v>0</v>
      </c>
      <c r="F2055">
        <v>0</v>
      </c>
      <c r="G2055">
        <v>24.024999999999999</v>
      </c>
      <c r="H2055">
        <v>0</v>
      </c>
      <c r="I2055">
        <v>0</v>
      </c>
      <c r="J2055">
        <v>0</v>
      </c>
      <c r="K2055">
        <v>0</v>
      </c>
      <c r="L2055">
        <v>171</v>
      </c>
      <c r="M2055">
        <v>246</v>
      </c>
      <c r="N2055" t="s">
        <v>31</v>
      </c>
      <c r="O2055" s="3">
        <v>44635</v>
      </c>
      <c r="P2055">
        <v>-1</v>
      </c>
      <c r="T2055" t="s">
        <v>43</v>
      </c>
      <c r="U2055">
        <v>120</v>
      </c>
      <c r="V2055">
        <v>29.975000000000001</v>
      </c>
    </row>
    <row r="2056" spans="1:22" x14ac:dyDescent="0.35">
      <c r="A2056" s="3">
        <v>44389</v>
      </c>
      <c r="B2056" t="s">
        <v>37</v>
      </c>
      <c r="C2056">
        <v>0</v>
      </c>
      <c r="D2056">
        <v>0</v>
      </c>
      <c r="E2056">
        <v>0</v>
      </c>
      <c r="F2056">
        <v>0</v>
      </c>
      <c r="G2056">
        <v>21.249199999999998</v>
      </c>
      <c r="H2056">
        <v>0</v>
      </c>
      <c r="I2056">
        <v>0</v>
      </c>
      <c r="J2056">
        <v>0</v>
      </c>
      <c r="K2056">
        <v>0</v>
      </c>
      <c r="L2056">
        <v>46</v>
      </c>
      <c r="M2056">
        <v>65</v>
      </c>
      <c r="N2056" t="s">
        <v>37</v>
      </c>
      <c r="O2056" s="3">
        <v>44454</v>
      </c>
      <c r="P2056">
        <v>-1</v>
      </c>
      <c r="T2056" t="s">
        <v>42</v>
      </c>
      <c r="U2056">
        <v>145</v>
      </c>
      <c r="V2056">
        <v>29.4</v>
      </c>
    </row>
    <row r="2057" spans="1:22" x14ac:dyDescent="0.35">
      <c r="A2057" s="3">
        <v>44386</v>
      </c>
      <c r="B2057" t="s">
        <v>35</v>
      </c>
      <c r="C2057">
        <v>0</v>
      </c>
      <c r="D2057">
        <v>0</v>
      </c>
      <c r="E2057">
        <v>0</v>
      </c>
      <c r="F2057">
        <v>0</v>
      </c>
      <c r="G2057">
        <v>22.358799999999999</v>
      </c>
      <c r="H2057">
        <v>0</v>
      </c>
      <c r="I2057">
        <v>0</v>
      </c>
      <c r="J2057">
        <v>0</v>
      </c>
      <c r="K2057">
        <v>0</v>
      </c>
      <c r="L2057">
        <v>92</v>
      </c>
      <c r="M2057">
        <v>131</v>
      </c>
      <c r="N2057" t="s">
        <v>35</v>
      </c>
      <c r="O2057" s="3">
        <v>44517</v>
      </c>
      <c r="P2057">
        <v>-1</v>
      </c>
      <c r="T2057" t="s">
        <v>41</v>
      </c>
      <c r="U2057">
        <v>165</v>
      </c>
      <c r="V2057">
        <v>28.975000000000001</v>
      </c>
    </row>
    <row r="2058" spans="1:22" x14ac:dyDescent="0.35">
      <c r="A2058" s="3">
        <v>44386</v>
      </c>
      <c r="B2058" t="s">
        <v>39</v>
      </c>
      <c r="C2058">
        <v>0</v>
      </c>
      <c r="D2058">
        <v>0</v>
      </c>
      <c r="E2058">
        <v>0</v>
      </c>
      <c r="F2058">
        <v>0</v>
      </c>
      <c r="G2058">
        <v>17.796199999999999</v>
      </c>
      <c r="H2058">
        <v>0</v>
      </c>
      <c r="I2058">
        <v>0</v>
      </c>
      <c r="J2058">
        <v>0</v>
      </c>
      <c r="K2058">
        <v>0</v>
      </c>
      <c r="L2058">
        <v>8</v>
      </c>
      <c r="M2058">
        <v>12</v>
      </c>
      <c r="N2058" t="s">
        <v>39</v>
      </c>
      <c r="O2058" s="3">
        <v>44398</v>
      </c>
      <c r="P2058">
        <v>-1</v>
      </c>
      <c r="T2058" t="s">
        <v>48</v>
      </c>
      <c r="U2058">
        <v>20</v>
      </c>
      <c r="V2058">
        <v>32.475000000000001</v>
      </c>
    </row>
    <row r="2059" spans="1:22" x14ac:dyDescent="0.35">
      <c r="A2059" s="3">
        <v>44386</v>
      </c>
      <c r="B2059" t="s">
        <v>38</v>
      </c>
      <c r="C2059">
        <v>0</v>
      </c>
      <c r="D2059">
        <v>0</v>
      </c>
      <c r="E2059">
        <v>0</v>
      </c>
      <c r="F2059">
        <v>0</v>
      </c>
      <c r="G2059">
        <v>19.8444</v>
      </c>
      <c r="H2059">
        <v>0</v>
      </c>
      <c r="I2059">
        <v>0</v>
      </c>
      <c r="J2059">
        <v>0</v>
      </c>
      <c r="K2059">
        <v>0</v>
      </c>
      <c r="L2059">
        <v>28</v>
      </c>
      <c r="M2059">
        <v>40</v>
      </c>
      <c r="N2059" t="s">
        <v>38</v>
      </c>
      <c r="O2059" s="3">
        <v>44426</v>
      </c>
      <c r="P2059">
        <v>-1</v>
      </c>
      <c r="T2059" t="s">
        <v>47</v>
      </c>
      <c r="U2059">
        <v>40</v>
      </c>
      <c r="V2059">
        <v>33.325000000000003</v>
      </c>
    </row>
    <row r="2060" spans="1:22" x14ac:dyDescent="0.35">
      <c r="A2060" s="3">
        <v>44386</v>
      </c>
      <c r="B2060" t="s">
        <v>34</v>
      </c>
      <c r="C2060">
        <v>0</v>
      </c>
      <c r="D2060">
        <v>0</v>
      </c>
      <c r="E2060">
        <v>0</v>
      </c>
      <c r="F2060">
        <v>0</v>
      </c>
      <c r="G2060">
        <v>22.5762</v>
      </c>
      <c r="H2060">
        <v>0</v>
      </c>
      <c r="I2060">
        <v>0</v>
      </c>
      <c r="J2060">
        <v>0</v>
      </c>
      <c r="K2060">
        <v>0</v>
      </c>
      <c r="L2060">
        <v>116</v>
      </c>
      <c r="M2060">
        <v>166</v>
      </c>
      <c r="N2060" t="s">
        <v>34</v>
      </c>
      <c r="O2060" s="3">
        <v>44552</v>
      </c>
      <c r="P2060">
        <v>-1</v>
      </c>
      <c r="T2060" t="s">
        <v>46</v>
      </c>
      <c r="U2060">
        <v>59</v>
      </c>
      <c r="V2060">
        <v>31.875</v>
      </c>
    </row>
    <row r="2061" spans="1:22" x14ac:dyDescent="0.35">
      <c r="A2061" s="3">
        <v>44386</v>
      </c>
      <c r="B2061" t="s">
        <v>31</v>
      </c>
      <c r="C2061">
        <v>0</v>
      </c>
      <c r="D2061">
        <v>0</v>
      </c>
      <c r="E2061">
        <v>0</v>
      </c>
      <c r="F2061">
        <v>0</v>
      </c>
      <c r="G2061">
        <v>23.875</v>
      </c>
      <c r="H2061">
        <v>0</v>
      </c>
      <c r="I2061">
        <v>0</v>
      </c>
      <c r="J2061">
        <v>0</v>
      </c>
      <c r="K2061">
        <v>0</v>
      </c>
      <c r="L2061">
        <v>172</v>
      </c>
      <c r="M2061">
        <v>249</v>
      </c>
      <c r="N2061" t="s">
        <v>31</v>
      </c>
      <c r="O2061" s="3">
        <v>44635</v>
      </c>
      <c r="P2061">
        <v>-1</v>
      </c>
      <c r="S2061" s="3">
        <v>44098</v>
      </c>
      <c r="T2061" t="s">
        <v>45</v>
      </c>
      <c r="U2061">
        <v>80</v>
      </c>
      <c r="V2061">
        <v>31.024999999999999</v>
      </c>
    </row>
    <row r="2062" spans="1:22" x14ac:dyDescent="0.35">
      <c r="A2062" s="3">
        <v>44386</v>
      </c>
      <c r="B2062" t="s">
        <v>37</v>
      </c>
      <c r="C2062">
        <v>0</v>
      </c>
      <c r="D2062">
        <v>0</v>
      </c>
      <c r="E2062">
        <v>0</v>
      </c>
      <c r="F2062">
        <v>0</v>
      </c>
      <c r="G2062">
        <v>21.08</v>
      </c>
      <c r="H2062">
        <v>0</v>
      </c>
      <c r="I2062">
        <v>0</v>
      </c>
      <c r="J2062">
        <v>0</v>
      </c>
      <c r="K2062">
        <v>0</v>
      </c>
      <c r="L2062">
        <v>47</v>
      </c>
      <c r="M2062">
        <v>68</v>
      </c>
      <c r="N2062" t="s">
        <v>37</v>
      </c>
      <c r="O2062" s="3">
        <v>44454</v>
      </c>
      <c r="P2062">
        <v>-1</v>
      </c>
      <c r="T2062" t="s">
        <v>44</v>
      </c>
      <c r="U2062">
        <v>99</v>
      </c>
      <c r="V2062">
        <v>30.25</v>
      </c>
    </row>
    <row r="2063" spans="1:22" x14ac:dyDescent="0.35">
      <c r="A2063" s="3">
        <v>44386</v>
      </c>
      <c r="B2063" t="s">
        <v>32</v>
      </c>
      <c r="C2063">
        <v>0</v>
      </c>
      <c r="D2063">
        <v>0</v>
      </c>
      <c r="E2063">
        <v>0</v>
      </c>
      <c r="F2063">
        <v>0</v>
      </c>
      <c r="G2063">
        <v>23.774999999999999</v>
      </c>
      <c r="H2063">
        <v>0</v>
      </c>
      <c r="I2063">
        <v>0</v>
      </c>
      <c r="J2063">
        <v>0</v>
      </c>
      <c r="K2063">
        <v>0</v>
      </c>
      <c r="L2063">
        <v>154</v>
      </c>
      <c r="M2063">
        <v>222</v>
      </c>
      <c r="N2063" t="s">
        <v>32</v>
      </c>
      <c r="O2063" s="3">
        <v>44608</v>
      </c>
      <c r="P2063">
        <v>-1</v>
      </c>
      <c r="T2063" t="s">
        <v>43</v>
      </c>
      <c r="U2063">
        <v>119</v>
      </c>
      <c r="V2063">
        <v>29.75</v>
      </c>
    </row>
    <row r="2064" spans="1:22" x14ac:dyDescent="0.35">
      <c r="A2064" s="3">
        <v>44386</v>
      </c>
      <c r="B2064" t="s">
        <v>36</v>
      </c>
      <c r="C2064">
        <v>0</v>
      </c>
      <c r="D2064">
        <v>0</v>
      </c>
      <c r="E2064">
        <v>0</v>
      </c>
      <c r="F2064">
        <v>0</v>
      </c>
      <c r="G2064">
        <v>21.950199999999999</v>
      </c>
      <c r="H2064">
        <v>0</v>
      </c>
      <c r="I2064">
        <v>0</v>
      </c>
      <c r="J2064">
        <v>0</v>
      </c>
      <c r="K2064">
        <v>0</v>
      </c>
      <c r="L2064">
        <v>72</v>
      </c>
      <c r="M2064">
        <v>103</v>
      </c>
      <c r="N2064" t="s">
        <v>36</v>
      </c>
      <c r="O2064" s="3">
        <v>44489</v>
      </c>
      <c r="P2064">
        <v>-1</v>
      </c>
      <c r="T2064" t="s">
        <v>42</v>
      </c>
      <c r="U2064">
        <v>144</v>
      </c>
      <c r="V2064">
        <v>29.175000000000001</v>
      </c>
    </row>
    <row r="2065" spans="1:22" x14ac:dyDescent="0.35">
      <c r="A2065" s="3">
        <v>44386</v>
      </c>
      <c r="B2065" t="s">
        <v>33</v>
      </c>
      <c r="C2065">
        <v>0</v>
      </c>
      <c r="D2065">
        <v>0</v>
      </c>
      <c r="E2065">
        <v>0</v>
      </c>
      <c r="F2065">
        <v>0</v>
      </c>
      <c r="G2065">
        <v>23.540700000000001</v>
      </c>
      <c r="H2065">
        <v>0</v>
      </c>
      <c r="I2065">
        <v>0</v>
      </c>
      <c r="J2065">
        <v>0</v>
      </c>
      <c r="K2065">
        <v>0</v>
      </c>
      <c r="L2065">
        <v>134</v>
      </c>
      <c r="M2065">
        <v>194</v>
      </c>
      <c r="N2065" t="s">
        <v>33</v>
      </c>
      <c r="O2065" s="3">
        <v>44580</v>
      </c>
      <c r="P2065">
        <v>-1</v>
      </c>
      <c r="T2065" t="s">
        <v>41</v>
      </c>
      <c r="U2065">
        <v>164</v>
      </c>
      <c r="V2065">
        <v>28.75</v>
      </c>
    </row>
    <row r="2066" spans="1:22" x14ac:dyDescent="0.35">
      <c r="A2066" s="3">
        <v>44385</v>
      </c>
      <c r="B2066" t="s">
        <v>32</v>
      </c>
      <c r="C2066">
        <v>0</v>
      </c>
      <c r="D2066">
        <v>0</v>
      </c>
      <c r="E2066">
        <v>0</v>
      </c>
      <c r="F2066">
        <v>0</v>
      </c>
      <c r="G2066">
        <v>24.125</v>
      </c>
      <c r="H2066">
        <v>0</v>
      </c>
      <c r="I2066">
        <v>0</v>
      </c>
      <c r="J2066">
        <v>0</v>
      </c>
      <c r="K2066">
        <v>0</v>
      </c>
      <c r="L2066">
        <v>155</v>
      </c>
      <c r="M2066">
        <v>223</v>
      </c>
      <c r="N2066" t="s">
        <v>32</v>
      </c>
      <c r="O2066" s="3">
        <v>44608</v>
      </c>
      <c r="P2066">
        <v>-1</v>
      </c>
      <c r="T2066" t="s">
        <v>48</v>
      </c>
      <c r="U2066">
        <v>19</v>
      </c>
      <c r="V2066">
        <v>32.225000000000001</v>
      </c>
    </row>
    <row r="2067" spans="1:22" x14ac:dyDescent="0.35">
      <c r="A2067" s="3">
        <v>44385</v>
      </c>
      <c r="B2067" t="s">
        <v>36</v>
      </c>
      <c r="C2067">
        <v>0</v>
      </c>
      <c r="D2067">
        <v>0</v>
      </c>
      <c r="E2067">
        <v>0</v>
      </c>
      <c r="F2067">
        <v>0</v>
      </c>
      <c r="G2067">
        <v>22.553899999999999</v>
      </c>
      <c r="H2067">
        <v>0</v>
      </c>
      <c r="I2067">
        <v>0</v>
      </c>
      <c r="J2067">
        <v>0</v>
      </c>
      <c r="K2067">
        <v>0</v>
      </c>
      <c r="L2067">
        <v>73</v>
      </c>
      <c r="M2067">
        <v>104</v>
      </c>
      <c r="N2067" t="s">
        <v>36</v>
      </c>
      <c r="O2067" s="3">
        <v>44489</v>
      </c>
      <c r="P2067">
        <v>-1</v>
      </c>
      <c r="T2067" t="s">
        <v>47</v>
      </c>
      <c r="U2067">
        <v>39</v>
      </c>
      <c r="V2067">
        <v>33.674999999999997</v>
      </c>
    </row>
    <row r="2068" spans="1:22" x14ac:dyDescent="0.35">
      <c r="A2068" s="3">
        <v>44385</v>
      </c>
      <c r="B2068" t="s">
        <v>33</v>
      </c>
      <c r="C2068">
        <v>0</v>
      </c>
      <c r="D2068">
        <v>0</v>
      </c>
      <c r="E2068">
        <v>0</v>
      </c>
      <c r="F2068">
        <v>0</v>
      </c>
      <c r="G2068">
        <v>23.861799999999999</v>
      </c>
      <c r="H2068">
        <v>0</v>
      </c>
      <c r="I2068">
        <v>0</v>
      </c>
      <c r="J2068">
        <v>0</v>
      </c>
      <c r="K2068">
        <v>0</v>
      </c>
      <c r="L2068">
        <v>135</v>
      </c>
      <c r="M2068">
        <v>195</v>
      </c>
      <c r="N2068" t="s">
        <v>33</v>
      </c>
      <c r="O2068" s="3">
        <v>44580</v>
      </c>
      <c r="P2068">
        <v>-1</v>
      </c>
      <c r="T2068" t="s">
        <v>46</v>
      </c>
      <c r="U2068">
        <v>58</v>
      </c>
      <c r="V2068">
        <v>32.024999999999999</v>
      </c>
    </row>
    <row r="2069" spans="1:22" x14ac:dyDescent="0.35">
      <c r="A2069" s="3">
        <v>44385</v>
      </c>
      <c r="B2069" t="s">
        <v>35</v>
      </c>
      <c r="C2069">
        <v>0</v>
      </c>
      <c r="D2069">
        <v>0</v>
      </c>
      <c r="E2069">
        <v>0</v>
      </c>
      <c r="F2069">
        <v>0</v>
      </c>
      <c r="G2069">
        <v>22.789100000000001</v>
      </c>
      <c r="H2069">
        <v>0</v>
      </c>
      <c r="I2069">
        <v>0</v>
      </c>
      <c r="J2069">
        <v>0</v>
      </c>
      <c r="K2069">
        <v>0</v>
      </c>
      <c r="L2069">
        <v>93</v>
      </c>
      <c r="M2069">
        <v>132</v>
      </c>
      <c r="N2069" t="s">
        <v>35</v>
      </c>
      <c r="O2069" s="3">
        <v>44517</v>
      </c>
      <c r="P2069">
        <v>-1</v>
      </c>
      <c r="S2069" s="3">
        <v>44099</v>
      </c>
      <c r="T2069" t="s">
        <v>45</v>
      </c>
      <c r="U2069">
        <v>79</v>
      </c>
      <c r="V2069">
        <v>30.324999999999999</v>
      </c>
    </row>
    <row r="2070" spans="1:22" x14ac:dyDescent="0.35">
      <c r="A2070" s="3">
        <v>44385</v>
      </c>
      <c r="B2070" t="s">
        <v>39</v>
      </c>
      <c r="C2070">
        <v>0</v>
      </c>
      <c r="D2070">
        <v>0</v>
      </c>
      <c r="E2070">
        <v>0</v>
      </c>
      <c r="F2070">
        <v>0</v>
      </c>
      <c r="G2070">
        <v>19.545000000000002</v>
      </c>
      <c r="H2070">
        <v>0</v>
      </c>
      <c r="I2070">
        <v>0</v>
      </c>
      <c r="J2070">
        <v>0</v>
      </c>
      <c r="K2070">
        <v>0</v>
      </c>
      <c r="L2070">
        <v>9</v>
      </c>
      <c r="M2070">
        <v>13</v>
      </c>
      <c r="N2070" t="s">
        <v>39</v>
      </c>
      <c r="O2070" s="3">
        <v>44398</v>
      </c>
      <c r="P2070">
        <v>-1</v>
      </c>
      <c r="T2070" t="s">
        <v>44</v>
      </c>
      <c r="U2070">
        <v>98</v>
      </c>
      <c r="V2070">
        <v>29.65</v>
      </c>
    </row>
    <row r="2071" spans="1:22" x14ac:dyDescent="0.35">
      <c r="A2071" s="3">
        <v>44385</v>
      </c>
      <c r="B2071" t="s">
        <v>38</v>
      </c>
      <c r="C2071">
        <v>0</v>
      </c>
      <c r="D2071">
        <v>0</v>
      </c>
      <c r="E2071">
        <v>0</v>
      </c>
      <c r="F2071">
        <v>0</v>
      </c>
      <c r="G2071">
        <v>20.998799999999999</v>
      </c>
      <c r="H2071">
        <v>0</v>
      </c>
      <c r="I2071">
        <v>0</v>
      </c>
      <c r="J2071">
        <v>0</v>
      </c>
      <c r="K2071">
        <v>0</v>
      </c>
      <c r="L2071">
        <v>29</v>
      </c>
      <c r="M2071">
        <v>41</v>
      </c>
      <c r="N2071" t="s">
        <v>38</v>
      </c>
      <c r="O2071" s="3">
        <v>44426</v>
      </c>
      <c r="P2071">
        <v>-1</v>
      </c>
      <c r="T2071" t="s">
        <v>43</v>
      </c>
      <c r="U2071">
        <v>118</v>
      </c>
      <c r="V2071">
        <v>29.225000000000001</v>
      </c>
    </row>
    <row r="2072" spans="1:22" x14ac:dyDescent="0.35">
      <c r="A2072" s="3">
        <v>44385</v>
      </c>
      <c r="B2072" t="s">
        <v>34</v>
      </c>
      <c r="C2072">
        <v>0</v>
      </c>
      <c r="D2072">
        <v>0</v>
      </c>
      <c r="E2072">
        <v>0</v>
      </c>
      <c r="F2072">
        <v>0</v>
      </c>
      <c r="G2072">
        <v>22.848600000000001</v>
      </c>
      <c r="H2072">
        <v>0</v>
      </c>
      <c r="I2072">
        <v>0</v>
      </c>
      <c r="J2072">
        <v>0</v>
      </c>
      <c r="K2072">
        <v>0</v>
      </c>
      <c r="L2072">
        <v>117</v>
      </c>
      <c r="M2072">
        <v>167</v>
      </c>
      <c r="N2072" t="s">
        <v>34</v>
      </c>
      <c r="O2072" s="3">
        <v>44552</v>
      </c>
      <c r="P2072">
        <v>-1</v>
      </c>
      <c r="T2072" t="s">
        <v>42</v>
      </c>
      <c r="U2072">
        <v>143</v>
      </c>
      <c r="V2072">
        <v>28.7</v>
      </c>
    </row>
    <row r="2073" spans="1:22" x14ac:dyDescent="0.35">
      <c r="A2073" s="3">
        <v>44385</v>
      </c>
      <c r="B2073" t="s">
        <v>31</v>
      </c>
      <c r="C2073">
        <v>0</v>
      </c>
      <c r="D2073">
        <v>0</v>
      </c>
      <c r="E2073">
        <v>0</v>
      </c>
      <c r="F2073">
        <v>0</v>
      </c>
      <c r="G2073">
        <v>24.3</v>
      </c>
      <c r="H2073">
        <v>0</v>
      </c>
      <c r="I2073">
        <v>0</v>
      </c>
      <c r="J2073">
        <v>0</v>
      </c>
      <c r="K2073">
        <v>0</v>
      </c>
      <c r="L2073">
        <v>173</v>
      </c>
      <c r="M2073">
        <v>250</v>
      </c>
      <c r="N2073" t="s">
        <v>31</v>
      </c>
      <c r="O2073" s="3">
        <v>44635</v>
      </c>
      <c r="P2073">
        <v>-1</v>
      </c>
      <c r="T2073" t="s">
        <v>41</v>
      </c>
      <c r="U2073">
        <v>163</v>
      </c>
      <c r="V2073">
        <v>28.324999999999999</v>
      </c>
    </row>
    <row r="2074" spans="1:22" x14ac:dyDescent="0.35">
      <c r="A2074" s="3">
        <v>44385</v>
      </c>
      <c r="B2074" t="s">
        <v>37</v>
      </c>
      <c r="C2074">
        <v>0</v>
      </c>
      <c r="D2074">
        <v>0</v>
      </c>
      <c r="E2074">
        <v>0</v>
      </c>
      <c r="F2074">
        <v>0</v>
      </c>
      <c r="G2074">
        <v>21.998999999999999</v>
      </c>
      <c r="H2074">
        <v>0</v>
      </c>
      <c r="I2074">
        <v>0</v>
      </c>
      <c r="J2074">
        <v>0</v>
      </c>
      <c r="K2074">
        <v>0</v>
      </c>
      <c r="L2074">
        <v>48</v>
      </c>
      <c r="M2074">
        <v>69</v>
      </c>
      <c r="N2074" t="s">
        <v>37</v>
      </c>
      <c r="O2074" s="3">
        <v>44454</v>
      </c>
      <c r="P2074">
        <v>-1</v>
      </c>
      <c r="T2074" t="s">
        <v>48</v>
      </c>
      <c r="U2074">
        <v>18</v>
      </c>
      <c r="V2074">
        <v>31.225000000000001</v>
      </c>
    </row>
    <row r="2075" spans="1:22" x14ac:dyDescent="0.35">
      <c r="A2075" s="3">
        <v>44384</v>
      </c>
      <c r="B2075" t="s">
        <v>35</v>
      </c>
      <c r="C2075">
        <v>0</v>
      </c>
      <c r="D2075">
        <v>0</v>
      </c>
      <c r="E2075">
        <v>0</v>
      </c>
      <c r="F2075">
        <v>0</v>
      </c>
      <c r="G2075">
        <v>22.3034</v>
      </c>
      <c r="H2075">
        <v>0</v>
      </c>
      <c r="I2075">
        <v>0</v>
      </c>
      <c r="J2075">
        <v>0</v>
      </c>
      <c r="K2075">
        <v>0</v>
      </c>
      <c r="L2075">
        <v>94</v>
      </c>
      <c r="M2075">
        <v>133</v>
      </c>
      <c r="N2075" t="s">
        <v>35</v>
      </c>
      <c r="O2075" s="3">
        <v>44517</v>
      </c>
      <c r="P2075">
        <v>-1</v>
      </c>
      <c r="T2075" t="s">
        <v>47</v>
      </c>
      <c r="U2075">
        <v>38</v>
      </c>
      <c r="V2075">
        <v>32.924999999999997</v>
      </c>
    </row>
    <row r="2076" spans="1:22" x14ac:dyDescent="0.35">
      <c r="A2076" s="3">
        <v>44384</v>
      </c>
      <c r="B2076" t="s">
        <v>39</v>
      </c>
      <c r="C2076">
        <v>0</v>
      </c>
      <c r="D2076">
        <v>0</v>
      </c>
      <c r="E2076">
        <v>0</v>
      </c>
      <c r="F2076">
        <v>0</v>
      </c>
      <c r="G2076">
        <v>18.048500000000001</v>
      </c>
      <c r="H2076">
        <v>0</v>
      </c>
      <c r="I2076">
        <v>0</v>
      </c>
      <c r="J2076">
        <v>0</v>
      </c>
      <c r="K2076">
        <v>0</v>
      </c>
      <c r="L2076">
        <v>10</v>
      </c>
      <c r="M2076">
        <v>14</v>
      </c>
      <c r="N2076" t="s">
        <v>39</v>
      </c>
      <c r="O2076" s="3">
        <v>44398</v>
      </c>
      <c r="P2076">
        <v>-1</v>
      </c>
      <c r="T2076" t="s">
        <v>46</v>
      </c>
      <c r="U2076">
        <v>57</v>
      </c>
      <c r="V2076">
        <v>31.324999999999999</v>
      </c>
    </row>
    <row r="2077" spans="1:22" x14ac:dyDescent="0.35">
      <c r="A2077" s="3">
        <v>44384</v>
      </c>
      <c r="B2077" t="s">
        <v>38</v>
      </c>
      <c r="C2077">
        <v>0</v>
      </c>
      <c r="D2077">
        <v>0</v>
      </c>
      <c r="E2077">
        <v>0</v>
      </c>
      <c r="F2077">
        <v>0</v>
      </c>
      <c r="G2077">
        <v>19.945499999999999</v>
      </c>
      <c r="H2077">
        <v>0</v>
      </c>
      <c r="I2077">
        <v>0</v>
      </c>
      <c r="J2077">
        <v>0</v>
      </c>
      <c r="K2077">
        <v>0</v>
      </c>
      <c r="L2077">
        <v>30</v>
      </c>
      <c r="M2077">
        <v>42</v>
      </c>
      <c r="N2077" t="s">
        <v>38</v>
      </c>
      <c r="O2077" s="3">
        <v>44426</v>
      </c>
      <c r="P2077">
        <v>-1</v>
      </c>
      <c r="S2077" s="3">
        <v>44102</v>
      </c>
      <c r="T2077" t="s">
        <v>45</v>
      </c>
      <c r="U2077">
        <v>78</v>
      </c>
      <c r="V2077">
        <v>29.925000000000001</v>
      </c>
    </row>
    <row r="2078" spans="1:22" x14ac:dyDescent="0.35">
      <c r="A2078" s="3">
        <v>44384</v>
      </c>
      <c r="B2078" t="s">
        <v>34</v>
      </c>
      <c r="C2078">
        <v>0</v>
      </c>
      <c r="D2078">
        <v>0</v>
      </c>
      <c r="E2078">
        <v>0</v>
      </c>
      <c r="F2078">
        <v>0</v>
      </c>
      <c r="G2078">
        <v>22.451899999999998</v>
      </c>
      <c r="H2078">
        <v>0</v>
      </c>
      <c r="I2078">
        <v>0</v>
      </c>
      <c r="J2078">
        <v>0</v>
      </c>
      <c r="K2078">
        <v>0</v>
      </c>
      <c r="L2078">
        <v>118</v>
      </c>
      <c r="M2078">
        <v>168</v>
      </c>
      <c r="N2078" t="s">
        <v>34</v>
      </c>
      <c r="O2078" s="3">
        <v>44552</v>
      </c>
      <c r="P2078">
        <v>-1</v>
      </c>
      <c r="T2078" t="s">
        <v>44</v>
      </c>
      <c r="U2078">
        <v>97</v>
      </c>
      <c r="V2078">
        <v>29.375</v>
      </c>
    </row>
    <row r="2079" spans="1:22" x14ac:dyDescent="0.35">
      <c r="A2079" s="3">
        <v>44384</v>
      </c>
      <c r="B2079" t="s">
        <v>31</v>
      </c>
      <c r="C2079">
        <v>0</v>
      </c>
      <c r="D2079">
        <v>0</v>
      </c>
      <c r="E2079">
        <v>0</v>
      </c>
      <c r="F2079">
        <v>0</v>
      </c>
      <c r="G2079">
        <v>23.875</v>
      </c>
      <c r="H2079">
        <v>0</v>
      </c>
      <c r="I2079">
        <v>0</v>
      </c>
      <c r="J2079">
        <v>0</v>
      </c>
      <c r="K2079">
        <v>0</v>
      </c>
      <c r="L2079">
        <v>174</v>
      </c>
      <c r="M2079">
        <v>251</v>
      </c>
      <c r="N2079" t="s">
        <v>31</v>
      </c>
      <c r="O2079" s="3">
        <v>44635</v>
      </c>
      <c r="P2079">
        <v>-1</v>
      </c>
      <c r="T2079" t="s">
        <v>43</v>
      </c>
      <c r="U2079">
        <v>117</v>
      </c>
      <c r="V2079">
        <v>29.024999999999999</v>
      </c>
    </row>
    <row r="2080" spans="1:22" x14ac:dyDescent="0.35">
      <c r="A2080" s="3">
        <v>44384</v>
      </c>
      <c r="B2080" t="s">
        <v>37</v>
      </c>
      <c r="C2080">
        <v>0</v>
      </c>
      <c r="D2080">
        <v>0</v>
      </c>
      <c r="E2080">
        <v>0</v>
      </c>
      <c r="F2080">
        <v>0</v>
      </c>
      <c r="G2080">
        <v>21.173100000000002</v>
      </c>
      <c r="H2080">
        <v>0</v>
      </c>
      <c r="I2080">
        <v>0</v>
      </c>
      <c r="J2080">
        <v>0</v>
      </c>
      <c r="K2080">
        <v>0</v>
      </c>
      <c r="L2080">
        <v>49</v>
      </c>
      <c r="M2080">
        <v>70</v>
      </c>
      <c r="N2080" t="s">
        <v>37</v>
      </c>
      <c r="O2080" s="3">
        <v>44454</v>
      </c>
      <c r="P2080">
        <v>-1</v>
      </c>
      <c r="T2080" t="s">
        <v>42</v>
      </c>
      <c r="U2080">
        <v>142</v>
      </c>
      <c r="V2080">
        <v>28.425000000000001</v>
      </c>
    </row>
    <row r="2081" spans="1:22" x14ac:dyDescent="0.35">
      <c r="A2081" s="3">
        <v>44384</v>
      </c>
      <c r="B2081" t="s">
        <v>32</v>
      </c>
      <c r="C2081">
        <v>0</v>
      </c>
      <c r="D2081">
        <v>0</v>
      </c>
      <c r="E2081">
        <v>0</v>
      </c>
      <c r="F2081">
        <v>0</v>
      </c>
      <c r="G2081">
        <v>23.774999999999999</v>
      </c>
      <c r="H2081">
        <v>0</v>
      </c>
      <c r="I2081">
        <v>0</v>
      </c>
      <c r="J2081">
        <v>0</v>
      </c>
      <c r="K2081">
        <v>0</v>
      </c>
      <c r="L2081">
        <v>156</v>
      </c>
      <c r="M2081">
        <v>224</v>
      </c>
      <c r="N2081" t="s">
        <v>32</v>
      </c>
      <c r="O2081" s="3">
        <v>44608</v>
      </c>
      <c r="P2081">
        <v>-1</v>
      </c>
      <c r="T2081" t="s">
        <v>41</v>
      </c>
      <c r="U2081">
        <v>162</v>
      </c>
      <c r="V2081">
        <v>28.05</v>
      </c>
    </row>
    <row r="2082" spans="1:22" x14ac:dyDescent="0.35">
      <c r="A2082" s="3">
        <v>44384</v>
      </c>
      <c r="B2082" t="s">
        <v>36</v>
      </c>
      <c r="C2082">
        <v>0</v>
      </c>
      <c r="D2082">
        <v>0</v>
      </c>
      <c r="E2082">
        <v>0</v>
      </c>
      <c r="F2082">
        <v>0</v>
      </c>
      <c r="G2082">
        <v>21.9514</v>
      </c>
      <c r="H2082">
        <v>0</v>
      </c>
      <c r="I2082">
        <v>0</v>
      </c>
      <c r="J2082">
        <v>0</v>
      </c>
      <c r="K2082">
        <v>0</v>
      </c>
      <c r="L2082">
        <v>74</v>
      </c>
      <c r="M2082">
        <v>105</v>
      </c>
      <c r="N2082" t="s">
        <v>36</v>
      </c>
      <c r="O2082" s="3">
        <v>44489</v>
      </c>
      <c r="P2082">
        <v>-1</v>
      </c>
      <c r="T2082" t="s">
        <v>48</v>
      </c>
      <c r="U2082">
        <v>17</v>
      </c>
      <c r="V2082">
        <v>30.824999999999999</v>
      </c>
    </row>
    <row r="2083" spans="1:22" x14ac:dyDescent="0.35">
      <c r="A2083" s="3">
        <v>44384</v>
      </c>
      <c r="B2083" t="s">
        <v>33</v>
      </c>
      <c r="C2083">
        <v>0</v>
      </c>
      <c r="D2083">
        <v>0</v>
      </c>
      <c r="E2083">
        <v>0</v>
      </c>
      <c r="F2083">
        <v>0</v>
      </c>
      <c r="G2083">
        <v>23.477799999999998</v>
      </c>
      <c r="H2083">
        <v>0</v>
      </c>
      <c r="I2083">
        <v>0</v>
      </c>
      <c r="J2083">
        <v>0</v>
      </c>
      <c r="K2083">
        <v>0</v>
      </c>
      <c r="L2083">
        <v>136</v>
      </c>
      <c r="M2083">
        <v>196</v>
      </c>
      <c r="N2083" t="s">
        <v>33</v>
      </c>
      <c r="O2083" s="3">
        <v>44580</v>
      </c>
      <c r="P2083">
        <v>-1</v>
      </c>
      <c r="T2083" t="s">
        <v>47</v>
      </c>
      <c r="U2083">
        <v>37</v>
      </c>
      <c r="V2083">
        <v>32.975000000000001</v>
      </c>
    </row>
    <row r="2084" spans="1:22" x14ac:dyDescent="0.35">
      <c r="A2084" s="3">
        <v>44383</v>
      </c>
      <c r="B2084" t="s">
        <v>32</v>
      </c>
      <c r="C2084">
        <v>0</v>
      </c>
      <c r="D2084">
        <v>0</v>
      </c>
      <c r="E2084">
        <v>0</v>
      </c>
      <c r="F2084">
        <v>0</v>
      </c>
      <c r="G2084">
        <v>23.65</v>
      </c>
      <c r="H2084">
        <v>0</v>
      </c>
      <c r="I2084">
        <v>0</v>
      </c>
      <c r="J2084">
        <v>0</v>
      </c>
      <c r="K2084">
        <v>0</v>
      </c>
      <c r="L2084">
        <v>157</v>
      </c>
      <c r="M2084">
        <v>225</v>
      </c>
      <c r="N2084" t="s">
        <v>32</v>
      </c>
      <c r="O2084" s="3">
        <v>44608</v>
      </c>
      <c r="P2084">
        <v>-1</v>
      </c>
      <c r="T2084" t="s">
        <v>46</v>
      </c>
      <c r="U2084">
        <v>56</v>
      </c>
      <c r="V2084">
        <v>30.95</v>
      </c>
    </row>
    <row r="2085" spans="1:22" x14ac:dyDescent="0.35">
      <c r="A2085" s="3">
        <v>44383</v>
      </c>
      <c r="B2085" t="s">
        <v>36</v>
      </c>
      <c r="C2085">
        <v>0</v>
      </c>
      <c r="D2085">
        <v>0</v>
      </c>
      <c r="E2085">
        <v>0</v>
      </c>
      <c r="F2085">
        <v>0</v>
      </c>
      <c r="G2085">
        <v>21.824999999999999</v>
      </c>
      <c r="H2085">
        <v>0</v>
      </c>
      <c r="I2085">
        <v>0</v>
      </c>
      <c r="J2085">
        <v>0</v>
      </c>
      <c r="K2085">
        <v>0</v>
      </c>
      <c r="L2085">
        <v>75</v>
      </c>
      <c r="M2085">
        <v>106</v>
      </c>
      <c r="N2085" t="s">
        <v>36</v>
      </c>
      <c r="O2085" s="3">
        <v>44489</v>
      </c>
      <c r="P2085">
        <v>-1</v>
      </c>
      <c r="S2085" s="3">
        <v>44103</v>
      </c>
      <c r="T2085" t="s">
        <v>45</v>
      </c>
      <c r="U2085">
        <v>77</v>
      </c>
      <c r="V2085">
        <v>29.625</v>
      </c>
    </row>
    <row r="2086" spans="1:22" x14ac:dyDescent="0.35">
      <c r="A2086" s="3">
        <v>44383</v>
      </c>
      <c r="B2086" t="s">
        <v>33</v>
      </c>
      <c r="C2086">
        <v>0</v>
      </c>
      <c r="D2086">
        <v>0</v>
      </c>
      <c r="E2086">
        <v>0</v>
      </c>
      <c r="F2086">
        <v>0</v>
      </c>
      <c r="G2086">
        <v>23.416699999999999</v>
      </c>
      <c r="H2086">
        <v>0</v>
      </c>
      <c r="I2086">
        <v>0</v>
      </c>
      <c r="J2086">
        <v>0</v>
      </c>
      <c r="K2086">
        <v>0</v>
      </c>
      <c r="L2086">
        <v>137</v>
      </c>
      <c r="M2086">
        <v>197</v>
      </c>
      <c r="N2086" t="s">
        <v>33</v>
      </c>
      <c r="O2086" s="3">
        <v>44580</v>
      </c>
      <c r="P2086">
        <v>-1</v>
      </c>
      <c r="T2086" t="s">
        <v>44</v>
      </c>
      <c r="U2086">
        <v>96</v>
      </c>
      <c r="V2086">
        <v>29.1</v>
      </c>
    </row>
    <row r="2087" spans="1:22" x14ac:dyDescent="0.35">
      <c r="A2087" s="3">
        <v>44383</v>
      </c>
      <c r="B2087" t="s">
        <v>39</v>
      </c>
      <c r="C2087">
        <v>0</v>
      </c>
      <c r="D2087">
        <v>0</v>
      </c>
      <c r="E2087">
        <v>0</v>
      </c>
      <c r="F2087">
        <v>0</v>
      </c>
      <c r="G2087">
        <v>17.998699999999999</v>
      </c>
      <c r="H2087">
        <v>0</v>
      </c>
      <c r="I2087">
        <v>0</v>
      </c>
      <c r="J2087">
        <v>0</v>
      </c>
      <c r="K2087">
        <v>0</v>
      </c>
      <c r="L2087">
        <v>11</v>
      </c>
      <c r="M2087">
        <v>15</v>
      </c>
      <c r="N2087" t="s">
        <v>39</v>
      </c>
      <c r="O2087" s="3">
        <v>44398</v>
      </c>
      <c r="P2087">
        <v>-1</v>
      </c>
      <c r="T2087" t="s">
        <v>43</v>
      </c>
      <c r="U2087">
        <v>116</v>
      </c>
      <c r="V2087">
        <v>28.625</v>
      </c>
    </row>
    <row r="2088" spans="1:22" x14ac:dyDescent="0.35">
      <c r="A2088" s="3">
        <v>44383</v>
      </c>
      <c r="B2088" t="s">
        <v>38</v>
      </c>
      <c r="C2088">
        <v>0</v>
      </c>
      <c r="D2088">
        <v>0</v>
      </c>
      <c r="E2088">
        <v>0</v>
      </c>
      <c r="F2088">
        <v>0</v>
      </c>
      <c r="G2088">
        <v>19.851299999999998</v>
      </c>
      <c r="H2088">
        <v>0</v>
      </c>
      <c r="I2088">
        <v>0</v>
      </c>
      <c r="J2088">
        <v>0</v>
      </c>
      <c r="K2088">
        <v>0</v>
      </c>
      <c r="L2088">
        <v>31</v>
      </c>
      <c r="M2088">
        <v>43</v>
      </c>
      <c r="N2088" t="s">
        <v>38</v>
      </c>
      <c r="O2088" s="3">
        <v>44426</v>
      </c>
      <c r="P2088">
        <v>-1</v>
      </c>
      <c r="T2088" t="s">
        <v>42</v>
      </c>
      <c r="U2088">
        <v>141</v>
      </c>
      <c r="V2088">
        <v>28.074999999999999</v>
      </c>
    </row>
    <row r="2089" spans="1:22" x14ac:dyDescent="0.35">
      <c r="A2089" s="3">
        <v>44383</v>
      </c>
      <c r="B2089" t="s">
        <v>34</v>
      </c>
      <c r="C2089">
        <v>0</v>
      </c>
      <c r="D2089">
        <v>0</v>
      </c>
      <c r="E2089">
        <v>0</v>
      </c>
      <c r="F2089">
        <v>0</v>
      </c>
      <c r="G2089">
        <v>22.409199999999998</v>
      </c>
      <c r="H2089">
        <v>0</v>
      </c>
      <c r="I2089">
        <v>0</v>
      </c>
      <c r="J2089">
        <v>0</v>
      </c>
      <c r="K2089">
        <v>0</v>
      </c>
      <c r="L2089">
        <v>119</v>
      </c>
      <c r="M2089">
        <v>169</v>
      </c>
      <c r="N2089" t="s">
        <v>34</v>
      </c>
      <c r="O2089" s="3">
        <v>44552</v>
      </c>
      <c r="P2089">
        <v>-1</v>
      </c>
      <c r="T2089" t="s">
        <v>41</v>
      </c>
      <c r="U2089">
        <v>161</v>
      </c>
      <c r="V2089">
        <v>27.65</v>
      </c>
    </row>
    <row r="2090" spans="1:22" x14ac:dyDescent="0.35">
      <c r="A2090" s="3">
        <v>44383</v>
      </c>
      <c r="B2090" t="s">
        <v>31</v>
      </c>
      <c r="C2090">
        <v>0</v>
      </c>
      <c r="D2090">
        <v>0</v>
      </c>
      <c r="E2090">
        <v>0</v>
      </c>
      <c r="F2090">
        <v>0</v>
      </c>
      <c r="G2090">
        <v>23.824999999999999</v>
      </c>
      <c r="H2090">
        <v>0</v>
      </c>
      <c r="I2090">
        <v>0</v>
      </c>
      <c r="J2090">
        <v>0</v>
      </c>
      <c r="K2090">
        <v>0</v>
      </c>
      <c r="L2090">
        <v>175</v>
      </c>
      <c r="M2090">
        <v>252</v>
      </c>
      <c r="N2090" t="s">
        <v>31</v>
      </c>
      <c r="O2090" s="3">
        <v>44635</v>
      </c>
      <c r="P2090">
        <v>-1</v>
      </c>
      <c r="T2090" t="s">
        <v>48</v>
      </c>
      <c r="U2090">
        <v>16</v>
      </c>
      <c r="V2090">
        <v>29.774999999999999</v>
      </c>
    </row>
    <row r="2091" spans="1:22" x14ac:dyDescent="0.35">
      <c r="A2091" s="3">
        <v>44383</v>
      </c>
      <c r="B2091" t="s">
        <v>37</v>
      </c>
      <c r="C2091">
        <v>0</v>
      </c>
      <c r="D2091">
        <v>0</v>
      </c>
      <c r="E2091">
        <v>0</v>
      </c>
      <c r="F2091">
        <v>0</v>
      </c>
      <c r="G2091">
        <v>21.0533</v>
      </c>
      <c r="H2091">
        <v>0</v>
      </c>
      <c r="I2091">
        <v>0</v>
      </c>
      <c r="J2091">
        <v>0</v>
      </c>
      <c r="K2091">
        <v>0</v>
      </c>
      <c r="L2091">
        <v>50</v>
      </c>
      <c r="M2091">
        <v>71</v>
      </c>
      <c r="N2091" t="s">
        <v>37</v>
      </c>
      <c r="O2091" s="3">
        <v>44454</v>
      </c>
      <c r="P2091">
        <v>-1</v>
      </c>
      <c r="T2091" t="s">
        <v>47</v>
      </c>
      <c r="U2091">
        <v>36</v>
      </c>
      <c r="V2091">
        <v>32.075000000000003</v>
      </c>
    </row>
    <row r="2092" spans="1:22" x14ac:dyDescent="0.35">
      <c r="A2092" s="3">
        <v>44383</v>
      </c>
      <c r="B2092" t="s">
        <v>35</v>
      </c>
      <c r="C2092">
        <v>0</v>
      </c>
      <c r="D2092">
        <v>0</v>
      </c>
      <c r="E2092">
        <v>0</v>
      </c>
      <c r="F2092">
        <v>0</v>
      </c>
      <c r="G2092">
        <v>22.232500000000002</v>
      </c>
      <c r="H2092">
        <v>0</v>
      </c>
      <c r="I2092">
        <v>0</v>
      </c>
      <c r="J2092">
        <v>0</v>
      </c>
      <c r="K2092">
        <v>0</v>
      </c>
      <c r="L2092">
        <v>95</v>
      </c>
      <c r="M2092">
        <v>134</v>
      </c>
      <c r="N2092" t="s">
        <v>35</v>
      </c>
      <c r="O2092" s="3">
        <v>44517</v>
      </c>
      <c r="P2092">
        <v>-1</v>
      </c>
      <c r="T2092" t="s">
        <v>46</v>
      </c>
      <c r="U2092">
        <v>55</v>
      </c>
      <c r="V2092">
        <v>30.475000000000001</v>
      </c>
    </row>
    <row r="2093" spans="1:22" x14ac:dyDescent="0.35">
      <c r="A2093" s="3">
        <v>44379</v>
      </c>
      <c r="B2093" t="s">
        <v>39</v>
      </c>
      <c r="C2093">
        <v>0</v>
      </c>
      <c r="D2093">
        <v>0</v>
      </c>
      <c r="E2093">
        <v>0</v>
      </c>
      <c r="F2093">
        <v>0</v>
      </c>
      <c r="G2093">
        <v>17.470600000000001</v>
      </c>
      <c r="H2093">
        <v>0</v>
      </c>
      <c r="I2093">
        <v>0</v>
      </c>
      <c r="J2093">
        <v>0</v>
      </c>
      <c r="K2093">
        <v>0</v>
      </c>
      <c r="L2093">
        <v>12</v>
      </c>
      <c r="M2093">
        <v>19</v>
      </c>
      <c r="N2093" t="s">
        <v>39</v>
      </c>
      <c r="O2093" s="3">
        <v>44398</v>
      </c>
      <c r="P2093">
        <v>-1</v>
      </c>
      <c r="S2093" s="3">
        <v>44104</v>
      </c>
      <c r="T2093" t="s">
        <v>45</v>
      </c>
      <c r="U2093">
        <v>76</v>
      </c>
      <c r="V2093">
        <v>29.875</v>
      </c>
    </row>
    <row r="2094" spans="1:22" x14ac:dyDescent="0.35">
      <c r="A2094" s="3">
        <v>44379</v>
      </c>
      <c r="B2094" t="s">
        <v>38</v>
      </c>
      <c r="C2094">
        <v>0</v>
      </c>
      <c r="D2094">
        <v>0</v>
      </c>
      <c r="E2094">
        <v>0</v>
      </c>
      <c r="F2094">
        <v>0</v>
      </c>
      <c r="G2094">
        <v>19.4999</v>
      </c>
      <c r="H2094">
        <v>0</v>
      </c>
      <c r="I2094">
        <v>0</v>
      </c>
      <c r="J2094">
        <v>0</v>
      </c>
      <c r="K2094">
        <v>0</v>
      </c>
      <c r="L2094">
        <v>32</v>
      </c>
      <c r="M2094">
        <v>47</v>
      </c>
      <c r="N2094" t="s">
        <v>38</v>
      </c>
      <c r="O2094" s="3">
        <v>44426</v>
      </c>
      <c r="P2094">
        <v>-1</v>
      </c>
      <c r="T2094" t="s">
        <v>44</v>
      </c>
      <c r="U2094">
        <v>95</v>
      </c>
      <c r="V2094">
        <v>29.4</v>
      </c>
    </row>
    <row r="2095" spans="1:22" x14ac:dyDescent="0.35">
      <c r="A2095" s="3">
        <v>44379</v>
      </c>
      <c r="B2095" t="s">
        <v>34</v>
      </c>
      <c r="C2095">
        <v>0</v>
      </c>
      <c r="D2095">
        <v>0</v>
      </c>
      <c r="E2095">
        <v>0</v>
      </c>
      <c r="F2095">
        <v>0</v>
      </c>
      <c r="G2095">
        <v>22.2592</v>
      </c>
      <c r="H2095">
        <v>0</v>
      </c>
      <c r="I2095">
        <v>0</v>
      </c>
      <c r="J2095">
        <v>0</v>
      </c>
      <c r="K2095">
        <v>0</v>
      </c>
      <c r="L2095">
        <v>120</v>
      </c>
      <c r="M2095">
        <v>173</v>
      </c>
      <c r="N2095" t="s">
        <v>34</v>
      </c>
      <c r="O2095" s="3">
        <v>44552</v>
      </c>
      <c r="P2095">
        <v>-1</v>
      </c>
      <c r="T2095" t="s">
        <v>43</v>
      </c>
      <c r="U2095">
        <v>115</v>
      </c>
      <c r="V2095">
        <v>28.925000000000001</v>
      </c>
    </row>
    <row r="2096" spans="1:22" x14ac:dyDescent="0.35">
      <c r="A2096" s="3">
        <v>44379</v>
      </c>
      <c r="B2096" t="s">
        <v>31</v>
      </c>
      <c r="C2096">
        <v>0</v>
      </c>
      <c r="D2096">
        <v>0</v>
      </c>
      <c r="E2096">
        <v>0</v>
      </c>
      <c r="F2096">
        <v>0</v>
      </c>
      <c r="G2096">
        <v>23.524999999999999</v>
      </c>
      <c r="H2096">
        <v>0</v>
      </c>
      <c r="I2096">
        <v>0</v>
      </c>
      <c r="J2096">
        <v>0</v>
      </c>
      <c r="K2096">
        <v>0</v>
      </c>
      <c r="L2096">
        <v>176</v>
      </c>
      <c r="M2096">
        <v>256</v>
      </c>
      <c r="N2096" t="s">
        <v>31</v>
      </c>
      <c r="O2096" s="3">
        <v>44635</v>
      </c>
      <c r="P2096">
        <v>-1</v>
      </c>
      <c r="T2096" t="s">
        <v>42</v>
      </c>
      <c r="U2096">
        <v>140</v>
      </c>
      <c r="V2096">
        <v>28.375</v>
      </c>
    </row>
    <row r="2097" spans="1:22" x14ac:dyDescent="0.35">
      <c r="A2097" s="3">
        <v>44379</v>
      </c>
      <c r="B2097" t="s">
        <v>37</v>
      </c>
      <c r="C2097">
        <v>0</v>
      </c>
      <c r="D2097">
        <v>0</v>
      </c>
      <c r="E2097">
        <v>0</v>
      </c>
      <c r="F2097">
        <v>0</v>
      </c>
      <c r="G2097">
        <v>20.7956</v>
      </c>
      <c r="H2097">
        <v>0</v>
      </c>
      <c r="I2097">
        <v>0</v>
      </c>
      <c r="J2097">
        <v>0</v>
      </c>
      <c r="K2097">
        <v>0</v>
      </c>
      <c r="L2097">
        <v>51</v>
      </c>
      <c r="M2097">
        <v>75</v>
      </c>
      <c r="N2097" t="s">
        <v>37</v>
      </c>
      <c r="O2097" s="3">
        <v>44454</v>
      </c>
      <c r="P2097">
        <v>-1</v>
      </c>
      <c r="T2097" t="s">
        <v>41</v>
      </c>
      <c r="U2097">
        <v>160</v>
      </c>
      <c r="V2097">
        <v>27.774999999999999</v>
      </c>
    </row>
    <row r="2098" spans="1:22" x14ac:dyDescent="0.35">
      <c r="A2098" s="3">
        <v>44379</v>
      </c>
      <c r="B2098" t="s">
        <v>35</v>
      </c>
      <c r="C2098">
        <v>0</v>
      </c>
      <c r="D2098">
        <v>0</v>
      </c>
      <c r="E2098">
        <v>0</v>
      </c>
      <c r="F2098">
        <v>0</v>
      </c>
      <c r="G2098">
        <v>22.096499999999999</v>
      </c>
      <c r="H2098">
        <v>0</v>
      </c>
      <c r="I2098">
        <v>0</v>
      </c>
      <c r="J2098">
        <v>0</v>
      </c>
      <c r="K2098">
        <v>0</v>
      </c>
      <c r="L2098">
        <v>96</v>
      </c>
      <c r="M2098">
        <v>138</v>
      </c>
      <c r="N2098" t="s">
        <v>35</v>
      </c>
      <c r="O2098" s="3">
        <v>44517</v>
      </c>
      <c r="P2098">
        <v>-1</v>
      </c>
      <c r="T2098" t="s">
        <v>48</v>
      </c>
      <c r="U2098">
        <v>15</v>
      </c>
      <c r="V2098">
        <v>30.375</v>
      </c>
    </row>
    <row r="2099" spans="1:22" x14ac:dyDescent="0.35">
      <c r="A2099" s="3">
        <v>44379</v>
      </c>
      <c r="B2099" t="s">
        <v>32</v>
      </c>
      <c r="C2099">
        <v>0</v>
      </c>
      <c r="D2099">
        <v>0</v>
      </c>
      <c r="E2099">
        <v>0</v>
      </c>
      <c r="F2099">
        <v>0</v>
      </c>
      <c r="G2099">
        <v>23.5</v>
      </c>
      <c r="H2099">
        <v>0</v>
      </c>
      <c r="I2099">
        <v>0</v>
      </c>
      <c r="J2099">
        <v>0</v>
      </c>
      <c r="K2099">
        <v>0</v>
      </c>
      <c r="L2099">
        <v>158</v>
      </c>
      <c r="M2099">
        <v>229</v>
      </c>
      <c r="N2099" t="s">
        <v>32</v>
      </c>
      <c r="O2099" s="3">
        <v>44608</v>
      </c>
      <c r="P2099">
        <v>-1</v>
      </c>
      <c r="T2099" t="s">
        <v>47</v>
      </c>
      <c r="U2099">
        <v>35</v>
      </c>
      <c r="V2099">
        <v>32.875</v>
      </c>
    </row>
    <row r="2100" spans="1:22" x14ac:dyDescent="0.35">
      <c r="A2100" s="3">
        <v>44379</v>
      </c>
      <c r="B2100" t="s">
        <v>36</v>
      </c>
      <c r="C2100">
        <v>0</v>
      </c>
      <c r="D2100">
        <v>0</v>
      </c>
      <c r="E2100">
        <v>0</v>
      </c>
      <c r="F2100">
        <v>0</v>
      </c>
      <c r="G2100">
        <v>21.65</v>
      </c>
      <c r="H2100">
        <v>0</v>
      </c>
      <c r="I2100">
        <v>0</v>
      </c>
      <c r="J2100">
        <v>0</v>
      </c>
      <c r="K2100">
        <v>0</v>
      </c>
      <c r="L2100">
        <v>76</v>
      </c>
      <c r="M2100">
        <v>110</v>
      </c>
      <c r="N2100" t="s">
        <v>36</v>
      </c>
      <c r="O2100" s="3">
        <v>44489</v>
      </c>
      <c r="P2100">
        <v>-1</v>
      </c>
      <c r="T2100" t="s">
        <v>46</v>
      </c>
      <c r="U2100">
        <v>54</v>
      </c>
      <c r="V2100">
        <v>30.925000000000001</v>
      </c>
    </row>
    <row r="2101" spans="1:22" x14ac:dyDescent="0.35">
      <c r="A2101" s="3">
        <v>44379</v>
      </c>
      <c r="B2101" t="s">
        <v>33</v>
      </c>
      <c r="C2101">
        <v>0</v>
      </c>
      <c r="D2101">
        <v>0</v>
      </c>
      <c r="E2101">
        <v>0</v>
      </c>
      <c r="F2101">
        <v>0</v>
      </c>
      <c r="G2101">
        <v>23.26</v>
      </c>
      <c r="H2101">
        <v>0</v>
      </c>
      <c r="I2101">
        <v>0</v>
      </c>
      <c r="J2101">
        <v>0</v>
      </c>
      <c r="K2101">
        <v>0</v>
      </c>
      <c r="L2101">
        <v>138</v>
      </c>
      <c r="M2101">
        <v>201</v>
      </c>
      <c r="N2101" t="s">
        <v>33</v>
      </c>
      <c r="O2101" s="3">
        <v>44580</v>
      </c>
      <c r="P2101">
        <v>-1</v>
      </c>
      <c r="S2101" s="3">
        <v>44105</v>
      </c>
      <c r="T2101" t="s">
        <v>45</v>
      </c>
      <c r="U2101">
        <v>75</v>
      </c>
      <c r="V2101">
        <v>30.15</v>
      </c>
    </row>
    <row r="2102" spans="1:22" x14ac:dyDescent="0.35">
      <c r="A2102" s="3">
        <v>44378</v>
      </c>
      <c r="B2102" t="s">
        <v>32</v>
      </c>
      <c r="C2102">
        <v>0</v>
      </c>
      <c r="D2102">
        <v>0</v>
      </c>
      <c r="E2102">
        <v>0</v>
      </c>
      <c r="F2102">
        <v>0</v>
      </c>
      <c r="G2102">
        <v>23.524999999999999</v>
      </c>
      <c r="H2102">
        <v>0</v>
      </c>
      <c r="I2102">
        <v>0</v>
      </c>
      <c r="J2102">
        <v>0</v>
      </c>
      <c r="K2102">
        <v>0</v>
      </c>
      <c r="L2102">
        <v>159</v>
      </c>
      <c r="M2102">
        <v>230</v>
      </c>
      <c r="N2102" t="s">
        <v>32</v>
      </c>
      <c r="O2102" s="3">
        <v>44608</v>
      </c>
      <c r="P2102">
        <v>-1</v>
      </c>
      <c r="T2102" t="s">
        <v>44</v>
      </c>
      <c r="U2102">
        <v>94</v>
      </c>
      <c r="V2102">
        <v>29.675000000000001</v>
      </c>
    </row>
    <row r="2103" spans="1:22" x14ac:dyDescent="0.35">
      <c r="A2103" s="3">
        <v>44378</v>
      </c>
      <c r="B2103" t="s">
        <v>36</v>
      </c>
      <c r="C2103">
        <v>0</v>
      </c>
      <c r="D2103">
        <v>0</v>
      </c>
      <c r="E2103">
        <v>0</v>
      </c>
      <c r="F2103">
        <v>0</v>
      </c>
      <c r="G2103">
        <v>21.7</v>
      </c>
      <c r="H2103">
        <v>0</v>
      </c>
      <c r="I2103">
        <v>0</v>
      </c>
      <c r="J2103">
        <v>0</v>
      </c>
      <c r="K2103">
        <v>0</v>
      </c>
      <c r="L2103">
        <v>77</v>
      </c>
      <c r="M2103">
        <v>111</v>
      </c>
      <c r="N2103" t="s">
        <v>36</v>
      </c>
      <c r="O2103" s="3">
        <v>44489</v>
      </c>
      <c r="P2103">
        <v>-1</v>
      </c>
      <c r="T2103" t="s">
        <v>43</v>
      </c>
      <c r="U2103">
        <v>114</v>
      </c>
      <c r="V2103">
        <v>29.125</v>
      </c>
    </row>
    <row r="2104" spans="1:22" x14ac:dyDescent="0.35">
      <c r="A2104" s="3">
        <v>44378</v>
      </c>
      <c r="B2104" t="s">
        <v>33</v>
      </c>
      <c r="C2104">
        <v>0</v>
      </c>
      <c r="D2104">
        <v>0</v>
      </c>
      <c r="E2104">
        <v>0</v>
      </c>
      <c r="F2104">
        <v>0</v>
      </c>
      <c r="G2104">
        <v>23.3</v>
      </c>
      <c r="H2104">
        <v>0</v>
      </c>
      <c r="I2104">
        <v>0</v>
      </c>
      <c r="J2104">
        <v>0</v>
      </c>
      <c r="K2104">
        <v>0</v>
      </c>
      <c r="L2104">
        <v>139</v>
      </c>
      <c r="M2104">
        <v>202</v>
      </c>
      <c r="N2104" t="s">
        <v>33</v>
      </c>
      <c r="O2104" s="3">
        <v>44580</v>
      </c>
      <c r="P2104">
        <v>-1</v>
      </c>
      <c r="T2104" t="s">
        <v>42</v>
      </c>
      <c r="U2104">
        <v>139</v>
      </c>
      <c r="V2104">
        <v>28.574999999999999</v>
      </c>
    </row>
    <row r="2105" spans="1:22" x14ac:dyDescent="0.35">
      <c r="A2105" s="3">
        <v>44378</v>
      </c>
      <c r="B2105" t="s">
        <v>39</v>
      </c>
      <c r="C2105">
        <v>0</v>
      </c>
      <c r="D2105">
        <v>0</v>
      </c>
      <c r="E2105">
        <v>0</v>
      </c>
      <c r="F2105">
        <v>0</v>
      </c>
      <c r="G2105">
        <v>17.473500000000001</v>
      </c>
      <c r="H2105">
        <v>0</v>
      </c>
      <c r="I2105">
        <v>0</v>
      </c>
      <c r="J2105">
        <v>0</v>
      </c>
      <c r="K2105">
        <v>0</v>
      </c>
      <c r="L2105">
        <v>13</v>
      </c>
      <c r="M2105">
        <v>20</v>
      </c>
      <c r="N2105" t="s">
        <v>39</v>
      </c>
      <c r="O2105" s="3">
        <v>44398</v>
      </c>
      <c r="P2105">
        <v>-1</v>
      </c>
      <c r="T2105" t="s">
        <v>41</v>
      </c>
      <c r="U2105">
        <v>159</v>
      </c>
      <c r="V2105">
        <v>28.024999999999999</v>
      </c>
    </row>
    <row r="2106" spans="1:22" x14ac:dyDescent="0.35">
      <c r="A2106" s="3">
        <v>44378</v>
      </c>
      <c r="B2106" t="s">
        <v>38</v>
      </c>
      <c r="C2106">
        <v>0</v>
      </c>
      <c r="D2106">
        <v>0</v>
      </c>
      <c r="E2106">
        <v>0</v>
      </c>
      <c r="F2106">
        <v>0</v>
      </c>
      <c r="G2106">
        <v>19.544699999999999</v>
      </c>
      <c r="H2106">
        <v>0</v>
      </c>
      <c r="I2106">
        <v>0</v>
      </c>
      <c r="J2106">
        <v>0</v>
      </c>
      <c r="K2106">
        <v>0</v>
      </c>
      <c r="L2106">
        <v>33</v>
      </c>
      <c r="M2106">
        <v>48</v>
      </c>
      <c r="N2106" t="s">
        <v>38</v>
      </c>
      <c r="O2106" s="3">
        <v>44426</v>
      </c>
      <c r="P2106">
        <v>-1</v>
      </c>
      <c r="T2106" t="s">
        <v>48</v>
      </c>
      <c r="U2106">
        <v>14</v>
      </c>
      <c r="V2106">
        <v>30.675000000000001</v>
      </c>
    </row>
    <row r="2107" spans="1:22" x14ac:dyDescent="0.35">
      <c r="A2107" s="3">
        <v>44378</v>
      </c>
      <c r="B2107" t="s">
        <v>34</v>
      </c>
      <c r="C2107">
        <v>0</v>
      </c>
      <c r="D2107">
        <v>0</v>
      </c>
      <c r="E2107">
        <v>0</v>
      </c>
      <c r="F2107">
        <v>0</v>
      </c>
      <c r="G2107">
        <v>22.297599999999999</v>
      </c>
      <c r="H2107">
        <v>0</v>
      </c>
      <c r="I2107">
        <v>0</v>
      </c>
      <c r="J2107">
        <v>0</v>
      </c>
      <c r="K2107">
        <v>0</v>
      </c>
      <c r="L2107">
        <v>121</v>
      </c>
      <c r="M2107">
        <v>174</v>
      </c>
      <c r="N2107" t="s">
        <v>34</v>
      </c>
      <c r="O2107" s="3">
        <v>44552</v>
      </c>
      <c r="P2107">
        <v>-1</v>
      </c>
      <c r="T2107" t="s">
        <v>47</v>
      </c>
      <c r="U2107">
        <v>34</v>
      </c>
      <c r="V2107">
        <v>32.475000000000001</v>
      </c>
    </row>
    <row r="2108" spans="1:22" x14ac:dyDescent="0.35">
      <c r="A2108" s="3">
        <v>44378</v>
      </c>
      <c r="B2108" t="s">
        <v>31</v>
      </c>
      <c r="C2108">
        <v>0</v>
      </c>
      <c r="D2108">
        <v>0</v>
      </c>
      <c r="E2108">
        <v>0</v>
      </c>
      <c r="F2108">
        <v>0</v>
      </c>
      <c r="G2108">
        <v>23.65</v>
      </c>
      <c r="H2108">
        <v>0</v>
      </c>
      <c r="I2108">
        <v>0</v>
      </c>
      <c r="J2108">
        <v>0</v>
      </c>
      <c r="K2108">
        <v>0</v>
      </c>
      <c r="L2108">
        <v>177</v>
      </c>
      <c r="M2108">
        <v>257</v>
      </c>
      <c r="N2108" t="s">
        <v>31</v>
      </c>
      <c r="O2108" s="3">
        <v>44635</v>
      </c>
      <c r="P2108">
        <v>-1</v>
      </c>
      <c r="T2108" t="s">
        <v>46</v>
      </c>
      <c r="U2108">
        <v>53</v>
      </c>
      <c r="V2108">
        <v>31.074999999999999</v>
      </c>
    </row>
    <row r="2109" spans="1:22" x14ac:dyDescent="0.35">
      <c r="A2109" s="3">
        <v>44378</v>
      </c>
      <c r="B2109" t="s">
        <v>37</v>
      </c>
      <c r="C2109">
        <v>0</v>
      </c>
      <c r="D2109">
        <v>0</v>
      </c>
      <c r="E2109">
        <v>0</v>
      </c>
      <c r="F2109">
        <v>0</v>
      </c>
      <c r="G2109">
        <v>20.83</v>
      </c>
      <c r="H2109">
        <v>0</v>
      </c>
      <c r="I2109">
        <v>0</v>
      </c>
      <c r="J2109">
        <v>0</v>
      </c>
      <c r="K2109">
        <v>0</v>
      </c>
      <c r="L2109">
        <v>52</v>
      </c>
      <c r="M2109">
        <v>76</v>
      </c>
      <c r="N2109" t="s">
        <v>37</v>
      </c>
      <c r="O2109" s="3">
        <v>44454</v>
      </c>
      <c r="P2109">
        <v>-1</v>
      </c>
      <c r="S2109" s="3">
        <v>44106</v>
      </c>
      <c r="T2109" t="s">
        <v>45</v>
      </c>
      <c r="U2109">
        <v>74</v>
      </c>
      <c r="V2109">
        <v>30.574999999999999</v>
      </c>
    </row>
    <row r="2110" spans="1:22" x14ac:dyDescent="0.35">
      <c r="A2110" s="3">
        <v>44378</v>
      </c>
      <c r="B2110" t="s">
        <v>35</v>
      </c>
      <c r="C2110">
        <v>0</v>
      </c>
      <c r="D2110">
        <v>0</v>
      </c>
      <c r="E2110">
        <v>0</v>
      </c>
      <c r="F2110">
        <v>0</v>
      </c>
      <c r="G2110">
        <v>22.1465</v>
      </c>
      <c r="H2110">
        <v>0</v>
      </c>
      <c r="I2110">
        <v>0</v>
      </c>
      <c r="J2110">
        <v>0</v>
      </c>
      <c r="K2110">
        <v>0</v>
      </c>
      <c r="L2110">
        <v>97</v>
      </c>
      <c r="M2110">
        <v>139</v>
      </c>
      <c r="N2110" t="s">
        <v>35</v>
      </c>
      <c r="O2110" s="3">
        <v>44517</v>
      </c>
      <c r="P2110">
        <v>-1</v>
      </c>
      <c r="T2110" t="s">
        <v>44</v>
      </c>
      <c r="U2110">
        <v>93</v>
      </c>
      <c r="V2110">
        <v>30.074999999999999</v>
      </c>
    </row>
    <row r="2111" spans="1:22" x14ac:dyDescent="0.35">
      <c r="A2111" s="3">
        <v>44377</v>
      </c>
      <c r="B2111" t="s">
        <v>39</v>
      </c>
      <c r="C2111">
        <v>0</v>
      </c>
      <c r="D2111">
        <v>0</v>
      </c>
      <c r="E2111">
        <v>0</v>
      </c>
      <c r="F2111">
        <v>0</v>
      </c>
      <c r="G2111">
        <v>17.903300000000002</v>
      </c>
      <c r="H2111">
        <v>0</v>
      </c>
      <c r="I2111">
        <v>0</v>
      </c>
      <c r="J2111">
        <v>0</v>
      </c>
      <c r="K2111">
        <v>0</v>
      </c>
      <c r="L2111">
        <v>14</v>
      </c>
      <c r="M2111">
        <v>21</v>
      </c>
      <c r="N2111" t="s">
        <v>39</v>
      </c>
      <c r="O2111" s="3">
        <v>44398</v>
      </c>
      <c r="P2111">
        <v>-1</v>
      </c>
      <c r="T2111" t="s">
        <v>43</v>
      </c>
      <c r="U2111">
        <v>113</v>
      </c>
      <c r="V2111">
        <v>29.524999999999999</v>
      </c>
    </row>
    <row r="2112" spans="1:22" x14ac:dyDescent="0.35">
      <c r="A2112" s="3">
        <v>44377</v>
      </c>
      <c r="B2112" t="s">
        <v>38</v>
      </c>
      <c r="C2112">
        <v>0</v>
      </c>
      <c r="D2112">
        <v>0</v>
      </c>
      <c r="E2112">
        <v>0</v>
      </c>
      <c r="F2112">
        <v>0</v>
      </c>
      <c r="G2112">
        <v>19.748699999999999</v>
      </c>
      <c r="H2112">
        <v>0</v>
      </c>
      <c r="I2112">
        <v>0</v>
      </c>
      <c r="J2112">
        <v>0</v>
      </c>
      <c r="K2112">
        <v>0</v>
      </c>
      <c r="L2112">
        <v>34</v>
      </c>
      <c r="M2112">
        <v>49</v>
      </c>
      <c r="N2112" t="s">
        <v>38</v>
      </c>
      <c r="O2112" s="3">
        <v>44426</v>
      </c>
      <c r="P2112">
        <v>-1</v>
      </c>
      <c r="T2112" t="s">
        <v>42</v>
      </c>
      <c r="U2112">
        <v>138</v>
      </c>
      <c r="V2112">
        <v>28.925000000000001</v>
      </c>
    </row>
    <row r="2113" spans="1:22" x14ac:dyDescent="0.35">
      <c r="A2113" s="3">
        <v>44377</v>
      </c>
      <c r="B2113" t="s">
        <v>34</v>
      </c>
      <c r="C2113">
        <v>0</v>
      </c>
      <c r="D2113">
        <v>0</v>
      </c>
      <c r="E2113">
        <v>0</v>
      </c>
      <c r="F2113">
        <v>0</v>
      </c>
      <c r="G2113">
        <v>22.378499999999999</v>
      </c>
      <c r="H2113">
        <v>0</v>
      </c>
      <c r="I2113">
        <v>0</v>
      </c>
      <c r="J2113">
        <v>0</v>
      </c>
      <c r="K2113">
        <v>0</v>
      </c>
      <c r="L2113">
        <v>122</v>
      </c>
      <c r="M2113">
        <v>175</v>
      </c>
      <c r="N2113" t="s">
        <v>34</v>
      </c>
      <c r="O2113" s="3">
        <v>44552</v>
      </c>
      <c r="P2113">
        <v>-1</v>
      </c>
      <c r="T2113" t="s">
        <v>41</v>
      </c>
      <c r="U2113">
        <v>158</v>
      </c>
      <c r="V2113">
        <v>28.425000000000001</v>
      </c>
    </row>
    <row r="2114" spans="1:22" x14ac:dyDescent="0.35">
      <c r="A2114" s="3">
        <v>44377</v>
      </c>
      <c r="B2114" t="s">
        <v>31</v>
      </c>
      <c r="C2114">
        <v>0</v>
      </c>
      <c r="D2114">
        <v>0</v>
      </c>
      <c r="E2114">
        <v>0</v>
      </c>
      <c r="F2114">
        <v>0</v>
      </c>
      <c r="G2114">
        <v>23.8</v>
      </c>
      <c r="H2114">
        <v>0</v>
      </c>
      <c r="I2114">
        <v>0</v>
      </c>
      <c r="J2114">
        <v>0</v>
      </c>
      <c r="K2114">
        <v>0</v>
      </c>
      <c r="L2114">
        <v>178</v>
      </c>
      <c r="M2114">
        <v>258</v>
      </c>
      <c r="N2114" t="s">
        <v>31</v>
      </c>
      <c r="O2114" s="3">
        <v>44635</v>
      </c>
      <c r="P2114">
        <v>-1</v>
      </c>
      <c r="T2114" t="s">
        <v>48</v>
      </c>
      <c r="U2114">
        <v>13</v>
      </c>
      <c r="V2114">
        <v>32.075000000000003</v>
      </c>
    </row>
    <row r="2115" spans="1:22" x14ac:dyDescent="0.35">
      <c r="A2115" s="3">
        <v>44377</v>
      </c>
      <c r="B2115" t="s">
        <v>37</v>
      </c>
      <c r="C2115">
        <v>0</v>
      </c>
      <c r="D2115">
        <v>0</v>
      </c>
      <c r="E2115">
        <v>0</v>
      </c>
      <c r="F2115">
        <v>0</v>
      </c>
      <c r="G2115">
        <v>21.013999999999999</v>
      </c>
      <c r="H2115">
        <v>0</v>
      </c>
      <c r="I2115">
        <v>0</v>
      </c>
      <c r="J2115">
        <v>0</v>
      </c>
      <c r="K2115">
        <v>0</v>
      </c>
      <c r="L2115">
        <v>53</v>
      </c>
      <c r="M2115">
        <v>77</v>
      </c>
      <c r="N2115" t="s">
        <v>37</v>
      </c>
      <c r="O2115" s="3">
        <v>44454</v>
      </c>
      <c r="P2115">
        <v>-1</v>
      </c>
      <c r="T2115" t="s">
        <v>47</v>
      </c>
      <c r="U2115">
        <v>33</v>
      </c>
      <c r="V2115">
        <v>33.174999999999997</v>
      </c>
    </row>
    <row r="2116" spans="1:22" x14ac:dyDescent="0.35">
      <c r="A2116" s="3">
        <v>44377</v>
      </c>
      <c r="B2116" t="s">
        <v>35</v>
      </c>
      <c r="C2116">
        <v>0</v>
      </c>
      <c r="D2116">
        <v>0</v>
      </c>
      <c r="E2116">
        <v>0</v>
      </c>
      <c r="F2116">
        <v>0</v>
      </c>
      <c r="G2116">
        <v>22.259</v>
      </c>
      <c r="H2116">
        <v>0</v>
      </c>
      <c r="I2116">
        <v>0</v>
      </c>
      <c r="J2116">
        <v>0</v>
      </c>
      <c r="K2116">
        <v>0</v>
      </c>
      <c r="L2116">
        <v>98</v>
      </c>
      <c r="M2116">
        <v>140</v>
      </c>
      <c r="N2116" t="s">
        <v>35</v>
      </c>
      <c r="O2116" s="3">
        <v>44517</v>
      </c>
      <c r="P2116">
        <v>-1</v>
      </c>
      <c r="T2116" t="s">
        <v>46</v>
      </c>
      <c r="U2116">
        <v>52</v>
      </c>
      <c r="V2116">
        <v>31.675000000000001</v>
      </c>
    </row>
    <row r="2117" spans="1:22" x14ac:dyDescent="0.35">
      <c r="A2117" s="3">
        <v>44377</v>
      </c>
      <c r="B2117" t="s">
        <v>32</v>
      </c>
      <c r="C2117">
        <v>0</v>
      </c>
      <c r="D2117">
        <v>0</v>
      </c>
      <c r="E2117">
        <v>0</v>
      </c>
      <c r="F2117">
        <v>0</v>
      </c>
      <c r="G2117">
        <v>23.6</v>
      </c>
      <c r="H2117">
        <v>0</v>
      </c>
      <c r="I2117">
        <v>0</v>
      </c>
      <c r="J2117">
        <v>0</v>
      </c>
      <c r="K2117">
        <v>0</v>
      </c>
      <c r="L2117">
        <v>160</v>
      </c>
      <c r="M2117">
        <v>231</v>
      </c>
      <c r="N2117" t="s">
        <v>32</v>
      </c>
      <c r="O2117" s="3">
        <v>44608</v>
      </c>
      <c r="P2117">
        <v>-1</v>
      </c>
      <c r="S2117" s="3">
        <v>44109</v>
      </c>
      <c r="T2117" t="s">
        <v>45</v>
      </c>
      <c r="U2117">
        <v>73</v>
      </c>
      <c r="V2117">
        <v>29.85</v>
      </c>
    </row>
    <row r="2118" spans="1:22" x14ac:dyDescent="0.35">
      <c r="A2118" s="3">
        <v>44377</v>
      </c>
      <c r="B2118" t="s">
        <v>36</v>
      </c>
      <c r="C2118">
        <v>0</v>
      </c>
      <c r="D2118">
        <v>0</v>
      </c>
      <c r="E2118">
        <v>0</v>
      </c>
      <c r="F2118">
        <v>0</v>
      </c>
      <c r="G2118">
        <v>21.854399999999998</v>
      </c>
      <c r="H2118">
        <v>0</v>
      </c>
      <c r="I2118">
        <v>0</v>
      </c>
      <c r="J2118">
        <v>0</v>
      </c>
      <c r="K2118">
        <v>0</v>
      </c>
      <c r="L2118">
        <v>78</v>
      </c>
      <c r="M2118">
        <v>112</v>
      </c>
      <c r="N2118" t="s">
        <v>36</v>
      </c>
      <c r="O2118" s="3">
        <v>44489</v>
      </c>
      <c r="P2118">
        <v>-1</v>
      </c>
      <c r="T2118" t="s">
        <v>44</v>
      </c>
      <c r="U2118">
        <v>92</v>
      </c>
      <c r="V2118">
        <v>29.375</v>
      </c>
    </row>
    <row r="2119" spans="1:22" x14ac:dyDescent="0.35">
      <c r="A2119" s="3">
        <v>44377</v>
      </c>
      <c r="B2119" t="s">
        <v>33</v>
      </c>
      <c r="C2119">
        <v>0</v>
      </c>
      <c r="D2119">
        <v>0</v>
      </c>
      <c r="E2119">
        <v>0</v>
      </c>
      <c r="F2119">
        <v>0</v>
      </c>
      <c r="G2119">
        <v>23.3794</v>
      </c>
      <c r="H2119">
        <v>0</v>
      </c>
      <c r="I2119">
        <v>0</v>
      </c>
      <c r="J2119">
        <v>0</v>
      </c>
      <c r="K2119">
        <v>0</v>
      </c>
      <c r="L2119">
        <v>140</v>
      </c>
      <c r="M2119">
        <v>203</v>
      </c>
      <c r="N2119" t="s">
        <v>33</v>
      </c>
      <c r="O2119" s="3">
        <v>44580</v>
      </c>
      <c r="P2119">
        <v>-1</v>
      </c>
      <c r="T2119" t="s">
        <v>43</v>
      </c>
      <c r="U2119">
        <v>112</v>
      </c>
      <c r="V2119">
        <v>28.925000000000001</v>
      </c>
    </row>
    <row r="2120" spans="1:22" x14ac:dyDescent="0.35">
      <c r="A2120" s="3">
        <v>44376</v>
      </c>
      <c r="B2120" t="s">
        <v>32</v>
      </c>
      <c r="C2120">
        <v>0</v>
      </c>
      <c r="D2120">
        <v>0</v>
      </c>
      <c r="E2120">
        <v>0</v>
      </c>
      <c r="F2120">
        <v>0</v>
      </c>
      <c r="G2120">
        <v>23.6</v>
      </c>
      <c r="H2120">
        <v>0</v>
      </c>
      <c r="I2120">
        <v>0</v>
      </c>
      <c r="J2120">
        <v>0</v>
      </c>
      <c r="K2120">
        <v>0</v>
      </c>
      <c r="L2120">
        <v>161</v>
      </c>
      <c r="M2120">
        <v>232</v>
      </c>
      <c r="N2120" t="s">
        <v>32</v>
      </c>
      <c r="O2120" s="3">
        <v>44608</v>
      </c>
      <c r="P2120">
        <v>-1</v>
      </c>
      <c r="T2120" t="s">
        <v>42</v>
      </c>
      <c r="U2120">
        <v>137</v>
      </c>
      <c r="V2120">
        <v>28.375</v>
      </c>
    </row>
    <row r="2121" spans="1:22" x14ac:dyDescent="0.35">
      <c r="A2121" s="3">
        <v>44376</v>
      </c>
      <c r="B2121" t="s">
        <v>36</v>
      </c>
      <c r="C2121">
        <v>0</v>
      </c>
      <c r="D2121">
        <v>0</v>
      </c>
      <c r="E2121">
        <v>0</v>
      </c>
      <c r="F2121">
        <v>0</v>
      </c>
      <c r="G2121">
        <v>21.889900000000001</v>
      </c>
      <c r="H2121">
        <v>0</v>
      </c>
      <c r="I2121">
        <v>0</v>
      </c>
      <c r="J2121">
        <v>0</v>
      </c>
      <c r="K2121">
        <v>0</v>
      </c>
      <c r="L2121">
        <v>79</v>
      </c>
      <c r="M2121">
        <v>113</v>
      </c>
      <c r="N2121" t="s">
        <v>36</v>
      </c>
      <c r="O2121" s="3">
        <v>44489</v>
      </c>
      <c r="P2121">
        <v>-1</v>
      </c>
      <c r="T2121" t="s">
        <v>41</v>
      </c>
      <c r="U2121">
        <v>157</v>
      </c>
      <c r="V2121">
        <v>27.95</v>
      </c>
    </row>
    <row r="2122" spans="1:22" x14ac:dyDescent="0.35">
      <c r="A2122" s="3">
        <v>44376</v>
      </c>
      <c r="B2122" t="s">
        <v>33</v>
      </c>
      <c r="C2122">
        <v>0</v>
      </c>
      <c r="D2122">
        <v>0</v>
      </c>
      <c r="E2122">
        <v>0</v>
      </c>
      <c r="F2122">
        <v>0</v>
      </c>
      <c r="G2122">
        <v>23.307500000000001</v>
      </c>
      <c r="H2122">
        <v>0</v>
      </c>
      <c r="I2122">
        <v>0</v>
      </c>
      <c r="J2122">
        <v>0</v>
      </c>
      <c r="K2122">
        <v>0</v>
      </c>
      <c r="L2122">
        <v>141</v>
      </c>
      <c r="M2122">
        <v>204</v>
      </c>
      <c r="N2122" t="s">
        <v>33</v>
      </c>
      <c r="O2122" s="3">
        <v>44580</v>
      </c>
      <c r="P2122">
        <v>-1</v>
      </c>
      <c r="T2122" t="s">
        <v>40</v>
      </c>
      <c r="U2122">
        <v>176</v>
      </c>
      <c r="V2122">
        <v>27.55</v>
      </c>
    </row>
    <row r="2123" spans="1:22" x14ac:dyDescent="0.35">
      <c r="A2123" s="3">
        <v>44376</v>
      </c>
      <c r="B2123" t="s">
        <v>39</v>
      </c>
      <c r="C2123">
        <v>0</v>
      </c>
      <c r="D2123">
        <v>0</v>
      </c>
      <c r="E2123">
        <v>0</v>
      </c>
      <c r="F2123">
        <v>0</v>
      </c>
      <c r="G2123">
        <v>18.127800000000001</v>
      </c>
      <c r="H2123">
        <v>0</v>
      </c>
      <c r="I2123">
        <v>0</v>
      </c>
      <c r="J2123">
        <v>0</v>
      </c>
      <c r="K2123">
        <v>0</v>
      </c>
      <c r="L2123">
        <v>15</v>
      </c>
      <c r="M2123">
        <v>22</v>
      </c>
      <c r="N2123" t="s">
        <v>39</v>
      </c>
      <c r="O2123" s="3">
        <v>44398</v>
      </c>
      <c r="P2123">
        <v>-1</v>
      </c>
      <c r="T2123" t="s">
        <v>48</v>
      </c>
      <c r="U2123">
        <v>12</v>
      </c>
      <c r="V2123">
        <v>30.824999999999999</v>
      </c>
    </row>
    <row r="2124" spans="1:22" x14ac:dyDescent="0.35">
      <c r="A2124" s="3">
        <v>44376</v>
      </c>
      <c r="B2124" t="s">
        <v>38</v>
      </c>
      <c r="C2124">
        <v>0</v>
      </c>
      <c r="D2124">
        <v>0</v>
      </c>
      <c r="E2124">
        <v>0</v>
      </c>
      <c r="F2124">
        <v>0</v>
      </c>
      <c r="G2124">
        <v>19.952999999999999</v>
      </c>
      <c r="H2124">
        <v>0</v>
      </c>
      <c r="I2124">
        <v>0</v>
      </c>
      <c r="J2124">
        <v>0</v>
      </c>
      <c r="K2124">
        <v>0</v>
      </c>
      <c r="L2124">
        <v>35</v>
      </c>
      <c r="M2124">
        <v>50</v>
      </c>
      <c r="N2124" t="s">
        <v>38</v>
      </c>
      <c r="O2124" s="3">
        <v>44426</v>
      </c>
      <c r="P2124">
        <v>-1</v>
      </c>
      <c r="T2124" t="s">
        <v>47</v>
      </c>
      <c r="U2124">
        <v>32</v>
      </c>
      <c r="V2124">
        <v>32.225000000000001</v>
      </c>
    </row>
    <row r="2125" spans="1:22" x14ac:dyDescent="0.35">
      <c r="A2125" s="3">
        <v>44376</v>
      </c>
      <c r="B2125" t="s">
        <v>34</v>
      </c>
      <c r="C2125">
        <v>0</v>
      </c>
      <c r="D2125">
        <v>0</v>
      </c>
      <c r="E2125">
        <v>0</v>
      </c>
      <c r="F2125">
        <v>0</v>
      </c>
      <c r="G2125">
        <v>22.290900000000001</v>
      </c>
      <c r="H2125">
        <v>0</v>
      </c>
      <c r="I2125">
        <v>0</v>
      </c>
      <c r="J2125">
        <v>0</v>
      </c>
      <c r="K2125">
        <v>0</v>
      </c>
      <c r="L2125">
        <v>123</v>
      </c>
      <c r="M2125">
        <v>176</v>
      </c>
      <c r="N2125" t="s">
        <v>34</v>
      </c>
      <c r="O2125" s="3">
        <v>44552</v>
      </c>
      <c r="P2125">
        <v>-1</v>
      </c>
      <c r="T2125" t="s">
        <v>46</v>
      </c>
      <c r="U2125">
        <v>51</v>
      </c>
      <c r="V2125">
        <v>30.774999999999999</v>
      </c>
    </row>
    <row r="2126" spans="1:22" x14ac:dyDescent="0.35">
      <c r="A2126" s="3">
        <v>44376</v>
      </c>
      <c r="B2126" t="s">
        <v>31</v>
      </c>
      <c r="C2126">
        <v>0</v>
      </c>
      <c r="D2126">
        <v>0</v>
      </c>
      <c r="E2126">
        <v>0</v>
      </c>
      <c r="F2126">
        <v>0</v>
      </c>
      <c r="G2126">
        <v>23.7</v>
      </c>
      <c r="H2126">
        <v>0</v>
      </c>
      <c r="I2126">
        <v>0</v>
      </c>
      <c r="J2126">
        <v>0</v>
      </c>
      <c r="K2126">
        <v>0</v>
      </c>
      <c r="L2126">
        <v>179</v>
      </c>
      <c r="M2126">
        <v>259</v>
      </c>
      <c r="N2126" t="s">
        <v>31</v>
      </c>
      <c r="O2126" s="3">
        <v>44635</v>
      </c>
      <c r="P2126">
        <v>-1</v>
      </c>
      <c r="S2126" s="3">
        <v>44110</v>
      </c>
      <c r="T2126" t="s">
        <v>45</v>
      </c>
      <c r="U2126">
        <v>72</v>
      </c>
      <c r="V2126">
        <v>29.975000000000001</v>
      </c>
    </row>
    <row r="2127" spans="1:22" x14ac:dyDescent="0.35">
      <c r="A2127" s="3">
        <v>44376</v>
      </c>
      <c r="B2127" t="s">
        <v>37</v>
      </c>
      <c r="C2127">
        <v>0</v>
      </c>
      <c r="D2127">
        <v>0</v>
      </c>
      <c r="E2127">
        <v>0</v>
      </c>
      <c r="F2127">
        <v>0</v>
      </c>
      <c r="G2127">
        <v>21.100999999999999</v>
      </c>
      <c r="H2127">
        <v>0</v>
      </c>
      <c r="I2127">
        <v>0</v>
      </c>
      <c r="J2127">
        <v>0</v>
      </c>
      <c r="K2127">
        <v>0</v>
      </c>
      <c r="L2127">
        <v>54</v>
      </c>
      <c r="M2127">
        <v>78</v>
      </c>
      <c r="N2127" t="s">
        <v>37</v>
      </c>
      <c r="O2127" s="3">
        <v>44454</v>
      </c>
      <c r="P2127">
        <v>-1</v>
      </c>
      <c r="T2127" t="s">
        <v>44</v>
      </c>
      <c r="U2127">
        <v>91</v>
      </c>
      <c r="V2127">
        <v>29.45</v>
      </c>
    </row>
    <row r="2128" spans="1:22" x14ac:dyDescent="0.35">
      <c r="A2128" s="3">
        <v>44376</v>
      </c>
      <c r="B2128" t="s">
        <v>35</v>
      </c>
      <c r="C2128">
        <v>0</v>
      </c>
      <c r="D2128">
        <v>0</v>
      </c>
      <c r="E2128">
        <v>0</v>
      </c>
      <c r="F2128">
        <v>0</v>
      </c>
      <c r="G2128">
        <v>22.2</v>
      </c>
      <c r="H2128">
        <v>0</v>
      </c>
      <c r="I2128">
        <v>0</v>
      </c>
      <c r="J2128">
        <v>0</v>
      </c>
      <c r="K2128">
        <v>0</v>
      </c>
      <c r="L2128">
        <v>99</v>
      </c>
      <c r="M2128">
        <v>141</v>
      </c>
      <c r="N2128" t="s">
        <v>35</v>
      </c>
      <c r="O2128" s="3">
        <v>44517</v>
      </c>
      <c r="P2128">
        <v>-1</v>
      </c>
      <c r="T2128" t="s">
        <v>43</v>
      </c>
      <c r="U2128">
        <v>111</v>
      </c>
      <c r="V2128">
        <v>29.024999999999999</v>
      </c>
    </row>
    <row r="2129" spans="1:22" x14ac:dyDescent="0.35">
      <c r="A2129" s="3">
        <v>44375</v>
      </c>
      <c r="B2129" t="s">
        <v>39</v>
      </c>
      <c r="C2129">
        <v>0</v>
      </c>
      <c r="D2129">
        <v>0</v>
      </c>
      <c r="E2129">
        <v>0</v>
      </c>
      <c r="F2129">
        <v>0</v>
      </c>
      <c r="G2129">
        <v>17.721299999999999</v>
      </c>
      <c r="H2129">
        <v>0</v>
      </c>
      <c r="I2129">
        <v>0</v>
      </c>
      <c r="J2129">
        <v>0</v>
      </c>
      <c r="K2129">
        <v>0</v>
      </c>
      <c r="L2129">
        <v>16</v>
      </c>
      <c r="M2129">
        <v>23</v>
      </c>
      <c r="N2129" t="s">
        <v>39</v>
      </c>
      <c r="O2129" s="3">
        <v>44398</v>
      </c>
      <c r="P2129">
        <v>-1</v>
      </c>
      <c r="T2129" t="s">
        <v>42</v>
      </c>
      <c r="U2129">
        <v>136</v>
      </c>
      <c r="V2129">
        <v>28.425000000000001</v>
      </c>
    </row>
    <row r="2130" spans="1:22" x14ac:dyDescent="0.35">
      <c r="A2130" s="3">
        <v>44375</v>
      </c>
      <c r="B2130" t="s">
        <v>38</v>
      </c>
      <c r="C2130">
        <v>0</v>
      </c>
      <c r="D2130">
        <v>0</v>
      </c>
      <c r="E2130">
        <v>0</v>
      </c>
      <c r="F2130">
        <v>0</v>
      </c>
      <c r="G2130">
        <v>19.515999999999998</v>
      </c>
      <c r="H2130">
        <v>0</v>
      </c>
      <c r="I2130">
        <v>0</v>
      </c>
      <c r="J2130">
        <v>0</v>
      </c>
      <c r="K2130">
        <v>0</v>
      </c>
      <c r="L2130">
        <v>36</v>
      </c>
      <c r="M2130">
        <v>51</v>
      </c>
      <c r="N2130" t="s">
        <v>38</v>
      </c>
      <c r="O2130" s="3">
        <v>44426</v>
      </c>
      <c r="P2130">
        <v>-1</v>
      </c>
      <c r="T2130" t="s">
        <v>41</v>
      </c>
      <c r="U2130">
        <v>156</v>
      </c>
      <c r="V2130">
        <v>28</v>
      </c>
    </row>
    <row r="2131" spans="1:22" x14ac:dyDescent="0.35">
      <c r="A2131" s="3">
        <v>44375</v>
      </c>
      <c r="B2131" t="s">
        <v>34</v>
      </c>
      <c r="C2131">
        <v>0</v>
      </c>
      <c r="D2131">
        <v>0</v>
      </c>
      <c r="E2131">
        <v>0</v>
      </c>
      <c r="F2131">
        <v>0</v>
      </c>
      <c r="G2131">
        <v>22.0184</v>
      </c>
      <c r="H2131">
        <v>0</v>
      </c>
      <c r="I2131">
        <v>0</v>
      </c>
      <c r="J2131">
        <v>0</v>
      </c>
      <c r="K2131">
        <v>0</v>
      </c>
      <c r="L2131">
        <v>124</v>
      </c>
      <c r="M2131">
        <v>177</v>
      </c>
      <c r="N2131" t="s">
        <v>34</v>
      </c>
      <c r="O2131" s="3">
        <v>44552</v>
      </c>
      <c r="P2131">
        <v>-1</v>
      </c>
      <c r="T2131" t="s">
        <v>48</v>
      </c>
      <c r="U2131">
        <v>11</v>
      </c>
      <c r="V2131">
        <v>31.225000000000001</v>
      </c>
    </row>
    <row r="2132" spans="1:22" x14ac:dyDescent="0.35">
      <c r="A2132" s="3">
        <v>44375</v>
      </c>
      <c r="B2132" t="s">
        <v>31</v>
      </c>
      <c r="C2132">
        <v>0</v>
      </c>
      <c r="D2132">
        <v>0</v>
      </c>
      <c r="E2132">
        <v>0</v>
      </c>
      <c r="F2132">
        <v>0</v>
      </c>
      <c r="G2132">
        <v>23.4</v>
      </c>
      <c r="H2132">
        <v>0</v>
      </c>
      <c r="I2132">
        <v>0</v>
      </c>
      <c r="J2132">
        <v>0</v>
      </c>
      <c r="K2132">
        <v>0</v>
      </c>
      <c r="L2132">
        <v>180</v>
      </c>
      <c r="M2132">
        <v>260</v>
      </c>
      <c r="N2132" t="s">
        <v>31</v>
      </c>
      <c r="O2132" s="3">
        <v>44635</v>
      </c>
      <c r="P2132">
        <v>-1</v>
      </c>
      <c r="T2132" t="s">
        <v>47</v>
      </c>
      <c r="U2132">
        <v>31</v>
      </c>
      <c r="V2132">
        <v>32.225000000000001</v>
      </c>
    </row>
    <row r="2133" spans="1:22" x14ac:dyDescent="0.35">
      <c r="A2133" s="3">
        <v>44375</v>
      </c>
      <c r="B2133" t="s">
        <v>37</v>
      </c>
      <c r="C2133">
        <v>0</v>
      </c>
      <c r="D2133">
        <v>0</v>
      </c>
      <c r="E2133">
        <v>0</v>
      </c>
      <c r="F2133">
        <v>0</v>
      </c>
      <c r="G2133">
        <v>20.75</v>
      </c>
      <c r="H2133">
        <v>0</v>
      </c>
      <c r="I2133">
        <v>0</v>
      </c>
      <c r="J2133">
        <v>0</v>
      </c>
      <c r="K2133">
        <v>0</v>
      </c>
      <c r="L2133">
        <v>55</v>
      </c>
      <c r="M2133">
        <v>79</v>
      </c>
      <c r="N2133" t="s">
        <v>37</v>
      </c>
      <c r="O2133" s="3">
        <v>44454</v>
      </c>
      <c r="P2133">
        <v>-1</v>
      </c>
      <c r="T2133" t="s">
        <v>46</v>
      </c>
      <c r="U2133">
        <v>50</v>
      </c>
      <c r="V2133">
        <v>30.824999999999999</v>
      </c>
    </row>
    <row r="2134" spans="1:22" x14ac:dyDescent="0.35">
      <c r="A2134" s="3">
        <v>44375</v>
      </c>
      <c r="B2134" t="s">
        <v>35</v>
      </c>
      <c r="C2134">
        <v>0</v>
      </c>
      <c r="D2134">
        <v>0</v>
      </c>
      <c r="E2134">
        <v>0</v>
      </c>
      <c r="F2134">
        <v>0</v>
      </c>
      <c r="G2134">
        <v>21.9496</v>
      </c>
      <c r="H2134">
        <v>0</v>
      </c>
      <c r="I2134">
        <v>0</v>
      </c>
      <c r="J2134">
        <v>0</v>
      </c>
      <c r="K2134">
        <v>0</v>
      </c>
      <c r="L2134">
        <v>100</v>
      </c>
      <c r="M2134">
        <v>142</v>
      </c>
      <c r="N2134" t="s">
        <v>35</v>
      </c>
      <c r="O2134" s="3">
        <v>44517</v>
      </c>
      <c r="P2134">
        <v>-1</v>
      </c>
      <c r="S2134" s="3">
        <v>44111</v>
      </c>
      <c r="T2134" t="s">
        <v>45</v>
      </c>
      <c r="U2134">
        <v>71</v>
      </c>
      <c r="V2134">
        <v>29.725000000000001</v>
      </c>
    </row>
    <row r="2135" spans="1:22" x14ac:dyDescent="0.35">
      <c r="A2135" s="3">
        <v>44375</v>
      </c>
      <c r="B2135" t="s">
        <v>32</v>
      </c>
      <c r="C2135">
        <v>0</v>
      </c>
      <c r="D2135">
        <v>0</v>
      </c>
      <c r="E2135">
        <v>0</v>
      </c>
      <c r="F2135">
        <v>0</v>
      </c>
      <c r="G2135">
        <v>23.35</v>
      </c>
      <c r="H2135">
        <v>0</v>
      </c>
      <c r="I2135">
        <v>0</v>
      </c>
      <c r="J2135">
        <v>0</v>
      </c>
      <c r="K2135">
        <v>0</v>
      </c>
      <c r="L2135">
        <v>162</v>
      </c>
      <c r="M2135">
        <v>233</v>
      </c>
      <c r="N2135" t="s">
        <v>32</v>
      </c>
      <c r="O2135" s="3">
        <v>44608</v>
      </c>
      <c r="P2135">
        <v>-1</v>
      </c>
      <c r="T2135" t="s">
        <v>44</v>
      </c>
      <c r="U2135">
        <v>90</v>
      </c>
      <c r="V2135">
        <v>29.225000000000001</v>
      </c>
    </row>
    <row r="2136" spans="1:22" x14ac:dyDescent="0.35">
      <c r="A2136" s="3">
        <v>44375</v>
      </c>
      <c r="B2136" t="s">
        <v>36</v>
      </c>
      <c r="C2136">
        <v>0</v>
      </c>
      <c r="D2136">
        <v>0</v>
      </c>
      <c r="E2136">
        <v>0</v>
      </c>
      <c r="F2136">
        <v>0</v>
      </c>
      <c r="G2136">
        <v>21.599</v>
      </c>
      <c r="H2136">
        <v>0</v>
      </c>
      <c r="I2136">
        <v>0</v>
      </c>
      <c r="J2136">
        <v>0</v>
      </c>
      <c r="K2136">
        <v>0</v>
      </c>
      <c r="L2136">
        <v>80</v>
      </c>
      <c r="M2136">
        <v>114</v>
      </c>
      <c r="N2136" t="s">
        <v>36</v>
      </c>
      <c r="O2136" s="3">
        <v>44489</v>
      </c>
      <c r="P2136">
        <v>-1</v>
      </c>
      <c r="T2136" t="s">
        <v>43</v>
      </c>
      <c r="U2136">
        <v>110</v>
      </c>
      <c r="V2136">
        <v>28.824999999999999</v>
      </c>
    </row>
    <row r="2137" spans="1:22" x14ac:dyDescent="0.35">
      <c r="A2137" s="3">
        <v>44375</v>
      </c>
      <c r="B2137" t="s">
        <v>33</v>
      </c>
      <c r="C2137">
        <v>0</v>
      </c>
      <c r="D2137">
        <v>0</v>
      </c>
      <c r="E2137">
        <v>0</v>
      </c>
      <c r="F2137">
        <v>0</v>
      </c>
      <c r="G2137">
        <v>23.074999999999999</v>
      </c>
      <c r="H2137">
        <v>0</v>
      </c>
      <c r="I2137">
        <v>0</v>
      </c>
      <c r="J2137">
        <v>0</v>
      </c>
      <c r="K2137">
        <v>0</v>
      </c>
      <c r="L2137">
        <v>142</v>
      </c>
      <c r="M2137">
        <v>205</v>
      </c>
      <c r="N2137" t="s">
        <v>33</v>
      </c>
      <c r="O2137" s="3">
        <v>44580</v>
      </c>
      <c r="P2137">
        <v>-1</v>
      </c>
      <c r="T2137" t="s">
        <v>42</v>
      </c>
      <c r="U2137">
        <v>135</v>
      </c>
      <c r="V2137">
        <v>28.3</v>
      </c>
    </row>
    <row r="2138" spans="1:22" x14ac:dyDescent="0.35">
      <c r="A2138" s="3">
        <v>44372</v>
      </c>
      <c r="B2138" t="s">
        <v>32</v>
      </c>
      <c r="C2138">
        <v>0</v>
      </c>
      <c r="D2138">
        <v>0</v>
      </c>
      <c r="E2138">
        <v>0</v>
      </c>
      <c r="F2138">
        <v>0</v>
      </c>
      <c r="G2138">
        <v>23.45</v>
      </c>
      <c r="H2138">
        <v>0</v>
      </c>
      <c r="I2138">
        <v>0</v>
      </c>
      <c r="J2138">
        <v>0</v>
      </c>
      <c r="K2138">
        <v>0</v>
      </c>
      <c r="L2138">
        <v>163</v>
      </c>
      <c r="M2138">
        <v>236</v>
      </c>
      <c r="N2138" t="s">
        <v>32</v>
      </c>
      <c r="O2138" s="3">
        <v>44608</v>
      </c>
      <c r="P2138">
        <v>-1</v>
      </c>
      <c r="T2138" t="s">
        <v>41</v>
      </c>
      <c r="U2138">
        <v>155</v>
      </c>
      <c r="V2138">
        <v>27.85</v>
      </c>
    </row>
    <row r="2139" spans="1:22" x14ac:dyDescent="0.35">
      <c r="A2139" s="3">
        <v>44372</v>
      </c>
      <c r="B2139" t="s">
        <v>36</v>
      </c>
      <c r="C2139">
        <v>0</v>
      </c>
      <c r="D2139">
        <v>0</v>
      </c>
      <c r="E2139">
        <v>0</v>
      </c>
      <c r="F2139">
        <v>0</v>
      </c>
      <c r="G2139">
        <v>21.727599999999999</v>
      </c>
      <c r="H2139">
        <v>0</v>
      </c>
      <c r="I2139">
        <v>0</v>
      </c>
      <c r="J2139">
        <v>0</v>
      </c>
      <c r="K2139">
        <v>0</v>
      </c>
      <c r="L2139">
        <v>81</v>
      </c>
      <c r="M2139">
        <v>117</v>
      </c>
      <c r="N2139" t="s">
        <v>36</v>
      </c>
      <c r="O2139" s="3">
        <v>44489</v>
      </c>
      <c r="P2139">
        <v>-1</v>
      </c>
      <c r="T2139" t="s">
        <v>40</v>
      </c>
      <c r="U2139">
        <v>174</v>
      </c>
      <c r="V2139">
        <v>26.375</v>
      </c>
    </row>
    <row r="2140" spans="1:22" x14ac:dyDescent="0.35">
      <c r="A2140" s="3">
        <v>44372</v>
      </c>
      <c r="B2140" t="s">
        <v>33</v>
      </c>
      <c r="C2140">
        <v>0</v>
      </c>
      <c r="D2140">
        <v>0</v>
      </c>
      <c r="E2140">
        <v>0</v>
      </c>
      <c r="F2140">
        <v>0</v>
      </c>
      <c r="G2140">
        <v>23.155000000000001</v>
      </c>
      <c r="H2140">
        <v>0</v>
      </c>
      <c r="I2140">
        <v>0</v>
      </c>
      <c r="J2140">
        <v>0</v>
      </c>
      <c r="K2140">
        <v>0</v>
      </c>
      <c r="L2140">
        <v>143</v>
      </c>
      <c r="M2140">
        <v>208</v>
      </c>
      <c r="N2140" t="s">
        <v>33</v>
      </c>
      <c r="O2140" s="3">
        <v>44580</v>
      </c>
      <c r="P2140">
        <v>-1</v>
      </c>
      <c r="T2140" t="s">
        <v>48</v>
      </c>
      <c r="U2140">
        <v>10</v>
      </c>
      <c r="V2140">
        <v>30.024999999999999</v>
      </c>
    </row>
    <row r="2141" spans="1:22" x14ac:dyDescent="0.35">
      <c r="A2141" s="3">
        <v>44372</v>
      </c>
      <c r="B2141" t="s">
        <v>39</v>
      </c>
      <c r="C2141">
        <v>0</v>
      </c>
      <c r="D2141">
        <v>0</v>
      </c>
      <c r="E2141">
        <v>0</v>
      </c>
      <c r="F2141">
        <v>0</v>
      </c>
      <c r="G2141">
        <v>17.701699999999999</v>
      </c>
      <c r="H2141">
        <v>0</v>
      </c>
      <c r="I2141">
        <v>0</v>
      </c>
      <c r="J2141">
        <v>0</v>
      </c>
      <c r="K2141">
        <v>0</v>
      </c>
      <c r="L2141">
        <v>17</v>
      </c>
      <c r="M2141">
        <v>26</v>
      </c>
      <c r="N2141" t="s">
        <v>39</v>
      </c>
      <c r="O2141" s="3">
        <v>44398</v>
      </c>
      <c r="P2141">
        <v>-1</v>
      </c>
      <c r="T2141" t="s">
        <v>47</v>
      </c>
      <c r="U2141">
        <v>30</v>
      </c>
      <c r="V2141">
        <v>31.725000000000001</v>
      </c>
    </row>
    <row r="2142" spans="1:22" x14ac:dyDescent="0.35">
      <c r="A2142" s="3">
        <v>44372</v>
      </c>
      <c r="B2142" t="s">
        <v>38</v>
      </c>
      <c r="C2142">
        <v>0</v>
      </c>
      <c r="D2142">
        <v>0</v>
      </c>
      <c r="E2142">
        <v>0</v>
      </c>
      <c r="F2142">
        <v>0</v>
      </c>
      <c r="G2142">
        <v>19.6252</v>
      </c>
      <c r="H2142">
        <v>0</v>
      </c>
      <c r="I2142">
        <v>0</v>
      </c>
      <c r="J2142">
        <v>0</v>
      </c>
      <c r="K2142">
        <v>0</v>
      </c>
      <c r="L2142">
        <v>37</v>
      </c>
      <c r="M2142">
        <v>54</v>
      </c>
      <c r="N2142" t="s">
        <v>38</v>
      </c>
      <c r="O2142" s="3">
        <v>44426</v>
      </c>
      <c r="P2142">
        <v>-1</v>
      </c>
      <c r="T2142" t="s">
        <v>46</v>
      </c>
      <c r="U2142">
        <v>49</v>
      </c>
      <c r="V2142">
        <v>30.225000000000001</v>
      </c>
    </row>
    <row r="2143" spans="1:22" x14ac:dyDescent="0.35">
      <c r="A2143" s="3">
        <v>44372</v>
      </c>
      <c r="B2143" t="s">
        <v>34</v>
      </c>
      <c r="C2143">
        <v>0</v>
      </c>
      <c r="D2143">
        <v>0</v>
      </c>
      <c r="E2143">
        <v>0</v>
      </c>
      <c r="F2143">
        <v>0</v>
      </c>
      <c r="G2143">
        <v>22.066800000000001</v>
      </c>
      <c r="H2143">
        <v>0</v>
      </c>
      <c r="I2143">
        <v>0</v>
      </c>
      <c r="J2143">
        <v>0</v>
      </c>
      <c r="K2143">
        <v>0</v>
      </c>
      <c r="L2143">
        <v>125</v>
      </c>
      <c r="M2143">
        <v>180</v>
      </c>
      <c r="N2143" t="s">
        <v>34</v>
      </c>
      <c r="O2143" s="3">
        <v>44552</v>
      </c>
      <c r="P2143">
        <v>-1</v>
      </c>
      <c r="S2143" s="3">
        <v>44112</v>
      </c>
      <c r="T2143" t="s">
        <v>45</v>
      </c>
      <c r="U2143">
        <v>70</v>
      </c>
      <c r="V2143">
        <v>28.925000000000001</v>
      </c>
    </row>
    <row r="2144" spans="1:22" x14ac:dyDescent="0.35">
      <c r="A2144" s="3">
        <v>44372</v>
      </c>
      <c r="B2144" t="s">
        <v>31</v>
      </c>
      <c r="C2144">
        <v>0</v>
      </c>
      <c r="D2144">
        <v>0</v>
      </c>
      <c r="E2144">
        <v>0</v>
      </c>
      <c r="F2144">
        <v>0</v>
      </c>
      <c r="G2144">
        <v>23.5</v>
      </c>
      <c r="H2144">
        <v>0</v>
      </c>
      <c r="I2144">
        <v>0</v>
      </c>
      <c r="J2144">
        <v>0</v>
      </c>
      <c r="K2144">
        <v>0</v>
      </c>
      <c r="L2144">
        <v>181</v>
      </c>
      <c r="M2144">
        <v>263</v>
      </c>
      <c r="N2144" t="s">
        <v>31</v>
      </c>
      <c r="O2144" s="3">
        <v>44635</v>
      </c>
      <c r="P2144">
        <v>-1</v>
      </c>
      <c r="T2144" t="s">
        <v>44</v>
      </c>
      <c r="U2144">
        <v>89</v>
      </c>
      <c r="V2144">
        <v>28.725000000000001</v>
      </c>
    </row>
    <row r="2145" spans="1:22" x14ac:dyDescent="0.35">
      <c r="A2145" s="3">
        <v>44372</v>
      </c>
      <c r="B2145" t="s">
        <v>37</v>
      </c>
      <c r="C2145">
        <v>0</v>
      </c>
      <c r="D2145">
        <v>0</v>
      </c>
      <c r="E2145">
        <v>0</v>
      </c>
      <c r="F2145">
        <v>0</v>
      </c>
      <c r="G2145">
        <v>20.849799999999998</v>
      </c>
      <c r="H2145">
        <v>0</v>
      </c>
      <c r="I2145">
        <v>0</v>
      </c>
      <c r="J2145">
        <v>0</v>
      </c>
      <c r="K2145">
        <v>0</v>
      </c>
      <c r="L2145">
        <v>56</v>
      </c>
      <c r="M2145">
        <v>82</v>
      </c>
      <c r="N2145" t="s">
        <v>37</v>
      </c>
      <c r="O2145" s="3">
        <v>44454</v>
      </c>
      <c r="P2145">
        <v>-1</v>
      </c>
      <c r="T2145" t="s">
        <v>43</v>
      </c>
      <c r="U2145">
        <v>109</v>
      </c>
      <c r="V2145">
        <v>28.324999999999999</v>
      </c>
    </row>
    <row r="2146" spans="1:22" x14ac:dyDescent="0.35">
      <c r="A2146" s="3">
        <v>44372</v>
      </c>
      <c r="B2146" t="s">
        <v>35</v>
      </c>
      <c r="C2146">
        <v>0</v>
      </c>
      <c r="D2146">
        <v>0</v>
      </c>
      <c r="E2146">
        <v>0</v>
      </c>
      <c r="F2146">
        <v>0</v>
      </c>
      <c r="G2146">
        <v>22</v>
      </c>
      <c r="H2146">
        <v>0</v>
      </c>
      <c r="I2146">
        <v>0</v>
      </c>
      <c r="J2146">
        <v>0</v>
      </c>
      <c r="K2146">
        <v>0</v>
      </c>
      <c r="L2146">
        <v>101</v>
      </c>
      <c r="M2146">
        <v>145</v>
      </c>
      <c r="N2146" t="s">
        <v>35</v>
      </c>
      <c r="O2146" s="3">
        <v>44517</v>
      </c>
      <c r="P2146">
        <v>-1</v>
      </c>
      <c r="T2146" t="s">
        <v>42</v>
      </c>
      <c r="U2146">
        <v>134</v>
      </c>
      <c r="V2146">
        <v>27.875</v>
      </c>
    </row>
    <row r="2147" spans="1:22" x14ac:dyDescent="0.35">
      <c r="A2147" s="3">
        <v>44371</v>
      </c>
      <c r="B2147" t="s">
        <v>39</v>
      </c>
      <c r="C2147">
        <v>0</v>
      </c>
      <c r="D2147">
        <v>0</v>
      </c>
      <c r="E2147">
        <v>0</v>
      </c>
      <c r="F2147">
        <v>0</v>
      </c>
      <c r="G2147">
        <v>18.167000000000002</v>
      </c>
      <c r="H2147">
        <v>0</v>
      </c>
      <c r="I2147">
        <v>0</v>
      </c>
      <c r="J2147">
        <v>0</v>
      </c>
      <c r="K2147">
        <v>0</v>
      </c>
      <c r="L2147">
        <v>18</v>
      </c>
      <c r="M2147">
        <v>27</v>
      </c>
      <c r="N2147" t="s">
        <v>39</v>
      </c>
      <c r="O2147" s="3">
        <v>44398</v>
      </c>
      <c r="P2147">
        <v>-1</v>
      </c>
      <c r="T2147" t="s">
        <v>41</v>
      </c>
      <c r="U2147">
        <v>154</v>
      </c>
      <c r="V2147">
        <v>27.475000000000001</v>
      </c>
    </row>
    <row r="2148" spans="1:22" x14ac:dyDescent="0.35">
      <c r="A2148" s="3">
        <v>44371</v>
      </c>
      <c r="B2148" t="s">
        <v>38</v>
      </c>
      <c r="C2148">
        <v>0</v>
      </c>
      <c r="D2148">
        <v>0</v>
      </c>
      <c r="E2148">
        <v>0</v>
      </c>
      <c r="F2148">
        <v>0</v>
      </c>
      <c r="G2148">
        <v>19.853000000000002</v>
      </c>
      <c r="H2148">
        <v>0</v>
      </c>
      <c r="I2148">
        <v>0</v>
      </c>
      <c r="J2148">
        <v>0</v>
      </c>
      <c r="K2148">
        <v>0</v>
      </c>
      <c r="L2148">
        <v>38</v>
      </c>
      <c r="M2148">
        <v>55</v>
      </c>
      <c r="N2148" t="s">
        <v>38</v>
      </c>
      <c r="O2148" s="3">
        <v>44426</v>
      </c>
      <c r="P2148">
        <v>-1</v>
      </c>
      <c r="T2148" t="s">
        <v>48</v>
      </c>
      <c r="U2148">
        <v>9</v>
      </c>
      <c r="V2148">
        <v>28.125</v>
      </c>
    </row>
    <row r="2149" spans="1:22" x14ac:dyDescent="0.35">
      <c r="A2149" s="3">
        <v>44371</v>
      </c>
      <c r="B2149" t="s">
        <v>34</v>
      </c>
      <c r="C2149">
        <v>0</v>
      </c>
      <c r="D2149">
        <v>0</v>
      </c>
      <c r="E2149">
        <v>0</v>
      </c>
      <c r="F2149">
        <v>0</v>
      </c>
      <c r="G2149">
        <v>22.08</v>
      </c>
      <c r="H2149">
        <v>0</v>
      </c>
      <c r="I2149">
        <v>0</v>
      </c>
      <c r="J2149">
        <v>0</v>
      </c>
      <c r="K2149">
        <v>0</v>
      </c>
      <c r="L2149">
        <v>126</v>
      </c>
      <c r="M2149">
        <v>181</v>
      </c>
      <c r="N2149" t="s">
        <v>34</v>
      </c>
      <c r="O2149" s="3">
        <v>44552</v>
      </c>
      <c r="P2149">
        <v>-1</v>
      </c>
      <c r="T2149" t="s">
        <v>47</v>
      </c>
      <c r="U2149">
        <v>29</v>
      </c>
      <c r="V2149">
        <v>30.425000000000001</v>
      </c>
    </row>
    <row r="2150" spans="1:22" x14ac:dyDescent="0.35">
      <c r="A2150" s="3">
        <v>44371</v>
      </c>
      <c r="B2150" t="s">
        <v>31</v>
      </c>
      <c r="C2150">
        <v>0</v>
      </c>
      <c r="D2150">
        <v>0</v>
      </c>
      <c r="E2150">
        <v>0</v>
      </c>
      <c r="F2150">
        <v>0</v>
      </c>
      <c r="G2150">
        <v>23.475000000000001</v>
      </c>
      <c r="H2150">
        <v>0</v>
      </c>
      <c r="I2150">
        <v>0</v>
      </c>
      <c r="J2150">
        <v>0</v>
      </c>
      <c r="K2150">
        <v>0</v>
      </c>
      <c r="L2150">
        <v>182</v>
      </c>
      <c r="M2150">
        <v>264</v>
      </c>
      <c r="N2150" t="s">
        <v>31</v>
      </c>
      <c r="O2150" s="3">
        <v>44635</v>
      </c>
      <c r="P2150">
        <v>-1</v>
      </c>
      <c r="T2150" t="s">
        <v>46</v>
      </c>
      <c r="U2150">
        <v>48</v>
      </c>
      <c r="V2150">
        <v>29.274999999999999</v>
      </c>
    </row>
    <row r="2151" spans="1:22" x14ac:dyDescent="0.35">
      <c r="A2151" s="3">
        <v>44371</v>
      </c>
      <c r="B2151" t="s">
        <v>37</v>
      </c>
      <c r="C2151">
        <v>0</v>
      </c>
      <c r="D2151">
        <v>0</v>
      </c>
      <c r="E2151">
        <v>0</v>
      </c>
      <c r="F2151">
        <v>0</v>
      </c>
      <c r="G2151">
        <v>20.95</v>
      </c>
      <c r="H2151">
        <v>0</v>
      </c>
      <c r="I2151">
        <v>0</v>
      </c>
      <c r="J2151">
        <v>0</v>
      </c>
      <c r="K2151">
        <v>0</v>
      </c>
      <c r="L2151">
        <v>57</v>
      </c>
      <c r="M2151">
        <v>83</v>
      </c>
      <c r="N2151" t="s">
        <v>37</v>
      </c>
      <c r="O2151" s="3">
        <v>44454</v>
      </c>
      <c r="P2151">
        <v>-1</v>
      </c>
      <c r="S2151" s="3">
        <v>44113</v>
      </c>
      <c r="T2151" t="s">
        <v>45</v>
      </c>
      <c r="U2151">
        <v>69</v>
      </c>
      <c r="V2151">
        <v>27.95</v>
      </c>
    </row>
    <row r="2152" spans="1:22" x14ac:dyDescent="0.35">
      <c r="A2152" s="3">
        <v>44371</v>
      </c>
      <c r="B2152" t="s">
        <v>35</v>
      </c>
      <c r="C2152">
        <v>0</v>
      </c>
      <c r="D2152">
        <v>0</v>
      </c>
      <c r="E2152">
        <v>0</v>
      </c>
      <c r="F2152">
        <v>0</v>
      </c>
      <c r="G2152">
        <v>21.95</v>
      </c>
      <c r="H2152">
        <v>0</v>
      </c>
      <c r="I2152">
        <v>0</v>
      </c>
      <c r="J2152">
        <v>0</v>
      </c>
      <c r="K2152">
        <v>0</v>
      </c>
      <c r="L2152">
        <v>102</v>
      </c>
      <c r="M2152">
        <v>146</v>
      </c>
      <c r="N2152" t="s">
        <v>35</v>
      </c>
      <c r="O2152" s="3">
        <v>44517</v>
      </c>
      <c r="P2152">
        <v>-1</v>
      </c>
      <c r="T2152" t="s">
        <v>44</v>
      </c>
      <c r="U2152">
        <v>88</v>
      </c>
      <c r="V2152">
        <v>27.925000000000001</v>
      </c>
    </row>
    <row r="2153" spans="1:22" x14ac:dyDescent="0.35">
      <c r="A2153" s="3">
        <v>44371</v>
      </c>
      <c r="B2153" t="s">
        <v>32</v>
      </c>
      <c r="C2153">
        <v>0</v>
      </c>
      <c r="D2153">
        <v>0</v>
      </c>
      <c r="E2153">
        <v>0</v>
      </c>
      <c r="F2153">
        <v>0</v>
      </c>
      <c r="G2153">
        <v>23.425000000000001</v>
      </c>
      <c r="H2153">
        <v>0</v>
      </c>
      <c r="I2153">
        <v>0</v>
      </c>
      <c r="J2153">
        <v>0</v>
      </c>
      <c r="K2153">
        <v>0</v>
      </c>
      <c r="L2153">
        <v>164</v>
      </c>
      <c r="M2153">
        <v>237</v>
      </c>
      <c r="N2153" t="s">
        <v>32</v>
      </c>
      <c r="O2153" s="3">
        <v>44608</v>
      </c>
      <c r="P2153">
        <v>-1</v>
      </c>
      <c r="T2153" t="s">
        <v>43</v>
      </c>
      <c r="U2153">
        <v>108</v>
      </c>
      <c r="V2153">
        <v>27.625</v>
      </c>
    </row>
    <row r="2154" spans="1:22" x14ac:dyDescent="0.35">
      <c r="A2154" s="3">
        <v>44371</v>
      </c>
      <c r="B2154" t="s">
        <v>36</v>
      </c>
      <c r="C2154">
        <v>0</v>
      </c>
      <c r="D2154">
        <v>0</v>
      </c>
      <c r="E2154">
        <v>0</v>
      </c>
      <c r="F2154">
        <v>0</v>
      </c>
      <c r="G2154">
        <v>21.7</v>
      </c>
      <c r="H2154">
        <v>0</v>
      </c>
      <c r="I2154">
        <v>0</v>
      </c>
      <c r="J2154">
        <v>0</v>
      </c>
      <c r="K2154">
        <v>0</v>
      </c>
      <c r="L2154">
        <v>82</v>
      </c>
      <c r="M2154">
        <v>118</v>
      </c>
      <c r="N2154" t="s">
        <v>36</v>
      </c>
      <c r="O2154" s="3">
        <v>44489</v>
      </c>
      <c r="P2154">
        <v>-1</v>
      </c>
      <c r="T2154" t="s">
        <v>42</v>
      </c>
      <c r="U2154">
        <v>133</v>
      </c>
      <c r="V2154">
        <v>27.274999999999999</v>
      </c>
    </row>
    <row r="2155" spans="1:22" x14ac:dyDescent="0.35">
      <c r="A2155" s="3">
        <v>44371</v>
      </c>
      <c r="B2155" t="s">
        <v>33</v>
      </c>
      <c r="C2155">
        <v>0</v>
      </c>
      <c r="D2155">
        <v>0</v>
      </c>
      <c r="E2155">
        <v>0</v>
      </c>
      <c r="F2155">
        <v>0</v>
      </c>
      <c r="G2155">
        <v>23.2087</v>
      </c>
      <c r="H2155">
        <v>0</v>
      </c>
      <c r="I2155">
        <v>0</v>
      </c>
      <c r="J2155">
        <v>0</v>
      </c>
      <c r="K2155">
        <v>0</v>
      </c>
      <c r="L2155">
        <v>144</v>
      </c>
      <c r="M2155">
        <v>209</v>
      </c>
      <c r="N2155" t="s">
        <v>33</v>
      </c>
      <c r="O2155" s="3">
        <v>44580</v>
      </c>
      <c r="P2155">
        <v>-1</v>
      </c>
      <c r="T2155" t="s">
        <v>41</v>
      </c>
      <c r="U2155">
        <v>153</v>
      </c>
      <c r="V2155">
        <v>26.824999999999999</v>
      </c>
    </row>
    <row r="2156" spans="1:22" x14ac:dyDescent="0.35">
      <c r="A2156" s="3">
        <v>44370</v>
      </c>
      <c r="B2156" t="s">
        <v>32</v>
      </c>
      <c r="C2156">
        <v>0</v>
      </c>
      <c r="D2156">
        <v>0</v>
      </c>
      <c r="E2156">
        <v>0</v>
      </c>
      <c r="F2156">
        <v>0</v>
      </c>
      <c r="G2156">
        <v>23.55</v>
      </c>
      <c r="H2156">
        <v>0</v>
      </c>
      <c r="I2156">
        <v>0</v>
      </c>
      <c r="J2156">
        <v>0</v>
      </c>
      <c r="K2156">
        <v>0</v>
      </c>
      <c r="L2156">
        <v>165</v>
      </c>
      <c r="M2156">
        <v>238</v>
      </c>
      <c r="N2156" t="s">
        <v>32</v>
      </c>
      <c r="O2156" s="3">
        <v>44608</v>
      </c>
      <c r="P2156">
        <v>-1</v>
      </c>
      <c r="T2156" t="s">
        <v>48</v>
      </c>
      <c r="U2156">
        <v>8</v>
      </c>
      <c r="V2156">
        <v>26.875</v>
      </c>
    </row>
    <row r="2157" spans="1:22" x14ac:dyDescent="0.35">
      <c r="A2157" s="3">
        <v>44370</v>
      </c>
      <c r="B2157" t="s">
        <v>36</v>
      </c>
      <c r="C2157">
        <v>0</v>
      </c>
      <c r="D2157">
        <v>0</v>
      </c>
      <c r="E2157">
        <v>0</v>
      </c>
      <c r="F2157">
        <v>0</v>
      </c>
      <c r="G2157">
        <v>21.95</v>
      </c>
      <c r="H2157">
        <v>0</v>
      </c>
      <c r="I2157">
        <v>0</v>
      </c>
      <c r="J2157">
        <v>0</v>
      </c>
      <c r="K2157">
        <v>0</v>
      </c>
      <c r="L2157">
        <v>83</v>
      </c>
      <c r="M2157">
        <v>119</v>
      </c>
      <c r="N2157" t="s">
        <v>36</v>
      </c>
      <c r="O2157" s="3">
        <v>44489</v>
      </c>
      <c r="P2157">
        <v>-1</v>
      </c>
      <c r="T2157" t="s">
        <v>47</v>
      </c>
      <c r="U2157">
        <v>28</v>
      </c>
      <c r="V2157">
        <v>29.024999999999999</v>
      </c>
    </row>
    <row r="2158" spans="1:22" x14ac:dyDescent="0.35">
      <c r="A2158" s="3">
        <v>44370</v>
      </c>
      <c r="B2158" t="s">
        <v>33</v>
      </c>
      <c r="C2158">
        <v>0</v>
      </c>
      <c r="D2158">
        <v>0</v>
      </c>
      <c r="E2158">
        <v>0</v>
      </c>
      <c r="F2158">
        <v>0</v>
      </c>
      <c r="G2158">
        <v>23.35</v>
      </c>
      <c r="H2158">
        <v>0</v>
      </c>
      <c r="I2158">
        <v>0</v>
      </c>
      <c r="J2158">
        <v>0</v>
      </c>
      <c r="K2158">
        <v>0</v>
      </c>
      <c r="L2158">
        <v>145</v>
      </c>
      <c r="M2158">
        <v>210</v>
      </c>
      <c r="N2158" t="s">
        <v>33</v>
      </c>
      <c r="O2158" s="3">
        <v>44580</v>
      </c>
      <c r="P2158">
        <v>-1</v>
      </c>
      <c r="T2158" t="s">
        <v>46</v>
      </c>
      <c r="U2158">
        <v>47</v>
      </c>
      <c r="V2158">
        <v>28.024999999999999</v>
      </c>
    </row>
    <row r="2159" spans="1:22" x14ac:dyDescent="0.35">
      <c r="A2159" s="3">
        <v>44370</v>
      </c>
      <c r="B2159" t="s">
        <v>39</v>
      </c>
      <c r="C2159">
        <v>0</v>
      </c>
      <c r="D2159">
        <v>0</v>
      </c>
      <c r="E2159">
        <v>0</v>
      </c>
      <c r="F2159">
        <v>0</v>
      </c>
      <c r="G2159">
        <v>18.441299999999998</v>
      </c>
      <c r="H2159">
        <v>0</v>
      </c>
      <c r="I2159">
        <v>0</v>
      </c>
      <c r="J2159">
        <v>0</v>
      </c>
      <c r="K2159">
        <v>0</v>
      </c>
      <c r="L2159">
        <v>19</v>
      </c>
      <c r="M2159">
        <v>28</v>
      </c>
      <c r="N2159" t="s">
        <v>39</v>
      </c>
      <c r="O2159" s="3">
        <v>44398</v>
      </c>
      <c r="P2159">
        <v>-1</v>
      </c>
      <c r="S2159" s="3">
        <v>44116</v>
      </c>
      <c r="T2159" t="s">
        <v>45</v>
      </c>
      <c r="U2159">
        <v>68</v>
      </c>
      <c r="V2159">
        <v>27.625</v>
      </c>
    </row>
    <row r="2160" spans="1:22" x14ac:dyDescent="0.35">
      <c r="A2160" s="3">
        <v>44370</v>
      </c>
      <c r="B2160" t="s">
        <v>38</v>
      </c>
      <c r="C2160">
        <v>0</v>
      </c>
      <c r="D2160">
        <v>0</v>
      </c>
      <c r="E2160">
        <v>0</v>
      </c>
      <c r="F2160">
        <v>0</v>
      </c>
      <c r="G2160">
        <v>20.191800000000001</v>
      </c>
      <c r="H2160">
        <v>0</v>
      </c>
      <c r="I2160">
        <v>0</v>
      </c>
      <c r="J2160">
        <v>0</v>
      </c>
      <c r="K2160">
        <v>0</v>
      </c>
      <c r="L2160">
        <v>39</v>
      </c>
      <c r="M2160">
        <v>56</v>
      </c>
      <c r="N2160" t="s">
        <v>38</v>
      </c>
      <c r="O2160" s="3">
        <v>44426</v>
      </c>
      <c r="P2160">
        <v>-1</v>
      </c>
      <c r="T2160" t="s">
        <v>44</v>
      </c>
      <c r="U2160">
        <v>87</v>
      </c>
      <c r="V2160">
        <v>27.574999999999999</v>
      </c>
    </row>
    <row r="2161" spans="1:22" x14ac:dyDescent="0.35">
      <c r="A2161" s="3">
        <v>44370</v>
      </c>
      <c r="B2161" t="s">
        <v>34</v>
      </c>
      <c r="C2161">
        <v>0</v>
      </c>
      <c r="D2161">
        <v>0</v>
      </c>
      <c r="E2161">
        <v>0</v>
      </c>
      <c r="F2161">
        <v>0</v>
      </c>
      <c r="G2161">
        <v>22.25</v>
      </c>
      <c r="H2161">
        <v>0</v>
      </c>
      <c r="I2161">
        <v>0</v>
      </c>
      <c r="J2161">
        <v>0</v>
      </c>
      <c r="K2161">
        <v>0</v>
      </c>
      <c r="L2161">
        <v>127</v>
      </c>
      <c r="M2161">
        <v>182</v>
      </c>
      <c r="N2161" t="s">
        <v>34</v>
      </c>
      <c r="O2161" s="3">
        <v>44552</v>
      </c>
      <c r="P2161">
        <v>-1</v>
      </c>
      <c r="T2161" t="s">
        <v>43</v>
      </c>
      <c r="U2161">
        <v>107</v>
      </c>
      <c r="V2161">
        <v>27.324999999999999</v>
      </c>
    </row>
    <row r="2162" spans="1:22" x14ac:dyDescent="0.35">
      <c r="A2162" s="3">
        <v>44370</v>
      </c>
      <c r="B2162" t="s">
        <v>31</v>
      </c>
      <c r="C2162">
        <v>0</v>
      </c>
      <c r="D2162">
        <v>0</v>
      </c>
      <c r="E2162">
        <v>0</v>
      </c>
      <c r="F2162">
        <v>0</v>
      </c>
      <c r="G2162">
        <v>23.7</v>
      </c>
      <c r="H2162">
        <v>0</v>
      </c>
      <c r="I2162">
        <v>0</v>
      </c>
      <c r="J2162">
        <v>0</v>
      </c>
      <c r="K2162">
        <v>0</v>
      </c>
      <c r="L2162">
        <v>183</v>
      </c>
      <c r="M2162">
        <v>265</v>
      </c>
      <c r="N2162" t="s">
        <v>31</v>
      </c>
      <c r="O2162" s="3">
        <v>44635</v>
      </c>
      <c r="P2162">
        <v>-1</v>
      </c>
      <c r="T2162" t="s">
        <v>42</v>
      </c>
      <c r="U2162">
        <v>132</v>
      </c>
      <c r="V2162">
        <v>27</v>
      </c>
    </row>
    <row r="2163" spans="1:22" x14ac:dyDescent="0.35">
      <c r="A2163" s="3">
        <v>44370</v>
      </c>
      <c r="B2163" t="s">
        <v>37</v>
      </c>
      <c r="C2163">
        <v>0</v>
      </c>
      <c r="D2163">
        <v>0</v>
      </c>
      <c r="E2163">
        <v>0</v>
      </c>
      <c r="F2163">
        <v>0</v>
      </c>
      <c r="G2163">
        <v>21.268999999999998</v>
      </c>
      <c r="H2163">
        <v>0</v>
      </c>
      <c r="I2163">
        <v>0</v>
      </c>
      <c r="J2163">
        <v>0</v>
      </c>
      <c r="K2163">
        <v>0</v>
      </c>
      <c r="L2163">
        <v>58</v>
      </c>
      <c r="M2163">
        <v>84</v>
      </c>
      <c r="N2163" t="s">
        <v>37</v>
      </c>
      <c r="O2163" s="3">
        <v>44454</v>
      </c>
      <c r="P2163">
        <v>-1</v>
      </c>
      <c r="T2163" t="s">
        <v>41</v>
      </c>
      <c r="U2163">
        <v>152</v>
      </c>
      <c r="V2163">
        <v>26.65</v>
      </c>
    </row>
    <row r="2164" spans="1:22" x14ac:dyDescent="0.35">
      <c r="A2164" s="3">
        <v>44370</v>
      </c>
      <c r="B2164" t="s">
        <v>35</v>
      </c>
      <c r="C2164">
        <v>0</v>
      </c>
      <c r="D2164">
        <v>0</v>
      </c>
      <c r="E2164">
        <v>0</v>
      </c>
      <c r="F2164">
        <v>0</v>
      </c>
      <c r="G2164">
        <v>22.2</v>
      </c>
      <c r="H2164">
        <v>0</v>
      </c>
      <c r="I2164">
        <v>0</v>
      </c>
      <c r="J2164">
        <v>0</v>
      </c>
      <c r="K2164">
        <v>0</v>
      </c>
      <c r="L2164">
        <v>103</v>
      </c>
      <c r="M2164">
        <v>147</v>
      </c>
      <c r="N2164" t="s">
        <v>35</v>
      </c>
      <c r="O2164" s="3">
        <v>44517</v>
      </c>
      <c r="P2164">
        <v>-1</v>
      </c>
      <c r="T2164" t="s">
        <v>48</v>
      </c>
      <c r="U2164">
        <v>7</v>
      </c>
      <c r="V2164">
        <v>26.324999999999999</v>
      </c>
    </row>
    <row r="2165" spans="1:22" x14ac:dyDescent="0.35">
      <c r="A2165" s="3">
        <v>44369</v>
      </c>
      <c r="B2165" t="s">
        <v>39</v>
      </c>
      <c r="C2165">
        <v>0</v>
      </c>
      <c r="D2165">
        <v>0</v>
      </c>
      <c r="E2165">
        <v>0</v>
      </c>
      <c r="F2165">
        <v>0</v>
      </c>
      <c r="G2165">
        <v>18.826499999999999</v>
      </c>
      <c r="H2165">
        <v>0</v>
      </c>
      <c r="I2165">
        <v>0</v>
      </c>
      <c r="J2165">
        <v>0</v>
      </c>
      <c r="K2165">
        <v>0</v>
      </c>
      <c r="L2165">
        <v>20</v>
      </c>
      <c r="M2165">
        <v>29</v>
      </c>
      <c r="N2165" t="s">
        <v>39</v>
      </c>
      <c r="O2165" s="3">
        <v>44398</v>
      </c>
      <c r="P2165">
        <v>-1</v>
      </c>
      <c r="T2165" t="s">
        <v>47</v>
      </c>
      <c r="U2165">
        <v>27</v>
      </c>
      <c r="V2165">
        <v>28.574999999999999</v>
      </c>
    </row>
    <row r="2166" spans="1:22" x14ac:dyDescent="0.35">
      <c r="A2166" s="3">
        <v>44369</v>
      </c>
      <c r="B2166" t="s">
        <v>38</v>
      </c>
      <c r="C2166">
        <v>0</v>
      </c>
      <c r="D2166">
        <v>0</v>
      </c>
      <c r="E2166">
        <v>0</v>
      </c>
      <c r="F2166">
        <v>0</v>
      </c>
      <c r="G2166">
        <v>20.529900000000001</v>
      </c>
      <c r="H2166">
        <v>0</v>
      </c>
      <c r="I2166">
        <v>0</v>
      </c>
      <c r="J2166">
        <v>0</v>
      </c>
      <c r="K2166">
        <v>0</v>
      </c>
      <c r="L2166">
        <v>40</v>
      </c>
      <c r="M2166">
        <v>57</v>
      </c>
      <c r="N2166" t="s">
        <v>38</v>
      </c>
      <c r="O2166" s="3">
        <v>44426</v>
      </c>
      <c r="P2166">
        <v>-1</v>
      </c>
      <c r="T2166" t="s">
        <v>46</v>
      </c>
      <c r="U2166">
        <v>46</v>
      </c>
      <c r="V2166">
        <v>27.675000000000001</v>
      </c>
    </row>
    <row r="2167" spans="1:22" x14ac:dyDescent="0.35">
      <c r="A2167" s="3">
        <v>44369</v>
      </c>
      <c r="B2167" t="s">
        <v>34</v>
      </c>
      <c r="C2167">
        <v>0</v>
      </c>
      <c r="D2167">
        <v>0</v>
      </c>
      <c r="E2167">
        <v>0</v>
      </c>
      <c r="F2167">
        <v>0</v>
      </c>
      <c r="G2167">
        <v>22.45</v>
      </c>
      <c r="H2167">
        <v>0</v>
      </c>
      <c r="I2167">
        <v>0</v>
      </c>
      <c r="J2167">
        <v>0</v>
      </c>
      <c r="K2167">
        <v>0</v>
      </c>
      <c r="L2167">
        <v>128</v>
      </c>
      <c r="M2167">
        <v>183</v>
      </c>
      <c r="N2167" t="s">
        <v>34</v>
      </c>
      <c r="O2167" s="3">
        <v>44552</v>
      </c>
      <c r="P2167">
        <v>-1</v>
      </c>
      <c r="S2167" s="3">
        <v>44117</v>
      </c>
      <c r="T2167" t="s">
        <v>45</v>
      </c>
      <c r="U2167">
        <v>67</v>
      </c>
      <c r="V2167">
        <v>27.524999999999999</v>
      </c>
    </row>
    <row r="2168" spans="1:22" x14ac:dyDescent="0.35">
      <c r="A2168" s="3">
        <v>44369</v>
      </c>
      <c r="B2168" t="s">
        <v>31</v>
      </c>
      <c r="C2168">
        <v>0</v>
      </c>
      <c r="D2168">
        <v>0</v>
      </c>
      <c r="E2168">
        <v>0</v>
      </c>
      <c r="F2168">
        <v>0</v>
      </c>
      <c r="G2168">
        <v>23.9</v>
      </c>
      <c r="H2168">
        <v>0</v>
      </c>
      <c r="I2168">
        <v>0</v>
      </c>
      <c r="J2168">
        <v>0</v>
      </c>
      <c r="K2168">
        <v>0</v>
      </c>
      <c r="L2168">
        <v>184</v>
      </c>
      <c r="M2168">
        <v>266</v>
      </c>
      <c r="N2168" t="s">
        <v>31</v>
      </c>
      <c r="O2168" s="3">
        <v>44635</v>
      </c>
      <c r="P2168">
        <v>-1</v>
      </c>
      <c r="T2168" t="s">
        <v>44</v>
      </c>
      <c r="U2168">
        <v>86</v>
      </c>
      <c r="V2168">
        <v>27.574999999999999</v>
      </c>
    </row>
    <row r="2169" spans="1:22" x14ac:dyDescent="0.35">
      <c r="A2169" s="3">
        <v>44369</v>
      </c>
      <c r="B2169" t="s">
        <v>37</v>
      </c>
      <c r="C2169">
        <v>0</v>
      </c>
      <c r="D2169">
        <v>0</v>
      </c>
      <c r="E2169">
        <v>0</v>
      </c>
      <c r="F2169">
        <v>0</v>
      </c>
      <c r="G2169">
        <v>21.6</v>
      </c>
      <c r="H2169">
        <v>0</v>
      </c>
      <c r="I2169">
        <v>0</v>
      </c>
      <c r="J2169">
        <v>0</v>
      </c>
      <c r="K2169">
        <v>0</v>
      </c>
      <c r="L2169">
        <v>59</v>
      </c>
      <c r="M2169">
        <v>85</v>
      </c>
      <c r="N2169" t="s">
        <v>37</v>
      </c>
      <c r="O2169" s="3">
        <v>44454</v>
      </c>
      <c r="P2169">
        <v>-1</v>
      </c>
      <c r="T2169" t="s">
        <v>43</v>
      </c>
      <c r="U2169">
        <v>106</v>
      </c>
      <c r="V2169">
        <v>27.375</v>
      </c>
    </row>
    <row r="2170" spans="1:22" x14ac:dyDescent="0.35">
      <c r="A2170" s="3">
        <v>44369</v>
      </c>
      <c r="B2170" t="s">
        <v>35</v>
      </c>
      <c r="C2170">
        <v>0</v>
      </c>
      <c r="D2170">
        <v>0</v>
      </c>
      <c r="E2170">
        <v>0</v>
      </c>
      <c r="F2170">
        <v>0</v>
      </c>
      <c r="G2170">
        <v>22.4008</v>
      </c>
      <c r="H2170">
        <v>0</v>
      </c>
      <c r="I2170">
        <v>0</v>
      </c>
      <c r="J2170">
        <v>0</v>
      </c>
      <c r="K2170">
        <v>0</v>
      </c>
      <c r="L2170">
        <v>104</v>
      </c>
      <c r="M2170">
        <v>148</v>
      </c>
      <c r="N2170" t="s">
        <v>35</v>
      </c>
      <c r="O2170" s="3">
        <v>44517</v>
      </c>
      <c r="P2170">
        <v>-1</v>
      </c>
      <c r="T2170" t="s">
        <v>42</v>
      </c>
      <c r="U2170">
        <v>131</v>
      </c>
      <c r="V2170">
        <v>27.074999999999999</v>
      </c>
    </row>
    <row r="2171" spans="1:22" x14ac:dyDescent="0.35">
      <c r="A2171" s="3">
        <v>44369</v>
      </c>
      <c r="B2171" t="s">
        <v>32</v>
      </c>
      <c r="C2171">
        <v>0</v>
      </c>
      <c r="D2171">
        <v>0</v>
      </c>
      <c r="E2171">
        <v>0</v>
      </c>
      <c r="F2171">
        <v>0</v>
      </c>
      <c r="G2171">
        <v>23.7</v>
      </c>
      <c r="H2171">
        <v>0</v>
      </c>
      <c r="I2171">
        <v>0</v>
      </c>
      <c r="J2171">
        <v>0</v>
      </c>
      <c r="K2171">
        <v>0</v>
      </c>
      <c r="L2171">
        <v>166</v>
      </c>
      <c r="M2171">
        <v>239</v>
      </c>
      <c r="N2171" t="s">
        <v>32</v>
      </c>
      <c r="O2171" s="3">
        <v>44608</v>
      </c>
      <c r="P2171">
        <v>-1</v>
      </c>
      <c r="T2171" t="s">
        <v>41</v>
      </c>
      <c r="U2171">
        <v>151</v>
      </c>
      <c r="V2171">
        <v>26.7</v>
      </c>
    </row>
    <row r="2172" spans="1:22" x14ac:dyDescent="0.35">
      <c r="A2172" s="3">
        <v>44369</v>
      </c>
      <c r="B2172" t="s">
        <v>36</v>
      </c>
      <c r="C2172">
        <v>0</v>
      </c>
      <c r="D2172">
        <v>0</v>
      </c>
      <c r="E2172">
        <v>0</v>
      </c>
      <c r="F2172">
        <v>0</v>
      </c>
      <c r="G2172">
        <v>22.247399999999999</v>
      </c>
      <c r="H2172">
        <v>0</v>
      </c>
      <c r="I2172">
        <v>0</v>
      </c>
      <c r="J2172">
        <v>0</v>
      </c>
      <c r="K2172">
        <v>0</v>
      </c>
      <c r="L2172">
        <v>84</v>
      </c>
      <c r="M2172">
        <v>120</v>
      </c>
      <c r="N2172" t="s">
        <v>36</v>
      </c>
      <c r="O2172" s="3">
        <v>44489</v>
      </c>
      <c r="P2172">
        <v>-1</v>
      </c>
      <c r="T2172" t="s">
        <v>48</v>
      </c>
      <c r="U2172">
        <v>6</v>
      </c>
      <c r="V2172">
        <v>26.774999999999999</v>
      </c>
    </row>
    <row r="2173" spans="1:22" x14ac:dyDescent="0.35">
      <c r="A2173" s="3">
        <v>44369</v>
      </c>
      <c r="B2173" t="s">
        <v>33</v>
      </c>
      <c r="C2173">
        <v>0</v>
      </c>
      <c r="D2173">
        <v>0</v>
      </c>
      <c r="E2173">
        <v>0</v>
      </c>
      <c r="F2173">
        <v>0</v>
      </c>
      <c r="G2173">
        <v>23.55</v>
      </c>
      <c r="H2173">
        <v>0</v>
      </c>
      <c r="I2173">
        <v>0</v>
      </c>
      <c r="J2173">
        <v>0</v>
      </c>
      <c r="K2173">
        <v>0</v>
      </c>
      <c r="L2173">
        <v>146</v>
      </c>
      <c r="M2173">
        <v>211</v>
      </c>
      <c r="N2173" t="s">
        <v>33</v>
      </c>
      <c r="O2173" s="3">
        <v>44580</v>
      </c>
      <c r="P2173">
        <v>-1</v>
      </c>
      <c r="T2173" t="s">
        <v>47</v>
      </c>
      <c r="U2173">
        <v>26</v>
      </c>
      <c r="V2173">
        <v>28.574999999999999</v>
      </c>
    </row>
    <row r="2174" spans="1:22" x14ac:dyDescent="0.35">
      <c r="A2174" s="3">
        <v>44368</v>
      </c>
      <c r="B2174" t="s">
        <v>32</v>
      </c>
      <c r="C2174">
        <v>0</v>
      </c>
      <c r="D2174">
        <v>0</v>
      </c>
      <c r="E2174">
        <v>0</v>
      </c>
      <c r="F2174">
        <v>0</v>
      </c>
      <c r="G2174">
        <v>23.9</v>
      </c>
      <c r="H2174">
        <v>0</v>
      </c>
      <c r="I2174">
        <v>0</v>
      </c>
      <c r="J2174">
        <v>0</v>
      </c>
      <c r="K2174">
        <v>0</v>
      </c>
      <c r="L2174">
        <v>167</v>
      </c>
      <c r="M2174">
        <v>240</v>
      </c>
      <c r="N2174" t="s">
        <v>32</v>
      </c>
      <c r="O2174" s="3">
        <v>44608</v>
      </c>
      <c r="P2174">
        <v>-1</v>
      </c>
      <c r="T2174" t="s">
        <v>46</v>
      </c>
      <c r="U2174">
        <v>45</v>
      </c>
      <c r="V2174">
        <v>27.725000000000001</v>
      </c>
    </row>
    <row r="2175" spans="1:22" x14ac:dyDescent="0.35">
      <c r="A2175" s="3">
        <v>44368</v>
      </c>
      <c r="B2175" t="s">
        <v>36</v>
      </c>
      <c r="C2175">
        <v>0</v>
      </c>
      <c r="D2175">
        <v>0</v>
      </c>
      <c r="E2175">
        <v>0</v>
      </c>
      <c r="F2175">
        <v>0</v>
      </c>
      <c r="G2175">
        <v>22.571100000000001</v>
      </c>
      <c r="H2175">
        <v>0</v>
      </c>
      <c r="I2175">
        <v>0</v>
      </c>
      <c r="J2175">
        <v>0</v>
      </c>
      <c r="K2175">
        <v>0</v>
      </c>
      <c r="L2175">
        <v>85</v>
      </c>
      <c r="M2175">
        <v>121</v>
      </c>
      <c r="N2175" t="s">
        <v>36</v>
      </c>
      <c r="O2175" s="3">
        <v>44489</v>
      </c>
      <c r="P2175">
        <v>-1</v>
      </c>
      <c r="S2175" s="3">
        <v>44118</v>
      </c>
      <c r="T2175" t="s">
        <v>45</v>
      </c>
      <c r="U2175">
        <v>66</v>
      </c>
      <c r="V2175">
        <v>27.4</v>
      </c>
    </row>
    <row r="2176" spans="1:22" x14ac:dyDescent="0.35">
      <c r="A2176" s="3">
        <v>44368</v>
      </c>
      <c r="B2176" t="s">
        <v>33</v>
      </c>
      <c r="C2176">
        <v>0</v>
      </c>
      <c r="D2176">
        <v>0</v>
      </c>
      <c r="E2176">
        <v>0</v>
      </c>
      <c r="F2176">
        <v>0</v>
      </c>
      <c r="G2176">
        <v>23.804500000000001</v>
      </c>
      <c r="H2176">
        <v>0</v>
      </c>
      <c r="I2176">
        <v>0</v>
      </c>
      <c r="J2176">
        <v>0</v>
      </c>
      <c r="K2176">
        <v>0</v>
      </c>
      <c r="L2176">
        <v>147</v>
      </c>
      <c r="M2176">
        <v>212</v>
      </c>
      <c r="N2176" t="s">
        <v>33</v>
      </c>
      <c r="O2176" s="3">
        <v>44580</v>
      </c>
      <c r="P2176">
        <v>-1</v>
      </c>
      <c r="T2176" t="s">
        <v>44</v>
      </c>
      <c r="U2176">
        <v>85</v>
      </c>
      <c r="V2176">
        <v>27.475000000000001</v>
      </c>
    </row>
    <row r="2177" spans="1:22" x14ac:dyDescent="0.35">
      <c r="A2177" s="3">
        <v>44368</v>
      </c>
      <c r="B2177" t="s">
        <v>39</v>
      </c>
      <c r="C2177">
        <v>0</v>
      </c>
      <c r="D2177">
        <v>0</v>
      </c>
      <c r="E2177">
        <v>0</v>
      </c>
      <c r="F2177">
        <v>0</v>
      </c>
      <c r="G2177">
        <v>19.915900000000001</v>
      </c>
      <c r="H2177">
        <v>0</v>
      </c>
      <c r="I2177">
        <v>0</v>
      </c>
      <c r="J2177">
        <v>0</v>
      </c>
      <c r="K2177">
        <v>0</v>
      </c>
      <c r="L2177">
        <v>21</v>
      </c>
      <c r="M2177">
        <v>30</v>
      </c>
      <c r="N2177" t="s">
        <v>39</v>
      </c>
      <c r="O2177" s="3">
        <v>44398</v>
      </c>
      <c r="P2177">
        <v>-1</v>
      </c>
      <c r="T2177" t="s">
        <v>43</v>
      </c>
      <c r="U2177">
        <v>105</v>
      </c>
      <c r="V2177">
        <v>27.225000000000001</v>
      </c>
    </row>
    <row r="2178" spans="1:22" x14ac:dyDescent="0.35">
      <c r="A2178" s="3">
        <v>44368</v>
      </c>
      <c r="B2178" t="s">
        <v>38</v>
      </c>
      <c r="C2178">
        <v>0</v>
      </c>
      <c r="D2178">
        <v>0</v>
      </c>
      <c r="E2178">
        <v>0</v>
      </c>
      <c r="F2178">
        <v>0</v>
      </c>
      <c r="G2178">
        <v>21.189699999999998</v>
      </c>
      <c r="H2178">
        <v>0</v>
      </c>
      <c r="I2178">
        <v>0</v>
      </c>
      <c r="J2178">
        <v>0</v>
      </c>
      <c r="K2178">
        <v>0</v>
      </c>
      <c r="L2178">
        <v>41</v>
      </c>
      <c r="M2178">
        <v>58</v>
      </c>
      <c r="N2178" t="s">
        <v>38</v>
      </c>
      <c r="O2178" s="3">
        <v>44426</v>
      </c>
      <c r="P2178">
        <v>-1</v>
      </c>
      <c r="T2178" t="s">
        <v>42</v>
      </c>
      <c r="U2178">
        <v>130</v>
      </c>
      <c r="V2178">
        <v>27</v>
      </c>
    </row>
    <row r="2179" spans="1:22" x14ac:dyDescent="0.35">
      <c r="A2179" s="3">
        <v>44368</v>
      </c>
      <c r="B2179" t="s">
        <v>34</v>
      </c>
      <c r="C2179">
        <v>0</v>
      </c>
      <c r="D2179">
        <v>0</v>
      </c>
      <c r="E2179">
        <v>0</v>
      </c>
      <c r="F2179">
        <v>0</v>
      </c>
      <c r="G2179">
        <v>22.670999999999999</v>
      </c>
      <c r="H2179">
        <v>0</v>
      </c>
      <c r="I2179">
        <v>0</v>
      </c>
      <c r="J2179">
        <v>0</v>
      </c>
      <c r="K2179">
        <v>0</v>
      </c>
      <c r="L2179">
        <v>129</v>
      </c>
      <c r="M2179">
        <v>184</v>
      </c>
      <c r="N2179" t="s">
        <v>34</v>
      </c>
      <c r="O2179" s="3">
        <v>44552</v>
      </c>
      <c r="P2179">
        <v>-1</v>
      </c>
      <c r="T2179" t="s">
        <v>41</v>
      </c>
      <c r="U2179">
        <v>150</v>
      </c>
      <c r="V2179">
        <v>26.675000000000001</v>
      </c>
    </row>
    <row r="2180" spans="1:22" x14ac:dyDescent="0.35">
      <c r="A2180" s="3">
        <v>44368</v>
      </c>
      <c r="B2180" t="s">
        <v>31</v>
      </c>
      <c r="C2180">
        <v>0</v>
      </c>
      <c r="D2180">
        <v>0</v>
      </c>
      <c r="E2180">
        <v>0</v>
      </c>
      <c r="F2180">
        <v>0</v>
      </c>
      <c r="G2180">
        <v>24.2</v>
      </c>
      <c r="H2180">
        <v>0</v>
      </c>
      <c r="I2180">
        <v>0</v>
      </c>
      <c r="J2180">
        <v>0</v>
      </c>
      <c r="K2180">
        <v>0</v>
      </c>
      <c r="L2180">
        <v>185</v>
      </c>
      <c r="M2180">
        <v>267</v>
      </c>
      <c r="N2180" t="s">
        <v>31</v>
      </c>
      <c r="O2180" s="3">
        <v>44635</v>
      </c>
      <c r="P2180">
        <v>-1</v>
      </c>
      <c r="T2180" t="s">
        <v>48</v>
      </c>
      <c r="U2180">
        <v>5</v>
      </c>
      <c r="V2180">
        <v>27.074999999999999</v>
      </c>
    </row>
    <row r="2181" spans="1:22" x14ac:dyDescent="0.35">
      <c r="A2181" s="3">
        <v>44368</v>
      </c>
      <c r="B2181" t="s">
        <v>37</v>
      </c>
      <c r="C2181">
        <v>0</v>
      </c>
      <c r="D2181">
        <v>0</v>
      </c>
      <c r="E2181">
        <v>0</v>
      </c>
      <c r="F2181">
        <v>0</v>
      </c>
      <c r="G2181">
        <v>22.0825</v>
      </c>
      <c r="H2181">
        <v>0</v>
      </c>
      <c r="I2181">
        <v>0</v>
      </c>
      <c r="J2181">
        <v>0</v>
      </c>
      <c r="K2181">
        <v>0</v>
      </c>
      <c r="L2181">
        <v>60</v>
      </c>
      <c r="M2181">
        <v>86</v>
      </c>
      <c r="N2181" t="s">
        <v>37</v>
      </c>
      <c r="O2181" s="3">
        <v>44454</v>
      </c>
      <c r="P2181">
        <v>-1</v>
      </c>
      <c r="T2181" t="s">
        <v>47</v>
      </c>
      <c r="U2181">
        <v>25</v>
      </c>
      <c r="V2181">
        <v>28.2</v>
      </c>
    </row>
    <row r="2182" spans="1:22" x14ac:dyDescent="0.35">
      <c r="A2182" s="3">
        <v>44368</v>
      </c>
      <c r="B2182" t="s">
        <v>35</v>
      </c>
      <c r="C2182">
        <v>0</v>
      </c>
      <c r="D2182">
        <v>0</v>
      </c>
      <c r="E2182">
        <v>0</v>
      </c>
      <c r="F2182">
        <v>0</v>
      </c>
      <c r="G2182">
        <v>22.662500000000001</v>
      </c>
      <c r="H2182">
        <v>0</v>
      </c>
      <c r="I2182">
        <v>0</v>
      </c>
      <c r="J2182">
        <v>0</v>
      </c>
      <c r="K2182">
        <v>0</v>
      </c>
      <c r="L2182">
        <v>105</v>
      </c>
      <c r="M2182">
        <v>149</v>
      </c>
      <c r="N2182" t="s">
        <v>35</v>
      </c>
      <c r="O2182" s="3">
        <v>44517</v>
      </c>
      <c r="P2182">
        <v>-1</v>
      </c>
      <c r="T2182" t="s">
        <v>46</v>
      </c>
      <c r="U2182">
        <v>44</v>
      </c>
      <c r="V2182">
        <v>27.5</v>
      </c>
    </row>
    <row r="2183" spans="1:22" x14ac:dyDescent="0.35">
      <c r="A2183" s="3">
        <v>44365</v>
      </c>
      <c r="B2183" t="s">
        <v>39</v>
      </c>
      <c r="C2183">
        <v>0</v>
      </c>
      <c r="D2183">
        <v>0</v>
      </c>
      <c r="E2183">
        <v>0</v>
      </c>
      <c r="F2183">
        <v>0</v>
      </c>
      <c r="G2183">
        <v>21.338999999999999</v>
      </c>
      <c r="H2183">
        <v>0</v>
      </c>
      <c r="I2183">
        <v>0</v>
      </c>
      <c r="J2183">
        <v>0</v>
      </c>
      <c r="K2183">
        <v>0</v>
      </c>
      <c r="L2183">
        <v>22</v>
      </c>
      <c r="M2183">
        <v>33</v>
      </c>
      <c r="N2183" t="s">
        <v>39</v>
      </c>
      <c r="O2183" s="3">
        <v>44398</v>
      </c>
      <c r="P2183">
        <v>-1</v>
      </c>
      <c r="S2183" s="3">
        <v>44119</v>
      </c>
      <c r="T2183" t="s">
        <v>45</v>
      </c>
      <c r="U2183">
        <v>65</v>
      </c>
      <c r="V2183">
        <v>27.7</v>
      </c>
    </row>
    <row r="2184" spans="1:22" x14ac:dyDescent="0.35">
      <c r="A2184" s="3">
        <v>44365</v>
      </c>
      <c r="B2184" t="s">
        <v>38</v>
      </c>
      <c r="C2184">
        <v>0</v>
      </c>
      <c r="D2184">
        <v>0</v>
      </c>
      <c r="E2184">
        <v>0</v>
      </c>
      <c r="F2184">
        <v>0</v>
      </c>
      <c r="G2184">
        <v>22.260100000000001</v>
      </c>
      <c r="H2184">
        <v>0</v>
      </c>
      <c r="I2184">
        <v>0</v>
      </c>
      <c r="J2184">
        <v>0</v>
      </c>
      <c r="K2184">
        <v>0</v>
      </c>
      <c r="L2184">
        <v>42</v>
      </c>
      <c r="M2184">
        <v>61</v>
      </c>
      <c r="N2184" t="s">
        <v>38</v>
      </c>
      <c r="O2184" s="3">
        <v>44426</v>
      </c>
      <c r="P2184">
        <v>-1</v>
      </c>
      <c r="T2184" t="s">
        <v>44</v>
      </c>
      <c r="U2184">
        <v>84</v>
      </c>
      <c r="V2184">
        <v>27.574999999999999</v>
      </c>
    </row>
    <row r="2185" spans="1:22" x14ac:dyDescent="0.35">
      <c r="A2185" s="3">
        <v>44365</v>
      </c>
      <c r="B2185" t="s">
        <v>34</v>
      </c>
      <c r="C2185">
        <v>0</v>
      </c>
      <c r="D2185">
        <v>0</v>
      </c>
      <c r="E2185">
        <v>0</v>
      </c>
      <c r="F2185">
        <v>0</v>
      </c>
      <c r="G2185">
        <v>23.169799999999999</v>
      </c>
      <c r="H2185">
        <v>0</v>
      </c>
      <c r="I2185">
        <v>0</v>
      </c>
      <c r="J2185">
        <v>0</v>
      </c>
      <c r="K2185">
        <v>0</v>
      </c>
      <c r="L2185">
        <v>130</v>
      </c>
      <c r="M2185">
        <v>187</v>
      </c>
      <c r="N2185" t="s">
        <v>34</v>
      </c>
      <c r="O2185" s="3">
        <v>44552</v>
      </c>
      <c r="P2185">
        <v>-1</v>
      </c>
      <c r="T2185" t="s">
        <v>43</v>
      </c>
      <c r="U2185">
        <v>104</v>
      </c>
      <c r="V2185">
        <v>27.324999999999999</v>
      </c>
    </row>
    <row r="2186" spans="1:22" x14ac:dyDescent="0.35">
      <c r="A2186" s="3">
        <v>44365</v>
      </c>
      <c r="B2186" t="s">
        <v>37</v>
      </c>
      <c r="C2186">
        <v>0</v>
      </c>
      <c r="D2186">
        <v>0</v>
      </c>
      <c r="E2186">
        <v>0</v>
      </c>
      <c r="F2186">
        <v>0</v>
      </c>
      <c r="G2186">
        <v>22.915800000000001</v>
      </c>
      <c r="H2186">
        <v>0</v>
      </c>
      <c r="I2186">
        <v>0</v>
      </c>
      <c r="J2186">
        <v>0</v>
      </c>
      <c r="K2186">
        <v>0</v>
      </c>
      <c r="L2186">
        <v>61</v>
      </c>
      <c r="M2186">
        <v>89</v>
      </c>
      <c r="N2186" t="s">
        <v>37</v>
      </c>
      <c r="O2186" s="3">
        <v>44454</v>
      </c>
      <c r="P2186">
        <v>-1</v>
      </c>
      <c r="T2186" t="s">
        <v>42</v>
      </c>
      <c r="U2186">
        <v>129</v>
      </c>
      <c r="V2186">
        <v>27.125</v>
      </c>
    </row>
    <row r="2187" spans="1:22" x14ac:dyDescent="0.35">
      <c r="A2187" s="3">
        <v>44365</v>
      </c>
      <c r="B2187" t="s">
        <v>35</v>
      </c>
      <c r="C2187">
        <v>0</v>
      </c>
      <c r="D2187">
        <v>0</v>
      </c>
      <c r="E2187">
        <v>0</v>
      </c>
      <c r="F2187">
        <v>0</v>
      </c>
      <c r="G2187">
        <v>23.2239</v>
      </c>
      <c r="H2187">
        <v>0</v>
      </c>
      <c r="I2187">
        <v>0</v>
      </c>
      <c r="J2187">
        <v>0</v>
      </c>
      <c r="K2187">
        <v>0</v>
      </c>
      <c r="L2187">
        <v>106</v>
      </c>
      <c r="M2187">
        <v>152</v>
      </c>
      <c r="N2187" t="s">
        <v>35</v>
      </c>
      <c r="O2187" s="3">
        <v>44517</v>
      </c>
      <c r="P2187">
        <v>-1</v>
      </c>
      <c r="T2187" t="s">
        <v>41</v>
      </c>
      <c r="U2187">
        <v>149</v>
      </c>
      <c r="V2187">
        <v>26.774999999999999</v>
      </c>
    </row>
    <row r="2188" spans="1:22" x14ac:dyDescent="0.35">
      <c r="A2188" s="3">
        <v>44365</v>
      </c>
      <c r="B2188" t="s">
        <v>32</v>
      </c>
      <c r="C2188">
        <v>0</v>
      </c>
      <c r="D2188">
        <v>0</v>
      </c>
      <c r="E2188">
        <v>0</v>
      </c>
      <c r="F2188">
        <v>0</v>
      </c>
      <c r="G2188">
        <v>24.274999999999999</v>
      </c>
      <c r="H2188">
        <v>0</v>
      </c>
      <c r="I2188">
        <v>0</v>
      </c>
      <c r="J2188">
        <v>0</v>
      </c>
      <c r="K2188">
        <v>0</v>
      </c>
      <c r="L2188">
        <v>168</v>
      </c>
      <c r="M2188">
        <v>243</v>
      </c>
      <c r="N2188" t="s">
        <v>32</v>
      </c>
      <c r="O2188" s="3">
        <v>44608</v>
      </c>
      <c r="P2188">
        <v>-1</v>
      </c>
      <c r="T2188" t="s">
        <v>48</v>
      </c>
      <c r="U2188">
        <v>4</v>
      </c>
      <c r="V2188">
        <v>27.574999999999999</v>
      </c>
    </row>
    <row r="2189" spans="1:22" x14ac:dyDescent="0.35">
      <c r="A2189" s="3">
        <v>44365</v>
      </c>
      <c r="B2189" t="s">
        <v>36</v>
      </c>
      <c r="C2189">
        <v>0</v>
      </c>
      <c r="D2189">
        <v>0</v>
      </c>
      <c r="E2189">
        <v>0</v>
      </c>
      <c r="F2189">
        <v>0</v>
      </c>
      <c r="G2189">
        <v>23.181999999999999</v>
      </c>
      <c r="H2189">
        <v>0</v>
      </c>
      <c r="I2189">
        <v>0</v>
      </c>
      <c r="J2189">
        <v>0</v>
      </c>
      <c r="K2189">
        <v>0</v>
      </c>
      <c r="L2189">
        <v>86</v>
      </c>
      <c r="M2189">
        <v>124</v>
      </c>
      <c r="N2189" t="s">
        <v>36</v>
      </c>
      <c r="O2189" s="3">
        <v>44489</v>
      </c>
      <c r="P2189">
        <v>-1</v>
      </c>
      <c r="T2189" t="s">
        <v>47</v>
      </c>
      <c r="U2189">
        <v>24</v>
      </c>
      <c r="V2189">
        <v>28.875</v>
      </c>
    </row>
    <row r="2190" spans="1:22" x14ac:dyDescent="0.35">
      <c r="A2190" s="3">
        <v>44365</v>
      </c>
      <c r="B2190" t="s">
        <v>33</v>
      </c>
      <c r="C2190">
        <v>0</v>
      </c>
      <c r="D2190">
        <v>0</v>
      </c>
      <c r="E2190">
        <v>0</v>
      </c>
      <c r="F2190">
        <v>0</v>
      </c>
      <c r="G2190">
        <v>24.2667</v>
      </c>
      <c r="H2190">
        <v>0</v>
      </c>
      <c r="I2190">
        <v>0</v>
      </c>
      <c r="J2190">
        <v>0</v>
      </c>
      <c r="K2190">
        <v>0</v>
      </c>
      <c r="L2190">
        <v>148</v>
      </c>
      <c r="M2190">
        <v>215</v>
      </c>
      <c r="N2190" t="s">
        <v>33</v>
      </c>
      <c r="O2190" s="3">
        <v>44580</v>
      </c>
      <c r="P2190">
        <v>-1</v>
      </c>
      <c r="T2190" t="s">
        <v>46</v>
      </c>
      <c r="U2190">
        <v>43</v>
      </c>
      <c r="V2190">
        <v>27.95</v>
      </c>
    </row>
    <row r="2191" spans="1:22" x14ac:dyDescent="0.35">
      <c r="A2191" s="3">
        <v>44364</v>
      </c>
      <c r="B2191" t="s">
        <v>32</v>
      </c>
      <c r="C2191">
        <v>0</v>
      </c>
      <c r="D2191">
        <v>0</v>
      </c>
      <c r="E2191">
        <v>0</v>
      </c>
      <c r="F2191">
        <v>0</v>
      </c>
      <c r="G2191">
        <v>23.675000000000001</v>
      </c>
      <c r="H2191">
        <v>0</v>
      </c>
      <c r="I2191">
        <v>0</v>
      </c>
      <c r="J2191">
        <v>0</v>
      </c>
      <c r="K2191">
        <v>0</v>
      </c>
      <c r="L2191">
        <v>169</v>
      </c>
      <c r="M2191">
        <v>244</v>
      </c>
      <c r="N2191" t="s">
        <v>32</v>
      </c>
      <c r="O2191" s="3">
        <v>44608</v>
      </c>
      <c r="P2191">
        <v>-1</v>
      </c>
      <c r="S2191" s="3">
        <v>44120</v>
      </c>
      <c r="T2191" t="s">
        <v>45</v>
      </c>
      <c r="U2191">
        <v>64</v>
      </c>
      <c r="V2191">
        <v>27.975000000000001</v>
      </c>
    </row>
    <row r="2192" spans="1:22" x14ac:dyDescent="0.35">
      <c r="A2192" s="3">
        <v>44364</v>
      </c>
      <c r="B2192" t="s">
        <v>36</v>
      </c>
      <c r="C2192">
        <v>0</v>
      </c>
      <c r="D2192">
        <v>0</v>
      </c>
      <c r="E2192">
        <v>0</v>
      </c>
      <c r="F2192">
        <v>0</v>
      </c>
      <c r="G2192">
        <v>22.319600000000001</v>
      </c>
      <c r="H2192">
        <v>0</v>
      </c>
      <c r="I2192">
        <v>0</v>
      </c>
      <c r="J2192">
        <v>0</v>
      </c>
      <c r="K2192">
        <v>0</v>
      </c>
      <c r="L2192">
        <v>87</v>
      </c>
      <c r="M2192">
        <v>125</v>
      </c>
      <c r="N2192" t="s">
        <v>36</v>
      </c>
      <c r="O2192" s="3">
        <v>44489</v>
      </c>
      <c r="P2192">
        <v>-1</v>
      </c>
      <c r="T2192" t="s">
        <v>44</v>
      </c>
      <c r="U2192">
        <v>83</v>
      </c>
      <c r="V2192">
        <v>27.925000000000001</v>
      </c>
    </row>
    <row r="2193" spans="1:22" x14ac:dyDescent="0.35">
      <c r="A2193" s="3">
        <v>44364</v>
      </c>
      <c r="B2193" t="s">
        <v>33</v>
      </c>
      <c r="C2193">
        <v>0</v>
      </c>
      <c r="D2193">
        <v>0</v>
      </c>
      <c r="E2193">
        <v>0</v>
      </c>
      <c r="F2193">
        <v>0</v>
      </c>
      <c r="G2193">
        <v>23.55</v>
      </c>
      <c r="H2193">
        <v>0</v>
      </c>
      <c r="I2193">
        <v>0</v>
      </c>
      <c r="J2193">
        <v>0</v>
      </c>
      <c r="K2193">
        <v>0</v>
      </c>
      <c r="L2193">
        <v>149</v>
      </c>
      <c r="M2193">
        <v>216</v>
      </c>
      <c r="N2193" t="s">
        <v>33</v>
      </c>
      <c r="O2193" s="3">
        <v>44580</v>
      </c>
      <c r="P2193">
        <v>-1</v>
      </c>
      <c r="T2193" t="s">
        <v>43</v>
      </c>
      <c r="U2193">
        <v>103</v>
      </c>
      <c r="V2193">
        <v>27.625</v>
      </c>
    </row>
    <row r="2194" spans="1:22" x14ac:dyDescent="0.35">
      <c r="A2194" s="3">
        <v>44364</v>
      </c>
      <c r="B2194" t="s">
        <v>39</v>
      </c>
      <c r="C2194">
        <v>0</v>
      </c>
      <c r="D2194">
        <v>0</v>
      </c>
      <c r="E2194">
        <v>0</v>
      </c>
      <c r="F2194">
        <v>0</v>
      </c>
      <c r="G2194">
        <v>19.514600000000002</v>
      </c>
      <c r="H2194">
        <v>0</v>
      </c>
      <c r="I2194">
        <v>0</v>
      </c>
      <c r="J2194">
        <v>0</v>
      </c>
      <c r="K2194">
        <v>0</v>
      </c>
      <c r="L2194">
        <v>23</v>
      </c>
      <c r="M2194">
        <v>34</v>
      </c>
      <c r="N2194" t="s">
        <v>39</v>
      </c>
      <c r="O2194" s="3">
        <v>44398</v>
      </c>
      <c r="P2194">
        <v>-1</v>
      </c>
      <c r="T2194" t="s">
        <v>42</v>
      </c>
      <c r="U2194">
        <v>128</v>
      </c>
      <c r="V2194">
        <v>27.425000000000001</v>
      </c>
    </row>
    <row r="2195" spans="1:22" x14ac:dyDescent="0.35">
      <c r="A2195" s="3">
        <v>44364</v>
      </c>
      <c r="B2195" t="s">
        <v>38</v>
      </c>
      <c r="C2195">
        <v>0</v>
      </c>
      <c r="D2195">
        <v>0</v>
      </c>
      <c r="E2195">
        <v>0</v>
      </c>
      <c r="F2195">
        <v>0</v>
      </c>
      <c r="G2195">
        <v>20.906199999999998</v>
      </c>
      <c r="H2195">
        <v>0</v>
      </c>
      <c r="I2195">
        <v>0</v>
      </c>
      <c r="J2195">
        <v>0</v>
      </c>
      <c r="K2195">
        <v>0</v>
      </c>
      <c r="L2195">
        <v>43</v>
      </c>
      <c r="M2195">
        <v>62</v>
      </c>
      <c r="N2195" t="s">
        <v>38</v>
      </c>
      <c r="O2195" s="3">
        <v>44426</v>
      </c>
      <c r="P2195">
        <v>-1</v>
      </c>
      <c r="T2195" t="s">
        <v>41</v>
      </c>
      <c r="U2195">
        <v>148</v>
      </c>
      <c r="V2195">
        <v>27.05</v>
      </c>
    </row>
    <row r="2196" spans="1:22" x14ac:dyDescent="0.35">
      <c r="A2196" s="3">
        <v>44364</v>
      </c>
      <c r="B2196" t="s">
        <v>34</v>
      </c>
      <c r="C2196">
        <v>0</v>
      </c>
      <c r="D2196">
        <v>0</v>
      </c>
      <c r="E2196">
        <v>0</v>
      </c>
      <c r="F2196">
        <v>0</v>
      </c>
      <c r="G2196">
        <v>22.4</v>
      </c>
      <c r="H2196">
        <v>0</v>
      </c>
      <c r="I2196">
        <v>0</v>
      </c>
      <c r="J2196">
        <v>0</v>
      </c>
      <c r="K2196">
        <v>0</v>
      </c>
      <c r="L2196">
        <v>131</v>
      </c>
      <c r="M2196">
        <v>188</v>
      </c>
      <c r="N2196" t="s">
        <v>34</v>
      </c>
      <c r="O2196" s="3">
        <v>44552</v>
      </c>
      <c r="P2196">
        <v>-1</v>
      </c>
      <c r="T2196" t="s">
        <v>48</v>
      </c>
      <c r="U2196">
        <v>3</v>
      </c>
      <c r="V2196">
        <v>27.875</v>
      </c>
    </row>
    <row r="2197" spans="1:22" x14ac:dyDescent="0.35">
      <c r="A2197" s="3">
        <v>44364</v>
      </c>
      <c r="B2197" t="s">
        <v>37</v>
      </c>
      <c r="C2197">
        <v>0</v>
      </c>
      <c r="D2197">
        <v>0</v>
      </c>
      <c r="E2197">
        <v>0</v>
      </c>
      <c r="F2197">
        <v>0</v>
      </c>
      <c r="G2197">
        <v>21.807400000000001</v>
      </c>
      <c r="H2197">
        <v>0</v>
      </c>
      <c r="I2197">
        <v>0</v>
      </c>
      <c r="J2197">
        <v>0</v>
      </c>
      <c r="K2197">
        <v>0</v>
      </c>
      <c r="L2197">
        <v>62</v>
      </c>
      <c r="M2197">
        <v>90</v>
      </c>
      <c r="N2197" t="s">
        <v>37</v>
      </c>
      <c r="O2197" s="3">
        <v>44454</v>
      </c>
      <c r="P2197">
        <v>-1</v>
      </c>
      <c r="T2197" t="s">
        <v>47</v>
      </c>
      <c r="U2197">
        <v>23</v>
      </c>
      <c r="V2197">
        <v>29.024999999999999</v>
      </c>
    </row>
    <row r="2198" spans="1:22" x14ac:dyDescent="0.35">
      <c r="A2198" s="3">
        <v>44364</v>
      </c>
      <c r="B2198" t="s">
        <v>35</v>
      </c>
      <c r="C2198">
        <v>0</v>
      </c>
      <c r="D2198">
        <v>0</v>
      </c>
      <c r="E2198">
        <v>0</v>
      </c>
      <c r="F2198">
        <v>0</v>
      </c>
      <c r="G2198">
        <v>22.385400000000001</v>
      </c>
      <c r="H2198">
        <v>0</v>
      </c>
      <c r="I2198">
        <v>0</v>
      </c>
      <c r="J2198">
        <v>0</v>
      </c>
      <c r="K2198">
        <v>0</v>
      </c>
      <c r="L2198">
        <v>107</v>
      </c>
      <c r="M2198">
        <v>153</v>
      </c>
      <c r="N2198" t="s">
        <v>35</v>
      </c>
      <c r="O2198" s="3">
        <v>44517</v>
      </c>
      <c r="P2198">
        <v>-1</v>
      </c>
      <c r="T2198" t="s">
        <v>46</v>
      </c>
      <c r="U2198">
        <v>42</v>
      </c>
      <c r="V2198">
        <v>28.324999999999999</v>
      </c>
    </row>
    <row r="2199" spans="1:22" x14ac:dyDescent="0.35">
      <c r="A2199" s="3">
        <v>44363</v>
      </c>
      <c r="B2199" t="s">
        <v>39</v>
      </c>
      <c r="C2199">
        <v>0</v>
      </c>
      <c r="D2199">
        <v>0</v>
      </c>
      <c r="E2199">
        <v>0</v>
      </c>
      <c r="F2199">
        <v>0</v>
      </c>
      <c r="G2199">
        <v>19.623000000000001</v>
      </c>
      <c r="H2199">
        <v>0</v>
      </c>
      <c r="I2199">
        <v>0</v>
      </c>
      <c r="J2199">
        <v>0</v>
      </c>
      <c r="K2199">
        <v>0</v>
      </c>
      <c r="L2199">
        <v>24</v>
      </c>
      <c r="M2199">
        <v>35</v>
      </c>
      <c r="N2199" t="s">
        <v>39</v>
      </c>
      <c r="O2199" s="3">
        <v>44398</v>
      </c>
      <c r="P2199">
        <v>-1</v>
      </c>
      <c r="S2199" s="3">
        <v>44123</v>
      </c>
      <c r="T2199" t="s">
        <v>45</v>
      </c>
      <c r="U2199">
        <v>63</v>
      </c>
      <c r="V2199">
        <v>28.574999999999999</v>
      </c>
    </row>
    <row r="2200" spans="1:22" x14ac:dyDescent="0.35">
      <c r="A2200" s="3">
        <v>44363</v>
      </c>
      <c r="B2200" t="s">
        <v>38</v>
      </c>
      <c r="C2200">
        <v>0</v>
      </c>
      <c r="D2200">
        <v>0</v>
      </c>
      <c r="E2200">
        <v>0</v>
      </c>
      <c r="F2200">
        <v>0</v>
      </c>
      <c r="G2200">
        <v>21.049800000000001</v>
      </c>
      <c r="H2200">
        <v>0</v>
      </c>
      <c r="I2200">
        <v>0</v>
      </c>
      <c r="J2200">
        <v>0</v>
      </c>
      <c r="K2200">
        <v>0</v>
      </c>
      <c r="L2200">
        <v>44</v>
      </c>
      <c r="M2200">
        <v>63</v>
      </c>
      <c r="N2200" t="s">
        <v>38</v>
      </c>
      <c r="O2200" s="3">
        <v>44426</v>
      </c>
      <c r="P2200">
        <v>-1</v>
      </c>
      <c r="T2200" t="s">
        <v>44</v>
      </c>
      <c r="U2200">
        <v>82</v>
      </c>
      <c r="V2200">
        <v>28.4</v>
      </c>
    </row>
    <row r="2201" spans="1:22" x14ac:dyDescent="0.35">
      <c r="A2201" s="3">
        <v>44363</v>
      </c>
      <c r="B2201" t="s">
        <v>34</v>
      </c>
      <c r="C2201">
        <v>0</v>
      </c>
      <c r="D2201">
        <v>0</v>
      </c>
      <c r="E2201">
        <v>0</v>
      </c>
      <c r="F2201">
        <v>0</v>
      </c>
      <c r="G2201">
        <v>22.55</v>
      </c>
      <c r="H2201">
        <v>0</v>
      </c>
      <c r="I2201">
        <v>0</v>
      </c>
      <c r="J2201">
        <v>0</v>
      </c>
      <c r="K2201">
        <v>0</v>
      </c>
      <c r="L2201">
        <v>132</v>
      </c>
      <c r="M2201">
        <v>189</v>
      </c>
      <c r="N2201" t="s">
        <v>34</v>
      </c>
      <c r="O2201" s="3">
        <v>44552</v>
      </c>
      <c r="P2201">
        <v>-1</v>
      </c>
      <c r="T2201" t="s">
        <v>43</v>
      </c>
      <c r="U2201">
        <v>102</v>
      </c>
      <c r="V2201">
        <v>27.975000000000001</v>
      </c>
    </row>
    <row r="2202" spans="1:22" x14ac:dyDescent="0.35">
      <c r="A2202" s="3">
        <v>44363</v>
      </c>
      <c r="B2202" t="s">
        <v>37</v>
      </c>
      <c r="C2202">
        <v>0</v>
      </c>
      <c r="D2202">
        <v>0</v>
      </c>
      <c r="E2202">
        <v>0</v>
      </c>
      <c r="F2202">
        <v>0</v>
      </c>
      <c r="G2202">
        <v>21.989699999999999</v>
      </c>
      <c r="H2202">
        <v>0</v>
      </c>
      <c r="I2202">
        <v>0</v>
      </c>
      <c r="J2202">
        <v>0</v>
      </c>
      <c r="K2202">
        <v>0</v>
      </c>
      <c r="L2202">
        <v>63</v>
      </c>
      <c r="M2202">
        <v>91</v>
      </c>
      <c r="N2202" t="s">
        <v>37</v>
      </c>
      <c r="O2202" s="3">
        <v>44454</v>
      </c>
      <c r="P2202">
        <v>-1</v>
      </c>
      <c r="T2202" t="s">
        <v>42</v>
      </c>
      <c r="U2202">
        <v>127</v>
      </c>
      <c r="V2202">
        <v>27.824999999999999</v>
      </c>
    </row>
    <row r="2203" spans="1:22" x14ac:dyDescent="0.35">
      <c r="A2203" s="3">
        <v>44363</v>
      </c>
      <c r="B2203" t="s">
        <v>40</v>
      </c>
      <c r="C2203">
        <v>0</v>
      </c>
      <c r="D2203">
        <v>0</v>
      </c>
      <c r="E2203">
        <v>0</v>
      </c>
      <c r="F2203">
        <v>0</v>
      </c>
      <c r="G2203">
        <v>16.38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 t="s">
        <v>40</v>
      </c>
      <c r="O2203" s="3">
        <v>44363</v>
      </c>
      <c r="P2203">
        <v>-1</v>
      </c>
      <c r="T2203" t="s">
        <v>41</v>
      </c>
      <c r="U2203">
        <v>147</v>
      </c>
      <c r="V2203">
        <v>27.524999999999999</v>
      </c>
    </row>
    <row r="2204" spans="1:22" x14ac:dyDescent="0.35">
      <c r="A2204" s="3">
        <v>44363</v>
      </c>
      <c r="B2204" t="s">
        <v>35</v>
      </c>
      <c r="C2204">
        <v>0</v>
      </c>
      <c r="D2204">
        <v>0</v>
      </c>
      <c r="E2204">
        <v>0</v>
      </c>
      <c r="F2204">
        <v>0</v>
      </c>
      <c r="G2204">
        <v>22.584299999999999</v>
      </c>
      <c r="H2204">
        <v>0</v>
      </c>
      <c r="I2204">
        <v>0</v>
      </c>
      <c r="J2204">
        <v>0</v>
      </c>
      <c r="K2204">
        <v>0</v>
      </c>
      <c r="L2204">
        <v>108</v>
      </c>
      <c r="M2204">
        <v>154</v>
      </c>
      <c r="N2204" t="s">
        <v>35</v>
      </c>
      <c r="O2204" s="3">
        <v>44517</v>
      </c>
      <c r="P2204">
        <v>-1</v>
      </c>
      <c r="T2204" t="s">
        <v>40</v>
      </c>
      <c r="U2204">
        <v>166</v>
      </c>
      <c r="V2204">
        <v>26.65</v>
      </c>
    </row>
    <row r="2205" spans="1:22" x14ac:dyDescent="0.35">
      <c r="A2205" s="3">
        <v>44363</v>
      </c>
      <c r="B2205" t="s">
        <v>32</v>
      </c>
      <c r="C2205">
        <v>0</v>
      </c>
      <c r="D2205">
        <v>0</v>
      </c>
      <c r="E2205">
        <v>0</v>
      </c>
      <c r="F2205">
        <v>0</v>
      </c>
      <c r="G2205">
        <v>23.9</v>
      </c>
      <c r="H2205">
        <v>0</v>
      </c>
      <c r="I2205">
        <v>0</v>
      </c>
      <c r="J2205">
        <v>0</v>
      </c>
      <c r="K2205">
        <v>0</v>
      </c>
      <c r="L2205">
        <v>170</v>
      </c>
      <c r="M2205">
        <v>245</v>
      </c>
      <c r="N2205" t="s">
        <v>32</v>
      </c>
      <c r="O2205" s="3">
        <v>44608</v>
      </c>
      <c r="P2205">
        <v>-1</v>
      </c>
      <c r="T2205" t="s">
        <v>48</v>
      </c>
      <c r="U2205">
        <v>2</v>
      </c>
      <c r="V2205">
        <v>29.175000000000001</v>
      </c>
    </row>
    <row r="2206" spans="1:22" x14ac:dyDescent="0.35">
      <c r="A2206" s="3">
        <v>44363</v>
      </c>
      <c r="B2206" t="s">
        <v>36</v>
      </c>
      <c r="C2206">
        <v>0</v>
      </c>
      <c r="D2206">
        <v>0</v>
      </c>
      <c r="E2206">
        <v>0</v>
      </c>
      <c r="F2206">
        <v>0</v>
      </c>
      <c r="G2206">
        <v>22.477499999999999</v>
      </c>
      <c r="H2206">
        <v>0</v>
      </c>
      <c r="I2206">
        <v>0</v>
      </c>
      <c r="J2206">
        <v>0</v>
      </c>
      <c r="K2206">
        <v>0</v>
      </c>
      <c r="L2206">
        <v>88</v>
      </c>
      <c r="M2206">
        <v>126</v>
      </c>
      <c r="N2206" t="s">
        <v>36</v>
      </c>
      <c r="O2206" s="3">
        <v>44489</v>
      </c>
      <c r="P2206">
        <v>-1</v>
      </c>
      <c r="T2206" t="s">
        <v>47</v>
      </c>
      <c r="U2206">
        <v>22</v>
      </c>
      <c r="V2206">
        <v>30.225000000000001</v>
      </c>
    </row>
    <row r="2207" spans="1:22" x14ac:dyDescent="0.35">
      <c r="A2207" s="3">
        <v>44363</v>
      </c>
      <c r="B2207" t="s">
        <v>33</v>
      </c>
      <c r="C2207">
        <v>0</v>
      </c>
      <c r="D2207">
        <v>0</v>
      </c>
      <c r="E2207">
        <v>0</v>
      </c>
      <c r="F2207">
        <v>0</v>
      </c>
      <c r="G2207">
        <v>23.74</v>
      </c>
      <c r="H2207">
        <v>0</v>
      </c>
      <c r="I2207">
        <v>0</v>
      </c>
      <c r="J2207">
        <v>0</v>
      </c>
      <c r="K2207">
        <v>0</v>
      </c>
      <c r="L2207">
        <v>150</v>
      </c>
      <c r="M2207">
        <v>217</v>
      </c>
      <c r="N2207" t="s">
        <v>33</v>
      </c>
      <c r="O2207" s="3">
        <v>44580</v>
      </c>
      <c r="P2207">
        <v>-1</v>
      </c>
      <c r="T2207" t="s">
        <v>46</v>
      </c>
      <c r="U2207">
        <v>41</v>
      </c>
      <c r="V2207">
        <v>29.175000000000001</v>
      </c>
    </row>
    <row r="2208" spans="1:22" x14ac:dyDescent="0.35">
      <c r="A2208" s="3">
        <v>44362</v>
      </c>
      <c r="B2208" t="s">
        <v>32</v>
      </c>
      <c r="C2208">
        <v>0</v>
      </c>
      <c r="D2208">
        <v>0</v>
      </c>
      <c r="E2208">
        <v>0</v>
      </c>
      <c r="F2208">
        <v>0</v>
      </c>
      <c r="G2208">
        <v>23.7</v>
      </c>
      <c r="H2208">
        <v>0</v>
      </c>
      <c r="I2208">
        <v>0</v>
      </c>
      <c r="J2208">
        <v>0</v>
      </c>
      <c r="K2208">
        <v>0</v>
      </c>
      <c r="L2208">
        <v>171</v>
      </c>
      <c r="M2208">
        <v>246</v>
      </c>
      <c r="N2208" t="s">
        <v>32</v>
      </c>
      <c r="O2208" s="3">
        <v>44608</v>
      </c>
      <c r="P2208">
        <v>-1</v>
      </c>
      <c r="S2208" s="3">
        <v>44124</v>
      </c>
      <c r="T2208" t="s">
        <v>45</v>
      </c>
      <c r="U2208">
        <v>62</v>
      </c>
      <c r="V2208">
        <v>28.7</v>
      </c>
    </row>
    <row r="2209" spans="1:22" x14ac:dyDescent="0.35">
      <c r="A2209" s="3">
        <v>44362</v>
      </c>
      <c r="B2209" t="s">
        <v>36</v>
      </c>
      <c r="C2209">
        <v>0</v>
      </c>
      <c r="D2209">
        <v>0</v>
      </c>
      <c r="E2209">
        <v>0</v>
      </c>
      <c r="F2209">
        <v>0</v>
      </c>
      <c r="G2209">
        <v>22.309000000000001</v>
      </c>
      <c r="H2209">
        <v>0</v>
      </c>
      <c r="I2209">
        <v>0</v>
      </c>
      <c r="J2209">
        <v>0</v>
      </c>
      <c r="K2209">
        <v>0</v>
      </c>
      <c r="L2209">
        <v>89</v>
      </c>
      <c r="M2209">
        <v>127</v>
      </c>
      <c r="N2209" t="s">
        <v>36</v>
      </c>
      <c r="O2209" s="3">
        <v>44489</v>
      </c>
      <c r="P2209">
        <v>-1</v>
      </c>
      <c r="T2209" t="s">
        <v>44</v>
      </c>
      <c r="U2209">
        <v>81</v>
      </c>
      <c r="V2209">
        <v>28.375</v>
      </c>
    </row>
    <row r="2210" spans="1:22" x14ac:dyDescent="0.35">
      <c r="A2210" s="3">
        <v>44362</v>
      </c>
      <c r="B2210" t="s">
        <v>33</v>
      </c>
      <c r="C2210">
        <v>0</v>
      </c>
      <c r="D2210">
        <v>0</v>
      </c>
      <c r="E2210">
        <v>0</v>
      </c>
      <c r="F2210">
        <v>0</v>
      </c>
      <c r="G2210">
        <v>23.505199999999999</v>
      </c>
      <c r="H2210">
        <v>0</v>
      </c>
      <c r="I2210">
        <v>0</v>
      </c>
      <c r="J2210">
        <v>0</v>
      </c>
      <c r="K2210">
        <v>0</v>
      </c>
      <c r="L2210">
        <v>151</v>
      </c>
      <c r="M2210">
        <v>218</v>
      </c>
      <c r="N2210" t="s">
        <v>33</v>
      </c>
      <c r="O2210" s="3">
        <v>44580</v>
      </c>
      <c r="P2210">
        <v>-1</v>
      </c>
      <c r="T2210" t="s">
        <v>43</v>
      </c>
      <c r="U2210">
        <v>101</v>
      </c>
      <c r="V2210">
        <v>27.925000000000001</v>
      </c>
    </row>
    <row r="2211" spans="1:22" x14ac:dyDescent="0.35">
      <c r="A2211" s="3">
        <v>44362</v>
      </c>
      <c r="B2211" t="s">
        <v>39</v>
      </c>
      <c r="C2211">
        <v>0</v>
      </c>
      <c r="D2211">
        <v>0</v>
      </c>
      <c r="E2211">
        <v>0</v>
      </c>
      <c r="F2211">
        <v>0</v>
      </c>
      <c r="G2211">
        <v>19.564499999999999</v>
      </c>
      <c r="H2211">
        <v>0</v>
      </c>
      <c r="I2211">
        <v>0</v>
      </c>
      <c r="J2211">
        <v>0</v>
      </c>
      <c r="K2211">
        <v>0</v>
      </c>
      <c r="L2211">
        <v>25</v>
      </c>
      <c r="M2211">
        <v>36</v>
      </c>
      <c r="N2211" t="s">
        <v>39</v>
      </c>
      <c r="O2211" s="3">
        <v>44398</v>
      </c>
      <c r="P2211">
        <v>-1</v>
      </c>
      <c r="T2211" t="s">
        <v>42</v>
      </c>
      <c r="U2211">
        <v>126</v>
      </c>
      <c r="V2211">
        <v>27.675000000000001</v>
      </c>
    </row>
    <row r="2212" spans="1:22" x14ac:dyDescent="0.35">
      <c r="A2212" s="3">
        <v>44362</v>
      </c>
      <c r="B2212" t="s">
        <v>38</v>
      </c>
      <c r="C2212">
        <v>0</v>
      </c>
      <c r="D2212">
        <v>0</v>
      </c>
      <c r="E2212">
        <v>0</v>
      </c>
      <c r="F2212">
        <v>0</v>
      </c>
      <c r="G2212">
        <v>20.865400000000001</v>
      </c>
      <c r="H2212">
        <v>0</v>
      </c>
      <c r="I2212">
        <v>0</v>
      </c>
      <c r="J2212">
        <v>0</v>
      </c>
      <c r="K2212">
        <v>0</v>
      </c>
      <c r="L2212">
        <v>45</v>
      </c>
      <c r="M2212">
        <v>64</v>
      </c>
      <c r="N2212" t="s">
        <v>38</v>
      </c>
      <c r="O2212" s="3">
        <v>44426</v>
      </c>
      <c r="P2212">
        <v>-1</v>
      </c>
      <c r="T2212" t="s">
        <v>41</v>
      </c>
      <c r="U2212">
        <v>146</v>
      </c>
      <c r="V2212">
        <v>27.524999999999999</v>
      </c>
    </row>
    <row r="2213" spans="1:22" x14ac:dyDescent="0.35">
      <c r="A2213" s="3">
        <v>44362</v>
      </c>
      <c r="B2213" t="s">
        <v>34</v>
      </c>
      <c r="C2213">
        <v>0</v>
      </c>
      <c r="D2213">
        <v>0</v>
      </c>
      <c r="E2213">
        <v>0</v>
      </c>
      <c r="F2213">
        <v>0</v>
      </c>
      <c r="G2213">
        <v>22.423500000000001</v>
      </c>
      <c r="H2213">
        <v>0</v>
      </c>
      <c r="I2213">
        <v>0</v>
      </c>
      <c r="J2213">
        <v>0</v>
      </c>
      <c r="K2213">
        <v>0</v>
      </c>
      <c r="L2213">
        <v>133</v>
      </c>
      <c r="M2213">
        <v>190</v>
      </c>
      <c r="N2213" t="s">
        <v>34</v>
      </c>
      <c r="O2213" s="3">
        <v>44552</v>
      </c>
      <c r="P2213">
        <v>-1</v>
      </c>
      <c r="T2213" t="s">
        <v>48</v>
      </c>
      <c r="U2213">
        <v>1</v>
      </c>
      <c r="V2213">
        <v>29.274999999999999</v>
      </c>
    </row>
    <row r="2214" spans="1:22" x14ac:dyDescent="0.35">
      <c r="A2214" s="3">
        <v>44362</v>
      </c>
      <c r="B2214" t="s">
        <v>37</v>
      </c>
      <c r="C2214">
        <v>0</v>
      </c>
      <c r="D2214">
        <v>0</v>
      </c>
      <c r="E2214">
        <v>0</v>
      </c>
      <c r="F2214">
        <v>0</v>
      </c>
      <c r="G2214">
        <v>21.802</v>
      </c>
      <c r="H2214">
        <v>0</v>
      </c>
      <c r="I2214">
        <v>0</v>
      </c>
      <c r="J2214">
        <v>0</v>
      </c>
      <c r="K2214">
        <v>0</v>
      </c>
      <c r="L2214">
        <v>64</v>
      </c>
      <c r="M2214">
        <v>92</v>
      </c>
      <c r="N2214" t="s">
        <v>37</v>
      </c>
      <c r="O2214" s="3">
        <v>44454</v>
      </c>
      <c r="P2214">
        <v>-1</v>
      </c>
      <c r="T2214" t="s">
        <v>47</v>
      </c>
      <c r="U2214">
        <v>21</v>
      </c>
      <c r="V2214">
        <v>29.975000000000001</v>
      </c>
    </row>
    <row r="2215" spans="1:22" x14ac:dyDescent="0.35">
      <c r="A2215" s="3">
        <v>44362</v>
      </c>
      <c r="B2215" t="s">
        <v>40</v>
      </c>
      <c r="C2215">
        <v>0</v>
      </c>
      <c r="D2215">
        <v>0</v>
      </c>
      <c r="E2215">
        <v>0</v>
      </c>
      <c r="F2215">
        <v>0</v>
      </c>
      <c r="G2215">
        <v>17.101400000000002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1</v>
      </c>
      <c r="N2215" t="s">
        <v>40</v>
      </c>
      <c r="O2215" s="3">
        <v>44363</v>
      </c>
      <c r="P2215">
        <v>-1</v>
      </c>
      <c r="T2215" t="s">
        <v>46</v>
      </c>
      <c r="U2215">
        <v>40</v>
      </c>
      <c r="V2215">
        <v>29.35</v>
      </c>
    </row>
    <row r="2216" spans="1:22" x14ac:dyDescent="0.35">
      <c r="A2216" s="3">
        <v>44362</v>
      </c>
      <c r="B2216" t="s">
        <v>35</v>
      </c>
      <c r="C2216">
        <v>0</v>
      </c>
      <c r="D2216">
        <v>0</v>
      </c>
      <c r="E2216">
        <v>0</v>
      </c>
      <c r="F2216">
        <v>0</v>
      </c>
      <c r="G2216">
        <v>22.408799999999999</v>
      </c>
      <c r="H2216">
        <v>0</v>
      </c>
      <c r="I2216">
        <v>0</v>
      </c>
      <c r="J2216">
        <v>0</v>
      </c>
      <c r="K2216">
        <v>0</v>
      </c>
      <c r="L2216">
        <v>109</v>
      </c>
      <c r="M2216">
        <v>155</v>
      </c>
      <c r="N2216" t="s">
        <v>35</v>
      </c>
      <c r="O2216" s="3">
        <v>44517</v>
      </c>
      <c r="P2216">
        <v>-1</v>
      </c>
      <c r="S2216" s="3">
        <v>44125</v>
      </c>
      <c r="T2216" t="s">
        <v>45</v>
      </c>
      <c r="U2216">
        <v>61</v>
      </c>
      <c r="V2216">
        <v>28.225000000000001</v>
      </c>
    </row>
    <row r="2217" spans="1:22" x14ac:dyDescent="0.35">
      <c r="A2217" s="3">
        <v>44361</v>
      </c>
      <c r="B2217" t="s">
        <v>39</v>
      </c>
      <c r="C2217">
        <v>0</v>
      </c>
      <c r="D2217">
        <v>0</v>
      </c>
      <c r="E2217">
        <v>0</v>
      </c>
      <c r="F2217">
        <v>0</v>
      </c>
      <c r="G2217">
        <v>19.075900000000001</v>
      </c>
      <c r="H2217">
        <v>0</v>
      </c>
      <c r="I2217">
        <v>0</v>
      </c>
      <c r="J2217">
        <v>0</v>
      </c>
      <c r="K2217">
        <v>0</v>
      </c>
      <c r="L2217">
        <v>26</v>
      </c>
      <c r="M2217">
        <v>37</v>
      </c>
      <c r="N2217" t="s">
        <v>39</v>
      </c>
      <c r="O2217" s="3">
        <v>44398</v>
      </c>
      <c r="P2217">
        <v>-1</v>
      </c>
      <c r="T2217" t="s">
        <v>44</v>
      </c>
      <c r="U2217">
        <v>80</v>
      </c>
      <c r="V2217">
        <v>27.875</v>
      </c>
    </row>
    <row r="2218" spans="1:22" x14ac:dyDescent="0.35">
      <c r="A2218" s="3">
        <v>44361</v>
      </c>
      <c r="B2218" t="s">
        <v>38</v>
      </c>
      <c r="C2218">
        <v>0</v>
      </c>
      <c r="D2218">
        <v>0</v>
      </c>
      <c r="E2218">
        <v>0</v>
      </c>
      <c r="F2218">
        <v>0</v>
      </c>
      <c r="G2218">
        <v>20.5</v>
      </c>
      <c r="H2218">
        <v>0</v>
      </c>
      <c r="I2218">
        <v>0</v>
      </c>
      <c r="J2218">
        <v>0</v>
      </c>
      <c r="K2218">
        <v>0</v>
      </c>
      <c r="L2218">
        <v>46</v>
      </c>
      <c r="M2218">
        <v>65</v>
      </c>
      <c r="N2218" t="s">
        <v>38</v>
      </c>
      <c r="O2218" s="3">
        <v>44426</v>
      </c>
      <c r="P2218">
        <v>-1</v>
      </c>
      <c r="T2218" t="s">
        <v>43</v>
      </c>
      <c r="U2218">
        <v>100</v>
      </c>
      <c r="V2218">
        <v>27.524999999999999</v>
      </c>
    </row>
    <row r="2219" spans="1:22" x14ac:dyDescent="0.35">
      <c r="A2219" s="3">
        <v>44361</v>
      </c>
      <c r="B2219" t="s">
        <v>34</v>
      </c>
      <c r="C2219">
        <v>0</v>
      </c>
      <c r="D2219">
        <v>0</v>
      </c>
      <c r="E2219">
        <v>0</v>
      </c>
      <c r="F2219">
        <v>0</v>
      </c>
      <c r="G2219">
        <v>22.35</v>
      </c>
      <c r="H2219">
        <v>0</v>
      </c>
      <c r="I2219">
        <v>0</v>
      </c>
      <c r="J2219">
        <v>0</v>
      </c>
      <c r="K2219">
        <v>0</v>
      </c>
      <c r="L2219">
        <v>134</v>
      </c>
      <c r="M2219">
        <v>191</v>
      </c>
      <c r="N2219" t="s">
        <v>34</v>
      </c>
      <c r="O2219" s="3">
        <v>44552</v>
      </c>
      <c r="P2219">
        <v>-1</v>
      </c>
      <c r="T2219" t="s">
        <v>42</v>
      </c>
      <c r="U2219">
        <v>125</v>
      </c>
      <c r="V2219">
        <v>27.425000000000001</v>
      </c>
    </row>
    <row r="2220" spans="1:22" x14ac:dyDescent="0.35">
      <c r="A2220" s="3">
        <v>44361</v>
      </c>
      <c r="B2220" t="s">
        <v>37</v>
      </c>
      <c r="C2220">
        <v>0</v>
      </c>
      <c r="D2220">
        <v>0</v>
      </c>
      <c r="E2220">
        <v>0</v>
      </c>
      <c r="F2220">
        <v>0</v>
      </c>
      <c r="G2220">
        <v>21.488299999999999</v>
      </c>
      <c r="H2220">
        <v>0</v>
      </c>
      <c r="I2220">
        <v>0</v>
      </c>
      <c r="J2220">
        <v>0</v>
      </c>
      <c r="K2220">
        <v>0</v>
      </c>
      <c r="L2220">
        <v>65</v>
      </c>
      <c r="M2220">
        <v>93</v>
      </c>
      <c r="N2220" t="s">
        <v>37</v>
      </c>
      <c r="O2220" s="3">
        <v>44454</v>
      </c>
      <c r="P2220">
        <v>-1</v>
      </c>
      <c r="T2220" t="s">
        <v>41</v>
      </c>
      <c r="U2220">
        <v>145</v>
      </c>
      <c r="V2220">
        <v>27.125</v>
      </c>
    </row>
    <row r="2221" spans="1:22" x14ac:dyDescent="0.35">
      <c r="A2221" s="3">
        <v>44361</v>
      </c>
      <c r="B2221" t="s">
        <v>40</v>
      </c>
      <c r="C2221">
        <v>0</v>
      </c>
      <c r="D2221">
        <v>0</v>
      </c>
      <c r="E2221">
        <v>0</v>
      </c>
      <c r="F2221">
        <v>0</v>
      </c>
      <c r="G2221">
        <v>16.4514</v>
      </c>
      <c r="H2221">
        <v>0</v>
      </c>
      <c r="I2221">
        <v>0</v>
      </c>
      <c r="J2221">
        <v>0</v>
      </c>
      <c r="K2221">
        <v>0</v>
      </c>
      <c r="L2221">
        <v>2</v>
      </c>
      <c r="M2221">
        <v>2</v>
      </c>
      <c r="N2221" t="s">
        <v>40</v>
      </c>
      <c r="O2221" s="3">
        <v>44363</v>
      </c>
      <c r="P2221">
        <v>-1</v>
      </c>
      <c r="T2221" t="s">
        <v>48</v>
      </c>
      <c r="U2221">
        <v>0</v>
      </c>
      <c r="V2221">
        <v>29.07</v>
      </c>
    </row>
    <row r="2222" spans="1:22" x14ac:dyDescent="0.35">
      <c r="A2222" s="3">
        <v>44361</v>
      </c>
      <c r="B2222" t="s">
        <v>35</v>
      </c>
      <c r="C2222">
        <v>0</v>
      </c>
      <c r="D2222">
        <v>0</v>
      </c>
      <c r="E2222">
        <v>0</v>
      </c>
      <c r="F2222">
        <v>0</v>
      </c>
      <c r="G2222">
        <v>22.250399999999999</v>
      </c>
      <c r="H2222">
        <v>0</v>
      </c>
      <c r="I2222">
        <v>0</v>
      </c>
      <c r="J2222">
        <v>0</v>
      </c>
      <c r="K2222">
        <v>0</v>
      </c>
      <c r="L2222">
        <v>110</v>
      </c>
      <c r="M2222">
        <v>156</v>
      </c>
      <c r="N2222" t="s">
        <v>35</v>
      </c>
      <c r="O2222" s="3">
        <v>44517</v>
      </c>
      <c r="P2222">
        <v>-1</v>
      </c>
      <c r="T2222" t="s">
        <v>47</v>
      </c>
      <c r="U2222">
        <v>20</v>
      </c>
      <c r="V2222">
        <v>29.225000000000001</v>
      </c>
    </row>
    <row r="2223" spans="1:22" x14ac:dyDescent="0.35">
      <c r="A2223" s="3">
        <v>44361</v>
      </c>
      <c r="B2223" t="s">
        <v>32</v>
      </c>
      <c r="C2223">
        <v>0</v>
      </c>
      <c r="D2223">
        <v>0</v>
      </c>
      <c r="E2223">
        <v>0</v>
      </c>
      <c r="F2223">
        <v>0</v>
      </c>
      <c r="G2223">
        <v>23.524999999999999</v>
      </c>
      <c r="H2223">
        <v>0</v>
      </c>
      <c r="I2223">
        <v>0</v>
      </c>
      <c r="J2223">
        <v>0</v>
      </c>
      <c r="K2223">
        <v>0</v>
      </c>
      <c r="L2223">
        <v>172</v>
      </c>
      <c r="M2223">
        <v>247</v>
      </c>
      <c r="N2223" t="s">
        <v>32</v>
      </c>
      <c r="O2223" s="3">
        <v>44608</v>
      </c>
      <c r="P2223">
        <v>-1</v>
      </c>
      <c r="T2223" t="s">
        <v>46</v>
      </c>
      <c r="U2223">
        <v>39</v>
      </c>
      <c r="V2223">
        <v>28.824999999999999</v>
      </c>
    </row>
    <row r="2224" spans="1:22" x14ac:dyDescent="0.35">
      <c r="A2224" s="3">
        <v>44361</v>
      </c>
      <c r="B2224" t="s">
        <v>36</v>
      </c>
      <c r="C2224">
        <v>0</v>
      </c>
      <c r="D2224">
        <v>0</v>
      </c>
      <c r="E2224">
        <v>0</v>
      </c>
      <c r="F2224">
        <v>0</v>
      </c>
      <c r="G2224">
        <v>22.101099999999999</v>
      </c>
      <c r="H2224">
        <v>0</v>
      </c>
      <c r="I2224">
        <v>0</v>
      </c>
      <c r="J2224">
        <v>0</v>
      </c>
      <c r="K2224">
        <v>0</v>
      </c>
      <c r="L2224">
        <v>90</v>
      </c>
      <c r="M2224">
        <v>128</v>
      </c>
      <c r="N2224" t="s">
        <v>36</v>
      </c>
      <c r="O2224" s="3">
        <v>44489</v>
      </c>
      <c r="P2224">
        <v>-1</v>
      </c>
      <c r="S2224" s="3">
        <v>44126</v>
      </c>
      <c r="T2224" t="s">
        <v>45</v>
      </c>
      <c r="U2224">
        <v>60</v>
      </c>
      <c r="V2224">
        <v>27.925000000000001</v>
      </c>
    </row>
    <row r="2225" spans="1:22" x14ac:dyDescent="0.35">
      <c r="A2225" s="3">
        <v>44361</v>
      </c>
      <c r="B2225" t="s">
        <v>33</v>
      </c>
      <c r="C2225">
        <v>0</v>
      </c>
      <c r="D2225">
        <v>0</v>
      </c>
      <c r="E2225">
        <v>0</v>
      </c>
      <c r="F2225">
        <v>0</v>
      </c>
      <c r="G2225">
        <v>23.4</v>
      </c>
      <c r="H2225">
        <v>0</v>
      </c>
      <c r="I2225">
        <v>0</v>
      </c>
      <c r="J2225">
        <v>0</v>
      </c>
      <c r="K2225">
        <v>0</v>
      </c>
      <c r="L2225">
        <v>152</v>
      </c>
      <c r="M2225">
        <v>219</v>
      </c>
      <c r="N2225" t="s">
        <v>33</v>
      </c>
      <c r="O2225" s="3">
        <v>44580</v>
      </c>
      <c r="P2225">
        <v>-1</v>
      </c>
      <c r="T2225" t="s">
        <v>44</v>
      </c>
      <c r="U2225">
        <v>79</v>
      </c>
      <c r="V2225">
        <v>27.625</v>
      </c>
    </row>
    <row r="2226" spans="1:22" x14ac:dyDescent="0.35">
      <c r="A2226" s="3">
        <v>44358</v>
      </c>
      <c r="B2226" t="s">
        <v>32</v>
      </c>
      <c r="C2226">
        <v>0</v>
      </c>
      <c r="D2226">
        <v>0</v>
      </c>
      <c r="E2226">
        <v>0</v>
      </c>
      <c r="F2226">
        <v>0</v>
      </c>
      <c r="G2226">
        <v>23.274999999999999</v>
      </c>
      <c r="H2226">
        <v>0</v>
      </c>
      <c r="I2226">
        <v>0</v>
      </c>
      <c r="J2226">
        <v>0</v>
      </c>
      <c r="K2226">
        <v>0</v>
      </c>
      <c r="L2226">
        <v>173</v>
      </c>
      <c r="M2226">
        <v>250</v>
      </c>
      <c r="N2226" t="s">
        <v>32</v>
      </c>
      <c r="O2226" s="3">
        <v>44608</v>
      </c>
      <c r="P2226">
        <v>-1</v>
      </c>
      <c r="T2226" t="s">
        <v>43</v>
      </c>
      <c r="U2226">
        <v>99</v>
      </c>
      <c r="V2226">
        <v>27.324999999999999</v>
      </c>
    </row>
    <row r="2227" spans="1:22" x14ac:dyDescent="0.35">
      <c r="A2227" s="3">
        <v>44358</v>
      </c>
      <c r="B2227" t="s">
        <v>36</v>
      </c>
      <c r="C2227">
        <v>0</v>
      </c>
      <c r="D2227">
        <v>0</v>
      </c>
      <c r="E2227">
        <v>0</v>
      </c>
      <c r="F2227">
        <v>0</v>
      </c>
      <c r="G2227">
        <v>21.9937</v>
      </c>
      <c r="H2227">
        <v>0</v>
      </c>
      <c r="I2227">
        <v>0</v>
      </c>
      <c r="J2227">
        <v>0</v>
      </c>
      <c r="K2227">
        <v>0</v>
      </c>
      <c r="L2227">
        <v>91</v>
      </c>
      <c r="M2227">
        <v>131</v>
      </c>
      <c r="N2227" t="s">
        <v>36</v>
      </c>
      <c r="O2227" s="3">
        <v>44489</v>
      </c>
      <c r="P2227">
        <v>-1</v>
      </c>
      <c r="T2227" t="s">
        <v>42</v>
      </c>
      <c r="U2227">
        <v>124</v>
      </c>
      <c r="V2227">
        <v>27.225000000000001</v>
      </c>
    </row>
    <row r="2228" spans="1:22" x14ac:dyDescent="0.35">
      <c r="A2228" s="3">
        <v>44358</v>
      </c>
      <c r="B2228" t="s">
        <v>33</v>
      </c>
      <c r="C2228">
        <v>0</v>
      </c>
      <c r="D2228">
        <v>0</v>
      </c>
      <c r="E2228">
        <v>0</v>
      </c>
      <c r="F2228">
        <v>0</v>
      </c>
      <c r="G2228">
        <v>23.1</v>
      </c>
      <c r="H2228">
        <v>0</v>
      </c>
      <c r="I2228">
        <v>0</v>
      </c>
      <c r="J2228">
        <v>0</v>
      </c>
      <c r="K2228">
        <v>0</v>
      </c>
      <c r="L2228">
        <v>153</v>
      </c>
      <c r="M2228">
        <v>222</v>
      </c>
      <c r="N2228" t="s">
        <v>33</v>
      </c>
      <c r="O2228" s="3">
        <v>44580</v>
      </c>
      <c r="P2228">
        <v>-1</v>
      </c>
      <c r="T2228" t="s">
        <v>41</v>
      </c>
      <c r="U2228">
        <v>144</v>
      </c>
      <c r="V2228">
        <v>26.975000000000001</v>
      </c>
    </row>
    <row r="2229" spans="1:22" x14ac:dyDescent="0.35">
      <c r="A2229" s="3">
        <v>44358</v>
      </c>
      <c r="B2229" t="s">
        <v>39</v>
      </c>
      <c r="C2229">
        <v>0</v>
      </c>
      <c r="D2229">
        <v>0</v>
      </c>
      <c r="E2229">
        <v>0</v>
      </c>
      <c r="F2229">
        <v>0</v>
      </c>
      <c r="G2229">
        <v>18.850100000000001</v>
      </c>
      <c r="H2229">
        <v>0</v>
      </c>
      <c r="I2229">
        <v>0</v>
      </c>
      <c r="J2229">
        <v>0</v>
      </c>
      <c r="K2229">
        <v>0</v>
      </c>
      <c r="L2229">
        <v>27</v>
      </c>
      <c r="M2229">
        <v>40</v>
      </c>
      <c r="N2229" t="s">
        <v>39</v>
      </c>
      <c r="O2229" s="3">
        <v>44398</v>
      </c>
      <c r="P2229">
        <v>-1</v>
      </c>
      <c r="T2229" t="s">
        <v>40</v>
      </c>
      <c r="U2229">
        <v>163</v>
      </c>
      <c r="V2229">
        <v>26.574999999999999</v>
      </c>
    </row>
    <row r="2230" spans="1:22" x14ac:dyDescent="0.35">
      <c r="A2230" s="3">
        <v>44358</v>
      </c>
      <c r="B2230" t="s">
        <v>38</v>
      </c>
      <c r="C2230">
        <v>0</v>
      </c>
      <c r="D2230">
        <v>0</v>
      </c>
      <c r="E2230">
        <v>0</v>
      </c>
      <c r="F2230">
        <v>0</v>
      </c>
      <c r="G2230">
        <v>20.338799999999999</v>
      </c>
      <c r="H2230">
        <v>0</v>
      </c>
      <c r="I2230">
        <v>0</v>
      </c>
      <c r="J2230">
        <v>0</v>
      </c>
      <c r="K2230">
        <v>0</v>
      </c>
      <c r="L2230">
        <v>47</v>
      </c>
      <c r="M2230">
        <v>68</v>
      </c>
      <c r="N2230" t="s">
        <v>38</v>
      </c>
      <c r="O2230" s="3">
        <v>44426</v>
      </c>
      <c r="P2230">
        <v>-1</v>
      </c>
      <c r="T2230" t="s">
        <v>47</v>
      </c>
      <c r="U2230">
        <v>19</v>
      </c>
      <c r="V2230">
        <v>28.824999999999999</v>
      </c>
    </row>
    <row r="2231" spans="1:22" x14ac:dyDescent="0.35">
      <c r="A2231" s="3">
        <v>44358</v>
      </c>
      <c r="B2231" t="s">
        <v>34</v>
      </c>
      <c r="C2231">
        <v>0</v>
      </c>
      <c r="D2231">
        <v>0</v>
      </c>
      <c r="E2231">
        <v>0</v>
      </c>
      <c r="F2231">
        <v>0</v>
      </c>
      <c r="G2231">
        <v>22.244399999999999</v>
      </c>
      <c r="H2231">
        <v>0</v>
      </c>
      <c r="I2231">
        <v>0</v>
      </c>
      <c r="J2231">
        <v>0</v>
      </c>
      <c r="K2231">
        <v>0</v>
      </c>
      <c r="L2231">
        <v>135</v>
      </c>
      <c r="M2231">
        <v>194</v>
      </c>
      <c r="N2231" t="s">
        <v>34</v>
      </c>
      <c r="O2231" s="3">
        <v>44552</v>
      </c>
      <c r="P2231">
        <v>-1</v>
      </c>
      <c r="T2231" t="s">
        <v>46</v>
      </c>
      <c r="U2231">
        <v>38</v>
      </c>
      <c r="V2231">
        <v>28.524999999999999</v>
      </c>
    </row>
    <row r="2232" spans="1:22" x14ac:dyDescent="0.35">
      <c r="A2232" s="3">
        <v>44358</v>
      </c>
      <c r="B2232" t="s">
        <v>37</v>
      </c>
      <c r="C2232">
        <v>0</v>
      </c>
      <c r="D2232">
        <v>0</v>
      </c>
      <c r="E2232">
        <v>0</v>
      </c>
      <c r="F2232">
        <v>0</v>
      </c>
      <c r="G2232">
        <v>21.393599999999999</v>
      </c>
      <c r="H2232">
        <v>0</v>
      </c>
      <c r="I2232">
        <v>0</v>
      </c>
      <c r="J2232">
        <v>0</v>
      </c>
      <c r="K2232">
        <v>0</v>
      </c>
      <c r="L2232">
        <v>66</v>
      </c>
      <c r="M2232">
        <v>96</v>
      </c>
      <c r="N2232" t="s">
        <v>37</v>
      </c>
      <c r="O2232" s="3">
        <v>44454</v>
      </c>
      <c r="P2232">
        <v>-1</v>
      </c>
      <c r="S2232" s="3">
        <v>44127</v>
      </c>
      <c r="T2232" t="s">
        <v>45</v>
      </c>
      <c r="U2232">
        <v>59</v>
      </c>
      <c r="V2232">
        <v>27.925000000000001</v>
      </c>
    </row>
    <row r="2233" spans="1:22" x14ac:dyDescent="0.35">
      <c r="A2233" s="3">
        <v>44358</v>
      </c>
      <c r="B2233" t="s">
        <v>40</v>
      </c>
      <c r="C2233">
        <v>0</v>
      </c>
      <c r="D2233">
        <v>0</v>
      </c>
      <c r="E2233">
        <v>0</v>
      </c>
      <c r="F2233">
        <v>0</v>
      </c>
      <c r="G2233">
        <v>16.5505</v>
      </c>
      <c r="H2233">
        <v>0</v>
      </c>
      <c r="I2233">
        <v>0</v>
      </c>
      <c r="J2233">
        <v>0</v>
      </c>
      <c r="K2233">
        <v>0</v>
      </c>
      <c r="L2233">
        <v>3</v>
      </c>
      <c r="M2233">
        <v>5</v>
      </c>
      <c r="N2233" t="s">
        <v>40</v>
      </c>
      <c r="O2233" s="3">
        <v>44363</v>
      </c>
      <c r="P2233">
        <v>-1</v>
      </c>
      <c r="T2233" t="s">
        <v>44</v>
      </c>
      <c r="U2233">
        <v>78</v>
      </c>
      <c r="V2233">
        <v>27.625</v>
      </c>
    </row>
    <row r="2234" spans="1:22" x14ac:dyDescent="0.35">
      <c r="A2234" s="3">
        <v>44358</v>
      </c>
      <c r="B2234" t="s">
        <v>35</v>
      </c>
      <c r="C2234">
        <v>0</v>
      </c>
      <c r="D2234">
        <v>0</v>
      </c>
      <c r="E2234">
        <v>0</v>
      </c>
      <c r="F2234">
        <v>0</v>
      </c>
      <c r="G2234">
        <v>22.166899999999998</v>
      </c>
      <c r="H2234">
        <v>0</v>
      </c>
      <c r="I2234">
        <v>0</v>
      </c>
      <c r="J2234">
        <v>0</v>
      </c>
      <c r="K2234">
        <v>0</v>
      </c>
      <c r="L2234">
        <v>111</v>
      </c>
      <c r="M2234">
        <v>159</v>
      </c>
      <c r="N2234" t="s">
        <v>35</v>
      </c>
      <c r="O2234" s="3">
        <v>44517</v>
      </c>
      <c r="P2234">
        <v>-1</v>
      </c>
      <c r="T2234" t="s">
        <v>43</v>
      </c>
      <c r="U2234">
        <v>98</v>
      </c>
      <c r="V2234">
        <v>27.425000000000001</v>
      </c>
    </row>
    <row r="2235" spans="1:22" x14ac:dyDescent="0.35">
      <c r="A2235" s="3">
        <v>44357</v>
      </c>
      <c r="B2235" t="s">
        <v>39</v>
      </c>
      <c r="C2235">
        <v>0</v>
      </c>
      <c r="D2235">
        <v>0</v>
      </c>
      <c r="E2235">
        <v>0</v>
      </c>
      <c r="F2235">
        <v>0</v>
      </c>
      <c r="G2235">
        <v>19.443000000000001</v>
      </c>
      <c r="H2235">
        <v>0</v>
      </c>
      <c r="I2235">
        <v>0</v>
      </c>
      <c r="J2235">
        <v>0</v>
      </c>
      <c r="K2235">
        <v>0</v>
      </c>
      <c r="L2235">
        <v>28</v>
      </c>
      <c r="M2235">
        <v>41</v>
      </c>
      <c r="N2235" t="s">
        <v>39</v>
      </c>
      <c r="O2235" s="3">
        <v>44398</v>
      </c>
      <c r="P2235">
        <v>-1</v>
      </c>
      <c r="T2235" t="s">
        <v>42</v>
      </c>
      <c r="U2235">
        <v>123</v>
      </c>
      <c r="V2235">
        <v>27.35</v>
      </c>
    </row>
    <row r="2236" spans="1:22" x14ac:dyDescent="0.35">
      <c r="A2236" s="3">
        <v>44357</v>
      </c>
      <c r="B2236" t="s">
        <v>38</v>
      </c>
      <c r="C2236">
        <v>0</v>
      </c>
      <c r="D2236">
        <v>0</v>
      </c>
      <c r="E2236">
        <v>0</v>
      </c>
      <c r="F2236">
        <v>0</v>
      </c>
      <c r="G2236">
        <v>20.720300000000002</v>
      </c>
      <c r="H2236">
        <v>0</v>
      </c>
      <c r="I2236">
        <v>0</v>
      </c>
      <c r="J2236">
        <v>0</v>
      </c>
      <c r="K2236">
        <v>0</v>
      </c>
      <c r="L2236">
        <v>48</v>
      </c>
      <c r="M2236">
        <v>69</v>
      </c>
      <c r="N2236" t="s">
        <v>38</v>
      </c>
      <c r="O2236" s="3">
        <v>44426</v>
      </c>
      <c r="P2236">
        <v>-1</v>
      </c>
      <c r="T2236" t="s">
        <v>41</v>
      </c>
      <c r="U2236">
        <v>143</v>
      </c>
      <c r="V2236">
        <v>27.074999999999999</v>
      </c>
    </row>
    <row r="2237" spans="1:22" x14ac:dyDescent="0.35">
      <c r="A2237" s="3">
        <v>44357</v>
      </c>
      <c r="B2237" t="s">
        <v>34</v>
      </c>
      <c r="C2237">
        <v>0</v>
      </c>
      <c r="D2237">
        <v>0</v>
      </c>
      <c r="E2237">
        <v>0</v>
      </c>
      <c r="F2237">
        <v>0</v>
      </c>
      <c r="G2237">
        <v>22.45</v>
      </c>
      <c r="H2237">
        <v>0</v>
      </c>
      <c r="I2237">
        <v>0</v>
      </c>
      <c r="J2237">
        <v>0</v>
      </c>
      <c r="K2237">
        <v>0</v>
      </c>
      <c r="L2237">
        <v>136</v>
      </c>
      <c r="M2237">
        <v>195</v>
      </c>
      <c r="N2237" t="s">
        <v>34</v>
      </c>
      <c r="O2237" s="3">
        <v>44552</v>
      </c>
      <c r="P2237">
        <v>-1</v>
      </c>
      <c r="T2237" t="s">
        <v>40</v>
      </c>
      <c r="U2237">
        <v>162</v>
      </c>
      <c r="V2237">
        <v>26.625</v>
      </c>
    </row>
    <row r="2238" spans="1:22" x14ac:dyDescent="0.35">
      <c r="A2238" s="3">
        <v>44357</v>
      </c>
      <c r="B2238" t="s">
        <v>37</v>
      </c>
      <c r="C2238">
        <v>0</v>
      </c>
      <c r="D2238">
        <v>0</v>
      </c>
      <c r="E2238">
        <v>0</v>
      </c>
      <c r="F2238">
        <v>0</v>
      </c>
      <c r="G2238">
        <v>21.607800000000001</v>
      </c>
      <c r="H2238">
        <v>0</v>
      </c>
      <c r="I2238">
        <v>0</v>
      </c>
      <c r="J2238">
        <v>0</v>
      </c>
      <c r="K2238">
        <v>0</v>
      </c>
      <c r="L2238">
        <v>67</v>
      </c>
      <c r="M2238">
        <v>97</v>
      </c>
      <c r="N2238" t="s">
        <v>37</v>
      </c>
      <c r="O2238" s="3">
        <v>44454</v>
      </c>
      <c r="P2238">
        <v>-1</v>
      </c>
      <c r="T2238" t="s">
        <v>47</v>
      </c>
      <c r="U2238">
        <v>18</v>
      </c>
      <c r="V2238">
        <v>28.774999999999999</v>
      </c>
    </row>
    <row r="2239" spans="1:22" x14ac:dyDescent="0.35">
      <c r="A2239" s="3">
        <v>44357</v>
      </c>
      <c r="B2239" t="s">
        <v>40</v>
      </c>
      <c r="C2239">
        <v>0</v>
      </c>
      <c r="D2239">
        <v>0</v>
      </c>
      <c r="E2239">
        <v>0</v>
      </c>
      <c r="F2239">
        <v>0</v>
      </c>
      <c r="G2239">
        <v>16.903099999999998</v>
      </c>
      <c r="H2239">
        <v>0</v>
      </c>
      <c r="I2239">
        <v>0</v>
      </c>
      <c r="J2239">
        <v>0</v>
      </c>
      <c r="K2239">
        <v>0</v>
      </c>
      <c r="L2239">
        <v>4</v>
      </c>
      <c r="M2239">
        <v>6</v>
      </c>
      <c r="N2239" t="s">
        <v>40</v>
      </c>
      <c r="O2239" s="3">
        <v>44363</v>
      </c>
      <c r="P2239">
        <v>-1</v>
      </c>
      <c r="T2239" t="s">
        <v>46</v>
      </c>
      <c r="U2239">
        <v>37</v>
      </c>
      <c r="V2239">
        <v>28.625</v>
      </c>
    </row>
    <row r="2240" spans="1:22" x14ac:dyDescent="0.35">
      <c r="A2240" s="3">
        <v>44357</v>
      </c>
      <c r="B2240" t="s">
        <v>35</v>
      </c>
      <c r="C2240">
        <v>0</v>
      </c>
      <c r="D2240">
        <v>0</v>
      </c>
      <c r="E2240">
        <v>0</v>
      </c>
      <c r="F2240">
        <v>0</v>
      </c>
      <c r="G2240">
        <v>22.357900000000001</v>
      </c>
      <c r="H2240">
        <v>0</v>
      </c>
      <c r="I2240">
        <v>0</v>
      </c>
      <c r="J2240">
        <v>0</v>
      </c>
      <c r="K2240">
        <v>0</v>
      </c>
      <c r="L2240">
        <v>112</v>
      </c>
      <c r="M2240">
        <v>160</v>
      </c>
      <c r="N2240" t="s">
        <v>35</v>
      </c>
      <c r="O2240" s="3">
        <v>44517</v>
      </c>
      <c r="P2240">
        <v>-1</v>
      </c>
      <c r="S2240" s="3">
        <v>44130</v>
      </c>
      <c r="T2240" t="s">
        <v>45</v>
      </c>
      <c r="U2240">
        <v>58</v>
      </c>
      <c r="V2240">
        <v>29.274999999999999</v>
      </c>
    </row>
    <row r="2241" spans="1:22" x14ac:dyDescent="0.35">
      <c r="A2241" s="3">
        <v>44357</v>
      </c>
      <c r="B2241" t="s">
        <v>32</v>
      </c>
      <c r="C2241">
        <v>0</v>
      </c>
      <c r="D2241">
        <v>0</v>
      </c>
      <c r="E2241">
        <v>0</v>
      </c>
      <c r="F2241">
        <v>0</v>
      </c>
      <c r="G2241">
        <v>23.6</v>
      </c>
      <c r="H2241">
        <v>0</v>
      </c>
      <c r="I2241">
        <v>0</v>
      </c>
      <c r="J2241">
        <v>0</v>
      </c>
      <c r="K2241">
        <v>0</v>
      </c>
      <c r="L2241">
        <v>174</v>
      </c>
      <c r="M2241">
        <v>251</v>
      </c>
      <c r="N2241" t="s">
        <v>32</v>
      </c>
      <c r="O2241" s="3">
        <v>44608</v>
      </c>
      <c r="P2241">
        <v>-1</v>
      </c>
      <c r="T2241" t="s">
        <v>44</v>
      </c>
      <c r="U2241">
        <v>77</v>
      </c>
      <c r="V2241">
        <v>28.824999999999999</v>
      </c>
    </row>
    <row r="2242" spans="1:22" x14ac:dyDescent="0.35">
      <c r="A2242" s="3">
        <v>44357</v>
      </c>
      <c r="B2242" t="s">
        <v>36</v>
      </c>
      <c r="C2242">
        <v>0</v>
      </c>
      <c r="D2242">
        <v>0</v>
      </c>
      <c r="E2242">
        <v>0</v>
      </c>
      <c r="F2242">
        <v>0</v>
      </c>
      <c r="G2242">
        <v>22.1541</v>
      </c>
      <c r="H2242">
        <v>0</v>
      </c>
      <c r="I2242">
        <v>0</v>
      </c>
      <c r="J2242">
        <v>0</v>
      </c>
      <c r="K2242">
        <v>0</v>
      </c>
      <c r="L2242">
        <v>92</v>
      </c>
      <c r="M2242">
        <v>132</v>
      </c>
      <c r="N2242" t="s">
        <v>36</v>
      </c>
      <c r="O2242" s="3">
        <v>44489</v>
      </c>
      <c r="P2242">
        <v>-1</v>
      </c>
      <c r="T2242" t="s">
        <v>43</v>
      </c>
      <c r="U2242">
        <v>97</v>
      </c>
      <c r="V2242">
        <v>28.524999999999999</v>
      </c>
    </row>
    <row r="2243" spans="1:22" x14ac:dyDescent="0.35">
      <c r="A2243" s="3">
        <v>44357</v>
      </c>
      <c r="B2243" t="s">
        <v>33</v>
      </c>
      <c r="C2243">
        <v>0</v>
      </c>
      <c r="D2243">
        <v>0</v>
      </c>
      <c r="E2243">
        <v>0</v>
      </c>
      <c r="F2243">
        <v>0</v>
      </c>
      <c r="G2243">
        <v>23.25</v>
      </c>
      <c r="H2243">
        <v>0</v>
      </c>
      <c r="I2243">
        <v>0</v>
      </c>
      <c r="J2243">
        <v>0</v>
      </c>
      <c r="K2243">
        <v>0</v>
      </c>
      <c r="L2243">
        <v>154</v>
      </c>
      <c r="M2243">
        <v>223</v>
      </c>
      <c r="N2243" t="s">
        <v>33</v>
      </c>
      <c r="O2243" s="3">
        <v>44580</v>
      </c>
      <c r="P2243">
        <v>-1</v>
      </c>
      <c r="T2243" t="s">
        <v>42</v>
      </c>
      <c r="U2243">
        <v>122</v>
      </c>
      <c r="V2243">
        <v>28.274999999999999</v>
      </c>
    </row>
    <row r="2244" spans="1:22" x14ac:dyDescent="0.35">
      <c r="A2244" s="3">
        <v>44356</v>
      </c>
      <c r="B2244" t="s">
        <v>32</v>
      </c>
      <c r="C2244">
        <v>0</v>
      </c>
      <c r="D2244">
        <v>0</v>
      </c>
      <c r="E2244">
        <v>0</v>
      </c>
      <c r="F2244">
        <v>0</v>
      </c>
      <c r="G2244">
        <v>24.3</v>
      </c>
      <c r="H2244">
        <v>0</v>
      </c>
      <c r="I2244">
        <v>0</v>
      </c>
      <c r="J2244">
        <v>0</v>
      </c>
      <c r="K2244">
        <v>0</v>
      </c>
      <c r="L2244">
        <v>175</v>
      </c>
      <c r="M2244">
        <v>252</v>
      </c>
      <c r="N2244" t="s">
        <v>32</v>
      </c>
      <c r="O2244" s="3">
        <v>44608</v>
      </c>
      <c r="P2244">
        <v>-1</v>
      </c>
      <c r="T2244" t="s">
        <v>41</v>
      </c>
      <c r="U2244">
        <v>142</v>
      </c>
      <c r="V2244">
        <v>27.95</v>
      </c>
    </row>
    <row r="2245" spans="1:22" x14ac:dyDescent="0.35">
      <c r="A2245" s="3">
        <v>44356</v>
      </c>
      <c r="B2245" t="s">
        <v>36</v>
      </c>
      <c r="C2245">
        <v>0</v>
      </c>
      <c r="D2245">
        <v>0</v>
      </c>
      <c r="E2245">
        <v>0</v>
      </c>
      <c r="F2245">
        <v>0</v>
      </c>
      <c r="G2245">
        <v>23.128799999999998</v>
      </c>
      <c r="H2245">
        <v>0</v>
      </c>
      <c r="I2245">
        <v>0</v>
      </c>
      <c r="J2245">
        <v>0</v>
      </c>
      <c r="K2245">
        <v>0</v>
      </c>
      <c r="L2245">
        <v>93</v>
      </c>
      <c r="M2245">
        <v>133</v>
      </c>
      <c r="N2245" t="s">
        <v>36</v>
      </c>
      <c r="O2245" s="3">
        <v>44489</v>
      </c>
      <c r="P2245">
        <v>-1</v>
      </c>
      <c r="T2245" t="s">
        <v>40</v>
      </c>
      <c r="U2245">
        <v>161</v>
      </c>
      <c r="V2245">
        <v>27.4</v>
      </c>
    </row>
    <row r="2246" spans="1:22" x14ac:dyDescent="0.35">
      <c r="A2246" s="3">
        <v>44356</v>
      </c>
      <c r="B2246" t="s">
        <v>33</v>
      </c>
      <c r="C2246">
        <v>0</v>
      </c>
      <c r="D2246">
        <v>0</v>
      </c>
      <c r="E2246">
        <v>0</v>
      </c>
      <c r="F2246">
        <v>0</v>
      </c>
      <c r="G2246">
        <v>24.074999999999999</v>
      </c>
      <c r="H2246">
        <v>0</v>
      </c>
      <c r="I2246">
        <v>0</v>
      </c>
      <c r="J2246">
        <v>0</v>
      </c>
      <c r="K2246">
        <v>0</v>
      </c>
      <c r="L2246">
        <v>155</v>
      </c>
      <c r="M2246">
        <v>224</v>
      </c>
      <c r="N2246" t="s">
        <v>33</v>
      </c>
      <c r="O2246" s="3">
        <v>44580</v>
      </c>
      <c r="P2246">
        <v>-1</v>
      </c>
      <c r="T2246" t="s">
        <v>39</v>
      </c>
      <c r="U2246">
        <v>185</v>
      </c>
      <c r="V2246">
        <v>26.725000000000001</v>
      </c>
    </row>
    <row r="2247" spans="1:22" x14ac:dyDescent="0.35">
      <c r="A2247" s="3">
        <v>44356</v>
      </c>
      <c r="B2247" t="s">
        <v>39</v>
      </c>
      <c r="C2247">
        <v>0</v>
      </c>
      <c r="D2247">
        <v>0</v>
      </c>
      <c r="E2247">
        <v>0</v>
      </c>
      <c r="F2247">
        <v>0</v>
      </c>
      <c r="G2247">
        <v>20.498100000000001</v>
      </c>
      <c r="H2247">
        <v>0</v>
      </c>
      <c r="I2247">
        <v>0</v>
      </c>
      <c r="J2247">
        <v>0</v>
      </c>
      <c r="K2247">
        <v>0</v>
      </c>
      <c r="L2247">
        <v>29</v>
      </c>
      <c r="M2247">
        <v>42</v>
      </c>
      <c r="N2247" t="s">
        <v>39</v>
      </c>
      <c r="O2247" s="3">
        <v>44398</v>
      </c>
      <c r="P2247">
        <v>-1</v>
      </c>
      <c r="T2247" t="s">
        <v>47</v>
      </c>
      <c r="U2247">
        <v>17</v>
      </c>
      <c r="V2247">
        <v>31.324999999999999</v>
      </c>
    </row>
    <row r="2248" spans="1:22" x14ac:dyDescent="0.35">
      <c r="A2248" s="3">
        <v>44356</v>
      </c>
      <c r="B2248" t="s">
        <v>38</v>
      </c>
      <c r="C2248">
        <v>0</v>
      </c>
      <c r="D2248">
        <v>0</v>
      </c>
      <c r="E2248">
        <v>0</v>
      </c>
      <c r="F2248">
        <v>0</v>
      </c>
      <c r="G2248">
        <v>21.748699999999999</v>
      </c>
      <c r="H2248">
        <v>0</v>
      </c>
      <c r="I2248">
        <v>0</v>
      </c>
      <c r="J2248">
        <v>0</v>
      </c>
      <c r="K2248">
        <v>0</v>
      </c>
      <c r="L2248">
        <v>49</v>
      </c>
      <c r="M2248">
        <v>70</v>
      </c>
      <c r="N2248" t="s">
        <v>38</v>
      </c>
      <c r="O2248" s="3">
        <v>44426</v>
      </c>
      <c r="P2248">
        <v>-1</v>
      </c>
      <c r="T2248" t="s">
        <v>46</v>
      </c>
      <c r="U2248">
        <v>36</v>
      </c>
      <c r="V2248">
        <v>30.375</v>
      </c>
    </row>
    <row r="2249" spans="1:22" x14ac:dyDescent="0.35">
      <c r="A2249" s="3">
        <v>44356</v>
      </c>
      <c r="B2249" t="s">
        <v>34</v>
      </c>
      <c r="C2249">
        <v>0</v>
      </c>
      <c r="D2249">
        <v>0</v>
      </c>
      <c r="E2249">
        <v>0</v>
      </c>
      <c r="F2249">
        <v>0</v>
      </c>
      <c r="G2249">
        <v>23.2714</v>
      </c>
      <c r="H2249">
        <v>0</v>
      </c>
      <c r="I2249">
        <v>0</v>
      </c>
      <c r="J2249">
        <v>0</v>
      </c>
      <c r="K2249">
        <v>0</v>
      </c>
      <c r="L2249">
        <v>137</v>
      </c>
      <c r="M2249">
        <v>196</v>
      </c>
      <c r="N2249" t="s">
        <v>34</v>
      </c>
      <c r="O2249" s="3">
        <v>44552</v>
      </c>
      <c r="P2249">
        <v>-1</v>
      </c>
      <c r="S2249" s="3">
        <v>44131</v>
      </c>
      <c r="T2249" t="s">
        <v>45</v>
      </c>
      <c r="U2249">
        <v>57</v>
      </c>
      <c r="V2249">
        <v>29.625</v>
      </c>
    </row>
    <row r="2250" spans="1:22" x14ac:dyDescent="0.35">
      <c r="A2250" s="3">
        <v>44356</v>
      </c>
      <c r="B2250" t="s">
        <v>37</v>
      </c>
      <c r="C2250">
        <v>0</v>
      </c>
      <c r="D2250">
        <v>0</v>
      </c>
      <c r="E2250">
        <v>0</v>
      </c>
      <c r="F2250">
        <v>0</v>
      </c>
      <c r="G2250">
        <v>22.578499999999998</v>
      </c>
      <c r="H2250">
        <v>0</v>
      </c>
      <c r="I2250">
        <v>0</v>
      </c>
      <c r="J2250">
        <v>0</v>
      </c>
      <c r="K2250">
        <v>0</v>
      </c>
      <c r="L2250">
        <v>68</v>
      </c>
      <c r="M2250">
        <v>98</v>
      </c>
      <c r="N2250" t="s">
        <v>37</v>
      </c>
      <c r="O2250" s="3">
        <v>44454</v>
      </c>
      <c r="P2250">
        <v>-1</v>
      </c>
      <c r="T2250" t="s">
        <v>44</v>
      </c>
      <c r="U2250">
        <v>76</v>
      </c>
      <c r="V2250">
        <v>28.9</v>
      </c>
    </row>
    <row r="2251" spans="1:22" x14ac:dyDescent="0.35">
      <c r="A2251" s="3">
        <v>44356</v>
      </c>
      <c r="B2251" t="s">
        <v>40</v>
      </c>
      <c r="C2251">
        <v>0</v>
      </c>
      <c r="D2251">
        <v>0</v>
      </c>
      <c r="E2251">
        <v>0</v>
      </c>
      <c r="F2251">
        <v>0</v>
      </c>
      <c r="G2251">
        <v>18.3797</v>
      </c>
      <c r="H2251">
        <v>0</v>
      </c>
      <c r="I2251">
        <v>0</v>
      </c>
      <c r="J2251">
        <v>0</v>
      </c>
      <c r="K2251">
        <v>0</v>
      </c>
      <c r="L2251">
        <v>5</v>
      </c>
      <c r="M2251">
        <v>7</v>
      </c>
      <c r="N2251" t="s">
        <v>40</v>
      </c>
      <c r="O2251" s="3">
        <v>44363</v>
      </c>
      <c r="P2251">
        <v>-1</v>
      </c>
      <c r="T2251" t="s">
        <v>43</v>
      </c>
      <c r="U2251">
        <v>96</v>
      </c>
      <c r="V2251">
        <v>28.475000000000001</v>
      </c>
    </row>
    <row r="2252" spans="1:22" x14ac:dyDescent="0.35">
      <c r="A2252" s="3">
        <v>44356</v>
      </c>
      <c r="B2252" t="s">
        <v>35</v>
      </c>
      <c r="C2252">
        <v>0</v>
      </c>
      <c r="D2252">
        <v>0</v>
      </c>
      <c r="E2252">
        <v>0</v>
      </c>
      <c r="F2252">
        <v>0</v>
      </c>
      <c r="G2252">
        <v>23.202100000000002</v>
      </c>
      <c r="H2252">
        <v>0</v>
      </c>
      <c r="I2252">
        <v>0</v>
      </c>
      <c r="J2252">
        <v>0</v>
      </c>
      <c r="K2252">
        <v>0</v>
      </c>
      <c r="L2252">
        <v>113</v>
      </c>
      <c r="M2252">
        <v>161</v>
      </c>
      <c r="N2252" t="s">
        <v>35</v>
      </c>
      <c r="O2252" s="3">
        <v>44517</v>
      </c>
      <c r="P2252">
        <v>-1</v>
      </c>
      <c r="T2252" t="s">
        <v>42</v>
      </c>
      <c r="U2252">
        <v>121</v>
      </c>
      <c r="V2252">
        <v>28.274999999999999</v>
      </c>
    </row>
    <row r="2253" spans="1:22" x14ac:dyDescent="0.35">
      <c r="A2253" s="3">
        <v>44355</v>
      </c>
      <c r="B2253" t="s">
        <v>39</v>
      </c>
      <c r="C2253">
        <v>0</v>
      </c>
      <c r="D2253">
        <v>0</v>
      </c>
      <c r="E2253">
        <v>0</v>
      </c>
      <c r="F2253">
        <v>0</v>
      </c>
      <c r="G2253">
        <v>20.2319</v>
      </c>
      <c r="H2253">
        <v>0</v>
      </c>
      <c r="I2253">
        <v>0</v>
      </c>
      <c r="J2253">
        <v>0</v>
      </c>
      <c r="K2253">
        <v>0</v>
      </c>
      <c r="L2253">
        <v>30</v>
      </c>
      <c r="M2253">
        <v>43</v>
      </c>
      <c r="N2253" t="s">
        <v>39</v>
      </c>
      <c r="O2253" s="3">
        <v>44398</v>
      </c>
      <c r="P2253">
        <v>-1</v>
      </c>
      <c r="T2253" t="s">
        <v>41</v>
      </c>
      <c r="U2253">
        <v>141</v>
      </c>
      <c r="V2253">
        <v>27.925000000000001</v>
      </c>
    </row>
    <row r="2254" spans="1:22" x14ac:dyDescent="0.35">
      <c r="A2254" s="3">
        <v>44355</v>
      </c>
      <c r="B2254" t="s">
        <v>38</v>
      </c>
      <c r="C2254">
        <v>0</v>
      </c>
      <c r="D2254">
        <v>0</v>
      </c>
      <c r="E2254">
        <v>0</v>
      </c>
      <c r="F2254">
        <v>0</v>
      </c>
      <c r="G2254">
        <v>21.4</v>
      </c>
      <c r="H2254">
        <v>0</v>
      </c>
      <c r="I2254">
        <v>0</v>
      </c>
      <c r="J2254">
        <v>0</v>
      </c>
      <c r="K2254">
        <v>0</v>
      </c>
      <c r="L2254">
        <v>50</v>
      </c>
      <c r="M2254">
        <v>71</v>
      </c>
      <c r="N2254" t="s">
        <v>38</v>
      </c>
      <c r="O2254" s="3">
        <v>44426</v>
      </c>
      <c r="P2254">
        <v>-1</v>
      </c>
      <c r="T2254" t="s">
        <v>40</v>
      </c>
      <c r="U2254">
        <v>160</v>
      </c>
      <c r="V2254">
        <v>27.225000000000001</v>
      </c>
    </row>
    <row r="2255" spans="1:22" x14ac:dyDescent="0.35">
      <c r="A2255" s="3">
        <v>44355</v>
      </c>
      <c r="B2255" t="s">
        <v>34</v>
      </c>
      <c r="C2255">
        <v>0</v>
      </c>
      <c r="D2255">
        <v>0</v>
      </c>
      <c r="E2255">
        <v>0</v>
      </c>
      <c r="F2255">
        <v>0</v>
      </c>
      <c r="G2255">
        <v>23.053899999999999</v>
      </c>
      <c r="H2255">
        <v>0</v>
      </c>
      <c r="I2255">
        <v>0</v>
      </c>
      <c r="J2255">
        <v>0</v>
      </c>
      <c r="K2255">
        <v>0</v>
      </c>
      <c r="L2255">
        <v>138</v>
      </c>
      <c r="M2255">
        <v>197</v>
      </c>
      <c r="N2255" t="s">
        <v>34</v>
      </c>
      <c r="O2255" s="3">
        <v>44552</v>
      </c>
      <c r="P2255">
        <v>-1</v>
      </c>
      <c r="T2255" t="s">
        <v>47</v>
      </c>
      <c r="U2255">
        <v>16</v>
      </c>
      <c r="V2255">
        <v>31.324999999999999</v>
      </c>
    </row>
    <row r="2256" spans="1:22" x14ac:dyDescent="0.35">
      <c r="A2256" s="3">
        <v>44355</v>
      </c>
      <c r="B2256" t="s">
        <v>37</v>
      </c>
      <c r="C2256">
        <v>0</v>
      </c>
      <c r="D2256">
        <v>0</v>
      </c>
      <c r="E2256">
        <v>0</v>
      </c>
      <c r="F2256">
        <v>0</v>
      </c>
      <c r="G2256">
        <v>22.25</v>
      </c>
      <c r="H2256">
        <v>0</v>
      </c>
      <c r="I2256">
        <v>0</v>
      </c>
      <c r="J2256">
        <v>0</v>
      </c>
      <c r="K2256">
        <v>0</v>
      </c>
      <c r="L2256">
        <v>69</v>
      </c>
      <c r="M2256">
        <v>99</v>
      </c>
      <c r="N2256" t="s">
        <v>37</v>
      </c>
      <c r="O2256" s="3">
        <v>44454</v>
      </c>
      <c r="P2256">
        <v>-1</v>
      </c>
      <c r="T2256" t="s">
        <v>46</v>
      </c>
      <c r="U2256">
        <v>35</v>
      </c>
      <c r="V2256">
        <v>30.925000000000001</v>
      </c>
    </row>
    <row r="2257" spans="1:22" x14ac:dyDescent="0.35">
      <c r="A2257" s="3">
        <v>44355</v>
      </c>
      <c r="B2257" t="s">
        <v>40</v>
      </c>
      <c r="C2257">
        <v>0</v>
      </c>
      <c r="D2257">
        <v>0</v>
      </c>
      <c r="E2257">
        <v>0</v>
      </c>
      <c r="F2257">
        <v>0</v>
      </c>
      <c r="G2257">
        <v>17.901199999999999</v>
      </c>
      <c r="H2257">
        <v>0</v>
      </c>
      <c r="I2257">
        <v>0</v>
      </c>
      <c r="J2257">
        <v>0</v>
      </c>
      <c r="K2257">
        <v>0</v>
      </c>
      <c r="L2257">
        <v>6</v>
      </c>
      <c r="M2257">
        <v>8</v>
      </c>
      <c r="N2257" t="s">
        <v>40</v>
      </c>
      <c r="O2257" s="3">
        <v>44363</v>
      </c>
      <c r="P2257">
        <v>-1</v>
      </c>
      <c r="S2257" s="3">
        <v>44132</v>
      </c>
      <c r="T2257" t="s">
        <v>45</v>
      </c>
      <c r="U2257">
        <v>56</v>
      </c>
      <c r="V2257">
        <v>32.375</v>
      </c>
    </row>
    <row r="2258" spans="1:22" x14ac:dyDescent="0.35">
      <c r="A2258" s="3">
        <v>44355</v>
      </c>
      <c r="B2258" t="s">
        <v>35</v>
      </c>
      <c r="C2258">
        <v>0</v>
      </c>
      <c r="D2258">
        <v>0</v>
      </c>
      <c r="E2258">
        <v>0</v>
      </c>
      <c r="F2258">
        <v>0</v>
      </c>
      <c r="G2258">
        <v>23.003399999999999</v>
      </c>
      <c r="H2258">
        <v>0</v>
      </c>
      <c r="I2258">
        <v>0</v>
      </c>
      <c r="J2258">
        <v>0</v>
      </c>
      <c r="K2258">
        <v>0</v>
      </c>
      <c r="L2258">
        <v>114</v>
      </c>
      <c r="M2258">
        <v>162</v>
      </c>
      <c r="N2258" t="s">
        <v>35</v>
      </c>
      <c r="O2258" s="3">
        <v>44517</v>
      </c>
      <c r="P2258">
        <v>-1</v>
      </c>
      <c r="T2258" t="s">
        <v>44</v>
      </c>
      <c r="U2258">
        <v>75</v>
      </c>
      <c r="V2258">
        <v>30.774999999999999</v>
      </c>
    </row>
    <row r="2259" spans="1:22" x14ac:dyDescent="0.35">
      <c r="A2259" s="3">
        <v>44355</v>
      </c>
      <c r="B2259" t="s">
        <v>32</v>
      </c>
      <c r="C2259">
        <v>0</v>
      </c>
      <c r="D2259">
        <v>0</v>
      </c>
      <c r="E2259">
        <v>0</v>
      </c>
      <c r="F2259">
        <v>0</v>
      </c>
      <c r="G2259">
        <v>24.05</v>
      </c>
      <c r="H2259">
        <v>0</v>
      </c>
      <c r="I2259">
        <v>0</v>
      </c>
      <c r="J2259">
        <v>0</v>
      </c>
      <c r="K2259">
        <v>0</v>
      </c>
      <c r="L2259">
        <v>176</v>
      </c>
      <c r="M2259">
        <v>253</v>
      </c>
      <c r="N2259" t="s">
        <v>32</v>
      </c>
      <c r="O2259" s="3">
        <v>44608</v>
      </c>
      <c r="P2259">
        <v>-1</v>
      </c>
      <c r="T2259" t="s">
        <v>43</v>
      </c>
      <c r="U2259">
        <v>95</v>
      </c>
      <c r="V2259">
        <v>30.125</v>
      </c>
    </row>
    <row r="2260" spans="1:22" x14ac:dyDescent="0.35">
      <c r="A2260" s="3">
        <v>44355</v>
      </c>
      <c r="B2260" t="s">
        <v>36</v>
      </c>
      <c r="C2260">
        <v>0</v>
      </c>
      <c r="D2260">
        <v>0</v>
      </c>
      <c r="E2260">
        <v>0</v>
      </c>
      <c r="F2260">
        <v>0</v>
      </c>
      <c r="G2260">
        <v>22.8491</v>
      </c>
      <c r="H2260">
        <v>0</v>
      </c>
      <c r="I2260">
        <v>0</v>
      </c>
      <c r="J2260">
        <v>0</v>
      </c>
      <c r="K2260">
        <v>0</v>
      </c>
      <c r="L2260">
        <v>94</v>
      </c>
      <c r="M2260">
        <v>134</v>
      </c>
      <c r="N2260" t="s">
        <v>36</v>
      </c>
      <c r="O2260" s="3">
        <v>44489</v>
      </c>
      <c r="P2260">
        <v>-1</v>
      </c>
      <c r="T2260" t="s">
        <v>42</v>
      </c>
      <c r="U2260">
        <v>120</v>
      </c>
      <c r="V2260">
        <v>29.675000000000001</v>
      </c>
    </row>
    <row r="2261" spans="1:22" x14ac:dyDescent="0.35">
      <c r="A2261" s="3">
        <v>44355</v>
      </c>
      <c r="B2261" t="s">
        <v>33</v>
      </c>
      <c r="C2261">
        <v>0</v>
      </c>
      <c r="D2261">
        <v>0</v>
      </c>
      <c r="E2261">
        <v>0</v>
      </c>
      <c r="F2261">
        <v>0</v>
      </c>
      <c r="G2261">
        <v>23.8</v>
      </c>
      <c r="H2261">
        <v>0</v>
      </c>
      <c r="I2261">
        <v>0</v>
      </c>
      <c r="J2261">
        <v>0</v>
      </c>
      <c r="K2261">
        <v>0</v>
      </c>
      <c r="L2261">
        <v>156</v>
      </c>
      <c r="M2261">
        <v>225</v>
      </c>
      <c r="N2261" t="s">
        <v>33</v>
      </c>
      <c r="O2261" s="3">
        <v>44580</v>
      </c>
      <c r="P2261">
        <v>-1</v>
      </c>
      <c r="T2261" t="s">
        <v>41</v>
      </c>
      <c r="U2261">
        <v>140</v>
      </c>
      <c r="V2261">
        <v>29.05</v>
      </c>
    </row>
    <row r="2262" spans="1:22" x14ac:dyDescent="0.35">
      <c r="A2262" s="3">
        <v>44354</v>
      </c>
      <c r="B2262" t="s">
        <v>32</v>
      </c>
      <c r="C2262">
        <v>0</v>
      </c>
      <c r="D2262">
        <v>0</v>
      </c>
      <c r="E2262">
        <v>0</v>
      </c>
      <c r="F2262">
        <v>0</v>
      </c>
      <c r="G2262">
        <v>24.1</v>
      </c>
      <c r="H2262">
        <v>0</v>
      </c>
      <c r="I2262">
        <v>0</v>
      </c>
      <c r="J2262">
        <v>0</v>
      </c>
      <c r="K2262">
        <v>0</v>
      </c>
      <c r="L2262">
        <v>177</v>
      </c>
      <c r="M2262">
        <v>254</v>
      </c>
      <c r="N2262" t="s">
        <v>32</v>
      </c>
      <c r="O2262" s="3">
        <v>44608</v>
      </c>
      <c r="P2262">
        <v>-1</v>
      </c>
      <c r="T2262" t="s">
        <v>40</v>
      </c>
      <c r="U2262">
        <v>159</v>
      </c>
      <c r="V2262">
        <v>28.4</v>
      </c>
    </row>
    <row r="2263" spans="1:22" x14ac:dyDescent="0.35">
      <c r="A2263" s="3">
        <v>44354</v>
      </c>
      <c r="B2263" t="s">
        <v>36</v>
      </c>
      <c r="C2263">
        <v>0</v>
      </c>
      <c r="D2263">
        <v>0</v>
      </c>
      <c r="E2263">
        <v>0</v>
      </c>
      <c r="F2263">
        <v>0</v>
      </c>
      <c r="G2263">
        <v>22.85</v>
      </c>
      <c r="H2263">
        <v>0</v>
      </c>
      <c r="I2263">
        <v>0</v>
      </c>
      <c r="J2263">
        <v>0</v>
      </c>
      <c r="K2263">
        <v>0</v>
      </c>
      <c r="L2263">
        <v>95</v>
      </c>
      <c r="M2263">
        <v>135</v>
      </c>
      <c r="N2263" t="s">
        <v>36</v>
      </c>
      <c r="O2263" s="3">
        <v>44489</v>
      </c>
      <c r="P2263">
        <v>-1</v>
      </c>
      <c r="T2263" t="s">
        <v>39</v>
      </c>
      <c r="U2263">
        <v>183</v>
      </c>
      <c r="V2263">
        <v>27.425000000000001</v>
      </c>
    </row>
    <row r="2264" spans="1:22" x14ac:dyDescent="0.35">
      <c r="A2264" s="3">
        <v>44354</v>
      </c>
      <c r="B2264" t="s">
        <v>33</v>
      </c>
      <c r="C2264">
        <v>0</v>
      </c>
      <c r="D2264">
        <v>0</v>
      </c>
      <c r="E2264">
        <v>0</v>
      </c>
      <c r="F2264">
        <v>0</v>
      </c>
      <c r="G2264">
        <v>23.824999999999999</v>
      </c>
      <c r="H2264">
        <v>0</v>
      </c>
      <c r="I2264">
        <v>0</v>
      </c>
      <c r="J2264">
        <v>0</v>
      </c>
      <c r="K2264">
        <v>0</v>
      </c>
      <c r="L2264">
        <v>157</v>
      </c>
      <c r="M2264">
        <v>226</v>
      </c>
      <c r="N2264" t="s">
        <v>33</v>
      </c>
      <c r="O2264" s="3">
        <v>44580</v>
      </c>
      <c r="P2264">
        <v>-1</v>
      </c>
      <c r="T2264" t="s">
        <v>47</v>
      </c>
      <c r="U2264">
        <v>15</v>
      </c>
      <c r="V2264">
        <v>36</v>
      </c>
    </row>
    <row r="2265" spans="1:22" x14ac:dyDescent="0.35">
      <c r="A2265" s="3">
        <v>44354</v>
      </c>
      <c r="B2265" t="s">
        <v>39</v>
      </c>
      <c r="C2265">
        <v>0</v>
      </c>
      <c r="D2265">
        <v>0</v>
      </c>
      <c r="E2265">
        <v>0</v>
      </c>
      <c r="F2265">
        <v>0</v>
      </c>
      <c r="G2265">
        <v>20.002099999999999</v>
      </c>
      <c r="H2265">
        <v>0</v>
      </c>
      <c r="I2265">
        <v>0</v>
      </c>
      <c r="J2265">
        <v>0</v>
      </c>
      <c r="K2265">
        <v>0</v>
      </c>
      <c r="L2265">
        <v>31</v>
      </c>
      <c r="M2265">
        <v>44</v>
      </c>
      <c r="N2265" t="s">
        <v>39</v>
      </c>
      <c r="O2265" s="3">
        <v>44398</v>
      </c>
      <c r="P2265">
        <v>-1</v>
      </c>
      <c r="T2265" t="s">
        <v>46</v>
      </c>
      <c r="U2265">
        <v>34</v>
      </c>
      <c r="V2265">
        <v>34.725000000000001</v>
      </c>
    </row>
    <row r="2266" spans="1:22" x14ac:dyDescent="0.35">
      <c r="A2266" s="3">
        <v>44354</v>
      </c>
      <c r="B2266" t="s">
        <v>38</v>
      </c>
      <c r="C2266">
        <v>0</v>
      </c>
      <c r="D2266">
        <v>0</v>
      </c>
      <c r="E2266">
        <v>0</v>
      </c>
      <c r="F2266">
        <v>0</v>
      </c>
      <c r="G2266">
        <v>21.305299999999999</v>
      </c>
      <c r="H2266">
        <v>0</v>
      </c>
      <c r="I2266">
        <v>0</v>
      </c>
      <c r="J2266">
        <v>0</v>
      </c>
      <c r="K2266">
        <v>0</v>
      </c>
      <c r="L2266">
        <v>51</v>
      </c>
      <c r="M2266">
        <v>72</v>
      </c>
      <c r="N2266" t="s">
        <v>38</v>
      </c>
      <c r="O2266" s="3">
        <v>44426</v>
      </c>
      <c r="P2266">
        <v>-1</v>
      </c>
      <c r="S2266" s="3">
        <v>44133</v>
      </c>
      <c r="T2266" t="s">
        <v>45</v>
      </c>
      <c r="U2266">
        <v>55</v>
      </c>
      <c r="V2266">
        <v>30.774999999999999</v>
      </c>
    </row>
    <row r="2267" spans="1:22" x14ac:dyDescent="0.35">
      <c r="A2267" s="3">
        <v>44354</v>
      </c>
      <c r="B2267" t="s">
        <v>34</v>
      </c>
      <c r="C2267">
        <v>0</v>
      </c>
      <c r="D2267">
        <v>0</v>
      </c>
      <c r="E2267">
        <v>0</v>
      </c>
      <c r="F2267">
        <v>0</v>
      </c>
      <c r="G2267">
        <v>23.113299999999999</v>
      </c>
      <c r="H2267">
        <v>0</v>
      </c>
      <c r="I2267">
        <v>0</v>
      </c>
      <c r="J2267">
        <v>0</v>
      </c>
      <c r="K2267">
        <v>0</v>
      </c>
      <c r="L2267">
        <v>139</v>
      </c>
      <c r="M2267">
        <v>198</v>
      </c>
      <c r="N2267" t="s">
        <v>34</v>
      </c>
      <c r="O2267" s="3">
        <v>44552</v>
      </c>
      <c r="P2267">
        <v>-1</v>
      </c>
      <c r="T2267" t="s">
        <v>44</v>
      </c>
      <c r="U2267">
        <v>74</v>
      </c>
      <c r="V2267">
        <v>29.524999999999999</v>
      </c>
    </row>
    <row r="2268" spans="1:22" x14ac:dyDescent="0.35">
      <c r="A2268" s="3">
        <v>44354</v>
      </c>
      <c r="B2268" t="s">
        <v>37</v>
      </c>
      <c r="C2268">
        <v>0</v>
      </c>
      <c r="D2268">
        <v>0</v>
      </c>
      <c r="E2268">
        <v>0</v>
      </c>
      <c r="F2268">
        <v>0</v>
      </c>
      <c r="G2268">
        <v>22.250599999999999</v>
      </c>
      <c r="H2268">
        <v>0</v>
      </c>
      <c r="I2268">
        <v>0</v>
      </c>
      <c r="J2268">
        <v>0</v>
      </c>
      <c r="K2268">
        <v>0</v>
      </c>
      <c r="L2268">
        <v>70</v>
      </c>
      <c r="M2268">
        <v>100</v>
      </c>
      <c r="N2268" t="s">
        <v>37</v>
      </c>
      <c r="O2268" s="3">
        <v>44454</v>
      </c>
      <c r="P2268">
        <v>-1</v>
      </c>
      <c r="T2268" t="s">
        <v>43</v>
      </c>
      <c r="U2268">
        <v>94</v>
      </c>
      <c r="V2268">
        <v>28.975000000000001</v>
      </c>
    </row>
    <row r="2269" spans="1:22" x14ac:dyDescent="0.35">
      <c r="A2269" s="3">
        <v>44354</v>
      </c>
      <c r="B2269" t="s">
        <v>40</v>
      </c>
      <c r="C2269">
        <v>0</v>
      </c>
      <c r="D2269">
        <v>0</v>
      </c>
      <c r="E2269">
        <v>0</v>
      </c>
      <c r="F2269">
        <v>0</v>
      </c>
      <c r="G2269">
        <v>17.635899999999999</v>
      </c>
      <c r="H2269">
        <v>0</v>
      </c>
      <c r="I2269">
        <v>0</v>
      </c>
      <c r="J2269">
        <v>0</v>
      </c>
      <c r="K2269">
        <v>0</v>
      </c>
      <c r="L2269">
        <v>7</v>
      </c>
      <c r="M2269">
        <v>9</v>
      </c>
      <c r="N2269" t="s">
        <v>40</v>
      </c>
      <c r="O2269" s="3">
        <v>44363</v>
      </c>
      <c r="P2269">
        <v>-1</v>
      </c>
      <c r="T2269" t="s">
        <v>42</v>
      </c>
      <c r="U2269">
        <v>119</v>
      </c>
      <c r="V2269">
        <v>28.675000000000001</v>
      </c>
    </row>
    <row r="2270" spans="1:22" x14ac:dyDescent="0.35">
      <c r="A2270" s="3">
        <v>44354</v>
      </c>
      <c r="B2270" t="s">
        <v>35</v>
      </c>
      <c r="C2270">
        <v>0</v>
      </c>
      <c r="D2270">
        <v>0</v>
      </c>
      <c r="E2270">
        <v>0</v>
      </c>
      <c r="F2270">
        <v>0</v>
      </c>
      <c r="G2270">
        <v>23.0854</v>
      </c>
      <c r="H2270">
        <v>0</v>
      </c>
      <c r="I2270">
        <v>0</v>
      </c>
      <c r="J2270">
        <v>0</v>
      </c>
      <c r="K2270">
        <v>0</v>
      </c>
      <c r="L2270">
        <v>115</v>
      </c>
      <c r="M2270">
        <v>163</v>
      </c>
      <c r="N2270" t="s">
        <v>35</v>
      </c>
      <c r="O2270" s="3">
        <v>44517</v>
      </c>
      <c r="P2270">
        <v>-1</v>
      </c>
      <c r="T2270" t="s">
        <v>41</v>
      </c>
      <c r="U2270">
        <v>139</v>
      </c>
      <c r="V2270">
        <v>28.2</v>
      </c>
    </row>
    <row r="2271" spans="1:22" x14ac:dyDescent="0.35">
      <c r="A2271" s="3">
        <v>44351</v>
      </c>
      <c r="B2271" t="s">
        <v>39</v>
      </c>
      <c r="C2271">
        <v>0</v>
      </c>
      <c r="D2271">
        <v>0</v>
      </c>
      <c r="E2271">
        <v>0</v>
      </c>
      <c r="F2271">
        <v>0</v>
      </c>
      <c r="G2271">
        <v>20.338899999999999</v>
      </c>
      <c r="H2271">
        <v>0</v>
      </c>
      <c r="I2271">
        <v>0</v>
      </c>
      <c r="J2271">
        <v>0</v>
      </c>
      <c r="K2271">
        <v>0</v>
      </c>
      <c r="L2271">
        <v>32</v>
      </c>
      <c r="M2271">
        <v>47</v>
      </c>
      <c r="N2271" t="s">
        <v>39</v>
      </c>
      <c r="O2271" s="3">
        <v>44398</v>
      </c>
      <c r="P2271">
        <v>-1</v>
      </c>
      <c r="T2271" t="s">
        <v>40</v>
      </c>
      <c r="U2271">
        <v>158</v>
      </c>
      <c r="V2271">
        <v>27.55</v>
      </c>
    </row>
    <row r="2272" spans="1:22" x14ac:dyDescent="0.35">
      <c r="A2272" s="3">
        <v>44351</v>
      </c>
      <c r="B2272" t="s">
        <v>38</v>
      </c>
      <c r="C2272">
        <v>0</v>
      </c>
      <c r="D2272">
        <v>0</v>
      </c>
      <c r="E2272">
        <v>0</v>
      </c>
      <c r="F2272">
        <v>0</v>
      </c>
      <c r="G2272">
        <v>21.532699999999998</v>
      </c>
      <c r="H2272">
        <v>0</v>
      </c>
      <c r="I2272">
        <v>0</v>
      </c>
      <c r="J2272">
        <v>0</v>
      </c>
      <c r="K2272">
        <v>0</v>
      </c>
      <c r="L2272">
        <v>52</v>
      </c>
      <c r="M2272">
        <v>75</v>
      </c>
      <c r="N2272" t="s">
        <v>38</v>
      </c>
      <c r="O2272" s="3">
        <v>44426</v>
      </c>
      <c r="P2272">
        <v>-1</v>
      </c>
      <c r="T2272" t="s">
        <v>39</v>
      </c>
      <c r="U2272">
        <v>182</v>
      </c>
      <c r="V2272">
        <v>27.2</v>
      </c>
    </row>
    <row r="2273" spans="1:22" x14ac:dyDescent="0.35">
      <c r="A2273" s="3">
        <v>44351</v>
      </c>
      <c r="B2273" t="s">
        <v>34</v>
      </c>
      <c r="C2273">
        <v>0</v>
      </c>
      <c r="D2273">
        <v>0</v>
      </c>
      <c r="E2273">
        <v>0</v>
      </c>
      <c r="F2273">
        <v>0</v>
      </c>
      <c r="G2273">
        <v>23.2012</v>
      </c>
      <c r="H2273">
        <v>0</v>
      </c>
      <c r="I2273">
        <v>0</v>
      </c>
      <c r="J2273">
        <v>0</v>
      </c>
      <c r="K2273">
        <v>0</v>
      </c>
      <c r="L2273">
        <v>140</v>
      </c>
      <c r="M2273">
        <v>201</v>
      </c>
      <c r="N2273" t="s">
        <v>34</v>
      </c>
      <c r="O2273" s="3">
        <v>44552</v>
      </c>
      <c r="P2273">
        <v>-1</v>
      </c>
      <c r="T2273" t="s">
        <v>47</v>
      </c>
      <c r="U2273">
        <v>14</v>
      </c>
      <c r="V2273">
        <v>33.125</v>
      </c>
    </row>
    <row r="2274" spans="1:22" x14ac:dyDescent="0.35">
      <c r="A2274" s="3">
        <v>44351</v>
      </c>
      <c r="B2274" t="s">
        <v>37</v>
      </c>
      <c r="C2274">
        <v>0</v>
      </c>
      <c r="D2274">
        <v>0</v>
      </c>
      <c r="E2274">
        <v>0</v>
      </c>
      <c r="F2274">
        <v>0</v>
      </c>
      <c r="G2274">
        <v>22.4</v>
      </c>
      <c r="H2274">
        <v>0</v>
      </c>
      <c r="I2274">
        <v>0</v>
      </c>
      <c r="J2274">
        <v>0</v>
      </c>
      <c r="K2274">
        <v>0</v>
      </c>
      <c r="L2274">
        <v>71</v>
      </c>
      <c r="M2274">
        <v>103</v>
      </c>
      <c r="N2274" t="s">
        <v>37</v>
      </c>
      <c r="O2274" s="3">
        <v>44454</v>
      </c>
      <c r="P2274">
        <v>-1</v>
      </c>
      <c r="T2274" t="s">
        <v>46</v>
      </c>
      <c r="U2274">
        <v>33</v>
      </c>
      <c r="V2274">
        <v>32.575000000000003</v>
      </c>
    </row>
    <row r="2275" spans="1:22" x14ac:dyDescent="0.35">
      <c r="A2275" s="3">
        <v>44351</v>
      </c>
      <c r="B2275" t="s">
        <v>40</v>
      </c>
      <c r="C2275">
        <v>0</v>
      </c>
      <c r="D2275">
        <v>0</v>
      </c>
      <c r="E2275">
        <v>0</v>
      </c>
      <c r="F2275">
        <v>0</v>
      </c>
      <c r="G2275">
        <v>18.124600000000001</v>
      </c>
      <c r="H2275">
        <v>0</v>
      </c>
      <c r="I2275">
        <v>0</v>
      </c>
      <c r="J2275">
        <v>0</v>
      </c>
      <c r="K2275">
        <v>0</v>
      </c>
      <c r="L2275">
        <v>8</v>
      </c>
      <c r="M2275">
        <v>12</v>
      </c>
      <c r="N2275" t="s">
        <v>40</v>
      </c>
      <c r="O2275" s="3">
        <v>44363</v>
      </c>
      <c r="P2275">
        <v>-1</v>
      </c>
      <c r="S2275" s="3">
        <v>44134</v>
      </c>
      <c r="T2275" t="s">
        <v>45</v>
      </c>
      <c r="U2275">
        <v>54</v>
      </c>
      <c r="V2275">
        <v>31.824999999999999</v>
      </c>
    </row>
    <row r="2276" spans="1:22" x14ac:dyDescent="0.35">
      <c r="A2276" s="3">
        <v>44351</v>
      </c>
      <c r="B2276" t="s">
        <v>35</v>
      </c>
      <c r="C2276">
        <v>0</v>
      </c>
      <c r="D2276">
        <v>0</v>
      </c>
      <c r="E2276">
        <v>0</v>
      </c>
      <c r="F2276">
        <v>0</v>
      </c>
      <c r="G2276">
        <v>23.225899999999999</v>
      </c>
      <c r="H2276">
        <v>0</v>
      </c>
      <c r="I2276">
        <v>0</v>
      </c>
      <c r="J2276">
        <v>0</v>
      </c>
      <c r="K2276">
        <v>0</v>
      </c>
      <c r="L2276">
        <v>116</v>
      </c>
      <c r="M2276">
        <v>166</v>
      </c>
      <c r="N2276" t="s">
        <v>35</v>
      </c>
      <c r="O2276" s="3">
        <v>44517</v>
      </c>
      <c r="P2276">
        <v>-1</v>
      </c>
      <c r="T2276" t="s">
        <v>44</v>
      </c>
      <c r="U2276">
        <v>73</v>
      </c>
      <c r="V2276">
        <v>30.175000000000001</v>
      </c>
    </row>
    <row r="2277" spans="1:22" x14ac:dyDescent="0.35">
      <c r="A2277" s="3">
        <v>44351</v>
      </c>
      <c r="B2277" t="s">
        <v>36</v>
      </c>
      <c r="C2277">
        <v>0</v>
      </c>
      <c r="D2277">
        <v>0</v>
      </c>
      <c r="E2277">
        <v>0</v>
      </c>
      <c r="F2277">
        <v>0</v>
      </c>
      <c r="G2277">
        <v>23.029299999999999</v>
      </c>
      <c r="H2277">
        <v>0</v>
      </c>
      <c r="I2277">
        <v>0</v>
      </c>
      <c r="J2277">
        <v>0</v>
      </c>
      <c r="K2277">
        <v>0</v>
      </c>
      <c r="L2277">
        <v>96</v>
      </c>
      <c r="M2277">
        <v>138</v>
      </c>
      <c r="N2277" t="s">
        <v>36</v>
      </c>
      <c r="O2277" s="3">
        <v>44489</v>
      </c>
      <c r="P2277">
        <v>-1</v>
      </c>
      <c r="T2277" t="s">
        <v>43</v>
      </c>
      <c r="U2277">
        <v>93</v>
      </c>
      <c r="V2277">
        <v>29.324999999999999</v>
      </c>
    </row>
    <row r="2278" spans="1:22" x14ac:dyDescent="0.35">
      <c r="A2278" s="3">
        <v>44351</v>
      </c>
      <c r="B2278" t="s">
        <v>33</v>
      </c>
      <c r="C2278">
        <v>0</v>
      </c>
      <c r="D2278">
        <v>0</v>
      </c>
      <c r="E2278">
        <v>0</v>
      </c>
      <c r="F2278">
        <v>0</v>
      </c>
      <c r="G2278">
        <v>23.975000000000001</v>
      </c>
      <c r="H2278">
        <v>0</v>
      </c>
      <c r="I2278">
        <v>0</v>
      </c>
      <c r="J2278">
        <v>0</v>
      </c>
      <c r="K2278">
        <v>0</v>
      </c>
      <c r="L2278">
        <v>158</v>
      </c>
      <c r="M2278">
        <v>229</v>
      </c>
      <c r="N2278" t="s">
        <v>33</v>
      </c>
      <c r="O2278" s="3">
        <v>44580</v>
      </c>
      <c r="P2278">
        <v>-1</v>
      </c>
      <c r="T2278" t="s">
        <v>42</v>
      </c>
      <c r="U2278">
        <v>118</v>
      </c>
      <c r="V2278">
        <v>29.15</v>
      </c>
    </row>
    <row r="2279" spans="1:22" x14ac:dyDescent="0.35">
      <c r="A2279" s="3">
        <v>44351</v>
      </c>
      <c r="B2279" t="s">
        <v>32</v>
      </c>
      <c r="C2279">
        <v>0</v>
      </c>
      <c r="D2279">
        <v>0</v>
      </c>
      <c r="E2279">
        <v>0</v>
      </c>
      <c r="F2279">
        <v>0</v>
      </c>
      <c r="G2279">
        <v>24.175000000000001</v>
      </c>
      <c r="H2279">
        <v>0</v>
      </c>
      <c r="I2279">
        <v>0</v>
      </c>
      <c r="J2279">
        <v>0</v>
      </c>
      <c r="K2279">
        <v>0</v>
      </c>
      <c r="L2279">
        <v>178</v>
      </c>
      <c r="M2279">
        <v>257</v>
      </c>
      <c r="N2279" t="s">
        <v>32</v>
      </c>
      <c r="O2279" s="3">
        <v>44608</v>
      </c>
      <c r="P2279">
        <v>-1</v>
      </c>
      <c r="T2279" t="s">
        <v>41</v>
      </c>
      <c r="U2279">
        <v>138</v>
      </c>
      <c r="V2279">
        <v>28.725000000000001</v>
      </c>
    </row>
    <row r="2280" spans="1:22" x14ac:dyDescent="0.35">
      <c r="A2280" s="3">
        <v>44350</v>
      </c>
      <c r="B2280" t="s">
        <v>36</v>
      </c>
      <c r="C2280">
        <v>0</v>
      </c>
      <c r="D2280">
        <v>0</v>
      </c>
      <c r="E2280">
        <v>0</v>
      </c>
      <c r="F2280">
        <v>0</v>
      </c>
      <c r="G2280">
        <v>23.6694</v>
      </c>
      <c r="H2280">
        <v>0</v>
      </c>
      <c r="I2280">
        <v>0</v>
      </c>
      <c r="J2280">
        <v>0</v>
      </c>
      <c r="K2280">
        <v>0</v>
      </c>
      <c r="L2280">
        <v>97</v>
      </c>
      <c r="M2280">
        <v>139</v>
      </c>
      <c r="N2280" t="s">
        <v>36</v>
      </c>
      <c r="O2280" s="3">
        <v>44489</v>
      </c>
      <c r="P2280">
        <v>-1</v>
      </c>
      <c r="T2280" t="s">
        <v>40</v>
      </c>
      <c r="U2280">
        <v>157</v>
      </c>
      <c r="V2280">
        <v>27.95</v>
      </c>
    </row>
    <row r="2281" spans="1:22" x14ac:dyDescent="0.35">
      <c r="A2281" s="3">
        <v>44350</v>
      </c>
      <c r="B2281" t="s">
        <v>33</v>
      </c>
      <c r="C2281">
        <v>0</v>
      </c>
      <c r="D2281">
        <v>0</v>
      </c>
      <c r="E2281">
        <v>0</v>
      </c>
      <c r="F2281">
        <v>0</v>
      </c>
      <c r="G2281">
        <v>24.45</v>
      </c>
      <c r="H2281">
        <v>0</v>
      </c>
      <c r="I2281">
        <v>0</v>
      </c>
      <c r="J2281">
        <v>0</v>
      </c>
      <c r="K2281">
        <v>0</v>
      </c>
      <c r="L2281">
        <v>159</v>
      </c>
      <c r="M2281">
        <v>230</v>
      </c>
      <c r="N2281" t="s">
        <v>33</v>
      </c>
      <c r="O2281" s="3">
        <v>44580</v>
      </c>
      <c r="P2281">
        <v>-1</v>
      </c>
      <c r="T2281" t="s">
        <v>47</v>
      </c>
      <c r="U2281">
        <v>13</v>
      </c>
      <c r="V2281">
        <v>34.1</v>
      </c>
    </row>
    <row r="2282" spans="1:22" x14ac:dyDescent="0.35">
      <c r="A2282" s="3">
        <v>44350</v>
      </c>
      <c r="B2282" t="s">
        <v>32</v>
      </c>
      <c r="C2282">
        <v>0</v>
      </c>
      <c r="D2282">
        <v>0</v>
      </c>
      <c r="E2282">
        <v>0</v>
      </c>
      <c r="F2282">
        <v>0</v>
      </c>
      <c r="G2282">
        <v>24.55</v>
      </c>
      <c r="H2282">
        <v>0</v>
      </c>
      <c r="I2282">
        <v>0</v>
      </c>
      <c r="J2282">
        <v>0</v>
      </c>
      <c r="K2282">
        <v>0</v>
      </c>
      <c r="L2282">
        <v>179</v>
      </c>
      <c r="M2282">
        <v>258</v>
      </c>
      <c r="N2282" t="s">
        <v>32</v>
      </c>
      <c r="O2282" s="3">
        <v>44608</v>
      </c>
      <c r="P2282">
        <v>-1</v>
      </c>
      <c r="T2282" t="s">
        <v>46</v>
      </c>
      <c r="U2282">
        <v>32</v>
      </c>
      <c r="V2282">
        <v>34.075000000000003</v>
      </c>
    </row>
    <row r="2283" spans="1:22" x14ac:dyDescent="0.35">
      <c r="A2283" s="3">
        <v>44350</v>
      </c>
      <c r="B2283" t="s">
        <v>39</v>
      </c>
      <c r="C2283">
        <v>0</v>
      </c>
      <c r="D2283">
        <v>0</v>
      </c>
      <c r="E2283">
        <v>0</v>
      </c>
      <c r="F2283">
        <v>0</v>
      </c>
      <c r="G2283">
        <v>21.386900000000001</v>
      </c>
      <c r="H2283">
        <v>0</v>
      </c>
      <c r="I2283">
        <v>0</v>
      </c>
      <c r="J2283">
        <v>0</v>
      </c>
      <c r="K2283">
        <v>0</v>
      </c>
      <c r="L2283">
        <v>33</v>
      </c>
      <c r="M2283">
        <v>48</v>
      </c>
      <c r="N2283" t="s">
        <v>39</v>
      </c>
      <c r="O2283" s="3">
        <v>44398</v>
      </c>
      <c r="P2283">
        <v>-1</v>
      </c>
      <c r="S2283" s="3">
        <v>44137</v>
      </c>
      <c r="T2283" t="s">
        <v>45</v>
      </c>
      <c r="U2283">
        <v>53</v>
      </c>
      <c r="V2283">
        <v>30.824999999999999</v>
      </c>
    </row>
    <row r="2284" spans="1:22" x14ac:dyDescent="0.35">
      <c r="A2284" s="3">
        <v>44350</v>
      </c>
      <c r="B2284" t="s">
        <v>38</v>
      </c>
      <c r="C2284">
        <v>0</v>
      </c>
      <c r="D2284">
        <v>0</v>
      </c>
      <c r="E2284">
        <v>0</v>
      </c>
      <c r="F2284">
        <v>0</v>
      </c>
      <c r="G2284">
        <v>22.402100000000001</v>
      </c>
      <c r="H2284">
        <v>0</v>
      </c>
      <c r="I2284">
        <v>0</v>
      </c>
      <c r="J2284">
        <v>0</v>
      </c>
      <c r="K2284">
        <v>0</v>
      </c>
      <c r="L2284">
        <v>53</v>
      </c>
      <c r="M2284">
        <v>76</v>
      </c>
      <c r="N2284" t="s">
        <v>38</v>
      </c>
      <c r="O2284" s="3">
        <v>44426</v>
      </c>
      <c r="P2284">
        <v>-1</v>
      </c>
      <c r="T2284" t="s">
        <v>44</v>
      </c>
      <c r="U2284">
        <v>72</v>
      </c>
      <c r="V2284">
        <v>29.175000000000001</v>
      </c>
    </row>
    <row r="2285" spans="1:22" x14ac:dyDescent="0.35">
      <c r="A2285" s="3">
        <v>44350</v>
      </c>
      <c r="B2285" t="s">
        <v>34</v>
      </c>
      <c r="C2285">
        <v>0</v>
      </c>
      <c r="D2285">
        <v>0</v>
      </c>
      <c r="E2285">
        <v>0</v>
      </c>
      <c r="F2285">
        <v>0</v>
      </c>
      <c r="G2285">
        <v>23.8</v>
      </c>
      <c r="H2285">
        <v>0</v>
      </c>
      <c r="I2285">
        <v>0</v>
      </c>
      <c r="J2285">
        <v>0</v>
      </c>
      <c r="K2285">
        <v>0</v>
      </c>
      <c r="L2285">
        <v>141</v>
      </c>
      <c r="M2285">
        <v>202</v>
      </c>
      <c r="N2285" t="s">
        <v>34</v>
      </c>
      <c r="O2285" s="3">
        <v>44552</v>
      </c>
      <c r="P2285">
        <v>-1</v>
      </c>
      <c r="T2285" t="s">
        <v>43</v>
      </c>
      <c r="U2285">
        <v>92</v>
      </c>
      <c r="V2285">
        <v>28.524999999999999</v>
      </c>
    </row>
    <row r="2286" spans="1:22" x14ac:dyDescent="0.35">
      <c r="A2286" s="3">
        <v>44350</v>
      </c>
      <c r="B2286" t="s">
        <v>37</v>
      </c>
      <c r="C2286">
        <v>0</v>
      </c>
      <c r="D2286">
        <v>0</v>
      </c>
      <c r="E2286">
        <v>0</v>
      </c>
      <c r="F2286">
        <v>0</v>
      </c>
      <c r="G2286">
        <v>23.15</v>
      </c>
      <c r="H2286">
        <v>0</v>
      </c>
      <c r="I2286">
        <v>0</v>
      </c>
      <c r="J2286">
        <v>0</v>
      </c>
      <c r="K2286">
        <v>0</v>
      </c>
      <c r="L2286">
        <v>72</v>
      </c>
      <c r="M2286">
        <v>104</v>
      </c>
      <c r="N2286" t="s">
        <v>37</v>
      </c>
      <c r="O2286" s="3">
        <v>44454</v>
      </c>
      <c r="P2286">
        <v>-1</v>
      </c>
      <c r="T2286" t="s">
        <v>42</v>
      </c>
      <c r="U2286">
        <v>117</v>
      </c>
      <c r="V2286">
        <v>28.475000000000001</v>
      </c>
    </row>
    <row r="2287" spans="1:22" x14ac:dyDescent="0.35">
      <c r="A2287" s="3">
        <v>44350</v>
      </c>
      <c r="B2287" t="s">
        <v>40</v>
      </c>
      <c r="C2287">
        <v>0</v>
      </c>
      <c r="D2287">
        <v>0</v>
      </c>
      <c r="E2287">
        <v>0</v>
      </c>
      <c r="F2287">
        <v>0</v>
      </c>
      <c r="G2287">
        <v>19.2865</v>
      </c>
      <c r="H2287">
        <v>0</v>
      </c>
      <c r="I2287">
        <v>0</v>
      </c>
      <c r="J2287">
        <v>0</v>
      </c>
      <c r="K2287">
        <v>0</v>
      </c>
      <c r="L2287">
        <v>9</v>
      </c>
      <c r="M2287">
        <v>13</v>
      </c>
      <c r="N2287" t="s">
        <v>40</v>
      </c>
      <c r="O2287" s="3">
        <v>44363</v>
      </c>
      <c r="P2287">
        <v>-1</v>
      </c>
      <c r="T2287" t="s">
        <v>41</v>
      </c>
      <c r="U2287">
        <v>137</v>
      </c>
      <c r="V2287">
        <v>28.175000000000001</v>
      </c>
    </row>
    <row r="2288" spans="1:22" x14ac:dyDescent="0.35">
      <c r="A2288" s="3">
        <v>44350</v>
      </c>
      <c r="B2288" t="s">
        <v>35</v>
      </c>
      <c r="C2288">
        <v>0</v>
      </c>
      <c r="D2288">
        <v>0</v>
      </c>
      <c r="E2288">
        <v>0</v>
      </c>
      <c r="F2288">
        <v>0</v>
      </c>
      <c r="G2288">
        <v>23.802600000000002</v>
      </c>
      <c r="H2288">
        <v>0</v>
      </c>
      <c r="I2288">
        <v>0</v>
      </c>
      <c r="J2288">
        <v>0</v>
      </c>
      <c r="K2288">
        <v>0</v>
      </c>
      <c r="L2288">
        <v>117</v>
      </c>
      <c r="M2288">
        <v>167</v>
      </c>
      <c r="N2288" t="s">
        <v>35</v>
      </c>
      <c r="O2288" s="3">
        <v>44517</v>
      </c>
      <c r="P2288">
        <v>-1</v>
      </c>
      <c r="T2288" t="s">
        <v>40</v>
      </c>
      <c r="U2288">
        <v>156</v>
      </c>
      <c r="V2288">
        <v>27.625</v>
      </c>
    </row>
    <row r="2289" spans="1:22" x14ac:dyDescent="0.35">
      <c r="A2289" s="3">
        <v>44349</v>
      </c>
      <c r="B2289" t="s">
        <v>39</v>
      </c>
      <c r="C2289">
        <v>0</v>
      </c>
      <c r="D2289">
        <v>0</v>
      </c>
      <c r="E2289">
        <v>0</v>
      </c>
      <c r="F2289">
        <v>0</v>
      </c>
      <c r="G2289">
        <v>21.0457</v>
      </c>
      <c r="H2289">
        <v>0</v>
      </c>
      <c r="I2289">
        <v>0</v>
      </c>
      <c r="J2289">
        <v>0</v>
      </c>
      <c r="K2289">
        <v>0</v>
      </c>
      <c r="L2289">
        <v>34</v>
      </c>
      <c r="M2289">
        <v>49</v>
      </c>
      <c r="N2289" t="s">
        <v>39</v>
      </c>
      <c r="O2289" s="3">
        <v>44398</v>
      </c>
      <c r="P2289">
        <v>-1</v>
      </c>
      <c r="T2289" t="s">
        <v>47</v>
      </c>
      <c r="U2289">
        <v>12</v>
      </c>
      <c r="V2289">
        <v>33.375</v>
      </c>
    </row>
    <row r="2290" spans="1:22" x14ac:dyDescent="0.35">
      <c r="A2290" s="3">
        <v>44349</v>
      </c>
      <c r="B2290" t="s">
        <v>38</v>
      </c>
      <c r="C2290">
        <v>0</v>
      </c>
      <c r="D2290">
        <v>0</v>
      </c>
      <c r="E2290">
        <v>0</v>
      </c>
      <c r="F2290">
        <v>0</v>
      </c>
      <c r="G2290">
        <v>22.090900000000001</v>
      </c>
      <c r="H2290">
        <v>0</v>
      </c>
      <c r="I2290">
        <v>0</v>
      </c>
      <c r="J2290">
        <v>0</v>
      </c>
      <c r="K2290">
        <v>0</v>
      </c>
      <c r="L2290">
        <v>54</v>
      </c>
      <c r="M2290">
        <v>77</v>
      </c>
      <c r="N2290" t="s">
        <v>38</v>
      </c>
      <c r="O2290" s="3">
        <v>44426</v>
      </c>
      <c r="P2290">
        <v>-1</v>
      </c>
      <c r="T2290" t="s">
        <v>46</v>
      </c>
      <c r="U2290">
        <v>31</v>
      </c>
      <c r="V2290">
        <v>33.174999999999997</v>
      </c>
    </row>
    <row r="2291" spans="1:22" x14ac:dyDescent="0.35">
      <c r="A2291" s="3">
        <v>44349</v>
      </c>
      <c r="B2291" t="s">
        <v>34</v>
      </c>
      <c r="C2291">
        <v>0</v>
      </c>
      <c r="D2291">
        <v>0</v>
      </c>
      <c r="E2291">
        <v>0</v>
      </c>
      <c r="F2291">
        <v>0</v>
      </c>
      <c r="G2291">
        <v>23.5778</v>
      </c>
      <c r="H2291">
        <v>0</v>
      </c>
      <c r="I2291">
        <v>0</v>
      </c>
      <c r="J2291">
        <v>0</v>
      </c>
      <c r="K2291">
        <v>0</v>
      </c>
      <c r="L2291">
        <v>142</v>
      </c>
      <c r="M2291">
        <v>203</v>
      </c>
      <c r="N2291" t="s">
        <v>34</v>
      </c>
      <c r="O2291" s="3">
        <v>44552</v>
      </c>
      <c r="P2291">
        <v>-1</v>
      </c>
      <c r="S2291" s="3">
        <v>44138</v>
      </c>
      <c r="T2291" t="s">
        <v>45</v>
      </c>
      <c r="U2291">
        <v>52</v>
      </c>
      <c r="V2291">
        <v>29.625</v>
      </c>
    </row>
    <row r="2292" spans="1:22" x14ac:dyDescent="0.35">
      <c r="A2292" s="3">
        <v>44349</v>
      </c>
      <c r="B2292" t="s">
        <v>37</v>
      </c>
      <c r="C2292">
        <v>0</v>
      </c>
      <c r="D2292">
        <v>0</v>
      </c>
      <c r="E2292">
        <v>0</v>
      </c>
      <c r="F2292">
        <v>0</v>
      </c>
      <c r="G2292">
        <v>22.916499999999999</v>
      </c>
      <c r="H2292">
        <v>0</v>
      </c>
      <c r="I2292">
        <v>0</v>
      </c>
      <c r="J2292">
        <v>0</v>
      </c>
      <c r="K2292">
        <v>0</v>
      </c>
      <c r="L2292">
        <v>73</v>
      </c>
      <c r="M2292">
        <v>105</v>
      </c>
      <c r="N2292" t="s">
        <v>37</v>
      </c>
      <c r="O2292" s="3">
        <v>44454</v>
      </c>
      <c r="P2292">
        <v>-1</v>
      </c>
      <c r="T2292" t="s">
        <v>44</v>
      </c>
      <c r="U2292">
        <v>71</v>
      </c>
      <c r="V2292">
        <v>28.324999999999999</v>
      </c>
    </row>
    <row r="2293" spans="1:22" x14ac:dyDescent="0.35">
      <c r="A2293" s="3">
        <v>44349</v>
      </c>
      <c r="B2293" t="s">
        <v>40</v>
      </c>
      <c r="C2293">
        <v>0</v>
      </c>
      <c r="D2293">
        <v>0</v>
      </c>
      <c r="E2293">
        <v>0</v>
      </c>
      <c r="F2293">
        <v>0</v>
      </c>
      <c r="G2293">
        <v>18.924800000000001</v>
      </c>
      <c r="H2293">
        <v>0</v>
      </c>
      <c r="I2293">
        <v>0</v>
      </c>
      <c r="J2293">
        <v>0</v>
      </c>
      <c r="K2293">
        <v>0</v>
      </c>
      <c r="L2293">
        <v>10</v>
      </c>
      <c r="M2293">
        <v>14</v>
      </c>
      <c r="N2293" t="s">
        <v>40</v>
      </c>
      <c r="O2293" s="3">
        <v>44363</v>
      </c>
      <c r="P2293">
        <v>-1</v>
      </c>
      <c r="T2293" t="s">
        <v>43</v>
      </c>
      <c r="U2293">
        <v>91</v>
      </c>
      <c r="V2293">
        <v>27.824999999999999</v>
      </c>
    </row>
    <row r="2294" spans="1:22" x14ac:dyDescent="0.35">
      <c r="A2294" s="3">
        <v>44349</v>
      </c>
      <c r="B2294" t="s">
        <v>35</v>
      </c>
      <c r="C2294">
        <v>0</v>
      </c>
      <c r="D2294">
        <v>0</v>
      </c>
      <c r="E2294">
        <v>0</v>
      </c>
      <c r="F2294">
        <v>0</v>
      </c>
      <c r="G2294">
        <v>23.596399999999999</v>
      </c>
      <c r="H2294">
        <v>0</v>
      </c>
      <c r="I2294">
        <v>0</v>
      </c>
      <c r="J2294">
        <v>0</v>
      </c>
      <c r="K2294">
        <v>0</v>
      </c>
      <c r="L2294">
        <v>118</v>
      </c>
      <c r="M2294">
        <v>168</v>
      </c>
      <c r="N2294" t="s">
        <v>35</v>
      </c>
      <c r="O2294" s="3">
        <v>44517</v>
      </c>
      <c r="P2294">
        <v>-1</v>
      </c>
      <c r="T2294" t="s">
        <v>42</v>
      </c>
      <c r="U2294">
        <v>116</v>
      </c>
      <c r="V2294">
        <v>27.875</v>
      </c>
    </row>
    <row r="2295" spans="1:22" x14ac:dyDescent="0.35">
      <c r="A2295" s="3">
        <v>44349</v>
      </c>
      <c r="B2295" t="s">
        <v>36</v>
      </c>
      <c r="C2295">
        <v>0</v>
      </c>
      <c r="D2295">
        <v>0</v>
      </c>
      <c r="E2295">
        <v>0</v>
      </c>
      <c r="F2295">
        <v>0</v>
      </c>
      <c r="G2295">
        <v>23.45</v>
      </c>
      <c r="H2295">
        <v>0</v>
      </c>
      <c r="I2295">
        <v>0</v>
      </c>
      <c r="J2295">
        <v>0</v>
      </c>
      <c r="K2295">
        <v>0</v>
      </c>
      <c r="L2295">
        <v>98</v>
      </c>
      <c r="M2295">
        <v>140</v>
      </c>
      <c r="N2295" t="s">
        <v>36</v>
      </c>
      <c r="O2295" s="3">
        <v>44489</v>
      </c>
      <c r="P2295">
        <v>-1</v>
      </c>
      <c r="T2295" t="s">
        <v>41</v>
      </c>
      <c r="U2295">
        <v>136</v>
      </c>
      <c r="V2295">
        <v>27.55</v>
      </c>
    </row>
    <row r="2296" spans="1:22" x14ac:dyDescent="0.35">
      <c r="A2296" s="3">
        <v>44349</v>
      </c>
      <c r="B2296" t="s">
        <v>33</v>
      </c>
      <c r="C2296">
        <v>0</v>
      </c>
      <c r="D2296">
        <v>0</v>
      </c>
      <c r="E2296">
        <v>0</v>
      </c>
      <c r="F2296">
        <v>0</v>
      </c>
      <c r="G2296">
        <v>24.25</v>
      </c>
      <c r="H2296">
        <v>0</v>
      </c>
      <c r="I2296">
        <v>0</v>
      </c>
      <c r="J2296">
        <v>0</v>
      </c>
      <c r="K2296">
        <v>0</v>
      </c>
      <c r="L2296">
        <v>160</v>
      </c>
      <c r="M2296">
        <v>231</v>
      </c>
      <c r="N2296" t="s">
        <v>33</v>
      </c>
      <c r="O2296" s="3">
        <v>44580</v>
      </c>
      <c r="P2296">
        <v>-1</v>
      </c>
      <c r="T2296" t="s">
        <v>40</v>
      </c>
      <c r="U2296">
        <v>155</v>
      </c>
      <c r="V2296">
        <v>27.074999999999999</v>
      </c>
    </row>
    <row r="2297" spans="1:22" x14ac:dyDescent="0.35">
      <c r="A2297" s="3">
        <v>44349</v>
      </c>
      <c r="B2297" t="s">
        <v>32</v>
      </c>
      <c r="C2297">
        <v>0</v>
      </c>
      <c r="D2297">
        <v>0</v>
      </c>
      <c r="E2297">
        <v>0</v>
      </c>
      <c r="F2297">
        <v>0</v>
      </c>
      <c r="G2297">
        <v>24.45</v>
      </c>
      <c r="H2297">
        <v>0</v>
      </c>
      <c r="I2297">
        <v>0</v>
      </c>
      <c r="J2297">
        <v>0</v>
      </c>
      <c r="K2297">
        <v>0</v>
      </c>
      <c r="L2297">
        <v>180</v>
      </c>
      <c r="M2297">
        <v>259</v>
      </c>
      <c r="N2297" t="s">
        <v>32</v>
      </c>
      <c r="O2297" s="3">
        <v>44608</v>
      </c>
      <c r="P2297">
        <v>-1</v>
      </c>
      <c r="T2297" t="s">
        <v>39</v>
      </c>
      <c r="U2297">
        <v>179</v>
      </c>
      <c r="V2297">
        <v>27.3</v>
      </c>
    </row>
    <row r="2298" spans="1:22" x14ac:dyDescent="0.35">
      <c r="A2298" s="3">
        <v>44348</v>
      </c>
      <c r="B2298" t="s">
        <v>36</v>
      </c>
      <c r="C2298">
        <v>0</v>
      </c>
      <c r="D2298">
        <v>0</v>
      </c>
      <c r="E2298">
        <v>0</v>
      </c>
      <c r="F2298">
        <v>0</v>
      </c>
      <c r="G2298">
        <v>23.3414</v>
      </c>
      <c r="H2298">
        <v>0</v>
      </c>
      <c r="I2298">
        <v>0</v>
      </c>
      <c r="J2298">
        <v>0</v>
      </c>
      <c r="K2298">
        <v>0</v>
      </c>
      <c r="L2298">
        <v>99</v>
      </c>
      <c r="M2298">
        <v>141</v>
      </c>
      <c r="N2298" t="s">
        <v>36</v>
      </c>
      <c r="O2298" s="3">
        <v>44489</v>
      </c>
      <c r="P2298">
        <v>-1</v>
      </c>
      <c r="T2298" t="s">
        <v>47</v>
      </c>
      <c r="U2298">
        <v>11</v>
      </c>
      <c r="V2298">
        <v>31.425000000000001</v>
      </c>
    </row>
    <row r="2299" spans="1:22" x14ac:dyDescent="0.35">
      <c r="A2299" s="3">
        <v>44348</v>
      </c>
      <c r="B2299" t="s">
        <v>33</v>
      </c>
      <c r="C2299">
        <v>0</v>
      </c>
      <c r="D2299">
        <v>0</v>
      </c>
      <c r="E2299">
        <v>0</v>
      </c>
      <c r="F2299">
        <v>0</v>
      </c>
      <c r="G2299">
        <v>24.2</v>
      </c>
      <c r="H2299">
        <v>0</v>
      </c>
      <c r="I2299">
        <v>0</v>
      </c>
      <c r="J2299">
        <v>0</v>
      </c>
      <c r="K2299">
        <v>0</v>
      </c>
      <c r="L2299">
        <v>161</v>
      </c>
      <c r="M2299">
        <v>232</v>
      </c>
      <c r="N2299" t="s">
        <v>33</v>
      </c>
      <c r="O2299" s="3">
        <v>44580</v>
      </c>
      <c r="P2299">
        <v>-1</v>
      </c>
      <c r="T2299" t="s">
        <v>46</v>
      </c>
      <c r="U2299">
        <v>30</v>
      </c>
      <c r="V2299">
        <v>31.574999999999999</v>
      </c>
    </row>
    <row r="2300" spans="1:22" x14ac:dyDescent="0.35">
      <c r="A2300" s="3">
        <v>44348</v>
      </c>
      <c r="B2300" t="s">
        <v>32</v>
      </c>
      <c r="C2300">
        <v>0</v>
      </c>
      <c r="D2300">
        <v>0</v>
      </c>
      <c r="E2300">
        <v>0</v>
      </c>
      <c r="F2300">
        <v>0</v>
      </c>
      <c r="G2300">
        <v>24.1</v>
      </c>
      <c r="H2300">
        <v>0</v>
      </c>
      <c r="I2300">
        <v>0</v>
      </c>
      <c r="J2300">
        <v>0</v>
      </c>
      <c r="K2300">
        <v>0</v>
      </c>
      <c r="L2300">
        <v>181</v>
      </c>
      <c r="M2300">
        <v>260</v>
      </c>
      <c r="N2300" t="s">
        <v>32</v>
      </c>
      <c r="O2300" s="3">
        <v>44608</v>
      </c>
      <c r="P2300">
        <v>-1</v>
      </c>
      <c r="S2300" s="3">
        <v>44139</v>
      </c>
      <c r="T2300" t="s">
        <v>45</v>
      </c>
      <c r="U2300">
        <v>51</v>
      </c>
      <c r="V2300">
        <v>28.425000000000001</v>
      </c>
    </row>
    <row r="2301" spans="1:22" x14ac:dyDescent="0.35">
      <c r="A2301" s="3">
        <v>44348</v>
      </c>
      <c r="B2301" t="s">
        <v>39</v>
      </c>
      <c r="C2301">
        <v>0</v>
      </c>
      <c r="D2301">
        <v>0</v>
      </c>
      <c r="E2301">
        <v>0</v>
      </c>
      <c r="F2301">
        <v>0</v>
      </c>
      <c r="G2301">
        <v>21.370899999999999</v>
      </c>
      <c r="H2301">
        <v>0</v>
      </c>
      <c r="I2301">
        <v>0</v>
      </c>
      <c r="J2301">
        <v>0</v>
      </c>
      <c r="K2301">
        <v>0</v>
      </c>
      <c r="L2301">
        <v>35</v>
      </c>
      <c r="M2301">
        <v>50</v>
      </c>
      <c r="N2301" t="s">
        <v>39</v>
      </c>
      <c r="O2301" s="3">
        <v>44398</v>
      </c>
      <c r="P2301">
        <v>-1</v>
      </c>
      <c r="T2301" t="s">
        <v>44</v>
      </c>
      <c r="U2301">
        <v>70</v>
      </c>
      <c r="V2301">
        <v>27.475000000000001</v>
      </c>
    </row>
    <row r="2302" spans="1:22" x14ac:dyDescent="0.35">
      <c r="A2302" s="3">
        <v>44348</v>
      </c>
      <c r="B2302" t="s">
        <v>38</v>
      </c>
      <c r="C2302">
        <v>0</v>
      </c>
      <c r="D2302">
        <v>0</v>
      </c>
      <c r="E2302">
        <v>0</v>
      </c>
      <c r="F2302">
        <v>0</v>
      </c>
      <c r="G2302">
        <v>22.171700000000001</v>
      </c>
      <c r="H2302">
        <v>0</v>
      </c>
      <c r="I2302">
        <v>0</v>
      </c>
      <c r="J2302">
        <v>0</v>
      </c>
      <c r="K2302">
        <v>0</v>
      </c>
      <c r="L2302">
        <v>55</v>
      </c>
      <c r="M2302">
        <v>78</v>
      </c>
      <c r="N2302" t="s">
        <v>38</v>
      </c>
      <c r="O2302" s="3">
        <v>44426</v>
      </c>
      <c r="P2302">
        <v>-1</v>
      </c>
      <c r="T2302" t="s">
        <v>43</v>
      </c>
      <c r="U2302">
        <v>90</v>
      </c>
      <c r="V2302">
        <v>27.175000000000001</v>
      </c>
    </row>
    <row r="2303" spans="1:22" x14ac:dyDescent="0.35">
      <c r="A2303" s="3">
        <v>44348</v>
      </c>
      <c r="B2303" t="s">
        <v>34</v>
      </c>
      <c r="C2303">
        <v>0</v>
      </c>
      <c r="D2303">
        <v>0</v>
      </c>
      <c r="E2303">
        <v>0</v>
      </c>
      <c r="F2303">
        <v>0</v>
      </c>
      <c r="G2303">
        <v>23.447500000000002</v>
      </c>
      <c r="H2303">
        <v>0</v>
      </c>
      <c r="I2303">
        <v>0</v>
      </c>
      <c r="J2303">
        <v>0</v>
      </c>
      <c r="K2303">
        <v>0</v>
      </c>
      <c r="L2303">
        <v>143</v>
      </c>
      <c r="M2303">
        <v>204</v>
      </c>
      <c r="N2303" t="s">
        <v>34</v>
      </c>
      <c r="O2303" s="3">
        <v>44552</v>
      </c>
      <c r="P2303">
        <v>-1</v>
      </c>
      <c r="T2303" t="s">
        <v>42</v>
      </c>
      <c r="U2303">
        <v>115</v>
      </c>
      <c r="V2303">
        <v>27.425000000000001</v>
      </c>
    </row>
    <row r="2304" spans="1:22" x14ac:dyDescent="0.35">
      <c r="A2304" s="3">
        <v>44348</v>
      </c>
      <c r="B2304" t="s">
        <v>37</v>
      </c>
      <c r="C2304">
        <v>0</v>
      </c>
      <c r="D2304">
        <v>0</v>
      </c>
      <c r="E2304">
        <v>0</v>
      </c>
      <c r="F2304">
        <v>0</v>
      </c>
      <c r="G2304">
        <v>22.855599999999999</v>
      </c>
      <c r="H2304">
        <v>0</v>
      </c>
      <c r="I2304">
        <v>0</v>
      </c>
      <c r="J2304">
        <v>0</v>
      </c>
      <c r="K2304">
        <v>0</v>
      </c>
      <c r="L2304">
        <v>74</v>
      </c>
      <c r="M2304">
        <v>106</v>
      </c>
      <c r="N2304" t="s">
        <v>37</v>
      </c>
      <c r="O2304" s="3">
        <v>44454</v>
      </c>
      <c r="P2304">
        <v>-1</v>
      </c>
      <c r="T2304" t="s">
        <v>41</v>
      </c>
      <c r="U2304">
        <v>135</v>
      </c>
      <c r="V2304">
        <v>27.05</v>
      </c>
    </row>
    <row r="2305" spans="1:22" x14ac:dyDescent="0.35">
      <c r="A2305" s="3">
        <v>44348</v>
      </c>
      <c r="B2305" t="s">
        <v>40</v>
      </c>
      <c r="C2305">
        <v>0</v>
      </c>
      <c r="D2305">
        <v>0</v>
      </c>
      <c r="E2305">
        <v>0</v>
      </c>
      <c r="F2305">
        <v>0</v>
      </c>
      <c r="G2305">
        <v>19.555099999999999</v>
      </c>
      <c r="H2305">
        <v>0</v>
      </c>
      <c r="I2305">
        <v>0</v>
      </c>
      <c r="J2305">
        <v>0</v>
      </c>
      <c r="K2305">
        <v>0</v>
      </c>
      <c r="L2305">
        <v>11</v>
      </c>
      <c r="M2305">
        <v>15</v>
      </c>
      <c r="N2305" t="s">
        <v>40</v>
      </c>
      <c r="O2305" s="3">
        <v>44363</v>
      </c>
      <c r="P2305">
        <v>-1</v>
      </c>
      <c r="T2305" t="s">
        <v>40</v>
      </c>
      <c r="U2305">
        <v>154</v>
      </c>
      <c r="V2305">
        <v>26.625</v>
      </c>
    </row>
    <row r="2306" spans="1:22" x14ac:dyDescent="0.35">
      <c r="A2306" s="3">
        <v>44348</v>
      </c>
      <c r="B2306" t="s">
        <v>35</v>
      </c>
      <c r="C2306">
        <v>0</v>
      </c>
      <c r="D2306">
        <v>0</v>
      </c>
      <c r="E2306">
        <v>0</v>
      </c>
      <c r="F2306">
        <v>0</v>
      </c>
      <c r="G2306">
        <v>23.45</v>
      </c>
      <c r="H2306">
        <v>0</v>
      </c>
      <c r="I2306">
        <v>0</v>
      </c>
      <c r="J2306">
        <v>0</v>
      </c>
      <c r="K2306">
        <v>0</v>
      </c>
      <c r="L2306">
        <v>119</v>
      </c>
      <c r="M2306">
        <v>169</v>
      </c>
      <c r="N2306" t="s">
        <v>35</v>
      </c>
      <c r="O2306" s="3">
        <v>44517</v>
      </c>
      <c r="P2306">
        <v>-1</v>
      </c>
      <c r="T2306" t="s">
        <v>39</v>
      </c>
      <c r="U2306">
        <v>178</v>
      </c>
      <c r="V2306">
        <v>26.625</v>
      </c>
    </row>
    <row r="2307" spans="1:22" x14ac:dyDescent="0.35">
      <c r="A2307" s="3">
        <v>44344</v>
      </c>
      <c r="B2307" t="s">
        <v>39</v>
      </c>
      <c r="C2307">
        <v>0</v>
      </c>
      <c r="D2307">
        <v>0</v>
      </c>
      <c r="E2307">
        <v>0</v>
      </c>
      <c r="F2307">
        <v>0</v>
      </c>
      <c r="G2307">
        <v>20.850899999999999</v>
      </c>
      <c r="H2307">
        <v>0</v>
      </c>
      <c r="I2307">
        <v>0</v>
      </c>
      <c r="J2307">
        <v>0</v>
      </c>
      <c r="K2307">
        <v>0</v>
      </c>
      <c r="L2307">
        <v>36</v>
      </c>
      <c r="M2307">
        <v>54</v>
      </c>
      <c r="N2307" t="s">
        <v>39</v>
      </c>
      <c r="O2307" s="3">
        <v>44398</v>
      </c>
      <c r="P2307">
        <v>-1</v>
      </c>
      <c r="T2307" t="s">
        <v>47</v>
      </c>
      <c r="U2307">
        <v>10</v>
      </c>
      <c r="V2307">
        <v>28.375</v>
      </c>
    </row>
    <row r="2308" spans="1:22" x14ac:dyDescent="0.35">
      <c r="A2308" s="3">
        <v>44344</v>
      </c>
      <c r="B2308" t="s">
        <v>38</v>
      </c>
      <c r="C2308">
        <v>0</v>
      </c>
      <c r="D2308">
        <v>0</v>
      </c>
      <c r="E2308">
        <v>0</v>
      </c>
      <c r="F2308">
        <v>0</v>
      </c>
      <c r="G2308">
        <v>21.825099999999999</v>
      </c>
      <c r="H2308">
        <v>0</v>
      </c>
      <c r="I2308">
        <v>0</v>
      </c>
      <c r="J2308">
        <v>0</v>
      </c>
      <c r="K2308">
        <v>0</v>
      </c>
      <c r="L2308">
        <v>56</v>
      </c>
      <c r="M2308">
        <v>82</v>
      </c>
      <c r="N2308" t="s">
        <v>38</v>
      </c>
      <c r="O2308" s="3">
        <v>44426</v>
      </c>
      <c r="P2308">
        <v>-1</v>
      </c>
      <c r="T2308" t="s">
        <v>46</v>
      </c>
      <c r="U2308">
        <v>29</v>
      </c>
      <c r="V2308">
        <v>29.175000000000001</v>
      </c>
    </row>
    <row r="2309" spans="1:22" x14ac:dyDescent="0.35">
      <c r="A2309" s="3">
        <v>44344</v>
      </c>
      <c r="B2309" t="s">
        <v>34</v>
      </c>
      <c r="C2309">
        <v>0</v>
      </c>
      <c r="D2309">
        <v>0</v>
      </c>
      <c r="E2309">
        <v>0</v>
      </c>
      <c r="F2309">
        <v>0</v>
      </c>
      <c r="G2309">
        <v>23.305299999999999</v>
      </c>
      <c r="H2309">
        <v>0</v>
      </c>
      <c r="I2309">
        <v>0</v>
      </c>
      <c r="J2309">
        <v>0</v>
      </c>
      <c r="K2309">
        <v>0</v>
      </c>
      <c r="L2309">
        <v>144</v>
      </c>
      <c r="M2309">
        <v>208</v>
      </c>
      <c r="N2309" t="s">
        <v>34</v>
      </c>
      <c r="O2309" s="3">
        <v>44552</v>
      </c>
      <c r="P2309">
        <v>-1</v>
      </c>
      <c r="S2309" s="3">
        <v>44140</v>
      </c>
      <c r="T2309" t="s">
        <v>45</v>
      </c>
      <c r="U2309">
        <v>50</v>
      </c>
      <c r="V2309">
        <v>28.524999999999999</v>
      </c>
    </row>
    <row r="2310" spans="1:22" x14ac:dyDescent="0.35">
      <c r="A2310" s="3">
        <v>44344</v>
      </c>
      <c r="B2310" t="s">
        <v>37</v>
      </c>
      <c r="C2310">
        <v>0</v>
      </c>
      <c r="D2310">
        <v>0</v>
      </c>
      <c r="E2310">
        <v>0</v>
      </c>
      <c r="F2310">
        <v>0</v>
      </c>
      <c r="G2310">
        <v>22.662600000000001</v>
      </c>
      <c r="H2310">
        <v>0</v>
      </c>
      <c r="I2310">
        <v>0</v>
      </c>
      <c r="J2310">
        <v>0</v>
      </c>
      <c r="K2310">
        <v>0</v>
      </c>
      <c r="L2310">
        <v>75</v>
      </c>
      <c r="M2310">
        <v>110</v>
      </c>
      <c r="N2310" t="s">
        <v>37</v>
      </c>
      <c r="O2310" s="3">
        <v>44454</v>
      </c>
      <c r="P2310">
        <v>-1</v>
      </c>
      <c r="T2310" t="s">
        <v>44</v>
      </c>
      <c r="U2310">
        <v>69</v>
      </c>
      <c r="V2310">
        <v>27.675000000000001</v>
      </c>
    </row>
    <row r="2311" spans="1:22" x14ac:dyDescent="0.35">
      <c r="A2311" s="3">
        <v>44344</v>
      </c>
      <c r="B2311" t="s">
        <v>40</v>
      </c>
      <c r="C2311">
        <v>0</v>
      </c>
      <c r="D2311">
        <v>0</v>
      </c>
      <c r="E2311">
        <v>0</v>
      </c>
      <c r="F2311">
        <v>0</v>
      </c>
      <c r="G2311">
        <v>19.1343</v>
      </c>
      <c r="H2311">
        <v>0</v>
      </c>
      <c r="I2311">
        <v>0</v>
      </c>
      <c r="J2311">
        <v>0</v>
      </c>
      <c r="K2311">
        <v>0</v>
      </c>
      <c r="L2311">
        <v>12</v>
      </c>
      <c r="M2311">
        <v>19</v>
      </c>
      <c r="N2311" t="s">
        <v>40</v>
      </c>
      <c r="O2311" s="3">
        <v>44363</v>
      </c>
      <c r="P2311">
        <v>-1</v>
      </c>
      <c r="T2311" t="s">
        <v>43</v>
      </c>
      <c r="U2311">
        <v>89</v>
      </c>
      <c r="V2311">
        <v>27.274999999999999</v>
      </c>
    </row>
    <row r="2312" spans="1:22" x14ac:dyDescent="0.35">
      <c r="A2312" s="3">
        <v>44344</v>
      </c>
      <c r="B2312" t="s">
        <v>35</v>
      </c>
      <c r="C2312">
        <v>0</v>
      </c>
      <c r="D2312">
        <v>0</v>
      </c>
      <c r="E2312">
        <v>0</v>
      </c>
      <c r="F2312">
        <v>0</v>
      </c>
      <c r="G2312">
        <v>23.4</v>
      </c>
      <c r="H2312">
        <v>0</v>
      </c>
      <c r="I2312">
        <v>0</v>
      </c>
      <c r="J2312">
        <v>0</v>
      </c>
      <c r="K2312">
        <v>0</v>
      </c>
      <c r="L2312">
        <v>120</v>
      </c>
      <c r="M2312">
        <v>173</v>
      </c>
      <c r="N2312" t="s">
        <v>35</v>
      </c>
      <c r="O2312" s="3">
        <v>44517</v>
      </c>
      <c r="P2312">
        <v>-1</v>
      </c>
      <c r="T2312" t="s">
        <v>42</v>
      </c>
      <c r="U2312">
        <v>114</v>
      </c>
      <c r="V2312">
        <v>27.425000000000001</v>
      </c>
    </row>
    <row r="2313" spans="1:22" x14ac:dyDescent="0.35">
      <c r="A2313" s="3">
        <v>44344</v>
      </c>
      <c r="B2313" t="s">
        <v>36</v>
      </c>
      <c r="C2313">
        <v>0</v>
      </c>
      <c r="D2313">
        <v>0</v>
      </c>
      <c r="E2313">
        <v>0</v>
      </c>
      <c r="F2313">
        <v>0</v>
      </c>
      <c r="G2313">
        <v>23.266100000000002</v>
      </c>
      <c r="H2313">
        <v>0</v>
      </c>
      <c r="I2313">
        <v>0</v>
      </c>
      <c r="J2313">
        <v>0</v>
      </c>
      <c r="K2313">
        <v>0</v>
      </c>
      <c r="L2313">
        <v>100</v>
      </c>
      <c r="M2313">
        <v>145</v>
      </c>
      <c r="N2313" t="s">
        <v>36</v>
      </c>
      <c r="O2313" s="3">
        <v>44489</v>
      </c>
      <c r="P2313">
        <v>-1</v>
      </c>
      <c r="T2313" t="s">
        <v>41</v>
      </c>
      <c r="U2313">
        <v>134</v>
      </c>
      <c r="V2313">
        <v>26.975000000000001</v>
      </c>
    </row>
    <row r="2314" spans="1:22" x14ac:dyDescent="0.35">
      <c r="A2314" s="3">
        <v>44344</v>
      </c>
      <c r="B2314" t="s">
        <v>33</v>
      </c>
      <c r="C2314">
        <v>0</v>
      </c>
      <c r="D2314">
        <v>0</v>
      </c>
      <c r="E2314">
        <v>0</v>
      </c>
      <c r="F2314">
        <v>0</v>
      </c>
      <c r="G2314">
        <v>24</v>
      </c>
      <c r="H2314">
        <v>0</v>
      </c>
      <c r="I2314">
        <v>0</v>
      </c>
      <c r="J2314">
        <v>0</v>
      </c>
      <c r="K2314">
        <v>0</v>
      </c>
      <c r="L2314">
        <v>162</v>
      </c>
      <c r="M2314">
        <v>236</v>
      </c>
      <c r="N2314" t="s">
        <v>33</v>
      </c>
      <c r="O2314" s="3">
        <v>44580</v>
      </c>
      <c r="P2314">
        <v>-1</v>
      </c>
      <c r="T2314" t="s">
        <v>40</v>
      </c>
      <c r="U2314">
        <v>153</v>
      </c>
      <c r="V2314">
        <v>26.725000000000001</v>
      </c>
    </row>
    <row r="2315" spans="1:22" x14ac:dyDescent="0.35">
      <c r="A2315" s="3">
        <v>44344</v>
      </c>
      <c r="B2315" t="s">
        <v>32</v>
      </c>
      <c r="C2315">
        <v>0</v>
      </c>
      <c r="D2315">
        <v>0</v>
      </c>
      <c r="E2315">
        <v>0</v>
      </c>
      <c r="F2315">
        <v>0</v>
      </c>
      <c r="G2315">
        <v>23.824999999999999</v>
      </c>
      <c r="H2315">
        <v>0</v>
      </c>
      <c r="I2315">
        <v>0</v>
      </c>
      <c r="J2315">
        <v>0</v>
      </c>
      <c r="K2315">
        <v>0</v>
      </c>
      <c r="L2315">
        <v>182</v>
      </c>
      <c r="M2315">
        <v>264</v>
      </c>
      <c r="N2315" t="s">
        <v>32</v>
      </c>
      <c r="O2315" s="3">
        <v>44608</v>
      </c>
      <c r="P2315">
        <v>-1</v>
      </c>
      <c r="T2315" t="s">
        <v>39</v>
      </c>
      <c r="U2315">
        <v>177</v>
      </c>
      <c r="V2315">
        <v>26.725000000000001</v>
      </c>
    </row>
    <row r="2316" spans="1:22" x14ac:dyDescent="0.35">
      <c r="A2316" s="3">
        <v>44343</v>
      </c>
      <c r="B2316" t="s">
        <v>36</v>
      </c>
      <c r="C2316">
        <v>0</v>
      </c>
      <c r="D2316">
        <v>0</v>
      </c>
      <c r="E2316">
        <v>0</v>
      </c>
      <c r="F2316">
        <v>0</v>
      </c>
      <c r="G2316">
        <v>23.0852</v>
      </c>
      <c r="H2316">
        <v>0</v>
      </c>
      <c r="I2316">
        <v>0</v>
      </c>
      <c r="J2316">
        <v>0</v>
      </c>
      <c r="K2316">
        <v>0</v>
      </c>
      <c r="L2316">
        <v>101</v>
      </c>
      <c r="M2316">
        <v>146</v>
      </c>
      <c r="N2316" t="s">
        <v>36</v>
      </c>
      <c r="O2316" s="3">
        <v>44489</v>
      </c>
      <c r="P2316">
        <v>-1</v>
      </c>
      <c r="T2316" t="s">
        <v>47</v>
      </c>
      <c r="U2316">
        <v>9</v>
      </c>
      <c r="V2316">
        <v>27.774999999999999</v>
      </c>
    </row>
    <row r="2317" spans="1:22" x14ac:dyDescent="0.35">
      <c r="A2317" s="3">
        <v>44343</v>
      </c>
      <c r="B2317" t="s">
        <v>33</v>
      </c>
      <c r="C2317">
        <v>0</v>
      </c>
      <c r="D2317">
        <v>0</v>
      </c>
      <c r="E2317">
        <v>0</v>
      </c>
      <c r="F2317">
        <v>0</v>
      </c>
      <c r="G2317">
        <v>23.9</v>
      </c>
      <c r="H2317">
        <v>0</v>
      </c>
      <c r="I2317">
        <v>0</v>
      </c>
      <c r="J2317">
        <v>0</v>
      </c>
      <c r="K2317">
        <v>0</v>
      </c>
      <c r="L2317">
        <v>163</v>
      </c>
      <c r="M2317">
        <v>237</v>
      </c>
      <c r="N2317" t="s">
        <v>33</v>
      </c>
      <c r="O2317" s="3">
        <v>44580</v>
      </c>
      <c r="P2317">
        <v>-1</v>
      </c>
      <c r="T2317" t="s">
        <v>46</v>
      </c>
      <c r="U2317">
        <v>28</v>
      </c>
      <c r="V2317">
        <v>28.774999999999999</v>
      </c>
    </row>
    <row r="2318" spans="1:22" x14ac:dyDescent="0.35">
      <c r="A2318" s="3">
        <v>44343</v>
      </c>
      <c r="B2318" t="s">
        <v>32</v>
      </c>
      <c r="C2318">
        <v>0</v>
      </c>
      <c r="D2318">
        <v>0</v>
      </c>
      <c r="E2318">
        <v>0</v>
      </c>
      <c r="F2318">
        <v>0</v>
      </c>
      <c r="G2318">
        <v>23.9</v>
      </c>
      <c r="H2318">
        <v>0</v>
      </c>
      <c r="I2318">
        <v>0</v>
      </c>
      <c r="J2318">
        <v>0</v>
      </c>
      <c r="K2318">
        <v>0</v>
      </c>
      <c r="L2318">
        <v>183</v>
      </c>
      <c r="M2318">
        <v>265</v>
      </c>
      <c r="N2318" t="s">
        <v>32</v>
      </c>
      <c r="O2318" s="3">
        <v>44608</v>
      </c>
      <c r="P2318">
        <v>-1</v>
      </c>
      <c r="S2318" s="3">
        <v>44141</v>
      </c>
      <c r="T2318" t="s">
        <v>45</v>
      </c>
      <c r="U2318">
        <v>49</v>
      </c>
      <c r="V2318">
        <v>27.7</v>
      </c>
    </row>
    <row r="2319" spans="1:22" x14ac:dyDescent="0.35">
      <c r="A2319" s="3">
        <v>44343</v>
      </c>
      <c r="B2319" t="s">
        <v>39</v>
      </c>
      <c r="C2319">
        <v>0</v>
      </c>
      <c r="D2319">
        <v>0</v>
      </c>
      <c r="E2319">
        <v>0</v>
      </c>
      <c r="F2319">
        <v>0</v>
      </c>
      <c r="G2319">
        <v>20.648800000000001</v>
      </c>
      <c r="H2319">
        <v>0</v>
      </c>
      <c r="I2319">
        <v>0</v>
      </c>
      <c r="J2319">
        <v>0</v>
      </c>
      <c r="K2319">
        <v>0</v>
      </c>
      <c r="L2319">
        <v>37</v>
      </c>
      <c r="M2319">
        <v>55</v>
      </c>
      <c r="N2319" t="s">
        <v>39</v>
      </c>
      <c r="O2319" s="3">
        <v>44398</v>
      </c>
      <c r="P2319">
        <v>-1</v>
      </c>
      <c r="T2319" t="s">
        <v>44</v>
      </c>
      <c r="U2319">
        <v>68</v>
      </c>
      <c r="V2319">
        <v>27.3</v>
      </c>
    </row>
    <row r="2320" spans="1:22" x14ac:dyDescent="0.35">
      <c r="A2320" s="3">
        <v>44343</v>
      </c>
      <c r="B2320" t="s">
        <v>38</v>
      </c>
      <c r="C2320">
        <v>0</v>
      </c>
      <c r="D2320">
        <v>0</v>
      </c>
      <c r="E2320">
        <v>0</v>
      </c>
      <c r="F2320">
        <v>0</v>
      </c>
      <c r="G2320">
        <v>21.733899999999998</v>
      </c>
      <c r="H2320">
        <v>0</v>
      </c>
      <c r="I2320">
        <v>0</v>
      </c>
      <c r="J2320">
        <v>0</v>
      </c>
      <c r="K2320">
        <v>0</v>
      </c>
      <c r="L2320">
        <v>57</v>
      </c>
      <c r="M2320">
        <v>83</v>
      </c>
      <c r="N2320" t="s">
        <v>38</v>
      </c>
      <c r="O2320" s="3">
        <v>44426</v>
      </c>
      <c r="P2320">
        <v>-1</v>
      </c>
      <c r="T2320" t="s">
        <v>43</v>
      </c>
      <c r="U2320">
        <v>88</v>
      </c>
      <c r="V2320">
        <v>26.824999999999999</v>
      </c>
    </row>
    <row r="2321" spans="1:22" x14ac:dyDescent="0.35">
      <c r="A2321" s="3">
        <v>44343</v>
      </c>
      <c r="B2321" t="s">
        <v>34</v>
      </c>
      <c r="C2321">
        <v>0</v>
      </c>
      <c r="D2321">
        <v>0</v>
      </c>
      <c r="E2321">
        <v>0</v>
      </c>
      <c r="F2321">
        <v>0</v>
      </c>
      <c r="G2321">
        <v>23.118300000000001</v>
      </c>
      <c r="H2321">
        <v>0</v>
      </c>
      <c r="I2321">
        <v>0</v>
      </c>
      <c r="J2321">
        <v>0</v>
      </c>
      <c r="K2321">
        <v>0</v>
      </c>
      <c r="L2321">
        <v>145</v>
      </c>
      <c r="M2321">
        <v>209</v>
      </c>
      <c r="N2321" t="s">
        <v>34</v>
      </c>
      <c r="O2321" s="3">
        <v>44552</v>
      </c>
      <c r="P2321">
        <v>-1</v>
      </c>
      <c r="T2321" t="s">
        <v>42</v>
      </c>
      <c r="U2321">
        <v>113</v>
      </c>
      <c r="V2321">
        <v>26.875</v>
      </c>
    </row>
    <row r="2322" spans="1:22" x14ac:dyDescent="0.35">
      <c r="A2322" s="3">
        <v>44343</v>
      </c>
      <c r="B2322" t="s">
        <v>37</v>
      </c>
      <c r="C2322">
        <v>0</v>
      </c>
      <c r="D2322">
        <v>0</v>
      </c>
      <c r="E2322">
        <v>0</v>
      </c>
      <c r="F2322">
        <v>0</v>
      </c>
      <c r="G2322">
        <v>22.58</v>
      </c>
      <c r="H2322">
        <v>0</v>
      </c>
      <c r="I2322">
        <v>0</v>
      </c>
      <c r="J2322">
        <v>0</v>
      </c>
      <c r="K2322">
        <v>0</v>
      </c>
      <c r="L2322">
        <v>76</v>
      </c>
      <c r="M2322">
        <v>111</v>
      </c>
      <c r="N2322" t="s">
        <v>37</v>
      </c>
      <c r="O2322" s="3">
        <v>44454</v>
      </c>
      <c r="P2322">
        <v>-1</v>
      </c>
      <c r="T2322" t="s">
        <v>41</v>
      </c>
      <c r="U2322">
        <v>133</v>
      </c>
      <c r="V2322">
        <v>26.425000000000001</v>
      </c>
    </row>
    <row r="2323" spans="1:22" x14ac:dyDescent="0.35">
      <c r="A2323" s="3">
        <v>44343</v>
      </c>
      <c r="B2323" t="s">
        <v>40</v>
      </c>
      <c r="C2323">
        <v>0</v>
      </c>
      <c r="D2323">
        <v>0</v>
      </c>
      <c r="E2323">
        <v>0</v>
      </c>
      <c r="F2323">
        <v>0</v>
      </c>
      <c r="G2323">
        <v>18.5669</v>
      </c>
      <c r="H2323">
        <v>0</v>
      </c>
      <c r="I2323">
        <v>0</v>
      </c>
      <c r="J2323">
        <v>0</v>
      </c>
      <c r="K2323">
        <v>0</v>
      </c>
      <c r="L2323">
        <v>13</v>
      </c>
      <c r="M2323">
        <v>20</v>
      </c>
      <c r="N2323" t="s">
        <v>40</v>
      </c>
      <c r="O2323" s="3">
        <v>44363</v>
      </c>
      <c r="P2323">
        <v>-1</v>
      </c>
      <c r="T2323" t="s">
        <v>40</v>
      </c>
      <c r="U2323">
        <v>152</v>
      </c>
      <c r="V2323">
        <v>26.175000000000001</v>
      </c>
    </row>
    <row r="2324" spans="1:22" x14ac:dyDescent="0.35">
      <c r="A2324" s="3">
        <v>44343</v>
      </c>
      <c r="B2324" t="s">
        <v>35</v>
      </c>
      <c r="C2324">
        <v>0</v>
      </c>
      <c r="D2324">
        <v>0</v>
      </c>
      <c r="E2324">
        <v>0</v>
      </c>
      <c r="F2324">
        <v>0</v>
      </c>
      <c r="G2324">
        <v>23.225899999999999</v>
      </c>
      <c r="H2324">
        <v>0</v>
      </c>
      <c r="I2324">
        <v>0</v>
      </c>
      <c r="J2324">
        <v>0</v>
      </c>
      <c r="K2324">
        <v>0</v>
      </c>
      <c r="L2324">
        <v>121</v>
      </c>
      <c r="M2324">
        <v>174</v>
      </c>
      <c r="N2324" t="s">
        <v>35</v>
      </c>
      <c r="O2324" s="3">
        <v>44517</v>
      </c>
      <c r="P2324">
        <v>-1</v>
      </c>
      <c r="T2324" t="s">
        <v>47</v>
      </c>
      <c r="U2324">
        <v>8</v>
      </c>
      <c r="V2324">
        <v>25.475000000000001</v>
      </c>
    </row>
    <row r="2325" spans="1:22" x14ac:dyDescent="0.35">
      <c r="A2325" s="3">
        <v>44342</v>
      </c>
      <c r="B2325" t="s">
        <v>39</v>
      </c>
      <c r="C2325">
        <v>0</v>
      </c>
      <c r="D2325">
        <v>0</v>
      </c>
      <c r="E2325">
        <v>0</v>
      </c>
      <c r="F2325">
        <v>0</v>
      </c>
      <c r="G2325">
        <v>21.672699999999999</v>
      </c>
      <c r="H2325">
        <v>0</v>
      </c>
      <c r="I2325">
        <v>0</v>
      </c>
      <c r="J2325">
        <v>0</v>
      </c>
      <c r="K2325">
        <v>0</v>
      </c>
      <c r="L2325">
        <v>38</v>
      </c>
      <c r="M2325">
        <v>56</v>
      </c>
      <c r="N2325" t="s">
        <v>39</v>
      </c>
      <c r="O2325" s="3">
        <v>44398</v>
      </c>
      <c r="P2325">
        <v>-1</v>
      </c>
      <c r="T2325" t="s">
        <v>46</v>
      </c>
      <c r="U2325">
        <v>27</v>
      </c>
      <c r="V2325">
        <v>27.175000000000001</v>
      </c>
    </row>
    <row r="2326" spans="1:22" x14ac:dyDescent="0.35">
      <c r="A2326" s="3">
        <v>44342</v>
      </c>
      <c r="B2326" t="s">
        <v>38</v>
      </c>
      <c r="C2326">
        <v>0</v>
      </c>
      <c r="D2326">
        <v>0</v>
      </c>
      <c r="E2326">
        <v>0</v>
      </c>
      <c r="F2326">
        <v>0</v>
      </c>
      <c r="G2326">
        <v>22.5426</v>
      </c>
      <c r="H2326">
        <v>0</v>
      </c>
      <c r="I2326">
        <v>0</v>
      </c>
      <c r="J2326">
        <v>0</v>
      </c>
      <c r="K2326">
        <v>0</v>
      </c>
      <c r="L2326">
        <v>58</v>
      </c>
      <c r="M2326">
        <v>84</v>
      </c>
      <c r="N2326" t="s">
        <v>38</v>
      </c>
      <c r="O2326" s="3">
        <v>44426</v>
      </c>
      <c r="P2326">
        <v>-1</v>
      </c>
      <c r="S2326" s="3">
        <v>44144</v>
      </c>
      <c r="T2326" t="s">
        <v>45</v>
      </c>
      <c r="U2326">
        <v>48</v>
      </c>
      <c r="V2326">
        <v>26.274999999999999</v>
      </c>
    </row>
    <row r="2327" spans="1:22" x14ac:dyDescent="0.35">
      <c r="A2327" s="3">
        <v>44342</v>
      </c>
      <c r="B2327" t="s">
        <v>34</v>
      </c>
      <c r="C2327">
        <v>0</v>
      </c>
      <c r="D2327">
        <v>0</v>
      </c>
      <c r="E2327">
        <v>0</v>
      </c>
      <c r="F2327">
        <v>0</v>
      </c>
      <c r="G2327">
        <v>23.5032</v>
      </c>
      <c r="H2327">
        <v>0</v>
      </c>
      <c r="I2327">
        <v>0</v>
      </c>
      <c r="J2327">
        <v>0</v>
      </c>
      <c r="K2327">
        <v>0</v>
      </c>
      <c r="L2327">
        <v>146</v>
      </c>
      <c r="M2327">
        <v>210</v>
      </c>
      <c r="N2327" t="s">
        <v>34</v>
      </c>
      <c r="O2327" s="3">
        <v>44552</v>
      </c>
      <c r="P2327">
        <v>-1</v>
      </c>
      <c r="T2327" t="s">
        <v>44</v>
      </c>
      <c r="U2327">
        <v>67</v>
      </c>
      <c r="V2327">
        <v>25.675000000000001</v>
      </c>
    </row>
    <row r="2328" spans="1:22" x14ac:dyDescent="0.35">
      <c r="A2328" s="3">
        <v>44342</v>
      </c>
      <c r="B2328" t="s">
        <v>37</v>
      </c>
      <c r="C2328">
        <v>0</v>
      </c>
      <c r="D2328">
        <v>0</v>
      </c>
      <c r="E2328">
        <v>0</v>
      </c>
      <c r="F2328">
        <v>0</v>
      </c>
      <c r="G2328">
        <v>23.2715</v>
      </c>
      <c r="H2328">
        <v>0</v>
      </c>
      <c r="I2328">
        <v>0</v>
      </c>
      <c r="J2328">
        <v>0</v>
      </c>
      <c r="K2328">
        <v>0</v>
      </c>
      <c r="L2328">
        <v>77</v>
      </c>
      <c r="M2328">
        <v>112</v>
      </c>
      <c r="N2328" t="s">
        <v>37</v>
      </c>
      <c r="O2328" s="3">
        <v>44454</v>
      </c>
      <c r="P2328">
        <v>-1</v>
      </c>
      <c r="T2328" t="s">
        <v>43</v>
      </c>
      <c r="U2328">
        <v>87</v>
      </c>
      <c r="V2328">
        <v>25.45</v>
      </c>
    </row>
    <row r="2329" spans="1:22" x14ac:dyDescent="0.35">
      <c r="A2329" s="3">
        <v>44342</v>
      </c>
      <c r="B2329" t="s">
        <v>40</v>
      </c>
      <c r="C2329">
        <v>0</v>
      </c>
      <c r="D2329">
        <v>0</v>
      </c>
      <c r="E2329">
        <v>0</v>
      </c>
      <c r="F2329">
        <v>0</v>
      </c>
      <c r="G2329">
        <v>19.623200000000001</v>
      </c>
      <c r="H2329">
        <v>0</v>
      </c>
      <c r="I2329">
        <v>0</v>
      </c>
      <c r="J2329">
        <v>0</v>
      </c>
      <c r="K2329">
        <v>0</v>
      </c>
      <c r="L2329">
        <v>14</v>
      </c>
      <c r="M2329">
        <v>21</v>
      </c>
      <c r="N2329" t="s">
        <v>40</v>
      </c>
      <c r="O2329" s="3">
        <v>44363</v>
      </c>
      <c r="P2329">
        <v>-1</v>
      </c>
      <c r="T2329" t="s">
        <v>42</v>
      </c>
      <c r="U2329">
        <v>112</v>
      </c>
      <c r="V2329">
        <v>25.425000000000001</v>
      </c>
    </row>
    <row r="2330" spans="1:22" x14ac:dyDescent="0.35">
      <c r="A2330" s="3">
        <v>44342</v>
      </c>
      <c r="B2330" t="s">
        <v>35</v>
      </c>
      <c r="C2330">
        <v>0</v>
      </c>
      <c r="D2330">
        <v>0</v>
      </c>
      <c r="E2330">
        <v>0</v>
      </c>
      <c r="F2330">
        <v>0</v>
      </c>
      <c r="G2330">
        <v>23.7</v>
      </c>
      <c r="H2330">
        <v>0</v>
      </c>
      <c r="I2330">
        <v>0</v>
      </c>
      <c r="J2330">
        <v>0</v>
      </c>
      <c r="K2330">
        <v>0</v>
      </c>
      <c r="L2330">
        <v>122</v>
      </c>
      <c r="M2330">
        <v>175</v>
      </c>
      <c r="N2330" t="s">
        <v>35</v>
      </c>
      <c r="O2330" s="3">
        <v>44517</v>
      </c>
      <c r="P2330">
        <v>-1</v>
      </c>
      <c r="T2330" t="s">
        <v>41</v>
      </c>
      <c r="U2330">
        <v>132</v>
      </c>
      <c r="V2330">
        <v>25.2</v>
      </c>
    </row>
    <row r="2331" spans="1:22" x14ac:dyDescent="0.35">
      <c r="A2331" s="3">
        <v>44342</v>
      </c>
      <c r="B2331" t="s">
        <v>36</v>
      </c>
      <c r="C2331">
        <v>0</v>
      </c>
      <c r="D2331">
        <v>0</v>
      </c>
      <c r="E2331">
        <v>0</v>
      </c>
      <c r="F2331">
        <v>0</v>
      </c>
      <c r="G2331">
        <v>23.65</v>
      </c>
      <c r="H2331">
        <v>0</v>
      </c>
      <c r="I2331">
        <v>0</v>
      </c>
      <c r="J2331">
        <v>0</v>
      </c>
      <c r="K2331">
        <v>0</v>
      </c>
      <c r="L2331">
        <v>102</v>
      </c>
      <c r="M2331">
        <v>147</v>
      </c>
      <c r="N2331" t="s">
        <v>36</v>
      </c>
      <c r="O2331" s="3">
        <v>44489</v>
      </c>
      <c r="P2331">
        <v>-1</v>
      </c>
      <c r="T2331" t="s">
        <v>40</v>
      </c>
      <c r="U2331">
        <v>151</v>
      </c>
      <c r="V2331">
        <v>24.975000000000001</v>
      </c>
    </row>
    <row r="2332" spans="1:22" x14ac:dyDescent="0.35">
      <c r="A2332" s="3">
        <v>44342</v>
      </c>
      <c r="B2332" t="s">
        <v>33</v>
      </c>
      <c r="C2332">
        <v>0</v>
      </c>
      <c r="D2332">
        <v>0</v>
      </c>
      <c r="E2332">
        <v>0</v>
      </c>
      <c r="F2332">
        <v>0</v>
      </c>
      <c r="G2332">
        <v>24.25</v>
      </c>
      <c r="H2332">
        <v>0</v>
      </c>
      <c r="I2332">
        <v>0</v>
      </c>
      <c r="J2332">
        <v>0</v>
      </c>
      <c r="K2332">
        <v>0</v>
      </c>
      <c r="L2332">
        <v>164</v>
      </c>
      <c r="M2332">
        <v>238</v>
      </c>
      <c r="N2332" t="s">
        <v>33</v>
      </c>
      <c r="O2332" s="3">
        <v>44580</v>
      </c>
      <c r="P2332">
        <v>-1</v>
      </c>
      <c r="T2332" t="s">
        <v>39</v>
      </c>
      <c r="U2332">
        <v>175</v>
      </c>
      <c r="V2332">
        <v>24.45</v>
      </c>
    </row>
    <row r="2333" spans="1:22" x14ac:dyDescent="0.35">
      <c r="A2333" s="3">
        <v>44342</v>
      </c>
      <c r="B2333" t="s">
        <v>32</v>
      </c>
      <c r="C2333">
        <v>0</v>
      </c>
      <c r="D2333">
        <v>0</v>
      </c>
      <c r="E2333">
        <v>0</v>
      </c>
      <c r="F2333">
        <v>0</v>
      </c>
      <c r="G2333">
        <v>24.25</v>
      </c>
      <c r="H2333">
        <v>0</v>
      </c>
      <c r="I2333">
        <v>0</v>
      </c>
      <c r="J2333">
        <v>0</v>
      </c>
      <c r="K2333">
        <v>0</v>
      </c>
      <c r="L2333">
        <v>184</v>
      </c>
      <c r="M2333">
        <v>266</v>
      </c>
      <c r="N2333" t="s">
        <v>32</v>
      </c>
      <c r="O2333" s="3">
        <v>44608</v>
      </c>
      <c r="P2333">
        <v>-1</v>
      </c>
      <c r="T2333" t="s">
        <v>47</v>
      </c>
      <c r="U2333">
        <v>7</v>
      </c>
      <c r="V2333">
        <v>25.574999999999999</v>
      </c>
    </row>
    <row r="2334" spans="1:22" x14ac:dyDescent="0.35">
      <c r="A2334" s="3">
        <v>44341</v>
      </c>
      <c r="B2334" t="s">
        <v>36</v>
      </c>
      <c r="C2334">
        <v>0</v>
      </c>
      <c r="D2334">
        <v>0</v>
      </c>
      <c r="E2334">
        <v>0</v>
      </c>
      <c r="F2334">
        <v>0</v>
      </c>
      <c r="G2334">
        <v>24.2</v>
      </c>
      <c r="H2334">
        <v>0</v>
      </c>
      <c r="I2334">
        <v>0</v>
      </c>
      <c r="J2334">
        <v>0</v>
      </c>
      <c r="K2334">
        <v>0</v>
      </c>
      <c r="L2334">
        <v>103</v>
      </c>
      <c r="M2334">
        <v>148</v>
      </c>
      <c r="N2334" t="s">
        <v>36</v>
      </c>
      <c r="O2334" s="3">
        <v>44489</v>
      </c>
      <c r="P2334">
        <v>-1</v>
      </c>
      <c r="T2334" t="s">
        <v>46</v>
      </c>
      <c r="U2334">
        <v>26</v>
      </c>
      <c r="V2334">
        <v>26.274999999999999</v>
      </c>
    </row>
    <row r="2335" spans="1:22" x14ac:dyDescent="0.35">
      <c r="A2335" s="3">
        <v>44341</v>
      </c>
      <c r="B2335" t="s">
        <v>33</v>
      </c>
      <c r="C2335">
        <v>0</v>
      </c>
      <c r="D2335">
        <v>0</v>
      </c>
      <c r="E2335">
        <v>0</v>
      </c>
      <c r="F2335">
        <v>0</v>
      </c>
      <c r="G2335">
        <v>24.675000000000001</v>
      </c>
      <c r="H2335">
        <v>0</v>
      </c>
      <c r="I2335">
        <v>0</v>
      </c>
      <c r="J2335">
        <v>0</v>
      </c>
      <c r="K2335">
        <v>0</v>
      </c>
      <c r="L2335">
        <v>165</v>
      </c>
      <c r="M2335">
        <v>239</v>
      </c>
      <c r="N2335" t="s">
        <v>33</v>
      </c>
      <c r="O2335" s="3">
        <v>44580</v>
      </c>
      <c r="P2335">
        <v>-1</v>
      </c>
      <c r="S2335" s="3">
        <v>44145</v>
      </c>
      <c r="T2335" t="s">
        <v>45</v>
      </c>
      <c r="U2335">
        <v>47</v>
      </c>
      <c r="V2335">
        <v>25.875</v>
      </c>
    </row>
    <row r="2336" spans="1:22" x14ac:dyDescent="0.35">
      <c r="A2336" s="3">
        <v>44341</v>
      </c>
      <c r="B2336" t="s">
        <v>32</v>
      </c>
      <c r="C2336">
        <v>0</v>
      </c>
      <c r="D2336">
        <v>0</v>
      </c>
      <c r="E2336">
        <v>0</v>
      </c>
      <c r="F2336">
        <v>0</v>
      </c>
      <c r="G2336">
        <v>24.45</v>
      </c>
      <c r="H2336">
        <v>0</v>
      </c>
      <c r="I2336">
        <v>0</v>
      </c>
      <c r="J2336">
        <v>0</v>
      </c>
      <c r="K2336">
        <v>0</v>
      </c>
      <c r="L2336">
        <v>185</v>
      </c>
      <c r="M2336">
        <v>267</v>
      </c>
      <c r="N2336" t="s">
        <v>32</v>
      </c>
      <c r="O2336" s="3">
        <v>44608</v>
      </c>
      <c r="P2336">
        <v>-1</v>
      </c>
      <c r="T2336" t="s">
        <v>44</v>
      </c>
      <c r="U2336">
        <v>66</v>
      </c>
      <c r="V2336">
        <v>25.625</v>
      </c>
    </row>
    <row r="2337" spans="1:22" x14ac:dyDescent="0.35">
      <c r="A2337" s="3">
        <v>44341</v>
      </c>
      <c r="B2337" t="s">
        <v>39</v>
      </c>
      <c r="C2337">
        <v>0</v>
      </c>
      <c r="D2337">
        <v>0</v>
      </c>
      <c r="E2337">
        <v>0</v>
      </c>
      <c r="F2337">
        <v>0</v>
      </c>
      <c r="G2337">
        <v>22.649899999999999</v>
      </c>
      <c r="H2337">
        <v>0</v>
      </c>
      <c r="I2337">
        <v>0</v>
      </c>
      <c r="J2337">
        <v>0</v>
      </c>
      <c r="K2337">
        <v>0</v>
      </c>
      <c r="L2337">
        <v>39</v>
      </c>
      <c r="M2337">
        <v>57</v>
      </c>
      <c r="N2337" t="s">
        <v>39</v>
      </c>
      <c r="O2337" s="3">
        <v>44398</v>
      </c>
      <c r="P2337">
        <v>-1</v>
      </c>
      <c r="T2337" t="s">
        <v>43</v>
      </c>
      <c r="U2337">
        <v>86</v>
      </c>
      <c r="V2337">
        <v>25.524999999999999</v>
      </c>
    </row>
    <row r="2338" spans="1:22" x14ac:dyDescent="0.35">
      <c r="A2338" s="3">
        <v>44341</v>
      </c>
      <c r="B2338" t="s">
        <v>38</v>
      </c>
      <c r="C2338">
        <v>0</v>
      </c>
      <c r="D2338">
        <v>0</v>
      </c>
      <c r="E2338">
        <v>0</v>
      </c>
      <c r="F2338">
        <v>0</v>
      </c>
      <c r="G2338">
        <v>23.3</v>
      </c>
      <c r="H2338">
        <v>0</v>
      </c>
      <c r="I2338">
        <v>0</v>
      </c>
      <c r="J2338">
        <v>0</v>
      </c>
      <c r="K2338">
        <v>0</v>
      </c>
      <c r="L2338">
        <v>59</v>
      </c>
      <c r="M2338">
        <v>85</v>
      </c>
      <c r="N2338" t="s">
        <v>38</v>
      </c>
      <c r="O2338" s="3">
        <v>44426</v>
      </c>
      <c r="P2338">
        <v>-1</v>
      </c>
      <c r="T2338" t="s">
        <v>42</v>
      </c>
      <c r="U2338">
        <v>111</v>
      </c>
      <c r="V2338">
        <v>25.475000000000001</v>
      </c>
    </row>
    <row r="2339" spans="1:22" x14ac:dyDescent="0.35">
      <c r="A2339" s="3">
        <v>44341</v>
      </c>
      <c r="B2339" t="s">
        <v>34</v>
      </c>
      <c r="C2339">
        <v>0</v>
      </c>
      <c r="D2339">
        <v>0</v>
      </c>
      <c r="E2339">
        <v>0</v>
      </c>
      <c r="F2339">
        <v>0</v>
      </c>
      <c r="G2339">
        <v>24.05</v>
      </c>
      <c r="H2339">
        <v>0</v>
      </c>
      <c r="I2339">
        <v>0</v>
      </c>
      <c r="J2339">
        <v>0</v>
      </c>
      <c r="K2339">
        <v>0</v>
      </c>
      <c r="L2339">
        <v>147</v>
      </c>
      <c r="M2339">
        <v>211</v>
      </c>
      <c r="N2339" t="s">
        <v>34</v>
      </c>
      <c r="O2339" s="3">
        <v>44552</v>
      </c>
      <c r="P2339">
        <v>-1</v>
      </c>
      <c r="T2339" t="s">
        <v>41</v>
      </c>
      <c r="U2339">
        <v>131</v>
      </c>
      <c r="V2339">
        <v>25.4</v>
      </c>
    </row>
    <row r="2340" spans="1:22" x14ac:dyDescent="0.35">
      <c r="A2340" s="3">
        <v>44341</v>
      </c>
      <c r="B2340" t="s">
        <v>37</v>
      </c>
      <c r="C2340">
        <v>0</v>
      </c>
      <c r="D2340">
        <v>0</v>
      </c>
      <c r="E2340">
        <v>0</v>
      </c>
      <c r="F2340">
        <v>0</v>
      </c>
      <c r="G2340">
        <v>23.897400000000001</v>
      </c>
      <c r="H2340">
        <v>0</v>
      </c>
      <c r="I2340">
        <v>0</v>
      </c>
      <c r="J2340">
        <v>0</v>
      </c>
      <c r="K2340">
        <v>0</v>
      </c>
      <c r="L2340">
        <v>78</v>
      </c>
      <c r="M2340">
        <v>113</v>
      </c>
      <c r="N2340" t="s">
        <v>37</v>
      </c>
      <c r="O2340" s="3">
        <v>44454</v>
      </c>
      <c r="P2340">
        <v>-1</v>
      </c>
      <c r="T2340" t="s">
        <v>40</v>
      </c>
      <c r="U2340">
        <v>150</v>
      </c>
      <c r="V2340">
        <v>25.15</v>
      </c>
    </row>
    <row r="2341" spans="1:22" x14ac:dyDescent="0.35">
      <c r="A2341" s="3">
        <v>44341</v>
      </c>
      <c r="B2341" t="s">
        <v>40</v>
      </c>
      <c r="C2341">
        <v>0</v>
      </c>
      <c r="D2341">
        <v>0</v>
      </c>
      <c r="E2341">
        <v>0</v>
      </c>
      <c r="F2341">
        <v>0</v>
      </c>
      <c r="G2341">
        <v>20.7012</v>
      </c>
      <c r="H2341">
        <v>0</v>
      </c>
      <c r="I2341">
        <v>0</v>
      </c>
      <c r="J2341">
        <v>0</v>
      </c>
      <c r="K2341">
        <v>0</v>
      </c>
      <c r="L2341">
        <v>15</v>
      </c>
      <c r="M2341">
        <v>22</v>
      </c>
      <c r="N2341" t="s">
        <v>40</v>
      </c>
      <c r="O2341" s="3">
        <v>44363</v>
      </c>
      <c r="P2341">
        <v>-1</v>
      </c>
      <c r="T2341" t="s">
        <v>39</v>
      </c>
      <c r="U2341">
        <v>174</v>
      </c>
      <c r="V2341">
        <v>24.3</v>
      </c>
    </row>
    <row r="2342" spans="1:22" x14ac:dyDescent="0.35">
      <c r="A2342" s="3">
        <v>44341</v>
      </c>
      <c r="B2342" t="s">
        <v>35</v>
      </c>
      <c r="C2342">
        <v>0</v>
      </c>
      <c r="D2342">
        <v>0</v>
      </c>
      <c r="E2342">
        <v>0</v>
      </c>
      <c r="F2342">
        <v>0</v>
      </c>
      <c r="G2342">
        <v>24.2</v>
      </c>
      <c r="H2342">
        <v>0</v>
      </c>
      <c r="I2342">
        <v>0</v>
      </c>
      <c r="J2342">
        <v>0</v>
      </c>
      <c r="K2342">
        <v>0</v>
      </c>
      <c r="L2342">
        <v>123</v>
      </c>
      <c r="M2342">
        <v>176</v>
      </c>
      <c r="N2342" t="s">
        <v>35</v>
      </c>
      <c r="O2342" s="3">
        <v>44517</v>
      </c>
      <c r="P2342">
        <v>-1</v>
      </c>
      <c r="T2342" t="s">
        <v>47</v>
      </c>
      <c r="U2342">
        <v>6</v>
      </c>
      <c r="V2342">
        <v>24.675000000000001</v>
      </c>
    </row>
    <row r="2343" spans="1:22" x14ac:dyDescent="0.35">
      <c r="A2343" s="3">
        <v>44340</v>
      </c>
      <c r="B2343" t="s">
        <v>39</v>
      </c>
      <c r="C2343">
        <v>0</v>
      </c>
      <c r="D2343">
        <v>0</v>
      </c>
      <c r="E2343">
        <v>0</v>
      </c>
      <c r="F2343">
        <v>0</v>
      </c>
      <c r="G2343">
        <v>22.4758</v>
      </c>
      <c r="H2343">
        <v>0</v>
      </c>
      <c r="I2343">
        <v>0</v>
      </c>
      <c r="J2343">
        <v>0</v>
      </c>
      <c r="K2343">
        <v>0</v>
      </c>
      <c r="L2343">
        <v>40</v>
      </c>
      <c r="M2343">
        <v>58</v>
      </c>
      <c r="N2343" t="s">
        <v>39</v>
      </c>
      <c r="O2343" s="3">
        <v>44398</v>
      </c>
      <c r="P2343">
        <v>-1</v>
      </c>
      <c r="T2343" t="s">
        <v>46</v>
      </c>
      <c r="U2343">
        <v>25</v>
      </c>
      <c r="V2343">
        <v>25.425000000000001</v>
      </c>
    </row>
    <row r="2344" spans="1:22" x14ac:dyDescent="0.35">
      <c r="A2344" s="3">
        <v>44340</v>
      </c>
      <c r="B2344" t="s">
        <v>38</v>
      </c>
      <c r="C2344">
        <v>0</v>
      </c>
      <c r="D2344">
        <v>0</v>
      </c>
      <c r="E2344">
        <v>0</v>
      </c>
      <c r="F2344">
        <v>0</v>
      </c>
      <c r="G2344">
        <v>23.1084</v>
      </c>
      <c r="H2344">
        <v>0</v>
      </c>
      <c r="I2344">
        <v>0</v>
      </c>
      <c r="J2344">
        <v>0</v>
      </c>
      <c r="K2344">
        <v>0</v>
      </c>
      <c r="L2344">
        <v>60</v>
      </c>
      <c r="M2344">
        <v>86</v>
      </c>
      <c r="N2344" t="s">
        <v>38</v>
      </c>
      <c r="O2344" s="3">
        <v>44426</v>
      </c>
      <c r="P2344">
        <v>-1</v>
      </c>
      <c r="S2344" s="3">
        <v>44146</v>
      </c>
      <c r="T2344" t="s">
        <v>45</v>
      </c>
      <c r="U2344">
        <v>46</v>
      </c>
      <c r="V2344">
        <v>25.425000000000001</v>
      </c>
    </row>
    <row r="2345" spans="1:22" x14ac:dyDescent="0.35">
      <c r="A2345" s="3">
        <v>44340</v>
      </c>
      <c r="B2345" t="s">
        <v>34</v>
      </c>
      <c r="C2345">
        <v>0</v>
      </c>
      <c r="D2345">
        <v>0</v>
      </c>
      <c r="E2345">
        <v>0</v>
      </c>
      <c r="F2345">
        <v>0</v>
      </c>
      <c r="G2345">
        <v>23.774999999999999</v>
      </c>
      <c r="H2345">
        <v>0</v>
      </c>
      <c r="I2345">
        <v>0</v>
      </c>
      <c r="J2345">
        <v>0</v>
      </c>
      <c r="K2345">
        <v>0</v>
      </c>
      <c r="L2345">
        <v>148</v>
      </c>
      <c r="M2345">
        <v>212</v>
      </c>
      <c r="N2345" t="s">
        <v>34</v>
      </c>
      <c r="O2345" s="3">
        <v>44552</v>
      </c>
      <c r="P2345">
        <v>-1</v>
      </c>
      <c r="T2345" t="s">
        <v>44</v>
      </c>
      <c r="U2345">
        <v>65</v>
      </c>
      <c r="V2345">
        <v>25.475000000000001</v>
      </c>
    </row>
    <row r="2346" spans="1:22" x14ac:dyDescent="0.35">
      <c r="A2346" s="3">
        <v>44340</v>
      </c>
      <c r="B2346" t="s">
        <v>37</v>
      </c>
      <c r="C2346">
        <v>0</v>
      </c>
      <c r="D2346">
        <v>0</v>
      </c>
      <c r="E2346">
        <v>0</v>
      </c>
      <c r="F2346">
        <v>0</v>
      </c>
      <c r="G2346">
        <v>23.7</v>
      </c>
      <c r="H2346">
        <v>0</v>
      </c>
      <c r="I2346">
        <v>0</v>
      </c>
      <c r="J2346">
        <v>0</v>
      </c>
      <c r="K2346">
        <v>0</v>
      </c>
      <c r="L2346">
        <v>79</v>
      </c>
      <c r="M2346">
        <v>114</v>
      </c>
      <c r="N2346" t="s">
        <v>37</v>
      </c>
      <c r="O2346" s="3">
        <v>44454</v>
      </c>
      <c r="P2346">
        <v>-1</v>
      </c>
      <c r="T2346" t="s">
        <v>43</v>
      </c>
      <c r="U2346">
        <v>85</v>
      </c>
      <c r="V2346">
        <v>25.425000000000001</v>
      </c>
    </row>
    <row r="2347" spans="1:22" x14ac:dyDescent="0.35">
      <c r="A2347" s="3">
        <v>44340</v>
      </c>
      <c r="B2347" t="s">
        <v>40</v>
      </c>
      <c r="C2347">
        <v>0</v>
      </c>
      <c r="D2347">
        <v>0</v>
      </c>
      <c r="E2347">
        <v>0</v>
      </c>
      <c r="F2347">
        <v>0</v>
      </c>
      <c r="G2347">
        <v>20.756900000000002</v>
      </c>
      <c r="H2347">
        <v>0</v>
      </c>
      <c r="I2347">
        <v>0</v>
      </c>
      <c r="J2347">
        <v>0</v>
      </c>
      <c r="K2347">
        <v>0</v>
      </c>
      <c r="L2347">
        <v>16</v>
      </c>
      <c r="M2347">
        <v>23</v>
      </c>
      <c r="N2347" t="s">
        <v>40</v>
      </c>
      <c r="O2347" s="3">
        <v>44363</v>
      </c>
      <c r="P2347">
        <v>-1</v>
      </c>
      <c r="T2347" t="s">
        <v>42</v>
      </c>
      <c r="U2347">
        <v>110</v>
      </c>
      <c r="V2347">
        <v>25.475000000000001</v>
      </c>
    </row>
    <row r="2348" spans="1:22" x14ac:dyDescent="0.35">
      <c r="A2348" s="3">
        <v>44340</v>
      </c>
      <c r="B2348" t="s">
        <v>35</v>
      </c>
      <c r="C2348">
        <v>0</v>
      </c>
      <c r="D2348">
        <v>0</v>
      </c>
      <c r="E2348">
        <v>0</v>
      </c>
      <c r="F2348">
        <v>0</v>
      </c>
      <c r="G2348">
        <v>24.0047</v>
      </c>
      <c r="H2348">
        <v>0</v>
      </c>
      <c r="I2348">
        <v>0</v>
      </c>
      <c r="J2348">
        <v>0</v>
      </c>
      <c r="K2348">
        <v>0</v>
      </c>
      <c r="L2348">
        <v>124</v>
      </c>
      <c r="M2348">
        <v>177</v>
      </c>
      <c r="N2348" t="s">
        <v>35</v>
      </c>
      <c r="O2348" s="3">
        <v>44517</v>
      </c>
      <c r="P2348">
        <v>-1</v>
      </c>
      <c r="T2348" t="s">
        <v>41</v>
      </c>
      <c r="U2348">
        <v>130</v>
      </c>
      <c r="V2348">
        <v>25.475000000000001</v>
      </c>
    </row>
    <row r="2349" spans="1:22" x14ac:dyDescent="0.35">
      <c r="A2349" s="3">
        <v>44340</v>
      </c>
      <c r="B2349" t="s">
        <v>36</v>
      </c>
      <c r="C2349">
        <v>0</v>
      </c>
      <c r="D2349">
        <v>0</v>
      </c>
      <c r="E2349">
        <v>0</v>
      </c>
      <c r="F2349">
        <v>0</v>
      </c>
      <c r="G2349">
        <v>24</v>
      </c>
      <c r="H2349">
        <v>0</v>
      </c>
      <c r="I2349">
        <v>0</v>
      </c>
      <c r="J2349">
        <v>0</v>
      </c>
      <c r="K2349">
        <v>0</v>
      </c>
      <c r="L2349">
        <v>104</v>
      </c>
      <c r="M2349">
        <v>149</v>
      </c>
      <c r="N2349" t="s">
        <v>36</v>
      </c>
      <c r="O2349" s="3">
        <v>44489</v>
      </c>
      <c r="P2349">
        <v>-1</v>
      </c>
      <c r="T2349" t="s">
        <v>40</v>
      </c>
      <c r="U2349">
        <v>149</v>
      </c>
      <c r="V2349">
        <v>25.375</v>
      </c>
    </row>
    <row r="2350" spans="1:22" x14ac:dyDescent="0.35">
      <c r="A2350" s="3">
        <v>44340</v>
      </c>
      <c r="B2350" t="s">
        <v>33</v>
      </c>
      <c r="C2350">
        <v>0</v>
      </c>
      <c r="D2350">
        <v>0</v>
      </c>
      <c r="E2350">
        <v>0</v>
      </c>
      <c r="F2350">
        <v>0</v>
      </c>
      <c r="G2350">
        <v>24.55</v>
      </c>
      <c r="H2350">
        <v>0</v>
      </c>
      <c r="I2350">
        <v>0</v>
      </c>
      <c r="J2350">
        <v>0</v>
      </c>
      <c r="K2350">
        <v>0</v>
      </c>
      <c r="L2350">
        <v>166</v>
      </c>
      <c r="M2350">
        <v>240</v>
      </c>
      <c r="N2350" t="s">
        <v>33</v>
      </c>
      <c r="O2350" s="3">
        <v>44580</v>
      </c>
      <c r="P2350">
        <v>-1</v>
      </c>
      <c r="T2350" t="s">
        <v>39</v>
      </c>
      <c r="U2350">
        <v>173</v>
      </c>
      <c r="V2350">
        <v>24.524999999999999</v>
      </c>
    </row>
    <row r="2351" spans="1:22" x14ac:dyDescent="0.35">
      <c r="A2351" s="3">
        <v>44340</v>
      </c>
      <c r="B2351" t="s">
        <v>32</v>
      </c>
      <c r="C2351">
        <v>0</v>
      </c>
      <c r="D2351">
        <v>0</v>
      </c>
      <c r="E2351">
        <v>0</v>
      </c>
      <c r="F2351">
        <v>0</v>
      </c>
      <c r="G2351">
        <v>24.524999999999999</v>
      </c>
      <c r="H2351">
        <v>0</v>
      </c>
      <c r="I2351">
        <v>0</v>
      </c>
      <c r="J2351">
        <v>0</v>
      </c>
      <c r="K2351">
        <v>0</v>
      </c>
      <c r="L2351">
        <v>186</v>
      </c>
      <c r="M2351">
        <v>268</v>
      </c>
      <c r="N2351" t="s">
        <v>32</v>
      </c>
      <c r="O2351" s="3">
        <v>44608</v>
      </c>
      <c r="P2351">
        <v>-1</v>
      </c>
      <c r="T2351" t="s">
        <v>47</v>
      </c>
      <c r="U2351">
        <v>5</v>
      </c>
      <c r="V2351">
        <v>23.824999999999999</v>
      </c>
    </row>
    <row r="2352" spans="1:22" x14ac:dyDescent="0.35">
      <c r="A2352" s="3">
        <v>44337</v>
      </c>
      <c r="B2352" t="s">
        <v>36</v>
      </c>
      <c r="C2352">
        <v>0</v>
      </c>
      <c r="D2352">
        <v>0</v>
      </c>
      <c r="E2352">
        <v>0</v>
      </c>
      <c r="F2352">
        <v>0</v>
      </c>
      <c r="G2352">
        <v>24.65</v>
      </c>
      <c r="H2352">
        <v>0</v>
      </c>
      <c r="I2352">
        <v>0</v>
      </c>
      <c r="J2352">
        <v>0</v>
      </c>
      <c r="K2352">
        <v>0</v>
      </c>
      <c r="L2352">
        <v>105</v>
      </c>
      <c r="M2352">
        <v>152</v>
      </c>
      <c r="N2352" t="s">
        <v>36</v>
      </c>
      <c r="O2352" s="3">
        <v>44489</v>
      </c>
      <c r="P2352">
        <v>-1</v>
      </c>
      <c r="T2352" t="s">
        <v>46</v>
      </c>
      <c r="U2352">
        <v>24</v>
      </c>
      <c r="V2352">
        <v>24.975000000000001</v>
      </c>
    </row>
    <row r="2353" spans="1:22" x14ac:dyDescent="0.35">
      <c r="A2353" s="3">
        <v>44337</v>
      </c>
      <c r="B2353" t="s">
        <v>33</v>
      </c>
      <c r="C2353">
        <v>0</v>
      </c>
      <c r="D2353">
        <v>0</v>
      </c>
      <c r="E2353">
        <v>0</v>
      </c>
      <c r="F2353">
        <v>0</v>
      </c>
      <c r="G2353">
        <v>24.95</v>
      </c>
      <c r="H2353">
        <v>0</v>
      </c>
      <c r="I2353">
        <v>0</v>
      </c>
      <c r="J2353">
        <v>0</v>
      </c>
      <c r="K2353">
        <v>0</v>
      </c>
      <c r="L2353">
        <v>167</v>
      </c>
      <c r="M2353">
        <v>243</v>
      </c>
      <c r="N2353" t="s">
        <v>33</v>
      </c>
      <c r="O2353" s="3">
        <v>44580</v>
      </c>
      <c r="P2353">
        <v>-1</v>
      </c>
      <c r="S2353" s="3">
        <v>44147</v>
      </c>
      <c r="T2353" t="s">
        <v>45</v>
      </c>
      <c r="U2353">
        <v>45</v>
      </c>
      <c r="V2353">
        <v>26.675000000000001</v>
      </c>
    </row>
    <row r="2354" spans="1:22" x14ac:dyDescent="0.35">
      <c r="A2354" s="3">
        <v>44337</v>
      </c>
      <c r="B2354" t="s">
        <v>39</v>
      </c>
      <c r="C2354">
        <v>0</v>
      </c>
      <c r="D2354">
        <v>0</v>
      </c>
      <c r="E2354">
        <v>0</v>
      </c>
      <c r="F2354">
        <v>0</v>
      </c>
      <c r="G2354">
        <v>23.28</v>
      </c>
      <c r="H2354">
        <v>0</v>
      </c>
      <c r="I2354">
        <v>0</v>
      </c>
      <c r="J2354">
        <v>0</v>
      </c>
      <c r="K2354">
        <v>0</v>
      </c>
      <c r="L2354">
        <v>41</v>
      </c>
      <c r="M2354">
        <v>61</v>
      </c>
      <c r="N2354" t="s">
        <v>39</v>
      </c>
      <c r="O2354" s="3">
        <v>44398</v>
      </c>
      <c r="P2354">
        <v>-1</v>
      </c>
      <c r="T2354" t="s">
        <v>44</v>
      </c>
      <c r="U2354">
        <v>64</v>
      </c>
      <c r="V2354">
        <v>26.274999999999999</v>
      </c>
    </row>
    <row r="2355" spans="1:22" x14ac:dyDescent="0.35">
      <c r="A2355" s="3">
        <v>44337</v>
      </c>
      <c r="B2355" t="s">
        <v>38</v>
      </c>
      <c r="C2355">
        <v>0</v>
      </c>
      <c r="D2355">
        <v>0</v>
      </c>
      <c r="E2355">
        <v>0</v>
      </c>
      <c r="F2355">
        <v>0</v>
      </c>
      <c r="G2355">
        <v>23.828199999999999</v>
      </c>
      <c r="H2355">
        <v>0</v>
      </c>
      <c r="I2355">
        <v>0</v>
      </c>
      <c r="J2355">
        <v>0</v>
      </c>
      <c r="K2355">
        <v>0</v>
      </c>
      <c r="L2355">
        <v>61</v>
      </c>
      <c r="M2355">
        <v>89</v>
      </c>
      <c r="N2355" t="s">
        <v>38</v>
      </c>
      <c r="O2355" s="3">
        <v>44426</v>
      </c>
      <c r="P2355">
        <v>-1</v>
      </c>
      <c r="T2355" t="s">
        <v>43</v>
      </c>
      <c r="U2355">
        <v>84</v>
      </c>
      <c r="V2355">
        <v>26.074999999999999</v>
      </c>
    </row>
    <row r="2356" spans="1:22" x14ac:dyDescent="0.35">
      <c r="A2356" s="3">
        <v>44337</v>
      </c>
      <c r="B2356" t="s">
        <v>34</v>
      </c>
      <c r="C2356">
        <v>0</v>
      </c>
      <c r="D2356">
        <v>0</v>
      </c>
      <c r="E2356">
        <v>0</v>
      </c>
      <c r="F2356">
        <v>0</v>
      </c>
      <c r="G2356">
        <v>24.35</v>
      </c>
      <c r="H2356">
        <v>0</v>
      </c>
      <c r="I2356">
        <v>0</v>
      </c>
      <c r="J2356">
        <v>0</v>
      </c>
      <c r="K2356">
        <v>0</v>
      </c>
      <c r="L2356">
        <v>149</v>
      </c>
      <c r="M2356">
        <v>215</v>
      </c>
      <c r="N2356" t="s">
        <v>34</v>
      </c>
      <c r="O2356" s="3">
        <v>44552</v>
      </c>
      <c r="P2356">
        <v>-1</v>
      </c>
      <c r="T2356" t="s">
        <v>42</v>
      </c>
      <c r="U2356">
        <v>109</v>
      </c>
      <c r="V2356">
        <v>26.125</v>
      </c>
    </row>
    <row r="2357" spans="1:22" x14ac:dyDescent="0.35">
      <c r="A2357" s="3">
        <v>44337</v>
      </c>
      <c r="B2357" t="s">
        <v>37</v>
      </c>
      <c r="C2357">
        <v>0</v>
      </c>
      <c r="D2357">
        <v>0</v>
      </c>
      <c r="E2357">
        <v>0</v>
      </c>
      <c r="F2357">
        <v>0</v>
      </c>
      <c r="G2357">
        <v>24.357399999999998</v>
      </c>
      <c r="H2357">
        <v>0</v>
      </c>
      <c r="I2357">
        <v>0</v>
      </c>
      <c r="J2357">
        <v>0</v>
      </c>
      <c r="K2357">
        <v>0</v>
      </c>
      <c r="L2357">
        <v>80</v>
      </c>
      <c r="M2357">
        <v>117</v>
      </c>
      <c r="N2357" t="s">
        <v>37</v>
      </c>
      <c r="O2357" s="3">
        <v>44454</v>
      </c>
      <c r="P2357">
        <v>-1</v>
      </c>
      <c r="T2357" t="s">
        <v>41</v>
      </c>
      <c r="U2357">
        <v>129</v>
      </c>
      <c r="V2357">
        <v>26.074999999999999</v>
      </c>
    </row>
    <row r="2358" spans="1:22" x14ac:dyDescent="0.35">
      <c r="A2358" s="3">
        <v>44337</v>
      </c>
      <c r="B2358" t="s">
        <v>40</v>
      </c>
      <c r="C2358">
        <v>0</v>
      </c>
      <c r="D2358">
        <v>0</v>
      </c>
      <c r="E2358">
        <v>0</v>
      </c>
      <c r="F2358">
        <v>0</v>
      </c>
      <c r="G2358">
        <v>21.845300000000002</v>
      </c>
      <c r="H2358">
        <v>0</v>
      </c>
      <c r="I2358">
        <v>0</v>
      </c>
      <c r="J2358">
        <v>0</v>
      </c>
      <c r="K2358">
        <v>0</v>
      </c>
      <c r="L2358">
        <v>17</v>
      </c>
      <c r="M2358">
        <v>26</v>
      </c>
      <c r="N2358" t="s">
        <v>40</v>
      </c>
      <c r="O2358" s="3">
        <v>44363</v>
      </c>
      <c r="P2358">
        <v>-1</v>
      </c>
      <c r="T2358" t="s">
        <v>40</v>
      </c>
      <c r="U2358">
        <v>148</v>
      </c>
      <c r="V2358">
        <v>25.85</v>
      </c>
    </row>
    <row r="2359" spans="1:22" x14ac:dyDescent="0.35">
      <c r="A2359" s="3">
        <v>44337</v>
      </c>
      <c r="B2359" t="s">
        <v>35</v>
      </c>
      <c r="C2359">
        <v>0</v>
      </c>
      <c r="D2359">
        <v>0</v>
      </c>
      <c r="E2359">
        <v>0</v>
      </c>
      <c r="F2359">
        <v>0</v>
      </c>
      <c r="G2359">
        <v>24.6</v>
      </c>
      <c r="H2359">
        <v>0</v>
      </c>
      <c r="I2359">
        <v>0</v>
      </c>
      <c r="J2359">
        <v>0</v>
      </c>
      <c r="K2359">
        <v>0</v>
      </c>
      <c r="L2359">
        <v>125</v>
      </c>
      <c r="M2359">
        <v>180</v>
      </c>
      <c r="N2359" t="s">
        <v>35</v>
      </c>
      <c r="O2359" s="3">
        <v>44517</v>
      </c>
      <c r="P2359">
        <v>-1</v>
      </c>
      <c r="T2359" t="s">
        <v>39</v>
      </c>
      <c r="U2359">
        <v>172</v>
      </c>
      <c r="V2359">
        <v>25.975000000000001</v>
      </c>
    </row>
    <row r="2360" spans="1:22" x14ac:dyDescent="0.35">
      <c r="A2360" s="3">
        <v>44336</v>
      </c>
      <c r="B2360" t="s">
        <v>39</v>
      </c>
      <c r="C2360">
        <v>0</v>
      </c>
      <c r="D2360">
        <v>0</v>
      </c>
      <c r="E2360">
        <v>0</v>
      </c>
      <c r="F2360">
        <v>0</v>
      </c>
      <c r="G2360">
        <v>23.634599999999999</v>
      </c>
      <c r="H2360">
        <v>0</v>
      </c>
      <c r="I2360">
        <v>0</v>
      </c>
      <c r="J2360">
        <v>0</v>
      </c>
      <c r="K2360">
        <v>0</v>
      </c>
      <c r="L2360">
        <v>42</v>
      </c>
      <c r="M2360">
        <v>62</v>
      </c>
      <c r="N2360" t="s">
        <v>39</v>
      </c>
      <c r="O2360" s="3">
        <v>44398</v>
      </c>
      <c r="P2360">
        <v>-1</v>
      </c>
      <c r="T2360" t="s">
        <v>47</v>
      </c>
      <c r="U2360">
        <v>4</v>
      </c>
      <c r="V2360">
        <v>25.875</v>
      </c>
    </row>
    <row r="2361" spans="1:22" x14ac:dyDescent="0.35">
      <c r="A2361" s="3">
        <v>44336</v>
      </c>
      <c r="B2361" t="s">
        <v>38</v>
      </c>
      <c r="C2361">
        <v>0</v>
      </c>
      <c r="D2361">
        <v>0</v>
      </c>
      <c r="E2361">
        <v>0</v>
      </c>
      <c r="F2361">
        <v>0</v>
      </c>
      <c r="G2361">
        <v>24.158000000000001</v>
      </c>
      <c r="H2361">
        <v>0</v>
      </c>
      <c r="I2361">
        <v>0</v>
      </c>
      <c r="J2361">
        <v>0</v>
      </c>
      <c r="K2361">
        <v>0</v>
      </c>
      <c r="L2361">
        <v>62</v>
      </c>
      <c r="M2361">
        <v>90</v>
      </c>
      <c r="N2361" t="s">
        <v>38</v>
      </c>
      <c r="O2361" s="3">
        <v>44426</v>
      </c>
      <c r="P2361">
        <v>-1</v>
      </c>
      <c r="T2361" t="s">
        <v>46</v>
      </c>
      <c r="U2361">
        <v>23</v>
      </c>
      <c r="V2361">
        <v>26.574999999999999</v>
      </c>
    </row>
    <row r="2362" spans="1:22" x14ac:dyDescent="0.35">
      <c r="A2362" s="3">
        <v>44336</v>
      </c>
      <c r="B2362" t="s">
        <v>34</v>
      </c>
      <c r="C2362">
        <v>0</v>
      </c>
      <c r="D2362">
        <v>0</v>
      </c>
      <c r="E2362">
        <v>0</v>
      </c>
      <c r="F2362">
        <v>0</v>
      </c>
      <c r="G2362">
        <v>24.45</v>
      </c>
      <c r="H2362">
        <v>0</v>
      </c>
      <c r="I2362">
        <v>0</v>
      </c>
      <c r="J2362">
        <v>0</v>
      </c>
      <c r="K2362">
        <v>0</v>
      </c>
      <c r="L2362">
        <v>150</v>
      </c>
      <c r="M2362">
        <v>216</v>
      </c>
      <c r="N2362" t="s">
        <v>34</v>
      </c>
      <c r="O2362" s="3">
        <v>44552</v>
      </c>
      <c r="P2362">
        <v>-1</v>
      </c>
      <c r="S2362" s="3">
        <v>44148</v>
      </c>
      <c r="T2362" t="s">
        <v>45</v>
      </c>
      <c r="U2362">
        <v>44</v>
      </c>
      <c r="V2362">
        <v>25.725000000000001</v>
      </c>
    </row>
    <row r="2363" spans="1:22" x14ac:dyDescent="0.35">
      <c r="A2363" s="3">
        <v>44336</v>
      </c>
      <c r="B2363" t="s">
        <v>37</v>
      </c>
      <c r="C2363">
        <v>0</v>
      </c>
      <c r="D2363">
        <v>0</v>
      </c>
      <c r="E2363">
        <v>0</v>
      </c>
      <c r="F2363">
        <v>0</v>
      </c>
      <c r="G2363">
        <v>24.649100000000001</v>
      </c>
      <c r="H2363">
        <v>0</v>
      </c>
      <c r="I2363">
        <v>0</v>
      </c>
      <c r="J2363">
        <v>0</v>
      </c>
      <c r="K2363">
        <v>0</v>
      </c>
      <c r="L2363">
        <v>81</v>
      </c>
      <c r="M2363">
        <v>118</v>
      </c>
      <c r="N2363" t="s">
        <v>37</v>
      </c>
      <c r="O2363" s="3">
        <v>44454</v>
      </c>
      <c r="P2363">
        <v>-1</v>
      </c>
      <c r="T2363" t="s">
        <v>44</v>
      </c>
      <c r="U2363">
        <v>63</v>
      </c>
      <c r="V2363">
        <v>25.675000000000001</v>
      </c>
    </row>
    <row r="2364" spans="1:22" x14ac:dyDescent="0.35">
      <c r="A2364" s="3">
        <v>44336</v>
      </c>
      <c r="B2364" t="s">
        <v>40</v>
      </c>
      <c r="C2364">
        <v>0</v>
      </c>
      <c r="D2364">
        <v>0</v>
      </c>
      <c r="E2364">
        <v>0</v>
      </c>
      <c r="F2364">
        <v>0</v>
      </c>
      <c r="G2364">
        <v>22.103100000000001</v>
      </c>
      <c r="H2364">
        <v>0</v>
      </c>
      <c r="I2364">
        <v>0</v>
      </c>
      <c r="J2364">
        <v>0</v>
      </c>
      <c r="K2364">
        <v>0</v>
      </c>
      <c r="L2364">
        <v>18</v>
      </c>
      <c r="M2364">
        <v>27</v>
      </c>
      <c r="N2364" t="s">
        <v>40</v>
      </c>
      <c r="O2364" s="3">
        <v>44363</v>
      </c>
      <c r="P2364">
        <v>-1</v>
      </c>
      <c r="T2364" t="s">
        <v>43</v>
      </c>
      <c r="U2364">
        <v>83</v>
      </c>
      <c r="V2364">
        <v>25.524999999999999</v>
      </c>
    </row>
    <row r="2365" spans="1:22" x14ac:dyDescent="0.35">
      <c r="A2365" s="3">
        <v>44336</v>
      </c>
      <c r="B2365" t="s">
        <v>35</v>
      </c>
      <c r="C2365">
        <v>0</v>
      </c>
      <c r="D2365">
        <v>0</v>
      </c>
      <c r="E2365">
        <v>0</v>
      </c>
      <c r="F2365">
        <v>0</v>
      </c>
      <c r="G2365">
        <v>24.707699999999999</v>
      </c>
      <c r="H2365">
        <v>0</v>
      </c>
      <c r="I2365">
        <v>0</v>
      </c>
      <c r="J2365">
        <v>0</v>
      </c>
      <c r="K2365">
        <v>0</v>
      </c>
      <c r="L2365">
        <v>126</v>
      </c>
      <c r="M2365">
        <v>181</v>
      </c>
      <c r="N2365" t="s">
        <v>35</v>
      </c>
      <c r="O2365" s="3">
        <v>44517</v>
      </c>
      <c r="P2365">
        <v>-1</v>
      </c>
      <c r="T2365" t="s">
        <v>42</v>
      </c>
      <c r="U2365">
        <v>108</v>
      </c>
      <c r="V2365">
        <v>25.524999999999999</v>
      </c>
    </row>
    <row r="2366" spans="1:22" x14ac:dyDescent="0.35">
      <c r="A2366" s="3">
        <v>44336</v>
      </c>
      <c r="B2366" t="s">
        <v>36</v>
      </c>
      <c r="C2366">
        <v>0</v>
      </c>
      <c r="D2366">
        <v>0</v>
      </c>
      <c r="E2366">
        <v>0</v>
      </c>
      <c r="F2366">
        <v>0</v>
      </c>
      <c r="G2366">
        <v>24.800899999999999</v>
      </c>
      <c r="H2366">
        <v>0</v>
      </c>
      <c r="I2366">
        <v>0</v>
      </c>
      <c r="J2366">
        <v>0</v>
      </c>
      <c r="K2366">
        <v>0</v>
      </c>
      <c r="L2366">
        <v>106</v>
      </c>
      <c r="M2366">
        <v>153</v>
      </c>
      <c r="N2366" t="s">
        <v>36</v>
      </c>
      <c r="O2366" s="3">
        <v>44489</v>
      </c>
      <c r="P2366">
        <v>-1</v>
      </c>
      <c r="T2366" t="s">
        <v>41</v>
      </c>
      <c r="U2366">
        <v>128</v>
      </c>
      <c r="V2366">
        <v>25.425000000000001</v>
      </c>
    </row>
    <row r="2367" spans="1:22" x14ac:dyDescent="0.35">
      <c r="A2367" s="3">
        <v>44336</v>
      </c>
      <c r="B2367" t="s">
        <v>33</v>
      </c>
      <c r="C2367">
        <v>0</v>
      </c>
      <c r="D2367">
        <v>0</v>
      </c>
      <c r="E2367">
        <v>0</v>
      </c>
      <c r="F2367">
        <v>0</v>
      </c>
      <c r="G2367">
        <v>25.024999999999999</v>
      </c>
      <c r="H2367">
        <v>0</v>
      </c>
      <c r="I2367">
        <v>0</v>
      </c>
      <c r="J2367">
        <v>0</v>
      </c>
      <c r="K2367">
        <v>0</v>
      </c>
      <c r="L2367">
        <v>168</v>
      </c>
      <c r="M2367">
        <v>244</v>
      </c>
      <c r="N2367" t="s">
        <v>33</v>
      </c>
      <c r="O2367" s="3">
        <v>44580</v>
      </c>
      <c r="P2367">
        <v>-1</v>
      </c>
      <c r="T2367" t="s">
        <v>40</v>
      </c>
      <c r="U2367">
        <v>147</v>
      </c>
      <c r="V2367">
        <v>25.324999999999999</v>
      </c>
    </row>
    <row r="2368" spans="1:22" x14ac:dyDescent="0.35">
      <c r="A2368" s="3">
        <v>44335</v>
      </c>
      <c r="B2368" t="s">
        <v>36</v>
      </c>
      <c r="C2368">
        <v>0</v>
      </c>
      <c r="D2368">
        <v>0</v>
      </c>
      <c r="E2368">
        <v>0</v>
      </c>
      <c r="F2368">
        <v>0</v>
      </c>
      <c r="G2368">
        <v>25.358000000000001</v>
      </c>
      <c r="H2368">
        <v>0</v>
      </c>
      <c r="I2368">
        <v>0</v>
      </c>
      <c r="J2368">
        <v>0</v>
      </c>
      <c r="K2368">
        <v>0</v>
      </c>
      <c r="L2368">
        <v>107</v>
      </c>
      <c r="M2368">
        <v>154</v>
      </c>
      <c r="N2368" t="s">
        <v>36</v>
      </c>
      <c r="O2368" s="3">
        <v>44489</v>
      </c>
      <c r="P2368">
        <v>-1</v>
      </c>
      <c r="T2368" t="s">
        <v>39</v>
      </c>
      <c r="U2368">
        <v>171</v>
      </c>
      <c r="V2368">
        <v>25</v>
      </c>
    </row>
    <row r="2369" spans="1:22" x14ac:dyDescent="0.35">
      <c r="A2369" s="3">
        <v>44335</v>
      </c>
      <c r="B2369" t="s">
        <v>33</v>
      </c>
      <c r="C2369">
        <v>0</v>
      </c>
      <c r="D2369">
        <v>0</v>
      </c>
      <c r="E2369">
        <v>0</v>
      </c>
      <c r="F2369">
        <v>0</v>
      </c>
      <c r="G2369">
        <v>25.6</v>
      </c>
      <c r="H2369">
        <v>0</v>
      </c>
      <c r="I2369">
        <v>0</v>
      </c>
      <c r="J2369">
        <v>0</v>
      </c>
      <c r="K2369">
        <v>0</v>
      </c>
      <c r="L2369">
        <v>169</v>
      </c>
      <c r="M2369">
        <v>245</v>
      </c>
      <c r="N2369" t="s">
        <v>33</v>
      </c>
      <c r="O2369" s="3">
        <v>44580</v>
      </c>
      <c r="P2369">
        <v>-1</v>
      </c>
      <c r="T2369" t="s">
        <v>47</v>
      </c>
      <c r="U2369">
        <v>3</v>
      </c>
      <c r="V2369">
        <v>23.324999999999999</v>
      </c>
    </row>
    <row r="2370" spans="1:22" x14ac:dyDescent="0.35">
      <c r="A2370" s="3">
        <v>44335</v>
      </c>
      <c r="B2370" t="s">
        <v>39</v>
      </c>
      <c r="C2370">
        <v>0</v>
      </c>
      <c r="D2370">
        <v>0</v>
      </c>
      <c r="E2370">
        <v>0</v>
      </c>
      <c r="F2370">
        <v>0</v>
      </c>
      <c r="G2370">
        <v>24.380099999999999</v>
      </c>
      <c r="H2370">
        <v>0</v>
      </c>
      <c r="I2370">
        <v>0</v>
      </c>
      <c r="J2370">
        <v>0</v>
      </c>
      <c r="K2370">
        <v>0</v>
      </c>
      <c r="L2370">
        <v>43</v>
      </c>
      <c r="M2370">
        <v>63</v>
      </c>
      <c r="N2370" t="s">
        <v>39</v>
      </c>
      <c r="O2370" s="3">
        <v>44398</v>
      </c>
      <c r="P2370">
        <v>-1</v>
      </c>
      <c r="T2370" t="s">
        <v>46</v>
      </c>
      <c r="U2370">
        <v>22</v>
      </c>
      <c r="V2370">
        <v>25.074999999999999</v>
      </c>
    </row>
    <row r="2371" spans="1:22" x14ac:dyDescent="0.35">
      <c r="A2371" s="3">
        <v>44335</v>
      </c>
      <c r="B2371" t="s">
        <v>38</v>
      </c>
      <c r="C2371">
        <v>0</v>
      </c>
      <c r="D2371">
        <v>0</v>
      </c>
      <c r="E2371">
        <v>0</v>
      </c>
      <c r="F2371">
        <v>0</v>
      </c>
      <c r="G2371">
        <v>24.819800000000001</v>
      </c>
      <c r="H2371">
        <v>0</v>
      </c>
      <c r="I2371">
        <v>0</v>
      </c>
      <c r="J2371">
        <v>0</v>
      </c>
      <c r="K2371">
        <v>0</v>
      </c>
      <c r="L2371">
        <v>63</v>
      </c>
      <c r="M2371">
        <v>91</v>
      </c>
      <c r="N2371" t="s">
        <v>38</v>
      </c>
      <c r="O2371" s="3">
        <v>44426</v>
      </c>
      <c r="P2371">
        <v>-1</v>
      </c>
      <c r="S2371" s="3">
        <v>44151</v>
      </c>
      <c r="T2371" t="s">
        <v>45</v>
      </c>
      <c r="U2371">
        <v>43</v>
      </c>
      <c r="V2371">
        <v>25.524999999999999</v>
      </c>
    </row>
    <row r="2372" spans="1:22" x14ac:dyDescent="0.35">
      <c r="A2372" s="3">
        <v>44335</v>
      </c>
      <c r="B2372" t="s">
        <v>34</v>
      </c>
      <c r="C2372">
        <v>0</v>
      </c>
      <c r="D2372">
        <v>0</v>
      </c>
      <c r="E2372">
        <v>0</v>
      </c>
      <c r="F2372">
        <v>0</v>
      </c>
      <c r="G2372">
        <v>24.8</v>
      </c>
      <c r="H2372">
        <v>0</v>
      </c>
      <c r="I2372">
        <v>0</v>
      </c>
      <c r="J2372">
        <v>0</v>
      </c>
      <c r="K2372">
        <v>0</v>
      </c>
      <c r="L2372">
        <v>151</v>
      </c>
      <c r="M2372">
        <v>217</v>
      </c>
      <c r="N2372" t="s">
        <v>34</v>
      </c>
      <c r="O2372" s="3">
        <v>44552</v>
      </c>
      <c r="P2372">
        <v>-1</v>
      </c>
      <c r="T2372" t="s">
        <v>44</v>
      </c>
      <c r="U2372">
        <v>62</v>
      </c>
      <c r="V2372">
        <v>25.574999999999999</v>
      </c>
    </row>
    <row r="2373" spans="1:22" x14ac:dyDescent="0.35">
      <c r="A2373" s="3">
        <v>44335</v>
      </c>
      <c r="B2373" t="s">
        <v>37</v>
      </c>
      <c r="C2373">
        <v>0</v>
      </c>
      <c r="D2373">
        <v>0</v>
      </c>
      <c r="E2373">
        <v>0</v>
      </c>
      <c r="F2373">
        <v>0</v>
      </c>
      <c r="G2373">
        <v>25.25</v>
      </c>
      <c r="H2373">
        <v>0</v>
      </c>
      <c r="I2373">
        <v>0</v>
      </c>
      <c r="J2373">
        <v>0</v>
      </c>
      <c r="K2373">
        <v>0</v>
      </c>
      <c r="L2373">
        <v>82</v>
      </c>
      <c r="M2373">
        <v>119</v>
      </c>
      <c r="N2373" t="s">
        <v>37</v>
      </c>
      <c r="O2373" s="3">
        <v>44454</v>
      </c>
      <c r="P2373">
        <v>-1</v>
      </c>
      <c r="T2373" t="s">
        <v>43</v>
      </c>
      <c r="U2373">
        <v>82</v>
      </c>
      <c r="V2373">
        <v>25.524999999999999</v>
      </c>
    </row>
    <row r="2374" spans="1:22" x14ac:dyDescent="0.35">
      <c r="A2374" s="3">
        <v>44335</v>
      </c>
      <c r="B2374" t="s">
        <v>41</v>
      </c>
      <c r="C2374">
        <v>0</v>
      </c>
      <c r="D2374">
        <v>0</v>
      </c>
      <c r="E2374">
        <v>0</v>
      </c>
      <c r="F2374">
        <v>0</v>
      </c>
      <c r="G2374">
        <v>25.21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41</v>
      </c>
      <c r="O2374" s="3">
        <v>44335</v>
      </c>
      <c r="P2374">
        <v>-1</v>
      </c>
      <c r="T2374" t="s">
        <v>42</v>
      </c>
      <c r="U2374">
        <v>107</v>
      </c>
      <c r="V2374">
        <v>25.65</v>
      </c>
    </row>
    <row r="2375" spans="1:22" x14ac:dyDescent="0.35">
      <c r="A2375" s="3">
        <v>44335</v>
      </c>
      <c r="B2375" t="s">
        <v>40</v>
      </c>
      <c r="C2375">
        <v>0</v>
      </c>
      <c r="D2375">
        <v>0</v>
      </c>
      <c r="E2375">
        <v>0</v>
      </c>
      <c r="F2375">
        <v>0</v>
      </c>
      <c r="G2375">
        <v>23.386099999999999</v>
      </c>
      <c r="H2375">
        <v>0</v>
      </c>
      <c r="I2375">
        <v>0</v>
      </c>
      <c r="J2375">
        <v>0</v>
      </c>
      <c r="K2375">
        <v>0</v>
      </c>
      <c r="L2375">
        <v>19</v>
      </c>
      <c r="M2375">
        <v>28</v>
      </c>
      <c r="N2375" t="s">
        <v>40</v>
      </c>
      <c r="O2375" s="3">
        <v>44363</v>
      </c>
      <c r="P2375">
        <v>-1</v>
      </c>
      <c r="T2375" t="s">
        <v>41</v>
      </c>
      <c r="U2375">
        <v>127</v>
      </c>
      <c r="V2375">
        <v>25.675000000000001</v>
      </c>
    </row>
    <row r="2376" spans="1:22" x14ac:dyDescent="0.35">
      <c r="A2376" s="3">
        <v>44335</v>
      </c>
      <c r="B2376" t="s">
        <v>35</v>
      </c>
      <c r="C2376">
        <v>0</v>
      </c>
      <c r="D2376">
        <v>0</v>
      </c>
      <c r="E2376">
        <v>0</v>
      </c>
      <c r="F2376">
        <v>0</v>
      </c>
      <c r="G2376">
        <v>25.167400000000001</v>
      </c>
      <c r="H2376">
        <v>0</v>
      </c>
      <c r="I2376">
        <v>0</v>
      </c>
      <c r="J2376">
        <v>0</v>
      </c>
      <c r="K2376">
        <v>0</v>
      </c>
      <c r="L2376">
        <v>127</v>
      </c>
      <c r="M2376">
        <v>182</v>
      </c>
      <c r="N2376" t="s">
        <v>35</v>
      </c>
      <c r="O2376" s="3">
        <v>44517</v>
      </c>
      <c r="P2376">
        <v>-1</v>
      </c>
      <c r="T2376" t="s">
        <v>40</v>
      </c>
      <c r="U2376">
        <v>146</v>
      </c>
      <c r="V2376">
        <v>25.524999999999999</v>
      </c>
    </row>
    <row r="2377" spans="1:22" x14ac:dyDescent="0.35">
      <c r="A2377" s="3">
        <v>44334</v>
      </c>
      <c r="B2377" t="s">
        <v>39</v>
      </c>
      <c r="C2377">
        <v>0</v>
      </c>
      <c r="D2377">
        <v>0</v>
      </c>
      <c r="E2377">
        <v>0</v>
      </c>
      <c r="F2377">
        <v>0</v>
      </c>
      <c r="G2377">
        <v>23.877600000000001</v>
      </c>
      <c r="H2377">
        <v>0</v>
      </c>
      <c r="I2377">
        <v>0</v>
      </c>
      <c r="J2377">
        <v>0</v>
      </c>
      <c r="K2377">
        <v>0</v>
      </c>
      <c r="L2377">
        <v>44</v>
      </c>
      <c r="M2377">
        <v>64</v>
      </c>
      <c r="N2377" t="s">
        <v>39</v>
      </c>
      <c r="O2377" s="3">
        <v>44398</v>
      </c>
      <c r="P2377">
        <v>-1</v>
      </c>
      <c r="T2377" t="s">
        <v>39</v>
      </c>
      <c r="U2377">
        <v>170</v>
      </c>
      <c r="V2377">
        <v>24.65</v>
      </c>
    </row>
    <row r="2378" spans="1:22" x14ac:dyDescent="0.35">
      <c r="A2378" s="3">
        <v>44334</v>
      </c>
      <c r="B2378" t="s">
        <v>38</v>
      </c>
      <c r="C2378">
        <v>0</v>
      </c>
      <c r="D2378">
        <v>0</v>
      </c>
      <c r="E2378">
        <v>0</v>
      </c>
      <c r="F2378">
        <v>0</v>
      </c>
      <c r="G2378">
        <v>24.504300000000001</v>
      </c>
      <c r="H2378">
        <v>0</v>
      </c>
      <c r="I2378">
        <v>0</v>
      </c>
      <c r="J2378">
        <v>0</v>
      </c>
      <c r="K2378">
        <v>0</v>
      </c>
      <c r="L2378">
        <v>64</v>
      </c>
      <c r="M2378">
        <v>92</v>
      </c>
      <c r="N2378" t="s">
        <v>38</v>
      </c>
      <c r="O2378" s="3">
        <v>44426</v>
      </c>
      <c r="P2378">
        <v>-1</v>
      </c>
      <c r="T2378" t="s">
        <v>47</v>
      </c>
      <c r="U2378">
        <v>2</v>
      </c>
      <c r="V2378">
        <v>22.925000000000001</v>
      </c>
    </row>
    <row r="2379" spans="1:22" x14ac:dyDescent="0.35">
      <c r="A2379" s="3">
        <v>44334</v>
      </c>
      <c r="B2379" t="s">
        <v>34</v>
      </c>
      <c r="C2379">
        <v>0</v>
      </c>
      <c r="D2379">
        <v>0</v>
      </c>
      <c r="E2379">
        <v>0</v>
      </c>
      <c r="F2379">
        <v>0</v>
      </c>
      <c r="G2379">
        <v>24.7</v>
      </c>
      <c r="H2379">
        <v>0</v>
      </c>
      <c r="I2379">
        <v>0</v>
      </c>
      <c r="J2379">
        <v>0</v>
      </c>
      <c r="K2379">
        <v>0</v>
      </c>
      <c r="L2379">
        <v>152</v>
      </c>
      <c r="M2379">
        <v>218</v>
      </c>
      <c r="N2379" t="s">
        <v>34</v>
      </c>
      <c r="O2379" s="3">
        <v>44552</v>
      </c>
      <c r="P2379">
        <v>-1</v>
      </c>
      <c r="T2379" t="s">
        <v>46</v>
      </c>
      <c r="U2379">
        <v>21</v>
      </c>
      <c r="V2379">
        <v>24.524999999999999</v>
      </c>
    </row>
    <row r="2380" spans="1:22" x14ac:dyDescent="0.35">
      <c r="A2380" s="3">
        <v>44334</v>
      </c>
      <c r="B2380" t="s">
        <v>37</v>
      </c>
      <c r="C2380">
        <v>0</v>
      </c>
      <c r="D2380">
        <v>0</v>
      </c>
      <c r="E2380">
        <v>0</v>
      </c>
      <c r="F2380">
        <v>0</v>
      </c>
      <c r="G2380">
        <v>24.985299999999999</v>
      </c>
      <c r="H2380">
        <v>0</v>
      </c>
      <c r="I2380">
        <v>0</v>
      </c>
      <c r="J2380">
        <v>0</v>
      </c>
      <c r="K2380">
        <v>0</v>
      </c>
      <c r="L2380">
        <v>83</v>
      </c>
      <c r="M2380">
        <v>120</v>
      </c>
      <c r="N2380" t="s">
        <v>37</v>
      </c>
      <c r="O2380" s="3">
        <v>44454</v>
      </c>
      <c r="P2380">
        <v>-1</v>
      </c>
      <c r="S2380" s="3">
        <v>44152</v>
      </c>
      <c r="T2380" t="s">
        <v>45</v>
      </c>
      <c r="U2380">
        <v>42</v>
      </c>
      <c r="V2380">
        <v>25.225000000000001</v>
      </c>
    </row>
    <row r="2381" spans="1:22" x14ac:dyDescent="0.35">
      <c r="A2381" s="3">
        <v>44334</v>
      </c>
      <c r="B2381" t="s">
        <v>41</v>
      </c>
      <c r="C2381">
        <v>0</v>
      </c>
      <c r="D2381">
        <v>0</v>
      </c>
      <c r="E2381">
        <v>0</v>
      </c>
      <c r="F2381">
        <v>0</v>
      </c>
      <c r="G2381">
        <v>21.143799999999999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1</v>
      </c>
      <c r="N2381" t="s">
        <v>41</v>
      </c>
      <c r="O2381" s="3">
        <v>44335</v>
      </c>
      <c r="P2381">
        <v>-1</v>
      </c>
      <c r="T2381" t="s">
        <v>44</v>
      </c>
      <c r="U2381">
        <v>61</v>
      </c>
      <c r="V2381">
        <v>25.375</v>
      </c>
    </row>
    <row r="2382" spans="1:22" x14ac:dyDescent="0.35">
      <c r="A2382" s="3">
        <v>44334</v>
      </c>
      <c r="B2382" t="s">
        <v>40</v>
      </c>
      <c r="C2382">
        <v>0</v>
      </c>
      <c r="D2382">
        <v>0</v>
      </c>
      <c r="E2382">
        <v>0</v>
      </c>
      <c r="F2382">
        <v>0</v>
      </c>
      <c r="G2382">
        <v>22.3794</v>
      </c>
      <c r="H2382">
        <v>0</v>
      </c>
      <c r="I2382">
        <v>0</v>
      </c>
      <c r="J2382">
        <v>0</v>
      </c>
      <c r="K2382">
        <v>0</v>
      </c>
      <c r="L2382">
        <v>20</v>
      </c>
      <c r="M2382">
        <v>29</v>
      </c>
      <c r="N2382" t="s">
        <v>40</v>
      </c>
      <c r="O2382" s="3">
        <v>44363</v>
      </c>
      <c r="P2382">
        <v>-1</v>
      </c>
      <c r="T2382" t="s">
        <v>43</v>
      </c>
      <c r="U2382">
        <v>81</v>
      </c>
      <c r="V2382">
        <v>25.375</v>
      </c>
    </row>
    <row r="2383" spans="1:22" x14ac:dyDescent="0.35">
      <c r="A2383" s="3">
        <v>44334</v>
      </c>
      <c r="B2383" t="s">
        <v>35</v>
      </c>
      <c r="C2383">
        <v>0</v>
      </c>
      <c r="D2383">
        <v>0</v>
      </c>
      <c r="E2383">
        <v>0</v>
      </c>
      <c r="F2383">
        <v>0</v>
      </c>
      <c r="G2383">
        <v>25.03</v>
      </c>
      <c r="H2383">
        <v>0</v>
      </c>
      <c r="I2383">
        <v>0</v>
      </c>
      <c r="J2383">
        <v>0</v>
      </c>
      <c r="K2383">
        <v>0</v>
      </c>
      <c r="L2383">
        <v>128</v>
      </c>
      <c r="M2383">
        <v>183</v>
      </c>
      <c r="N2383" t="s">
        <v>35</v>
      </c>
      <c r="O2383" s="3">
        <v>44517</v>
      </c>
      <c r="P2383">
        <v>-1</v>
      </c>
      <c r="T2383" t="s">
        <v>42</v>
      </c>
      <c r="U2383">
        <v>106</v>
      </c>
      <c r="V2383">
        <v>25.425000000000001</v>
      </c>
    </row>
    <row r="2384" spans="1:22" x14ac:dyDescent="0.35">
      <c r="A2384" s="3">
        <v>44334</v>
      </c>
      <c r="B2384" t="s">
        <v>36</v>
      </c>
      <c r="C2384">
        <v>0</v>
      </c>
      <c r="D2384">
        <v>0</v>
      </c>
      <c r="E2384">
        <v>0</v>
      </c>
      <c r="F2384">
        <v>0</v>
      </c>
      <c r="G2384">
        <v>25.18</v>
      </c>
      <c r="H2384">
        <v>0</v>
      </c>
      <c r="I2384">
        <v>0</v>
      </c>
      <c r="J2384">
        <v>0</v>
      </c>
      <c r="K2384">
        <v>0</v>
      </c>
      <c r="L2384">
        <v>108</v>
      </c>
      <c r="M2384">
        <v>155</v>
      </c>
      <c r="N2384" t="s">
        <v>36</v>
      </c>
      <c r="O2384" s="3">
        <v>44489</v>
      </c>
      <c r="P2384">
        <v>-1</v>
      </c>
      <c r="T2384" t="s">
        <v>41</v>
      </c>
      <c r="U2384">
        <v>126</v>
      </c>
      <c r="V2384">
        <v>25.425000000000001</v>
      </c>
    </row>
    <row r="2385" spans="1:22" x14ac:dyDescent="0.35">
      <c r="A2385" s="3">
        <v>44334</v>
      </c>
      <c r="B2385" t="s">
        <v>33</v>
      </c>
      <c r="C2385">
        <v>0</v>
      </c>
      <c r="D2385">
        <v>0</v>
      </c>
      <c r="E2385">
        <v>0</v>
      </c>
      <c r="F2385">
        <v>0</v>
      </c>
      <c r="G2385">
        <v>25.25</v>
      </c>
      <c r="H2385">
        <v>0</v>
      </c>
      <c r="I2385">
        <v>0</v>
      </c>
      <c r="J2385">
        <v>0</v>
      </c>
      <c r="K2385">
        <v>0</v>
      </c>
      <c r="L2385">
        <v>170</v>
      </c>
      <c r="M2385">
        <v>246</v>
      </c>
      <c r="N2385" t="s">
        <v>33</v>
      </c>
      <c r="O2385" s="3">
        <v>44580</v>
      </c>
      <c r="P2385">
        <v>-1</v>
      </c>
      <c r="T2385" t="s">
        <v>40</v>
      </c>
      <c r="U2385">
        <v>145</v>
      </c>
      <c r="V2385">
        <v>25.524999999999999</v>
      </c>
    </row>
    <row r="2386" spans="1:22" x14ac:dyDescent="0.35">
      <c r="A2386" s="3">
        <v>44333</v>
      </c>
      <c r="B2386" t="s">
        <v>36</v>
      </c>
      <c r="C2386">
        <v>0</v>
      </c>
      <c r="D2386">
        <v>0</v>
      </c>
      <c r="E2386">
        <v>0</v>
      </c>
      <c r="F2386">
        <v>0</v>
      </c>
      <c r="G2386">
        <v>24.631799999999998</v>
      </c>
      <c r="H2386">
        <v>0</v>
      </c>
      <c r="I2386">
        <v>0</v>
      </c>
      <c r="J2386">
        <v>0</v>
      </c>
      <c r="K2386">
        <v>0</v>
      </c>
      <c r="L2386">
        <v>109</v>
      </c>
      <c r="M2386">
        <v>156</v>
      </c>
      <c r="N2386" t="s">
        <v>36</v>
      </c>
      <c r="O2386" s="3">
        <v>44489</v>
      </c>
      <c r="P2386">
        <v>-1</v>
      </c>
      <c r="T2386" t="s">
        <v>39</v>
      </c>
      <c r="U2386">
        <v>169</v>
      </c>
      <c r="V2386">
        <v>25.4</v>
      </c>
    </row>
    <row r="2387" spans="1:22" x14ac:dyDescent="0.35">
      <c r="A2387" s="3">
        <v>44333</v>
      </c>
      <c r="B2387" t="s">
        <v>33</v>
      </c>
      <c r="C2387">
        <v>0</v>
      </c>
      <c r="D2387">
        <v>0</v>
      </c>
      <c r="E2387">
        <v>0</v>
      </c>
      <c r="F2387">
        <v>0</v>
      </c>
      <c r="G2387">
        <v>25</v>
      </c>
      <c r="H2387">
        <v>0</v>
      </c>
      <c r="I2387">
        <v>0</v>
      </c>
      <c r="J2387">
        <v>0</v>
      </c>
      <c r="K2387">
        <v>0</v>
      </c>
      <c r="L2387">
        <v>171</v>
      </c>
      <c r="M2387">
        <v>247</v>
      </c>
      <c r="N2387" t="s">
        <v>33</v>
      </c>
      <c r="O2387" s="3">
        <v>44580</v>
      </c>
      <c r="P2387">
        <v>-1</v>
      </c>
      <c r="T2387" t="s">
        <v>47</v>
      </c>
      <c r="U2387">
        <v>1</v>
      </c>
      <c r="V2387">
        <v>22.975000000000001</v>
      </c>
    </row>
    <row r="2388" spans="1:22" x14ac:dyDescent="0.35">
      <c r="A2388" s="3">
        <v>44333</v>
      </c>
      <c r="B2388" t="s">
        <v>39</v>
      </c>
      <c r="C2388">
        <v>0</v>
      </c>
      <c r="D2388">
        <v>0</v>
      </c>
      <c r="E2388">
        <v>0</v>
      </c>
      <c r="F2388">
        <v>0</v>
      </c>
      <c r="G2388">
        <v>23.437100000000001</v>
      </c>
      <c r="H2388">
        <v>0</v>
      </c>
      <c r="I2388">
        <v>0</v>
      </c>
      <c r="J2388">
        <v>0</v>
      </c>
      <c r="K2388">
        <v>0</v>
      </c>
      <c r="L2388">
        <v>45</v>
      </c>
      <c r="M2388">
        <v>65</v>
      </c>
      <c r="N2388" t="s">
        <v>39</v>
      </c>
      <c r="O2388" s="3">
        <v>44398</v>
      </c>
      <c r="P2388">
        <v>-1</v>
      </c>
      <c r="T2388" t="s">
        <v>46</v>
      </c>
      <c r="U2388">
        <v>20</v>
      </c>
      <c r="V2388">
        <v>24.024999999999999</v>
      </c>
    </row>
    <row r="2389" spans="1:22" x14ac:dyDescent="0.35">
      <c r="A2389" s="3">
        <v>44333</v>
      </c>
      <c r="B2389" t="s">
        <v>38</v>
      </c>
      <c r="C2389">
        <v>0</v>
      </c>
      <c r="D2389">
        <v>0</v>
      </c>
      <c r="E2389">
        <v>0</v>
      </c>
      <c r="F2389">
        <v>0</v>
      </c>
      <c r="G2389">
        <v>23.892399999999999</v>
      </c>
      <c r="H2389">
        <v>0</v>
      </c>
      <c r="I2389">
        <v>0</v>
      </c>
      <c r="J2389">
        <v>0</v>
      </c>
      <c r="K2389">
        <v>0</v>
      </c>
      <c r="L2389">
        <v>65</v>
      </c>
      <c r="M2389">
        <v>93</v>
      </c>
      <c r="N2389" t="s">
        <v>38</v>
      </c>
      <c r="O2389" s="3">
        <v>44426</v>
      </c>
      <c r="P2389">
        <v>-1</v>
      </c>
      <c r="S2389" s="3">
        <v>44153</v>
      </c>
      <c r="T2389" t="s">
        <v>45</v>
      </c>
      <c r="U2389">
        <v>41</v>
      </c>
      <c r="V2389">
        <v>26.175000000000001</v>
      </c>
    </row>
    <row r="2390" spans="1:22" x14ac:dyDescent="0.35">
      <c r="A2390" s="3">
        <v>44333</v>
      </c>
      <c r="B2390" t="s">
        <v>34</v>
      </c>
      <c r="C2390">
        <v>0</v>
      </c>
      <c r="D2390">
        <v>0</v>
      </c>
      <c r="E2390">
        <v>0</v>
      </c>
      <c r="F2390">
        <v>0</v>
      </c>
      <c r="G2390">
        <v>24.25</v>
      </c>
      <c r="H2390">
        <v>0</v>
      </c>
      <c r="I2390">
        <v>0</v>
      </c>
      <c r="J2390">
        <v>0</v>
      </c>
      <c r="K2390">
        <v>0</v>
      </c>
      <c r="L2390">
        <v>153</v>
      </c>
      <c r="M2390">
        <v>219</v>
      </c>
      <c r="N2390" t="s">
        <v>34</v>
      </c>
      <c r="O2390" s="3">
        <v>44552</v>
      </c>
      <c r="P2390">
        <v>-1</v>
      </c>
      <c r="T2390" t="s">
        <v>44</v>
      </c>
      <c r="U2390">
        <v>60</v>
      </c>
      <c r="V2390">
        <v>26.225000000000001</v>
      </c>
    </row>
    <row r="2391" spans="1:22" x14ac:dyDescent="0.35">
      <c r="A2391" s="3">
        <v>44333</v>
      </c>
      <c r="B2391" t="s">
        <v>37</v>
      </c>
      <c r="C2391">
        <v>0</v>
      </c>
      <c r="D2391">
        <v>0</v>
      </c>
      <c r="E2391">
        <v>0</v>
      </c>
      <c r="F2391">
        <v>0</v>
      </c>
      <c r="G2391">
        <v>24.4148</v>
      </c>
      <c r="H2391">
        <v>0</v>
      </c>
      <c r="I2391">
        <v>0</v>
      </c>
      <c r="J2391">
        <v>0</v>
      </c>
      <c r="K2391">
        <v>0</v>
      </c>
      <c r="L2391">
        <v>84</v>
      </c>
      <c r="M2391">
        <v>121</v>
      </c>
      <c r="N2391" t="s">
        <v>37</v>
      </c>
      <c r="O2391" s="3">
        <v>44454</v>
      </c>
      <c r="P2391">
        <v>-1</v>
      </c>
      <c r="T2391" t="s">
        <v>43</v>
      </c>
      <c r="U2391">
        <v>80</v>
      </c>
      <c r="V2391">
        <v>26.125</v>
      </c>
    </row>
    <row r="2392" spans="1:22" x14ac:dyDescent="0.35">
      <c r="A2392" s="3">
        <v>44333</v>
      </c>
      <c r="B2392" t="s">
        <v>41</v>
      </c>
      <c r="C2392">
        <v>0</v>
      </c>
      <c r="D2392">
        <v>0</v>
      </c>
      <c r="E2392">
        <v>0</v>
      </c>
      <c r="F2392">
        <v>0</v>
      </c>
      <c r="G2392">
        <v>19.906300000000002</v>
      </c>
      <c r="H2392">
        <v>0</v>
      </c>
      <c r="I2392">
        <v>0</v>
      </c>
      <c r="J2392">
        <v>0</v>
      </c>
      <c r="K2392">
        <v>0</v>
      </c>
      <c r="L2392">
        <v>2</v>
      </c>
      <c r="M2392">
        <v>2</v>
      </c>
      <c r="N2392" t="s">
        <v>41</v>
      </c>
      <c r="O2392" s="3">
        <v>44335</v>
      </c>
      <c r="P2392">
        <v>-1</v>
      </c>
      <c r="T2392" t="s">
        <v>42</v>
      </c>
      <c r="U2392">
        <v>105</v>
      </c>
      <c r="V2392">
        <v>26.125</v>
      </c>
    </row>
    <row r="2393" spans="1:22" x14ac:dyDescent="0.35">
      <c r="A2393" s="3">
        <v>44333</v>
      </c>
      <c r="B2393" t="s">
        <v>40</v>
      </c>
      <c r="C2393">
        <v>0</v>
      </c>
      <c r="D2393">
        <v>0</v>
      </c>
      <c r="E2393">
        <v>0</v>
      </c>
      <c r="F2393">
        <v>0</v>
      </c>
      <c r="G2393">
        <v>22.1144</v>
      </c>
      <c r="H2393">
        <v>0</v>
      </c>
      <c r="I2393">
        <v>0</v>
      </c>
      <c r="J2393">
        <v>0</v>
      </c>
      <c r="K2393">
        <v>0</v>
      </c>
      <c r="L2393">
        <v>21</v>
      </c>
      <c r="M2393">
        <v>30</v>
      </c>
      <c r="N2393" t="s">
        <v>40</v>
      </c>
      <c r="O2393" s="3">
        <v>44363</v>
      </c>
      <c r="P2393">
        <v>-1</v>
      </c>
      <c r="T2393" t="s">
        <v>41</v>
      </c>
      <c r="U2393">
        <v>125</v>
      </c>
      <c r="V2393">
        <v>26.175000000000001</v>
      </c>
    </row>
    <row r="2394" spans="1:22" x14ac:dyDescent="0.35">
      <c r="A2394" s="3">
        <v>44333</v>
      </c>
      <c r="B2394" t="s">
        <v>35</v>
      </c>
      <c r="C2394">
        <v>0</v>
      </c>
      <c r="D2394">
        <v>0</v>
      </c>
      <c r="E2394">
        <v>0</v>
      </c>
      <c r="F2394">
        <v>0</v>
      </c>
      <c r="G2394">
        <v>24.5075</v>
      </c>
      <c r="H2394">
        <v>0</v>
      </c>
      <c r="I2394">
        <v>0</v>
      </c>
      <c r="J2394">
        <v>0</v>
      </c>
      <c r="K2394">
        <v>0</v>
      </c>
      <c r="L2394">
        <v>129</v>
      </c>
      <c r="M2394">
        <v>184</v>
      </c>
      <c r="N2394" t="s">
        <v>35</v>
      </c>
      <c r="O2394" s="3">
        <v>44517</v>
      </c>
      <c r="P2394">
        <v>-1</v>
      </c>
      <c r="T2394" t="s">
        <v>40</v>
      </c>
      <c r="U2394">
        <v>144</v>
      </c>
      <c r="V2394">
        <v>26.274999999999999</v>
      </c>
    </row>
    <row r="2395" spans="1:22" x14ac:dyDescent="0.35">
      <c r="A2395" s="3">
        <v>44330</v>
      </c>
      <c r="B2395" t="s">
        <v>39</v>
      </c>
      <c r="C2395">
        <v>0</v>
      </c>
      <c r="D2395">
        <v>0</v>
      </c>
      <c r="E2395">
        <v>0</v>
      </c>
      <c r="F2395">
        <v>0</v>
      </c>
      <c r="G2395">
        <v>22.805299999999999</v>
      </c>
      <c r="H2395">
        <v>0</v>
      </c>
      <c r="I2395">
        <v>0</v>
      </c>
      <c r="J2395">
        <v>0</v>
      </c>
      <c r="K2395">
        <v>0</v>
      </c>
      <c r="L2395">
        <v>46</v>
      </c>
      <c r="M2395">
        <v>68</v>
      </c>
      <c r="N2395" t="s">
        <v>39</v>
      </c>
      <c r="O2395" s="3">
        <v>44398</v>
      </c>
      <c r="P2395">
        <v>-1</v>
      </c>
      <c r="T2395" t="s">
        <v>47</v>
      </c>
      <c r="U2395">
        <v>0</v>
      </c>
      <c r="V2395">
        <v>22.41</v>
      </c>
    </row>
    <row r="2396" spans="1:22" x14ac:dyDescent="0.35">
      <c r="A2396" s="3">
        <v>44330</v>
      </c>
      <c r="B2396" t="s">
        <v>38</v>
      </c>
      <c r="C2396">
        <v>0</v>
      </c>
      <c r="D2396">
        <v>0</v>
      </c>
      <c r="E2396">
        <v>0</v>
      </c>
      <c r="F2396">
        <v>0</v>
      </c>
      <c r="G2396">
        <v>23.334099999999999</v>
      </c>
      <c r="H2396">
        <v>0</v>
      </c>
      <c r="I2396">
        <v>0</v>
      </c>
      <c r="J2396">
        <v>0</v>
      </c>
      <c r="K2396">
        <v>0</v>
      </c>
      <c r="L2396">
        <v>66</v>
      </c>
      <c r="M2396">
        <v>96</v>
      </c>
      <c r="N2396" t="s">
        <v>38</v>
      </c>
      <c r="O2396" s="3">
        <v>44426</v>
      </c>
      <c r="P2396">
        <v>-1</v>
      </c>
      <c r="T2396" t="s">
        <v>46</v>
      </c>
      <c r="U2396">
        <v>19</v>
      </c>
      <c r="V2396">
        <v>24.875</v>
      </c>
    </row>
    <row r="2397" spans="1:22" x14ac:dyDescent="0.35">
      <c r="A2397" s="3">
        <v>44330</v>
      </c>
      <c r="B2397" t="s">
        <v>34</v>
      </c>
      <c r="C2397">
        <v>0</v>
      </c>
      <c r="D2397">
        <v>0</v>
      </c>
      <c r="E2397">
        <v>0</v>
      </c>
      <c r="F2397">
        <v>0</v>
      </c>
      <c r="G2397">
        <v>23.5</v>
      </c>
      <c r="H2397">
        <v>0</v>
      </c>
      <c r="I2397">
        <v>0</v>
      </c>
      <c r="J2397">
        <v>0</v>
      </c>
      <c r="K2397">
        <v>0</v>
      </c>
      <c r="L2397">
        <v>154</v>
      </c>
      <c r="M2397">
        <v>222</v>
      </c>
      <c r="N2397" t="s">
        <v>34</v>
      </c>
      <c r="O2397" s="3">
        <v>44552</v>
      </c>
      <c r="P2397">
        <v>-1</v>
      </c>
      <c r="S2397" s="3">
        <v>44154</v>
      </c>
      <c r="T2397" t="s">
        <v>45</v>
      </c>
      <c r="U2397">
        <v>40</v>
      </c>
      <c r="V2397">
        <v>25.925000000000001</v>
      </c>
    </row>
    <row r="2398" spans="1:22" x14ac:dyDescent="0.35">
      <c r="A2398" s="3">
        <v>44330</v>
      </c>
      <c r="B2398" t="s">
        <v>37</v>
      </c>
      <c r="C2398">
        <v>0</v>
      </c>
      <c r="D2398">
        <v>0</v>
      </c>
      <c r="E2398">
        <v>0</v>
      </c>
      <c r="F2398">
        <v>0</v>
      </c>
      <c r="G2398">
        <v>23.813800000000001</v>
      </c>
      <c r="H2398">
        <v>0</v>
      </c>
      <c r="I2398">
        <v>0</v>
      </c>
      <c r="J2398">
        <v>0</v>
      </c>
      <c r="K2398">
        <v>0</v>
      </c>
      <c r="L2398">
        <v>85</v>
      </c>
      <c r="M2398">
        <v>124</v>
      </c>
      <c r="N2398" t="s">
        <v>37</v>
      </c>
      <c r="O2398" s="3">
        <v>44454</v>
      </c>
      <c r="P2398">
        <v>-1</v>
      </c>
      <c r="T2398" t="s">
        <v>44</v>
      </c>
      <c r="U2398">
        <v>59</v>
      </c>
      <c r="V2398">
        <v>26.074999999999999</v>
      </c>
    </row>
    <row r="2399" spans="1:22" x14ac:dyDescent="0.35">
      <c r="A2399" s="3">
        <v>44330</v>
      </c>
      <c r="B2399" t="s">
        <v>41</v>
      </c>
      <c r="C2399">
        <v>0</v>
      </c>
      <c r="D2399">
        <v>0</v>
      </c>
      <c r="E2399">
        <v>0</v>
      </c>
      <c r="F2399">
        <v>0</v>
      </c>
      <c r="G2399">
        <v>19.1312</v>
      </c>
      <c r="H2399">
        <v>0</v>
      </c>
      <c r="I2399">
        <v>0</v>
      </c>
      <c r="J2399">
        <v>0</v>
      </c>
      <c r="K2399">
        <v>0</v>
      </c>
      <c r="L2399">
        <v>3</v>
      </c>
      <c r="M2399">
        <v>5</v>
      </c>
      <c r="N2399" t="s">
        <v>41</v>
      </c>
      <c r="O2399" s="3">
        <v>44335</v>
      </c>
      <c r="P2399">
        <v>-1</v>
      </c>
      <c r="T2399" t="s">
        <v>43</v>
      </c>
      <c r="U2399">
        <v>79</v>
      </c>
      <c r="V2399">
        <v>25.925000000000001</v>
      </c>
    </row>
    <row r="2400" spans="1:22" x14ac:dyDescent="0.35">
      <c r="A2400" s="3">
        <v>44330</v>
      </c>
      <c r="B2400" t="s">
        <v>40</v>
      </c>
      <c r="C2400">
        <v>0</v>
      </c>
      <c r="D2400">
        <v>0</v>
      </c>
      <c r="E2400">
        <v>0</v>
      </c>
      <c r="F2400">
        <v>0</v>
      </c>
      <c r="G2400">
        <v>21.366800000000001</v>
      </c>
      <c r="H2400">
        <v>0</v>
      </c>
      <c r="I2400">
        <v>0</v>
      </c>
      <c r="J2400">
        <v>0</v>
      </c>
      <c r="K2400">
        <v>0</v>
      </c>
      <c r="L2400">
        <v>22</v>
      </c>
      <c r="M2400">
        <v>33</v>
      </c>
      <c r="N2400" t="s">
        <v>40</v>
      </c>
      <c r="O2400" s="3">
        <v>44363</v>
      </c>
      <c r="P2400">
        <v>-1</v>
      </c>
      <c r="T2400" t="s">
        <v>42</v>
      </c>
      <c r="U2400">
        <v>104</v>
      </c>
      <c r="V2400">
        <v>25.975000000000001</v>
      </c>
    </row>
    <row r="2401" spans="1:22" x14ac:dyDescent="0.35">
      <c r="A2401" s="3">
        <v>44330</v>
      </c>
      <c r="B2401" t="s">
        <v>35</v>
      </c>
      <c r="C2401">
        <v>0</v>
      </c>
      <c r="D2401">
        <v>0</v>
      </c>
      <c r="E2401">
        <v>0</v>
      </c>
      <c r="F2401">
        <v>0</v>
      </c>
      <c r="G2401">
        <v>23.8489</v>
      </c>
      <c r="H2401">
        <v>0</v>
      </c>
      <c r="I2401">
        <v>0</v>
      </c>
      <c r="J2401">
        <v>0</v>
      </c>
      <c r="K2401">
        <v>0</v>
      </c>
      <c r="L2401">
        <v>130</v>
      </c>
      <c r="M2401">
        <v>187</v>
      </c>
      <c r="N2401" t="s">
        <v>35</v>
      </c>
      <c r="O2401" s="3">
        <v>44517</v>
      </c>
      <c r="P2401">
        <v>-1</v>
      </c>
      <c r="T2401" t="s">
        <v>41</v>
      </c>
      <c r="U2401">
        <v>124</v>
      </c>
      <c r="V2401">
        <v>25.975000000000001</v>
      </c>
    </row>
    <row r="2402" spans="1:22" x14ac:dyDescent="0.35">
      <c r="A2402" s="3">
        <v>44330</v>
      </c>
      <c r="B2402" t="s">
        <v>36</v>
      </c>
      <c r="C2402">
        <v>0</v>
      </c>
      <c r="D2402">
        <v>0</v>
      </c>
      <c r="E2402">
        <v>0</v>
      </c>
      <c r="F2402">
        <v>0</v>
      </c>
      <c r="G2402">
        <v>24.042400000000001</v>
      </c>
      <c r="H2402">
        <v>0</v>
      </c>
      <c r="I2402">
        <v>0</v>
      </c>
      <c r="J2402">
        <v>0</v>
      </c>
      <c r="K2402">
        <v>0</v>
      </c>
      <c r="L2402">
        <v>110</v>
      </c>
      <c r="M2402">
        <v>159</v>
      </c>
      <c r="N2402" t="s">
        <v>36</v>
      </c>
      <c r="O2402" s="3">
        <v>44489</v>
      </c>
      <c r="P2402">
        <v>-1</v>
      </c>
      <c r="T2402" t="s">
        <v>40</v>
      </c>
      <c r="U2402">
        <v>143</v>
      </c>
      <c r="V2402">
        <v>25.925000000000001</v>
      </c>
    </row>
    <row r="2403" spans="1:22" x14ac:dyDescent="0.35">
      <c r="A2403" s="3">
        <v>44330</v>
      </c>
      <c r="B2403" t="s">
        <v>33</v>
      </c>
      <c r="C2403">
        <v>0</v>
      </c>
      <c r="D2403">
        <v>0</v>
      </c>
      <c r="E2403">
        <v>0</v>
      </c>
      <c r="F2403">
        <v>0</v>
      </c>
      <c r="G2403">
        <v>24.425000000000001</v>
      </c>
      <c r="H2403">
        <v>0</v>
      </c>
      <c r="I2403">
        <v>0</v>
      </c>
      <c r="J2403">
        <v>0</v>
      </c>
      <c r="K2403">
        <v>0</v>
      </c>
      <c r="L2403">
        <v>172</v>
      </c>
      <c r="M2403">
        <v>250</v>
      </c>
      <c r="N2403" t="s">
        <v>33</v>
      </c>
      <c r="O2403" s="3">
        <v>44580</v>
      </c>
      <c r="P2403">
        <v>-1</v>
      </c>
      <c r="T2403" t="s">
        <v>39</v>
      </c>
      <c r="U2403">
        <v>167</v>
      </c>
      <c r="V2403">
        <v>26.2</v>
      </c>
    </row>
    <row r="2404" spans="1:22" x14ac:dyDescent="0.35">
      <c r="A2404" s="3">
        <v>44329</v>
      </c>
      <c r="B2404" t="s">
        <v>36</v>
      </c>
      <c r="C2404">
        <v>0</v>
      </c>
      <c r="D2404">
        <v>0</v>
      </c>
      <c r="E2404">
        <v>0</v>
      </c>
      <c r="F2404">
        <v>0</v>
      </c>
      <c r="G2404">
        <v>25.217400000000001</v>
      </c>
      <c r="H2404">
        <v>0</v>
      </c>
      <c r="I2404">
        <v>0</v>
      </c>
      <c r="J2404">
        <v>0</v>
      </c>
      <c r="K2404">
        <v>0</v>
      </c>
      <c r="L2404">
        <v>111</v>
      </c>
      <c r="M2404">
        <v>160</v>
      </c>
      <c r="N2404" t="s">
        <v>36</v>
      </c>
      <c r="O2404" s="3">
        <v>44489</v>
      </c>
      <c r="P2404">
        <v>-1</v>
      </c>
      <c r="T2404" t="s">
        <v>46</v>
      </c>
      <c r="U2404">
        <v>18</v>
      </c>
      <c r="V2404">
        <v>24.475000000000001</v>
      </c>
    </row>
    <row r="2405" spans="1:22" x14ac:dyDescent="0.35">
      <c r="A2405" s="3">
        <v>44329</v>
      </c>
      <c r="B2405" t="s">
        <v>33</v>
      </c>
      <c r="C2405">
        <v>0</v>
      </c>
      <c r="D2405">
        <v>0</v>
      </c>
      <c r="E2405">
        <v>0</v>
      </c>
      <c r="F2405">
        <v>0</v>
      </c>
      <c r="G2405">
        <v>25.475000000000001</v>
      </c>
      <c r="H2405">
        <v>0</v>
      </c>
      <c r="I2405">
        <v>0</v>
      </c>
      <c r="J2405">
        <v>0</v>
      </c>
      <c r="K2405">
        <v>0</v>
      </c>
      <c r="L2405">
        <v>173</v>
      </c>
      <c r="M2405">
        <v>251</v>
      </c>
      <c r="N2405" t="s">
        <v>33</v>
      </c>
      <c r="O2405" s="3">
        <v>44580</v>
      </c>
      <c r="P2405">
        <v>-1</v>
      </c>
      <c r="S2405" s="3">
        <v>44155</v>
      </c>
      <c r="T2405" t="s">
        <v>45</v>
      </c>
      <c r="U2405">
        <v>39</v>
      </c>
      <c r="V2405">
        <v>25.824999999999999</v>
      </c>
    </row>
    <row r="2406" spans="1:22" x14ac:dyDescent="0.35">
      <c r="A2406" s="3">
        <v>44329</v>
      </c>
      <c r="B2406" t="s">
        <v>39</v>
      </c>
      <c r="C2406">
        <v>0</v>
      </c>
      <c r="D2406">
        <v>0</v>
      </c>
      <c r="E2406">
        <v>0</v>
      </c>
      <c r="F2406">
        <v>0</v>
      </c>
      <c r="G2406">
        <v>24.725000000000001</v>
      </c>
      <c r="H2406">
        <v>0</v>
      </c>
      <c r="I2406">
        <v>0</v>
      </c>
      <c r="J2406">
        <v>0</v>
      </c>
      <c r="K2406">
        <v>0</v>
      </c>
      <c r="L2406">
        <v>47</v>
      </c>
      <c r="M2406">
        <v>69</v>
      </c>
      <c r="N2406" t="s">
        <v>39</v>
      </c>
      <c r="O2406" s="3">
        <v>44398</v>
      </c>
      <c r="P2406">
        <v>-1</v>
      </c>
      <c r="T2406" t="s">
        <v>44</v>
      </c>
      <c r="U2406">
        <v>58</v>
      </c>
      <c r="V2406">
        <v>25.975000000000001</v>
      </c>
    </row>
    <row r="2407" spans="1:22" x14ac:dyDescent="0.35">
      <c r="A2407" s="3">
        <v>44329</v>
      </c>
      <c r="B2407" t="s">
        <v>38</v>
      </c>
      <c r="C2407">
        <v>0</v>
      </c>
      <c r="D2407">
        <v>0</v>
      </c>
      <c r="E2407">
        <v>0</v>
      </c>
      <c r="F2407">
        <v>0</v>
      </c>
      <c r="G2407">
        <v>24.891100000000002</v>
      </c>
      <c r="H2407">
        <v>0</v>
      </c>
      <c r="I2407">
        <v>0</v>
      </c>
      <c r="J2407">
        <v>0</v>
      </c>
      <c r="K2407">
        <v>0</v>
      </c>
      <c r="L2407">
        <v>67</v>
      </c>
      <c r="M2407">
        <v>97</v>
      </c>
      <c r="N2407" t="s">
        <v>38</v>
      </c>
      <c r="O2407" s="3">
        <v>44426</v>
      </c>
      <c r="P2407">
        <v>-1</v>
      </c>
      <c r="T2407" t="s">
        <v>43</v>
      </c>
      <c r="U2407">
        <v>78</v>
      </c>
      <c r="V2407">
        <v>25.925000000000001</v>
      </c>
    </row>
    <row r="2408" spans="1:22" x14ac:dyDescent="0.35">
      <c r="A2408" s="3">
        <v>44329</v>
      </c>
      <c r="B2408" t="s">
        <v>34</v>
      </c>
      <c r="C2408">
        <v>0</v>
      </c>
      <c r="D2408">
        <v>0</v>
      </c>
      <c r="E2408">
        <v>0</v>
      </c>
      <c r="F2408">
        <v>0</v>
      </c>
      <c r="G2408">
        <v>24.5</v>
      </c>
      <c r="H2408">
        <v>0</v>
      </c>
      <c r="I2408">
        <v>0</v>
      </c>
      <c r="J2408">
        <v>0</v>
      </c>
      <c r="K2408">
        <v>0</v>
      </c>
      <c r="L2408">
        <v>155</v>
      </c>
      <c r="M2408">
        <v>223</v>
      </c>
      <c r="N2408" t="s">
        <v>34</v>
      </c>
      <c r="O2408" s="3">
        <v>44552</v>
      </c>
      <c r="P2408">
        <v>-1</v>
      </c>
      <c r="T2408" t="s">
        <v>42</v>
      </c>
      <c r="U2408">
        <v>103</v>
      </c>
      <c r="V2408">
        <v>26.024999999999999</v>
      </c>
    </row>
    <row r="2409" spans="1:22" x14ac:dyDescent="0.35">
      <c r="A2409" s="3">
        <v>44329</v>
      </c>
      <c r="B2409" t="s">
        <v>37</v>
      </c>
      <c r="C2409">
        <v>0</v>
      </c>
      <c r="D2409">
        <v>0</v>
      </c>
      <c r="E2409">
        <v>0</v>
      </c>
      <c r="F2409">
        <v>0</v>
      </c>
      <c r="G2409">
        <v>25.211300000000001</v>
      </c>
      <c r="H2409">
        <v>0</v>
      </c>
      <c r="I2409">
        <v>0</v>
      </c>
      <c r="J2409">
        <v>0</v>
      </c>
      <c r="K2409">
        <v>0</v>
      </c>
      <c r="L2409">
        <v>86</v>
      </c>
      <c r="M2409">
        <v>125</v>
      </c>
      <c r="N2409" t="s">
        <v>37</v>
      </c>
      <c r="O2409" s="3">
        <v>44454</v>
      </c>
      <c r="P2409">
        <v>-1</v>
      </c>
      <c r="T2409" t="s">
        <v>41</v>
      </c>
      <c r="U2409">
        <v>123</v>
      </c>
      <c r="V2409">
        <v>26.074999999999999</v>
      </c>
    </row>
    <row r="2410" spans="1:22" x14ac:dyDescent="0.35">
      <c r="A2410" s="3">
        <v>44329</v>
      </c>
      <c r="B2410" t="s">
        <v>41</v>
      </c>
      <c r="C2410">
        <v>0</v>
      </c>
      <c r="D2410">
        <v>0</v>
      </c>
      <c r="E2410">
        <v>0</v>
      </c>
      <c r="F2410">
        <v>0</v>
      </c>
      <c r="G2410">
        <v>22.693200000000001</v>
      </c>
      <c r="H2410">
        <v>0</v>
      </c>
      <c r="I2410">
        <v>0</v>
      </c>
      <c r="J2410">
        <v>0</v>
      </c>
      <c r="K2410">
        <v>0</v>
      </c>
      <c r="L2410">
        <v>4</v>
      </c>
      <c r="M2410">
        <v>6</v>
      </c>
      <c r="N2410" t="s">
        <v>41</v>
      </c>
      <c r="O2410" s="3">
        <v>44335</v>
      </c>
      <c r="P2410">
        <v>-1</v>
      </c>
      <c r="T2410" t="s">
        <v>40</v>
      </c>
      <c r="U2410">
        <v>142</v>
      </c>
      <c r="V2410">
        <v>26.1</v>
      </c>
    </row>
    <row r="2411" spans="1:22" x14ac:dyDescent="0.35">
      <c r="A2411" s="3">
        <v>44329</v>
      </c>
      <c r="B2411" t="s">
        <v>40</v>
      </c>
      <c r="C2411">
        <v>0</v>
      </c>
      <c r="D2411">
        <v>0</v>
      </c>
      <c r="E2411">
        <v>0</v>
      </c>
      <c r="F2411">
        <v>0</v>
      </c>
      <c r="G2411">
        <v>24.0809</v>
      </c>
      <c r="H2411">
        <v>0</v>
      </c>
      <c r="I2411">
        <v>0</v>
      </c>
      <c r="J2411">
        <v>0</v>
      </c>
      <c r="K2411">
        <v>0</v>
      </c>
      <c r="L2411">
        <v>23</v>
      </c>
      <c r="M2411">
        <v>34</v>
      </c>
      <c r="N2411" t="s">
        <v>40</v>
      </c>
      <c r="O2411" s="3">
        <v>44363</v>
      </c>
      <c r="P2411">
        <v>-1</v>
      </c>
      <c r="T2411" t="s">
        <v>39</v>
      </c>
      <c r="U2411">
        <v>166</v>
      </c>
      <c r="V2411">
        <v>26.15</v>
      </c>
    </row>
    <row r="2412" spans="1:22" x14ac:dyDescent="0.35">
      <c r="A2412" s="3">
        <v>44329</v>
      </c>
      <c r="B2412" t="s">
        <v>35</v>
      </c>
      <c r="C2412">
        <v>0</v>
      </c>
      <c r="D2412">
        <v>0</v>
      </c>
      <c r="E2412">
        <v>0</v>
      </c>
      <c r="F2412">
        <v>0</v>
      </c>
      <c r="G2412">
        <v>25.04</v>
      </c>
      <c r="H2412">
        <v>0</v>
      </c>
      <c r="I2412">
        <v>0</v>
      </c>
      <c r="J2412">
        <v>0</v>
      </c>
      <c r="K2412">
        <v>0</v>
      </c>
      <c r="L2412">
        <v>131</v>
      </c>
      <c r="M2412">
        <v>188</v>
      </c>
      <c r="N2412" t="s">
        <v>35</v>
      </c>
      <c r="O2412" s="3">
        <v>44517</v>
      </c>
      <c r="P2412">
        <v>-1</v>
      </c>
      <c r="T2412" t="s">
        <v>46</v>
      </c>
      <c r="U2412">
        <v>17</v>
      </c>
      <c r="V2412">
        <v>24.375</v>
      </c>
    </row>
    <row r="2413" spans="1:22" x14ac:dyDescent="0.35">
      <c r="A2413" s="3">
        <v>44328</v>
      </c>
      <c r="B2413" t="s">
        <v>39</v>
      </c>
      <c r="C2413">
        <v>0</v>
      </c>
      <c r="D2413">
        <v>0</v>
      </c>
      <c r="E2413">
        <v>0</v>
      </c>
      <c r="F2413">
        <v>0</v>
      </c>
      <c r="G2413">
        <v>26.546800000000001</v>
      </c>
      <c r="H2413">
        <v>0</v>
      </c>
      <c r="I2413">
        <v>0</v>
      </c>
      <c r="J2413">
        <v>0</v>
      </c>
      <c r="K2413">
        <v>0</v>
      </c>
      <c r="L2413">
        <v>48</v>
      </c>
      <c r="M2413">
        <v>70</v>
      </c>
      <c r="N2413" t="s">
        <v>39</v>
      </c>
      <c r="O2413" s="3">
        <v>44398</v>
      </c>
      <c r="P2413">
        <v>-1</v>
      </c>
      <c r="S2413" s="3">
        <v>44158</v>
      </c>
      <c r="T2413" t="s">
        <v>45</v>
      </c>
      <c r="U2413">
        <v>38</v>
      </c>
      <c r="V2413">
        <v>25.725000000000001</v>
      </c>
    </row>
    <row r="2414" spans="1:22" x14ac:dyDescent="0.35">
      <c r="A2414" s="3">
        <v>44328</v>
      </c>
      <c r="B2414" t="s">
        <v>38</v>
      </c>
      <c r="C2414">
        <v>0</v>
      </c>
      <c r="D2414">
        <v>0</v>
      </c>
      <c r="E2414">
        <v>0</v>
      </c>
      <c r="F2414">
        <v>0</v>
      </c>
      <c r="G2414">
        <v>26.517199999999999</v>
      </c>
      <c r="H2414">
        <v>0</v>
      </c>
      <c r="I2414">
        <v>0</v>
      </c>
      <c r="J2414">
        <v>0</v>
      </c>
      <c r="K2414">
        <v>0</v>
      </c>
      <c r="L2414">
        <v>68</v>
      </c>
      <c r="M2414">
        <v>98</v>
      </c>
      <c r="N2414" t="s">
        <v>38</v>
      </c>
      <c r="O2414" s="3">
        <v>44426</v>
      </c>
      <c r="P2414">
        <v>-1</v>
      </c>
      <c r="T2414" t="s">
        <v>44</v>
      </c>
      <c r="U2414">
        <v>57</v>
      </c>
      <c r="V2414">
        <v>25.875</v>
      </c>
    </row>
    <row r="2415" spans="1:22" x14ac:dyDescent="0.35">
      <c r="A2415" s="3">
        <v>44328</v>
      </c>
      <c r="B2415" t="s">
        <v>34</v>
      </c>
      <c r="C2415">
        <v>0</v>
      </c>
      <c r="D2415">
        <v>0</v>
      </c>
      <c r="E2415">
        <v>0</v>
      </c>
      <c r="F2415">
        <v>0</v>
      </c>
      <c r="G2415">
        <v>25.6</v>
      </c>
      <c r="H2415">
        <v>0</v>
      </c>
      <c r="I2415">
        <v>0</v>
      </c>
      <c r="J2415">
        <v>0</v>
      </c>
      <c r="K2415">
        <v>0</v>
      </c>
      <c r="L2415">
        <v>156</v>
      </c>
      <c r="M2415">
        <v>224</v>
      </c>
      <c r="N2415" t="s">
        <v>34</v>
      </c>
      <c r="O2415" s="3">
        <v>44552</v>
      </c>
      <c r="P2415">
        <v>-1</v>
      </c>
      <c r="T2415" t="s">
        <v>43</v>
      </c>
      <c r="U2415">
        <v>77</v>
      </c>
      <c r="V2415">
        <v>25.725000000000001</v>
      </c>
    </row>
    <row r="2416" spans="1:22" x14ac:dyDescent="0.35">
      <c r="A2416" s="3">
        <v>44328</v>
      </c>
      <c r="B2416" t="s">
        <v>37</v>
      </c>
      <c r="C2416">
        <v>0</v>
      </c>
      <c r="D2416">
        <v>0</v>
      </c>
      <c r="E2416">
        <v>0</v>
      </c>
      <c r="F2416">
        <v>0</v>
      </c>
      <c r="G2416">
        <v>26.711200000000002</v>
      </c>
      <c r="H2416">
        <v>0</v>
      </c>
      <c r="I2416">
        <v>0</v>
      </c>
      <c r="J2416">
        <v>0</v>
      </c>
      <c r="K2416">
        <v>0</v>
      </c>
      <c r="L2416">
        <v>87</v>
      </c>
      <c r="M2416">
        <v>126</v>
      </c>
      <c r="N2416" t="s">
        <v>37</v>
      </c>
      <c r="O2416" s="3">
        <v>44454</v>
      </c>
      <c r="P2416">
        <v>-1</v>
      </c>
      <c r="T2416" t="s">
        <v>42</v>
      </c>
      <c r="U2416">
        <v>102</v>
      </c>
      <c r="V2416">
        <v>25.824999999999999</v>
      </c>
    </row>
    <row r="2417" spans="1:22" x14ac:dyDescent="0.35">
      <c r="A2417" s="3">
        <v>44328</v>
      </c>
      <c r="B2417" t="s">
        <v>41</v>
      </c>
      <c r="C2417">
        <v>0</v>
      </c>
      <c r="D2417">
        <v>0</v>
      </c>
      <c r="E2417">
        <v>0</v>
      </c>
      <c r="F2417">
        <v>0</v>
      </c>
      <c r="G2417">
        <v>25.9725</v>
      </c>
      <c r="H2417">
        <v>0</v>
      </c>
      <c r="I2417">
        <v>0</v>
      </c>
      <c r="J2417">
        <v>0</v>
      </c>
      <c r="K2417">
        <v>0</v>
      </c>
      <c r="L2417">
        <v>5</v>
      </c>
      <c r="M2417">
        <v>7</v>
      </c>
      <c r="N2417" t="s">
        <v>41</v>
      </c>
      <c r="O2417" s="3">
        <v>44335</v>
      </c>
      <c r="P2417">
        <v>-1</v>
      </c>
      <c r="T2417" t="s">
        <v>41</v>
      </c>
      <c r="U2417">
        <v>122</v>
      </c>
      <c r="V2417">
        <v>25.875</v>
      </c>
    </row>
    <row r="2418" spans="1:22" x14ac:dyDescent="0.35">
      <c r="A2418" s="3">
        <v>44328</v>
      </c>
      <c r="B2418" t="s">
        <v>40</v>
      </c>
      <c r="C2418">
        <v>0</v>
      </c>
      <c r="D2418">
        <v>0</v>
      </c>
      <c r="E2418">
        <v>0</v>
      </c>
      <c r="F2418">
        <v>0</v>
      </c>
      <c r="G2418">
        <v>26.433399999999999</v>
      </c>
      <c r="H2418">
        <v>0</v>
      </c>
      <c r="I2418">
        <v>0</v>
      </c>
      <c r="J2418">
        <v>0</v>
      </c>
      <c r="K2418">
        <v>0</v>
      </c>
      <c r="L2418">
        <v>24</v>
      </c>
      <c r="M2418">
        <v>35</v>
      </c>
      <c r="N2418" t="s">
        <v>40</v>
      </c>
      <c r="O2418" s="3">
        <v>44363</v>
      </c>
      <c r="P2418">
        <v>-1</v>
      </c>
      <c r="T2418" t="s">
        <v>40</v>
      </c>
      <c r="U2418">
        <v>141</v>
      </c>
      <c r="V2418">
        <v>25.85</v>
      </c>
    </row>
    <row r="2419" spans="1:22" x14ac:dyDescent="0.35">
      <c r="A2419" s="3">
        <v>44328</v>
      </c>
      <c r="B2419" t="s">
        <v>35</v>
      </c>
      <c r="C2419">
        <v>0</v>
      </c>
      <c r="D2419">
        <v>0</v>
      </c>
      <c r="E2419">
        <v>0</v>
      </c>
      <c r="F2419">
        <v>0</v>
      </c>
      <c r="G2419">
        <v>26.155000000000001</v>
      </c>
      <c r="H2419">
        <v>0</v>
      </c>
      <c r="I2419">
        <v>0</v>
      </c>
      <c r="J2419">
        <v>0</v>
      </c>
      <c r="K2419">
        <v>0</v>
      </c>
      <c r="L2419">
        <v>132</v>
      </c>
      <c r="M2419">
        <v>189</v>
      </c>
      <c r="N2419" t="s">
        <v>35</v>
      </c>
      <c r="O2419" s="3">
        <v>44517</v>
      </c>
      <c r="P2419">
        <v>-1</v>
      </c>
      <c r="T2419" t="s">
        <v>46</v>
      </c>
      <c r="U2419">
        <v>16</v>
      </c>
      <c r="V2419">
        <v>24.1</v>
      </c>
    </row>
    <row r="2420" spans="1:22" x14ac:dyDescent="0.35">
      <c r="A2420" s="3">
        <v>44328</v>
      </c>
      <c r="B2420" t="s">
        <v>36</v>
      </c>
      <c r="C2420">
        <v>0</v>
      </c>
      <c r="D2420">
        <v>0</v>
      </c>
      <c r="E2420">
        <v>0</v>
      </c>
      <c r="F2420">
        <v>0</v>
      </c>
      <c r="G2420">
        <v>26.553999999999998</v>
      </c>
      <c r="H2420">
        <v>0</v>
      </c>
      <c r="I2420">
        <v>0</v>
      </c>
      <c r="J2420">
        <v>0</v>
      </c>
      <c r="K2420">
        <v>0</v>
      </c>
      <c r="L2420">
        <v>112</v>
      </c>
      <c r="M2420">
        <v>161</v>
      </c>
      <c r="N2420" t="s">
        <v>36</v>
      </c>
      <c r="O2420" s="3">
        <v>44489</v>
      </c>
      <c r="P2420">
        <v>-1</v>
      </c>
      <c r="S2420" s="3">
        <v>44159</v>
      </c>
      <c r="T2420" t="s">
        <v>45</v>
      </c>
      <c r="U2420">
        <v>37</v>
      </c>
      <c r="V2420">
        <v>25.625</v>
      </c>
    </row>
    <row r="2421" spans="1:22" x14ac:dyDescent="0.35">
      <c r="A2421" s="3">
        <v>44328</v>
      </c>
      <c r="B2421" t="s">
        <v>33</v>
      </c>
      <c r="C2421">
        <v>0</v>
      </c>
      <c r="D2421">
        <v>0</v>
      </c>
      <c r="E2421">
        <v>0</v>
      </c>
      <c r="F2421">
        <v>0</v>
      </c>
      <c r="G2421">
        <v>26.125</v>
      </c>
      <c r="H2421">
        <v>0</v>
      </c>
      <c r="I2421">
        <v>0</v>
      </c>
      <c r="J2421">
        <v>0</v>
      </c>
      <c r="K2421">
        <v>0</v>
      </c>
      <c r="L2421">
        <v>174</v>
      </c>
      <c r="M2421">
        <v>252</v>
      </c>
      <c r="N2421" t="s">
        <v>33</v>
      </c>
      <c r="O2421" s="3">
        <v>44580</v>
      </c>
      <c r="P2421">
        <v>-1</v>
      </c>
      <c r="T2421" t="s">
        <v>44</v>
      </c>
      <c r="U2421">
        <v>56</v>
      </c>
      <c r="V2421">
        <v>25.824999999999999</v>
      </c>
    </row>
    <row r="2422" spans="1:22" x14ac:dyDescent="0.35">
      <c r="A2422" s="3">
        <v>44327</v>
      </c>
      <c r="B2422" t="s">
        <v>36</v>
      </c>
      <c r="C2422">
        <v>0</v>
      </c>
      <c r="D2422">
        <v>0</v>
      </c>
      <c r="E2422">
        <v>0</v>
      </c>
      <c r="F2422">
        <v>0</v>
      </c>
      <c r="G2422">
        <v>24.9984</v>
      </c>
      <c r="H2422">
        <v>0</v>
      </c>
      <c r="I2422">
        <v>0</v>
      </c>
      <c r="J2422">
        <v>0</v>
      </c>
      <c r="K2422">
        <v>0</v>
      </c>
      <c r="L2422">
        <v>113</v>
      </c>
      <c r="M2422">
        <v>162</v>
      </c>
      <c r="N2422" t="s">
        <v>36</v>
      </c>
      <c r="O2422" s="3">
        <v>44489</v>
      </c>
      <c r="P2422">
        <v>-1</v>
      </c>
      <c r="T2422" t="s">
        <v>43</v>
      </c>
      <c r="U2422">
        <v>76</v>
      </c>
      <c r="V2422">
        <v>25.7</v>
      </c>
    </row>
    <row r="2423" spans="1:22" x14ac:dyDescent="0.35">
      <c r="A2423" s="3">
        <v>44327</v>
      </c>
      <c r="B2423" t="s">
        <v>33</v>
      </c>
      <c r="C2423">
        <v>0</v>
      </c>
      <c r="D2423">
        <v>0</v>
      </c>
      <c r="E2423">
        <v>0</v>
      </c>
      <c r="F2423">
        <v>0</v>
      </c>
      <c r="G2423">
        <v>24.975000000000001</v>
      </c>
      <c r="H2423">
        <v>0</v>
      </c>
      <c r="I2423">
        <v>0</v>
      </c>
      <c r="J2423">
        <v>0</v>
      </c>
      <c r="K2423">
        <v>0</v>
      </c>
      <c r="L2423">
        <v>175</v>
      </c>
      <c r="M2423">
        <v>253</v>
      </c>
      <c r="N2423" t="s">
        <v>33</v>
      </c>
      <c r="O2423" s="3">
        <v>44580</v>
      </c>
      <c r="P2423">
        <v>-1</v>
      </c>
      <c r="T2423" t="s">
        <v>42</v>
      </c>
      <c r="U2423">
        <v>101</v>
      </c>
      <c r="V2423">
        <v>25.725000000000001</v>
      </c>
    </row>
    <row r="2424" spans="1:22" x14ac:dyDescent="0.35">
      <c r="A2424" s="3">
        <v>44327</v>
      </c>
      <c r="B2424" t="s">
        <v>39</v>
      </c>
      <c r="C2424">
        <v>0</v>
      </c>
      <c r="D2424">
        <v>0</v>
      </c>
      <c r="E2424">
        <v>0</v>
      </c>
      <c r="F2424">
        <v>0</v>
      </c>
      <c r="G2424">
        <v>23.974399999999999</v>
      </c>
      <c r="H2424">
        <v>0</v>
      </c>
      <c r="I2424">
        <v>0</v>
      </c>
      <c r="J2424">
        <v>0</v>
      </c>
      <c r="K2424">
        <v>0</v>
      </c>
      <c r="L2424">
        <v>49</v>
      </c>
      <c r="M2424">
        <v>71</v>
      </c>
      <c r="N2424" t="s">
        <v>39</v>
      </c>
      <c r="O2424" s="3">
        <v>44398</v>
      </c>
      <c r="P2424">
        <v>-1</v>
      </c>
      <c r="T2424" t="s">
        <v>41</v>
      </c>
      <c r="U2424">
        <v>121</v>
      </c>
      <c r="V2424">
        <v>25.875</v>
      </c>
    </row>
    <row r="2425" spans="1:22" x14ac:dyDescent="0.35">
      <c r="A2425" s="3">
        <v>44327</v>
      </c>
      <c r="B2425" t="s">
        <v>38</v>
      </c>
      <c r="C2425">
        <v>0</v>
      </c>
      <c r="D2425">
        <v>0</v>
      </c>
      <c r="E2425">
        <v>0</v>
      </c>
      <c r="F2425">
        <v>0</v>
      </c>
      <c r="G2425">
        <v>24.35</v>
      </c>
      <c r="H2425">
        <v>0</v>
      </c>
      <c r="I2425">
        <v>0</v>
      </c>
      <c r="J2425">
        <v>0</v>
      </c>
      <c r="K2425">
        <v>0</v>
      </c>
      <c r="L2425">
        <v>69</v>
      </c>
      <c r="M2425">
        <v>99</v>
      </c>
      <c r="N2425" t="s">
        <v>38</v>
      </c>
      <c r="O2425" s="3">
        <v>44426</v>
      </c>
      <c r="P2425">
        <v>-1</v>
      </c>
      <c r="T2425" t="s">
        <v>40</v>
      </c>
      <c r="U2425">
        <v>140</v>
      </c>
      <c r="V2425">
        <v>25.875</v>
      </c>
    </row>
    <row r="2426" spans="1:22" x14ac:dyDescent="0.35">
      <c r="A2426" s="3">
        <v>44327</v>
      </c>
      <c r="B2426" t="s">
        <v>34</v>
      </c>
      <c r="C2426">
        <v>0</v>
      </c>
      <c r="D2426">
        <v>0</v>
      </c>
      <c r="E2426">
        <v>0</v>
      </c>
      <c r="F2426">
        <v>0</v>
      </c>
      <c r="G2426">
        <v>24.274999999999999</v>
      </c>
      <c r="H2426">
        <v>0</v>
      </c>
      <c r="I2426">
        <v>0</v>
      </c>
      <c r="J2426">
        <v>0</v>
      </c>
      <c r="K2426">
        <v>0</v>
      </c>
      <c r="L2426">
        <v>157</v>
      </c>
      <c r="M2426">
        <v>225</v>
      </c>
      <c r="N2426" t="s">
        <v>34</v>
      </c>
      <c r="O2426" s="3">
        <v>44552</v>
      </c>
      <c r="P2426">
        <v>-1</v>
      </c>
      <c r="T2426" t="s">
        <v>39</v>
      </c>
      <c r="U2426">
        <v>164</v>
      </c>
      <c r="V2426">
        <v>25.95</v>
      </c>
    </row>
    <row r="2427" spans="1:22" x14ac:dyDescent="0.35">
      <c r="A2427" s="3">
        <v>44327</v>
      </c>
      <c r="B2427" t="s">
        <v>37</v>
      </c>
      <c r="C2427">
        <v>0</v>
      </c>
      <c r="D2427">
        <v>0</v>
      </c>
      <c r="E2427">
        <v>0</v>
      </c>
      <c r="F2427">
        <v>0</v>
      </c>
      <c r="G2427">
        <v>24.9</v>
      </c>
      <c r="H2427">
        <v>0</v>
      </c>
      <c r="I2427">
        <v>0</v>
      </c>
      <c r="J2427">
        <v>0</v>
      </c>
      <c r="K2427">
        <v>0</v>
      </c>
      <c r="L2427">
        <v>88</v>
      </c>
      <c r="M2427">
        <v>127</v>
      </c>
      <c r="N2427" t="s">
        <v>37</v>
      </c>
      <c r="O2427" s="3">
        <v>44454</v>
      </c>
      <c r="P2427">
        <v>-1</v>
      </c>
      <c r="T2427" t="s">
        <v>46</v>
      </c>
      <c r="U2427">
        <v>15</v>
      </c>
      <c r="V2427">
        <v>23.6</v>
      </c>
    </row>
    <row r="2428" spans="1:22" x14ac:dyDescent="0.35">
      <c r="A2428" s="3">
        <v>44327</v>
      </c>
      <c r="B2428" t="s">
        <v>41</v>
      </c>
      <c r="C2428">
        <v>0</v>
      </c>
      <c r="D2428">
        <v>0</v>
      </c>
      <c r="E2428">
        <v>0</v>
      </c>
      <c r="F2428">
        <v>0</v>
      </c>
      <c r="G2428">
        <v>21.238800000000001</v>
      </c>
      <c r="H2428">
        <v>0</v>
      </c>
      <c r="I2428">
        <v>0</v>
      </c>
      <c r="J2428">
        <v>0</v>
      </c>
      <c r="K2428">
        <v>0</v>
      </c>
      <c r="L2428">
        <v>6</v>
      </c>
      <c r="M2428">
        <v>8</v>
      </c>
      <c r="N2428" t="s">
        <v>41</v>
      </c>
      <c r="O2428" s="3">
        <v>44335</v>
      </c>
      <c r="P2428">
        <v>-1</v>
      </c>
      <c r="S2428" s="3">
        <v>44160</v>
      </c>
      <c r="T2428" t="s">
        <v>45</v>
      </c>
      <c r="U2428">
        <v>36</v>
      </c>
      <c r="V2428">
        <v>24.824999999999999</v>
      </c>
    </row>
    <row r="2429" spans="1:22" x14ac:dyDescent="0.35">
      <c r="A2429" s="3">
        <v>44327</v>
      </c>
      <c r="B2429" t="s">
        <v>40</v>
      </c>
      <c r="C2429">
        <v>0</v>
      </c>
      <c r="D2429">
        <v>0</v>
      </c>
      <c r="E2429">
        <v>0</v>
      </c>
      <c r="F2429">
        <v>0</v>
      </c>
      <c r="G2429">
        <v>22.848700000000001</v>
      </c>
      <c r="H2429">
        <v>0</v>
      </c>
      <c r="I2429">
        <v>0</v>
      </c>
      <c r="J2429">
        <v>0</v>
      </c>
      <c r="K2429">
        <v>0</v>
      </c>
      <c r="L2429">
        <v>25</v>
      </c>
      <c r="M2429">
        <v>36</v>
      </c>
      <c r="N2429" t="s">
        <v>40</v>
      </c>
      <c r="O2429" s="3">
        <v>44363</v>
      </c>
      <c r="P2429">
        <v>-1</v>
      </c>
      <c r="T2429" t="s">
        <v>44</v>
      </c>
      <c r="U2429">
        <v>55</v>
      </c>
      <c r="V2429">
        <v>25.324999999999999</v>
      </c>
    </row>
    <row r="2430" spans="1:22" x14ac:dyDescent="0.35">
      <c r="A2430" s="3">
        <v>44327</v>
      </c>
      <c r="B2430" t="s">
        <v>35</v>
      </c>
      <c r="C2430">
        <v>0</v>
      </c>
      <c r="D2430">
        <v>0</v>
      </c>
      <c r="E2430">
        <v>0</v>
      </c>
      <c r="F2430">
        <v>0</v>
      </c>
      <c r="G2430">
        <v>24.8</v>
      </c>
      <c r="H2430">
        <v>0</v>
      </c>
      <c r="I2430">
        <v>0</v>
      </c>
      <c r="J2430">
        <v>0</v>
      </c>
      <c r="K2430">
        <v>0</v>
      </c>
      <c r="L2430">
        <v>133</v>
      </c>
      <c r="M2430">
        <v>190</v>
      </c>
      <c r="N2430" t="s">
        <v>35</v>
      </c>
      <c r="O2430" s="3">
        <v>44517</v>
      </c>
      <c r="P2430">
        <v>-1</v>
      </c>
      <c r="T2430" t="s">
        <v>43</v>
      </c>
      <c r="U2430">
        <v>75</v>
      </c>
      <c r="V2430">
        <v>25.274999999999999</v>
      </c>
    </row>
    <row r="2431" spans="1:22" x14ac:dyDescent="0.35">
      <c r="A2431" s="3">
        <v>44326</v>
      </c>
      <c r="B2431" t="s">
        <v>39</v>
      </c>
      <c r="C2431">
        <v>0</v>
      </c>
      <c r="D2431">
        <v>0</v>
      </c>
      <c r="E2431">
        <v>0</v>
      </c>
      <c r="F2431">
        <v>0</v>
      </c>
      <c r="G2431">
        <v>22.7989</v>
      </c>
      <c r="H2431">
        <v>0</v>
      </c>
      <c r="I2431">
        <v>0</v>
      </c>
      <c r="J2431">
        <v>0</v>
      </c>
      <c r="K2431">
        <v>0</v>
      </c>
      <c r="L2431">
        <v>50</v>
      </c>
      <c r="M2431">
        <v>72</v>
      </c>
      <c r="N2431" t="s">
        <v>39</v>
      </c>
      <c r="O2431" s="3">
        <v>44398</v>
      </c>
      <c r="P2431">
        <v>-1</v>
      </c>
      <c r="T2431" t="s">
        <v>42</v>
      </c>
      <c r="U2431">
        <v>100</v>
      </c>
      <c r="V2431">
        <v>25.274999999999999</v>
      </c>
    </row>
    <row r="2432" spans="1:22" x14ac:dyDescent="0.35">
      <c r="A2432" s="3">
        <v>44326</v>
      </c>
      <c r="B2432" t="s">
        <v>38</v>
      </c>
      <c r="C2432">
        <v>0</v>
      </c>
      <c r="D2432">
        <v>0</v>
      </c>
      <c r="E2432">
        <v>0</v>
      </c>
      <c r="F2432">
        <v>0</v>
      </c>
      <c r="G2432">
        <v>23.392199999999999</v>
      </c>
      <c r="H2432">
        <v>0</v>
      </c>
      <c r="I2432">
        <v>0</v>
      </c>
      <c r="J2432">
        <v>0</v>
      </c>
      <c r="K2432">
        <v>0</v>
      </c>
      <c r="L2432">
        <v>70</v>
      </c>
      <c r="M2432">
        <v>100</v>
      </c>
      <c r="N2432" t="s">
        <v>38</v>
      </c>
      <c r="O2432" s="3">
        <v>44426</v>
      </c>
      <c r="P2432">
        <v>-1</v>
      </c>
      <c r="T2432" t="s">
        <v>41</v>
      </c>
      <c r="U2432">
        <v>120</v>
      </c>
      <c r="V2432">
        <v>25.425000000000001</v>
      </c>
    </row>
    <row r="2433" spans="1:22" x14ac:dyDescent="0.35">
      <c r="A2433" s="3">
        <v>44326</v>
      </c>
      <c r="B2433" t="s">
        <v>34</v>
      </c>
      <c r="C2433">
        <v>0</v>
      </c>
      <c r="D2433">
        <v>0</v>
      </c>
      <c r="E2433">
        <v>0</v>
      </c>
      <c r="F2433">
        <v>0</v>
      </c>
      <c r="G2433">
        <v>23.65</v>
      </c>
      <c r="H2433">
        <v>0</v>
      </c>
      <c r="I2433">
        <v>0</v>
      </c>
      <c r="J2433">
        <v>0</v>
      </c>
      <c r="K2433">
        <v>0</v>
      </c>
      <c r="L2433">
        <v>158</v>
      </c>
      <c r="M2433">
        <v>226</v>
      </c>
      <c r="N2433" t="s">
        <v>34</v>
      </c>
      <c r="O2433" s="3">
        <v>44552</v>
      </c>
      <c r="P2433">
        <v>-1</v>
      </c>
      <c r="T2433" t="s">
        <v>40</v>
      </c>
      <c r="U2433">
        <v>139</v>
      </c>
      <c r="V2433">
        <v>25.425000000000001</v>
      </c>
    </row>
    <row r="2434" spans="1:22" x14ac:dyDescent="0.35">
      <c r="A2434" s="3">
        <v>44326</v>
      </c>
      <c r="B2434" t="s">
        <v>37</v>
      </c>
      <c r="C2434">
        <v>0</v>
      </c>
      <c r="D2434">
        <v>0</v>
      </c>
      <c r="E2434">
        <v>0</v>
      </c>
      <c r="F2434">
        <v>0</v>
      </c>
      <c r="G2434">
        <v>24.000599999999999</v>
      </c>
      <c r="H2434">
        <v>0</v>
      </c>
      <c r="I2434">
        <v>0</v>
      </c>
      <c r="J2434">
        <v>0</v>
      </c>
      <c r="K2434">
        <v>0</v>
      </c>
      <c r="L2434">
        <v>89</v>
      </c>
      <c r="M2434">
        <v>128</v>
      </c>
      <c r="N2434" t="s">
        <v>37</v>
      </c>
      <c r="O2434" s="3">
        <v>44454</v>
      </c>
      <c r="P2434">
        <v>-1</v>
      </c>
      <c r="T2434" t="s">
        <v>46</v>
      </c>
      <c r="U2434">
        <v>14</v>
      </c>
      <c r="V2434">
        <v>22.625</v>
      </c>
    </row>
    <row r="2435" spans="1:22" x14ac:dyDescent="0.35">
      <c r="A2435" s="3">
        <v>44326</v>
      </c>
      <c r="B2435" t="s">
        <v>41</v>
      </c>
      <c r="C2435">
        <v>0</v>
      </c>
      <c r="D2435">
        <v>0</v>
      </c>
      <c r="E2435">
        <v>0</v>
      </c>
      <c r="F2435">
        <v>0</v>
      </c>
      <c r="G2435">
        <v>19.4819</v>
      </c>
      <c r="H2435">
        <v>0</v>
      </c>
      <c r="I2435">
        <v>0</v>
      </c>
      <c r="J2435">
        <v>0</v>
      </c>
      <c r="K2435">
        <v>0</v>
      </c>
      <c r="L2435">
        <v>7</v>
      </c>
      <c r="M2435">
        <v>9</v>
      </c>
      <c r="N2435" t="s">
        <v>41</v>
      </c>
      <c r="O2435" s="3">
        <v>44335</v>
      </c>
      <c r="P2435">
        <v>-1</v>
      </c>
      <c r="S2435" s="3">
        <v>44162</v>
      </c>
      <c r="T2435" t="s">
        <v>45</v>
      </c>
      <c r="U2435">
        <v>35</v>
      </c>
      <c r="V2435">
        <v>25.024999999999999</v>
      </c>
    </row>
    <row r="2436" spans="1:22" x14ac:dyDescent="0.35">
      <c r="A2436" s="3">
        <v>44326</v>
      </c>
      <c r="B2436" t="s">
        <v>40</v>
      </c>
      <c r="C2436">
        <v>0</v>
      </c>
      <c r="D2436">
        <v>0</v>
      </c>
      <c r="E2436">
        <v>0</v>
      </c>
      <c r="F2436">
        <v>0</v>
      </c>
      <c r="G2436">
        <v>21.348700000000001</v>
      </c>
      <c r="H2436">
        <v>0</v>
      </c>
      <c r="I2436">
        <v>0</v>
      </c>
      <c r="J2436">
        <v>0</v>
      </c>
      <c r="K2436">
        <v>0</v>
      </c>
      <c r="L2436">
        <v>26</v>
      </c>
      <c r="M2436">
        <v>37</v>
      </c>
      <c r="N2436" t="s">
        <v>40</v>
      </c>
      <c r="O2436" s="3">
        <v>44363</v>
      </c>
      <c r="P2436">
        <v>-1</v>
      </c>
      <c r="T2436" t="s">
        <v>44</v>
      </c>
      <c r="U2436">
        <v>54</v>
      </c>
      <c r="V2436">
        <v>25.375</v>
      </c>
    </row>
    <row r="2437" spans="1:22" x14ac:dyDescent="0.35">
      <c r="A2437" s="3">
        <v>44326</v>
      </c>
      <c r="B2437" t="s">
        <v>35</v>
      </c>
      <c r="C2437">
        <v>0</v>
      </c>
      <c r="D2437">
        <v>0</v>
      </c>
      <c r="E2437">
        <v>0</v>
      </c>
      <c r="F2437">
        <v>0</v>
      </c>
      <c r="G2437">
        <v>24.1</v>
      </c>
      <c r="H2437">
        <v>0</v>
      </c>
      <c r="I2437">
        <v>0</v>
      </c>
      <c r="J2437">
        <v>0</v>
      </c>
      <c r="K2437">
        <v>0</v>
      </c>
      <c r="L2437">
        <v>134</v>
      </c>
      <c r="M2437">
        <v>191</v>
      </c>
      <c r="N2437" t="s">
        <v>35</v>
      </c>
      <c r="O2437" s="3">
        <v>44517</v>
      </c>
      <c r="P2437">
        <v>-1</v>
      </c>
      <c r="T2437" t="s">
        <v>43</v>
      </c>
      <c r="U2437">
        <v>74</v>
      </c>
      <c r="V2437">
        <v>25.324999999999999</v>
      </c>
    </row>
    <row r="2438" spans="1:22" x14ac:dyDescent="0.35">
      <c r="A2438" s="3">
        <v>44326</v>
      </c>
      <c r="B2438" t="s">
        <v>36</v>
      </c>
      <c r="C2438">
        <v>0</v>
      </c>
      <c r="D2438">
        <v>0</v>
      </c>
      <c r="E2438">
        <v>0</v>
      </c>
      <c r="F2438">
        <v>0</v>
      </c>
      <c r="G2438">
        <v>24.246700000000001</v>
      </c>
      <c r="H2438">
        <v>0</v>
      </c>
      <c r="I2438">
        <v>0</v>
      </c>
      <c r="J2438">
        <v>0</v>
      </c>
      <c r="K2438">
        <v>0</v>
      </c>
      <c r="L2438">
        <v>114</v>
      </c>
      <c r="M2438">
        <v>163</v>
      </c>
      <c r="N2438" t="s">
        <v>36</v>
      </c>
      <c r="O2438" s="3">
        <v>44489</v>
      </c>
      <c r="P2438">
        <v>-1</v>
      </c>
      <c r="T2438" t="s">
        <v>42</v>
      </c>
      <c r="U2438">
        <v>99</v>
      </c>
      <c r="V2438">
        <v>25.4</v>
      </c>
    </row>
    <row r="2439" spans="1:22" x14ac:dyDescent="0.35">
      <c r="A2439" s="3">
        <v>44326</v>
      </c>
      <c r="B2439" t="s">
        <v>33</v>
      </c>
      <c r="C2439">
        <v>0</v>
      </c>
      <c r="D2439">
        <v>0</v>
      </c>
      <c r="E2439">
        <v>0</v>
      </c>
      <c r="F2439">
        <v>0</v>
      </c>
      <c r="G2439">
        <v>24.375</v>
      </c>
      <c r="H2439">
        <v>0</v>
      </c>
      <c r="I2439">
        <v>0</v>
      </c>
      <c r="J2439">
        <v>0</v>
      </c>
      <c r="K2439">
        <v>0</v>
      </c>
      <c r="L2439">
        <v>176</v>
      </c>
      <c r="M2439">
        <v>254</v>
      </c>
      <c r="N2439" t="s">
        <v>33</v>
      </c>
      <c r="O2439" s="3">
        <v>44580</v>
      </c>
      <c r="P2439">
        <v>-1</v>
      </c>
      <c r="T2439" t="s">
        <v>41</v>
      </c>
      <c r="U2439">
        <v>119</v>
      </c>
      <c r="V2439">
        <v>25.5</v>
      </c>
    </row>
    <row r="2440" spans="1:22" x14ac:dyDescent="0.35">
      <c r="A2440" s="3">
        <v>44323</v>
      </c>
      <c r="B2440" t="s">
        <v>36</v>
      </c>
      <c r="C2440">
        <v>0</v>
      </c>
      <c r="D2440">
        <v>0</v>
      </c>
      <c r="E2440">
        <v>0</v>
      </c>
      <c r="F2440">
        <v>0</v>
      </c>
      <c r="G2440">
        <v>23.851099999999999</v>
      </c>
      <c r="H2440">
        <v>0</v>
      </c>
      <c r="I2440">
        <v>0</v>
      </c>
      <c r="J2440">
        <v>0</v>
      </c>
      <c r="K2440">
        <v>0</v>
      </c>
      <c r="L2440">
        <v>115</v>
      </c>
      <c r="M2440">
        <v>166</v>
      </c>
      <c r="N2440" t="s">
        <v>36</v>
      </c>
      <c r="O2440" s="3">
        <v>44489</v>
      </c>
      <c r="P2440">
        <v>-1</v>
      </c>
      <c r="T2440" t="s">
        <v>40</v>
      </c>
      <c r="U2440">
        <v>138</v>
      </c>
      <c r="V2440">
        <v>25.475000000000001</v>
      </c>
    </row>
    <row r="2441" spans="1:22" x14ac:dyDescent="0.35">
      <c r="A2441" s="3">
        <v>44323</v>
      </c>
      <c r="B2441" t="s">
        <v>33</v>
      </c>
      <c r="C2441">
        <v>0</v>
      </c>
      <c r="D2441">
        <v>0</v>
      </c>
      <c r="E2441">
        <v>0</v>
      </c>
      <c r="F2441">
        <v>0</v>
      </c>
      <c r="G2441">
        <v>24.225000000000001</v>
      </c>
      <c r="H2441">
        <v>0</v>
      </c>
      <c r="I2441">
        <v>0</v>
      </c>
      <c r="J2441">
        <v>0</v>
      </c>
      <c r="K2441">
        <v>0</v>
      </c>
      <c r="L2441">
        <v>177</v>
      </c>
      <c r="M2441">
        <v>257</v>
      </c>
      <c r="N2441" t="s">
        <v>33</v>
      </c>
      <c r="O2441" s="3">
        <v>44580</v>
      </c>
      <c r="P2441">
        <v>-1</v>
      </c>
      <c r="T2441" t="s">
        <v>39</v>
      </c>
      <c r="U2441">
        <v>162</v>
      </c>
      <c r="V2441">
        <v>25.5</v>
      </c>
    </row>
    <row r="2442" spans="1:22" x14ac:dyDescent="0.35">
      <c r="A2442" s="3">
        <v>44323</v>
      </c>
      <c r="B2442" t="s">
        <v>39</v>
      </c>
      <c r="C2442">
        <v>0</v>
      </c>
      <c r="D2442">
        <v>0</v>
      </c>
      <c r="E2442">
        <v>0</v>
      </c>
      <c r="F2442">
        <v>0</v>
      </c>
      <c r="G2442">
        <v>22.207999999999998</v>
      </c>
      <c r="H2442">
        <v>0</v>
      </c>
      <c r="I2442">
        <v>0</v>
      </c>
      <c r="J2442">
        <v>0</v>
      </c>
      <c r="K2442">
        <v>0</v>
      </c>
      <c r="L2442">
        <v>51</v>
      </c>
      <c r="M2442">
        <v>75</v>
      </c>
      <c r="N2442" t="s">
        <v>39</v>
      </c>
      <c r="O2442" s="3">
        <v>44398</v>
      </c>
      <c r="P2442">
        <v>-1</v>
      </c>
      <c r="T2442" t="s">
        <v>46</v>
      </c>
      <c r="U2442">
        <v>13</v>
      </c>
      <c r="V2442">
        <v>22.824999999999999</v>
      </c>
    </row>
    <row r="2443" spans="1:22" x14ac:dyDescent="0.35">
      <c r="A2443" s="3">
        <v>44323</v>
      </c>
      <c r="B2443" t="s">
        <v>38</v>
      </c>
      <c r="C2443">
        <v>0</v>
      </c>
      <c r="D2443">
        <v>0</v>
      </c>
      <c r="E2443">
        <v>0</v>
      </c>
      <c r="F2443">
        <v>0</v>
      </c>
      <c r="G2443">
        <v>22.900500000000001</v>
      </c>
      <c r="H2443">
        <v>0</v>
      </c>
      <c r="I2443">
        <v>0</v>
      </c>
      <c r="J2443">
        <v>0</v>
      </c>
      <c r="K2443">
        <v>0</v>
      </c>
      <c r="L2443">
        <v>71</v>
      </c>
      <c r="M2443">
        <v>103</v>
      </c>
      <c r="N2443" t="s">
        <v>38</v>
      </c>
      <c r="O2443" s="3">
        <v>44426</v>
      </c>
      <c r="P2443">
        <v>-1</v>
      </c>
      <c r="S2443" s="3">
        <v>44165</v>
      </c>
      <c r="T2443" t="s">
        <v>45</v>
      </c>
      <c r="U2443">
        <v>34</v>
      </c>
      <c r="V2443">
        <v>24.574999999999999</v>
      </c>
    </row>
    <row r="2444" spans="1:22" x14ac:dyDescent="0.35">
      <c r="A2444" s="3">
        <v>44323</v>
      </c>
      <c r="B2444" t="s">
        <v>34</v>
      </c>
      <c r="C2444">
        <v>0</v>
      </c>
      <c r="D2444">
        <v>0</v>
      </c>
      <c r="E2444">
        <v>0</v>
      </c>
      <c r="F2444">
        <v>0</v>
      </c>
      <c r="G2444">
        <v>23.35</v>
      </c>
      <c r="H2444">
        <v>0</v>
      </c>
      <c r="I2444">
        <v>0</v>
      </c>
      <c r="J2444">
        <v>0</v>
      </c>
      <c r="K2444">
        <v>0</v>
      </c>
      <c r="L2444">
        <v>159</v>
      </c>
      <c r="M2444">
        <v>229</v>
      </c>
      <c r="N2444" t="s">
        <v>34</v>
      </c>
      <c r="O2444" s="3">
        <v>44552</v>
      </c>
      <c r="P2444">
        <v>-1</v>
      </c>
      <c r="T2444" t="s">
        <v>44</v>
      </c>
      <c r="U2444">
        <v>53</v>
      </c>
      <c r="V2444">
        <v>25.024999999999999</v>
      </c>
    </row>
    <row r="2445" spans="1:22" x14ac:dyDescent="0.35">
      <c r="A2445" s="3">
        <v>44323</v>
      </c>
      <c r="B2445" t="s">
        <v>37</v>
      </c>
      <c r="C2445">
        <v>0</v>
      </c>
      <c r="D2445">
        <v>0</v>
      </c>
      <c r="E2445">
        <v>0</v>
      </c>
      <c r="F2445">
        <v>0</v>
      </c>
      <c r="G2445">
        <v>23.6</v>
      </c>
      <c r="H2445">
        <v>0</v>
      </c>
      <c r="I2445">
        <v>0</v>
      </c>
      <c r="J2445">
        <v>0</v>
      </c>
      <c r="K2445">
        <v>0</v>
      </c>
      <c r="L2445">
        <v>90</v>
      </c>
      <c r="M2445">
        <v>131</v>
      </c>
      <c r="N2445" t="s">
        <v>37</v>
      </c>
      <c r="O2445" s="3">
        <v>44454</v>
      </c>
      <c r="P2445">
        <v>-1</v>
      </c>
      <c r="T2445" t="s">
        <v>43</v>
      </c>
      <c r="U2445">
        <v>73</v>
      </c>
      <c r="V2445">
        <v>25.074999999999999</v>
      </c>
    </row>
    <row r="2446" spans="1:22" x14ac:dyDescent="0.35">
      <c r="A2446" s="3">
        <v>44323</v>
      </c>
      <c r="B2446" t="s">
        <v>41</v>
      </c>
      <c r="C2446">
        <v>0</v>
      </c>
      <c r="D2446">
        <v>0</v>
      </c>
      <c r="E2446">
        <v>0</v>
      </c>
      <c r="F2446">
        <v>0</v>
      </c>
      <c r="G2446">
        <v>18.291699999999999</v>
      </c>
      <c r="H2446">
        <v>0</v>
      </c>
      <c r="I2446">
        <v>0</v>
      </c>
      <c r="J2446">
        <v>0</v>
      </c>
      <c r="K2446">
        <v>0</v>
      </c>
      <c r="L2446">
        <v>8</v>
      </c>
      <c r="M2446">
        <v>12</v>
      </c>
      <c r="N2446" t="s">
        <v>41</v>
      </c>
      <c r="O2446" s="3">
        <v>44335</v>
      </c>
      <c r="P2446">
        <v>-1</v>
      </c>
      <c r="T2446" t="s">
        <v>42</v>
      </c>
      <c r="U2446">
        <v>98</v>
      </c>
      <c r="V2446">
        <v>25.274999999999999</v>
      </c>
    </row>
    <row r="2447" spans="1:22" x14ac:dyDescent="0.35">
      <c r="A2447" s="3">
        <v>44323</v>
      </c>
      <c r="B2447" t="s">
        <v>40</v>
      </c>
      <c r="C2447">
        <v>0</v>
      </c>
      <c r="D2447">
        <v>0</v>
      </c>
      <c r="E2447">
        <v>0</v>
      </c>
      <c r="F2447">
        <v>0</v>
      </c>
      <c r="G2447">
        <v>20.542400000000001</v>
      </c>
      <c r="H2447">
        <v>0</v>
      </c>
      <c r="I2447">
        <v>0</v>
      </c>
      <c r="J2447">
        <v>0</v>
      </c>
      <c r="K2447">
        <v>0</v>
      </c>
      <c r="L2447">
        <v>27</v>
      </c>
      <c r="M2447">
        <v>40</v>
      </c>
      <c r="N2447" t="s">
        <v>40</v>
      </c>
      <c r="O2447" s="3">
        <v>44363</v>
      </c>
      <c r="P2447">
        <v>-1</v>
      </c>
      <c r="T2447" t="s">
        <v>41</v>
      </c>
      <c r="U2447">
        <v>118</v>
      </c>
      <c r="V2447">
        <v>25.375</v>
      </c>
    </row>
    <row r="2448" spans="1:22" x14ac:dyDescent="0.35">
      <c r="A2448" s="3">
        <v>44323</v>
      </c>
      <c r="B2448" t="s">
        <v>35</v>
      </c>
      <c r="C2448">
        <v>0</v>
      </c>
      <c r="D2448">
        <v>0</v>
      </c>
      <c r="E2448">
        <v>0</v>
      </c>
      <c r="F2448">
        <v>0</v>
      </c>
      <c r="G2448">
        <v>23.725000000000001</v>
      </c>
      <c r="H2448">
        <v>0</v>
      </c>
      <c r="I2448">
        <v>0</v>
      </c>
      <c r="J2448">
        <v>0</v>
      </c>
      <c r="K2448">
        <v>0</v>
      </c>
      <c r="L2448">
        <v>135</v>
      </c>
      <c r="M2448">
        <v>194</v>
      </c>
      <c r="N2448" t="s">
        <v>35</v>
      </c>
      <c r="O2448" s="3">
        <v>44517</v>
      </c>
      <c r="P2448">
        <v>-1</v>
      </c>
      <c r="T2448" t="s">
        <v>40</v>
      </c>
      <c r="U2448">
        <v>137</v>
      </c>
      <c r="V2448">
        <v>25.3</v>
      </c>
    </row>
    <row r="2449" spans="1:22" x14ac:dyDescent="0.35">
      <c r="A2449" s="3">
        <v>44322</v>
      </c>
      <c r="B2449" t="s">
        <v>39</v>
      </c>
      <c r="C2449">
        <v>0</v>
      </c>
      <c r="D2449">
        <v>0</v>
      </c>
      <c r="E2449">
        <v>0</v>
      </c>
      <c r="F2449">
        <v>0</v>
      </c>
      <c r="G2449">
        <v>22.9619</v>
      </c>
      <c r="H2449">
        <v>0</v>
      </c>
      <c r="I2449">
        <v>0</v>
      </c>
      <c r="J2449">
        <v>0</v>
      </c>
      <c r="K2449">
        <v>0</v>
      </c>
      <c r="L2449">
        <v>52</v>
      </c>
      <c r="M2449">
        <v>76</v>
      </c>
      <c r="N2449" t="s">
        <v>39</v>
      </c>
      <c r="O2449" s="3">
        <v>44398</v>
      </c>
      <c r="P2449">
        <v>-1</v>
      </c>
      <c r="T2449" t="s">
        <v>39</v>
      </c>
      <c r="U2449">
        <v>161</v>
      </c>
      <c r="V2449">
        <v>25.625</v>
      </c>
    </row>
    <row r="2450" spans="1:22" x14ac:dyDescent="0.35">
      <c r="A2450" s="3">
        <v>44322</v>
      </c>
      <c r="B2450" t="s">
        <v>38</v>
      </c>
      <c r="C2450">
        <v>0</v>
      </c>
      <c r="D2450">
        <v>0</v>
      </c>
      <c r="E2450">
        <v>0</v>
      </c>
      <c r="F2450">
        <v>0</v>
      </c>
      <c r="G2450">
        <v>23.5</v>
      </c>
      <c r="H2450">
        <v>0</v>
      </c>
      <c r="I2450">
        <v>0</v>
      </c>
      <c r="J2450">
        <v>0</v>
      </c>
      <c r="K2450">
        <v>0</v>
      </c>
      <c r="L2450">
        <v>72</v>
      </c>
      <c r="M2450">
        <v>104</v>
      </c>
      <c r="N2450" t="s">
        <v>38</v>
      </c>
      <c r="O2450" s="3">
        <v>44426</v>
      </c>
      <c r="P2450">
        <v>-1</v>
      </c>
      <c r="T2450" t="s">
        <v>46</v>
      </c>
      <c r="U2450">
        <v>12</v>
      </c>
      <c r="V2450">
        <v>22.375</v>
      </c>
    </row>
    <row r="2451" spans="1:22" x14ac:dyDescent="0.35">
      <c r="A2451" s="3">
        <v>44322</v>
      </c>
      <c r="B2451" t="s">
        <v>34</v>
      </c>
      <c r="C2451">
        <v>0</v>
      </c>
      <c r="D2451">
        <v>0</v>
      </c>
      <c r="E2451">
        <v>0</v>
      </c>
      <c r="F2451">
        <v>0</v>
      </c>
      <c r="G2451">
        <v>23.725000000000001</v>
      </c>
      <c r="H2451">
        <v>0</v>
      </c>
      <c r="I2451">
        <v>0</v>
      </c>
      <c r="J2451">
        <v>0</v>
      </c>
      <c r="K2451">
        <v>0</v>
      </c>
      <c r="L2451">
        <v>160</v>
      </c>
      <c r="M2451">
        <v>230</v>
      </c>
      <c r="N2451" t="s">
        <v>34</v>
      </c>
      <c r="O2451" s="3">
        <v>44552</v>
      </c>
      <c r="P2451">
        <v>-1</v>
      </c>
      <c r="S2451" s="3">
        <v>44166</v>
      </c>
      <c r="T2451" t="s">
        <v>45</v>
      </c>
      <c r="U2451">
        <v>33</v>
      </c>
      <c r="V2451">
        <v>24.425000000000001</v>
      </c>
    </row>
    <row r="2452" spans="1:22" x14ac:dyDescent="0.35">
      <c r="A2452" s="3">
        <v>44322</v>
      </c>
      <c r="B2452" t="s">
        <v>37</v>
      </c>
      <c r="C2452">
        <v>0</v>
      </c>
      <c r="D2452">
        <v>0</v>
      </c>
      <c r="E2452">
        <v>0</v>
      </c>
      <c r="F2452">
        <v>0</v>
      </c>
      <c r="G2452">
        <v>24.072700000000001</v>
      </c>
      <c r="H2452">
        <v>0</v>
      </c>
      <c r="I2452">
        <v>0</v>
      </c>
      <c r="J2452">
        <v>0</v>
      </c>
      <c r="K2452">
        <v>0</v>
      </c>
      <c r="L2452">
        <v>91</v>
      </c>
      <c r="M2452">
        <v>132</v>
      </c>
      <c r="N2452" t="s">
        <v>37</v>
      </c>
      <c r="O2452" s="3">
        <v>44454</v>
      </c>
      <c r="P2452">
        <v>-1</v>
      </c>
      <c r="T2452" t="s">
        <v>44</v>
      </c>
      <c r="U2452">
        <v>52</v>
      </c>
      <c r="V2452">
        <v>24.975000000000001</v>
      </c>
    </row>
    <row r="2453" spans="1:22" x14ac:dyDescent="0.35">
      <c r="A2453" s="3">
        <v>44322</v>
      </c>
      <c r="B2453" t="s">
        <v>41</v>
      </c>
      <c r="C2453">
        <v>0</v>
      </c>
      <c r="D2453">
        <v>0</v>
      </c>
      <c r="E2453">
        <v>0</v>
      </c>
      <c r="F2453">
        <v>0</v>
      </c>
      <c r="G2453">
        <v>19.6892</v>
      </c>
      <c r="H2453">
        <v>0</v>
      </c>
      <c r="I2453">
        <v>0</v>
      </c>
      <c r="J2453">
        <v>0</v>
      </c>
      <c r="K2453">
        <v>0</v>
      </c>
      <c r="L2453">
        <v>9</v>
      </c>
      <c r="M2453">
        <v>13</v>
      </c>
      <c r="N2453" t="s">
        <v>41</v>
      </c>
      <c r="O2453" s="3">
        <v>44335</v>
      </c>
      <c r="P2453">
        <v>-1</v>
      </c>
      <c r="T2453" t="s">
        <v>43</v>
      </c>
      <c r="U2453">
        <v>72</v>
      </c>
      <c r="V2453">
        <v>25.125</v>
      </c>
    </row>
    <row r="2454" spans="1:22" x14ac:dyDescent="0.35">
      <c r="A2454" s="3">
        <v>44322</v>
      </c>
      <c r="B2454" t="s">
        <v>40</v>
      </c>
      <c r="C2454">
        <v>0</v>
      </c>
      <c r="D2454">
        <v>0</v>
      </c>
      <c r="E2454">
        <v>0</v>
      </c>
      <c r="F2454">
        <v>0</v>
      </c>
      <c r="G2454">
        <v>21.622699999999998</v>
      </c>
      <c r="H2454">
        <v>0</v>
      </c>
      <c r="I2454">
        <v>0</v>
      </c>
      <c r="J2454">
        <v>0</v>
      </c>
      <c r="K2454">
        <v>0</v>
      </c>
      <c r="L2454">
        <v>28</v>
      </c>
      <c r="M2454">
        <v>41</v>
      </c>
      <c r="N2454" t="s">
        <v>40</v>
      </c>
      <c r="O2454" s="3">
        <v>44363</v>
      </c>
      <c r="P2454">
        <v>-1</v>
      </c>
      <c r="T2454" t="s">
        <v>42</v>
      </c>
      <c r="U2454">
        <v>97</v>
      </c>
      <c r="V2454">
        <v>25.45</v>
      </c>
    </row>
    <row r="2455" spans="1:22" x14ac:dyDescent="0.35">
      <c r="A2455" s="3">
        <v>44322</v>
      </c>
      <c r="B2455" t="s">
        <v>35</v>
      </c>
      <c r="C2455">
        <v>0</v>
      </c>
      <c r="D2455">
        <v>0</v>
      </c>
      <c r="E2455">
        <v>0</v>
      </c>
      <c r="F2455">
        <v>0</v>
      </c>
      <c r="G2455">
        <v>24.125</v>
      </c>
      <c r="H2455">
        <v>0</v>
      </c>
      <c r="I2455">
        <v>0</v>
      </c>
      <c r="J2455">
        <v>0</v>
      </c>
      <c r="K2455">
        <v>0</v>
      </c>
      <c r="L2455">
        <v>136</v>
      </c>
      <c r="M2455">
        <v>195</v>
      </c>
      <c r="N2455" t="s">
        <v>35</v>
      </c>
      <c r="O2455" s="3">
        <v>44517</v>
      </c>
      <c r="P2455">
        <v>-1</v>
      </c>
      <c r="T2455" t="s">
        <v>41</v>
      </c>
      <c r="U2455">
        <v>117</v>
      </c>
      <c r="V2455">
        <v>25.475000000000001</v>
      </c>
    </row>
    <row r="2456" spans="1:22" x14ac:dyDescent="0.35">
      <c r="A2456" s="3">
        <v>44322</v>
      </c>
      <c r="B2456" t="s">
        <v>36</v>
      </c>
      <c r="C2456">
        <v>0</v>
      </c>
      <c r="D2456">
        <v>0</v>
      </c>
      <c r="E2456">
        <v>0</v>
      </c>
      <c r="F2456">
        <v>0</v>
      </c>
      <c r="G2456">
        <v>24.25</v>
      </c>
      <c r="H2456">
        <v>0</v>
      </c>
      <c r="I2456">
        <v>0</v>
      </c>
      <c r="J2456">
        <v>0</v>
      </c>
      <c r="K2456">
        <v>0</v>
      </c>
      <c r="L2456">
        <v>116</v>
      </c>
      <c r="M2456">
        <v>167</v>
      </c>
      <c r="N2456" t="s">
        <v>36</v>
      </c>
      <c r="O2456" s="3">
        <v>44489</v>
      </c>
      <c r="P2456">
        <v>-1</v>
      </c>
      <c r="T2456" t="s">
        <v>40</v>
      </c>
      <c r="U2456">
        <v>136</v>
      </c>
      <c r="V2456">
        <v>25.324999999999999</v>
      </c>
    </row>
    <row r="2457" spans="1:22" x14ac:dyDescent="0.35">
      <c r="A2457" s="3">
        <v>44322</v>
      </c>
      <c r="B2457" t="s">
        <v>33</v>
      </c>
      <c r="C2457">
        <v>0</v>
      </c>
      <c r="D2457">
        <v>0</v>
      </c>
      <c r="E2457">
        <v>0</v>
      </c>
      <c r="F2457">
        <v>0</v>
      </c>
      <c r="G2457">
        <v>24.475000000000001</v>
      </c>
      <c r="H2457">
        <v>0</v>
      </c>
      <c r="I2457">
        <v>0</v>
      </c>
      <c r="J2457">
        <v>0</v>
      </c>
      <c r="K2457">
        <v>0</v>
      </c>
      <c r="L2457">
        <v>178</v>
      </c>
      <c r="M2457">
        <v>258</v>
      </c>
      <c r="N2457" t="s">
        <v>33</v>
      </c>
      <c r="O2457" s="3">
        <v>44580</v>
      </c>
      <c r="P2457">
        <v>-1</v>
      </c>
      <c r="T2457" t="s">
        <v>39</v>
      </c>
      <c r="U2457">
        <v>160</v>
      </c>
      <c r="V2457">
        <v>25.375</v>
      </c>
    </row>
    <row r="2458" spans="1:22" x14ac:dyDescent="0.35">
      <c r="A2458" s="3">
        <v>44321</v>
      </c>
      <c r="B2458" t="s">
        <v>36</v>
      </c>
      <c r="C2458">
        <v>0</v>
      </c>
      <c r="D2458">
        <v>0</v>
      </c>
      <c r="E2458">
        <v>0</v>
      </c>
      <c r="F2458">
        <v>0</v>
      </c>
      <c r="G2458">
        <v>24.3</v>
      </c>
      <c r="H2458">
        <v>0</v>
      </c>
      <c r="I2458">
        <v>0</v>
      </c>
      <c r="J2458">
        <v>0</v>
      </c>
      <c r="K2458">
        <v>0</v>
      </c>
      <c r="L2458">
        <v>117</v>
      </c>
      <c r="M2458">
        <v>168</v>
      </c>
      <c r="N2458" t="s">
        <v>36</v>
      </c>
      <c r="O2458" s="3">
        <v>44489</v>
      </c>
      <c r="P2458">
        <v>-1</v>
      </c>
      <c r="T2458" t="s">
        <v>46</v>
      </c>
      <c r="U2458">
        <v>11</v>
      </c>
      <c r="V2458">
        <v>22.824999999999999</v>
      </c>
    </row>
    <row r="2459" spans="1:22" x14ac:dyDescent="0.35">
      <c r="A2459" s="3">
        <v>44321</v>
      </c>
      <c r="B2459" t="s">
        <v>33</v>
      </c>
      <c r="C2459">
        <v>0</v>
      </c>
      <c r="D2459">
        <v>0</v>
      </c>
      <c r="E2459">
        <v>0</v>
      </c>
      <c r="F2459">
        <v>0</v>
      </c>
      <c r="G2459">
        <v>24.65</v>
      </c>
      <c r="H2459">
        <v>0</v>
      </c>
      <c r="I2459">
        <v>0</v>
      </c>
      <c r="J2459">
        <v>0</v>
      </c>
      <c r="K2459">
        <v>0</v>
      </c>
      <c r="L2459">
        <v>179</v>
      </c>
      <c r="M2459">
        <v>259</v>
      </c>
      <c r="N2459" t="s">
        <v>33</v>
      </c>
      <c r="O2459" s="3">
        <v>44580</v>
      </c>
      <c r="P2459">
        <v>-1</v>
      </c>
      <c r="S2459" s="3">
        <v>44167</v>
      </c>
      <c r="T2459" t="s">
        <v>45</v>
      </c>
      <c r="U2459">
        <v>32</v>
      </c>
      <c r="V2459">
        <v>24.324999999999999</v>
      </c>
    </row>
    <row r="2460" spans="1:22" x14ac:dyDescent="0.35">
      <c r="A2460" s="3">
        <v>44321</v>
      </c>
      <c r="B2460" t="s">
        <v>39</v>
      </c>
      <c r="C2460">
        <v>0</v>
      </c>
      <c r="D2460">
        <v>0</v>
      </c>
      <c r="E2460">
        <v>0</v>
      </c>
      <c r="F2460">
        <v>0</v>
      </c>
      <c r="G2460">
        <v>23</v>
      </c>
      <c r="H2460">
        <v>0</v>
      </c>
      <c r="I2460">
        <v>0</v>
      </c>
      <c r="J2460">
        <v>0</v>
      </c>
      <c r="K2460">
        <v>0</v>
      </c>
      <c r="L2460">
        <v>53</v>
      </c>
      <c r="M2460">
        <v>77</v>
      </c>
      <c r="N2460" t="s">
        <v>39</v>
      </c>
      <c r="O2460" s="3">
        <v>44398</v>
      </c>
      <c r="P2460">
        <v>-1</v>
      </c>
      <c r="T2460" t="s">
        <v>44</v>
      </c>
      <c r="U2460">
        <v>51</v>
      </c>
      <c r="V2460">
        <v>24.824999999999999</v>
      </c>
    </row>
    <row r="2461" spans="1:22" x14ac:dyDescent="0.35">
      <c r="A2461" s="3">
        <v>44321</v>
      </c>
      <c r="B2461" t="s">
        <v>38</v>
      </c>
      <c r="C2461">
        <v>0</v>
      </c>
      <c r="D2461">
        <v>0</v>
      </c>
      <c r="E2461">
        <v>0</v>
      </c>
      <c r="F2461">
        <v>0</v>
      </c>
      <c r="G2461">
        <v>23.5</v>
      </c>
      <c r="H2461">
        <v>0</v>
      </c>
      <c r="I2461">
        <v>0</v>
      </c>
      <c r="J2461">
        <v>0</v>
      </c>
      <c r="K2461">
        <v>0</v>
      </c>
      <c r="L2461">
        <v>73</v>
      </c>
      <c r="M2461">
        <v>105</v>
      </c>
      <c r="N2461" t="s">
        <v>38</v>
      </c>
      <c r="O2461" s="3">
        <v>44426</v>
      </c>
      <c r="P2461">
        <v>-1</v>
      </c>
      <c r="T2461" t="s">
        <v>43</v>
      </c>
      <c r="U2461">
        <v>71</v>
      </c>
      <c r="V2461">
        <v>24.975000000000001</v>
      </c>
    </row>
    <row r="2462" spans="1:22" x14ac:dyDescent="0.35">
      <c r="A2462" s="3">
        <v>44321</v>
      </c>
      <c r="B2462" t="s">
        <v>34</v>
      </c>
      <c r="C2462">
        <v>0</v>
      </c>
      <c r="D2462">
        <v>0</v>
      </c>
      <c r="E2462">
        <v>0</v>
      </c>
      <c r="F2462">
        <v>0</v>
      </c>
      <c r="G2462">
        <v>23.774999999999999</v>
      </c>
      <c r="H2462">
        <v>0</v>
      </c>
      <c r="I2462">
        <v>0</v>
      </c>
      <c r="J2462">
        <v>0</v>
      </c>
      <c r="K2462">
        <v>0</v>
      </c>
      <c r="L2462">
        <v>161</v>
      </c>
      <c r="M2462">
        <v>231</v>
      </c>
      <c r="N2462" t="s">
        <v>34</v>
      </c>
      <c r="O2462" s="3">
        <v>44552</v>
      </c>
      <c r="P2462">
        <v>-1</v>
      </c>
      <c r="T2462" t="s">
        <v>42</v>
      </c>
      <c r="U2462">
        <v>96</v>
      </c>
      <c r="V2462">
        <v>25.35</v>
      </c>
    </row>
    <row r="2463" spans="1:22" x14ac:dyDescent="0.35">
      <c r="A2463" s="3">
        <v>44321</v>
      </c>
      <c r="B2463" t="s">
        <v>37</v>
      </c>
      <c r="C2463">
        <v>0</v>
      </c>
      <c r="D2463">
        <v>0</v>
      </c>
      <c r="E2463">
        <v>0</v>
      </c>
      <c r="F2463">
        <v>0</v>
      </c>
      <c r="G2463">
        <v>24.099599999999999</v>
      </c>
      <c r="H2463">
        <v>0</v>
      </c>
      <c r="I2463">
        <v>0</v>
      </c>
      <c r="J2463">
        <v>0</v>
      </c>
      <c r="K2463">
        <v>0</v>
      </c>
      <c r="L2463">
        <v>92</v>
      </c>
      <c r="M2463">
        <v>133</v>
      </c>
      <c r="N2463" t="s">
        <v>37</v>
      </c>
      <c r="O2463" s="3">
        <v>44454</v>
      </c>
      <c r="P2463">
        <v>-1</v>
      </c>
      <c r="T2463" t="s">
        <v>41</v>
      </c>
      <c r="U2463">
        <v>116</v>
      </c>
      <c r="V2463">
        <v>25.375</v>
      </c>
    </row>
    <row r="2464" spans="1:22" x14ac:dyDescent="0.35">
      <c r="A2464" s="3">
        <v>44321</v>
      </c>
      <c r="B2464" t="s">
        <v>41</v>
      </c>
      <c r="C2464">
        <v>0</v>
      </c>
      <c r="D2464">
        <v>0</v>
      </c>
      <c r="E2464">
        <v>0</v>
      </c>
      <c r="F2464">
        <v>0</v>
      </c>
      <c r="G2464">
        <v>19.978400000000001</v>
      </c>
      <c r="H2464">
        <v>0</v>
      </c>
      <c r="I2464">
        <v>0</v>
      </c>
      <c r="J2464">
        <v>0</v>
      </c>
      <c r="K2464">
        <v>0</v>
      </c>
      <c r="L2464">
        <v>10</v>
      </c>
      <c r="M2464">
        <v>14</v>
      </c>
      <c r="N2464" t="s">
        <v>41</v>
      </c>
      <c r="O2464" s="3">
        <v>44335</v>
      </c>
      <c r="P2464">
        <v>-1</v>
      </c>
      <c r="T2464" t="s">
        <v>40</v>
      </c>
      <c r="U2464">
        <v>135</v>
      </c>
      <c r="V2464">
        <v>25.225000000000001</v>
      </c>
    </row>
    <row r="2465" spans="1:22" x14ac:dyDescent="0.35">
      <c r="A2465" s="3">
        <v>44321</v>
      </c>
      <c r="B2465" t="s">
        <v>40</v>
      </c>
      <c r="C2465">
        <v>0</v>
      </c>
      <c r="D2465">
        <v>0</v>
      </c>
      <c r="E2465">
        <v>0</v>
      </c>
      <c r="F2465">
        <v>0</v>
      </c>
      <c r="G2465">
        <v>21.675799999999999</v>
      </c>
      <c r="H2465">
        <v>0</v>
      </c>
      <c r="I2465">
        <v>0</v>
      </c>
      <c r="J2465">
        <v>0</v>
      </c>
      <c r="K2465">
        <v>0</v>
      </c>
      <c r="L2465">
        <v>29</v>
      </c>
      <c r="M2465">
        <v>42</v>
      </c>
      <c r="N2465" t="s">
        <v>40</v>
      </c>
      <c r="O2465" s="3">
        <v>44363</v>
      </c>
      <c r="P2465">
        <v>-1</v>
      </c>
      <c r="T2465" t="s">
        <v>39</v>
      </c>
      <c r="U2465">
        <v>159</v>
      </c>
      <c r="V2465">
        <v>25.625</v>
      </c>
    </row>
    <row r="2466" spans="1:22" x14ac:dyDescent="0.35">
      <c r="A2466" s="3">
        <v>44321</v>
      </c>
      <c r="B2466" t="s">
        <v>35</v>
      </c>
      <c r="C2466">
        <v>0</v>
      </c>
      <c r="D2466">
        <v>0</v>
      </c>
      <c r="E2466">
        <v>0</v>
      </c>
      <c r="F2466">
        <v>0</v>
      </c>
      <c r="G2466">
        <v>24.15</v>
      </c>
      <c r="H2466">
        <v>0</v>
      </c>
      <c r="I2466">
        <v>0</v>
      </c>
      <c r="J2466">
        <v>0</v>
      </c>
      <c r="K2466">
        <v>0</v>
      </c>
      <c r="L2466">
        <v>137</v>
      </c>
      <c r="M2466">
        <v>196</v>
      </c>
      <c r="N2466" t="s">
        <v>35</v>
      </c>
      <c r="O2466" s="3">
        <v>44517</v>
      </c>
      <c r="P2466">
        <v>-1</v>
      </c>
      <c r="T2466" t="s">
        <v>46</v>
      </c>
      <c r="U2466">
        <v>10</v>
      </c>
      <c r="V2466">
        <v>22.675000000000001</v>
      </c>
    </row>
    <row r="2467" spans="1:22" x14ac:dyDescent="0.35">
      <c r="A2467" s="3">
        <v>44320</v>
      </c>
      <c r="B2467" t="s">
        <v>39</v>
      </c>
      <c r="C2467">
        <v>0</v>
      </c>
      <c r="D2467">
        <v>0</v>
      </c>
      <c r="E2467">
        <v>0</v>
      </c>
      <c r="F2467">
        <v>0</v>
      </c>
      <c r="G2467">
        <v>23.3978</v>
      </c>
      <c r="H2467">
        <v>0</v>
      </c>
      <c r="I2467">
        <v>0</v>
      </c>
      <c r="J2467">
        <v>0</v>
      </c>
      <c r="K2467">
        <v>0</v>
      </c>
      <c r="L2467">
        <v>54</v>
      </c>
      <c r="M2467">
        <v>78</v>
      </c>
      <c r="N2467" t="s">
        <v>39</v>
      </c>
      <c r="O2467" s="3">
        <v>44398</v>
      </c>
      <c r="P2467">
        <v>-1</v>
      </c>
      <c r="S2467" s="3">
        <v>44168</v>
      </c>
      <c r="T2467" t="s">
        <v>45</v>
      </c>
      <c r="U2467">
        <v>31</v>
      </c>
      <c r="V2467">
        <v>24.475000000000001</v>
      </c>
    </row>
    <row r="2468" spans="1:22" x14ac:dyDescent="0.35">
      <c r="A2468" s="3">
        <v>44320</v>
      </c>
      <c r="B2468" t="s">
        <v>38</v>
      </c>
      <c r="C2468">
        <v>0</v>
      </c>
      <c r="D2468">
        <v>0</v>
      </c>
      <c r="E2468">
        <v>0</v>
      </c>
      <c r="F2468">
        <v>0</v>
      </c>
      <c r="G2468">
        <v>23.9</v>
      </c>
      <c r="H2468">
        <v>0</v>
      </c>
      <c r="I2468">
        <v>0</v>
      </c>
      <c r="J2468">
        <v>0</v>
      </c>
      <c r="K2468">
        <v>0</v>
      </c>
      <c r="L2468">
        <v>74</v>
      </c>
      <c r="M2468">
        <v>106</v>
      </c>
      <c r="N2468" t="s">
        <v>38</v>
      </c>
      <c r="O2468" s="3">
        <v>44426</v>
      </c>
      <c r="P2468">
        <v>-1</v>
      </c>
      <c r="T2468" t="s">
        <v>44</v>
      </c>
      <c r="U2468">
        <v>50</v>
      </c>
      <c r="V2468">
        <v>25.024999999999999</v>
      </c>
    </row>
    <row r="2469" spans="1:22" x14ac:dyDescent="0.35">
      <c r="A2469" s="3">
        <v>44320</v>
      </c>
      <c r="B2469" t="s">
        <v>34</v>
      </c>
      <c r="C2469">
        <v>0</v>
      </c>
      <c r="D2469">
        <v>0</v>
      </c>
      <c r="E2469">
        <v>0</v>
      </c>
      <c r="F2469">
        <v>0</v>
      </c>
      <c r="G2469">
        <v>24</v>
      </c>
      <c r="H2469">
        <v>0</v>
      </c>
      <c r="I2469">
        <v>0</v>
      </c>
      <c r="J2469">
        <v>0</v>
      </c>
      <c r="K2469">
        <v>0</v>
      </c>
      <c r="L2469">
        <v>162</v>
      </c>
      <c r="M2469">
        <v>232</v>
      </c>
      <c r="N2469" t="s">
        <v>34</v>
      </c>
      <c r="O2469" s="3">
        <v>44552</v>
      </c>
      <c r="P2469">
        <v>-1</v>
      </c>
      <c r="T2469" t="s">
        <v>43</v>
      </c>
      <c r="U2469">
        <v>70</v>
      </c>
      <c r="V2469">
        <v>25.175000000000001</v>
      </c>
    </row>
    <row r="2470" spans="1:22" x14ac:dyDescent="0.35">
      <c r="A2470" s="3">
        <v>44320</v>
      </c>
      <c r="B2470" t="s">
        <v>37</v>
      </c>
      <c r="C2470">
        <v>0</v>
      </c>
      <c r="D2470">
        <v>0</v>
      </c>
      <c r="E2470">
        <v>0</v>
      </c>
      <c r="F2470">
        <v>0</v>
      </c>
      <c r="G2470">
        <v>24.45</v>
      </c>
      <c r="H2470">
        <v>0</v>
      </c>
      <c r="I2470">
        <v>0</v>
      </c>
      <c r="J2470">
        <v>0</v>
      </c>
      <c r="K2470">
        <v>0</v>
      </c>
      <c r="L2470">
        <v>93</v>
      </c>
      <c r="M2470">
        <v>134</v>
      </c>
      <c r="N2470" t="s">
        <v>37</v>
      </c>
      <c r="O2470" s="3">
        <v>44454</v>
      </c>
      <c r="P2470">
        <v>-1</v>
      </c>
      <c r="T2470" t="s">
        <v>42</v>
      </c>
      <c r="U2470">
        <v>95</v>
      </c>
      <c r="V2470">
        <v>25.475000000000001</v>
      </c>
    </row>
    <row r="2471" spans="1:22" x14ac:dyDescent="0.35">
      <c r="A2471" s="3">
        <v>44320</v>
      </c>
      <c r="B2471" t="s">
        <v>41</v>
      </c>
      <c r="C2471">
        <v>0</v>
      </c>
      <c r="D2471">
        <v>0</v>
      </c>
      <c r="E2471">
        <v>0</v>
      </c>
      <c r="F2471">
        <v>0</v>
      </c>
      <c r="G2471">
        <v>20.549299999999999</v>
      </c>
      <c r="H2471">
        <v>0</v>
      </c>
      <c r="I2471">
        <v>0</v>
      </c>
      <c r="J2471">
        <v>0</v>
      </c>
      <c r="K2471">
        <v>0</v>
      </c>
      <c r="L2471">
        <v>11</v>
      </c>
      <c r="M2471">
        <v>15</v>
      </c>
      <c r="N2471" t="s">
        <v>41</v>
      </c>
      <c r="O2471" s="3">
        <v>44335</v>
      </c>
      <c r="P2471">
        <v>-1</v>
      </c>
      <c r="T2471" t="s">
        <v>41</v>
      </c>
      <c r="U2471">
        <v>115</v>
      </c>
      <c r="V2471">
        <v>25.475000000000001</v>
      </c>
    </row>
    <row r="2472" spans="1:22" x14ac:dyDescent="0.35">
      <c r="A2472" s="3">
        <v>44320</v>
      </c>
      <c r="B2472" t="s">
        <v>40</v>
      </c>
      <c r="C2472">
        <v>0</v>
      </c>
      <c r="D2472">
        <v>0</v>
      </c>
      <c r="E2472">
        <v>0</v>
      </c>
      <c r="F2472">
        <v>0</v>
      </c>
      <c r="G2472">
        <v>22.235700000000001</v>
      </c>
      <c r="H2472">
        <v>0</v>
      </c>
      <c r="I2472">
        <v>0</v>
      </c>
      <c r="J2472">
        <v>0</v>
      </c>
      <c r="K2472">
        <v>0</v>
      </c>
      <c r="L2472">
        <v>30</v>
      </c>
      <c r="M2472">
        <v>43</v>
      </c>
      <c r="N2472" t="s">
        <v>40</v>
      </c>
      <c r="O2472" s="3">
        <v>44363</v>
      </c>
      <c r="P2472">
        <v>-1</v>
      </c>
      <c r="T2472" t="s">
        <v>40</v>
      </c>
      <c r="U2472">
        <v>134</v>
      </c>
      <c r="V2472">
        <v>25.375</v>
      </c>
    </row>
    <row r="2473" spans="1:22" x14ac:dyDescent="0.35">
      <c r="A2473" s="3">
        <v>44320</v>
      </c>
      <c r="B2473" t="s">
        <v>35</v>
      </c>
      <c r="C2473">
        <v>0</v>
      </c>
      <c r="D2473">
        <v>0</v>
      </c>
      <c r="E2473">
        <v>0</v>
      </c>
      <c r="F2473">
        <v>0</v>
      </c>
      <c r="G2473">
        <v>24.45</v>
      </c>
      <c r="H2473">
        <v>0</v>
      </c>
      <c r="I2473">
        <v>0</v>
      </c>
      <c r="J2473">
        <v>0</v>
      </c>
      <c r="K2473">
        <v>0</v>
      </c>
      <c r="L2473">
        <v>138</v>
      </c>
      <c r="M2473">
        <v>197</v>
      </c>
      <c r="N2473" t="s">
        <v>35</v>
      </c>
      <c r="O2473" s="3">
        <v>44517</v>
      </c>
      <c r="P2473">
        <v>-1</v>
      </c>
      <c r="T2473" t="s">
        <v>39</v>
      </c>
      <c r="U2473">
        <v>158</v>
      </c>
      <c r="V2473">
        <v>25.75</v>
      </c>
    </row>
    <row r="2474" spans="1:22" x14ac:dyDescent="0.35">
      <c r="A2474" s="3">
        <v>44320</v>
      </c>
      <c r="B2474" t="s">
        <v>36</v>
      </c>
      <c r="C2474">
        <v>0</v>
      </c>
      <c r="D2474">
        <v>0</v>
      </c>
      <c r="E2474">
        <v>0</v>
      </c>
      <c r="F2474">
        <v>0</v>
      </c>
      <c r="G2474">
        <v>24.642900000000001</v>
      </c>
      <c r="H2474">
        <v>0</v>
      </c>
      <c r="I2474">
        <v>0</v>
      </c>
      <c r="J2474">
        <v>0</v>
      </c>
      <c r="K2474">
        <v>0</v>
      </c>
      <c r="L2474">
        <v>118</v>
      </c>
      <c r="M2474">
        <v>169</v>
      </c>
      <c r="N2474" t="s">
        <v>36</v>
      </c>
      <c r="O2474" s="3">
        <v>44489</v>
      </c>
      <c r="P2474">
        <v>-1</v>
      </c>
      <c r="T2474" t="s">
        <v>46</v>
      </c>
      <c r="U2474">
        <v>9</v>
      </c>
      <c r="V2474">
        <v>22.975000000000001</v>
      </c>
    </row>
    <row r="2475" spans="1:22" x14ac:dyDescent="0.35">
      <c r="A2475" s="3">
        <v>44320</v>
      </c>
      <c r="B2475" t="s">
        <v>33</v>
      </c>
      <c r="C2475">
        <v>0</v>
      </c>
      <c r="D2475">
        <v>0</v>
      </c>
      <c r="E2475">
        <v>0</v>
      </c>
      <c r="F2475">
        <v>0</v>
      </c>
      <c r="G2475">
        <v>24.725000000000001</v>
      </c>
      <c r="H2475">
        <v>0</v>
      </c>
      <c r="I2475">
        <v>0</v>
      </c>
      <c r="J2475">
        <v>0</v>
      </c>
      <c r="K2475">
        <v>0</v>
      </c>
      <c r="L2475">
        <v>180</v>
      </c>
      <c r="M2475">
        <v>260</v>
      </c>
      <c r="N2475" t="s">
        <v>33</v>
      </c>
      <c r="O2475" s="3">
        <v>44580</v>
      </c>
      <c r="P2475">
        <v>-1</v>
      </c>
      <c r="S2475" s="3">
        <v>44169</v>
      </c>
      <c r="T2475" t="s">
        <v>45</v>
      </c>
      <c r="U2475">
        <v>30</v>
      </c>
      <c r="V2475">
        <v>24.225000000000001</v>
      </c>
    </row>
    <row r="2476" spans="1:22" x14ac:dyDescent="0.35">
      <c r="A2476" s="3">
        <v>44319</v>
      </c>
      <c r="B2476" t="s">
        <v>36</v>
      </c>
      <c r="C2476">
        <v>0</v>
      </c>
      <c r="D2476">
        <v>0</v>
      </c>
      <c r="E2476">
        <v>0</v>
      </c>
      <c r="F2476">
        <v>0</v>
      </c>
      <c r="G2476">
        <v>24.331</v>
      </c>
      <c r="H2476">
        <v>0</v>
      </c>
      <c r="I2476">
        <v>0</v>
      </c>
      <c r="J2476">
        <v>0</v>
      </c>
      <c r="K2476">
        <v>0</v>
      </c>
      <c r="L2476">
        <v>119</v>
      </c>
      <c r="M2476">
        <v>170</v>
      </c>
      <c r="N2476" t="s">
        <v>36</v>
      </c>
      <c r="O2476" s="3">
        <v>44489</v>
      </c>
      <c r="P2476">
        <v>-1</v>
      </c>
      <c r="T2476" t="s">
        <v>44</v>
      </c>
      <c r="U2476">
        <v>49</v>
      </c>
      <c r="V2476">
        <v>24.875</v>
      </c>
    </row>
    <row r="2477" spans="1:22" x14ac:dyDescent="0.35">
      <c r="A2477" s="3">
        <v>44319</v>
      </c>
      <c r="B2477" t="s">
        <v>33</v>
      </c>
      <c r="C2477">
        <v>0</v>
      </c>
      <c r="D2477">
        <v>0</v>
      </c>
      <c r="E2477">
        <v>0</v>
      </c>
      <c r="F2477">
        <v>0</v>
      </c>
      <c r="G2477">
        <v>24.55</v>
      </c>
      <c r="H2477">
        <v>0</v>
      </c>
      <c r="I2477">
        <v>0</v>
      </c>
      <c r="J2477">
        <v>0</v>
      </c>
      <c r="K2477">
        <v>0</v>
      </c>
      <c r="L2477">
        <v>181</v>
      </c>
      <c r="M2477">
        <v>261</v>
      </c>
      <c r="N2477" t="s">
        <v>33</v>
      </c>
      <c r="O2477" s="3">
        <v>44580</v>
      </c>
      <c r="P2477">
        <v>-1</v>
      </c>
      <c r="T2477" t="s">
        <v>43</v>
      </c>
      <c r="U2477">
        <v>69</v>
      </c>
      <c r="V2477">
        <v>24.975000000000001</v>
      </c>
    </row>
    <row r="2478" spans="1:22" x14ac:dyDescent="0.35">
      <c r="A2478" s="3">
        <v>44319</v>
      </c>
      <c r="B2478" t="s">
        <v>39</v>
      </c>
      <c r="C2478">
        <v>0</v>
      </c>
      <c r="D2478">
        <v>0</v>
      </c>
      <c r="E2478">
        <v>0</v>
      </c>
      <c r="F2478">
        <v>0</v>
      </c>
      <c r="G2478">
        <v>22.926600000000001</v>
      </c>
      <c r="H2478">
        <v>0</v>
      </c>
      <c r="I2478">
        <v>0</v>
      </c>
      <c r="J2478">
        <v>0</v>
      </c>
      <c r="K2478">
        <v>0</v>
      </c>
      <c r="L2478">
        <v>55</v>
      </c>
      <c r="M2478">
        <v>79</v>
      </c>
      <c r="N2478" t="s">
        <v>39</v>
      </c>
      <c r="O2478" s="3">
        <v>44398</v>
      </c>
      <c r="P2478">
        <v>-1</v>
      </c>
      <c r="T2478" t="s">
        <v>42</v>
      </c>
      <c r="U2478">
        <v>94</v>
      </c>
      <c r="V2478">
        <v>25.324999999999999</v>
      </c>
    </row>
    <row r="2479" spans="1:22" x14ac:dyDescent="0.35">
      <c r="A2479" s="3">
        <v>44319</v>
      </c>
      <c r="B2479" t="s">
        <v>38</v>
      </c>
      <c r="C2479">
        <v>0</v>
      </c>
      <c r="D2479">
        <v>0</v>
      </c>
      <c r="E2479">
        <v>0</v>
      </c>
      <c r="F2479">
        <v>0</v>
      </c>
      <c r="G2479">
        <v>23.4848</v>
      </c>
      <c r="H2479">
        <v>0</v>
      </c>
      <c r="I2479">
        <v>0</v>
      </c>
      <c r="J2479">
        <v>0</v>
      </c>
      <c r="K2479">
        <v>0</v>
      </c>
      <c r="L2479">
        <v>75</v>
      </c>
      <c r="M2479">
        <v>107</v>
      </c>
      <c r="N2479" t="s">
        <v>38</v>
      </c>
      <c r="O2479" s="3">
        <v>44426</v>
      </c>
      <c r="P2479">
        <v>-1</v>
      </c>
      <c r="T2479" t="s">
        <v>41</v>
      </c>
      <c r="U2479">
        <v>114</v>
      </c>
      <c r="V2479">
        <v>25.375</v>
      </c>
    </row>
    <row r="2480" spans="1:22" x14ac:dyDescent="0.35">
      <c r="A2480" s="3">
        <v>44319</v>
      </c>
      <c r="B2480" t="s">
        <v>34</v>
      </c>
      <c r="C2480">
        <v>0</v>
      </c>
      <c r="D2480">
        <v>0</v>
      </c>
      <c r="E2480">
        <v>0</v>
      </c>
      <c r="F2480">
        <v>0</v>
      </c>
      <c r="G2480">
        <v>23.75</v>
      </c>
      <c r="H2480">
        <v>0</v>
      </c>
      <c r="I2480">
        <v>0</v>
      </c>
      <c r="J2480">
        <v>0</v>
      </c>
      <c r="K2480">
        <v>0</v>
      </c>
      <c r="L2480">
        <v>163</v>
      </c>
      <c r="M2480">
        <v>233</v>
      </c>
      <c r="N2480" t="s">
        <v>34</v>
      </c>
      <c r="O2480" s="3">
        <v>44552</v>
      </c>
      <c r="P2480">
        <v>-1</v>
      </c>
      <c r="T2480" t="s">
        <v>40</v>
      </c>
      <c r="U2480">
        <v>133</v>
      </c>
      <c r="V2480">
        <v>25.324999999999999</v>
      </c>
    </row>
    <row r="2481" spans="1:22" x14ac:dyDescent="0.35">
      <c r="A2481" s="3">
        <v>44319</v>
      </c>
      <c r="B2481" t="s">
        <v>37</v>
      </c>
      <c r="C2481">
        <v>0</v>
      </c>
      <c r="D2481">
        <v>0</v>
      </c>
      <c r="E2481">
        <v>0</v>
      </c>
      <c r="F2481">
        <v>0</v>
      </c>
      <c r="G2481">
        <v>24.074400000000001</v>
      </c>
      <c r="H2481">
        <v>0</v>
      </c>
      <c r="I2481">
        <v>0</v>
      </c>
      <c r="J2481">
        <v>0</v>
      </c>
      <c r="K2481">
        <v>0</v>
      </c>
      <c r="L2481">
        <v>94</v>
      </c>
      <c r="M2481">
        <v>135</v>
      </c>
      <c r="N2481" t="s">
        <v>37</v>
      </c>
      <c r="O2481" s="3">
        <v>44454</v>
      </c>
      <c r="P2481">
        <v>-1</v>
      </c>
      <c r="T2481" t="s">
        <v>39</v>
      </c>
      <c r="U2481">
        <v>157</v>
      </c>
      <c r="V2481">
        <v>25.5</v>
      </c>
    </row>
    <row r="2482" spans="1:22" x14ac:dyDescent="0.35">
      <c r="A2482" s="3">
        <v>44319</v>
      </c>
      <c r="B2482" t="s">
        <v>41</v>
      </c>
      <c r="C2482">
        <v>0</v>
      </c>
      <c r="D2482">
        <v>0</v>
      </c>
      <c r="E2482">
        <v>0</v>
      </c>
      <c r="F2482">
        <v>0</v>
      </c>
      <c r="G2482">
        <v>19.732399999999998</v>
      </c>
      <c r="H2482">
        <v>0</v>
      </c>
      <c r="I2482">
        <v>0</v>
      </c>
      <c r="J2482">
        <v>0</v>
      </c>
      <c r="K2482">
        <v>0</v>
      </c>
      <c r="L2482">
        <v>12</v>
      </c>
      <c r="M2482">
        <v>16</v>
      </c>
      <c r="N2482" t="s">
        <v>41</v>
      </c>
      <c r="O2482" s="3">
        <v>44335</v>
      </c>
      <c r="P2482">
        <v>-1</v>
      </c>
      <c r="S2482" s="3">
        <v>44172</v>
      </c>
      <c r="T2482" t="s">
        <v>45</v>
      </c>
      <c r="U2482">
        <v>29</v>
      </c>
      <c r="V2482">
        <v>24.324999999999999</v>
      </c>
    </row>
    <row r="2483" spans="1:22" x14ac:dyDescent="0.35">
      <c r="A2483" s="3">
        <v>44319</v>
      </c>
      <c r="B2483" t="s">
        <v>40</v>
      </c>
      <c r="C2483">
        <v>0</v>
      </c>
      <c r="D2483">
        <v>0</v>
      </c>
      <c r="E2483">
        <v>0</v>
      </c>
      <c r="F2483">
        <v>0</v>
      </c>
      <c r="G2483">
        <v>21.552199999999999</v>
      </c>
      <c r="H2483">
        <v>0</v>
      </c>
      <c r="I2483">
        <v>0</v>
      </c>
      <c r="J2483">
        <v>0</v>
      </c>
      <c r="K2483">
        <v>0</v>
      </c>
      <c r="L2483">
        <v>31</v>
      </c>
      <c r="M2483">
        <v>44</v>
      </c>
      <c r="N2483" t="s">
        <v>40</v>
      </c>
      <c r="O2483" s="3">
        <v>44363</v>
      </c>
      <c r="P2483">
        <v>-1</v>
      </c>
      <c r="T2483" t="s">
        <v>44</v>
      </c>
      <c r="U2483">
        <v>48</v>
      </c>
      <c r="V2483">
        <v>25.074999999999999</v>
      </c>
    </row>
    <row r="2484" spans="1:22" x14ac:dyDescent="0.35">
      <c r="A2484" s="3">
        <v>44319</v>
      </c>
      <c r="B2484" t="s">
        <v>35</v>
      </c>
      <c r="C2484">
        <v>0</v>
      </c>
      <c r="D2484">
        <v>0</v>
      </c>
      <c r="E2484">
        <v>0</v>
      </c>
      <c r="F2484">
        <v>0</v>
      </c>
      <c r="G2484">
        <v>24.182400000000001</v>
      </c>
      <c r="H2484">
        <v>0</v>
      </c>
      <c r="I2484">
        <v>0</v>
      </c>
      <c r="J2484">
        <v>0</v>
      </c>
      <c r="K2484">
        <v>0</v>
      </c>
      <c r="L2484">
        <v>139</v>
      </c>
      <c r="M2484">
        <v>198</v>
      </c>
      <c r="N2484" t="s">
        <v>35</v>
      </c>
      <c r="O2484" s="3">
        <v>44517</v>
      </c>
      <c r="P2484">
        <v>-1</v>
      </c>
      <c r="T2484" t="s">
        <v>43</v>
      </c>
      <c r="U2484">
        <v>68</v>
      </c>
      <c r="V2484">
        <v>25.125</v>
      </c>
    </row>
    <row r="2485" spans="1:22" x14ac:dyDescent="0.35">
      <c r="A2485" s="3">
        <v>44316</v>
      </c>
      <c r="B2485" t="s">
        <v>39</v>
      </c>
      <c r="C2485">
        <v>0</v>
      </c>
      <c r="D2485">
        <v>0</v>
      </c>
      <c r="E2485">
        <v>0</v>
      </c>
      <c r="F2485">
        <v>0</v>
      </c>
      <c r="G2485">
        <v>23.5</v>
      </c>
      <c r="H2485">
        <v>0</v>
      </c>
      <c r="I2485">
        <v>0</v>
      </c>
      <c r="J2485">
        <v>0</v>
      </c>
      <c r="K2485">
        <v>0</v>
      </c>
      <c r="L2485">
        <v>56</v>
      </c>
      <c r="M2485">
        <v>82</v>
      </c>
      <c r="N2485" t="s">
        <v>39</v>
      </c>
      <c r="O2485" s="3">
        <v>44398</v>
      </c>
      <c r="P2485">
        <v>-1</v>
      </c>
      <c r="T2485" t="s">
        <v>42</v>
      </c>
      <c r="U2485">
        <v>93</v>
      </c>
      <c r="V2485">
        <v>25.475000000000001</v>
      </c>
    </row>
    <row r="2486" spans="1:22" x14ac:dyDescent="0.35">
      <c r="A2486" s="3">
        <v>44316</v>
      </c>
      <c r="B2486" t="s">
        <v>38</v>
      </c>
      <c r="C2486">
        <v>0</v>
      </c>
      <c r="D2486">
        <v>0</v>
      </c>
      <c r="E2486">
        <v>0</v>
      </c>
      <c r="F2486">
        <v>0</v>
      </c>
      <c r="G2486">
        <v>23.975999999999999</v>
      </c>
      <c r="H2486">
        <v>0</v>
      </c>
      <c r="I2486">
        <v>0</v>
      </c>
      <c r="J2486">
        <v>0</v>
      </c>
      <c r="K2486">
        <v>0</v>
      </c>
      <c r="L2486">
        <v>76</v>
      </c>
      <c r="M2486">
        <v>110</v>
      </c>
      <c r="N2486" t="s">
        <v>38</v>
      </c>
      <c r="O2486" s="3">
        <v>44426</v>
      </c>
      <c r="P2486">
        <v>-1</v>
      </c>
      <c r="T2486" t="s">
        <v>41</v>
      </c>
      <c r="U2486">
        <v>113</v>
      </c>
      <c r="V2486">
        <v>25.55</v>
      </c>
    </row>
    <row r="2487" spans="1:22" x14ac:dyDescent="0.35">
      <c r="A2487" s="3">
        <v>44316</v>
      </c>
      <c r="B2487" t="s">
        <v>34</v>
      </c>
      <c r="C2487">
        <v>0</v>
      </c>
      <c r="D2487">
        <v>0</v>
      </c>
      <c r="E2487">
        <v>0</v>
      </c>
      <c r="F2487">
        <v>0</v>
      </c>
      <c r="G2487">
        <v>23.975000000000001</v>
      </c>
      <c r="H2487">
        <v>0</v>
      </c>
      <c r="I2487">
        <v>0</v>
      </c>
      <c r="J2487">
        <v>0</v>
      </c>
      <c r="K2487">
        <v>0</v>
      </c>
      <c r="L2487">
        <v>164</v>
      </c>
      <c r="M2487">
        <v>236</v>
      </c>
      <c r="N2487" t="s">
        <v>34</v>
      </c>
      <c r="O2487" s="3">
        <v>44552</v>
      </c>
      <c r="P2487">
        <v>-1</v>
      </c>
      <c r="T2487" t="s">
        <v>40</v>
      </c>
      <c r="U2487">
        <v>132</v>
      </c>
      <c r="V2487">
        <v>25.45</v>
      </c>
    </row>
    <row r="2488" spans="1:22" x14ac:dyDescent="0.35">
      <c r="A2488" s="3">
        <v>44316</v>
      </c>
      <c r="B2488" t="s">
        <v>37</v>
      </c>
      <c r="C2488">
        <v>0</v>
      </c>
      <c r="D2488">
        <v>0</v>
      </c>
      <c r="E2488">
        <v>0</v>
      </c>
      <c r="F2488">
        <v>0</v>
      </c>
      <c r="G2488">
        <v>24.55</v>
      </c>
      <c r="H2488">
        <v>0</v>
      </c>
      <c r="I2488">
        <v>0</v>
      </c>
      <c r="J2488">
        <v>0</v>
      </c>
      <c r="K2488">
        <v>0</v>
      </c>
      <c r="L2488">
        <v>95</v>
      </c>
      <c r="M2488">
        <v>138</v>
      </c>
      <c r="N2488" t="s">
        <v>37</v>
      </c>
      <c r="O2488" s="3">
        <v>44454</v>
      </c>
      <c r="P2488">
        <v>-1</v>
      </c>
      <c r="T2488" t="s">
        <v>39</v>
      </c>
      <c r="U2488">
        <v>156</v>
      </c>
      <c r="V2488">
        <v>25.4</v>
      </c>
    </row>
    <row r="2489" spans="1:22" x14ac:dyDescent="0.35">
      <c r="A2489" s="3">
        <v>44316</v>
      </c>
      <c r="B2489" t="s">
        <v>41</v>
      </c>
      <c r="C2489">
        <v>0</v>
      </c>
      <c r="D2489">
        <v>0</v>
      </c>
      <c r="E2489">
        <v>0</v>
      </c>
      <c r="F2489">
        <v>0</v>
      </c>
      <c r="G2489">
        <v>20.437999999999999</v>
      </c>
      <c r="H2489">
        <v>0</v>
      </c>
      <c r="I2489">
        <v>0</v>
      </c>
      <c r="J2489">
        <v>0</v>
      </c>
      <c r="K2489">
        <v>0</v>
      </c>
      <c r="L2489">
        <v>13</v>
      </c>
      <c r="M2489">
        <v>19</v>
      </c>
      <c r="N2489" t="s">
        <v>41</v>
      </c>
      <c r="O2489" s="3">
        <v>44335</v>
      </c>
      <c r="P2489">
        <v>-1</v>
      </c>
      <c r="S2489" s="3">
        <v>44173</v>
      </c>
      <c r="T2489" t="s">
        <v>45</v>
      </c>
      <c r="U2489">
        <v>28</v>
      </c>
      <c r="V2489">
        <v>23.625</v>
      </c>
    </row>
    <row r="2490" spans="1:22" x14ac:dyDescent="0.35">
      <c r="A2490" s="3">
        <v>44316</v>
      </c>
      <c r="B2490" t="s">
        <v>40</v>
      </c>
      <c r="C2490">
        <v>0</v>
      </c>
      <c r="D2490">
        <v>0</v>
      </c>
      <c r="E2490">
        <v>0</v>
      </c>
      <c r="F2490">
        <v>0</v>
      </c>
      <c r="G2490">
        <v>22.239100000000001</v>
      </c>
      <c r="H2490">
        <v>0</v>
      </c>
      <c r="I2490">
        <v>0</v>
      </c>
      <c r="J2490">
        <v>0</v>
      </c>
      <c r="K2490">
        <v>0</v>
      </c>
      <c r="L2490">
        <v>32</v>
      </c>
      <c r="M2490">
        <v>47</v>
      </c>
      <c r="N2490" t="s">
        <v>40</v>
      </c>
      <c r="O2490" s="3">
        <v>44363</v>
      </c>
      <c r="P2490">
        <v>-1</v>
      </c>
      <c r="T2490" t="s">
        <v>44</v>
      </c>
      <c r="U2490">
        <v>47</v>
      </c>
      <c r="V2490">
        <v>24.574999999999999</v>
      </c>
    </row>
    <row r="2491" spans="1:22" x14ac:dyDescent="0.35">
      <c r="A2491" s="3">
        <v>44316</v>
      </c>
      <c r="B2491" t="s">
        <v>35</v>
      </c>
      <c r="C2491">
        <v>0</v>
      </c>
      <c r="D2491">
        <v>0</v>
      </c>
      <c r="E2491">
        <v>0</v>
      </c>
      <c r="F2491">
        <v>0</v>
      </c>
      <c r="G2491">
        <v>24.498799999999999</v>
      </c>
      <c r="H2491">
        <v>0</v>
      </c>
      <c r="I2491">
        <v>0</v>
      </c>
      <c r="J2491">
        <v>0</v>
      </c>
      <c r="K2491">
        <v>0</v>
      </c>
      <c r="L2491">
        <v>140</v>
      </c>
      <c r="M2491">
        <v>201</v>
      </c>
      <c r="N2491" t="s">
        <v>35</v>
      </c>
      <c r="O2491" s="3">
        <v>44517</v>
      </c>
      <c r="P2491">
        <v>-1</v>
      </c>
      <c r="T2491" t="s">
        <v>43</v>
      </c>
      <c r="U2491">
        <v>67</v>
      </c>
      <c r="V2491">
        <v>24.725000000000001</v>
      </c>
    </row>
    <row r="2492" spans="1:22" x14ac:dyDescent="0.35">
      <c r="A2492" s="3">
        <v>44316</v>
      </c>
      <c r="B2492" t="s">
        <v>36</v>
      </c>
      <c r="C2492">
        <v>0</v>
      </c>
      <c r="D2492">
        <v>0</v>
      </c>
      <c r="E2492">
        <v>0</v>
      </c>
      <c r="F2492">
        <v>0</v>
      </c>
      <c r="G2492">
        <v>24.7</v>
      </c>
      <c r="H2492">
        <v>0</v>
      </c>
      <c r="I2492">
        <v>0</v>
      </c>
      <c r="J2492">
        <v>0</v>
      </c>
      <c r="K2492">
        <v>0</v>
      </c>
      <c r="L2492">
        <v>120</v>
      </c>
      <c r="M2492">
        <v>173</v>
      </c>
      <c r="N2492" t="s">
        <v>36</v>
      </c>
      <c r="O2492" s="3">
        <v>44489</v>
      </c>
      <c r="P2492">
        <v>-1</v>
      </c>
      <c r="T2492" t="s">
        <v>42</v>
      </c>
      <c r="U2492">
        <v>92</v>
      </c>
      <c r="V2492">
        <v>25.15</v>
      </c>
    </row>
    <row r="2493" spans="1:22" x14ac:dyDescent="0.35">
      <c r="A2493" s="3">
        <v>44316</v>
      </c>
      <c r="B2493" t="s">
        <v>33</v>
      </c>
      <c r="C2493">
        <v>0</v>
      </c>
      <c r="D2493">
        <v>0</v>
      </c>
      <c r="E2493">
        <v>0</v>
      </c>
      <c r="F2493">
        <v>0</v>
      </c>
      <c r="G2493">
        <v>24.6</v>
      </c>
      <c r="H2493">
        <v>0</v>
      </c>
      <c r="I2493">
        <v>0</v>
      </c>
      <c r="J2493">
        <v>0</v>
      </c>
      <c r="K2493">
        <v>0</v>
      </c>
      <c r="L2493">
        <v>182</v>
      </c>
      <c r="M2493">
        <v>264</v>
      </c>
      <c r="N2493" t="s">
        <v>33</v>
      </c>
      <c r="O2493" s="3">
        <v>44580</v>
      </c>
      <c r="P2493">
        <v>-1</v>
      </c>
      <c r="T2493" t="s">
        <v>41</v>
      </c>
      <c r="U2493">
        <v>112</v>
      </c>
      <c r="V2493">
        <v>25.324999999999999</v>
      </c>
    </row>
    <row r="2494" spans="1:22" x14ac:dyDescent="0.35">
      <c r="A2494" s="3">
        <v>44315</v>
      </c>
      <c r="B2494" t="s">
        <v>36</v>
      </c>
      <c r="C2494">
        <v>0</v>
      </c>
      <c r="D2494">
        <v>0</v>
      </c>
      <c r="E2494">
        <v>0</v>
      </c>
      <c r="F2494">
        <v>0</v>
      </c>
      <c r="G2494">
        <v>24.398399999999999</v>
      </c>
      <c r="H2494">
        <v>0</v>
      </c>
      <c r="I2494">
        <v>0</v>
      </c>
      <c r="J2494">
        <v>0</v>
      </c>
      <c r="K2494">
        <v>0</v>
      </c>
      <c r="L2494">
        <v>121</v>
      </c>
      <c r="M2494">
        <v>174</v>
      </c>
      <c r="N2494" t="s">
        <v>36</v>
      </c>
      <c r="O2494" s="3">
        <v>44489</v>
      </c>
      <c r="P2494">
        <v>-1</v>
      </c>
      <c r="T2494" t="s">
        <v>40</v>
      </c>
      <c r="U2494">
        <v>131</v>
      </c>
      <c r="V2494">
        <v>25.274999999999999</v>
      </c>
    </row>
    <row r="2495" spans="1:22" x14ac:dyDescent="0.35">
      <c r="A2495" s="3">
        <v>44315</v>
      </c>
      <c r="B2495" t="s">
        <v>33</v>
      </c>
      <c r="C2495">
        <v>0</v>
      </c>
      <c r="D2495">
        <v>0</v>
      </c>
      <c r="E2495">
        <v>0</v>
      </c>
      <c r="F2495">
        <v>0</v>
      </c>
      <c r="G2495">
        <v>24.425000000000001</v>
      </c>
      <c r="H2495">
        <v>0</v>
      </c>
      <c r="I2495">
        <v>0</v>
      </c>
      <c r="J2495">
        <v>0</v>
      </c>
      <c r="K2495">
        <v>0</v>
      </c>
      <c r="L2495">
        <v>183</v>
      </c>
      <c r="M2495">
        <v>265</v>
      </c>
      <c r="N2495" t="s">
        <v>33</v>
      </c>
      <c r="O2495" s="3">
        <v>44580</v>
      </c>
      <c r="P2495">
        <v>-1</v>
      </c>
      <c r="T2495" t="s">
        <v>39</v>
      </c>
      <c r="U2495">
        <v>155</v>
      </c>
      <c r="V2495">
        <v>25.274999999999999</v>
      </c>
    </row>
    <row r="2496" spans="1:22" x14ac:dyDescent="0.35">
      <c r="A2496" s="3">
        <v>44315</v>
      </c>
      <c r="B2496" t="s">
        <v>39</v>
      </c>
      <c r="C2496">
        <v>0</v>
      </c>
      <c r="D2496">
        <v>0</v>
      </c>
      <c r="E2496">
        <v>0</v>
      </c>
      <c r="F2496">
        <v>0</v>
      </c>
      <c r="G2496">
        <v>22.999600000000001</v>
      </c>
      <c r="H2496">
        <v>0</v>
      </c>
      <c r="I2496">
        <v>0</v>
      </c>
      <c r="J2496">
        <v>0</v>
      </c>
      <c r="K2496">
        <v>0</v>
      </c>
      <c r="L2496">
        <v>57</v>
      </c>
      <c r="M2496">
        <v>83</v>
      </c>
      <c r="N2496" t="s">
        <v>39</v>
      </c>
      <c r="O2496" s="3">
        <v>44398</v>
      </c>
      <c r="P2496">
        <v>-1</v>
      </c>
      <c r="S2496" s="3">
        <v>44174</v>
      </c>
      <c r="T2496" t="s">
        <v>45</v>
      </c>
      <c r="U2496">
        <v>27</v>
      </c>
      <c r="V2496">
        <v>24.375</v>
      </c>
    </row>
    <row r="2497" spans="1:22" x14ac:dyDescent="0.35">
      <c r="A2497" s="3">
        <v>44315</v>
      </c>
      <c r="B2497" t="s">
        <v>38</v>
      </c>
      <c r="C2497">
        <v>0</v>
      </c>
      <c r="D2497">
        <v>0</v>
      </c>
      <c r="E2497">
        <v>0</v>
      </c>
      <c r="F2497">
        <v>0</v>
      </c>
      <c r="G2497">
        <v>23.55</v>
      </c>
      <c r="H2497">
        <v>0</v>
      </c>
      <c r="I2497">
        <v>0</v>
      </c>
      <c r="J2497">
        <v>0</v>
      </c>
      <c r="K2497">
        <v>0</v>
      </c>
      <c r="L2497">
        <v>77</v>
      </c>
      <c r="M2497">
        <v>111</v>
      </c>
      <c r="N2497" t="s">
        <v>38</v>
      </c>
      <c r="O2497" s="3">
        <v>44426</v>
      </c>
      <c r="P2497">
        <v>-1</v>
      </c>
      <c r="T2497" t="s">
        <v>44</v>
      </c>
      <c r="U2497">
        <v>46</v>
      </c>
      <c r="V2497">
        <v>25.274999999999999</v>
      </c>
    </row>
    <row r="2498" spans="1:22" x14ac:dyDescent="0.35">
      <c r="A2498" s="3">
        <v>44315</v>
      </c>
      <c r="B2498" t="s">
        <v>34</v>
      </c>
      <c r="C2498">
        <v>0</v>
      </c>
      <c r="D2498">
        <v>0</v>
      </c>
      <c r="E2498">
        <v>0</v>
      </c>
      <c r="F2498">
        <v>0</v>
      </c>
      <c r="G2498">
        <v>23.725000000000001</v>
      </c>
      <c r="H2498">
        <v>0</v>
      </c>
      <c r="I2498">
        <v>0</v>
      </c>
      <c r="J2498">
        <v>0</v>
      </c>
      <c r="K2498">
        <v>0</v>
      </c>
      <c r="L2498">
        <v>165</v>
      </c>
      <c r="M2498">
        <v>237</v>
      </c>
      <c r="N2498" t="s">
        <v>34</v>
      </c>
      <c r="O2498" s="3">
        <v>44552</v>
      </c>
      <c r="P2498">
        <v>-1</v>
      </c>
      <c r="T2498" t="s">
        <v>43</v>
      </c>
      <c r="U2498">
        <v>66</v>
      </c>
      <c r="V2498">
        <v>25.375</v>
      </c>
    </row>
    <row r="2499" spans="1:22" x14ac:dyDescent="0.35">
      <c r="A2499" s="3">
        <v>44315</v>
      </c>
      <c r="B2499" t="s">
        <v>37</v>
      </c>
      <c r="C2499">
        <v>0</v>
      </c>
      <c r="D2499">
        <v>0</v>
      </c>
      <c r="E2499">
        <v>0</v>
      </c>
      <c r="F2499">
        <v>0</v>
      </c>
      <c r="G2499">
        <v>24.175000000000001</v>
      </c>
      <c r="H2499">
        <v>0</v>
      </c>
      <c r="I2499">
        <v>0</v>
      </c>
      <c r="J2499">
        <v>0</v>
      </c>
      <c r="K2499">
        <v>0</v>
      </c>
      <c r="L2499">
        <v>96</v>
      </c>
      <c r="M2499">
        <v>139</v>
      </c>
      <c r="N2499" t="s">
        <v>37</v>
      </c>
      <c r="O2499" s="3">
        <v>44454</v>
      </c>
      <c r="P2499">
        <v>-1</v>
      </c>
      <c r="T2499" t="s">
        <v>42</v>
      </c>
      <c r="U2499">
        <v>91</v>
      </c>
      <c r="V2499">
        <v>25.7</v>
      </c>
    </row>
    <row r="2500" spans="1:22" x14ac:dyDescent="0.35">
      <c r="A2500" s="3">
        <v>44315</v>
      </c>
      <c r="B2500" t="s">
        <v>41</v>
      </c>
      <c r="C2500">
        <v>0</v>
      </c>
      <c r="D2500">
        <v>0</v>
      </c>
      <c r="E2500">
        <v>0</v>
      </c>
      <c r="F2500">
        <v>0</v>
      </c>
      <c r="G2500">
        <v>19.5684</v>
      </c>
      <c r="H2500">
        <v>0</v>
      </c>
      <c r="I2500">
        <v>0</v>
      </c>
      <c r="J2500">
        <v>0</v>
      </c>
      <c r="K2500">
        <v>0</v>
      </c>
      <c r="L2500">
        <v>14</v>
      </c>
      <c r="M2500">
        <v>20</v>
      </c>
      <c r="N2500" t="s">
        <v>41</v>
      </c>
      <c r="O2500" s="3">
        <v>44335</v>
      </c>
      <c r="P2500">
        <v>-1</v>
      </c>
      <c r="T2500" t="s">
        <v>41</v>
      </c>
      <c r="U2500">
        <v>111</v>
      </c>
      <c r="V2500">
        <v>25.774999999999999</v>
      </c>
    </row>
    <row r="2501" spans="1:22" x14ac:dyDescent="0.35">
      <c r="A2501" s="3">
        <v>44315</v>
      </c>
      <c r="B2501" t="s">
        <v>40</v>
      </c>
      <c r="C2501">
        <v>0</v>
      </c>
      <c r="D2501">
        <v>0</v>
      </c>
      <c r="E2501">
        <v>0</v>
      </c>
      <c r="F2501">
        <v>0</v>
      </c>
      <c r="G2501">
        <v>21.597999999999999</v>
      </c>
      <c r="H2501">
        <v>0</v>
      </c>
      <c r="I2501">
        <v>0</v>
      </c>
      <c r="J2501">
        <v>0</v>
      </c>
      <c r="K2501">
        <v>0</v>
      </c>
      <c r="L2501">
        <v>33</v>
      </c>
      <c r="M2501">
        <v>48</v>
      </c>
      <c r="N2501" t="s">
        <v>40</v>
      </c>
      <c r="O2501" s="3">
        <v>44363</v>
      </c>
      <c r="P2501">
        <v>-1</v>
      </c>
      <c r="T2501" t="s">
        <v>40</v>
      </c>
      <c r="U2501">
        <v>130</v>
      </c>
      <c r="V2501">
        <v>25.774999999999999</v>
      </c>
    </row>
    <row r="2502" spans="1:22" x14ac:dyDescent="0.35">
      <c r="A2502" s="3">
        <v>44315</v>
      </c>
      <c r="B2502" t="s">
        <v>35</v>
      </c>
      <c r="C2502">
        <v>0</v>
      </c>
      <c r="D2502">
        <v>0</v>
      </c>
      <c r="E2502">
        <v>0</v>
      </c>
      <c r="F2502">
        <v>0</v>
      </c>
      <c r="G2502">
        <v>24.2303</v>
      </c>
      <c r="H2502">
        <v>0</v>
      </c>
      <c r="I2502">
        <v>0</v>
      </c>
      <c r="J2502">
        <v>0</v>
      </c>
      <c r="K2502">
        <v>0</v>
      </c>
      <c r="L2502">
        <v>141</v>
      </c>
      <c r="M2502">
        <v>202</v>
      </c>
      <c r="N2502" t="s">
        <v>35</v>
      </c>
      <c r="O2502" s="3">
        <v>44517</v>
      </c>
      <c r="P2502">
        <v>-1</v>
      </c>
      <c r="T2502" t="s">
        <v>39</v>
      </c>
      <c r="U2502">
        <v>154</v>
      </c>
      <c r="V2502">
        <v>25.8</v>
      </c>
    </row>
    <row r="2503" spans="1:22" x14ac:dyDescent="0.35">
      <c r="A2503" s="3">
        <v>44314</v>
      </c>
      <c r="B2503" t="s">
        <v>39</v>
      </c>
      <c r="C2503">
        <v>0</v>
      </c>
      <c r="D2503">
        <v>0</v>
      </c>
      <c r="E2503">
        <v>0</v>
      </c>
      <c r="F2503">
        <v>0</v>
      </c>
      <c r="G2503">
        <v>23.090900000000001</v>
      </c>
      <c r="H2503">
        <v>0</v>
      </c>
      <c r="I2503">
        <v>0</v>
      </c>
      <c r="J2503">
        <v>0</v>
      </c>
      <c r="K2503">
        <v>0</v>
      </c>
      <c r="L2503">
        <v>58</v>
      </c>
      <c r="M2503">
        <v>84</v>
      </c>
      <c r="N2503" t="s">
        <v>39</v>
      </c>
      <c r="O2503" s="3">
        <v>44398</v>
      </c>
      <c r="P2503">
        <v>-1</v>
      </c>
      <c r="S2503" s="3">
        <v>44175</v>
      </c>
      <c r="T2503" t="s">
        <v>45</v>
      </c>
      <c r="U2503">
        <v>26</v>
      </c>
      <c r="V2503">
        <v>24.675000000000001</v>
      </c>
    </row>
    <row r="2504" spans="1:22" x14ac:dyDescent="0.35">
      <c r="A2504" s="3">
        <v>44314</v>
      </c>
      <c r="B2504" t="s">
        <v>38</v>
      </c>
      <c r="C2504">
        <v>0</v>
      </c>
      <c r="D2504">
        <v>0</v>
      </c>
      <c r="E2504">
        <v>0</v>
      </c>
      <c r="F2504">
        <v>0</v>
      </c>
      <c r="G2504">
        <v>23.654900000000001</v>
      </c>
      <c r="H2504">
        <v>0</v>
      </c>
      <c r="I2504">
        <v>0</v>
      </c>
      <c r="J2504">
        <v>0</v>
      </c>
      <c r="K2504">
        <v>0</v>
      </c>
      <c r="L2504">
        <v>78</v>
      </c>
      <c r="M2504">
        <v>112</v>
      </c>
      <c r="N2504" t="s">
        <v>38</v>
      </c>
      <c r="O2504" s="3">
        <v>44426</v>
      </c>
      <c r="P2504">
        <v>-1</v>
      </c>
      <c r="T2504" t="s">
        <v>44</v>
      </c>
      <c r="U2504">
        <v>45</v>
      </c>
      <c r="V2504">
        <v>25.425000000000001</v>
      </c>
    </row>
    <row r="2505" spans="1:22" x14ac:dyDescent="0.35">
      <c r="A2505" s="3">
        <v>44314</v>
      </c>
      <c r="B2505" t="s">
        <v>34</v>
      </c>
      <c r="C2505">
        <v>0</v>
      </c>
      <c r="D2505">
        <v>0</v>
      </c>
      <c r="E2505">
        <v>0</v>
      </c>
      <c r="F2505">
        <v>0</v>
      </c>
      <c r="G2505">
        <v>23.75</v>
      </c>
      <c r="H2505">
        <v>0</v>
      </c>
      <c r="I2505">
        <v>0</v>
      </c>
      <c r="J2505">
        <v>0</v>
      </c>
      <c r="K2505">
        <v>0</v>
      </c>
      <c r="L2505">
        <v>166</v>
      </c>
      <c r="M2505">
        <v>238</v>
      </c>
      <c r="N2505" t="s">
        <v>34</v>
      </c>
      <c r="O2505" s="3">
        <v>44552</v>
      </c>
      <c r="P2505">
        <v>-1</v>
      </c>
      <c r="T2505" t="s">
        <v>43</v>
      </c>
      <c r="U2505">
        <v>65</v>
      </c>
      <c r="V2505">
        <v>25.574999999999999</v>
      </c>
    </row>
    <row r="2506" spans="1:22" x14ac:dyDescent="0.35">
      <c r="A2506" s="3">
        <v>44314</v>
      </c>
      <c r="B2506" t="s">
        <v>37</v>
      </c>
      <c r="C2506">
        <v>0</v>
      </c>
      <c r="D2506">
        <v>0</v>
      </c>
      <c r="E2506">
        <v>0</v>
      </c>
      <c r="F2506">
        <v>0</v>
      </c>
      <c r="G2506">
        <v>24.252500000000001</v>
      </c>
      <c r="H2506">
        <v>0</v>
      </c>
      <c r="I2506">
        <v>0</v>
      </c>
      <c r="J2506">
        <v>0</v>
      </c>
      <c r="K2506">
        <v>0</v>
      </c>
      <c r="L2506">
        <v>97</v>
      </c>
      <c r="M2506">
        <v>140</v>
      </c>
      <c r="N2506" t="s">
        <v>37</v>
      </c>
      <c r="O2506" s="3">
        <v>44454</v>
      </c>
      <c r="P2506">
        <v>-1</v>
      </c>
      <c r="T2506" t="s">
        <v>42</v>
      </c>
      <c r="U2506">
        <v>90</v>
      </c>
      <c r="V2506">
        <v>25.824999999999999</v>
      </c>
    </row>
    <row r="2507" spans="1:22" x14ac:dyDescent="0.35">
      <c r="A2507" s="3">
        <v>44314</v>
      </c>
      <c r="B2507" t="s">
        <v>41</v>
      </c>
      <c r="C2507">
        <v>0</v>
      </c>
      <c r="D2507">
        <v>0</v>
      </c>
      <c r="E2507">
        <v>0</v>
      </c>
      <c r="F2507">
        <v>0</v>
      </c>
      <c r="G2507">
        <v>19.6632</v>
      </c>
      <c r="H2507">
        <v>0</v>
      </c>
      <c r="I2507">
        <v>0</v>
      </c>
      <c r="J2507">
        <v>0</v>
      </c>
      <c r="K2507">
        <v>0</v>
      </c>
      <c r="L2507">
        <v>15</v>
      </c>
      <c r="M2507">
        <v>21</v>
      </c>
      <c r="N2507" t="s">
        <v>41</v>
      </c>
      <c r="O2507" s="3">
        <v>44335</v>
      </c>
      <c r="P2507">
        <v>-1</v>
      </c>
      <c r="T2507" t="s">
        <v>41</v>
      </c>
      <c r="U2507">
        <v>110</v>
      </c>
      <c r="V2507">
        <v>25.925000000000001</v>
      </c>
    </row>
    <row r="2508" spans="1:22" x14ac:dyDescent="0.35">
      <c r="A2508" s="3">
        <v>44314</v>
      </c>
      <c r="B2508" t="s">
        <v>40</v>
      </c>
      <c r="C2508">
        <v>0</v>
      </c>
      <c r="D2508">
        <v>0</v>
      </c>
      <c r="E2508">
        <v>0</v>
      </c>
      <c r="F2508">
        <v>0</v>
      </c>
      <c r="G2508">
        <v>21.701799999999999</v>
      </c>
      <c r="H2508">
        <v>0</v>
      </c>
      <c r="I2508">
        <v>0</v>
      </c>
      <c r="J2508">
        <v>0</v>
      </c>
      <c r="K2508">
        <v>0</v>
      </c>
      <c r="L2508">
        <v>34</v>
      </c>
      <c r="M2508">
        <v>49</v>
      </c>
      <c r="N2508" t="s">
        <v>40</v>
      </c>
      <c r="O2508" s="3">
        <v>44363</v>
      </c>
      <c r="P2508">
        <v>-1</v>
      </c>
      <c r="T2508" t="s">
        <v>40</v>
      </c>
      <c r="U2508">
        <v>129</v>
      </c>
      <c r="V2508">
        <v>25.875</v>
      </c>
    </row>
    <row r="2509" spans="1:22" x14ac:dyDescent="0.35">
      <c r="A2509" s="3">
        <v>44314</v>
      </c>
      <c r="B2509" t="s">
        <v>35</v>
      </c>
      <c r="C2509">
        <v>0</v>
      </c>
      <c r="D2509">
        <v>0</v>
      </c>
      <c r="E2509">
        <v>0</v>
      </c>
      <c r="F2509">
        <v>0</v>
      </c>
      <c r="G2509">
        <v>24.25</v>
      </c>
      <c r="H2509">
        <v>0</v>
      </c>
      <c r="I2509">
        <v>0</v>
      </c>
      <c r="J2509">
        <v>0</v>
      </c>
      <c r="K2509">
        <v>0</v>
      </c>
      <c r="L2509">
        <v>142</v>
      </c>
      <c r="M2509">
        <v>203</v>
      </c>
      <c r="N2509" t="s">
        <v>35</v>
      </c>
      <c r="O2509" s="3">
        <v>44517</v>
      </c>
      <c r="P2509">
        <v>-1</v>
      </c>
      <c r="T2509" t="s">
        <v>39</v>
      </c>
      <c r="U2509">
        <v>153</v>
      </c>
      <c r="V2509">
        <v>26</v>
      </c>
    </row>
    <row r="2510" spans="1:22" x14ac:dyDescent="0.35">
      <c r="A2510" s="3">
        <v>44314</v>
      </c>
      <c r="B2510" t="s">
        <v>36</v>
      </c>
      <c r="C2510">
        <v>0</v>
      </c>
      <c r="D2510">
        <v>0</v>
      </c>
      <c r="E2510">
        <v>0</v>
      </c>
      <c r="F2510">
        <v>0</v>
      </c>
      <c r="G2510">
        <v>24.425000000000001</v>
      </c>
      <c r="H2510">
        <v>0</v>
      </c>
      <c r="I2510">
        <v>0</v>
      </c>
      <c r="J2510">
        <v>0</v>
      </c>
      <c r="K2510">
        <v>0</v>
      </c>
      <c r="L2510">
        <v>122</v>
      </c>
      <c r="M2510">
        <v>175</v>
      </c>
      <c r="N2510" t="s">
        <v>36</v>
      </c>
      <c r="O2510" s="3">
        <v>44489</v>
      </c>
      <c r="P2510">
        <v>-1</v>
      </c>
      <c r="S2510" s="3">
        <v>44176</v>
      </c>
      <c r="T2510" t="s">
        <v>45</v>
      </c>
      <c r="U2510">
        <v>25</v>
      </c>
      <c r="V2510">
        <v>25.574999999999999</v>
      </c>
    </row>
    <row r="2511" spans="1:22" x14ac:dyDescent="0.35">
      <c r="A2511" s="3">
        <v>44314</v>
      </c>
      <c r="B2511" t="s">
        <v>33</v>
      </c>
      <c r="C2511">
        <v>0</v>
      </c>
      <c r="D2511">
        <v>0</v>
      </c>
      <c r="E2511">
        <v>0</v>
      </c>
      <c r="F2511">
        <v>0</v>
      </c>
      <c r="G2511">
        <v>24.45</v>
      </c>
      <c r="H2511">
        <v>0</v>
      </c>
      <c r="I2511">
        <v>0</v>
      </c>
      <c r="J2511">
        <v>0</v>
      </c>
      <c r="K2511">
        <v>0</v>
      </c>
      <c r="L2511">
        <v>184</v>
      </c>
      <c r="M2511">
        <v>266</v>
      </c>
      <c r="N2511" t="s">
        <v>33</v>
      </c>
      <c r="O2511" s="3">
        <v>44580</v>
      </c>
      <c r="P2511">
        <v>-1</v>
      </c>
      <c r="T2511" t="s">
        <v>44</v>
      </c>
      <c r="U2511">
        <v>44</v>
      </c>
      <c r="V2511">
        <v>26.074999999999999</v>
      </c>
    </row>
    <row r="2512" spans="1:22" x14ac:dyDescent="0.35">
      <c r="A2512" s="3">
        <v>44313</v>
      </c>
      <c r="B2512" t="s">
        <v>36</v>
      </c>
      <c r="C2512">
        <v>0</v>
      </c>
      <c r="D2512">
        <v>0</v>
      </c>
      <c r="E2512">
        <v>0</v>
      </c>
      <c r="F2512">
        <v>0</v>
      </c>
      <c r="G2512">
        <v>24.4</v>
      </c>
      <c r="H2512">
        <v>0</v>
      </c>
      <c r="I2512">
        <v>0</v>
      </c>
      <c r="J2512">
        <v>0</v>
      </c>
      <c r="K2512">
        <v>0</v>
      </c>
      <c r="L2512">
        <v>123</v>
      </c>
      <c r="M2512">
        <v>176</v>
      </c>
      <c r="N2512" t="s">
        <v>36</v>
      </c>
      <c r="O2512" s="3">
        <v>44489</v>
      </c>
      <c r="P2512">
        <v>-1</v>
      </c>
      <c r="T2512" t="s">
        <v>43</v>
      </c>
      <c r="U2512">
        <v>64</v>
      </c>
      <c r="V2512">
        <v>26.074999999999999</v>
      </c>
    </row>
    <row r="2513" spans="1:22" x14ac:dyDescent="0.35">
      <c r="A2513" s="3">
        <v>44313</v>
      </c>
      <c r="B2513" t="s">
        <v>33</v>
      </c>
      <c r="C2513">
        <v>0</v>
      </c>
      <c r="D2513">
        <v>0</v>
      </c>
      <c r="E2513">
        <v>0</v>
      </c>
      <c r="F2513">
        <v>0</v>
      </c>
      <c r="G2513">
        <v>24.675000000000001</v>
      </c>
      <c r="H2513">
        <v>0</v>
      </c>
      <c r="I2513">
        <v>0</v>
      </c>
      <c r="J2513">
        <v>0</v>
      </c>
      <c r="K2513">
        <v>0</v>
      </c>
      <c r="L2513">
        <v>185</v>
      </c>
      <c r="M2513">
        <v>267</v>
      </c>
      <c r="N2513" t="s">
        <v>33</v>
      </c>
      <c r="O2513" s="3">
        <v>44580</v>
      </c>
      <c r="P2513">
        <v>-1</v>
      </c>
      <c r="T2513" t="s">
        <v>42</v>
      </c>
      <c r="U2513">
        <v>89</v>
      </c>
      <c r="V2513">
        <v>26.574999999999999</v>
      </c>
    </row>
    <row r="2514" spans="1:22" x14ac:dyDescent="0.35">
      <c r="A2514" s="3">
        <v>44313</v>
      </c>
      <c r="B2514" t="s">
        <v>39</v>
      </c>
      <c r="C2514">
        <v>0</v>
      </c>
      <c r="D2514">
        <v>0</v>
      </c>
      <c r="E2514">
        <v>0</v>
      </c>
      <c r="F2514">
        <v>0</v>
      </c>
      <c r="G2514">
        <v>23.046399999999998</v>
      </c>
      <c r="H2514">
        <v>0</v>
      </c>
      <c r="I2514">
        <v>0</v>
      </c>
      <c r="J2514">
        <v>0</v>
      </c>
      <c r="K2514">
        <v>0</v>
      </c>
      <c r="L2514">
        <v>59</v>
      </c>
      <c r="M2514">
        <v>85</v>
      </c>
      <c r="N2514" t="s">
        <v>39</v>
      </c>
      <c r="O2514" s="3">
        <v>44398</v>
      </c>
      <c r="P2514">
        <v>-1</v>
      </c>
      <c r="T2514" t="s">
        <v>41</v>
      </c>
      <c r="U2514">
        <v>109</v>
      </c>
      <c r="V2514">
        <v>26.475000000000001</v>
      </c>
    </row>
    <row r="2515" spans="1:22" x14ac:dyDescent="0.35">
      <c r="A2515" s="3">
        <v>44313</v>
      </c>
      <c r="B2515" t="s">
        <v>38</v>
      </c>
      <c r="C2515">
        <v>0</v>
      </c>
      <c r="D2515">
        <v>0</v>
      </c>
      <c r="E2515">
        <v>0</v>
      </c>
      <c r="F2515">
        <v>0</v>
      </c>
      <c r="G2515">
        <v>23.552900000000001</v>
      </c>
      <c r="H2515">
        <v>0</v>
      </c>
      <c r="I2515">
        <v>0</v>
      </c>
      <c r="J2515">
        <v>0</v>
      </c>
      <c r="K2515">
        <v>0</v>
      </c>
      <c r="L2515">
        <v>79</v>
      </c>
      <c r="M2515">
        <v>113</v>
      </c>
      <c r="N2515" t="s">
        <v>38</v>
      </c>
      <c r="O2515" s="3">
        <v>44426</v>
      </c>
      <c r="P2515">
        <v>-1</v>
      </c>
      <c r="T2515" t="s">
        <v>40</v>
      </c>
      <c r="U2515">
        <v>128</v>
      </c>
      <c r="V2515">
        <v>26.375</v>
      </c>
    </row>
    <row r="2516" spans="1:22" x14ac:dyDescent="0.35">
      <c r="A2516" s="3">
        <v>44313</v>
      </c>
      <c r="B2516" t="s">
        <v>34</v>
      </c>
      <c r="C2516">
        <v>0</v>
      </c>
      <c r="D2516">
        <v>0</v>
      </c>
      <c r="E2516">
        <v>0</v>
      </c>
      <c r="F2516">
        <v>0</v>
      </c>
      <c r="G2516">
        <v>23.774999999999999</v>
      </c>
      <c r="H2516">
        <v>0</v>
      </c>
      <c r="I2516">
        <v>0</v>
      </c>
      <c r="J2516">
        <v>0</v>
      </c>
      <c r="K2516">
        <v>0</v>
      </c>
      <c r="L2516">
        <v>167</v>
      </c>
      <c r="M2516">
        <v>239</v>
      </c>
      <c r="N2516" t="s">
        <v>34</v>
      </c>
      <c r="O2516" s="3">
        <v>44552</v>
      </c>
      <c r="P2516">
        <v>-1</v>
      </c>
      <c r="T2516" t="s">
        <v>39</v>
      </c>
      <c r="U2516">
        <v>152</v>
      </c>
      <c r="V2516">
        <v>26.4</v>
      </c>
    </row>
    <row r="2517" spans="1:22" x14ac:dyDescent="0.35">
      <c r="A2517" s="3">
        <v>44313</v>
      </c>
      <c r="B2517" t="s">
        <v>37</v>
      </c>
      <c r="C2517">
        <v>0</v>
      </c>
      <c r="D2517">
        <v>0</v>
      </c>
      <c r="E2517">
        <v>0</v>
      </c>
      <c r="F2517">
        <v>0</v>
      </c>
      <c r="G2517">
        <v>24.193899999999999</v>
      </c>
      <c r="H2517">
        <v>0</v>
      </c>
      <c r="I2517">
        <v>0</v>
      </c>
      <c r="J2517">
        <v>0</v>
      </c>
      <c r="K2517">
        <v>0</v>
      </c>
      <c r="L2517">
        <v>98</v>
      </c>
      <c r="M2517">
        <v>141</v>
      </c>
      <c r="N2517" t="s">
        <v>37</v>
      </c>
      <c r="O2517" s="3">
        <v>44454</v>
      </c>
      <c r="P2517">
        <v>-1</v>
      </c>
      <c r="S2517" s="3">
        <v>44179</v>
      </c>
      <c r="T2517" t="s">
        <v>45</v>
      </c>
      <c r="U2517">
        <v>24</v>
      </c>
      <c r="V2517">
        <v>26.125</v>
      </c>
    </row>
    <row r="2518" spans="1:22" x14ac:dyDescent="0.35">
      <c r="A2518" s="3">
        <v>44313</v>
      </c>
      <c r="B2518" t="s">
        <v>41</v>
      </c>
      <c r="C2518">
        <v>0</v>
      </c>
      <c r="D2518">
        <v>0</v>
      </c>
      <c r="E2518">
        <v>0</v>
      </c>
      <c r="F2518">
        <v>0</v>
      </c>
      <c r="G2518">
        <v>19.709299999999999</v>
      </c>
      <c r="H2518">
        <v>0</v>
      </c>
      <c r="I2518">
        <v>0</v>
      </c>
      <c r="J2518">
        <v>0</v>
      </c>
      <c r="K2518">
        <v>0</v>
      </c>
      <c r="L2518">
        <v>16</v>
      </c>
      <c r="M2518">
        <v>22</v>
      </c>
      <c r="N2518" t="s">
        <v>41</v>
      </c>
      <c r="O2518" s="3">
        <v>44335</v>
      </c>
      <c r="P2518">
        <v>-1</v>
      </c>
      <c r="T2518" t="s">
        <v>44</v>
      </c>
      <c r="U2518">
        <v>43</v>
      </c>
      <c r="V2518">
        <v>26.625</v>
      </c>
    </row>
    <row r="2519" spans="1:22" x14ac:dyDescent="0.35">
      <c r="A2519" s="3">
        <v>44313</v>
      </c>
      <c r="B2519" t="s">
        <v>40</v>
      </c>
      <c r="C2519">
        <v>0</v>
      </c>
      <c r="D2519">
        <v>0</v>
      </c>
      <c r="E2519">
        <v>0</v>
      </c>
      <c r="F2519">
        <v>0</v>
      </c>
      <c r="G2519">
        <v>21.6953</v>
      </c>
      <c r="H2519">
        <v>0</v>
      </c>
      <c r="I2519">
        <v>0</v>
      </c>
      <c r="J2519">
        <v>0</v>
      </c>
      <c r="K2519">
        <v>0</v>
      </c>
      <c r="L2519">
        <v>35</v>
      </c>
      <c r="M2519">
        <v>50</v>
      </c>
      <c r="N2519" t="s">
        <v>40</v>
      </c>
      <c r="O2519" s="3">
        <v>44363</v>
      </c>
      <c r="P2519">
        <v>-1</v>
      </c>
      <c r="T2519" t="s">
        <v>43</v>
      </c>
      <c r="U2519">
        <v>63</v>
      </c>
      <c r="V2519">
        <v>26.524999999999999</v>
      </c>
    </row>
    <row r="2520" spans="1:22" x14ac:dyDescent="0.35">
      <c r="A2520" s="3">
        <v>44313</v>
      </c>
      <c r="B2520" t="s">
        <v>35</v>
      </c>
      <c r="C2520">
        <v>0</v>
      </c>
      <c r="D2520">
        <v>0</v>
      </c>
      <c r="E2520">
        <v>0</v>
      </c>
      <c r="F2520">
        <v>0</v>
      </c>
      <c r="G2520">
        <v>24.245100000000001</v>
      </c>
      <c r="H2520">
        <v>0</v>
      </c>
      <c r="I2520">
        <v>0</v>
      </c>
      <c r="J2520">
        <v>0</v>
      </c>
      <c r="K2520">
        <v>0</v>
      </c>
      <c r="L2520">
        <v>143</v>
      </c>
      <c r="M2520">
        <v>204</v>
      </c>
      <c r="N2520" t="s">
        <v>35</v>
      </c>
      <c r="O2520" s="3">
        <v>44517</v>
      </c>
      <c r="P2520">
        <v>-1</v>
      </c>
      <c r="T2520" t="s">
        <v>42</v>
      </c>
      <c r="U2520">
        <v>88</v>
      </c>
      <c r="V2520">
        <v>26.675000000000001</v>
      </c>
    </row>
    <row r="2521" spans="1:22" x14ac:dyDescent="0.35">
      <c r="A2521" s="3">
        <v>44312</v>
      </c>
      <c r="B2521" t="s">
        <v>39</v>
      </c>
      <c r="C2521">
        <v>0</v>
      </c>
      <c r="D2521">
        <v>0</v>
      </c>
      <c r="E2521">
        <v>0</v>
      </c>
      <c r="F2521">
        <v>0</v>
      </c>
      <c r="G2521">
        <v>23.395099999999999</v>
      </c>
      <c r="H2521">
        <v>0</v>
      </c>
      <c r="I2521">
        <v>0</v>
      </c>
      <c r="J2521">
        <v>0</v>
      </c>
      <c r="K2521">
        <v>0</v>
      </c>
      <c r="L2521">
        <v>60</v>
      </c>
      <c r="M2521">
        <v>86</v>
      </c>
      <c r="N2521" t="s">
        <v>39</v>
      </c>
      <c r="O2521" s="3">
        <v>44398</v>
      </c>
      <c r="P2521">
        <v>-1</v>
      </c>
      <c r="T2521" t="s">
        <v>41</v>
      </c>
      <c r="U2521">
        <v>108</v>
      </c>
      <c r="V2521">
        <v>26.625</v>
      </c>
    </row>
    <row r="2522" spans="1:22" x14ac:dyDescent="0.35">
      <c r="A2522" s="3">
        <v>44312</v>
      </c>
      <c r="B2522" t="s">
        <v>38</v>
      </c>
      <c r="C2522">
        <v>0</v>
      </c>
      <c r="D2522">
        <v>0</v>
      </c>
      <c r="E2522">
        <v>0</v>
      </c>
      <c r="F2522">
        <v>0</v>
      </c>
      <c r="G2522">
        <v>23.950700000000001</v>
      </c>
      <c r="H2522">
        <v>0</v>
      </c>
      <c r="I2522">
        <v>0</v>
      </c>
      <c r="J2522">
        <v>0</v>
      </c>
      <c r="K2522">
        <v>0</v>
      </c>
      <c r="L2522">
        <v>80</v>
      </c>
      <c r="M2522">
        <v>114</v>
      </c>
      <c r="N2522" t="s">
        <v>38</v>
      </c>
      <c r="O2522" s="3">
        <v>44426</v>
      </c>
      <c r="P2522">
        <v>-1</v>
      </c>
      <c r="T2522" t="s">
        <v>40</v>
      </c>
      <c r="U2522">
        <v>127</v>
      </c>
      <c r="V2522">
        <v>26.625</v>
      </c>
    </row>
    <row r="2523" spans="1:22" x14ac:dyDescent="0.35">
      <c r="A2523" s="3">
        <v>44312</v>
      </c>
      <c r="B2523" t="s">
        <v>34</v>
      </c>
      <c r="C2523">
        <v>0</v>
      </c>
      <c r="D2523">
        <v>0</v>
      </c>
      <c r="E2523">
        <v>0</v>
      </c>
      <c r="F2523">
        <v>0</v>
      </c>
      <c r="G2523">
        <v>24.125</v>
      </c>
      <c r="H2523">
        <v>0</v>
      </c>
      <c r="I2523">
        <v>0</v>
      </c>
      <c r="J2523">
        <v>0</v>
      </c>
      <c r="K2523">
        <v>0</v>
      </c>
      <c r="L2523">
        <v>168</v>
      </c>
      <c r="M2523">
        <v>240</v>
      </c>
      <c r="N2523" t="s">
        <v>34</v>
      </c>
      <c r="O2523" s="3">
        <v>44552</v>
      </c>
      <c r="P2523">
        <v>-1</v>
      </c>
      <c r="T2523" t="s">
        <v>39</v>
      </c>
      <c r="U2523">
        <v>151</v>
      </c>
      <c r="V2523">
        <v>26.65</v>
      </c>
    </row>
    <row r="2524" spans="1:22" x14ac:dyDescent="0.35">
      <c r="A2524" s="3">
        <v>44312</v>
      </c>
      <c r="B2524" t="s">
        <v>37</v>
      </c>
      <c r="C2524">
        <v>0</v>
      </c>
      <c r="D2524">
        <v>0</v>
      </c>
      <c r="E2524">
        <v>0</v>
      </c>
      <c r="F2524">
        <v>0</v>
      </c>
      <c r="G2524">
        <v>24.55</v>
      </c>
      <c r="H2524">
        <v>0</v>
      </c>
      <c r="I2524">
        <v>0</v>
      </c>
      <c r="J2524">
        <v>0</v>
      </c>
      <c r="K2524">
        <v>0</v>
      </c>
      <c r="L2524">
        <v>99</v>
      </c>
      <c r="M2524">
        <v>142</v>
      </c>
      <c r="N2524" t="s">
        <v>37</v>
      </c>
      <c r="O2524" s="3">
        <v>44454</v>
      </c>
      <c r="P2524">
        <v>-1</v>
      </c>
      <c r="S2524" s="3">
        <v>44180</v>
      </c>
      <c r="T2524" t="s">
        <v>45</v>
      </c>
      <c r="U2524">
        <v>23</v>
      </c>
      <c r="V2524">
        <v>24.975000000000001</v>
      </c>
    </row>
    <row r="2525" spans="1:22" x14ac:dyDescent="0.35">
      <c r="A2525" s="3">
        <v>44312</v>
      </c>
      <c r="B2525" t="s">
        <v>41</v>
      </c>
      <c r="C2525">
        <v>0</v>
      </c>
      <c r="D2525">
        <v>0</v>
      </c>
      <c r="E2525">
        <v>0</v>
      </c>
      <c r="F2525">
        <v>0</v>
      </c>
      <c r="G2525">
        <v>20.205100000000002</v>
      </c>
      <c r="H2525">
        <v>0</v>
      </c>
      <c r="I2525">
        <v>0</v>
      </c>
      <c r="J2525">
        <v>0</v>
      </c>
      <c r="K2525">
        <v>0</v>
      </c>
      <c r="L2525">
        <v>17</v>
      </c>
      <c r="M2525">
        <v>23</v>
      </c>
      <c r="N2525" t="s">
        <v>41</v>
      </c>
      <c r="O2525" s="3">
        <v>44335</v>
      </c>
      <c r="P2525">
        <v>-1</v>
      </c>
      <c r="T2525" t="s">
        <v>44</v>
      </c>
      <c r="U2525">
        <v>42</v>
      </c>
      <c r="V2525">
        <v>25.925000000000001</v>
      </c>
    </row>
    <row r="2526" spans="1:22" x14ac:dyDescent="0.35">
      <c r="A2526" s="3">
        <v>44312</v>
      </c>
      <c r="B2526" t="s">
        <v>40</v>
      </c>
      <c r="C2526">
        <v>0</v>
      </c>
      <c r="D2526">
        <v>0</v>
      </c>
      <c r="E2526">
        <v>0</v>
      </c>
      <c r="F2526">
        <v>0</v>
      </c>
      <c r="G2526">
        <v>22.100100000000001</v>
      </c>
      <c r="H2526">
        <v>0</v>
      </c>
      <c r="I2526">
        <v>0</v>
      </c>
      <c r="J2526">
        <v>0</v>
      </c>
      <c r="K2526">
        <v>0</v>
      </c>
      <c r="L2526">
        <v>36</v>
      </c>
      <c r="M2526">
        <v>51</v>
      </c>
      <c r="N2526" t="s">
        <v>40</v>
      </c>
      <c r="O2526" s="3">
        <v>44363</v>
      </c>
      <c r="P2526">
        <v>-1</v>
      </c>
      <c r="T2526" t="s">
        <v>43</v>
      </c>
      <c r="U2526">
        <v>62</v>
      </c>
      <c r="V2526">
        <v>26.175000000000001</v>
      </c>
    </row>
    <row r="2527" spans="1:22" x14ac:dyDescent="0.35">
      <c r="A2527" s="3">
        <v>44312</v>
      </c>
      <c r="B2527" t="s">
        <v>35</v>
      </c>
      <c r="C2527">
        <v>0</v>
      </c>
      <c r="D2527">
        <v>0</v>
      </c>
      <c r="E2527">
        <v>0</v>
      </c>
      <c r="F2527">
        <v>0</v>
      </c>
      <c r="G2527">
        <v>24.6</v>
      </c>
      <c r="H2527">
        <v>0</v>
      </c>
      <c r="I2527">
        <v>0</v>
      </c>
      <c r="J2527">
        <v>0</v>
      </c>
      <c r="K2527">
        <v>0</v>
      </c>
      <c r="L2527">
        <v>144</v>
      </c>
      <c r="M2527">
        <v>205</v>
      </c>
      <c r="N2527" t="s">
        <v>35</v>
      </c>
      <c r="O2527" s="3">
        <v>44517</v>
      </c>
      <c r="P2527">
        <v>-1</v>
      </c>
      <c r="T2527" t="s">
        <v>42</v>
      </c>
      <c r="U2527">
        <v>87</v>
      </c>
      <c r="V2527">
        <v>26.375</v>
      </c>
    </row>
    <row r="2528" spans="1:22" x14ac:dyDescent="0.35">
      <c r="A2528" s="3">
        <v>44312</v>
      </c>
      <c r="B2528" t="s">
        <v>36</v>
      </c>
      <c r="C2528">
        <v>0</v>
      </c>
      <c r="D2528">
        <v>0</v>
      </c>
      <c r="E2528">
        <v>0</v>
      </c>
      <c r="F2528">
        <v>0</v>
      </c>
      <c r="G2528">
        <v>24.8</v>
      </c>
      <c r="H2528">
        <v>0</v>
      </c>
      <c r="I2528">
        <v>0</v>
      </c>
      <c r="J2528">
        <v>0</v>
      </c>
      <c r="K2528">
        <v>0</v>
      </c>
      <c r="L2528">
        <v>124</v>
      </c>
      <c r="M2528">
        <v>177</v>
      </c>
      <c r="N2528" t="s">
        <v>36</v>
      </c>
      <c r="O2528" s="3">
        <v>44489</v>
      </c>
      <c r="P2528">
        <v>-1</v>
      </c>
      <c r="T2528" t="s">
        <v>41</v>
      </c>
      <c r="U2528">
        <v>107</v>
      </c>
      <c r="V2528">
        <v>26.375</v>
      </c>
    </row>
    <row r="2529" spans="1:22" x14ac:dyDescent="0.35">
      <c r="A2529" s="3">
        <v>44312</v>
      </c>
      <c r="B2529" t="s">
        <v>33</v>
      </c>
      <c r="C2529">
        <v>0</v>
      </c>
      <c r="D2529">
        <v>0</v>
      </c>
      <c r="E2529">
        <v>0</v>
      </c>
      <c r="F2529">
        <v>0</v>
      </c>
      <c r="G2529">
        <v>24.25</v>
      </c>
      <c r="H2529">
        <v>0</v>
      </c>
      <c r="I2529">
        <v>0</v>
      </c>
      <c r="J2529">
        <v>0</v>
      </c>
      <c r="K2529">
        <v>0</v>
      </c>
      <c r="L2529">
        <v>186</v>
      </c>
      <c r="M2529">
        <v>268</v>
      </c>
      <c r="N2529" t="s">
        <v>33</v>
      </c>
      <c r="O2529" s="3">
        <v>44580</v>
      </c>
      <c r="P2529">
        <v>-1</v>
      </c>
      <c r="T2529" t="s">
        <v>40</v>
      </c>
      <c r="U2529">
        <v>126</v>
      </c>
      <c r="V2529">
        <v>26.375</v>
      </c>
    </row>
    <row r="2530" spans="1:22" x14ac:dyDescent="0.35">
      <c r="A2530" s="3">
        <v>44309</v>
      </c>
      <c r="B2530" t="s">
        <v>36</v>
      </c>
      <c r="C2530">
        <v>0</v>
      </c>
      <c r="D2530">
        <v>0</v>
      </c>
      <c r="E2530">
        <v>0</v>
      </c>
      <c r="F2530">
        <v>0</v>
      </c>
      <c r="G2530">
        <v>24.8323</v>
      </c>
      <c r="H2530">
        <v>0</v>
      </c>
      <c r="I2530">
        <v>0</v>
      </c>
      <c r="J2530">
        <v>0</v>
      </c>
      <c r="K2530">
        <v>0</v>
      </c>
      <c r="L2530">
        <v>125</v>
      </c>
      <c r="M2530">
        <v>180</v>
      </c>
      <c r="N2530" t="s">
        <v>36</v>
      </c>
      <c r="O2530" s="3">
        <v>44489</v>
      </c>
      <c r="P2530">
        <v>-1</v>
      </c>
      <c r="T2530" t="s">
        <v>39</v>
      </c>
      <c r="U2530">
        <v>150</v>
      </c>
      <c r="V2530">
        <v>26.45</v>
      </c>
    </row>
    <row r="2531" spans="1:22" x14ac:dyDescent="0.35">
      <c r="A2531" s="3">
        <v>44309</v>
      </c>
      <c r="B2531" t="s">
        <v>39</v>
      </c>
      <c r="C2531">
        <v>0</v>
      </c>
      <c r="D2531">
        <v>0</v>
      </c>
      <c r="E2531">
        <v>0</v>
      </c>
      <c r="F2531">
        <v>0</v>
      </c>
      <c r="G2531">
        <v>23.4861</v>
      </c>
      <c r="H2531">
        <v>0</v>
      </c>
      <c r="I2531">
        <v>0</v>
      </c>
      <c r="J2531">
        <v>0</v>
      </c>
      <c r="K2531">
        <v>0</v>
      </c>
      <c r="L2531">
        <v>61</v>
      </c>
      <c r="M2531">
        <v>89</v>
      </c>
      <c r="N2531" t="s">
        <v>39</v>
      </c>
      <c r="O2531" s="3">
        <v>44398</v>
      </c>
      <c r="P2531">
        <v>-1</v>
      </c>
      <c r="T2531" t="s">
        <v>38</v>
      </c>
      <c r="U2531">
        <v>170</v>
      </c>
      <c r="V2531">
        <v>26.7</v>
      </c>
    </row>
    <row r="2532" spans="1:22" x14ac:dyDescent="0.35">
      <c r="A2532" s="3">
        <v>44309</v>
      </c>
      <c r="B2532" t="s">
        <v>38</v>
      </c>
      <c r="C2532">
        <v>0</v>
      </c>
      <c r="D2532">
        <v>0</v>
      </c>
      <c r="E2532">
        <v>0</v>
      </c>
      <c r="F2532">
        <v>0</v>
      </c>
      <c r="G2532">
        <v>24.05</v>
      </c>
      <c r="H2532">
        <v>0</v>
      </c>
      <c r="I2532">
        <v>0</v>
      </c>
      <c r="J2532">
        <v>0</v>
      </c>
      <c r="K2532">
        <v>0</v>
      </c>
      <c r="L2532">
        <v>81</v>
      </c>
      <c r="M2532">
        <v>117</v>
      </c>
      <c r="N2532" t="s">
        <v>38</v>
      </c>
      <c r="O2532" s="3">
        <v>44426</v>
      </c>
      <c r="P2532">
        <v>-1</v>
      </c>
      <c r="S2532" s="3">
        <v>44181</v>
      </c>
      <c r="T2532" t="s">
        <v>45</v>
      </c>
      <c r="U2532">
        <v>22</v>
      </c>
      <c r="V2532">
        <v>24.1</v>
      </c>
    </row>
    <row r="2533" spans="1:22" x14ac:dyDescent="0.35">
      <c r="A2533" s="3">
        <v>44309</v>
      </c>
      <c r="B2533" t="s">
        <v>34</v>
      </c>
      <c r="C2533">
        <v>0</v>
      </c>
      <c r="D2533">
        <v>0</v>
      </c>
      <c r="E2533">
        <v>0</v>
      </c>
      <c r="F2533">
        <v>0</v>
      </c>
      <c r="G2533">
        <v>24.274999999999999</v>
      </c>
      <c r="H2533">
        <v>0</v>
      </c>
      <c r="I2533">
        <v>0</v>
      </c>
      <c r="J2533">
        <v>0</v>
      </c>
      <c r="K2533">
        <v>0</v>
      </c>
      <c r="L2533">
        <v>169</v>
      </c>
      <c r="M2533">
        <v>243</v>
      </c>
      <c r="N2533" t="s">
        <v>34</v>
      </c>
      <c r="O2533" s="3">
        <v>44552</v>
      </c>
      <c r="P2533">
        <v>-1</v>
      </c>
      <c r="T2533" t="s">
        <v>44</v>
      </c>
      <c r="U2533">
        <v>41</v>
      </c>
      <c r="V2533">
        <v>25.574999999999999</v>
      </c>
    </row>
    <row r="2534" spans="1:22" x14ac:dyDescent="0.35">
      <c r="A2534" s="3">
        <v>44309</v>
      </c>
      <c r="B2534" t="s">
        <v>37</v>
      </c>
      <c r="C2534">
        <v>0</v>
      </c>
      <c r="D2534">
        <v>0</v>
      </c>
      <c r="E2534">
        <v>0</v>
      </c>
      <c r="F2534">
        <v>0</v>
      </c>
      <c r="G2534">
        <v>24.65</v>
      </c>
      <c r="H2534">
        <v>0</v>
      </c>
      <c r="I2534">
        <v>0</v>
      </c>
      <c r="J2534">
        <v>0</v>
      </c>
      <c r="K2534">
        <v>0</v>
      </c>
      <c r="L2534">
        <v>100</v>
      </c>
      <c r="M2534">
        <v>145</v>
      </c>
      <c r="N2534" t="s">
        <v>37</v>
      </c>
      <c r="O2534" s="3">
        <v>44454</v>
      </c>
      <c r="P2534">
        <v>-1</v>
      </c>
      <c r="T2534" t="s">
        <v>43</v>
      </c>
      <c r="U2534">
        <v>61</v>
      </c>
      <c r="V2534">
        <v>25.875</v>
      </c>
    </row>
    <row r="2535" spans="1:22" x14ac:dyDescent="0.35">
      <c r="A2535" s="3">
        <v>44309</v>
      </c>
      <c r="B2535" t="s">
        <v>41</v>
      </c>
      <c r="C2535">
        <v>0</v>
      </c>
      <c r="D2535">
        <v>0</v>
      </c>
      <c r="E2535">
        <v>0</v>
      </c>
      <c r="F2535">
        <v>0</v>
      </c>
      <c r="G2535">
        <v>20.431799999999999</v>
      </c>
      <c r="H2535">
        <v>0</v>
      </c>
      <c r="I2535">
        <v>0</v>
      </c>
      <c r="J2535">
        <v>0</v>
      </c>
      <c r="K2535">
        <v>0</v>
      </c>
      <c r="L2535">
        <v>18</v>
      </c>
      <c r="M2535">
        <v>26</v>
      </c>
      <c r="N2535" t="s">
        <v>41</v>
      </c>
      <c r="O2535" s="3">
        <v>44335</v>
      </c>
      <c r="P2535">
        <v>-1</v>
      </c>
      <c r="T2535" t="s">
        <v>42</v>
      </c>
      <c r="U2535">
        <v>86</v>
      </c>
      <c r="V2535">
        <v>26.074999999999999</v>
      </c>
    </row>
    <row r="2536" spans="1:22" x14ac:dyDescent="0.35">
      <c r="A2536" s="3">
        <v>44309</v>
      </c>
      <c r="B2536" t="s">
        <v>40</v>
      </c>
      <c r="C2536">
        <v>0</v>
      </c>
      <c r="D2536">
        <v>0</v>
      </c>
      <c r="E2536">
        <v>0</v>
      </c>
      <c r="F2536">
        <v>0</v>
      </c>
      <c r="G2536">
        <v>22.190999999999999</v>
      </c>
      <c r="H2536">
        <v>0</v>
      </c>
      <c r="I2536">
        <v>0</v>
      </c>
      <c r="J2536">
        <v>0</v>
      </c>
      <c r="K2536">
        <v>0</v>
      </c>
      <c r="L2536">
        <v>37</v>
      </c>
      <c r="M2536">
        <v>54</v>
      </c>
      <c r="N2536" t="s">
        <v>40</v>
      </c>
      <c r="O2536" s="3">
        <v>44363</v>
      </c>
      <c r="P2536">
        <v>-1</v>
      </c>
      <c r="T2536" t="s">
        <v>41</v>
      </c>
      <c r="U2536">
        <v>106</v>
      </c>
      <c r="V2536">
        <v>25.975000000000001</v>
      </c>
    </row>
    <row r="2537" spans="1:22" x14ac:dyDescent="0.35">
      <c r="A2537" s="3">
        <v>44309</v>
      </c>
      <c r="B2537" t="s">
        <v>35</v>
      </c>
      <c r="C2537">
        <v>0</v>
      </c>
      <c r="D2537">
        <v>0</v>
      </c>
      <c r="E2537">
        <v>0</v>
      </c>
      <c r="F2537">
        <v>0</v>
      </c>
      <c r="G2537">
        <v>24.7</v>
      </c>
      <c r="H2537">
        <v>0</v>
      </c>
      <c r="I2537">
        <v>0</v>
      </c>
      <c r="J2537">
        <v>0</v>
      </c>
      <c r="K2537">
        <v>0</v>
      </c>
      <c r="L2537">
        <v>145</v>
      </c>
      <c r="M2537">
        <v>208</v>
      </c>
      <c r="N2537" t="s">
        <v>35</v>
      </c>
      <c r="O2537" s="3">
        <v>44517</v>
      </c>
      <c r="P2537">
        <v>-1</v>
      </c>
      <c r="T2537" t="s">
        <v>40</v>
      </c>
      <c r="U2537">
        <v>125</v>
      </c>
      <c r="V2537">
        <v>25.925000000000001</v>
      </c>
    </row>
    <row r="2538" spans="1:22" x14ac:dyDescent="0.35">
      <c r="A2538" s="3">
        <v>44308</v>
      </c>
      <c r="B2538" t="s">
        <v>39</v>
      </c>
      <c r="C2538">
        <v>0</v>
      </c>
      <c r="D2538">
        <v>0</v>
      </c>
      <c r="E2538">
        <v>0</v>
      </c>
      <c r="F2538">
        <v>0</v>
      </c>
      <c r="G2538">
        <v>23.9968</v>
      </c>
      <c r="H2538">
        <v>0</v>
      </c>
      <c r="I2538">
        <v>0</v>
      </c>
      <c r="J2538">
        <v>0</v>
      </c>
      <c r="K2538">
        <v>0</v>
      </c>
      <c r="L2538">
        <v>62</v>
      </c>
      <c r="M2538">
        <v>90</v>
      </c>
      <c r="N2538" t="s">
        <v>39</v>
      </c>
      <c r="O2538" s="3">
        <v>44398</v>
      </c>
      <c r="P2538">
        <v>-1</v>
      </c>
      <c r="T2538" t="s">
        <v>39</v>
      </c>
      <c r="U2538">
        <v>149</v>
      </c>
      <c r="V2538">
        <v>26.125</v>
      </c>
    </row>
    <row r="2539" spans="1:22" x14ac:dyDescent="0.35">
      <c r="A2539" s="3">
        <v>44308</v>
      </c>
      <c r="B2539" t="s">
        <v>38</v>
      </c>
      <c r="C2539">
        <v>0</v>
      </c>
      <c r="D2539">
        <v>0</v>
      </c>
      <c r="E2539">
        <v>0</v>
      </c>
      <c r="F2539">
        <v>0</v>
      </c>
      <c r="G2539">
        <v>24.4389</v>
      </c>
      <c r="H2539">
        <v>0</v>
      </c>
      <c r="I2539">
        <v>0</v>
      </c>
      <c r="J2539">
        <v>0</v>
      </c>
      <c r="K2539">
        <v>0</v>
      </c>
      <c r="L2539">
        <v>82</v>
      </c>
      <c r="M2539">
        <v>118</v>
      </c>
      <c r="N2539" t="s">
        <v>38</v>
      </c>
      <c r="O2539" s="3">
        <v>44426</v>
      </c>
      <c r="P2539">
        <v>-1</v>
      </c>
      <c r="S2539" s="3">
        <v>44182</v>
      </c>
      <c r="T2539" t="s">
        <v>45</v>
      </c>
      <c r="U2539">
        <v>21</v>
      </c>
      <c r="V2539">
        <v>23.824999999999999</v>
      </c>
    </row>
    <row r="2540" spans="1:22" x14ac:dyDescent="0.35">
      <c r="A2540" s="3">
        <v>44308</v>
      </c>
      <c r="B2540" t="s">
        <v>34</v>
      </c>
      <c r="C2540">
        <v>0</v>
      </c>
      <c r="D2540">
        <v>0</v>
      </c>
      <c r="E2540">
        <v>0</v>
      </c>
      <c r="F2540">
        <v>0</v>
      </c>
      <c r="G2540">
        <v>24.375</v>
      </c>
      <c r="H2540">
        <v>0</v>
      </c>
      <c r="I2540">
        <v>0</v>
      </c>
      <c r="J2540">
        <v>0</v>
      </c>
      <c r="K2540">
        <v>0</v>
      </c>
      <c r="L2540">
        <v>170</v>
      </c>
      <c r="M2540">
        <v>244</v>
      </c>
      <c r="N2540" t="s">
        <v>34</v>
      </c>
      <c r="O2540" s="3">
        <v>44552</v>
      </c>
      <c r="P2540">
        <v>-1</v>
      </c>
      <c r="T2540" t="s">
        <v>44</v>
      </c>
      <c r="U2540">
        <v>40</v>
      </c>
      <c r="V2540">
        <v>25.425000000000001</v>
      </c>
    </row>
    <row r="2541" spans="1:22" x14ac:dyDescent="0.35">
      <c r="A2541" s="3">
        <v>44308</v>
      </c>
      <c r="B2541" t="s">
        <v>37</v>
      </c>
      <c r="C2541">
        <v>0</v>
      </c>
      <c r="D2541">
        <v>0</v>
      </c>
      <c r="E2541">
        <v>0</v>
      </c>
      <c r="F2541">
        <v>0</v>
      </c>
      <c r="G2541">
        <v>24.95</v>
      </c>
      <c r="H2541">
        <v>0</v>
      </c>
      <c r="I2541">
        <v>0</v>
      </c>
      <c r="J2541">
        <v>0</v>
      </c>
      <c r="K2541">
        <v>0</v>
      </c>
      <c r="L2541">
        <v>101</v>
      </c>
      <c r="M2541">
        <v>146</v>
      </c>
      <c r="N2541" t="s">
        <v>37</v>
      </c>
      <c r="O2541" s="3">
        <v>44454</v>
      </c>
      <c r="P2541">
        <v>-1</v>
      </c>
      <c r="T2541" t="s">
        <v>43</v>
      </c>
      <c r="U2541">
        <v>60</v>
      </c>
      <c r="V2541">
        <v>25.725000000000001</v>
      </c>
    </row>
    <row r="2542" spans="1:22" x14ac:dyDescent="0.35">
      <c r="A2542" s="3">
        <v>44308</v>
      </c>
      <c r="B2542" t="s">
        <v>41</v>
      </c>
      <c r="C2542">
        <v>0</v>
      </c>
      <c r="D2542">
        <v>0</v>
      </c>
      <c r="E2542">
        <v>0</v>
      </c>
      <c r="F2542">
        <v>0</v>
      </c>
      <c r="G2542">
        <v>21.165800000000001</v>
      </c>
      <c r="H2542">
        <v>0</v>
      </c>
      <c r="I2542">
        <v>0</v>
      </c>
      <c r="J2542">
        <v>0</v>
      </c>
      <c r="K2542">
        <v>0</v>
      </c>
      <c r="L2542">
        <v>19</v>
      </c>
      <c r="M2542">
        <v>27</v>
      </c>
      <c r="N2542" t="s">
        <v>41</v>
      </c>
      <c r="O2542" s="3">
        <v>44335</v>
      </c>
      <c r="P2542">
        <v>-1</v>
      </c>
      <c r="T2542" t="s">
        <v>42</v>
      </c>
      <c r="U2542">
        <v>85</v>
      </c>
      <c r="V2542">
        <v>25.925000000000001</v>
      </c>
    </row>
    <row r="2543" spans="1:22" x14ac:dyDescent="0.35">
      <c r="A2543" s="3">
        <v>44308</v>
      </c>
      <c r="B2543" t="s">
        <v>40</v>
      </c>
      <c r="C2543">
        <v>0</v>
      </c>
      <c r="D2543">
        <v>0</v>
      </c>
      <c r="E2543">
        <v>0</v>
      </c>
      <c r="F2543">
        <v>0</v>
      </c>
      <c r="G2543">
        <v>22.8048</v>
      </c>
      <c r="H2543">
        <v>0</v>
      </c>
      <c r="I2543">
        <v>0</v>
      </c>
      <c r="J2543">
        <v>0</v>
      </c>
      <c r="K2543">
        <v>0</v>
      </c>
      <c r="L2543">
        <v>38</v>
      </c>
      <c r="M2543">
        <v>55</v>
      </c>
      <c r="N2543" t="s">
        <v>40</v>
      </c>
      <c r="O2543" s="3">
        <v>44363</v>
      </c>
      <c r="P2543">
        <v>-1</v>
      </c>
      <c r="T2543" t="s">
        <v>41</v>
      </c>
      <c r="U2543">
        <v>105</v>
      </c>
      <c r="V2543">
        <v>25.875</v>
      </c>
    </row>
    <row r="2544" spans="1:22" x14ac:dyDescent="0.35">
      <c r="A2544" s="3">
        <v>44308</v>
      </c>
      <c r="B2544" t="s">
        <v>35</v>
      </c>
      <c r="C2544">
        <v>0</v>
      </c>
      <c r="D2544">
        <v>0</v>
      </c>
      <c r="E2544">
        <v>0</v>
      </c>
      <c r="F2544">
        <v>0</v>
      </c>
      <c r="G2544">
        <v>24.9</v>
      </c>
      <c r="H2544">
        <v>0</v>
      </c>
      <c r="I2544">
        <v>0</v>
      </c>
      <c r="J2544">
        <v>0</v>
      </c>
      <c r="K2544">
        <v>0</v>
      </c>
      <c r="L2544">
        <v>146</v>
      </c>
      <c r="M2544">
        <v>209</v>
      </c>
      <c r="N2544" t="s">
        <v>35</v>
      </c>
      <c r="O2544" s="3">
        <v>44517</v>
      </c>
      <c r="P2544">
        <v>-1</v>
      </c>
      <c r="T2544" t="s">
        <v>40</v>
      </c>
      <c r="U2544">
        <v>124</v>
      </c>
      <c r="V2544">
        <v>25.875</v>
      </c>
    </row>
    <row r="2545" spans="1:22" x14ac:dyDescent="0.35">
      <c r="A2545" s="3">
        <v>44308</v>
      </c>
      <c r="B2545" t="s">
        <v>36</v>
      </c>
      <c r="C2545">
        <v>0</v>
      </c>
      <c r="D2545">
        <v>0</v>
      </c>
      <c r="E2545">
        <v>0</v>
      </c>
      <c r="F2545">
        <v>0</v>
      </c>
      <c r="G2545">
        <v>25.091999999999999</v>
      </c>
      <c r="H2545">
        <v>0</v>
      </c>
      <c r="I2545">
        <v>0</v>
      </c>
      <c r="J2545">
        <v>0</v>
      </c>
      <c r="K2545">
        <v>0</v>
      </c>
      <c r="L2545">
        <v>126</v>
      </c>
      <c r="M2545">
        <v>181</v>
      </c>
      <c r="N2545" t="s">
        <v>36</v>
      </c>
      <c r="O2545" s="3">
        <v>44489</v>
      </c>
      <c r="P2545">
        <v>-1</v>
      </c>
      <c r="T2545" t="s">
        <v>39</v>
      </c>
      <c r="U2545">
        <v>148</v>
      </c>
      <c r="V2545">
        <v>26.024999999999999</v>
      </c>
    </row>
    <row r="2546" spans="1:22" x14ac:dyDescent="0.35">
      <c r="A2546" s="3">
        <v>44307</v>
      </c>
      <c r="B2546" t="s">
        <v>36</v>
      </c>
      <c r="C2546">
        <v>0</v>
      </c>
      <c r="D2546">
        <v>0</v>
      </c>
      <c r="E2546">
        <v>0</v>
      </c>
      <c r="F2546">
        <v>0</v>
      </c>
      <c r="G2546">
        <v>24.5</v>
      </c>
      <c r="H2546">
        <v>0</v>
      </c>
      <c r="I2546">
        <v>0</v>
      </c>
      <c r="J2546">
        <v>0</v>
      </c>
      <c r="K2546">
        <v>0</v>
      </c>
      <c r="L2546">
        <v>127</v>
      </c>
      <c r="M2546">
        <v>182</v>
      </c>
      <c r="N2546" t="s">
        <v>36</v>
      </c>
      <c r="O2546" s="3">
        <v>44489</v>
      </c>
      <c r="P2546">
        <v>-1</v>
      </c>
      <c r="S2546" s="3">
        <v>44183</v>
      </c>
      <c r="T2546" t="s">
        <v>45</v>
      </c>
      <c r="U2546">
        <v>20</v>
      </c>
      <c r="V2546">
        <v>24.175000000000001</v>
      </c>
    </row>
    <row r="2547" spans="1:22" x14ac:dyDescent="0.35">
      <c r="A2547" s="3">
        <v>44307</v>
      </c>
      <c r="B2547" t="s">
        <v>38</v>
      </c>
      <c r="C2547">
        <v>0</v>
      </c>
      <c r="D2547">
        <v>0</v>
      </c>
      <c r="E2547">
        <v>0</v>
      </c>
      <c r="F2547">
        <v>0</v>
      </c>
      <c r="G2547">
        <v>23.700500000000002</v>
      </c>
      <c r="H2547">
        <v>0</v>
      </c>
      <c r="I2547">
        <v>0</v>
      </c>
      <c r="J2547">
        <v>0</v>
      </c>
      <c r="K2547">
        <v>0</v>
      </c>
      <c r="L2547">
        <v>83</v>
      </c>
      <c r="M2547">
        <v>119</v>
      </c>
      <c r="N2547" t="s">
        <v>38</v>
      </c>
      <c r="O2547" s="3">
        <v>44426</v>
      </c>
      <c r="P2547">
        <v>-1</v>
      </c>
      <c r="T2547" t="s">
        <v>44</v>
      </c>
      <c r="U2547">
        <v>39</v>
      </c>
      <c r="V2547">
        <v>25.725000000000001</v>
      </c>
    </row>
    <row r="2548" spans="1:22" x14ac:dyDescent="0.35">
      <c r="A2548" s="3">
        <v>44307</v>
      </c>
      <c r="B2548" t="s">
        <v>34</v>
      </c>
      <c r="C2548">
        <v>0</v>
      </c>
      <c r="D2548">
        <v>0</v>
      </c>
      <c r="E2548">
        <v>0</v>
      </c>
      <c r="F2548">
        <v>0</v>
      </c>
      <c r="G2548">
        <v>23.824999999999999</v>
      </c>
      <c r="H2548">
        <v>0</v>
      </c>
      <c r="I2548">
        <v>0</v>
      </c>
      <c r="J2548">
        <v>0</v>
      </c>
      <c r="K2548">
        <v>0</v>
      </c>
      <c r="L2548">
        <v>171</v>
      </c>
      <c r="M2548">
        <v>245</v>
      </c>
      <c r="N2548" t="s">
        <v>34</v>
      </c>
      <c r="O2548" s="3">
        <v>44552</v>
      </c>
      <c r="P2548">
        <v>-1</v>
      </c>
      <c r="T2548" t="s">
        <v>43</v>
      </c>
      <c r="U2548">
        <v>59</v>
      </c>
      <c r="V2548">
        <v>26.024999999999999</v>
      </c>
    </row>
    <row r="2549" spans="1:22" x14ac:dyDescent="0.35">
      <c r="A2549" s="3">
        <v>44307</v>
      </c>
      <c r="B2549" t="s">
        <v>37</v>
      </c>
      <c r="C2549">
        <v>0</v>
      </c>
      <c r="D2549">
        <v>0</v>
      </c>
      <c r="E2549">
        <v>0</v>
      </c>
      <c r="F2549">
        <v>0</v>
      </c>
      <c r="G2549">
        <v>24.292899999999999</v>
      </c>
      <c r="H2549">
        <v>0</v>
      </c>
      <c r="I2549">
        <v>0</v>
      </c>
      <c r="J2549">
        <v>0</v>
      </c>
      <c r="K2549">
        <v>0</v>
      </c>
      <c r="L2549">
        <v>102</v>
      </c>
      <c r="M2549">
        <v>147</v>
      </c>
      <c r="N2549" t="s">
        <v>37</v>
      </c>
      <c r="O2549" s="3">
        <v>44454</v>
      </c>
      <c r="P2549">
        <v>-1</v>
      </c>
      <c r="T2549" t="s">
        <v>42</v>
      </c>
      <c r="U2549">
        <v>84</v>
      </c>
      <c r="V2549">
        <v>26.175000000000001</v>
      </c>
    </row>
    <row r="2550" spans="1:22" x14ac:dyDescent="0.35">
      <c r="A2550" s="3">
        <v>44307</v>
      </c>
      <c r="B2550" t="s">
        <v>42</v>
      </c>
      <c r="C2550">
        <v>0</v>
      </c>
      <c r="D2550">
        <v>0</v>
      </c>
      <c r="E2550">
        <v>0</v>
      </c>
      <c r="F2550">
        <v>0</v>
      </c>
      <c r="G2550">
        <v>19.28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 t="s">
        <v>42</v>
      </c>
      <c r="O2550" s="3">
        <v>44307</v>
      </c>
      <c r="P2550">
        <v>-1</v>
      </c>
      <c r="T2550" t="s">
        <v>41</v>
      </c>
      <c r="U2550">
        <v>104</v>
      </c>
      <c r="V2550">
        <v>26.175000000000001</v>
      </c>
    </row>
    <row r="2551" spans="1:22" x14ac:dyDescent="0.35">
      <c r="A2551" s="3">
        <v>44307</v>
      </c>
      <c r="B2551" t="s">
        <v>41</v>
      </c>
      <c r="C2551">
        <v>0</v>
      </c>
      <c r="D2551">
        <v>0</v>
      </c>
      <c r="E2551">
        <v>0</v>
      </c>
      <c r="F2551">
        <v>0</v>
      </c>
      <c r="G2551">
        <v>19.9955</v>
      </c>
      <c r="H2551">
        <v>0</v>
      </c>
      <c r="I2551">
        <v>0</v>
      </c>
      <c r="J2551">
        <v>0</v>
      </c>
      <c r="K2551">
        <v>0</v>
      </c>
      <c r="L2551">
        <v>20</v>
      </c>
      <c r="M2551">
        <v>28</v>
      </c>
      <c r="N2551" t="s">
        <v>41</v>
      </c>
      <c r="O2551" s="3">
        <v>44335</v>
      </c>
      <c r="P2551">
        <v>-1</v>
      </c>
      <c r="T2551" t="s">
        <v>40</v>
      </c>
      <c r="U2551">
        <v>123</v>
      </c>
      <c r="V2551">
        <v>26.225000000000001</v>
      </c>
    </row>
    <row r="2552" spans="1:22" x14ac:dyDescent="0.35">
      <c r="A2552" s="3">
        <v>44307</v>
      </c>
      <c r="B2552" t="s">
        <v>40</v>
      </c>
      <c r="C2552">
        <v>0</v>
      </c>
      <c r="D2552">
        <v>0</v>
      </c>
      <c r="E2552">
        <v>0</v>
      </c>
      <c r="F2552">
        <v>0</v>
      </c>
      <c r="G2552">
        <v>21.82</v>
      </c>
      <c r="H2552">
        <v>0</v>
      </c>
      <c r="I2552">
        <v>0</v>
      </c>
      <c r="J2552">
        <v>0</v>
      </c>
      <c r="K2552">
        <v>0</v>
      </c>
      <c r="L2552">
        <v>39</v>
      </c>
      <c r="M2552">
        <v>56</v>
      </c>
      <c r="N2552" t="s">
        <v>40</v>
      </c>
      <c r="O2552" s="3">
        <v>44363</v>
      </c>
      <c r="P2552">
        <v>-1</v>
      </c>
      <c r="T2552" t="s">
        <v>39</v>
      </c>
      <c r="U2552">
        <v>147</v>
      </c>
      <c r="V2552">
        <v>26.324999999999999</v>
      </c>
    </row>
    <row r="2553" spans="1:22" x14ac:dyDescent="0.35">
      <c r="A2553" s="3">
        <v>44307</v>
      </c>
      <c r="B2553" t="s">
        <v>35</v>
      </c>
      <c r="C2553">
        <v>0</v>
      </c>
      <c r="D2553">
        <v>0</v>
      </c>
      <c r="E2553">
        <v>0</v>
      </c>
      <c r="F2553">
        <v>0</v>
      </c>
      <c r="G2553">
        <v>24.3</v>
      </c>
      <c r="H2553">
        <v>0</v>
      </c>
      <c r="I2553">
        <v>0</v>
      </c>
      <c r="J2553">
        <v>0</v>
      </c>
      <c r="K2553">
        <v>0</v>
      </c>
      <c r="L2553">
        <v>147</v>
      </c>
      <c r="M2553">
        <v>210</v>
      </c>
      <c r="N2553" t="s">
        <v>35</v>
      </c>
      <c r="O2553" s="3">
        <v>44517</v>
      </c>
      <c r="P2553">
        <v>-1</v>
      </c>
      <c r="T2553" t="s">
        <v>38</v>
      </c>
      <c r="U2553">
        <v>167</v>
      </c>
      <c r="V2553">
        <v>25.925000000000001</v>
      </c>
    </row>
    <row r="2554" spans="1:22" x14ac:dyDescent="0.35">
      <c r="A2554" s="3">
        <v>44307</v>
      </c>
      <c r="B2554" t="s">
        <v>39</v>
      </c>
      <c r="C2554">
        <v>0</v>
      </c>
      <c r="D2554">
        <v>0</v>
      </c>
      <c r="E2554">
        <v>0</v>
      </c>
      <c r="F2554">
        <v>0</v>
      </c>
      <c r="G2554">
        <v>23.196200000000001</v>
      </c>
      <c r="H2554">
        <v>0</v>
      </c>
      <c r="I2554">
        <v>0</v>
      </c>
      <c r="J2554">
        <v>0</v>
      </c>
      <c r="K2554">
        <v>0</v>
      </c>
      <c r="L2554">
        <v>63</v>
      </c>
      <c r="M2554">
        <v>91</v>
      </c>
      <c r="N2554" t="s">
        <v>39</v>
      </c>
      <c r="O2554" s="3">
        <v>44398</v>
      </c>
      <c r="P2554">
        <v>-1</v>
      </c>
      <c r="S2554" s="3">
        <v>44186</v>
      </c>
      <c r="T2554" t="s">
        <v>45</v>
      </c>
      <c r="U2554">
        <v>19</v>
      </c>
      <c r="V2554">
        <v>26.324999999999999</v>
      </c>
    </row>
    <row r="2555" spans="1:22" x14ac:dyDescent="0.35">
      <c r="A2555" s="3">
        <v>44306</v>
      </c>
      <c r="B2555" t="s">
        <v>38</v>
      </c>
      <c r="C2555">
        <v>0</v>
      </c>
      <c r="D2555">
        <v>0</v>
      </c>
      <c r="E2555">
        <v>0</v>
      </c>
      <c r="F2555">
        <v>0</v>
      </c>
      <c r="G2555">
        <v>24.271899999999999</v>
      </c>
      <c r="H2555">
        <v>0</v>
      </c>
      <c r="I2555">
        <v>0</v>
      </c>
      <c r="J2555">
        <v>0</v>
      </c>
      <c r="K2555">
        <v>0</v>
      </c>
      <c r="L2555">
        <v>84</v>
      </c>
      <c r="M2555">
        <v>120</v>
      </c>
      <c r="N2555" t="s">
        <v>38</v>
      </c>
      <c r="O2555" s="3">
        <v>44426</v>
      </c>
      <c r="P2555">
        <v>-1</v>
      </c>
      <c r="T2555" t="s">
        <v>44</v>
      </c>
      <c r="U2555">
        <v>38</v>
      </c>
      <c r="V2555">
        <v>27.125</v>
      </c>
    </row>
    <row r="2556" spans="1:22" x14ac:dyDescent="0.35">
      <c r="A2556" s="3">
        <v>44306</v>
      </c>
      <c r="B2556" t="s">
        <v>34</v>
      </c>
      <c r="C2556">
        <v>0</v>
      </c>
      <c r="D2556">
        <v>0</v>
      </c>
      <c r="E2556">
        <v>0</v>
      </c>
      <c r="F2556">
        <v>0</v>
      </c>
      <c r="G2556">
        <v>24.2</v>
      </c>
      <c r="H2556">
        <v>0</v>
      </c>
      <c r="I2556">
        <v>0</v>
      </c>
      <c r="J2556">
        <v>0</v>
      </c>
      <c r="K2556">
        <v>0</v>
      </c>
      <c r="L2556">
        <v>172</v>
      </c>
      <c r="M2556">
        <v>246</v>
      </c>
      <c r="N2556" t="s">
        <v>34</v>
      </c>
      <c r="O2556" s="3">
        <v>44552</v>
      </c>
      <c r="P2556">
        <v>-1</v>
      </c>
      <c r="T2556" t="s">
        <v>43</v>
      </c>
      <c r="U2556">
        <v>58</v>
      </c>
      <c r="V2556">
        <v>26.824999999999999</v>
      </c>
    </row>
    <row r="2557" spans="1:22" x14ac:dyDescent="0.35">
      <c r="A2557" s="3">
        <v>44306</v>
      </c>
      <c r="B2557" t="s">
        <v>37</v>
      </c>
      <c r="C2557">
        <v>0</v>
      </c>
      <c r="D2557">
        <v>0</v>
      </c>
      <c r="E2557">
        <v>0</v>
      </c>
      <c r="F2557">
        <v>0</v>
      </c>
      <c r="G2557">
        <v>24.8</v>
      </c>
      <c r="H2557">
        <v>0</v>
      </c>
      <c r="I2557">
        <v>0</v>
      </c>
      <c r="J2557">
        <v>0</v>
      </c>
      <c r="K2557">
        <v>0</v>
      </c>
      <c r="L2557">
        <v>103</v>
      </c>
      <c r="M2557">
        <v>148</v>
      </c>
      <c r="N2557" t="s">
        <v>37</v>
      </c>
      <c r="O2557" s="3">
        <v>44454</v>
      </c>
      <c r="P2557">
        <v>-1</v>
      </c>
      <c r="T2557" t="s">
        <v>42</v>
      </c>
      <c r="U2557">
        <v>83</v>
      </c>
      <c r="V2557">
        <v>26.675000000000001</v>
      </c>
    </row>
    <row r="2558" spans="1:22" x14ac:dyDescent="0.35">
      <c r="A2558" s="3">
        <v>44306</v>
      </c>
      <c r="B2558" t="s">
        <v>42</v>
      </c>
      <c r="C2558">
        <v>0</v>
      </c>
      <c r="D2558">
        <v>0</v>
      </c>
      <c r="E2558">
        <v>0</v>
      </c>
      <c r="F2558">
        <v>0</v>
      </c>
      <c r="G2558">
        <v>18.6526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1</v>
      </c>
      <c r="N2558" t="s">
        <v>42</v>
      </c>
      <c r="O2558" s="3">
        <v>44307</v>
      </c>
      <c r="P2558">
        <v>-1</v>
      </c>
      <c r="T2558" t="s">
        <v>41</v>
      </c>
      <c r="U2558">
        <v>103</v>
      </c>
      <c r="V2558">
        <v>26.574999999999999</v>
      </c>
    </row>
    <row r="2559" spans="1:22" x14ac:dyDescent="0.35">
      <c r="A2559" s="3">
        <v>44306</v>
      </c>
      <c r="B2559" t="s">
        <v>41</v>
      </c>
      <c r="C2559">
        <v>0</v>
      </c>
      <c r="D2559">
        <v>0</v>
      </c>
      <c r="E2559">
        <v>0</v>
      </c>
      <c r="F2559">
        <v>0</v>
      </c>
      <c r="G2559">
        <v>21.052800000000001</v>
      </c>
      <c r="H2559">
        <v>0</v>
      </c>
      <c r="I2559">
        <v>0</v>
      </c>
      <c r="J2559">
        <v>0</v>
      </c>
      <c r="K2559">
        <v>0</v>
      </c>
      <c r="L2559">
        <v>21</v>
      </c>
      <c r="M2559">
        <v>29</v>
      </c>
      <c r="N2559" t="s">
        <v>41</v>
      </c>
      <c r="O2559" s="3">
        <v>44335</v>
      </c>
      <c r="P2559">
        <v>-1</v>
      </c>
      <c r="T2559" t="s">
        <v>40</v>
      </c>
      <c r="U2559">
        <v>122</v>
      </c>
      <c r="V2559">
        <v>26.475000000000001</v>
      </c>
    </row>
    <row r="2560" spans="1:22" x14ac:dyDescent="0.35">
      <c r="A2560" s="3">
        <v>44306</v>
      </c>
      <c r="B2560" t="s">
        <v>40</v>
      </c>
      <c r="C2560">
        <v>0</v>
      </c>
      <c r="D2560">
        <v>0</v>
      </c>
      <c r="E2560">
        <v>0</v>
      </c>
      <c r="F2560">
        <v>0</v>
      </c>
      <c r="G2560">
        <v>22.7044</v>
      </c>
      <c r="H2560">
        <v>0</v>
      </c>
      <c r="I2560">
        <v>0</v>
      </c>
      <c r="J2560">
        <v>0</v>
      </c>
      <c r="K2560">
        <v>0</v>
      </c>
      <c r="L2560">
        <v>40</v>
      </c>
      <c r="M2560">
        <v>57</v>
      </c>
      <c r="N2560" t="s">
        <v>40</v>
      </c>
      <c r="O2560" s="3">
        <v>44363</v>
      </c>
      <c r="P2560">
        <v>-1</v>
      </c>
      <c r="T2560" t="s">
        <v>39</v>
      </c>
      <c r="U2560">
        <v>146</v>
      </c>
      <c r="V2560">
        <v>26.55</v>
      </c>
    </row>
    <row r="2561" spans="1:22" x14ac:dyDescent="0.35">
      <c r="A2561" s="3">
        <v>44306</v>
      </c>
      <c r="B2561" t="s">
        <v>35</v>
      </c>
      <c r="C2561">
        <v>0</v>
      </c>
      <c r="D2561">
        <v>0</v>
      </c>
      <c r="E2561">
        <v>0</v>
      </c>
      <c r="F2561">
        <v>0</v>
      </c>
      <c r="G2561">
        <v>24.7</v>
      </c>
      <c r="H2561">
        <v>0</v>
      </c>
      <c r="I2561">
        <v>0</v>
      </c>
      <c r="J2561">
        <v>0</v>
      </c>
      <c r="K2561">
        <v>0</v>
      </c>
      <c r="L2561">
        <v>148</v>
      </c>
      <c r="M2561">
        <v>211</v>
      </c>
      <c r="N2561" t="s">
        <v>35</v>
      </c>
      <c r="O2561" s="3">
        <v>44517</v>
      </c>
      <c r="P2561">
        <v>-1</v>
      </c>
      <c r="T2561" t="s">
        <v>38</v>
      </c>
      <c r="U2561">
        <v>166</v>
      </c>
      <c r="V2561">
        <v>26.824999999999999</v>
      </c>
    </row>
    <row r="2562" spans="1:22" x14ac:dyDescent="0.35">
      <c r="A2562" s="3">
        <v>44306</v>
      </c>
      <c r="B2562" t="s">
        <v>39</v>
      </c>
      <c r="C2562">
        <v>0</v>
      </c>
      <c r="D2562">
        <v>0</v>
      </c>
      <c r="E2562">
        <v>0</v>
      </c>
      <c r="F2562">
        <v>0</v>
      </c>
      <c r="G2562">
        <v>23.9038</v>
      </c>
      <c r="H2562">
        <v>0</v>
      </c>
      <c r="I2562">
        <v>0</v>
      </c>
      <c r="J2562">
        <v>0</v>
      </c>
      <c r="K2562">
        <v>0</v>
      </c>
      <c r="L2562">
        <v>64</v>
      </c>
      <c r="M2562">
        <v>92</v>
      </c>
      <c r="N2562" t="s">
        <v>39</v>
      </c>
      <c r="O2562" s="3">
        <v>44398</v>
      </c>
      <c r="P2562">
        <v>-1</v>
      </c>
      <c r="S2562" s="3">
        <v>44187</v>
      </c>
      <c r="T2562" t="s">
        <v>45</v>
      </c>
      <c r="U2562">
        <v>18</v>
      </c>
      <c r="V2562">
        <v>25.774999999999999</v>
      </c>
    </row>
    <row r="2563" spans="1:22" x14ac:dyDescent="0.35">
      <c r="A2563" s="3">
        <v>44306</v>
      </c>
      <c r="B2563" t="s">
        <v>36</v>
      </c>
      <c r="C2563">
        <v>0</v>
      </c>
      <c r="D2563">
        <v>0</v>
      </c>
      <c r="E2563">
        <v>0</v>
      </c>
      <c r="F2563">
        <v>0</v>
      </c>
      <c r="G2563">
        <v>24.9</v>
      </c>
      <c r="H2563">
        <v>0</v>
      </c>
      <c r="I2563">
        <v>0</v>
      </c>
      <c r="J2563">
        <v>0</v>
      </c>
      <c r="K2563">
        <v>0</v>
      </c>
      <c r="L2563">
        <v>128</v>
      </c>
      <c r="M2563">
        <v>183</v>
      </c>
      <c r="N2563" t="s">
        <v>36</v>
      </c>
      <c r="O2563" s="3">
        <v>44489</v>
      </c>
      <c r="P2563">
        <v>-1</v>
      </c>
      <c r="T2563" t="s">
        <v>44</v>
      </c>
      <c r="U2563">
        <v>37</v>
      </c>
      <c r="V2563">
        <v>26.925000000000001</v>
      </c>
    </row>
    <row r="2564" spans="1:22" x14ac:dyDescent="0.35">
      <c r="A2564" s="3">
        <v>44305</v>
      </c>
      <c r="B2564" t="s">
        <v>36</v>
      </c>
      <c r="C2564">
        <v>0</v>
      </c>
      <c r="D2564">
        <v>0</v>
      </c>
      <c r="E2564">
        <v>0</v>
      </c>
      <c r="F2564">
        <v>0</v>
      </c>
      <c r="G2564">
        <v>24.551600000000001</v>
      </c>
      <c r="H2564">
        <v>0</v>
      </c>
      <c r="I2564">
        <v>0</v>
      </c>
      <c r="J2564">
        <v>0</v>
      </c>
      <c r="K2564">
        <v>0</v>
      </c>
      <c r="L2564">
        <v>129</v>
      </c>
      <c r="M2564">
        <v>184</v>
      </c>
      <c r="N2564" t="s">
        <v>36</v>
      </c>
      <c r="O2564" s="3">
        <v>44489</v>
      </c>
      <c r="P2564">
        <v>-1</v>
      </c>
      <c r="T2564" t="s">
        <v>43</v>
      </c>
      <c r="U2564">
        <v>57</v>
      </c>
      <c r="V2564">
        <v>26.824999999999999</v>
      </c>
    </row>
    <row r="2565" spans="1:22" x14ac:dyDescent="0.35">
      <c r="A2565" s="3">
        <v>44305</v>
      </c>
      <c r="B2565" t="s">
        <v>38</v>
      </c>
      <c r="C2565">
        <v>0</v>
      </c>
      <c r="D2565">
        <v>0</v>
      </c>
      <c r="E2565">
        <v>0</v>
      </c>
      <c r="F2565">
        <v>0</v>
      </c>
      <c r="G2565">
        <v>23.849799999999998</v>
      </c>
      <c r="H2565">
        <v>0</v>
      </c>
      <c r="I2565">
        <v>0</v>
      </c>
      <c r="J2565">
        <v>0</v>
      </c>
      <c r="K2565">
        <v>0</v>
      </c>
      <c r="L2565">
        <v>85</v>
      </c>
      <c r="M2565">
        <v>121</v>
      </c>
      <c r="N2565" t="s">
        <v>38</v>
      </c>
      <c r="O2565" s="3">
        <v>44426</v>
      </c>
      <c r="P2565">
        <v>-1</v>
      </c>
      <c r="T2565" t="s">
        <v>42</v>
      </c>
      <c r="U2565">
        <v>82</v>
      </c>
      <c r="V2565">
        <v>26.824999999999999</v>
      </c>
    </row>
    <row r="2566" spans="1:22" x14ac:dyDescent="0.35">
      <c r="A2566" s="3">
        <v>44305</v>
      </c>
      <c r="B2566" t="s">
        <v>34</v>
      </c>
      <c r="C2566">
        <v>0</v>
      </c>
      <c r="D2566">
        <v>0</v>
      </c>
      <c r="E2566">
        <v>0</v>
      </c>
      <c r="F2566">
        <v>0</v>
      </c>
      <c r="G2566">
        <v>23.85</v>
      </c>
      <c r="H2566">
        <v>0</v>
      </c>
      <c r="I2566">
        <v>0</v>
      </c>
      <c r="J2566">
        <v>0</v>
      </c>
      <c r="K2566">
        <v>0</v>
      </c>
      <c r="L2566">
        <v>173</v>
      </c>
      <c r="M2566">
        <v>247</v>
      </c>
      <c r="N2566" t="s">
        <v>34</v>
      </c>
      <c r="O2566" s="3">
        <v>44552</v>
      </c>
      <c r="P2566">
        <v>-1</v>
      </c>
      <c r="T2566" t="s">
        <v>41</v>
      </c>
      <c r="U2566">
        <v>102</v>
      </c>
      <c r="V2566">
        <v>26.675000000000001</v>
      </c>
    </row>
    <row r="2567" spans="1:22" x14ac:dyDescent="0.35">
      <c r="A2567" s="3">
        <v>44305</v>
      </c>
      <c r="B2567" t="s">
        <v>37</v>
      </c>
      <c r="C2567">
        <v>0</v>
      </c>
      <c r="D2567">
        <v>0</v>
      </c>
      <c r="E2567">
        <v>0</v>
      </c>
      <c r="F2567">
        <v>0</v>
      </c>
      <c r="G2567">
        <v>24.386399999999998</v>
      </c>
      <c r="H2567">
        <v>0</v>
      </c>
      <c r="I2567">
        <v>0</v>
      </c>
      <c r="J2567">
        <v>0</v>
      </c>
      <c r="K2567">
        <v>0</v>
      </c>
      <c r="L2567">
        <v>104</v>
      </c>
      <c r="M2567">
        <v>149</v>
      </c>
      <c r="N2567" t="s">
        <v>37</v>
      </c>
      <c r="O2567" s="3">
        <v>44454</v>
      </c>
      <c r="P2567">
        <v>-1</v>
      </c>
      <c r="T2567" t="s">
        <v>40</v>
      </c>
      <c r="U2567">
        <v>121</v>
      </c>
      <c r="V2567">
        <v>26.725000000000001</v>
      </c>
    </row>
    <row r="2568" spans="1:22" x14ac:dyDescent="0.35">
      <c r="A2568" s="3">
        <v>44305</v>
      </c>
      <c r="B2568" t="s">
        <v>42</v>
      </c>
      <c r="C2568">
        <v>0</v>
      </c>
      <c r="D2568">
        <v>0</v>
      </c>
      <c r="E2568">
        <v>0</v>
      </c>
      <c r="F2568">
        <v>0</v>
      </c>
      <c r="G2568">
        <v>17.657</v>
      </c>
      <c r="H2568">
        <v>0</v>
      </c>
      <c r="I2568">
        <v>0</v>
      </c>
      <c r="J2568">
        <v>0</v>
      </c>
      <c r="K2568">
        <v>0</v>
      </c>
      <c r="L2568">
        <v>2</v>
      </c>
      <c r="M2568">
        <v>2</v>
      </c>
      <c r="N2568" t="s">
        <v>42</v>
      </c>
      <c r="O2568" s="3">
        <v>44307</v>
      </c>
      <c r="P2568">
        <v>-1</v>
      </c>
      <c r="T2568" t="s">
        <v>39</v>
      </c>
      <c r="U2568">
        <v>145</v>
      </c>
      <c r="V2568">
        <v>26.774999999999999</v>
      </c>
    </row>
    <row r="2569" spans="1:22" x14ac:dyDescent="0.35">
      <c r="A2569" s="3">
        <v>44305</v>
      </c>
      <c r="B2569" t="s">
        <v>41</v>
      </c>
      <c r="C2569">
        <v>0</v>
      </c>
      <c r="D2569">
        <v>0</v>
      </c>
      <c r="E2569">
        <v>0</v>
      </c>
      <c r="F2569">
        <v>0</v>
      </c>
      <c r="G2569">
        <v>20.700600000000001</v>
      </c>
      <c r="H2569">
        <v>0</v>
      </c>
      <c r="I2569">
        <v>0</v>
      </c>
      <c r="J2569">
        <v>0</v>
      </c>
      <c r="K2569">
        <v>0</v>
      </c>
      <c r="L2569">
        <v>22</v>
      </c>
      <c r="M2569">
        <v>30</v>
      </c>
      <c r="N2569" t="s">
        <v>41</v>
      </c>
      <c r="O2569" s="3">
        <v>44335</v>
      </c>
      <c r="P2569">
        <v>-1</v>
      </c>
      <c r="T2569" t="s">
        <v>38</v>
      </c>
      <c r="U2569">
        <v>165</v>
      </c>
      <c r="V2569">
        <v>26.574999999999999</v>
      </c>
    </row>
    <row r="2570" spans="1:22" x14ac:dyDescent="0.35">
      <c r="A2570" s="3">
        <v>44305</v>
      </c>
      <c r="B2570" t="s">
        <v>40</v>
      </c>
      <c r="C2570">
        <v>0</v>
      </c>
      <c r="D2570">
        <v>0</v>
      </c>
      <c r="E2570">
        <v>0</v>
      </c>
      <c r="F2570">
        <v>0</v>
      </c>
      <c r="G2570">
        <v>22.262899999999998</v>
      </c>
      <c r="H2570">
        <v>0</v>
      </c>
      <c r="I2570">
        <v>0</v>
      </c>
      <c r="J2570">
        <v>0</v>
      </c>
      <c r="K2570">
        <v>0</v>
      </c>
      <c r="L2570">
        <v>41</v>
      </c>
      <c r="M2570">
        <v>58</v>
      </c>
      <c r="N2570" t="s">
        <v>40</v>
      </c>
      <c r="O2570" s="3">
        <v>44363</v>
      </c>
      <c r="P2570">
        <v>-1</v>
      </c>
      <c r="S2570" s="3">
        <v>44188</v>
      </c>
      <c r="T2570" t="s">
        <v>45</v>
      </c>
      <c r="U2570">
        <v>17</v>
      </c>
      <c r="V2570">
        <v>24.625</v>
      </c>
    </row>
    <row r="2571" spans="1:22" x14ac:dyDescent="0.35">
      <c r="A2571" s="3">
        <v>44305</v>
      </c>
      <c r="B2571" t="s">
        <v>35</v>
      </c>
      <c r="C2571">
        <v>0</v>
      </c>
      <c r="D2571">
        <v>0</v>
      </c>
      <c r="E2571">
        <v>0</v>
      </c>
      <c r="F2571">
        <v>0</v>
      </c>
      <c r="G2571">
        <v>24.3</v>
      </c>
      <c r="H2571">
        <v>0</v>
      </c>
      <c r="I2571">
        <v>0</v>
      </c>
      <c r="J2571">
        <v>0</v>
      </c>
      <c r="K2571">
        <v>0</v>
      </c>
      <c r="L2571">
        <v>149</v>
      </c>
      <c r="M2571">
        <v>212</v>
      </c>
      <c r="N2571" t="s">
        <v>35</v>
      </c>
      <c r="O2571" s="3">
        <v>44517</v>
      </c>
      <c r="P2571">
        <v>-1</v>
      </c>
      <c r="T2571" t="s">
        <v>44</v>
      </c>
      <c r="U2571">
        <v>36</v>
      </c>
      <c r="V2571">
        <v>26.175000000000001</v>
      </c>
    </row>
    <row r="2572" spans="1:22" x14ac:dyDescent="0.35">
      <c r="A2572" s="3">
        <v>44305</v>
      </c>
      <c r="B2572" t="s">
        <v>39</v>
      </c>
      <c r="C2572">
        <v>0</v>
      </c>
      <c r="D2572">
        <v>0</v>
      </c>
      <c r="E2572">
        <v>0</v>
      </c>
      <c r="F2572">
        <v>0</v>
      </c>
      <c r="G2572">
        <v>23.452400000000001</v>
      </c>
      <c r="H2572">
        <v>0</v>
      </c>
      <c r="I2572">
        <v>0</v>
      </c>
      <c r="J2572">
        <v>0</v>
      </c>
      <c r="K2572">
        <v>0</v>
      </c>
      <c r="L2572">
        <v>65</v>
      </c>
      <c r="M2572">
        <v>93</v>
      </c>
      <c r="N2572" t="s">
        <v>39</v>
      </c>
      <c r="O2572" s="3">
        <v>44398</v>
      </c>
      <c r="P2572">
        <v>-1</v>
      </c>
      <c r="T2572" t="s">
        <v>43</v>
      </c>
      <c r="U2572">
        <v>56</v>
      </c>
      <c r="V2572">
        <v>26.125</v>
      </c>
    </row>
    <row r="2573" spans="1:22" x14ac:dyDescent="0.35">
      <c r="A2573" s="3">
        <v>44302</v>
      </c>
      <c r="B2573" t="s">
        <v>38</v>
      </c>
      <c r="C2573">
        <v>0</v>
      </c>
      <c r="D2573">
        <v>0</v>
      </c>
      <c r="E2573">
        <v>0</v>
      </c>
      <c r="F2573">
        <v>0</v>
      </c>
      <c r="G2573">
        <v>23.3444</v>
      </c>
      <c r="H2573">
        <v>0</v>
      </c>
      <c r="I2573">
        <v>0</v>
      </c>
      <c r="J2573">
        <v>0</v>
      </c>
      <c r="K2573">
        <v>0</v>
      </c>
      <c r="L2573">
        <v>86</v>
      </c>
      <c r="M2573">
        <v>124</v>
      </c>
      <c r="N2573" t="s">
        <v>38</v>
      </c>
      <c r="O2573" s="3">
        <v>44426</v>
      </c>
      <c r="P2573">
        <v>-1</v>
      </c>
      <c r="T2573" t="s">
        <v>42</v>
      </c>
      <c r="U2573">
        <v>81</v>
      </c>
      <c r="V2573">
        <v>26.125</v>
      </c>
    </row>
    <row r="2574" spans="1:22" x14ac:dyDescent="0.35">
      <c r="A2574" s="3">
        <v>44302</v>
      </c>
      <c r="B2574" t="s">
        <v>34</v>
      </c>
      <c r="C2574">
        <v>0</v>
      </c>
      <c r="D2574">
        <v>0</v>
      </c>
      <c r="E2574">
        <v>0</v>
      </c>
      <c r="F2574">
        <v>0</v>
      </c>
      <c r="G2574">
        <v>23.55</v>
      </c>
      <c r="H2574">
        <v>0</v>
      </c>
      <c r="I2574">
        <v>0</v>
      </c>
      <c r="J2574">
        <v>0</v>
      </c>
      <c r="K2574">
        <v>0</v>
      </c>
      <c r="L2574">
        <v>174</v>
      </c>
      <c r="M2574">
        <v>250</v>
      </c>
      <c r="N2574" t="s">
        <v>34</v>
      </c>
      <c r="O2574" s="3">
        <v>44552</v>
      </c>
      <c r="P2574">
        <v>-1</v>
      </c>
      <c r="T2574" t="s">
        <v>41</v>
      </c>
      <c r="U2574">
        <v>101</v>
      </c>
      <c r="V2574">
        <v>26.074999999999999</v>
      </c>
    </row>
    <row r="2575" spans="1:22" x14ac:dyDescent="0.35">
      <c r="A2575" s="3">
        <v>44302</v>
      </c>
      <c r="B2575" t="s">
        <v>37</v>
      </c>
      <c r="C2575">
        <v>0</v>
      </c>
      <c r="D2575">
        <v>0</v>
      </c>
      <c r="E2575">
        <v>0</v>
      </c>
      <c r="F2575">
        <v>0</v>
      </c>
      <c r="G2575">
        <v>23.95</v>
      </c>
      <c r="H2575">
        <v>0</v>
      </c>
      <c r="I2575">
        <v>0</v>
      </c>
      <c r="J2575">
        <v>0</v>
      </c>
      <c r="K2575">
        <v>0</v>
      </c>
      <c r="L2575">
        <v>105</v>
      </c>
      <c r="M2575">
        <v>152</v>
      </c>
      <c r="N2575" t="s">
        <v>37</v>
      </c>
      <c r="O2575" s="3">
        <v>44454</v>
      </c>
      <c r="P2575">
        <v>-1</v>
      </c>
      <c r="T2575" t="s">
        <v>40</v>
      </c>
      <c r="U2575">
        <v>120</v>
      </c>
      <c r="V2575">
        <v>26.074999999999999</v>
      </c>
    </row>
    <row r="2576" spans="1:22" x14ac:dyDescent="0.35">
      <c r="A2576" s="3">
        <v>44302</v>
      </c>
      <c r="B2576" t="s">
        <v>42</v>
      </c>
      <c r="C2576">
        <v>0</v>
      </c>
      <c r="D2576">
        <v>0</v>
      </c>
      <c r="E2576">
        <v>0</v>
      </c>
      <c r="F2576">
        <v>0</v>
      </c>
      <c r="G2576">
        <v>17.001899999999999</v>
      </c>
      <c r="H2576">
        <v>0</v>
      </c>
      <c r="I2576">
        <v>0</v>
      </c>
      <c r="J2576">
        <v>0</v>
      </c>
      <c r="K2576">
        <v>0</v>
      </c>
      <c r="L2576">
        <v>3</v>
      </c>
      <c r="M2576">
        <v>5</v>
      </c>
      <c r="N2576" t="s">
        <v>42</v>
      </c>
      <c r="O2576" s="3">
        <v>44307</v>
      </c>
      <c r="P2576">
        <v>-1</v>
      </c>
      <c r="T2576" t="s">
        <v>39</v>
      </c>
      <c r="U2576">
        <v>144</v>
      </c>
      <c r="V2576">
        <v>26.175000000000001</v>
      </c>
    </row>
    <row r="2577" spans="1:22" x14ac:dyDescent="0.35">
      <c r="A2577" s="3">
        <v>44302</v>
      </c>
      <c r="B2577" t="s">
        <v>41</v>
      </c>
      <c r="C2577">
        <v>0</v>
      </c>
      <c r="D2577">
        <v>0</v>
      </c>
      <c r="E2577">
        <v>0</v>
      </c>
      <c r="F2577">
        <v>0</v>
      </c>
      <c r="G2577">
        <v>19.954999999999998</v>
      </c>
      <c r="H2577">
        <v>0</v>
      </c>
      <c r="I2577">
        <v>0</v>
      </c>
      <c r="J2577">
        <v>0</v>
      </c>
      <c r="K2577">
        <v>0</v>
      </c>
      <c r="L2577">
        <v>23</v>
      </c>
      <c r="M2577">
        <v>33</v>
      </c>
      <c r="N2577" t="s">
        <v>41</v>
      </c>
      <c r="O2577" s="3">
        <v>44335</v>
      </c>
      <c r="P2577">
        <v>-1</v>
      </c>
      <c r="T2577" t="s">
        <v>38</v>
      </c>
      <c r="U2577">
        <v>164</v>
      </c>
      <c r="V2577">
        <v>26</v>
      </c>
    </row>
    <row r="2578" spans="1:22" x14ac:dyDescent="0.35">
      <c r="A2578" s="3">
        <v>44302</v>
      </c>
      <c r="B2578" t="s">
        <v>40</v>
      </c>
      <c r="C2578">
        <v>0</v>
      </c>
      <c r="D2578">
        <v>0</v>
      </c>
      <c r="E2578">
        <v>0</v>
      </c>
      <c r="F2578">
        <v>0</v>
      </c>
      <c r="G2578">
        <v>21.601099999999999</v>
      </c>
      <c r="H2578">
        <v>0</v>
      </c>
      <c r="I2578">
        <v>0</v>
      </c>
      <c r="J2578">
        <v>0</v>
      </c>
      <c r="K2578">
        <v>0</v>
      </c>
      <c r="L2578">
        <v>42</v>
      </c>
      <c r="M2578">
        <v>61</v>
      </c>
      <c r="N2578" t="s">
        <v>40</v>
      </c>
      <c r="O2578" s="3">
        <v>44363</v>
      </c>
      <c r="P2578">
        <v>-1</v>
      </c>
      <c r="S2578" s="3">
        <v>44189</v>
      </c>
      <c r="T2578" t="s">
        <v>45</v>
      </c>
      <c r="U2578">
        <v>16</v>
      </c>
      <c r="V2578">
        <v>23.824999999999999</v>
      </c>
    </row>
    <row r="2579" spans="1:22" x14ac:dyDescent="0.35">
      <c r="A2579" s="3">
        <v>44302</v>
      </c>
      <c r="B2579" t="s">
        <v>35</v>
      </c>
      <c r="C2579">
        <v>0</v>
      </c>
      <c r="D2579">
        <v>0</v>
      </c>
      <c r="E2579">
        <v>0</v>
      </c>
      <c r="F2579">
        <v>0</v>
      </c>
      <c r="G2579">
        <v>24.05</v>
      </c>
      <c r="H2579">
        <v>0</v>
      </c>
      <c r="I2579">
        <v>0</v>
      </c>
      <c r="J2579">
        <v>0</v>
      </c>
      <c r="K2579">
        <v>0</v>
      </c>
      <c r="L2579">
        <v>150</v>
      </c>
      <c r="M2579">
        <v>215</v>
      </c>
      <c r="N2579" t="s">
        <v>35</v>
      </c>
      <c r="O2579" s="3">
        <v>44517</v>
      </c>
      <c r="P2579">
        <v>-1</v>
      </c>
      <c r="T2579" t="s">
        <v>44</v>
      </c>
      <c r="U2579">
        <v>35</v>
      </c>
      <c r="V2579">
        <v>25.625</v>
      </c>
    </row>
    <row r="2580" spans="1:22" x14ac:dyDescent="0.35">
      <c r="A2580" s="3">
        <v>44302</v>
      </c>
      <c r="B2580" t="s">
        <v>39</v>
      </c>
      <c r="C2580">
        <v>0</v>
      </c>
      <c r="D2580">
        <v>0</v>
      </c>
      <c r="E2580">
        <v>0</v>
      </c>
      <c r="F2580">
        <v>0</v>
      </c>
      <c r="G2580">
        <v>22.85</v>
      </c>
      <c r="H2580">
        <v>0</v>
      </c>
      <c r="I2580">
        <v>0</v>
      </c>
      <c r="J2580">
        <v>0</v>
      </c>
      <c r="K2580">
        <v>0</v>
      </c>
      <c r="L2580">
        <v>66</v>
      </c>
      <c r="M2580">
        <v>96</v>
      </c>
      <c r="N2580" t="s">
        <v>39</v>
      </c>
      <c r="O2580" s="3">
        <v>44398</v>
      </c>
      <c r="P2580">
        <v>-1</v>
      </c>
      <c r="T2580" t="s">
        <v>43</v>
      </c>
      <c r="U2580">
        <v>55</v>
      </c>
      <c r="V2580">
        <v>25.725000000000001</v>
      </c>
    </row>
    <row r="2581" spans="1:22" x14ac:dyDescent="0.35">
      <c r="A2581" s="3">
        <v>44302</v>
      </c>
      <c r="B2581" t="s">
        <v>36</v>
      </c>
      <c r="C2581">
        <v>0</v>
      </c>
      <c r="D2581">
        <v>0</v>
      </c>
      <c r="E2581">
        <v>0</v>
      </c>
      <c r="F2581">
        <v>0</v>
      </c>
      <c r="G2581">
        <v>24.25</v>
      </c>
      <c r="H2581">
        <v>0</v>
      </c>
      <c r="I2581">
        <v>0</v>
      </c>
      <c r="J2581">
        <v>0</v>
      </c>
      <c r="K2581">
        <v>0</v>
      </c>
      <c r="L2581">
        <v>130</v>
      </c>
      <c r="M2581">
        <v>187</v>
      </c>
      <c r="N2581" t="s">
        <v>36</v>
      </c>
      <c r="O2581" s="3">
        <v>44489</v>
      </c>
      <c r="P2581">
        <v>-1</v>
      </c>
      <c r="T2581" t="s">
        <v>42</v>
      </c>
      <c r="U2581">
        <v>80</v>
      </c>
      <c r="V2581">
        <v>25.8</v>
      </c>
    </row>
    <row r="2582" spans="1:22" x14ac:dyDescent="0.35">
      <c r="A2582" s="3">
        <v>44301</v>
      </c>
      <c r="B2582" t="s">
        <v>36</v>
      </c>
      <c r="C2582">
        <v>0</v>
      </c>
      <c r="D2582">
        <v>0</v>
      </c>
      <c r="E2582">
        <v>0</v>
      </c>
      <c r="F2582">
        <v>0</v>
      </c>
      <c r="G2582">
        <v>24.251999999999999</v>
      </c>
      <c r="H2582">
        <v>0</v>
      </c>
      <c r="I2582">
        <v>0</v>
      </c>
      <c r="J2582">
        <v>0</v>
      </c>
      <c r="K2582">
        <v>0</v>
      </c>
      <c r="L2582">
        <v>131</v>
      </c>
      <c r="M2582">
        <v>188</v>
      </c>
      <c r="N2582" t="s">
        <v>36</v>
      </c>
      <c r="O2582" s="3">
        <v>44489</v>
      </c>
      <c r="P2582">
        <v>-1</v>
      </c>
      <c r="T2582" t="s">
        <v>41</v>
      </c>
      <c r="U2582">
        <v>100</v>
      </c>
      <c r="V2582">
        <v>25.824999999999999</v>
      </c>
    </row>
    <row r="2583" spans="1:22" x14ac:dyDescent="0.35">
      <c r="A2583" s="3">
        <v>44301</v>
      </c>
      <c r="B2583" t="s">
        <v>38</v>
      </c>
      <c r="C2583">
        <v>0</v>
      </c>
      <c r="D2583">
        <v>0</v>
      </c>
      <c r="E2583">
        <v>0</v>
      </c>
      <c r="F2583">
        <v>0</v>
      </c>
      <c r="G2583">
        <v>23.55</v>
      </c>
      <c r="H2583">
        <v>0</v>
      </c>
      <c r="I2583">
        <v>0</v>
      </c>
      <c r="J2583">
        <v>0</v>
      </c>
      <c r="K2583">
        <v>0</v>
      </c>
      <c r="L2583">
        <v>87</v>
      </c>
      <c r="M2583">
        <v>125</v>
      </c>
      <c r="N2583" t="s">
        <v>38</v>
      </c>
      <c r="O2583" s="3">
        <v>44426</v>
      </c>
      <c r="P2583">
        <v>-1</v>
      </c>
      <c r="T2583" t="s">
        <v>40</v>
      </c>
      <c r="U2583">
        <v>119</v>
      </c>
      <c r="V2583">
        <v>25.9</v>
      </c>
    </row>
    <row r="2584" spans="1:22" x14ac:dyDescent="0.35">
      <c r="A2584" s="3">
        <v>44301</v>
      </c>
      <c r="B2584" t="s">
        <v>34</v>
      </c>
      <c r="C2584">
        <v>0</v>
      </c>
      <c r="D2584">
        <v>0</v>
      </c>
      <c r="E2584">
        <v>0</v>
      </c>
      <c r="F2584">
        <v>0</v>
      </c>
      <c r="G2584">
        <v>23.5</v>
      </c>
      <c r="H2584">
        <v>0</v>
      </c>
      <c r="I2584">
        <v>0</v>
      </c>
      <c r="J2584">
        <v>0</v>
      </c>
      <c r="K2584">
        <v>0</v>
      </c>
      <c r="L2584">
        <v>175</v>
      </c>
      <c r="M2584">
        <v>251</v>
      </c>
      <c r="N2584" t="s">
        <v>34</v>
      </c>
      <c r="O2584" s="3">
        <v>44552</v>
      </c>
      <c r="P2584">
        <v>-1</v>
      </c>
      <c r="T2584" t="s">
        <v>39</v>
      </c>
      <c r="U2584">
        <v>143</v>
      </c>
      <c r="V2584">
        <v>26.05</v>
      </c>
    </row>
    <row r="2585" spans="1:22" x14ac:dyDescent="0.35">
      <c r="A2585" s="3">
        <v>44301</v>
      </c>
      <c r="B2585" t="s">
        <v>37</v>
      </c>
      <c r="C2585">
        <v>0</v>
      </c>
      <c r="D2585">
        <v>0</v>
      </c>
      <c r="E2585">
        <v>0</v>
      </c>
      <c r="F2585">
        <v>0</v>
      </c>
      <c r="G2585">
        <v>24.05</v>
      </c>
      <c r="H2585">
        <v>0</v>
      </c>
      <c r="I2585">
        <v>0</v>
      </c>
      <c r="J2585">
        <v>0</v>
      </c>
      <c r="K2585">
        <v>0</v>
      </c>
      <c r="L2585">
        <v>106</v>
      </c>
      <c r="M2585">
        <v>153</v>
      </c>
      <c r="N2585" t="s">
        <v>37</v>
      </c>
      <c r="O2585" s="3">
        <v>44454</v>
      </c>
      <c r="P2585">
        <v>-1</v>
      </c>
      <c r="S2585" s="3">
        <v>44193</v>
      </c>
      <c r="T2585" t="s">
        <v>45</v>
      </c>
      <c r="U2585">
        <v>15</v>
      </c>
      <c r="V2585">
        <v>23.675000000000001</v>
      </c>
    </row>
    <row r="2586" spans="1:22" x14ac:dyDescent="0.35">
      <c r="A2586" s="3">
        <v>44301</v>
      </c>
      <c r="B2586" t="s">
        <v>42</v>
      </c>
      <c r="C2586">
        <v>0</v>
      </c>
      <c r="D2586">
        <v>0</v>
      </c>
      <c r="E2586">
        <v>0</v>
      </c>
      <c r="F2586">
        <v>0</v>
      </c>
      <c r="G2586">
        <v>17.1523</v>
      </c>
      <c r="H2586">
        <v>0</v>
      </c>
      <c r="I2586">
        <v>0</v>
      </c>
      <c r="J2586">
        <v>0</v>
      </c>
      <c r="K2586">
        <v>0</v>
      </c>
      <c r="L2586">
        <v>4</v>
      </c>
      <c r="M2586">
        <v>6</v>
      </c>
      <c r="N2586" t="s">
        <v>42</v>
      </c>
      <c r="O2586" s="3">
        <v>44307</v>
      </c>
      <c r="P2586">
        <v>-1</v>
      </c>
      <c r="T2586" t="s">
        <v>44</v>
      </c>
      <c r="U2586">
        <v>34</v>
      </c>
      <c r="V2586">
        <v>25.574999999999999</v>
      </c>
    </row>
    <row r="2587" spans="1:22" x14ac:dyDescent="0.35">
      <c r="A2587" s="3">
        <v>44301</v>
      </c>
      <c r="B2587" t="s">
        <v>41</v>
      </c>
      <c r="C2587">
        <v>0</v>
      </c>
      <c r="D2587">
        <v>0</v>
      </c>
      <c r="E2587">
        <v>0</v>
      </c>
      <c r="F2587">
        <v>0</v>
      </c>
      <c r="G2587">
        <v>20.2942</v>
      </c>
      <c r="H2587">
        <v>0</v>
      </c>
      <c r="I2587">
        <v>0</v>
      </c>
      <c r="J2587">
        <v>0</v>
      </c>
      <c r="K2587">
        <v>0</v>
      </c>
      <c r="L2587">
        <v>24</v>
      </c>
      <c r="M2587">
        <v>34</v>
      </c>
      <c r="N2587" t="s">
        <v>41</v>
      </c>
      <c r="O2587" s="3">
        <v>44335</v>
      </c>
      <c r="P2587">
        <v>-1</v>
      </c>
      <c r="T2587" t="s">
        <v>43</v>
      </c>
      <c r="U2587">
        <v>54</v>
      </c>
      <c r="V2587">
        <v>25.675000000000001</v>
      </c>
    </row>
    <row r="2588" spans="1:22" x14ac:dyDescent="0.35">
      <c r="A2588" s="3">
        <v>44301</v>
      </c>
      <c r="B2588" t="s">
        <v>40</v>
      </c>
      <c r="C2588">
        <v>0</v>
      </c>
      <c r="D2588">
        <v>0</v>
      </c>
      <c r="E2588">
        <v>0</v>
      </c>
      <c r="F2588">
        <v>0</v>
      </c>
      <c r="G2588">
        <v>21.998699999999999</v>
      </c>
      <c r="H2588">
        <v>0</v>
      </c>
      <c r="I2588">
        <v>0</v>
      </c>
      <c r="J2588">
        <v>0</v>
      </c>
      <c r="K2588">
        <v>0</v>
      </c>
      <c r="L2588">
        <v>43</v>
      </c>
      <c r="M2588">
        <v>62</v>
      </c>
      <c r="N2588" t="s">
        <v>40</v>
      </c>
      <c r="O2588" s="3">
        <v>44363</v>
      </c>
      <c r="P2588">
        <v>-1</v>
      </c>
      <c r="T2588" t="s">
        <v>42</v>
      </c>
      <c r="U2588">
        <v>79</v>
      </c>
      <c r="V2588">
        <v>25.774999999999999</v>
      </c>
    </row>
    <row r="2589" spans="1:22" x14ac:dyDescent="0.35">
      <c r="A2589" s="3">
        <v>44301</v>
      </c>
      <c r="B2589" t="s">
        <v>35</v>
      </c>
      <c r="C2589">
        <v>0</v>
      </c>
      <c r="D2589">
        <v>0</v>
      </c>
      <c r="E2589">
        <v>0</v>
      </c>
      <c r="F2589">
        <v>0</v>
      </c>
      <c r="G2589">
        <v>24</v>
      </c>
      <c r="H2589">
        <v>0</v>
      </c>
      <c r="I2589">
        <v>0</v>
      </c>
      <c r="J2589">
        <v>0</v>
      </c>
      <c r="K2589">
        <v>0</v>
      </c>
      <c r="L2589">
        <v>151</v>
      </c>
      <c r="M2589">
        <v>216</v>
      </c>
      <c r="N2589" t="s">
        <v>35</v>
      </c>
      <c r="O2589" s="3">
        <v>44517</v>
      </c>
      <c r="P2589">
        <v>-1</v>
      </c>
      <c r="T2589" t="s">
        <v>41</v>
      </c>
      <c r="U2589">
        <v>99</v>
      </c>
      <c r="V2589">
        <v>25.774999999999999</v>
      </c>
    </row>
    <row r="2590" spans="1:22" x14ac:dyDescent="0.35">
      <c r="A2590" s="3">
        <v>44301</v>
      </c>
      <c r="B2590" t="s">
        <v>39</v>
      </c>
      <c r="C2590">
        <v>0</v>
      </c>
      <c r="D2590">
        <v>0</v>
      </c>
      <c r="E2590">
        <v>0</v>
      </c>
      <c r="F2590">
        <v>0</v>
      </c>
      <c r="G2590">
        <v>23.1557</v>
      </c>
      <c r="H2590">
        <v>0</v>
      </c>
      <c r="I2590">
        <v>0</v>
      </c>
      <c r="J2590">
        <v>0</v>
      </c>
      <c r="K2590">
        <v>0</v>
      </c>
      <c r="L2590">
        <v>67</v>
      </c>
      <c r="M2590">
        <v>97</v>
      </c>
      <c r="N2590" t="s">
        <v>39</v>
      </c>
      <c r="O2590" s="3">
        <v>44398</v>
      </c>
      <c r="P2590">
        <v>-1</v>
      </c>
      <c r="T2590" t="s">
        <v>40</v>
      </c>
      <c r="U2590">
        <v>118</v>
      </c>
      <c r="V2590">
        <v>25.774999999999999</v>
      </c>
    </row>
    <row r="2591" spans="1:22" x14ac:dyDescent="0.35">
      <c r="A2591" s="3">
        <v>44300</v>
      </c>
      <c r="B2591" t="s">
        <v>38</v>
      </c>
      <c r="C2591">
        <v>0</v>
      </c>
      <c r="D2591">
        <v>0</v>
      </c>
      <c r="E2591">
        <v>0</v>
      </c>
      <c r="F2591">
        <v>0</v>
      </c>
      <c r="G2591">
        <v>23.75</v>
      </c>
      <c r="H2591">
        <v>0</v>
      </c>
      <c r="I2591">
        <v>0</v>
      </c>
      <c r="J2591">
        <v>0</v>
      </c>
      <c r="K2591">
        <v>0</v>
      </c>
      <c r="L2591">
        <v>88</v>
      </c>
      <c r="M2591">
        <v>126</v>
      </c>
      <c r="N2591" t="s">
        <v>38</v>
      </c>
      <c r="O2591" s="3">
        <v>44426</v>
      </c>
      <c r="P2591">
        <v>-1</v>
      </c>
      <c r="T2591" t="s">
        <v>39</v>
      </c>
      <c r="U2591">
        <v>142</v>
      </c>
      <c r="V2591">
        <v>25.824999999999999</v>
      </c>
    </row>
    <row r="2592" spans="1:22" x14ac:dyDescent="0.35">
      <c r="A2592" s="3">
        <v>44300</v>
      </c>
      <c r="B2592" t="s">
        <v>34</v>
      </c>
      <c r="C2592">
        <v>0</v>
      </c>
      <c r="D2592">
        <v>0</v>
      </c>
      <c r="E2592">
        <v>0</v>
      </c>
      <c r="F2592">
        <v>0</v>
      </c>
      <c r="G2592">
        <v>23.65</v>
      </c>
      <c r="H2592">
        <v>0</v>
      </c>
      <c r="I2592">
        <v>0</v>
      </c>
      <c r="J2592">
        <v>0</v>
      </c>
      <c r="K2592">
        <v>0</v>
      </c>
      <c r="L2592">
        <v>176</v>
      </c>
      <c r="M2592">
        <v>252</v>
      </c>
      <c r="N2592" t="s">
        <v>34</v>
      </c>
      <c r="O2592" s="3">
        <v>44552</v>
      </c>
      <c r="P2592">
        <v>-1</v>
      </c>
      <c r="T2592" t="s">
        <v>38</v>
      </c>
      <c r="U2592">
        <v>162</v>
      </c>
      <c r="V2592">
        <v>25.824999999999999</v>
      </c>
    </row>
    <row r="2593" spans="1:22" x14ac:dyDescent="0.35">
      <c r="A2593" s="3">
        <v>44300</v>
      </c>
      <c r="B2593" t="s">
        <v>37</v>
      </c>
      <c r="C2593">
        <v>0</v>
      </c>
      <c r="D2593">
        <v>0</v>
      </c>
      <c r="E2593">
        <v>0</v>
      </c>
      <c r="F2593">
        <v>0</v>
      </c>
      <c r="G2593">
        <v>24.25</v>
      </c>
      <c r="H2593">
        <v>0</v>
      </c>
      <c r="I2593">
        <v>0</v>
      </c>
      <c r="J2593">
        <v>0</v>
      </c>
      <c r="K2593">
        <v>0</v>
      </c>
      <c r="L2593">
        <v>107</v>
      </c>
      <c r="M2593">
        <v>154</v>
      </c>
      <c r="N2593" t="s">
        <v>37</v>
      </c>
      <c r="O2593" s="3">
        <v>44454</v>
      </c>
      <c r="P2593">
        <v>-1</v>
      </c>
      <c r="S2593" s="3">
        <v>44194</v>
      </c>
      <c r="T2593" t="s">
        <v>45</v>
      </c>
      <c r="U2593">
        <v>14</v>
      </c>
      <c r="V2593">
        <v>24.625</v>
      </c>
    </row>
    <row r="2594" spans="1:22" x14ac:dyDescent="0.35">
      <c r="A2594" s="3">
        <v>44300</v>
      </c>
      <c r="B2594" t="s">
        <v>42</v>
      </c>
      <c r="C2594">
        <v>0</v>
      </c>
      <c r="D2594">
        <v>0</v>
      </c>
      <c r="E2594">
        <v>0</v>
      </c>
      <c r="F2594">
        <v>0</v>
      </c>
      <c r="G2594">
        <v>18.0989</v>
      </c>
      <c r="H2594">
        <v>0</v>
      </c>
      <c r="I2594">
        <v>0</v>
      </c>
      <c r="J2594">
        <v>0</v>
      </c>
      <c r="K2594">
        <v>0</v>
      </c>
      <c r="L2594">
        <v>5</v>
      </c>
      <c r="M2594">
        <v>7</v>
      </c>
      <c r="N2594" t="s">
        <v>42</v>
      </c>
      <c r="O2594" s="3">
        <v>44307</v>
      </c>
      <c r="P2594">
        <v>-1</v>
      </c>
      <c r="T2594" t="s">
        <v>44</v>
      </c>
      <c r="U2594">
        <v>33</v>
      </c>
      <c r="V2594">
        <v>26.425000000000001</v>
      </c>
    </row>
    <row r="2595" spans="1:22" x14ac:dyDescent="0.35">
      <c r="A2595" s="3">
        <v>44300</v>
      </c>
      <c r="B2595" t="s">
        <v>41</v>
      </c>
      <c r="C2595">
        <v>0</v>
      </c>
      <c r="D2595">
        <v>0</v>
      </c>
      <c r="E2595">
        <v>0</v>
      </c>
      <c r="F2595">
        <v>0</v>
      </c>
      <c r="G2595">
        <v>20.933299999999999</v>
      </c>
      <c r="H2595">
        <v>0</v>
      </c>
      <c r="I2595">
        <v>0</v>
      </c>
      <c r="J2595">
        <v>0</v>
      </c>
      <c r="K2595">
        <v>0</v>
      </c>
      <c r="L2595">
        <v>25</v>
      </c>
      <c r="M2595">
        <v>35</v>
      </c>
      <c r="N2595" t="s">
        <v>41</v>
      </c>
      <c r="O2595" s="3">
        <v>44335</v>
      </c>
      <c r="P2595">
        <v>-1</v>
      </c>
      <c r="T2595" t="s">
        <v>43</v>
      </c>
      <c r="U2595">
        <v>53</v>
      </c>
      <c r="V2595">
        <v>26.425000000000001</v>
      </c>
    </row>
    <row r="2596" spans="1:22" x14ac:dyDescent="0.35">
      <c r="A2596" s="3">
        <v>44300</v>
      </c>
      <c r="B2596" t="s">
        <v>40</v>
      </c>
      <c r="C2596">
        <v>0</v>
      </c>
      <c r="D2596">
        <v>0</v>
      </c>
      <c r="E2596">
        <v>0</v>
      </c>
      <c r="F2596">
        <v>0</v>
      </c>
      <c r="G2596">
        <v>22.365600000000001</v>
      </c>
      <c r="H2596">
        <v>0</v>
      </c>
      <c r="I2596">
        <v>0</v>
      </c>
      <c r="J2596">
        <v>0</v>
      </c>
      <c r="K2596">
        <v>0</v>
      </c>
      <c r="L2596">
        <v>44</v>
      </c>
      <c r="M2596">
        <v>63</v>
      </c>
      <c r="N2596" t="s">
        <v>40</v>
      </c>
      <c r="O2596" s="3">
        <v>44363</v>
      </c>
      <c r="P2596">
        <v>-1</v>
      </c>
      <c r="T2596" t="s">
        <v>42</v>
      </c>
      <c r="U2596">
        <v>78</v>
      </c>
      <c r="V2596">
        <v>26.475000000000001</v>
      </c>
    </row>
    <row r="2597" spans="1:22" x14ac:dyDescent="0.35">
      <c r="A2597" s="3">
        <v>44300</v>
      </c>
      <c r="B2597" t="s">
        <v>35</v>
      </c>
      <c r="C2597">
        <v>0</v>
      </c>
      <c r="D2597">
        <v>0</v>
      </c>
      <c r="E2597">
        <v>0</v>
      </c>
      <c r="F2597">
        <v>0</v>
      </c>
      <c r="G2597">
        <v>24.2</v>
      </c>
      <c r="H2597">
        <v>0</v>
      </c>
      <c r="I2597">
        <v>0</v>
      </c>
      <c r="J2597">
        <v>0</v>
      </c>
      <c r="K2597">
        <v>0</v>
      </c>
      <c r="L2597">
        <v>152</v>
      </c>
      <c r="M2597">
        <v>217</v>
      </c>
      <c r="N2597" t="s">
        <v>35</v>
      </c>
      <c r="O2597" s="3">
        <v>44517</v>
      </c>
      <c r="P2597">
        <v>-1</v>
      </c>
      <c r="T2597" t="s">
        <v>41</v>
      </c>
      <c r="U2597">
        <v>98</v>
      </c>
      <c r="V2597">
        <v>26.375</v>
      </c>
    </row>
    <row r="2598" spans="1:22" x14ac:dyDescent="0.35">
      <c r="A2598" s="3">
        <v>44300</v>
      </c>
      <c r="B2598" t="s">
        <v>39</v>
      </c>
      <c r="C2598">
        <v>0</v>
      </c>
      <c r="D2598">
        <v>0</v>
      </c>
      <c r="E2598">
        <v>0</v>
      </c>
      <c r="F2598">
        <v>0</v>
      </c>
      <c r="G2598">
        <v>23.406300000000002</v>
      </c>
      <c r="H2598">
        <v>0</v>
      </c>
      <c r="I2598">
        <v>0</v>
      </c>
      <c r="J2598">
        <v>0</v>
      </c>
      <c r="K2598">
        <v>0</v>
      </c>
      <c r="L2598">
        <v>68</v>
      </c>
      <c r="M2598">
        <v>98</v>
      </c>
      <c r="N2598" t="s">
        <v>39</v>
      </c>
      <c r="O2598" s="3">
        <v>44398</v>
      </c>
      <c r="P2598">
        <v>-1</v>
      </c>
      <c r="T2598" t="s">
        <v>40</v>
      </c>
      <c r="U2598">
        <v>117</v>
      </c>
      <c r="V2598">
        <v>26.425000000000001</v>
      </c>
    </row>
    <row r="2599" spans="1:22" x14ac:dyDescent="0.35">
      <c r="A2599" s="3">
        <v>44300</v>
      </c>
      <c r="B2599" t="s">
        <v>36</v>
      </c>
      <c r="C2599">
        <v>0</v>
      </c>
      <c r="D2599">
        <v>0</v>
      </c>
      <c r="E2599">
        <v>0</v>
      </c>
      <c r="F2599">
        <v>0</v>
      </c>
      <c r="G2599">
        <v>24.4</v>
      </c>
      <c r="H2599">
        <v>0</v>
      </c>
      <c r="I2599">
        <v>0</v>
      </c>
      <c r="J2599">
        <v>0</v>
      </c>
      <c r="K2599">
        <v>0</v>
      </c>
      <c r="L2599">
        <v>132</v>
      </c>
      <c r="M2599">
        <v>189</v>
      </c>
      <c r="N2599" t="s">
        <v>36</v>
      </c>
      <c r="O2599" s="3">
        <v>44489</v>
      </c>
      <c r="P2599">
        <v>-1</v>
      </c>
      <c r="T2599" t="s">
        <v>39</v>
      </c>
      <c r="U2599">
        <v>141</v>
      </c>
      <c r="V2599">
        <v>26.425000000000001</v>
      </c>
    </row>
    <row r="2600" spans="1:22" x14ac:dyDescent="0.35">
      <c r="A2600" s="3">
        <v>44299</v>
      </c>
      <c r="B2600" t="s">
        <v>36</v>
      </c>
      <c r="C2600">
        <v>0</v>
      </c>
      <c r="D2600">
        <v>0</v>
      </c>
      <c r="E2600">
        <v>0</v>
      </c>
      <c r="F2600">
        <v>0</v>
      </c>
      <c r="G2600">
        <v>24.1982</v>
      </c>
      <c r="H2600">
        <v>0</v>
      </c>
      <c r="I2600">
        <v>0</v>
      </c>
      <c r="J2600">
        <v>0</v>
      </c>
      <c r="K2600">
        <v>0</v>
      </c>
      <c r="L2600">
        <v>133</v>
      </c>
      <c r="M2600">
        <v>190</v>
      </c>
      <c r="N2600" t="s">
        <v>36</v>
      </c>
      <c r="O2600" s="3">
        <v>44489</v>
      </c>
      <c r="P2600">
        <v>-1</v>
      </c>
      <c r="S2600" s="3">
        <v>44195</v>
      </c>
      <c r="T2600" t="s">
        <v>45</v>
      </c>
      <c r="U2600">
        <v>13</v>
      </c>
      <c r="V2600">
        <v>23.675000000000001</v>
      </c>
    </row>
    <row r="2601" spans="1:22" x14ac:dyDescent="0.35">
      <c r="A2601" s="3">
        <v>44299</v>
      </c>
      <c r="B2601" t="s">
        <v>38</v>
      </c>
      <c r="C2601">
        <v>0</v>
      </c>
      <c r="D2601">
        <v>0</v>
      </c>
      <c r="E2601">
        <v>0</v>
      </c>
      <c r="F2601">
        <v>0</v>
      </c>
      <c r="G2601">
        <v>23.543500000000002</v>
      </c>
      <c r="H2601">
        <v>0</v>
      </c>
      <c r="I2601">
        <v>0</v>
      </c>
      <c r="J2601">
        <v>0</v>
      </c>
      <c r="K2601">
        <v>0</v>
      </c>
      <c r="L2601">
        <v>89</v>
      </c>
      <c r="M2601">
        <v>127</v>
      </c>
      <c r="N2601" t="s">
        <v>38</v>
      </c>
      <c r="O2601" s="3">
        <v>44426</v>
      </c>
      <c r="P2601">
        <v>-1</v>
      </c>
      <c r="T2601" t="s">
        <v>44</v>
      </c>
      <c r="U2601">
        <v>32</v>
      </c>
      <c r="V2601">
        <v>25.625</v>
      </c>
    </row>
    <row r="2602" spans="1:22" x14ac:dyDescent="0.35">
      <c r="A2602" s="3">
        <v>44299</v>
      </c>
      <c r="B2602" t="s">
        <v>34</v>
      </c>
      <c r="C2602">
        <v>0</v>
      </c>
      <c r="D2602">
        <v>0</v>
      </c>
      <c r="E2602">
        <v>0</v>
      </c>
      <c r="F2602">
        <v>0</v>
      </c>
      <c r="G2602">
        <v>23.524999999999999</v>
      </c>
      <c r="H2602">
        <v>0</v>
      </c>
      <c r="I2602">
        <v>0</v>
      </c>
      <c r="J2602">
        <v>0</v>
      </c>
      <c r="K2602">
        <v>0</v>
      </c>
      <c r="L2602">
        <v>177</v>
      </c>
      <c r="M2602">
        <v>253</v>
      </c>
      <c r="N2602" t="s">
        <v>34</v>
      </c>
      <c r="O2602" s="3">
        <v>44552</v>
      </c>
      <c r="P2602">
        <v>-1</v>
      </c>
      <c r="T2602" t="s">
        <v>43</v>
      </c>
      <c r="U2602">
        <v>52</v>
      </c>
      <c r="V2602">
        <v>25.875</v>
      </c>
    </row>
    <row r="2603" spans="1:22" x14ac:dyDescent="0.35">
      <c r="A2603" s="3">
        <v>44299</v>
      </c>
      <c r="B2603" t="s">
        <v>37</v>
      </c>
      <c r="C2603">
        <v>0</v>
      </c>
      <c r="D2603">
        <v>0</v>
      </c>
      <c r="E2603">
        <v>0</v>
      </c>
      <c r="F2603">
        <v>0</v>
      </c>
      <c r="G2603">
        <v>24.024000000000001</v>
      </c>
      <c r="H2603">
        <v>0</v>
      </c>
      <c r="I2603">
        <v>0</v>
      </c>
      <c r="J2603">
        <v>0</v>
      </c>
      <c r="K2603">
        <v>0</v>
      </c>
      <c r="L2603">
        <v>108</v>
      </c>
      <c r="M2603">
        <v>155</v>
      </c>
      <c r="N2603" t="s">
        <v>37</v>
      </c>
      <c r="O2603" s="3">
        <v>44454</v>
      </c>
      <c r="P2603">
        <v>-1</v>
      </c>
      <c r="T2603" t="s">
        <v>42</v>
      </c>
      <c r="U2603">
        <v>77</v>
      </c>
      <c r="V2603">
        <v>25.925000000000001</v>
      </c>
    </row>
    <row r="2604" spans="1:22" x14ac:dyDescent="0.35">
      <c r="A2604" s="3">
        <v>44299</v>
      </c>
      <c r="B2604" t="s">
        <v>42</v>
      </c>
      <c r="C2604">
        <v>0</v>
      </c>
      <c r="D2604">
        <v>0</v>
      </c>
      <c r="E2604">
        <v>0</v>
      </c>
      <c r="F2604">
        <v>0</v>
      </c>
      <c r="G2604">
        <v>17.678100000000001</v>
      </c>
      <c r="H2604">
        <v>0</v>
      </c>
      <c r="I2604">
        <v>0</v>
      </c>
      <c r="J2604">
        <v>0</v>
      </c>
      <c r="K2604">
        <v>0</v>
      </c>
      <c r="L2604">
        <v>6</v>
      </c>
      <c r="M2604">
        <v>8</v>
      </c>
      <c r="N2604" t="s">
        <v>42</v>
      </c>
      <c r="O2604" s="3">
        <v>44307</v>
      </c>
      <c r="P2604">
        <v>-1</v>
      </c>
      <c r="T2604" t="s">
        <v>41</v>
      </c>
      <c r="U2604">
        <v>97</v>
      </c>
      <c r="V2604">
        <v>25.875</v>
      </c>
    </row>
    <row r="2605" spans="1:22" x14ac:dyDescent="0.35">
      <c r="A2605" s="3">
        <v>44299</v>
      </c>
      <c r="B2605" t="s">
        <v>41</v>
      </c>
      <c r="C2605">
        <v>0</v>
      </c>
      <c r="D2605">
        <v>0</v>
      </c>
      <c r="E2605">
        <v>0</v>
      </c>
      <c r="F2605">
        <v>0</v>
      </c>
      <c r="G2605">
        <v>20.473400000000002</v>
      </c>
      <c r="H2605">
        <v>0</v>
      </c>
      <c r="I2605">
        <v>0</v>
      </c>
      <c r="J2605">
        <v>0</v>
      </c>
      <c r="K2605">
        <v>0</v>
      </c>
      <c r="L2605">
        <v>26</v>
      </c>
      <c r="M2605">
        <v>36</v>
      </c>
      <c r="N2605" t="s">
        <v>41</v>
      </c>
      <c r="O2605" s="3">
        <v>44335</v>
      </c>
      <c r="P2605">
        <v>-1</v>
      </c>
      <c r="T2605" t="s">
        <v>40</v>
      </c>
      <c r="U2605">
        <v>116</v>
      </c>
      <c r="V2605">
        <v>25.85</v>
      </c>
    </row>
    <row r="2606" spans="1:22" x14ac:dyDescent="0.35">
      <c r="A2606" s="3">
        <v>44299</v>
      </c>
      <c r="B2606" t="s">
        <v>40</v>
      </c>
      <c r="C2606">
        <v>0</v>
      </c>
      <c r="D2606">
        <v>0</v>
      </c>
      <c r="E2606">
        <v>0</v>
      </c>
      <c r="F2606">
        <v>0</v>
      </c>
      <c r="G2606">
        <v>22.114899999999999</v>
      </c>
      <c r="H2606">
        <v>0</v>
      </c>
      <c r="I2606">
        <v>0</v>
      </c>
      <c r="J2606">
        <v>0</v>
      </c>
      <c r="K2606">
        <v>0</v>
      </c>
      <c r="L2606">
        <v>45</v>
      </c>
      <c r="M2606">
        <v>64</v>
      </c>
      <c r="N2606" t="s">
        <v>40</v>
      </c>
      <c r="O2606" s="3">
        <v>44363</v>
      </c>
      <c r="P2606">
        <v>-1</v>
      </c>
      <c r="T2606" t="s">
        <v>39</v>
      </c>
      <c r="U2606">
        <v>140</v>
      </c>
      <c r="V2606">
        <v>25.9</v>
      </c>
    </row>
    <row r="2607" spans="1:22" x14ac:dyDescent="0.35">
      <c r="A2607" s="3">
        <v>44299</v>
      </c>
      <c r="B2607" t="s">
        <v>35</v>
      </c>
      <c r="C2607">
        <v>0</v>
      </c>
      <c r="D2607">
        <v>0</v>
      </c>
      <c r="E2607">
        <v>0</v>
      </c>
      <c r="F2607">
        <v>0</v>
      </c>
      <c r="G2607">
        <v>24</v>
      </c>
      <c r="H2607">
        <v>0</v>
      </c>
      <c r="I2607">
        <v>0</v>
      </c>
      <c r="J2607">
        <v>0</v>
      </c>
      <c r="K2607">
        <v>0</v>
      </c>
      <c r="L2607">
        <v>153</v>
      </c>
      <c r="M2607">
        <v>218</v>
      </c>
      <c r="N2607" t="s">
        <v>35</v>
      </c>
      <c r="O2607" s="3">
        <v>44517</v>
      </c>
      <c r="P2607">
        <v>-1</v>
      </c>
      <c r="T2607" t="s">
        <v>38</v>
      </c>
      <c r="U2607">
        <v>160</v>
      </c>
      <c r="V2607">
        <v>26.1</v>
      </c>
    </row>
    <row r="2608" spans="1:22" x14ac:dyDescent="0.35">
      <c r="A2608" s="3">
        <v>44299</v>
      </c>
      <c r="B2608" t="s">
        <v>39</v>
      </c>
      <c r="C2608">
        <v>0</v>
      </c>
      <c r="D2608">
        <v>0</v>
      </c>
      <c r="E2608">
        <v>0</v>
      </c>
      <c r="F2608">
        <v>0</v>
      </c>
      <c r="G2608">
        <v>23.1873</v>
      </c>
      <c r="H2608">
        <v>0</v>
      </c>
      <c r="I2608">
        <v>0</v>
      </c>
      <c r="J2608">
        <v>0</v>
      </c>
      <c r="K2608">
        <v>0</v>
      </c>
      <c r="L2608">
        <v>69</v>
      </c>
      <c r="M2608">
        <v>99</v>
      </c>
      <c r="N2608" t="s">
        <v>39</v>
      </c>
      <c r="O2608" s="3">
        <v>44398</v>
      </c>
      <c r="P2608">
        <v>-1</v>
      </c>
      <c r="S2608" s="3">
        <v>44196</v>
      </c>
      <c r="T2608" t="s">
        <v>45</v>
      </c>
      <c r="U2608">
        <v>12</v>
      </c>
      <c r="V2608">
        <v>23.675000000000001</v>
      </c>
    </row>
    <row r="2609" spans="1:22" x14ac:dyDescent="0.35">
      <c r="A2609" s="3">
        <v>44298</v>
      </c>
      <c r="B2609" t="s">
        <v>38</v>
      </c>
      <c r="C2609">
        <v>0</v>
      </c>
      <c r="D2609">
        <v>0</v>
      </c>
      <c r="E2609">
        <v>0</v>
      </c>
      <c r="F2609">
        <v>0</v>
      </c>
      <c r="G2609">
        <v>23.300599999999999</v>
      </c>
      <c r="H2609">
        <v>0</v>
      </c>
      <c r="I2609">
        <v>0</v>
      </c>
      <c r="J2609">
        <v>0</v>
      </c>
      <c r="K2609">
        <v>0</v>
      </c>
      <c r="L2609">
        <v>90</v>
      </c>
      <c r="M2609">
        <v>128</v>
      </c>
      <c r="N2609" t="s">
        <v>38</v>
      </c>
      <c r="O2609" s="3">
        <v>44426</v>
      </c>
      <c r="P2609">
        <v>-1</v>
      </c>
      <c r="T2609" t="s">
        <v>44</v>
      </c>
      <c r="U2609">
        <v>31</v>
      </c>
      <c r="V2609">
        <v>25.574999999999999</v>
      </c>
    </row>
    <row r="2610" spans="1:22" x14ac:dyDescent="0.35">
      <c r="A2610" s="3">
        <v>44298</v>
      </c>
      <c r="B2610" t="s">
        <v>34</v>
      </c>
      <c r="C2610">
        <v>0</v>
      </c>
      <c r="D2610">
        <v>0</v>
      </c>
      <c r="E2610">
        <v>0</v>
      </c>
      <c r="F2610">
        <v>0</v>
      </c>
      <c r="G2610">
        <v>23.45</v>
      </c>
      <c r="H2610">
        <v>0</v>
      </c>
      <c r="I2610">
        <v>0</v>
      </c>
      <c r="J2610">
        <v>0</v>
      </c>
      <c r="K2610">
        <v>0</v>
      </c>
      <c r="L2610">
        <v>178</v>
      </c>
      <c r="M2610">
        <v>254</v>
      </c>
      <c r="N2610" t="s">
        <v>34</v>
      </c>
      <c r="O2610" s="3">
        <v>44552</v>
      </c>
      <c r="P2610">
        <v>-1</v>
      </c>
      <c r="T2610" t="s">
        <v>43</v>
      </c>
      <c r="U2610">
        <v>51</v>
      </c>
      <c r="V2610">
        <v>25.774999999999999</v>
      </c>
    </row>
    <row r="2611" spans="1:22" x14ac:dyDescent="0.35">
      <c r="A2611" s="3">
        <v>44298</v>
      </c>
      <c r="B2611" t="s">
        <v>37</v>
      </c>
      <c r="C2611">
        <v>0</v>
      </c>
      <c r="D2611">
        <v>0</v>
      </c>
      <c r="E2611">
        <v>0</v>
      </c>
      <c r="F2611">
        <v>0</v>
      </c>
      <c r="G2611">
        <v>23.7818</v>
      </c>
      <c r="H2611">
        <v>0</v>
      </c>
      <c r="I2611">
        <v>0</v>
      </c>
      <c r="J2611">
        <v>0</v>
      </c>
      <c r="K2611">
        <v>0</v>
      </c>
      <c r="L2611">
        <v>109</v>
      </c>
      <c r="M2611">
        <v>156</v>
      </c>
      <c r="N2611" t="s">
        <v>37</v>
      </c>
      <c r="O2611" s="3">
        <v>44454</v>
      </c>
      <c r="P2611">
        <v>-1</v>
      </c>
      <c r="T2611" t="s">
        <v>42</v>
      </c>
      <c r="U2611">
        <v>76</v>
      </c>
      <c r="V2611">
        <v>25.95</v>
      </c>
    </row>
    <row r="2612" spans="1:22" x14ac:dyDescent="0.35">
      <c r="A2612" s="3">
        <v>44298</v>
      </c>
      <c r="B2612" t="s">
        <v>42</v>
      </c>
      <c r="C2612">
        <v>0</v>
      </c>
      <c r="D2612">
        <v>0</v>
      </c>
      <c r="E2612">
        <v>0</v>
      </c>
      <c r="F2612">
        <v>0</v>
      </c>
      <c r="G2612">
        <v>18.003900000000002</v>
      </c>
      <c r="H2612">
        <v>0</v>
      </c>
      <c r="I2612">
        <v>0</v>
      </c>
      <c r="J2612">
        <v>0</v>
      </c>
      <c r="K2612">
        <v>0</v>
      </c>
      <c r="L2612">
        <v>7</v>
      </c>
      <c r="M2612">
        <v>9</v>
      </c>
      <c r="N2612" t="s">
        <v>42</v>
      </c>
      <c r="O2612" s="3">
        <v>44307</v>
      </c>
      <c r="P2612">
        <v>-1</v>
      </c>
      <c r="T2612" t="s">
        <v>41</v>
      </c>
      <c r="U2612">
        <v>96</v>
      </c>
      <c r="V2612">
        <v>25.925000000000001</v>
      </c>
    </row>
    <row r="2613" spans="1:22" x14ac:dyDescent="0.35">
      <c r="A2613" s="3">
        <v>44298</v>
      </c>
      <c r="B2613" t="s">
        <v>41</v>
      </c>
      <c r="C2613">
        <v>0</v>
      </c>
      <c r="D2613">
        <v>0</v>
      </c>
      <c r="E2613">
        <v>0</v>
      </c>
      <c r="F2613">
        <v>0</v>
      </c>
      <c r="G2613">
        <v>20.565300000000001</v>
      </c>
      <c r="H2613">
        <v>0</v>
      </c>
      <c r="I2613">
        <v>0</v>
      </c>
      <c r="J2613">
        <v>0</v>
      </c>
      <c r="K2613">
        <v>0</v>
      </c>
      <c r="L2613">
        <v>27</v>
      </c>
      <c r="M2613">
        <v>37</v>
      </c>
      <c r="N2613" t="s">
        <v>41</v>
      </c>
      <c r="O2613" s="3">
        <v>44335</v>
      </c>
      <c r="P2613">
        <v>-1</v>
      </c>
      <c r="T2613" t="s">
        <v>40</v>
      </c>
      <c r="U2613">
        <v>115</v>
      </c>
      <c r="V2613">
        <v>25.925000000000001</v>
      </c>
    </row>
    <row r="2614" spans="1:22" x14ac:dyDescent="0.35">
      <c r="A2614" s="3">
        <v>44298</v>
      </c>
      <c r="B2614" t="s">
        <v>40</v>
      </c>
      <c r="C2614">
        <v>0</v>
      </c>
      <c r="D2614">
        <v>0</v>
      </c>
      <c r="E2614">
        <v>0</v>
      </c>
      <c r="F2614">
        <v>0</v>
      </c>
      <c r="G2614">
        <v>22.05</v>
      </c>
      <c r="H2614">
        <v>0</v>
      </c>
      <c r="I2614">
        <v>0</v>
      </c>
      <c r="J2614">
        <v>0</v>
      </c>
      <c r="K2614">
        <v>0</v>
      </c>
      <c r="L2614">
        <v>46</v>
      </c>
      <c r="M2614">
        <v>65</v>
      </c>
      <c r="N2614" t="s">
        <v>40</v>
      </c>
      <c r="O2614" s="3">
        <v>44363</v>
      </c>
      <c r="P2614">
        <v>-1</v>
      </c>
      <c r="T2614" t="s">
        <v>39</v>
      </c>
      <c r="U2614">
        <v>139</v>
      </c>
      <c r="V2614">
        <v>26</v>
      </c>
    </row>
    <row r="2615" spans="1:22" x14ac:dyDescent="0.35">
      <c r="A2615" s="3">
        <v>44298</v>
      </c>
      <c r="B2615" t="s">
        <v>35</v>
      </c>
      <c r="C2615">
        <v>0</v>
      </c>
      <c r="D2615">
        <v>0</v>
      </c>
      <c r="E2615">
        <v>0</v>
      </c>
      <c r="F2615">
        <v>0</v>
      </c>
      <c r="G2615">
        <v>23.774999999999999</v>
      </c>
      <c r="H2615">
        <v>0</v>
      </c>
      <c r="I2615">
        <v>0</v>
      </c>
      <c r="J2615">
        <v>0</v>
      </c>
      <c r="K2615">
        <v>0</v>
      </c>
      <c r="L2615">
        <v>154</v>
      </c>
      <c r="M2615">
        <v>219</v>
      </c>
      <c r="N2615" t="s">
        <v>35</v>
      </c>
      <c r="O2615" s="3">
        <v>44517</v>
      </c>
      <c r="P2615">
        <v>-1</v>
      </c>
      <c r="S2615" s="3">
        <v>44200</v>
      </c>
      <c r="T2615" t="s">
        <v>45</v>
      </c>
      <c r="U2615">
        <v>11</v>
      </c>
      <c r="V2615">
        <v>26.274999999999999</v>
      </c>
    </row>
    <row r="2616" spans="1:22" x14ac:dyDescent="0.35">
      <c r="A2616" s="3">
        <v>44298</v>
      </c>
      <c r="B2616" t="s">
        <v>39</v>
      </c>
      <c r="C2616">
        <v>0</v>
      </c>
      <c r="D2616">
        <v>0</v>
      </c>
      <c r="E2616">
        <v>0</v>
      </c>
      <c r="F2616">
        <v>0</v>
      </c>
      <c r="G2616">
        <v>23.007400000000001</v>
      </c>
      <c r="H2616">
        <v>0</v>
      </c>
      <c r="I2616">
        <v>0</v>
      </c>
      <c r="J2616">
        <v>0</v>
      </c>
      <c r="K2616">
        <v>0</v>
      </c>
      <c r="L2616">
        <v>70</v>
      </c>
      <c r="M2616">
        <v>100</v>
      </c>
      <c r="N2616" t="s">
        <v>39</v>
      </c>
      <c r="O2616" s="3">
        <v>44398</v>
      </c>
      <c r="P2616">
        <v>-1</v>
      </c>
      <c r="T2616" t="s">
        <v>44</v>
      </c>
      <c r="U2616">
        <v>30</v>
      </c>
      <c r="V2616">
        <v>27.125</v>
      </c>
    </row>
    <row r="2617" spans="1:22" x14ac:dyDescent="0.35">
      <c r="A2617" s="3">
        <v>44298</v>
      </c>
      <c r="B2617" t="s">
        <v>36</v>
      </c>
      <c r="C2617">
        <v>0</v>
      </c>
      <c r="D2617">
        <v>0</v>
      </c>
      <c r="E2617">
        <v>0</v>
      </c>
      <c r="F2617">
        <v>0</v>
      </c>
      <c r="G2617">
        <v>23.95</v>
      </c>
      <c r="H2617">
        <v>0</v>
      </c>
      <c r="I2617">
        <v>0</v>
      </c>
      <c r="J2617">
        <v>0</v>
      </c>
      <c r="K2617">
        <v>0</v>
      </c>
      <c r="L2617">
        <v>134</v>
      </c>
      <c r="M2617">
        <v>191</v>
      </c>
      <c r="N2617" t="s">
        <v>36</v>
      </c>
      <c r="O2617" s="3">
        <v>44489</v>
      </c>
      <c r="P2617">
        <v>-1</v>
      </c>
      <c r="T2617" t="s">
        <v>43</v>
      </c>
      <c r="U2617">
        <v>50</v>
      </c>
      <c r="V2617">
        <v>26.875</v>
      </c>
    </row>
    <row r="2618" spans="1:22" x14ac:dyDescent="0.35">
      <c r="A2618" s="3">
        <v>44295</v>
      </c>
      <c r="B2618" t="s">
        <v>36</v>
      </c>
      <c r="C2618">
        <v>0</v>
      </c>
      <c r="D2618">
        <v>0</v>
      </c>
      <c r="E2618">
        <v>0</v>
      </c>
      <c r="F2618">
        <v>0</v>
      </c>
      <c r="G2618">
        <v>24.05</v>
      </c>
      <c r="H2618">
        <v>0</v>
      </c>
      <c r="I2618">
        <v>0</v>
      </c>
      <c r="J2618">
        <v>0</v>
      </c>
      <c r="K2618">
        <v>0</v>
      </c>
      <c r="L2618">
        <v>135</v>
      </c>
      <c r="M2618">
        <v>194</v>
      </c>
      <c r="N2618" t="s">
        <v>36</v>
      </c>
      <c r="O2618" s="3">
        <v>44489</v>
      </c>
      <c r="P2618">
        <v>-1</v>
      </c>
      <c r="T2618" t="s">
        <v>42</v>
      </c>
      <c r="U2618">
        <v>75</v>
      </c>
      <c r="V2618">
        <v>26.824999999999999</v>
      </c>
    </row>
    <row r="2619" spans="1:22" x14ac:dyDescent="0.35">
      <c r="A2619" s="3">
        <v>44295</v>
      </c>
      <c r="B2619" t="s">
        <v>38</v>
      </c>
      <c r="C2619">
        <v>0</v>
      </c>
      <c r="D2619">
        <v>0</v>
      </c>
      <c r="E2619">
        <v>0</v>
      </c>
      <c r="F2619">
        <v>0</v>
      </c>
      <c r="G2619">
        <v>23.421299999999999</v>
      </c>
      <c r="H2619">
        <v>0</v>
      </c>
      <c r="I2619">
        <v>0</v>
      </c>
      <c r="J2619">
        <v>0</v>
      </c>
      <c r="K2619">
        <v>0</v>
      </c>
      <c r="L2619">
        <v>91</v>
      </c>
      <c r="M2619">
        <v>131</v>
      </c>
      <c r="N2619" t="s">
        <v>38</v>
      </c>
      <c r="O2619" s="3">
        <v>44426</v>
      </c>
      <c r="P2619">
        <v>-1</v>
      </c>
      <c r="T2619" t="s">
        <v>41</v>
      </c>
      <c r="U2619">
        <v>95</v>
      </c>
      <c r="V2619">
        <v>26.675000000000001</v>
      </c>
    </row>
    <row r="2620" spans="1:22" x14ac:dyDescent="0.35">
      <c r="A2620" s="3">
        <v>44295</v>
      </c>
      <c r="B2620" t="s">
        <v>34</v>
      </c>
      <c r="C2620">
        <v>0</v>
      </c>
      <c r="D2620">
        <v>0</v>
      </c>
      <c r="E2620">
        <v>0</v>
      </c>
      <c r="F2620">
        <v>0</v>
      </c>
      <c r="G2620">
        <v>23.5</v>
      </c>
      <c r="H2620">
        <v>0</v>
      </c>
      <c r="I2620">
        <v>0</v>
      </c>
      <c r="J2620">
        <v>0</v>
      </c>
      <c r="K2620">
        <v>0</v>
      </c>
      <c r="L2620">
        <v>179</v>
      </c>
      <c r="M2620">
        <v>257</v>
      </c>
      <c r="N2620" t="s">
        <v>34</v>
      </c>
      <c r="O2620" s="3">
        <v>44552</v>
      </c>
      <c r="P2620">
        <v>-1</v>
      </c>
      <c r="T2620" t="s">
        <v>40</v>
      </c>
      <c r="U2620">
        <v>114</v>
      </c>
      <c r="V2620">
        <v>26.524999999999999</v>
      </c>
    </row>
    <row r="2621" spans="1:22" x14ac:dyDescent="0.35">
      <c r="A2621" s="3">
        <v>44295</v>
      </c>
      <c r="B2621" t="s">
        <v>37</v>
      </c>
      <c r="C2621">
        <v>0</v>
      </c>
      <c r="D2621">
        <v>0</v>
      </c>
      <c r="E2621">
        <v>0</v>
      </c>
      <c r="F2621">
        <v>0</v>
      </c>
      <c r="G2621">
        <v>23.9</v>
      </c>
      <c r="H2621">
        <v>0</v>
      </c>
      <c r="I2621">
        <v>0</v>
      </c>
      <c r="J2621">
        <v>0</v>
      </c>
      <c r="K2621">
        <v>0</v>
      </c>
      <c r="L2621">
        <v>110</v>
      </c>
      <c r="M2621">
        <v>159</v>
      </c>
      <c r="N2621" t="s">
        <v>37</v>
      </c>
      <c r="O2621" s="3">
        <v>44454</v>
      </c>
      <c r="P2621">
        <v>-1</v>
      </c>
      <c r="T2621" t="s">
        <v>39</v>
      </c>
      <c r="U2621">
        <v>138</v>
      </c>
      <c r="V2621">
        <v>26.625</v>
      </c>
    </row>
    <row r="2622" spans="1:22" x14ac:dyDescent="0.35">
      <c r="A2622" s="3">
        <v>44295</v>
      </c>
      <c r="B2622" t="s">
        <v>42</v>
      </c>
      <c r="C2622">
        <v>0</v>
      </c>
      <c r="D2622">
        <v>0</v>
      </c>
      <c r="E2622">
        <v>0</v>
      </c>
      <c r="F2622">
        <v>0</v>
      </c>
      <c r="G2622">
        <v>18.150500000000001</v>
      </c>
      <c r="H2622">
        <v>0</v>
      </c>
      <c r="I2622">
        <v>0</v>
      </c>
      <c r="J2622">
        <v>0</v>
      </c>
      <c r="K2622">
        <v>0</v>
      </c>
      <c r="L2622">
        <v>8</v>
      </c>
      <c r="M2622">
        <v>12</v>
      </c>
      <c r="N2622" t="s">
        <v>42</v>
      </c>
      <c r="O2622" s="3">
        <v>44307</v>
      </c>
      <c r="P2622">
        <v>-1</v>
      </c>
      <c r="T2622" t="s">
        <v>38</v>
      </c>
      <c r="U2622">
        <v>158</v>
      </c>
      <c r="V2622">
        <v>26.524999999999999</v>
      </c>
    </row>
    <row r="2623" spans="1:22" x14ac:dyDescent="0.35">
      <c r="A2623" s="3">
        <v>44295</v>
      </c>
      <c r="B2623" t="s">
        <v>41</v>
      </c>
      <c r="C2623">
        <v>0</v>
      </c>
      <c r="D2623">
        <v>0</v>
      </c>
      <c r="E2623">
        <v>0</v>
      </c>
      <c r="F2623">
        <v>0</v>
      </c>
      <c r="G2623">
        <v>20.8262</v>
      </c>
      <c r="H2623">
        <v>0</v>
      </c>
      <c r="I2623">
        <v>0</v>
      </c>
      <c r="J2623">
        <v>0</v>
      </c>
      <c r="K2623">
        <v>0</v>
      </c>
      <c r="L2623">
        <v>28</v>
      </c>
      <c r="M2623">
        <v>40</v>
      </c>
      <c r="N2623" t="s">
        <v>41</v>
      </c>
      <c r="O2623" s="3">
        <v>44335</v>
      </c>
      <c r="P2623">
        <v>-1</v>
      </c>
      <c r="S2623" s="3">
        <v>44201</v>
      </c>
      <c r="T2623" t="s">
        <v>45</v>
      </c>
      <c r="U2623">
        <v>10</v>
      </c>
      <c r="V2623">
        <v>25.324999999999999</v>
      </c>
    </row>
    <row r="2624" spans="1:22" x14ac:dyDescent="0.35">
      <c r="A2624" s="3">
        <v>44295</v>
      </c>
      <c r="B2624" t="s">
        <v>40</v>
      </c>
      <c r="C2624">
        <v>0</v>
      </c>
      <c r="D2624">
        <v>0</v>
      </c>
      <c r="E2624">
        <v>0</v>
      </c>
      <c r="F2624">
        <v>0</v>
      </c>
      <c r="G2624">
        <v>22.231000000000002</v>
      </c>
      <c r="H2624">
        <v>0</v>
      </c>
      <c r="I2624">
        <v>0</v>
      </c>
      <c r="J2624">
        <v>0</v>
      </c>
      <c r="K2624">
        <v>0</v>
      </c>
      <c r="L2624">
        <v>47</v>
      </c>
      <c r="M2624">
        <v>68</v>
      </c>
      <c r="N2624" t="s">
        <v>40</v>
      </c>
      <c r="O2624" s="3">
        <v>44363</v>
      </c>
      <c r="P2624">
        <v>-1</v>
      </c>
      <c r="T2624" t="s">
        <v>44</v>
      </c>
      <c r="U2624">
        <v>29</v>
      </c>
      <c r="V2624">
        <v>26.425000000000001</v>
      </c>
    </row>
    <row r="2625" spans="1:22" x14ac:dyDescent="0.35">
      <c r="A2625" s="3">
        <v>44295</v>
      </c>
      <c r="B2625" t="s">
        <v>35</v>
      </c>
      <c r="C2625">
        <v>0</v>
      </c>
      <c r="D2625">
        <v>0</v>
      </c>
      <c r="E2625">
        <v>0</v>
      </c>
      <c r="F2625">
        <v>0</v>
      </c>
      <c r="G2625">
        <v>23.85</v>
      </c>
      <c r="H2625">
        <v>0</v>
      </c>
      <c r="I2625">
        <v>0</v>
      </c>
      <c r="J2625">
        <v>0</v>
      </c>
      <c r="K2625">
        <v>0</v>
      </c>
      <c r="L2625">
        <v>155</v>
      </c>
      <c r="M2625">
        <v>222</v>
      </c>
      <c r="N2625" t="s">
        <v>35</v>
      </c>
      <c r="O2625" s="3">
        <v>44517</v>
      </c>
      <c r="P2625">
        <v>-1</v>
      </c>
      <c r="T2625" t="s">
        <v>43</v>
      </c>
      <c r="U2625">
        <v>49</v>
      </c>
      <c r="V2625">
        <v>26.425000000000001</v>
      </c>
    </row>
    <row r="2626" spans="1:22" x14ac:dyDescent="0.35">
      <c r="A2626" s="3">
        <v>44295</v>
      </c>
      <c r="B2626" t="s">
        <v>39</v>
      </c>
      <c r="C2626">
        <v>0</v>
      </c>
      <c r="D2626">
        <v>0</v>
      </c>
      <c r="E2626">
        <v>0</v>
      </c>
      <c r="F2626">
        <v>0</v>
      </c>
      <c r="G2626">
        <v>23.1646</v>
      </c>
      <c r="H2626">
        <v>0</v>
      </c>
      <c r="I2626">
        <v>0</v>
      </c>
      <c r="J2626">
        <v>0</v>
      </c>
      <c r="K2626">
        <v>0</v>
      </c>
      <c r="L2626">
        <v>71</v>
      </c>
      <c r="M2626">
        <v>103</v>
      </c>
      <c r="N2626" t="s">
        <v>39</v>
      </c>
      <c r="O2626" s="3">
        <v>44398</v>
      </c>
      <c r="P2626">
        <v>-1</v>
      </c>
      <c r="T2626" t="s">
        <v>42</v>
      </c>
      <c r="U2626">
        <v>74</v>
      </c>
      <c r="V2626">
        <v>26.425000000000001</v>
      </c>
    </row>
    <row r="2627" spans="1:22" x14ac:dyDescent="0.35">
      <c r="A2627" s="3">
        <v>44294</v>
      </c>
      <c r="B2627" t="s">
        <v>38</v>
      </c>
      <c r="C2627">
        <v>0</v>
      </c>
      <c r="D2627">
        <v>0</v>
      </c>
      <c r="E2627">
        <v>0</v>
      </c>
      <c r="F2627">
        <v>0</v>
      </c>
      <c r="G2627">
        <v>23.35</v>
      </c>
      <c r="H2627">
        <v>0</v>
      </c>
      <c r="I2627">
        <v>0</v>
      </c>
      <c r="J2627">
        <v>0</v>
      </c>
      <c r="K2627">
        <v>0</v>
      </c>
      <c r="L2627">
        <v>92</v>
      </c>
      <c r="M2627">
        <v>132</v>
      </c>
      <c r="N2627" t="s">
        <v>38</v>
      </c>
      <c r="O2627" s="3">
        <v>44426</v>
      </c>
      <c r="P2627">
        <v>-1</v>
      </c>
      <c r="T2627" t="s">
        <v>41</v>
      </c>
      <c r="U2627">
        <v>94</v>
      </c>
      <c r="V2627">
        <v>26.225000000000001</v>
      </c>
    </row>
    <row r="2628" spans="1:22" x14ac:dyDescent="0.35">
      <c r="A2628" s="3">
        <v>44294</v>
      </c>
      <c r="B2628" t="s">
        <v>34</v>
      </c>
      <c r="C2628">
        <v>0</v>
      </c>
      <c r="D2628">
        <v>0</v>
      </c>
      <c r="E2628">
        <v>0</v>
      </c>
      <c r="F2628">
        <v>0</v>
      </c>
      <c r="G2628">
        <v>23.4</v>
      </c>
      <c r="H2628">
        <v>0</v>
      </c>
      <c r="I2628">
        <v>0</v>
      </c>
      <c r="J2628">
        <v>0</v>
      </c>
      <c r="K2628">
        <v>0</v>
      </c>
      <c r="L2628">
        <v>180</v>
      </c>
      <c r="M2628">
        <v>258</v>
      </c>
      <c r="N2628" t="s">
        <v>34</v>
      </c>
      <c r="O2628" s="3">
        <v>44552</v>
      </c>
      <c r="P2628">
        <v>-1</v>
      </c>
      <c r="T2628" t="s">
        <v>40</v>
      </c>
      <c r="U2628">
        <v>113</v>
      </c>
      <c r="V2628">
        <v>26.024999999999999</v>
      </c>
    </row>
    <row r="2629" spans="1:22" x14ac:dyDescent="0.35">
      <c r="A2629" s="3">
        <v>44294</v>
      </c>
      <c r="B2629" t="s">
        <v>37</v>
      </c>
      <c r="C2629">
        <v>0</v>
      </c>
      <c r="D2629">
        <v>0</v>
      </c>
      <c r="E2629">
        <v>0</v>
      </c>
      <c r="F2629">
        <v>0</v>
      </c>
      <c r="G2629">
        <v>23.8</v>
      </c>
      <c r="H2629">
        <v>0</v>
      </c>
      <c r="I2629">
        <v>0</v>
      </c>
      <c r="J2629">
        <v>0</v>
      </c>
      <c r="K2629">
        <v>0</v>
      </c>
      <c r="L2629">
        <v>111</v>
      </c>
      <c r="M2629">
        <v>160</v>
      </c>
      <c r="N2629" t="s">
        <v>37</v>
      </c>
      <c r="O2629" s="3">
        <v>44454</v>
      </c>
      <c r="P2629">
        <v>-1</v>
      </c>
      <c r="T2629" t="s">
        <v>39</v>
      </c>
      <c r="U2629">
        <v>137</v>
      </c>
      <c r="V2629">
        <v>26.15</v>
      </c>
    </row>
    <row r="2630" spans="1:22" x14ac:dyDescent="0.35">
      <c r="A2630" s="3">
        <v>44294</v>
      </c>
      <c r="B2630" t="s">
        <v>42</v>
      </c>
      <c r="C2630">
        <v>0</v>
      </c>
      <c r="D2630">
        <v>0</v>
      </c>
      <c r="E2630">
        <v>0</v>
      </c>
      <c r="F2630">
        <v>0</v>
      </c>
      <c r="G2630">
        <v>18.488700000000001</v>
      </c>
      <c r="H2630">
        <v>0</v>
      </c>
      <c r="I2630">
        <v>0</v>
      </c>
      <c r="J2630">
        <v>0</v>
      </c>
      <c r="K2630">
        <v>0</v>
      </c>
      <c r="L2630">
        <v>9</v>
      </c>
      <c r="M2630">
        <v>13</v>
      </c>
      <c r="N2630" t="s">
        <v>42</v>
      </c>
      <c r="O2630" s="3">
        <v>44307</v>
      </c>
      <c r="P2630">
        <v>-1</v>
      </c>
      <c r="T2630" t="s">
        <v>38</v>
      </c>
      <c r="U2630">
        <v>157</v>
      </c>
      <c r="V2630">
        <v>26.05</v>
      </c>
    </row>
    <row r="2631" spans="1:22" x14ac:dyDescent="0.35">
      <c r="A2631" s="3">
        <v>44294</v>
      </c>
      <c r="B2631" t="s">
        <v>41</v>
      </c>
      <c r="C2631">
        <v>0</v>
      </c>
      <c r="D2631">
        <v>0</v>
      </c>
      <c r="E2631">
        <v>0</v>
      </c>
      <c r="F2631">
        <v>0</v>
      </c>
      <c r="G2631">
        <v>20.805</v>
      </c>
      <c r="H2631">
        <v>0</v>
      </c>
      <c r="I2631">
        <v>0</v>
      </c>
      <c r="J2631">
        <v>0</v>
      </c>
      <c r="K2631">
        <v>0</v>
      </c>
      <c r="L2631">
        <v>29</v>
      </c>
      <c r="M2631">
        <v>41</v>
      </c>
      <c r="N2631" t="s">
        <v>41</v>
      </c>
      <c r="O2631" s="3">
        <v>44335</v>
      </c>
      <c r="P2631">
        <v>-1</v>
      </c>
      <c r="S2631" s="3">
        <v>44202</v>
      </c>
      <c r="T2631" t="s">
        <v>45</v>
      </c>
      <c r="U2631">
        <v>9</v>
      </c>
      <c r="V2631">
        <v>25.125</v>
      </c>
    </row>
    <row r="2632" spans="1:22" x14ac:dyDescent="0.35">
      <c r="A2632" s="3">
        <v>44294</v>
      </c>
      <c r="B2632" t="s">
        <v>40</v>
      </c>
      <c r="C2632">
        <v>0</v>
      </c>
      <c r="D2632">
        <v>0</v>
      </c>
      <c r="E2632">
        <v>0</v>
      </c>
      <c r="F2632">
        <v>0</v>
      </c>
      <c r="G2632">
        <v>22.1601</v>
      </c>
      <c r="H2632">
        <v>0</v>
      </c>
      <c r="I2632">
        <v>0</v>
      </c>
      <c r="J2632">
        <v>0</v>
      </c>
      <c r="K2632">
        <v>0</v>
      </c>
      <c r="L2632">
        <v>48</v>
      </c>
      <c r="M2632">
        <v>69</v>
      </c>
      <c r="N2632" t="s">
        <v>40</v>
      </c>
      <c r="O2632" s="3">
        <v>44363</v>
      </c>
      <c r="P2632">
        <v>-1</v>
      </c>
      <c r="T2632" t="s">
        <v>44</v>
      </c>
      <c r="U2632">
        <v>28</v>
      </c>
      <c r="V2632">
        <v>26.274999999999999</v>
      </c>
    </row>
    <row r="2633" spans="1:22" x14ac:dyDescent="0.35">
      <c r="A2633" s="3">
        <v>44294</v>
      </c>
      <c r="B2633" t="s">
        <v>35</v>
      </c>
      <c r="C2633">
        <v>0</v>
      </c>
      <c r="D2633">
        <v>0</v>
      </c>
      <c r="E2633">
        <v>0</v>
      </c>
      <c r="F2633">
        <v>0</v>
      </c>
      <c r="G2633">
        <v>23.75</v>
      </c>
      <c r="H2633">
        <v>0</v>
      </c>
      <c r="I2633">
        <v>0</v>
      </c>
      <c r="J2633">
        <v>0</v>
      </c>
      <c r="K2633">
        <v>0</v>
      </c>
      <c r="L2633">
        <v>156</v>
      </c>
      <c r="M2633">
        <v>223</v>
      </c>
      <c r="N2633" t="s">
        <v>35</v>
      </c>
      <c r="O2633" s="3">
        <v>44517</v>
      </c>
      <c r="P2633">
        <v>-1</v>
      </c>
      <c r="T2633" t="s">
        <v>43</v>
      </c>
      <c r="U2633">
        <v>48</v>
      </c>
      <c r="V2633">
        <v>26.274999999999999</v>
      </c>
    </row>
    <row r="2634" spans="1:22" x14ac:dyDescent="0.35">
      <c r="A2634" s="3">
        <v>44294</v>
      </c>
      <c r="B2634" t="s">
        <v>39</v>
      </c>
      <c r="C2634">
        <v>0</v>
      </c>
      <c r="D2634">
        <v>0</v>
      </c>
      <c r="E2634">
        <v>0</v>
      </c>
      <c r="F2634">
        <v>0</v>
      </c>
      <c r="G2634">
        <v>23.05</v>
      </c>
      <c r="H2634">
        <v>0</v>
      </c>
      <c r="I2634">
        <v>0</v>
      </c>
      <c r="J2634">
        <v>0</v>
      </c>
      <c r="K2634">
        <v>0</v>
      </c>
      <c r="L2634">
        <v>72</v>
      </c>
      <c r="M2634">
        <v>104</v>
      </c>
      <c r="N2634" t="s">
        <v>39</v>
      </c>
      <c r="O2634" s="3">
        <v>44398</v>
      </c>
      <c r="P2634">
        <v>-1</v>
      </c>
      <c r="T2634" t="s">
        <v>42</v>
      </c>
      <c r="U2634">
        <v>73</v>
      </c>
      <c r="V2634">
        <v>26.225000000000001</v>
      </c>
    </row>
    <row r="2635" spans="1:22" x14ac:dyDescent="0.35">
      <c r="A2635" s="3">
        <v>44294</v>
      </c>
      <c r="B2635" t="s">
        <v>36</v>
      </c>
      <c r="C2635">
        <v>0</v>
      </c>
      <c r="D2635">
        <v>0</v>
      </c>
      <c r="E2635">
        <v>0</v>
      </c>
      <c r="F2635">
        <v>0</v>
      </c>
      <c r="G2635">
        <v>23.95</v>
      </c>
      <c r="H2635">
        <v>0</v>
      </c>
      <c r="I2635">
        <v>0</v>
      </c>
      <c r="J2635">
        <v>0</v>
      </c>
      <c r="K2635">
        <v>0</v>
      </c>
      <c r="L2635">
        <v>136</v>
      </c>
      <c r="M2635">
        <v>195</v>
      </c>
      <c r="N2635" t="s">
        <v>36</v>
      </c>
      <c r="O2635" s="3">
        <v>44489</v>
      </c>
      <c r="P2635">
        <v>-1</v>
      </c>
      <c r="T2635" t="s">
        <v>41</v>
      </c>
      <c r="U2635">
        <v>93</v>
      </c>
      <c r="V2635">
        <v>25.975000000000001</v>
      </c>
    </row>
    <row r="2636" spans="1:22" x14ac:dyDescent="0.35">
      <c r="A2636" s="3">
        <v>44293</v>
      </c>
      <c r="B2636" t="s">
        <v>36</v>
      </c>
      <c r="C2636">
        <v>0</v>
      </c>
      <c r="D2636">
        <v>0</v>
      </c>
      <c r="E2636">
        <v>0</v>
      </c>
      <c r="F2636">
        <v>0</v>
      </c>
      <c r="G2636">
        <v>23.9529</v>
      </c>
      <c r="H2636">
        <v>0</v>
      </c>
      <c r="I2636">
        <v>0</v>
      </c>
      <c r="J2636">
        <v>0</v>
      </c>
      <c r="K2636">
        <v>0</v>
      </c>
      <c r="L2636">
        <v>137</v>
      </c>
      <c r="M2636">
        <v>196</v>
      </c>
      <c r="N2636" t="s">
        <v>36</v>
      </c>
      <c r="O2636" s="3">
        <v>44489</v>
      </c>
      <c r="P2636">
        <v>-1</v>
      </c>
      <c r="T2636" t="s">
        <v>40</v>
      </c>
      <c r="U2636">
        <v>112</v>
      </c>
      <c r="V2636">
        <v>25.774999999999999</v>
      </c>
    </row>
    <row r="2637" spans="1:22" x14ac:dyDescent="0.35">
      <c r="A2637" s="3">
        <v>44293</v>
      </c>
      <c r="B2637" t="s">
        <v>38</v>
      </c>
      <c r="C2637">
        <v>0</v>
      </c>
      <c r="D2637">
        <v>0</v>
      </c>
      <c r="E2637">
        <v>0</v>
      </c>
      <c r="F2637">
        <v>0</v>
      </c>
      <c r="G2637">
        <v>23.3</v>
      </c>
      <c r="H2637">
        <v>0</v>
      </c>
      <c r="I2637">
        <v>0</v>
      </c>
      <c r="J2637">
        <v>0</v>
      </c>
      <c r="K2637">
        <v>0</v>
      </c>
      <c r="L2637">
        <v>93</v>
      </c>
      <c r="M2637">
        <v>133</v>
      </c>
      <c r="N2637" t="s">
        <v>38</v>
      </c>
      <c r="O2637" s="3">
        <v>44426</v>
      </c>
      <c r="P2637">
        <v>-1</v>
      </c>
      <c r="T2637" t="s">
        <v>39</v>
      </c>
      <c r="U2637">
        <v>136</v>
      </c>
      <c r="V2637">
        <v>25.9</v>
      </c>
    </row>
    <row r="2638" spans="1:22" x14ac:dyDescent="0.35">
      <c r="A2638" s="3">
        <v>44293</v>
      </c>
      <c r="B2638" t="s">
        <v>34</v>
      </c>
      <c r="C2638">
        <v>0</v>
      </c>
      <c r="D2638">
        <v>0</v>
      </c>
      <c r="E2638">
        <v>0</v>
      </c>
      <c r="F2638">
        <v>0</v>
      </c>
      <c r="G2638">
        <v>23.45</v>
      </c>
      <c r="H2638">
        <v>0</v>
      </c>
      <c r="I2638">
        <v>0</v>
      </c>
      <c r="J2638">
        <v>0</v>
      </c>
      <c r="K2638">
        <v>0</v>
      </c>
      <c r="L2638">
        <v>181</v>
      </c>
      <c r="M2638">
        <v>259</v>
      </c>
      <c r="N2638" t="s">
        <v>34</v>
      </c>
      <c r="O2638" s="3">
        <v>44552</v>
      </c>
      <c r="P2638">
        <v>-1</v>
      </c>
      <c r="T2638" t="s">
        <v>38</v>
      </c>
      <c r="U2638">
        <v>156</v>
      </c>
      <c r="V2638">
        <v>25.824999999999999</v>
      </c>
    </row>
    <row r="2639" spans="1:22" x14ac:dyDescent="0.35">
      <c r="A2639" s="3">
        <v>44293</v>
      </c>
      <c r="B2639" t="s">
        <v>37</v>
      </c>
      <c r="C2639">
        <v>0</v>
      </c>
      <c r="D2639">
        <v>0</v>
      </c>
      <c r="E2639">
        <v>0</v>
      </c>
      <c r="F2639">
        <v>0</v>
      </c>
      <c r="G2639">
        <v>23.8</v>
      </c>
      <c r="H2639">
        <v>0</v>
      </c>
      <c r="I2639">
        <v>0</v>
      </c>
      <c r="J2639">
        <v>0</v>
      </c>
      <c r="K2639">
        <v>0</v>
      </c>
      <c r="L2639">
        <v>112</v>
      </c>
      <c r="M2639">
        <v>161</v>
      </c>
      <c r="N2639" t="s">
        <v>37</v>
      </c>
      <c r="O2639" s="3">
        <v>44454</v>
      </c>
      <c r="P2639">
        <v>-1</v>
      </c>
      <c r="S2639" s="3">
        <v>44203</v>
      </c>
      <c r="T2639" t="s">
        <v>45</v>
      </c>
      <c r="U2639">
        <v>8</v>
      </c>
      <c r="V2639">
        <v>23.225000000000001</v>
      </c>
    </row>
    <row r="2640" spans="1:22" x14ac:dyDescent="0.35">
      <c r="A2640" s="3">
        <v>44293</v>
      </c>
      <c r="B2640" t="s">
        <v>42</v>
      </c>
      <c r="C2640">
        <v>0</v>
      </c>
      <c r="D2640">
        <v>0</v>
      </c>
      <c r="E2640">
        <v>0</v>
      </c>
      <c r="F2640">
        <v>0</v>
      </c>
      <c r="G2640">
        <v>18.986000000000001</v>
      </c>
      <c r="H2640">
        <v>0</v>
      </c>
      <c r="I2640">
        <v>0</v>
      </c>
      <c r="J2640">
        <v>0</v>
      </c>
      <c r="K2640">
        <v>0</v>
      </c>
      <c r="L2640">
        <v>10</v>
      </c>
      <c r="M2640">
        <v>14</v>
      </c>
      <c r="N2640" t="s">
        <v>42</v>
      </c>
      <c r="O2640" s="3">
        <v>44307</v>
      </c>
      <c r="P2640">
        <v>-1</v>
      </c>
      <c r="T2640" t="s">
        <v>44</v>
      </c>
      <c r="U2640">
        <v>27</v>
      </c>
      <c r="V2640">
        <v>24.975000000000001</v>
      </c>
    </row>
    <row r="2641" spans="1:22" x14ac:dyDescent="0.35">
      <c r="A2641" s="3">
        <v>44293</v>
      </c>
      <c r="B2641" t="s">
        <v>41</v>
      </c>
      <c r="C2641">
        <v>0</v>
      </c>
      <c r="D2641">
        <v>0</v>
      </c>
      <c r="E2641">
        <v>0</v>
      </c>
      <c r="F2641">
        <v>0</v>
      </c>
      <c r="G2641">
        <v>21.0655</v>
      </c>
      <c r="H2641">
        <v>0</v>
      </c>
      <c r="I2641">
        <v>0</v>
      </c>
      <c r="J2641">
        <v>0</v>
      </c>
      <c r="K2641">
        <v>0</v>
      </c>
      <c r="L2641">
        <v>30</v>
      </c>
      <c r="M2641">
        <v>42</v>
      </c>
      <c r="N2641" t="s">
        <v>41</v>
      </c>
      <c r="O2641" s="3">
        <v>44335</v>
      </c>
      <c r="P2641">
        <v>-1</v>
      </c>
      <c r="T2641" t="s">
        <v>43</v>
      </c>
      <c r="U2641">
        <v>47</v>
      </c>
      <c r="V2641">
        <v>25.524999999999999</v>
      </c>
    </row>
    <row r="2642" spans="1:22" x14ac:dyDescent="0.35">
      <c r="A2642" s="3">
        <v>44293</v>
      </c>
      <c r="B2642" t="s">
        <v>40</v>
      </c>
      <c r="C2642">
        <v>0</v>
      </c>
      <c r="D2642">
        <v>0</v>
      </c>
      <c r="E2642">
        <v>0</v>
      </c>
      <c r="F2642">
        <v>0</v>
      </c>
      <c r="G2642">
        <v>22.296399999999998</v>
      </c>
      <c r="H2642">
        <v>0</v>
      </c>
      <c r="I2642">
        <v>0</v>
      </c>
      <c r="J2642">
        <v>0</v>
      </c>
      <c r="K2642">
        <v>0</v>
      </c>
      <c r="L2642">
        <v>49</v>
      </c>
      <c r="M2642">
        <v>70</v>
      </c>
      <c r="N2642" t="s">
        <v>40</v>
      </c>
      <c r="O2642" s="3">
        <v>44363</v>
      </c>
      <c r="P2642">
        <v>-1</v>
      </c>
      <c r="T2642" t="s">
        <v>42</v>
      </c>
      <c r="U2642">
        <v>72</v>
      </c>
      <c r="V2642">
        <v>25.725000000000001</v>
      </c>
    </row>
    <row r="2643" spans="1:22" x14ac:dyDescent="0.35">
      <c r="A2643" s="3">
        <v>44293</v>
      </c>
      <c r="B2643" t="s">
        <v>35</v>
      </c>
      <c r="C2643">
        <v>0</v>
      </c>
      <c r="D2643">
        <v>0</v>
      </c>
      <c r="E2643">
        <v>0</v>
      </c>
      <c r="F2643">
        <v>0</v>
      </c>
      <c r="G2643">
        <v>23.75</v>
      </c>
      <c r="H2643">
        <v>0</v>
      </c>
      <c r="I2643">
        <v>0</v>
      </c>
      <c r="J2643">
        <v>0</v>
      </c>
      <c r="K2643">
        <v>0</v>
      </c>
      <c r="L2643">
        <v>157</v>
      </c>
      <c r="M2643">
        <v>224</v>
      </c>
      <c r="N2643" t="s">
        <v>35</v>
      </c>
      <c r="O2643" s="3">
        <v>44517</v>
      </c>
      <c r="P2643">
        <v>-1</v>
      </c>
      <c r="T2643" t="s">
        <v>41</v>
      </c>
      <c r="U2643">
        <v>92</v>
      </c>
      <c r="V2643">
        <v>25.625</v>
      </c>
    </row>
    <row r="2644" spans="1:22" x14ac:dyDescent="0.35">
      <c r="A2644" s="3">
        <v>44293</v>
      </c>
      <c r="B2644" t="s">
        <v>39</v>
      </c>
      <c r="C2644">
        <v>0</v>
      </c>
      <c r="D2644">
        <v>0</v>
      </c>
      <c r="E2644">
        <v>0</v>
      </c>
      <c r="F2644">
        <v>0</v>
      </c>
      <c r="G2644">
        <v>23.1</v>
      </c>
      <c r="H2644">
        <v>0</v>
      </c>
      <c r="I2644">
        <v>0</v>
      </c>
      <c r="J2644">
        <v>0</v>
      </c>
      <c r="K2644">
        <v>0</v>
      </c>
      <c r="L2644">
        <v>73</v>
      </c>
      <c r="M2644">
        <v>105</v>
      </c>
      <c r="N2644" t="s">
        <v>39</v>
      </c>
      <c r="O2644" s="3">
        <v>44398</v>
      </c>
      <c r="P2644">
        <v>-1</v>
      </c>
      <c r="T2644" t="s">
        <v>40</v>
      </c>
      <c r="U2644">
        <v>111</v>
      </c>
      <c r="V2644">
        <v>25.574999999999999</v>
      </c>
    </row>
    <row r="2645" spans="1:22" x14ac:dyDescent="0.35">
      <c r="A2645" s="3">
        <v>44292</v>
      </c>
      <c r="B2645" t="s">
        <v>38</v>
      </c>
      <c r="C2645">
        <v>0</v>
      </c>
      <c r="D2645">
        <v>0</v>
      </c>
      <c r="E2645">
        <v>0</v>
      </c>
      <c r="F2645">
        <v>0</v>
      </c>
      <c r="G2645">
        <v>23.47</v>
      </c>
      <c r="H2645">
        <v>0</v>
      </c>
      <c r="I2645">
        <v>0</v>
      </c>
      <c r="J2645">
        <v>0</v>
      </c>
      <c r="K2645">
        <v>0</v>
      </c>
      <c r="L2645">
        <v>94</v>
      </c>
      <c r="M2645">
        <v>134</v>
      </c>
      <c r="N2645" t="s">
        <v>38</v>
      </c>
      <c r="O2645" s="3">
        <v>44426</v>
      </c>
      <c r="P2645">
        <v>-1</v>
      </c>
      <c r="T2645" t="s">
        <v>39</v>
      </c>
      <c r="U2645">
        <v>135</v>
      </c>
      <c r="V2645">
        <v>25.625</v>
      </c>
    </row>
    <row r="2646" spans="1:22" x14ac:dyDescent="0.35">
      <c r="A2646" s="3">
        <v>44292</v>
      </c>
      <c r="B2646" t="s">
        <v>34</v>
      </c>
      <c r="C2646">
        <v>0</v>
      </c>
      <c r="D2646">
        <v>0</v>
      </c>
      <c r="E2646">
        <v>0</v>
      </c>
      <c r="F2646">
        <v>0</v>
      </c>
      <c r="G2646">
        <v>23.774999999999999</v>
      </c>
      <c r="H2646">
        <v>0</v>
      </c>
      <c r="I2646">
        <v>0</v>
      </c>
      <c r="J2646">
        <v>0</v>
      </c>
      <c r="K2646">
        <v>0</v>
      </c>
      <c r="L2646">
        <v>182</v>
      </c>
      <c r="M2646">
        <v>260</v>
      </c>
      <c r="N2646" t="s">
        <v>34</v>
      </c>
      <c r="O2646" s="3">
        <v>44552</v>
      </c>
      <c r="P2646">
        <v>-1</v>
      </c>
      <c r="T2646" t="s">
        <v>38</v>
      </c>
      <c r="U2646">
        <v>155</v>
      </c>
      <c r="V2646">
        <v>25.5</v>
      </c>
    </row>
    <row r="2647" spans="1:22" x14ac:dyDescent="0.35">
      <c r="A2647" s="3">
        <v>44292</v>
      </c>
      <c r="B2647" t="s">
        <v>37</v>
      </c>
      <c r="C2647">
        <v>0</v>
      </c>
      <c r="D2647">
        <v>0</v>
      </c>
      <c r="E2647">
        <v>0</v>
      </c>
      <c r="F2647">
        <v>0</v>
      </c>
      <c r="G2647">
        <v>23.95</v>
      </c>
      <c r="H2647">
        <v>0</v>
      </c>
      <c r="I2647">
        <v>0</v>
      </c>
      <c r="J2647">
        <v>0</v>
      </c>
      <c r="K2647">
        <v>0</v>
      </c>
      <c r="L2647">
        <v>113</v>
      </c>
      <c r="M2647">
        <v>162</v>
      </c>
      <c r="N2647" t="s">
        <v>37</v>
      </c>
      <c r="O2647" s="3">
        <v>44454</v>
      </c>
      <c r="P2647">
        <v>-1</v>
      </c>
      <c r="S2647" s="3">
        <v>44204</v>
      </c>
      <c r="T2647" t="s">
        <v>45</v>
      </c>
      <c r="U2647">
        <v>7</v>
      </c>
      <c r="V2647">
        <v>22.774999999999999</v>
      </c>
    </row>
    <row r="2648" spans="1:22" x14ac:dyDescent="0.35">
      <c r="A2648" s="3">
        <v>44292</v>
      </c>
      <c r="B2648" t="s">
        <v>42</v>
      </c>
      <c r="C2648">
        <v>0</v>
      </c>
      <c r="D2648">
        <v>0</v>
      </c>
      <c r="E2648">
        <v>0</v>
      </c>
      <c r="F2648">
        <v>0</v>
      </c>
      <c r="G2648">
        <v>19.561</v>
      </c>
      <c r="H2648">
        <v>0</v>
      </c>
      <c r="I2648">
        <v>0</v>
      </c>
      <c r="J2648">
        <v>0</v>
      </c>
      <c r="K2648">
        <v>0</v>
      </c>
      <c r="L2648">
        <v>11</v>
      </c>
      <c r="M2648">
        <v>15</v>
      </c>
      <c r="N2648" t="s">
        <v>42</v>
      </c>
      <c r="O2648" s="3">
        <v>44307</v>
      </c>
      <c r="P2648">
        <v>-1</v>
      </c>
      <c r="T2648" t="s">
        <v>44</v>
      </c>
      <c r="U2648">
        <v>26</v>
      </c>
      <c r="V2648">
        <v>24.824999999999999</v>
      </c>
    </row>
    <row r="2649" spans="1:22" x14ac:dyDescent="0.35">
      <c r="A2649" s="3">
        <v>44292</v>
      </c>
      <c r="B2649" t="s">
        <v>41</v>
      </c>
      <c r="C2649">
        <v>0</v>
      </c>
      <c r="D2649">
        <v>0</v>
      </c>
      <c r="E2649">
        <v>0</v>
      </c>
      <c r="F2649">
        <v>0</v>
      </c>
      <c r="G2649">
        <v>21.4864</v>
      </c>
      <c r="H2649">
        <v>0</v>
      </c>
      <c r="I2649">
        <v>0</v>
      </c>
      <c r="J2649">
        <v>0</v>
      </c>
      <c r="K2649">
        <v>0</v>
      </c>
      <c r="L2649">
        <v>31</v>
      </c>
      <c r="M2649">
        <v>43</v>
      </c>
      <c r="N2649" t="s">
        <v>41</v>
      </c>
      <c r="O2649" s="3">
        <v>44335</v>
      </c>
      <c r="P2649">
        <v>-1</v>
      </c>
      <c r="T2649" t="s">
        <v>43</v>
      </c>
      <c r="U2649">
        <v>46</v>
      </c>
      <c r="V2649">
        <v>25.274999999999999</v>
      </c>
    </row>
    <row r="2650" spans="1:22" x14ac:dyDescent="0.35">
      <c r="A2650" s="3">
        <v>44292</v>
      </c>
      <c r="B2650" t="s">
        <v>40</v>
      </c>
      <c r="C2650">
        <v>0</v>
      </c>
      <c r="D2650">
        <v>0</v>
      </c>
      <c r="E2650">
        <v>0</v>
      </c>
      <c r="F2650">
        <v>0</v>
      </c>
      <c r="G2650">
        <v>22.542200000000001</v>
      </c>
      <c r="H2650">
        <v>0</v>
      </c>
      <c r="I2650">
        <v>0</v>
      </c>
      <c r="J2650">
        <v>0</v>
      </c>
      <c r="K2650">
        <v>0</v>
      </c>
      <c r="L2650">
        <v>50</v>
      </c>
      <c r="M2650">
        <v>71</v>
      </c>
      <c r="N2650" t="s">
        <v>40</v>
      </c>
      <c r="O2650" s="3">
        <v>44363</v>
      </c>
      <c r="P2650">
        <v>-1</v>
      </c>
      <c r="T2650" t="s">
        <v>42</v>
      </c>
      <c r="U2650">
        <v>71</v>
      </c>
      <c r="V2650">
        <v>25.574999999999999</v>
      </c>
    </row>
    <row r="2651" spans="1:22" x14ac:dyDescent="0.35">
      <c r="A2651" s="3">
        <v>44292</v>
      </c>
      <c r="B2651" t="s">
        <v>35</v>
      </c>
      <c r="C2651">
        <v>0</v>
      </c>
      <c r="D2651">
        <v>0</v>
      </c>
      <c r="E2651">
        <v>0</v>
      </c>
      <c r="F2651">
        <v>0</v>
      </c>
      <c r="G2651">
        <v>24</v>
      </c>
      <c r="H2651">
        <v>0</v>
      </c>
      <c r="I2651">
        <v>0</v>
      </c>
      <c r="J2651">
        <v>0</v>
      </c>
      <c r="K2651">
        <v>0</v>
      </c>
      <c r="L2651">
        <v>158</v>
      </c>
      <c r="M2651">
        <v>225</v>
      </c>
      <c r="N2651" t="s">
        <v>35</v>
      </c>
      <c r="O2651" s="3">
        <v>44517</v>
      </c>
      <c r="P2651">
        <v>-1</v>
      </c>
      <c r="T2651" t="s">
        <v>41</v>
      </c>
      <c r="U2651">
        <v>91</v>
      </c>
      <c r="V2651">
        <v>25.574999999999999</v>
      </c>
    </row>
    <row r="2652" spans="1:22" x14ac:dyDescent="0.35">
      <c r="A2652" s="3">
        <v>44292</v>
      </c>
      <c r="B2652" t="s">
        <v>39</v>
      </c>
      <c r="C2652">
        <v>0</v>
      </c>
      <c r="D2652">
        <v>0</v>
      </c>
      <c r="E2652">
        <v>0</v>
      </c>
      <c r="F2652">
        <v>0</v>
      </c>
      <c r="G2652">
        <v>23.251799999999999</v>
      </c>
      <c r="H2652">
        <v>0</v>
      </c>
      <c r="I2652">
        <v>0</v>
      </c>
      <c r="J2652">
        <v>0</v>
      </c>
      <c r="K2652">
        <v>0</v>
      </c>
      <c r="L2652">
        <v>74</v>
      </c>
      <c r="M2652">
        <v>106</v>
      </c>
      <c r="N2652" t="s">
        <v>39</v>
      </c>
      <c r="O2652" s="3">
        <v>44398</v>
      </c>
      <c r="P2652">
        <v>-1</v>
      </c>
      <c r="T2652" t="s">
        <v>40</v>
      </c>
      <c r="U2652">
        <v>110</v>
      </c>
      <c r="V2652">
        <v>25.524999999999999</v>
      </c>
    </row>
    <row r="2653" spans="1:22" x14ac:dyDescent="0.35">
      <c r="A2653" s="3">
        <v>44292</v>
      </c>
      <c r="B2653" t="s">
        <v>36</v>
      </c>
      <c r="C2653">
        <v>0</v>
      </c>
      <c r="D2653">
        <v>0</v>
      </c>
      <c r="E2653">
        <v>0</v>
      </c>
      <c r="F2653">
        <v>0</v>
      </c>
      <c r="G2653">
        <v>24.1</v>
      </c>
      <c r="H2653">
        <v>0</v>
      </c>
      <c r="I2653">
        <v>0</v>
      </c>
      <c r="J2653">
        <v>0</v>
      </c>
      <c r="K2653">
        <v>0</v>
      </c>
      <c r="L2653">
        <v>138</v>
      </c>
      <c r="M2653">
        <v>197</v>
      </c>
      <c r="N2653" t="s">
        <v>36</v>
      </c>
      <c r="O2653" s="3">
        <v>44489</v>
      </c>
      <c r="P2653">
        <v>-1</v>
      </c>
      <c r="T2653" t="s">
        <v>39</v>
      </c>
      <c r="U2653">
        <v>134</v>
      </c>
      <c r="V2653">
        <v>25.625</v>
      </c>
    </row>
    <row r="2654" spans="1:22" x14ac:dyDescent="0.35">
      <c r="A2654" s="3">
        <v>44291</v>
      </c>
      <c r="B2654" t="s">
        <v>36</v>
      </c>
      <c r="C2654">
        <v>0</v>
      </c>
      <c r="D2654">
        <v>0</v>
      </c>
      <c r="E2654">
        <v>0</v>
      </c>
      <c r="F2654">
        <v>0</v>
      </c>
      <c r="G2654">
        <v>24.2</v>
      </c>
      <c r="H2654">
        <v>0</v>
      </c>
      <c r="I2654">
        <v>0</v>
      </c>
      <c r="J2654">
        <v>0</v>
      </c>
      <c r="K2654">
        <v>0</v>
      </c>
      <c r="L2654">
        <v>139</v>
      </c>
      <c r="M2654">
        <v>198</v>
      </c>
      <c r="N2654" t="s">
        <v>36</v>
      </c>
      <c r="O2654" s="3">
        <v>44489</v>
      </c>
      <c r="P2654">
        <v>-1</v>
      </c>
      <c r="S2654" s="3">
        <v>44207</v>
      </c>
      <c r="T2654" t="s">
        <v>45</v>
      </c>
      <c r="U2654">
        <v>6</v>
      </c>
      <c r="V2654">
        <v>24.475000000000001</v>
      </c>
    </row>
    <row r="2655" spans="1:22" x14ac:dyDescent="0.35">
      <c r="A2655" s="3">
        <v>44291</v>
      </c>
      <c r="B2655" t="s">
        <v>38</v>
      </c>
      <c r="C2655">
        <v>0</v>
      </c>
      <c r="D2655">
        <v>0</v>
      </c>
      <c r="E2655">
        <v>0</v>
      </c>
      <c r="F2655">
        <v>0</v>
      </c>
      <c r="G2655">
        <v>23.5548</v>
      </c>
      <c r="H2655">
        <v>0</v>
      </c>
      <c r="I2655">
        <v>0</v>
      </c>
      <c r="J2655">
        <v>0</v>
      </c>
      <c r="K2655">
        <v>0</v>
      </c>
      <c r="L2655">
        <v>95</v>
      </c>
      <c r="M2655">
        <v>135</v>
      </c>
      <c r="N2655" t="s">
        <v>38</v>
      </c>
      <c r="O2655" s="3">
        <v>44426</v>
      </c>
      <c r="P2655">
        <v>-1</v>
      </c>
      <c r="T2655" t="s">
        <v>44</v>
      </c>
      <c r="U2655">
        <v>25</v>
      </c>
      <c r="V2655">
        <v>26.175000000000001</v>
      </c>
    </row>
    <row r="2656" spans="1:22" x14ac:dyDescent="0.35">
      <c r="A2656" s="3">
        <v>44291</v>
      </c>
      <c r="B2656" t="s">
        <v>34</v>
      </c>
      <c r="C2656">
        <v>0</v>
      </c>
      <c r="D2656">
        <v>0</v>
      </c>
      <c r="E2656">
        <v>0</v>
      </c>
      <c r="F2656">
        <v>0</v>
      </c>
      <c r="G2656">
        <v>23.774999999999999</v>
      </c>
      <c r="H2656">
        <v>0</v>
      </c>
      <c r="I2656">
        <v>0</v>
      </c>
      <c r="J2656">
        <v>0</v>
      </c>
      <c r="K2656">
        <v>0</v>
      </c>
      <c r="L2656">
        <v>183</v>
      </c>
      <c r="M2656">
        <v>261</v>
      </c>
      <c r="N2656" t="s">
        <v>34</v>
      </c>
      <c r="O2656" s="3">
        <v>44552</v>
      </c>
      <c r="P2656">
        <v>-1</v>
      </c>
      <c r="T2656" t="s">
        <v>43</v>
      </c>
      <c r="U2656">
        <v>45</v>
      </c>
      <c r="V2656">
        <v>26.475000000000001</v>
      </c>
    </row>
    <row r="2657" spans="1:22" x14ac:dyDescent="0.35">
      <c r="A2657" s="3">
        <v>44291</v>
      </c>
      <c r="B2657" t="s">
        <v>37</v>
      </c>
      <c r="C2657">
        <v>0</v>
      </c>
      <c r="D2657">
        <v>0</v>
      </c>
      <c r="E2657">
        <v>0</v>
      </c>
      <c r="F2657">
        <v>0</v>
      </c>
      <c r="G2657">
        <v>24.05</v>
      </c>
      <c r="H2657">
        <v>0</v>
      </c>
      <c r="I2657">
        <v>0</v>
      </c>
      <c r="J2657">
        <v>0</v>
      </c>
      <c r="K2657">
        <v>0</v>
      </c>
      <c r="L2657">
        <v>114</v>
      </c>
      <c r="M2657">
        <v>163</v>
      </c>
      <c r="N2657" t="s">
        <v>37</v>
      </c>
      <c r="O2657" s="3">
        <v>44454</v>
      </c>
      <c r="P2657">
        <v>-1</v>
      </c>
      <c r="T2657" t="s">
        <v>42</v>
      </c>
      <c r="U2657">
        <v>70</v>
      </c>
      <c r="V2657">
        <v>26.574999999999999</v>
      </c>
    </row>
    <row r="2658" spans="1:22" x14ac:dyDescent="0.35">
      <c r="A2658" s="3">
        <v>44291</v>
      </c>
      <c r="B2658" t="s">
        <v>42</v>
      </c>
      <c r="C2658">
        <v>0</v>
      </c>
      <c r="D2658">
        <v>0</v>
      </c>
      <c r="E2658">
        <v>0</v>
      </c>
      <c r="F2658">
        <v>0</v>
      </c>
      <c r="G2658">
        <v>19.542300000000001</v>
      </c>
      <c r="H2658">
        <v>0</v>
      </c>
      <c r="I2658">
        <v>0</v>
      </c>
      <c r="J2658">
        <v>0</v>
      </c>
      <c r="K2658">
        <v>0</v>
      </c>
      <c r="L2658">
        <v>12</v>
      </c>
      <c r="M2658">
        <v>16</v>
      </c>
      <c r="N2658" t="s">
        <v>42</v>
      </c>
      <c r="O2658" s="3">
        <v>44307</v>
      </c>
      <c r="P2658">
        <v>-1</v>
      </c>
      <c r="T2658" t="s">
        <v>41</v>
      </c>
      <c r="U2658">
        <v>90</v>
      </c>
      <c r="V2658">
        <v>26.5</v>
      </c>
    </row>
    <row r="2659" spans="1:22" x14ac:dyDescent="0.35">
      <c r="A2659" s="3">
        <v>44291</v>
      </c>
      <c r="B2659" t="s">
        <v>41</v>
      </c>
      <c r="C2659">
        <v>0</v>
      </c>
      <c r="D2659">
        <v>0</v>
      </c>
      <c r="E2659">
        <v>0</v>
      </c>
      <c r="F2659">
        <v>0</v>
      </c>
      <c r="G2659">
        <v>21.491399999999999</v>
      </c>
      <c r="H2659">
        <v>0</v>
      </c>
      <c r="I2659">
        <v>0</v>
      </c>
      <c r="J2659">
        <v>0</v>
      </c>
      <c r="K2659">
        <v>0</v>
      </c>
      <c r="L2659">
        <v>32</v>
      </c>
      <c r="M2659">
        <v>44</v>
      </c>
      <c r="N2659" t="s">
        <v>41</v>
      </c>
      <c r="O2659" s="3">
        <v>44335</v>
      </c>
      <c r="P2659">
        <v>-1</v>
      </c>
      <c r="T2659" t="s">
        <v>40</v>
      </c>
      <c r="U2659">
        <v>109</v>
      </c>
      <c r="V2659">
        <v>26.425000000000001</v>
      </c>
    </row>
    <row r="2660" spans="1:22" x14ac:dyDescent="0.35">
      <c r="A2660" s="3">
        <v>44291</v>
      </c>
      <c r="B2660" t="s">
        <v>40</v>
      </c>
      <c r="C2660">
        <v>0</v>
      </c>
      <c r="D2660">
        <v>0</v>
      </c>
      <c r="E2660">
        <v>0</v>
      </c>
      <c r="F2660">
        <v>0</v>
      </c>
      <c r="G2660">
        <v>22.6</v>
      </c>
      <c r="H2660">
        <v>0</v>
      </c>
      <c r="I2660">
        <v>0</v>
      </c>
      <c r="J2660">
        <v>0</v>
      </c>
      <c r="K2660">
        <v>0</v>
      </c>
      <c r="L2660">
        <v>51</v>
      </c>
      <c r="M2660">
        <v>72</v>
      </c>
      <c r="N2660" t="s">
        <v>40</v>
      </c>
      <c r="O2660" s="3">
        <v>44363</v>
      </c>
      <c r="P2660">
        <v>-1</v>
      </c>
      <c r="T2660" t="s">
        <v>39</v>
      </c>
      <c r="U2660">
        <v>133</v>
      </c>
      <c r="V2660">
        <v>26.5</v>
      </c>
    </row>
    <row r="2661" spans="1:22" x14ac:dyDescent="0.35">
      <c r="A2661" s="3">
        <v>44291</v>
      </c>
      <c r="B2661" t="s">
        <v>35</v>
      </c>
      <c r="C2661">
        <v>0</v>
      </c>
      <c r="D2661">
        <v>0</v>
      </c>
      <c r="E2661">
        <v>0</v>
      </c>
      <c r="F2661">
        <v>0</v>
      </c>
      <c r="G2661">
        <v>24.074999999999999</v>
      </c>
      <c r="H2661">
        <v>0</v>
      </c>
      <c r="I2661">
        <v>0</v>
      </c>
      <c r="J2661">
        <v>0</v>
      </c>
      <c r="K2661">
        <v>0</v>
      </c>
      <c r="L2661">
        <v>159</v>
      </c>
      <c r="M2661">
        <v>226</v>
      </c>
      <c r="N2661" t="s">
        <v>35</v>
      </c>
      <c r="O2661" s="3">
        <v>44517</v>
      </c>
      <c r="P2661">
        <v>-1</v>
      </c>
      <c r="T2661" t="s">
        <v>38</v>
      </c>
      <c r="U2661">
        <v>153</v>
      </c>
      <c r="V2661">
        <v>26.25</v>
      </c>
    </row>
    <row r="2662" spans="1:22" x14ac:dyDescent="0.35">
      <c r="A2662" s="3">
        <v>44291</v>
      </c>
      <c r="B2662" t="s">
        <v>39</v>
      </c>
      <c r="C2662">
        <v>0</v>
      </c>
      <c r="D2662">
        <v>0</v>
      </c>
      <c r="E2662">
        <v>0</v>
      </c>
      <c r="F2662">
        <v>0</v>
      </c>
      <c r="G2662">
        <v>23.35</v>
      </c>
      <c r="H2662">
        <v>0</v>
      </c>
      <c r="I2662">
        <v>0</v>
      </c>
      <c r="J2662">
        <v>0</v>
      </c>
      <c r="K2662">
        <v>0</v>
      </c>
      <c r="L2662">
        <v>75</v>
      </c>
      <c r="M2662">
        <v>107</v>
      </c>
      <c r="N2662" t="s">
        <v>39</v>
      </c>
      <c r="O2662" s="3">
        <v>44398</v>
      </c>
      <c r="P2662">
        <v>-1</v>
      </c>
      <c r="T2662" t="s">
        <v>37</v>
      </c>
      <c r="U2662">
        <v>172</v>
      </c>
      <c r="V2662">
        <v>25.2</v>
      </c>
    </row>
    <row r="2663" spans="1:22" x14ac:dyDescent="0.35">
      <c r="A2663" s="3">
        <v>44287</v>
      </c>
      <c r="B2663" t="s">
        <v>38</v>
      </c>
      <c r="C2663">
        <v>0</v>
      </c>
      <c r="D2663">
        <v>0</v>
      </c>
      <c r="E2663">
        <v>0</v>
      </c>
      <c r="F2663">
        <v>0</v>
      </c>
      <c r="G2663">
        <v>24.03</v>
      </c>
      <c r="H2663">
        <v>0</v>
      </c>
      <c r="I2663">
        <v>0</v>
      </c>
      <c r="J2663">
        <v>0</v>
      </c>
      <c r="K2663">
        <v>0</v>
      </c>
      <c r="L2663">
        <v>97</v>
      </c>
      <c r="M2663">
        <v>139</v>
      </c>
      <c r="N2663" t="s">
        <v>38</v>
      </c>
      <c r="O2663" s="3">
        <v>44426</v>
      </c>
      <c r="P2663">
        <v>-1</v>
      </c>
      <c r="S2663" s="3">
        <v>44208</v>
      </c>
      <c r="T2663" t="s">
        <v>45</v>
      </c>
      <c r="U2663">
        <v>5</v>
      </c>
      <c r="V2663">
        <v>23.324999999999999</v>
      </c>
    </row>
    <row r="2664" spans="1:22" x14ac:dyDescent="0.35">
      <c r="A2664" s="3">
        <v>44287</v>
      </c>
      <c r="B2664" t="s">
        <v>34</v>
      </c>
      <c r="C2664">
        <v>0</v>
      </c>
      <c r="D2664">
        <v>0</v>
      </c>
      <c r="E2664">
        <v>0</v>
      </c>
      <c r="F2664">
        <v>0</v>
      </c>
      <c r="G2664">
        <v>24.2</v>
      </c>
      <c r="H2664">
        <v>0</v>
      </c>
      <c r="I2664">
        <v>0</v>
      </c>
      <c r="J2664">
        <v>0</v>
      </c>
      <c r="K2664">
        <v>0</v>
      </c>
      <c r="L2664">
        <v>185</v>
      </c>
      <c r="M2664">
        <v>265</v>
      </c>
      <c r="N2664" t="s">
        <v>34</v>
      </c>
      <c r="O2664" s="3">
        <v>44552</v>
      </c>
      <c r="P2664">
        <v>-1</v>
      </c>
      <c r="T2664" t="s">
        <v>44</v>
      </c>
      <c r="U2664">
        <v>24</v>
      </c>
      <c r="V2664">
        <v>25.425000000000001</v>
      </c>
    </row>
    <row r="2665" spans="1:22" x14ac:dyDescent="0.35">
      <c r="A2665" s="3">
        <v>44287</v>
      </c>
      <c r="B2665" t="s">
        <v>37</v>
      </c>
      <c r="C2665">
        <v>0</v>
      </c>
      <c r="D2665">
        <v>0</v>
      </c>
      <c r="E2665">
        <v>0</v>
      </c>
      <c r="F2665">
        <v>0</v>
      </c>
      <c r="G2665">
        <v>24.478300000000001</v>
      </c>
      <c r="H2665">
        <v>0</v>
      </c>
      <c r="I2665">
        <v>0</v>
      </c>
      <c r="J2665">
        <v>0</v>
      </c>
      <c r="K2665">
        <v>0</v>
      </c>
      <c r="L2665">
        <v>116</v>
      </c>
      <c r="M2665">
        <v>167</v>
      </c>
      <c r="N2665" t="s">
        <v>37</v>
      </c>
      <c r="O2665" s="3">
        <v>44454</v>
      </c>
      <c r="P2665">
        <v>-1</v>
      </c>
      <c r="T2665" t="s">
        <v>43</v>
      </c>
      <c r="U2665">
        <v>44</v>
      </c>
      <c r="V2665">
        <v>25.875</v>
      </c>
    </row>
    <row r="2666" spans="1:22" x14ac:dyDescent="0.35">
      <c r="A2666" s="3">
        <v>44287</v>
      </c>
      <c r="B2666" t="s">
        <v>42</v>
      </c>
      <c r="C2666">
        <v>0</v>
      </c>
      <c r="D2666">
        <v>0</v>
      </c>
      <c r="E2666">
        <v>0</v>
      </c>
      <c r="F2666">
        <v>0</v>
      </c>
      <c r="G2666">
        <v>20.0824</v>
      </c>
      <c r="H2666">
        <v>0</v>
      </c>
      <c r="I2666">
        <v>0</v>
      </c>
      <c r="J2666">
        <v>0</v>
      </c>
      <c r="K2666">
        <v>0</v>
      </c>
      <c r="L2666">
        <v>14</v>
      </c>
      <c r="M2666">
        <v>20</v>
      </c>
      <c r="N2666" t="s">
        <v>42</v>
      </c>
      <c r="O2666" s="3">
        <v>44307</v>
      </c>
      <c r="P2666">
        <v>-1</v>
      </c>
      <c r="T2666" t="s">
        <v>42</v>
      </c>
      <c r="U2666">
        <v>69</v>
      </c>
      <c r="V2666">
        <v>26.225000000000001</v>
      </c>
    </row>
    <row r="2667" spans="1:22" x14ac:dyDescent="0.35">
      <c r="A2667" s="3">
        <v>44287</v>
      </c>
      <c r="B2667" t="s">
        <v>41</v>
      </c>
      <c r="C2667">
        <v>0</v>
      </c>
      <c r="D2667">
        <v>0</v>
      </c>
      <c r="E2667">
        <v>0</v>
      </c>
      <c r="F2667">
        <v>0</v>
      </c>
      <c r="G2667">
        <v>22.0336</v>
      </c>
      <c r="H2667">
        <v>0</v>
      </c>
      <c r="I2667">
        <v>0</v>
      </c>
      <c r="J2667">
        <v>0</v>
      </c>
      <c r="K2667">
        <v>0</v>
      </c>
      <c r="L2667">
        <v>34</v>
      </c>
      <c r="M2667">
        <v>48</v>
      </c>
      <c r="N2667" t="s">
        <v>41</v>
      </c>
      <c r="O2667" s="3">
        <v>44335</v>
      </c>
      <c r="P2667">
        <v>-1</v>
      </c>
      <c r="T2667" t="s">
        <v>41</v>
      </c>
      <c r="U2667">
        <v>89</v>
      </c>
      <c r="V2667">
        <v>26.175000000000001</v>
      </c>
    </row>
    <row r="2668" spans="1:22" x14ac:dyDescent="0.35">
      <c r="A2668" s="3">
        <v>44287</v>
      </c>
      <c r="B2668" t="s">
        <v>40</v>
      </c>
      <c r="C2668">
        <v>0</v>
      </c>
      <c r="D2668">
        <v>0</v>
      </c>
      <c r="E2668">
        <v>0</v>
      </c>
      <c r="F2668">
        <v>0</v>
      </c>
      <c r="G2668">
        <v>23.131</v>
      </c>
      <c r="H2668">
        <v>0</v>
      </c>
      <c r="I2668">
        <v>0</v>
      </c>
      <c r="J2668">
        <v>0</v>
      </c>
      <c r="K2668">
        <v>0</v>
      </c>
      <c r="L2668">
        <v>53</v>
      </c>
      <c r="M2668">
        <v>76</v>
      </c>
      <c r="N2668" t="s">
        <v>40</v>
      </c>
      <c r="O2668" s="3">
        <v>44363</v>
      </c>
      <c r="P2668">
        <v>-1</v>
      </c>
      <c r="T2668" t="s">
        <v>40</v>
      </c>
      <c r="U2668">
        <v>108</v>
      </c>
      <c r="V2668">
        <v>26.175000000000001</v>
      </c>
    </row>
    <row r="2669" spans="1:22" x14ac:dyDescent="0.35">
      <c r="A2669" s="3">
        <v>44287</v>
      </c>
      <c r="B2669" t="s">
        <v>35</v>
      </c>
      <c r="C2669">
        <v>0</v>
      </c>
      <c r="D2669">
        <v>0</v>
      </c>
      <c r="E2669">
        <v>0</v>
      </c>
      <c r="F2669">
        <v>0</v>
      </c>
      <c r="G2669">
        <v>24.4</v>
      </c>
      <c r="H2669">
        <v>0</v>
      </c>
      <c r="I2669">
        <v>0</v>
      </c>
      <c r="J2669">
        <v>0</v>
      </c>
      <c r="K2669">
        <v>0</v>
      </c>
      <c r="L2669">
        <v>161</v>
      </c>
      <c r="M2669">
        <v>230</v>
      </c>
      <c r="N2669" t="s">
        <v>35</v>
      </c>
      <c r="O2669" s="3">
        <v>44517</v>
      </c>
      <c r="P2669">
        <v>-1</v>
      </c>
      <c r="T2669" t="s">
        <v>39</v>
      </c>
      <c r="U2669">
        <v>132</v>
      </c>
      <c r="V2669">
        <v>26.274999999999999</v>
      </c>
    </row>
    <row r="2670" spans="1:22" x14ac:dyDescent="0.35">
      <c r="A2670" s="3">
        <v>44287</v>
      </c>
      <c r="B2670" t="s">
        <v>39</v>
      </c>
      <c r="C2670">
        <v>0</v>
      </c>
      <c r="D2670">
        <v>0</v>
      </c>
      <c r="E2670">
        <v>0</v>
      </c>
      <c r="F2670">
        <v>0</v>
      </c>
      <c r="G2670">
        <v>23.853899999999999</v>
      </c>
      <c r="H2670">
        <v>0</v>
      </c>
      <c r="I2670">
        <v>0</v>
      </c>
      <c r="J2670">
        <v>0</v>
      </c>
      <c r="K2670">
        <v>0</v>
      </c>
      <c r="L2670">
        <v>77</v>
      </c>
      <c r="M2670">
        <v>111</v>
      </c>
      <c r="N2670" t="s">
        <v>39</v>
      </c>
      <c r="O2670" s="3">
        <v>44398</v>
      </c>
      <c r="P2670">
        <v>-1</v>
      </c>
      <c r="T2670" t="s">
        <v>38</v>
      </c>
      <c r="U2670">
        <v>152</v>
      </c>
      <c r="V2670">
        <v>26.074999999999999</v>
      </c>
    </row>
    <row r="2671" spans="1:22" x14ac:dyDescent="0.35">
      <c r="A2671" s="3">
        <v>44287</v>
      </c>
      <c r="B2671" t="s">
        <v>36</v>
      </c>
      <c r="C2671">
        <v>0</v>
      </c>
      <c r="D2671">
        <v>0</v>
      </c>
      <c r="E2671">
        <v>0</v>
      </c>
      <c r="F2671">
        <v>0</v>
      </c>
      <c r="G2671">
        <v>24.573399999999999</v>
      </c>
      <c r="H2671">
        <v>0</v>
      </c>
      <c r="I2671">
        <v>0</v>
      </c>
      <c r="J2671">
        <v>0</v>
      </c>
      <c r="K2671">
        <v>0</v>
      </c>
      <c r="L2671">
        <v>141</v>
      </c>
      <c r="M2671">
        <v>202</v>
      </c>
      <c r="N2671" t="s">
        <v>36</v>
      </c>
      <c r="O2671" s="3">
        <v>44489</v>
      </c>
      <c r="P2671">
        <v>-1</v>
      </c>
      <c r="T2671" t="s">
        <v>37</v>
      </c>
      <c r="U2671">
        <v>171</v>
      </c>
      <c r="V2671">
        <v>26.05</v>
      </c>
    </row>
    <row r="2672" spans="1:22" x14ac:dyDescent="0.35">
      <c r="A2672" s="3">
        <v>44286</v>
      </c>
      <c r="B2672" t="s">
        <v>36</v>
      </c>
      <c r="C2672">
        <v>0</v>
      </c>
      <c r="D2672">
        <v>0</v>
      </c>
      <c r="E2672">
        <v>0</v>
      </c>
      <c r="F2672">
        <v>0</v>
      </c>
      <c r="G2672">
        <v>25.008299999999998</v>
      </c>
      <c r="H2672">
        <v>0</v>
      </c>
      <c r="I2672">
        <v>0</v>
      </c>
      <c r="J2672">
        <v>0</v>
      </c>
      <c r="K2672">
        <v>0</v>
      </c>
      <c r="L2672">
        <v>142</v>
      </c>
      <c r="M2672">
        <v>203</v>
      </c>
      <c r="N2672" t="s">
        <v>36</v>
      </c>
      <c r="O2672" s="3">
        <v>44489</v>
      </c>
      <c r="P2672">
        <v>-1</v>
      </c>
      <c r="S2672" s="3">
        <v>44209</v>
      </c>
      <c r="T2672" t="s">
        <v>45</v>
      </c>
      <c r="U2672">
        <v>4</v>
      </c>
      <c r="V2672">
        <v>22.675000000000001</v>
      </c>
    </row>
    <row r="2673" spans="1:22" x14ac:dyDescent="0.35">
      <c r="A2673" s="3">
        <v>44286</v>
      </c>
      <c r="B2673" t="s">
        <v>38</v>
      </c>
      <c r="C2673">
        <v>0</v>
      </c>
      <c r="D2673">
        <v>0</v>
      </c>
      <c r="E2673">
        <v>0</v>
      </c>
      <c r="F2673">
        <v>0</v>
      </c>
      <c r="G2673">
        <v>24.4511</v>
      </c>
      <c r="H2673">
        <v>0</v>
      </c>
      <c r="I2673">
        <v>0</v>
      </c>
      <c r="J2673">
        <v>0</v>
      </c>
      <c r="K2673">
        <v>0</v>
      </c>
      <c r="L2673">
        <v>98</v>
      </c>
      <c r="M2673">
        <v>140</v>
      </c>
      <c r="N2673" t="s">
        <v>38</v>
      </c>
      <c r="O2673" s="3">
        <v>44426</v>
      </c>
      <c r="P2673">
        <v>-1</v>
      </c>
      <c r="T2673" t="s">
        <v>44</v>
      </c>
      <c r="U2673">
        <v>23</v>
      </c>
      <c r="V2673">
        <v>25.074999999999999</v>
      </c>
    </row>
    <row r="2674" spans="1:22" x14ac:dyDescent="0.35">
      <c r="A2674" s="3">
        <v>44286</v>
      </c>
      <c r="B2674" t="s">
        <v>34</v>
      </c>
      <c r="C2674">
        <v>0</v>
      </c>
      <c r="D2674">
        <v>0</v>
      </c>
      <c r="E2674">
        <v>0</v>
      </c>
      <c r="F2674">
        <v>0</v>
      </c>
      <c r="G2674">
        <v>24.3</v>
      </c>
      <c r="H2674">
        <v>0</v>
      </c>
      <c r="I2674">
        <v>0</v>
      </c>
      <c r="J2674">
        <v>0</v>
      </c>
      <c r="K2674">
        <v>0</v>
      </c>
      <c r="L2674">
        <v>186</v>
      </c>
      <c r="M2674">
        <v>266</v>
      </c>
      <c r="N2674" t="s">
        <v>34</v>
      </c>
      <c r="O2674" s="3">
        <v>44552</v>
      </c>
      <c r="P2674">
        <v>-1</v>
      </c>
      <c r="T2674" t="s">
        <v>43</v>
      </c>
      <c r="U2674">
        <v>43</v>
      </c>
      <c r="V2674">
        <v>25.725000000000001</v>
      </c>
    </row>
    <row r="2675" spans="1:22" x14ac:dyDescent="0.35">
      <c r="A2675" s="3">
        <v>44286</v>
      </c>
      <c r="B2675" t="s">
        <v>37</v>
      </c>
      <c r="C2675">
        <v>0</v>
      </c>
      <c r="D2675">
        <v>0</v>
      </c>
      <c r="E2675">
        <v>0</v>
      </c>
      <c r="F2675">
        <v>0</v>
      </c>
      <c r="G2675">
        <v>24.851900000000001</v>
      </c>
      <c r="H2675">
        <v>0</v>
      </c>
      <c r="I2675">
        <v>0</v>
      </c>
      <c r="J2675">
        <v>0</v>
      </c>
      <c r="K2675">
        <v>0</v>
      </c>
      <c r="L2675">
        <v>117</v>
      </c>
      <c r="M2675">
        <v>168</v>
      </c>
      <c r="N2675" t="s">
        <v>37</v>
      </c>
      <c r="O2675" s="3">
        <v>44454</v>
      </c>
      <c r="P2675">
        <v>-1</v>
      </c>
      <c r="T2675" t="s">
        <v>42</v>
      </c>
      <c r="U2675">
        <v>68</v>
      </c>
      <c r="V2675">
        <v>26</v>
      </c>
    </row>
    <row r="2676" spans="1:22" x14ac:dyDescent="0.35">
      <c r="A2676" s="3">
        <v>44286</v>
      </c>
      <c r="B2676" t="s">
        <v>42</v>
      </c>
      <c r="C2676">
        <v>0</v>
      </c>
      <c r="D2676">
        <v>0</v>
      </c>
      <c r="E2676">
        <v>0</v>
      </c>
      <c r="F2676">
        <v>0</v>
      </c>
      <c r="G2676">
        <v>20.734000000000002</v>
      </c>
      <c r="H2676">
        <v>0</v>
      </c>
      <c r="I2676">
        <v>0</v>
      </c>
      <c r="J2676">
        <v>0</v>
      </c>
      <c r="K2676">
        <v>0</v>
      </c>
      <c r="L2676">
        <v>15</v>
      </c>
      <c r="M2676">
        <v>21</v>
      </c>
      <c r="N2676" t="s">
        <v>42</v>
      </c>
      <c r="O2676" s="3">
        <v>44307</v>
      </c>
      <c r="P2676">
        <v>-1</v>
      </c>
      <c r="T2676" t="s">
        <v>41</v>
      </c>
      <c r="U2676">
        <v>88</v>
      </c>
      <c r="V2676">
        <v>26</v>
      </c>
    </row>
    <row r="2677" spans="1:22" x14ac:dyDescent="0.35">
      <c r="A2677" s="3">
        <v>44286</v>
      </c>
      <c r="B2677" t="s">
        <v>41</v>
      </c>
      <c r="C2677">
        <v>0</v>
      </c>
      <c r="D2677">
        <v>0</v>
      </c>
      <c r="E2677">
        <v>0</v>
      </c>
      <c r="F2677">
        <v>0</v>
      </c>
      <c r="G2677">
        <v>22.675799999999999</v>
      </c>
      <c r="H2677">
        <v>0</v>
      </c>
      <c r="I2677">
        <v>0</v>
      </c>
      <c r="J2677">
        <v>0</v>
      </c>
      <c r="K2677">
        <v>0</v>
      </c>
      <c r="L2677">
        <v>35</v>
      </c>
      <c r="M2677">
        <v>49</v>
      </c>
      <c r="N2677" t="s">
        <v>41</v>
      </c>
      <c r="O2677" s="3">
        <v>44335</v>
      </c>
      <c r="P2677">
        <v>-1</v>
      </c>
      <c r="T2677" t="s">
        <v>40</v>
      </c>
      <c r="U2677">
        <v>107</v>
      </c>
      <c r="V2677">
        <v>25.975000000000001</v>
      </c>
    </row>
    <row r="2678" spans="1:22" x14ac:dyDescent="0.35">
      <c r="A2678" s="3">
        <v>44286</v>
      </c>
      <c r="B2678" t="s">
        <v>40</v>
      </c>
      <c r="C2678">
        <v>0</v>
      </c>
      <c r="D2678">
        <v>0</v>
      </c>
      <c r="E2678">
        <v>0</v>
      </c>
      <c r="F2678">
        <v>0</v>
      </c>
      <c r="G2678">
        <v>23.646699999999999</v>
      </c>
      <c r="H2678">
        <v>0</v>
      </c>
      <c r="I2678">
        <v>0</v>
      </c>
      <c r="J2678">
        <v>0</v>
      </c>
      <c r="K2678">
        <v>0</v>
      </c>
      <c r="L2678">
        <v>54</v>
      </c>
      <c r="M2678">
        <v>77</v>
      </c>
      <c r="N2678" t="s">
        <v>40</v>
      </c>
      <c r="O2678" s="3">
        <v>44363</v>
      </c>
      <c r="P2678">
        <v>-1</v>
      </c>
      <c r="T2678" t="s">
        <v>39</v>
      </c>
      <c r="U2678">
        <v>131</v>
      </c>
      <c r="V2678">
        <v>26.125</v>
      </c>
    </row>
    <row r="2679" spans="1:22" x14ac:dyDescent="0.35">
      <c r="A2679" s="3">
        <v>44286</v>
      </c>
      <c r="B2679" t="s">
        <v>35</v>
      </c>
      <c r="C2679">
        <v>0</v>
      </c>
      <c r="D2679">
        <v>0</v>
      </c>
      <c r="E2679">
        <v>0</v>
      </c>
      <c r="F2679">
        <v>0</v>
      </c>
      <c r="G2679">
        <v>24.8</v>
      </c>
      <c r="H2679">
        <v>0</v>
      </c>
      <c r="I2679">
        <v>0</v>
      </c>
      <c r="J2679">
        <v>0</v>
      </c>
      <c r="K2679">
        <v>0</v>
      </c>
      <c r="L2679">
        <v>162</v>
      </c>
      <c r="M2679">
        <v>231</v>
      </c>
      <c r="N2679" t="s">
        <v>35</v>
      </c>
      <c r="O2679" s="3">
        <v>44517</v>
      </c>
      <c r="P2679">
        <v>-1</v>
      </c>
      <c r="T2679" t="s">
        <v>38</v>
      </c>
      <c r="U2679">
        <v>151</v>
      </c>
      <c r="V2679">
        <v>25.875</v>
      </c>
    </row>
    <row r="2680" spans="1:22" x14ac:dyDescent="0.35">
      <c r="A2680" s="3">
        <v>44286</v>
      </c>
      <c r="B2680" t="s">
        <v>39</v>
      </c>
      <c r="C2680">
        <v>0</v>
      </c>
      <c r="D2680">
        <v>0</v>
      </c>
      <c r="E2680">
        <v>0</v>
      </c>
      <c r="F2680">
        <v>0</v>
      </c>
      <c r="G2680">
        <v>24.3</v>
      </c>
      <c r="H2680">
        <v>0</v>
      </c>
      <c r="I2680">
        <v>0</v>
      </c>
      <c r="J2680">
        <v>0</v>
      </c>
      <c r="K2680">
        <v>0</v>
      </c>
      <c r="L2680">
        <v>78</v>
      </c>
      <c r="M2680">
        <v>112</v>
      </c>
      <c r="N2680" t="s">
        <v>39</v>
      </c>
      <c r="O2680" s="3">
        <v>44398</v>
      </c>
      <c r="P2680">
        <v>-1</v>
      </c>
      <c r="T2680" t="s">
        <v>37</v>
      </c>
      <c r="U2680">
        <v>170</v>
      </c>
      <c r="V2680">
        <v>26.55</v>
      </c>
    </row>
    <row r="2681" spans="1:22" x14ac:dyDescent="0.35">
      <c r="A2681" s="3">
        <v>44285</v>
      </c>
      <c r="B2681" t="s">
        <v>38</v>
      </c>
      <c r="C2681">
        <v>0</v>
      </c>
      <c r="D2681">
        <v>0</v>
      </c>
      <c r="E2681">
        <v>0</v>
      </c>
      <c r="F2681">
        <v>0</v>
      </c>
      <c r="G2681">
        <v>24.55</v>
      </c>
      <c r="H2681">
        <v>0</v>
      </c>
      <c r="I2681">
        <v>0</v>
      </c>
      <c r="J2681">
        <v>0</v>
      </c>
      <c r="K2681">
        <v>0</v>
      </c>
      <c r="L2681">
        <v>99</v>
      </c>
      <c r="M2681">
        <v>141</v>
      </c>
      <c r="N2681" t="s">
        <v>38</v>
      </c>
      <c r="O2681" s="3">
        <v>44426</v>
      </c>
      <c r="P2681">
        <v>-1</v>
      </c>
      <c r="S2681" s="3">
        <v>44210</v>
      </c>
      <c r="T2681" t="s">
        <v>45</v>
      </c>
      <c r="U2681">
        <v>3</v>
      </c>
      <c r="V2681">
        <v>23.175000000000001</v>
      </c>
    </row>
    <row r="2682" spans="1:22" x14ac:dyDescent="0.35">
      <c r="A2682" s="3">
        <v>44285</v>
      </c>
      <c r="B2682" t="s">
        <v>34</v>
      </c>
      <c r="C2682">
        <v>0</v>
      </c>
      <c r="D2682">
        <v>0</v>
      </c>
      <c r="E2682">
        <v>0</v>
      </c>
      <c r="F2682">
        <v>0</v>
      </c>
      <c r="G2682">
        <v>24.5</v>
      </c>
      <c r="H2682">
        <v>0</v>
      </c>
      <c r="I2682">
        <v>0</v>
      </c>
      <c r="J2682">
        <v>0</v>
      </c>
      <c r="K2682">
        <v>0</v>
      </c>
      <c r="L2682">
        <v>187</v>
      </c>
      <c r="M2682">
        <v>267</v>
      </c>
      <c r="N2682" t="s">
        <v>34</v>
      </c>
      <c r="O2682" s="3">
        <v>44552</v>
      </c>
      <c r="P2682">
        <v>-1</v>
      </c>
      <c r="T2682" t="s">
        <v>44</v>
      </c>
      <c r="U2682">
        <v>22</v>
      </c>
      <c r="V2682">
        <v>25.324999999999999</v>
      </c>
    </row>
    <row r="2683" spans="1:22" x14ac:dyDescent="0.35">
      <c r="A2683" s="3">
        <v>44285</v>
      </c>
      <c r="B2683" t="s">
        <v>37</v>
      </c>
      <c r="C2683">
        <v>0</v>
      </c>
      <c r="D2683">
        <v>0</v>
      </c>
      <c r="E2683">
        <v>0</v>
      </c>
      <c r="F2683">
        <v>0</v>
      </c>
      <c r="G2683">
        <v>24.95</v>
      </c>
      <c r="H2683">
        <v>0</v>
      </c>
      <c r="I2683">
        <v>0</v>
      </c>
      <c r="J2683">
        <v>0</v>
      </c>
      <c r="K2683">
        <v>0</v>
      </c>
      <c r="L2683">
        <v>118</v>
      </c>
      <c r="M2683">
        <v>169</v>
      </c>
      <c r="N2683" t="s">
        <v>37</v>
      </c>
      <c r="O2683" s="3">
        <v>44454</v>
      </c>
      <c r="P2683">
        <v>-1</v>
      </c>
      <c r="T2683" t="s">
        <v>43</v>
      </c>
      <c r="U2683">
        <v>42</v>
      </c>
      <c r="V2683">
        <v>26.024999999999999</v>
      </c>
    </row>
    <row r="2684" spans="1:22" x14ac:dyDescent="0.35">
      <c r="A2684" s="3">
        <v>44285</v>
      </c>
      <c r="B2684" t="s">
        <v>42</v>
      </c>
      <c r="C2684">
        <v>0</v>
      </c>
      <c r="D2684">
        <v>0</v>
      </c>
      <c r="E2684">
        <v>0</v>
      </c>
      <c r="F2684">
        <v>0</v>
      </c>
      <c r="G2684">
        <v>21.0321</v>
      </c>
      <c r="H2684">
        <v>0</v>
      </c>
      <c r="I2684">
        <v>0</v>
      </c>
      <c r="J2684">
        <v>0</v>
      </c>
      <c r="K2684">
        <v>0</v>
      </c>
      <c r="L2684">
        <v>16</v>
      </c>
      <c r="M2684">
        <v>22</v>
      </c>
      <c r="N2684" t="s">
        <v>42</v>
      </c>
      <c r="O2684" s="3">
        <v>44307</v>
      </c>
      <c r="P2684">
        <v>-1</v>
      </c>
      <c r="T2684" t="s">
        <v>42</v>
      </c>
      <c r="U2684">
        <v>67</v>
      </c>
      <c r="V2684">
        <v>26.475000000000001</v>
      </c>
    </row>
    <row r="2685" spans="1:22" x14ac:dyDescent="0.35">
      <c r="A2685" s="3">
        <v>44285</v>
      </c>
      <c r="B2685" t="s">
        <v>41</v>
      </c>
      <c r="C2685">
        <v>0</v>
      </c>
      <c r="D2685">
        <v>0</v>
      </c>
      <c r="E2685">
        <v>0</v>
      </c>
      <c r="F2685">
        <v>0</v>
      </c>
      <c r="G2685">
        <v>22.807600000000001</v>
      </c>
      <c r="H2685">
        <v>0</v>
      </c>
      <c r="I2685">
        <v>0</v>
      </c>
      <c r="J2685">
        <v>0</v>
      </c>
      <c r="K2685">
        <v>0</v>
      </c>
      <c r="L2685">
        <v>36</v>
      </c>
      <c r="M2685">
        <v>50</v>
      </c>
      <c r="N2685" t="s">
        <v>41</v>
      </c>
      <c r="O2685" s="3">
        <v>44335</v>
      </c>
      <c r="P2685">
        <v>-1</v>
      </c>
      <c r="T2685" t="s">
        <v>41</v>
      </c>
      <c r="U2685">
        <v>87</v>
      </c>
      <c r="V2685">
        <v>26.524999999999999</v>
      </c>
    </row>
    <row r="2686" spans="1:22" x14ac:dyDescent="0.35">
      <c r="A2686" s="3">
        <v>44285</v>
      </c>
      <c r="B2686" t="s">
        <v>40</v>
      </c>
      <c r="C2686">
        <v>0</v>
      </c>
      <c r="D2686">
        <v>0</v>
      </c>
      <c r="E2686">
        <v>0</v>
      </c>
      <c r="F2686">
        <v>0</v>
      </c>
      <c r="G2686">
        <v>23.713200000000001</v>
      </c>
      <c r="H2686">
        <v>0</v>
      </c>
      <c r="I2686">
        <v>0</v>
      </c>
      <c r="J2686">
        <v>0</v>
      </c>
      <c r="K2686">
        <v>0</v>
      </c>
      <c r="L2686">
        <v>55</v>
      </c>
      <c r="M2686">
        <v>78</v>
      </c>
      <c r="N2686" t="s">
        <v>40</v>
      </c>
      <c r="O2686" s="3">
        <v>44363</v>
      </c>
      <c r="P2686">
        <v>-1</v>
      </c>
      <c r="T2686" t="s">
        <v>40</v>
      </c>
      <c r="U2686">
        <v>106</v>
      </c>
      <c r="V2686">
        <v>26.475000000000001</v>
      </c>
    </row>
    <row r="2687" spans="1:22" x14ac:dyDescent="0.35">
      <c r="A2687" s="3">
        <v>44285</v>
      </c>
      <c r="B2687" t="s">
        <v>35</v>
      </c>
      <c r="C2687">
        <v>0</v>
      </c>
      <c r="D2687">
        <v>0</v>
      </c>
      <c r="E2687">
        <v>0</v>
      </c>
      <c r="F2687">
        <v>0</v>
      </c>
      <c r="G2687">
        <v>24.85</v>
      </c>
      <c r="H2687">
        <v>0</v>
      </c>
      <c r="I2687">
        <v>0</v>
      </c>
      <c r="J2687">
        <v>0</v>
      </c>
      <c r="K2687">
        <v>0</v>
      </c>
      <c r="L2687">
        <v>163</v>
      </c>
      <c r="M2687">
        <v>232</v>
      </c>
      <c r="N2687" t="s">
        <v>35</v>
      </c>
      <c r="O2687" s="3">
        <v>44517</v>
      </c>
      <c r="P2687">
        <v>-1</v>
      </c>
      <c r="T2687" t="s">
        <v>39</v>
      </c>
      <c r="U2687">
        <v>130</v>
      </c>
      <c r="V2687">
        <v>26.6</v>
      </c>
    </row>
    <row r="2688" spans="1:22" x14ac:dyDescent="0.35">
      <c r="A2688" s="3">
        <v>44285</v>
      </c>
      <c r="B2688" t="s">
        <v>39</v>
      </c>
      <c r="C2688">
        <v>0</v>
      </c>
      <c r="D2688">
        <v>0</v>
      </c>
      <c r="E2688">
        <v>0</v>
      </c>
      <c r="F2688">
        <v>0</v>
      </c>
      <c r="G2688">
        <v>24.3811</v>
      </c>
      <c r="H2688">
        <v>0</v>
      </c>
      <c r="I2688">
        <v>0</v>
      </c>
      <c r="J2688">
        <v>0</v>
      </c>
      <c r="K2688">
        <v>0</v>
      </c>
      <c r="L2688">
        <v>79</v>
      </c>
      <c r="M2688">
        <v>113</v>
      </c>
      <c r="N2688" t="s">
        <v>39</v>
      </c>
      <c r="O2688" s="3">
        <v>44398</v>
      </c>
      <c r="P2688">
        <v>-1</v>
      </c>
      <c r="T2688" t="s">
        <v>38</v>
      </c>
      <c r="U2688">
        <v>150</v>
      </c>
      <c r="V2688">
        <v>26.3</v>
      </c>
    </row>
    <row r="2689" spans="1:22" x14ac:dyDescent="0.35">
      <c r="A2689" s="3">
        <v>44285</v>
      </c>
      <c r="B2689" t="s">
        <v>36</v>
      </c>
      <c r="C2689">
        <v>0</v>
      </c>
      <c r="D2689">
        <v>0</v>
      </c>
      <c r="E2689">
        <v>0</v>
      </c>
      <c r="F2689">
        <v>0</v>
      </c>
      <c r="G2689">
        <v>25.031300000000002</v>
      </c>
      <c r="H2689">
        <v>0</v>
      </c>
      <c r="I2689">
        <v>0</v>
      </c>
      <c r="J2689">
        <v>0</v>
      </c>
      <c r="K2689">
        <v>0</v>
      </c>
      <c r="L2689">
        <v>143</v>
      </c>
      <c r="M2689">
        <v>204</v>
      </c>
      <c r="N2689" t="s">
        <v>36</v>
      </c>
      <c r="O2689" s="3">
        <v>44489</v>
      </c>
      <c r="P2689">
        <v>-1</v>
      </c>
      <c r="T2689" t="s">
        <v>37</v>
      </c>
      <c r="U2689">
        <v>169</v>
      </c>
      <c r="V2689">
        <v>26.55</v>
      </c>
    </row>
    <row r="2690" spans="1:22" x14ac:dyDescent="0.35">
      <c r="A2690" s="3">
        <v>44284</v>
      </c>
      <c r="B2690" t="s">
        <v>36</v>
      </c>
      <c r="C2690">
        <v>0</v>
      </c>
      <c r="D2690">
        <v>0</v>
      </c>
      <c r="E2690">
        <v>0</v>
      </c>
      <c r="F2690">
        <v>0</v>
      </c>
      <c r="G2690">
        <v>25.7</v>
      </c>
      <c r="H2690">
        <v>0</v>
      </c>
      <c r="I2690">
        <v>0</v>
      </c>
      <c r="J2690">
        <v>0</v>
      </c>
      <c r="K2690">
        <v>0</v>
      </c>
      <c r="L2690">
        <v>144</v>
      </c>
      <c r="M2690">
        <v>205</v>
      </c>
      <c r="N2690" t="s">
        <v>36</v>
      </c>
      <c r="O2690" s="3">
        <v>44489</v>
      </c>
      <c r="P2690">
        <v>-1</v>
      </c>
      <c r="S2690" s="3">
        <v>44211</v>
      </c>
      <c r="T2690" t="s">
        <v>45</v>
      </c>
      <c r="U2690">
        <v>2</v>
      </c>
      <c r="V2690">
        <v>23.774999999999999</v>
      </c>
    </row>
    <row r="2691" spans="1:22" x14ac:dyDescent="0.35">
      <c r="A2691" s="3">
        <v>44284</v>
      </c>
      <c r="B2691" t="s">
        <v>38</v>
      </c>
      <c r="C2691">
        <v>0</v>
      </c>
      <c r="D2691">
        <v>0</v>
      </c>
      <c r="E2691">
        <v>0</v>
      </c>
      <c r="F2691">
        <v>0</v>
      </c>
      <c r="G2691">
        <v>25.233000000000001</v>
      </c>
      <c r="H2691">
        <v>0</v>
      </c>
      <c r="I2691">
        <v>0</v>
      </c>
      <c r="J2691">
        <v>0</v>
      </c>
      <c r="K2691">
        <v>0</v>
      </c>
      <c r="L2691">
        <v>100</v>
      </c>
      <c r="M2691">
        <v>142</v>
      </c>
      <c r="N2691" t="s">
        <v>38</v>
      </c>
      <c r="O2691" s="3">
        <v>44426</v>
      </c>
      <c r="P2691">
        <v>-1</v>
      </c>
      <c r="T2691" t="s">
        <v>44</v>
      </c>
      <c r="U2691">
        <v>21</v>
      </c>
      <c r="V2691">
        <v>25.975000000000001</v>
      </c>
    </row>
    <row r="2692" spans="1:22" x14ac:dyDescent="0.35">
      <c r="A2692" s="3">
        <v>44284</v>
      </c>
      <c r="B2692" t="s">
        <v>34</v>
      </c>
      <c r="C2692">
        <v>0</v>
      </c>
      <c r="D2692">
        <v>0</v>
      </c>
      <c r="E2692">
        <v>0</v>
      </c>
      <c r="F2692">
        <v>0</v>
      </c>
      <c r="G2692">
        <v>25</v>
      </c>
      <c r="H2692">
        <v>0</v>
      </c>
      <c r="I2692">
        <v>0</v>
      </c>
      <c r="J2692">
        <v>0</v>
      </c>
      <c r="K2692">
        <v>0</v>
      </c>
      <c r="L2692">
        <v>188</v>
      </c>
      <c r="M2692">
        <v>268</v>
      </c>
      <c r="N2692" t="s">
        <v>34</v>
      </c>
      <c r="O2692" s="3">
        <v>44552</v>
      </c>
      <c r="P2692">
        <v>-1</v>
      </c>
      <c r="T2692" t="s">
        <v>43</v>
      </c>
      <c r="U2692">
        <v>41</v>
      </c>
      <c r="V2692">
        <v>26.625</v>
      </c>
    </row>
    <row r="2693" spans="1:22" x14ac:dyDescent="0.35">
      <c r="A2693" s="3">
        <v>44284</v>
      </c>
      <c r="B2693" t="s">
        <v>37</v>
      </c>
      <c r="C2693">
        <v>0</v>
      </c>
      <c r="D2693">
        <v>0</v>
      </c>
      <c r="E2693">
        <v>0</v>
      </c>
      <c r="F2693">
        <v>0</v>
      </c>
      <c r="G2693">
        <v>25.625</v>
      </c>
      <c r="H2693">
        <v>0</v>
      </c>
      <c r="I2693">
        <v>0</v>
      </c>
      <c r="J2693">
        <v>0</v>
      </c>
      <c r="K2693">
        <v>0</v>
      </c>
      <c r="L2693">
        <v>119</v>
      </c>
      <c r="M2693">
        <v>170</v>
      </c>
      <c r="N2693" t="s">
        <v>37</v>
      </c>
      <c r="O2693" s="3">
        <v>44454</v>
      </c>
      <c r="P2693">
        <v>-1</v>
      </c>
      <c r="T2693" t="s">
        <v>42</v>
      </c>
      <c r="U2693">
        <v>66</v>
      </c>
      <c r="V2693">
        <v>26.925000000000001</v>
      </c>
    </row>
    <row r="2694" spans="1:22" x14ac:dyDescent="0.35">
      <c r="A2694" s="3">
        <v>44284</v>
      </c>
      <c r="B2694" t="s">
        <v>42</v>
      </c>
      <c r="C2694">
        <v>0</v>
      </c>
      <c r="D2694">
        <v>0</v>
      </c>
      <c r="E2694">
        <v>0</v>
      </c>
      <c r="F2694">
        <v>0</v>
      </c>
      <c r="G2694">
        <v>22.0032</v>
      </c>
      <c r="H2694">
        <v>0</v>
      </c>
      <c r="I2694">
        <v>0</v>
      </c>
      <c r="J2694">
        <v>0</v>
      </c>
      <c r="K2694">
        <v>0</v>
      </c>
      <c r="L2694">
        <v>17</v>
      </c>
      <c r="M2694">
        <v>23</v>
      </c>
      <c r="N2694" t="s">
        <v>42</v>
      </c>
      <c r="O2694" s="3">
        <v>44307</v>
      </c>
      <c r="P2694">
        <v>-1</v>
      </c>
      <c r="T2694" t="s">
        <v>41</v>
      </c>
      <c r="U2694">
        <v>86</v>
      </c>
      <c r="V2694">
        <v>26.875</v>
      </c>
    </row>
    <row r="2695" spans="1:22" x14ac:dyDescent="0.35">
      <c r="A2695" s="3">
        <v>44284</v>
      </c>
      <c r="B2695" t="s">
        <v>41</v>
      </c>
      <c r="C2695">
        <v>0</v>
      </c>
      <c r="D2695">
        <v>0</v>
      </c>
      <c r="E2695">
        <v>0</v>
      </c>
      <c r="F2695">
        <v>0</v>
      </c>
      <c r="G2695">
        <v>23.650200000000002</v>
      </c>
      <c r="H2695">
        <v>0</v>
      </c>
      <c r="I2695">
        <v>0</v>
      </c>
      <c r="J2695">
        <v>0</v>
      </c>
      <c r="K2695">
        <v>0</v>
      </c>
      <c r="L2695">
        <v>37</v>
      </c>
      <c r="M2695">
        <v>51</v>
      </c>
      <c r="N2695" t="s">
        <v>41</v>
      </c>
      <c r="O2695" s="3">
        <v>44335</v>
      </c>
      <c r="P2695">
        <v>-1</v>
      </c>
      <c r="T2695" t="s">
        <v>40</v>
      </c>
      <c r="U2695">
        <v>105</v>
      </c>
      <c r="V2695">
        <v>26.875</v>
      </c>
    </row>
    <row r="2696" spans="1:22" x14ac:dyDescent="0.35">
      <c r="A2696" s="3">
        <v>44284</v>
      </c>
      <c r="B2696" t="s">
        <v>40</v>
      </c>
      <c r="C2696">
        <v>0</v>
      </c>
      <c r="D2696">
        <v>0</v>
      </c>
      <c r="E2696">
        <v>0</v>
      </c>
      <c r="F2696">
        <v>0</v>
      </c>
      <c r="G2696">
        <v>24.4815</v>
      </c>
      <c r="H2696">
        <v>0</v>
      </c>
      <c r="I2696">
        <v>0</v>
      </c>
      <c r="J2696">
        <v>0</v>
      </c>
      <c r="K2696">
        <v>0</v>
      </c>
      <c r="L2696">
        <v>56</v>
      </c>
      <c r="M2696">
        <v>79</v>
      </c>
      <c r="N2696" t="s">
        <v>40</v>
      </c>
      <c r="O2696" s="3">
        <v>44363</v>
      </c>
      <c r="P2696">
        <v>-1</v>
      </c>
      <c r="T2696" t="s">
        <v>39</v>
      </c>
      <c r="U2696">
        <v>129</v>
      </c>
      <c r="V2696">
        <v>27.05</v>
      </c>
    </row>
    <row r="2697" spans="1:22" x14ac:dyDescent="0.35">
      <c r="A2697" s="3">
        <v>44284</v>
      </c>
      <c r="B2697" t="s">
        <v>35</v>
      </c>
      <c r="C2697">
        <v>0</v>
      </c>
      <c r="D2697">
        <v>0</v>
      </c>
      <c r="E2697">
        <v>0</v>
      </c>
      <c r="F2697">
        <v>0</v>
      </c>
      <c r="G2697">
        <v>25.45</v>
      </c>
      <c r="H2697">
        <v>0</v>
      </c>
      <c r="I2697">
        <v>0</v>
      </c>
      <c r="J2697">
        <v>0</v>
      </c>
      <c r="K2697">
        <v>0</v>
      </c>
      <c r="L2697">
        <v>164</v>
      </c>
      <c r="M2697">
        <v>233</v>
      </c>
      <c r="N2697" t="s">
        <v>35</v>
      </c>
      <c r="O2697" s="3">
        <v>44517</v>
      </c>
      <c r="P2697">
        <v>-1</v>
      </c>
      <c r="T2697" t="s">
        <v>38</v>
      </c>
      <c r="U2697">
        <v>149</v>
      </c>
      <c r="V2697">
        <v>26.8</v>
      </c>
    </row>
    <row r="2698" spans="1:22" x14ac:dyDescent="0.35">
      <c r="A2698" s="3">
        <v>44284</v>
      </c>
      <c r="B2698" t="s">
        <v>39</v>
      </c>
      <c r="C2698">
        <v>0</v>
      </c>
      <c r="D2698">
        <v>0</v>
      </c>
      <c r="E2698">
        <v>0</v>
      </c>
      <c r="F2698">
        <v>0</v>
      </c>
      <c r="G2698">
        <v>25.1</v>
      </c>
      <c r="H2698">
        <v>0</v>
      </c>
      <c r="I2698">
        <v>0</v>
      </c>
      <c r="J2698">
        <v>0</v>
      </c>
      <c r="K2698">
        <v>0</v>
      </c>
      <c r="L2698">
        <v>80</v>
      </c>
      <c r="M2698">
        <v>114</v>
      </c>
      <c r="N2698" t="s">
        <v>39</v>
      </c>
      <c r="O2698" s="3">
        <v>44398</v>
      </c>
      <c r="P2698">
        <v>-1</v>
      </c>
      <c r="T2698" t="s">
        <v>37</v>
      </c>
      <c r="U2698">
        <v>168</v>
      </c>
      <c r="V2698">
        <v>26.75</v>
      </c>
    </row>
    <row r="2699" spans="1:22" x14ac:dyDescent="0.35">
      <c r="A2699" s="3">
        <v>44281</v>
      </c>
      <c r="B2699" t="s">
        <v>38</v>
      </c>
      <c r="C2699">
        <v>0</v>
      </c>
      <c r="D2699">
        <v>0</v>
      </c>
      <c r="E2699">
        <v>0</v>
      </c>
      <c r="F2699">
        <v>0</v>
      </c>
      <c r="G2699">
        <v>25.360299999999999</v>
      </c>
      <c r="H2699">
        <v>0</v>
      </c>
      <c r="I2699">
        <v>0</v>
      </c>
      <c r="J2699">
        <v>0</v>
      </c>
      <c r="K2699">
        <v>0</v>
      </c>
      <c r="L2699">
        <v>101</v>
      </c>
      <c r="M2699">
        <v>145</v>
      </c>
      <c r="N2699" t="s">
        <v>38</v>
      </c>
      <c r="O2699" s="3">
        <v>44426</v>
      </c>
      <c r="P2699">
        <v>-1</v>
      </c>
      <c r="S2699" s="3">
        <v>44215</v>
      </c>
      <c r="T2699" t="s">
        <v>45</v>
      </c>
      <c r="U2699">
        <v>1</v>
      </c>
      <c r="V2699">
        <v>23.225000000000001</v>
      </c>
    </row>
    <row r="2700" spans="1:22" x14ac:dyDescent="0.35">
      <c r="A2700" s="3">
        <v>44281</v>
      </c>
      <c r="B2700" t="s">
        <v>34</v>
      </c>
      <c r="C2700">
        <v>0</v>
      </c>
      <c r="D2700">
        <v>0</v>
      </c>
      <c r="E2700">
        <v>0</v>
      </c>
      <c r="F2700">
        <v>0</v>
      </c>
      <c r="G2700">
        <v>24.95</v>
      </c>
      <c r="H2700">
        <v>0</v>
      </c>
      <c r="I2700">
        <v>0</v>
      </c>
      <c r="J2700">
        <v>0</v>
      </c>
      <c r="K2700">
        <v>0</v>
      </c>
      <c r="L2700">
        <v>189</v>
      </c>
      <c r="M2700">
        <v>271</v>
      </c>
      <c r="N2700" t="s">
        <v>34</v>
      </c>
      <c r="O2700" s="3">
        <v>44552</v>
      </c>
      <c r="P2700">
        <v>-1</v>
      </c>
      <c r="T2700" t="s">
        <v>44</v>
      </c>
      <c r="U2700">
        <v>20</v>
      </c>
      <c r="V2700">
        <v>25.225000000000001</v>
      </c>
    </row>
    <row r="2701" spans="1:22" x14ac:dyDescent="0.35">
      <c r="A2701" s="3">
        <v>44281</v>
      </c>
      <c r="B2701" t="s">
        <v>37</v>
      </c>
      <c r="C2701">
        <v>0</v>
      </c>
      <c r="D2701">
        <v>0</v>
      </c>
      <c r="E2701">
        <v>0</v>
      </c>
      <c r="F2701">
        <v>0</v>
      </c>
      <c r="G2701">
        <v>25.708100000000002</v>
      </c>
      <c r="H2701">
        <v>0</v>
      </c>
      <c r="I2701">
        <v>0</v>
      </c>
      <c r="J2701">
        <v>0</v>
      </c>
      <c r="K2701">
        <v>0</v>
      </c>
      <c r="L2701">
        <v>120</v>
      </c>
      <c r="M2701">
        <v>173</v>
      </c>
      <c r="N2701" t="s">
        <v>37</v>
      </c>
      <c r="O2701" s="3">
        <v>44454</v>
      </c>
      <c r="P2701">
        <v>-1</v>
      </c>
      <c r="T2701" t="s">
        <v>43</v>
      </c>
      <c r="U2701">
        <v>40</v>
      </c>
      <c r="V2701">
        <v>26.375</v>
      </c>
    </row>
    <row r="2702" spans="1:22" x14ac:dyDescent="0.35">
      <c r="A2702" s="3">
        <v>44281</v>
      </c>
      <c r="B2702" t="s">
        <v>42</v>
      </c>
      <c r="C2702">
        <v>0</v>
      </c>
      <c r="D2702">
        <v>0</v>
      </c>
      <c r="E2702">
        <v>0</v>
      </c>
      <c r="F2702">
        <v>0</v>
      </c>
      <c r="G2702">
        <v>21.385899999999999</v>
      </c>
      <c r="H2702">
        <v>0</v>
      </c>
      <c r="I2702">
        <v>0</v>
      </c>
      <c r="J2702">
        <v>0</v>
      </c>
      <c r="K2702">
        <v>0</v>
      </c>
      <c r="L2702">
        <v>18</v>
      </c>
      <c r="M2702">
        <v>26</v>
      </c>
      <c r="N2702" t="s">
        <v>42</v>
      </c>
      <c r="O2702" s="3">
        <v>44307</v>
      </c>
      <c r="P2702">
        <v>-1</v>
      </c>
      <c r="T2702" t="s">
        <v>42</v>
      </c>
      <c r="U2702">
        <v>65</v>
      </c>
      <c r="V2702">
        <v>26.875</v>
      </c>
    </row>
    <row r="2703" spans="1:22" x14ac:dyDescent="0.35">
      <c r="A2703" s="3">
        <v>44281</v>
      </c>
      <c r="B2703" t="s">
        <v>41</v>
      </c>
      <c r="C2703">
        <v>0</v>
      </c>
      <c r="D2703">
        <v>0</v>
      </c>
      <c r="E2703">
        <v>0</v>
      </c>
      <c r="F2703">
        <v>0</v>
      </c>
      <c r="G2703">
        <v>23.313500000000001</v>
      </c>
      <c r="H2703">
        <v>0</v>
      </c>
      <c r="I2703">
        <v>0</v>
      </c>
      <c r="J2703">
        <v>0</v>
      </c>
      <c r="K2703">
        <v>0</v>
      </c>
      <c r="L2703">
        <v>38</v>
      </c>
      <c r="M2703">
        <v>54</v>
      </c>
      <c r="N2703" t="s">
        <v>41</v>
      </c>
      <c r="O2703" s="3">
        <v>44335</v>
      </c>
      <c r="P2703">
        <v>-1</v>
      </c>
      <c r="T2703" t="s">
        <v>41</v>
      </c>
      <c r="U2703">
        <v>85</v>
      </c>
      <c r="V2703">
        <v>26.875</v>
      </c>
    </row>
    <row r="2704" spans="1:22" x14ac:dyDescent="0.35">
      <c r="A2704" s="3">
        <v>44281</v>
      </c>
      <c r="B2704" t="s">
        <v>40</v>
      </c>
      <c r="C2704">
        <v>0</v>
      </c>
      <c r="D2704">
        <v>0</v>
      </c>
      <c r="E2704">
        <v>0</v>
      </c>
      <c r="F2704">
        <v>0</v>
      </c>
      <c r="G2704">
        <v>24.357800000000001</v>
      </c>
      <c r="H2704">
        <v>0</v>
      </c>
      <c r="I2704">
        <v>0</v>
      </c>
      <c r="J2704">
        <v>0</v>
      </c>
      <c r="K2704">
        <v>0</v>
      </c>
      <c r="L2704">
        <v>57</v>
      </c>
      <c r="M2704">
        <v>82</v>
      </c>
      <c r="N2704" t="s">
        <v>40</v>
      </c>
      <c r="O2704" s="3">
        <v>44363</v>
      </c>
      <c r="P2704">
        <v>-1</v>
      </c>
      <c r="T2704" t="s">
        <v>40</v>
      </c>
      <c r="U2704">
        <v>104</v>
      </c>
      <c r="V2704">
        <v>26.725000000000001</v>
      </c>
    </row>
    <row r="2705" spans="1:22" x14ac:dyDescent="0.35">
      <c r="A2705" s="3">
        <v>44281</v>
      </c>
      <c r="B2705" t="s">
        <v>35</v>
      </c>
      <c r="C2705">
        <v>0</v>
      </c>
      <c r="D2705">
        <v>0</v>
      </c>
      <c r="E2705">
        <v>0</v>
      </c>
      <c r="F2705">
        <v>0</v>
      </c>
      <c r="G2705">
        <v>25.4</v>
      </c>
      <c r="H2705">
        <v>0</v>
      </c>
      <c r="I2705">
        <v>0</v>
      </c>
      <c r="J2705">
        <v>0</v>
      </c>
      <c r="K2705">
        <v>0</v>
      </c>
      <c r="L2705">
        <v>165</v>
      </c>
      <c r="M2705">
        <v>236</v>
      </c>
      <c r="N2705" t="s">
        <v>35</v>
      </c>
      <c r="O2705" s="3">
        <v>44517</v>
      </c>
      <c r="P2705">
        <v>-1</v>
      </c>
      <c r="T2705" t="s">
        <v>39</v>
      </c>
      <c r="U2705">
        <v>128</v>
      </c>
      <c r="V2705">
        <v>26.925000000000001</v>
      </c>
    </row>
    <row r="2706" spans="1:22" x14ac:dyDescent="0.35">
      <c r="A2706" s="3">
        <v>44281</v>
      </c>
      <c r="B2706" t="s">
        <v>39</v>
      </c>
      <c r="C2706">
        <v>0</v>
      </c>
      <c r="D2706">
        <v>0</v>
      </c>
      <c r="E2706">
        <v>0</v>
      </c>
      <c r="F2706">
        <v>0</v>
      </c>
      <c r="G2706">
        <v>25.1614</v>
      </c>
      <c r="H2706">
        <v>0</v>
      </c>
      <c r="I2706">
        <v>0</v>
      </c>
      <c r="J2706">
        <v>0</v>
      </c>
      <c r="K2706">
        <v>0</v>
      </c>
      <c r="L2706">
        <v>81</v>
      </c>
      <c r="M2706">
        <v>117</v>
      </c>
      <c r="N2706" t="s">
        <v>39</v>
      </c>
      <c r="O2706" s="3">
        <v>44398</v>
      </c>
      <c r="P2706">
        <v>-1</v>
      </c>
      <c r="T2706" t="s">
        <v>38</v>
      </c>
      <c r="U2706">
        <v>148</v>
      </c>
      <c r="V2706">
        <v>26.7</v>
      </c>
    </row>
    <row r="2707" spans="1:22" x14ac:dyDescent="0.35">
      <c r="A2707" s="3">
        <v>44281</v>
      </c>
      <c r="B2707" t="s">
        <v>36</v>
      </c>
      <c r="C2707">
        <v>0</v>
      </c>
      <c r="D2707">
        <v>0</v>
      </c>
      <c r="E2707">
        <v>0</v>
      </c>
      <c r="F2707">
        <v>0</v>
      </c>
      <c r="G2707">
        <v>25.774999999999999</v>
      </c>
      <c r="H2707">
        <v>0</v>
      </c>
      <c r="I2707">
        <v>0</v>
      </c>
      <c r="J2707">
        <v>0</v>
      </c>
      <c r="K2707">
        <v>0</v>
      </c>
      <c r="L2707">
        <v>145</v>
      </c>
      <c r="M2707">
        <v>208</v>
      </c>
      <c r="N2707" t="s">
        <v>36</v>
      </c>
      <c r="O2707" s="3">
        <v>44489</v>
      </c>
      <c r="P2707">
        <v>-1</v>
      </c>
      <c r="T2707" t="s">
        <v>37</v>
      </c>
      <c r="U2707">
        <v>167</v>
      </c>
      <c r="V2707">
        <v>27.15</v>
      </c>
    </row>
    <row r="2708" spans="1:22" x14ac:dyDescent="0.35">
      <c r="A2708" s="3">
        <v>44280</v>
      </c>
      <c r="B2708" t="s">
        <v>36</v>
      </c>
      <c r="C2708">
        <v>0</v>
      </c>
      <c r="D2708">
        <v>0</v>
      </c>
      <c r="E2708">
        <v>0</v>
      </c>
      <c r="F2708">
        <v>0</v>
      </c>
      <c r="G2708">
        <v>26.251200000000001</v>
      </c>
      <c r="H2708">
        <v>0</v>
      </c>
      <c r="I2708">
        <v>0</v>
      </c>
      <c r="J2708">
        <v>0</v>
      </c>
      <c r="K2708">
        <v>0</v>
      </c>
      <c r="L2708">
        <v>146</v>
      </c>
      <c r="M2708">
        <v>209</v>
      </c>
      <c r="N2708" t="s">
        <v>36</v>
      </c>
      <c r="O2708" s="3">
        <v>44489</v>
      </c>
      <c r="P2708">
        <v>-1</v>
      </c>
      <c r="S2708" s="3">
        <v>44216</v>
      </c>
      <c r="T2708" t="s">
        <v>45</v>
      </c>
      <c r="U2708">
        <v>0</v>
      </c>
      <c r="V2708">
        <v>22.59</v>
      </c>
    </row>
    <row r="2709" spans="1:22" x14ac:dyDescent="0.35">
      <c r="A2709" s="3">
        <v>44280</v>
      </c>
      <c r="B2709" t="s">
        <v>38</v>
      </c>
      <c r="C2709">
        <v>0</v>
      </c>
      <c r="D2709">
        <v>0</v>
      </c>
      <c r="E2709">
        <v>0</v>
      </c>
      <c r="F2709">
        <v>0</v>
      </c>
      <c r="G2709">
        <v>25.861799999999999</v>
      </c>
      <c r="H2709">
        <v>0</v>
      </c>
      <c r="I2709">
        <v>0</v>
      </c>
      <c r="J2709">
        <v>0</v>
      </c>
      <c r="K2709">
        <v>0</v>
      </c>
      <c r="L2709">
        <v>102</v>
      </c>
      <c r="M2709">
        <v>146</v>
      </c>
      <c r="N2709" t="s">
        <v>38</v>
      </c>
      <c r="O2709" s="3">
        <v>44426</v>
      </c>
      <c r="P2709">
        <v>-1</v>
      </c>
      <c r="T2709" t="s">
        <v>44</v>
      </c>
      <c r="U2709">
        <v>19</v>
      </c>
      <c r="V2709">
        <v>24.774999999999999</v>
      </c>
    </row>
    <row r="2710" spans="1:22" x14ac:dyDescent="0.35">
      <c r="A2710" s="3">
        <v>44280</v>
      </c>
      <c r="B2710" t="s">
        <v>34</v>
      </c>
      <c r="C2710">
        <v>0</v>
      </c>
      <c r="D2710">
        <v>0</v>
      </c>
      <c r="E2710">
        <v>0</v>
      </c>
      <c r="F2710">
        <v>0</v>
      </c>
      <c r="G2710">
        <v>25.35</v>
      </c>
      <c r="H2710">
        <v>0</v>
      </c>
      <c r="I2710">
        <v>0</v>
      </c>
      <c r="J2710">
        <v>0</v>
      </c>
      <c r="K2710">
        <v>0</v>
      </c>
      <c r="L2710">
        <v>190</v>
      </c>
      <c r="M2710">
        <v>272</v>
      </c>
      <c r="N2710" t="s">
        <v>34</v>
      </c>
      <c r="O2710" s="3">
        <v>44552</v>
      </c>
      <c r="P2710">
        <v>-1</v>
      </c>
      <c r="T2710" t="s">
        <v>43</v>
      </c>
      <c r="U2710">
        <v>39</v>
      </c>
      <c r="V2710">
        <v>26.274999999999999</v>
      </c>
    </row>
    <row r="2711" spans="1:22" x14ac:dyDescent="0.35">
      <c r="A2711" s="3">
        <v>44280</v>
      </c>
      <c r="B2711" t="s">
        <v>37</v>
      </c>
      <c r="C2711">
        <v>0</v>
      </c>
      <c r="D2711">
        <v>0</v>
      </c>
      <c r="E2711">
        <v>0</v>
      </c>
      <c r="F2711">
        <v>0</v>
      </c>
      <c r="G2711">
        <v>26.2</v>
      </c>
      <c r="H2711">
        <v>0</v>
      </c>
      <c r="I2711">
        <v>0</v>
      </c>
      <c r="J2711">
        <v>0</v>
      </c>
      <c r="K2711">
        <v>0</v>
      </c>
      <c r="L2711">
        <v>121</v>
      </c>
      <c r="M2711">
        <v>174</v>
      </c>
      <c r="N2711" t="s">
        <v>37</v>
      </c>
      <c r="O2711" s="3">
        <v>44454</v>
      </c>
      <c r="P2711">
        <v>-1</v>
      </c>
      <c r="T2711" t="s">
        <v>42</v>
      </c>
      <c r="U2711">
        <v>64</v>
      </c>
      <c r="V2711">
        <v>26.675000000000001</v>
      </c>
    </row>
    <row r="2712" spans="1:22" x14ac:dyDescent="0.35">
      <c r="A2712" s="3">
        <v>44280</v>
      </c>
      <c r="B2712" t="s">
        <v>42</v>
      </c>
      <c r="C2712">
        <v>0</v>
      </c>
      <c r="D2712">
        <v>0</v>
      </c>
      <c r="E2712">
        <v>0</v>
      </c>
      <c r="F2712">
        <v>0</v>
      </c>
      <c r="G2712">
        <v>22.305599999999998</v>
      </c>
      <c r="H2712">
        <v>0</v>
      </c>
      <c r="I2712">
        <v>0</v>
      </c>
      <c r="J2712">
        <v>0</v>
      </c>
      <c r="K2712">
        <v>0</v>
      </c>
      <c r="L2712">
        <v>19</v>
      </c>
      <c r="M2712">
        <v>27</v>
      </c>
      <c r="N2712" t="s">
        <v>42</v>
      </c>
      <c r="O2712" s="3">
        <v>44307</v>
      </c>
      <c r="P2712">
        <v>-1</v>
      </c>
      <c r="T2712" t="s">
        <v>41</v>
      </c>
      <c r="U2712">
        <v>84</v>
      </c>
      <c r="V2712">
        <v>26.774999999999999</v>
      </c>
    </row>
    <row r="2713" spans="1:22" x14ac:dyDescent="0.35">
      <c r="A2713" s="3">
        <v>44280</v>
      </c>
      <c r="B2713" t="s">
        <v>41</v>
      </c>
      <c r="C2713">
        <v>0</v>
      </c>
      <c r="D2713">
        <v>0</v>
      </c>
      <c r="E2713">
        <v>0</v>
      </c>
      <c r="F2713">
        <v>0</v>
      </c>
      <c r="G2713">
        <v>24.2012</v>
      </c>
      <c r="H2713">
        <v>0</v>
      </c>
      <c r="I2713">
        <v>0</v>
      </c>
      <c r="J2713">
        <v>0</v>
      </c>
      <c r="K2713">
        <v>0</v>
      </c>
      <c r="L2713">
        <v>39</v>
      </c>
      <c r="M2713">
        <v>55</v>
      </c>
      <c r="N2713" t="s">
        <v>41</v>
      </c>
      <c r="O2713" s="3">
        <v>44335</v>
      </c>
      <c r="P2713">
        <v>-1</v>
      </c>
      <c r="T2713" t="s">
        <v>40</v>
      </c>
      <c r="U2713">
        <v>103</v>
      </c>
      <c r="V2713">
        <v>26.774999999999999</v>
      </c>
    </row>
    <row r="2714" spans="1:22" x14ac:dyDescent="0.35">
      <c r="A2714" s="3">
        <v>44280</v>
      </c>
      <c r="B2714" t="s">
        <v>40</v>
      </c>
      <c r="C2714">
        <v>0</v>
      </c>
      <c r="D2714">
        <v>0</v>
      </c>
      <c r="E2714">
        <v>0</v>
      </c>
      <c r="F2714">
        <v>0</v>
      </c>
      <c r="G2714">
        <v>25.05</v>
      </c>
      <c r="H2714">
        <v>0</v>
      </c>
      <c r="I2714">
        <v>0</v>
      </c>
      <c r="J2714">
        <v>0</v>
      </c>
      <c r="K2714">
        <v>0</v>
      </c>
      <c r="L2714">
        <v>58</v>
      </c>
      <c r="M2714">
        <v>83</v>
      </c>
      <c r="N2714" t="s">
        <v>40</v>
      </c>
      <c r="O2714" s="3">
        <v>44363</v>
      </c>
      <c r="P2714">
        <v>-1</v>
      </c>
      <c r="T2714" t="s">
        <v>39</v>
      </c>
      <c r="U2714">
        <v>127</v>
      </c>
      <c r="V2714">
        <v>26.875</v>
      </c>
    </row>
    <row r="2715" spans="1:22" x14ac:dyDescent="0.35">
      <c r="A2715" s="3">
        <v>44280</v>
      </c>
      <c r="B2715" t="s">
        <v>35</v>
      </c>
      <c r="C2715">
        <v>0</v>
      </c>
      <c r="D2715">
        <v>0</v>
      </c>
      <c r="E2715">
        <v>0</v>
      </c>
      <c r="F2715">
        <v>0</v>
      </c>
      <c r="G2715">
        <v>25.925000000000001</v>
      </c>
      <c r="H2715">
        <v>0</v>
      </c>
      <c r="I2715">
        <v>0</v>
      </c>
      <c r="J2715">
        <v>0</v>
      </c>
      <c r="K2715">
        <v>0</v>
      </c>
      <c r="L2715">
        <v>166</v>
      </c>
      <c r="M2715">
        <v>237</v>
      </c>
      <c r="N2715" t="s">
        <v>35</v>
      </c>
      <c r="O2715" s="3">
        <v>44517</v>
      </c>
      <c r="P2715">
        <v>-1</v>
      </c>
      <c r="T2715" t="s">
        <v>38</v>
      </c>
      <c r="U2715">
        <v>147</v>
      </c>
      <c r="V2715">
        <v>26.625</v>
      </c>
    </row>
    <row r="2716" spans="1:22" x14ac:dyDescent="0.35">
      <c r="A2716" s="3">
        <v>44280</v>
      </c>
      <c r="B2716" t="s">
        <v>39</v>
      </c>
      <c r="C2716">
        <v>0</v>
      </c>
      <c r="D2716">
        <v>0</v>
      </c>
      <c r="E2716">
        <v>0</v>
      </c>
      <c r="F2716">
        <v>0</v>
      </c>
      <c r="G2716">
        <v>25.704499999999999</v>
      </c>
      <c r="H2716">
        <v>0</v>
      </c>
      <c r="I2716">
        <v>0</v>
      </c>
      <c r="J2716">
        <v>0</v>
      </c>
      <c r="K2716">
        <v>0</v>
      </c>
      <c r="L2716">
        <v>82</v>
      </c>
      <c r="M2716">
        <v>118</v>
      </c>
      <c r="N2716" t="s">
        <v>39</v>
      </c>
      <c r="O2716" s="3">
        <v>44398</v>
      </c>
      <c r="P2716">
        <v>-1</v>
      </c>
      <c r="T2716" t="s">
        <v>37</v>
      </c>
      <c r="U2716">
        <v>166</v>
      </c>
      <c r="V2716">
        <v>26.5</v>
      </c>
    </row>
    <row r="2717" spans="1:22" x14ac:dyDescent="0.35">
      <c r="A2717" s="3">
        <v>44279</v>
      </c>
      <c r="B2717" t="s">
        <v>38</v>
      </c>
      <c r="C2717">
        <v>0</v>
      </c>
      <c r="D2717">
        <v>0</v>
      </c>
      <c r="E2717">
        <v>0</v>
      </c>
      <c r="F2717">
        <v>0</v>
      </c>
      <c r="G2717">
        <v>26.258700000000001</v>
      </c>
      <c r="H2717">
        <v>0</v>
      </c>
      <c r="I2717">
        <v>0</v>
      </c>
      <c r="J2717">
        <v>0</v>
      </c>
      <c r="K2717">
        <v>0</v>
      </c>
      <c r="L2717">
        <v>103</v>
      </c>
      <c r="M2717">
        <v>147</v>
      </c>
      <c r="N2717" t="s">
        <v>38</v>
      </c>
      <c r="O2717" s="3">
        <v>44426</v>
      </c>
      <c r="P2717">
        <v>-1</v>
      </c>
      <c r="S2717" s="3">
        <v>44217</v>
      </c>
      <c r="T2717" t="s">
        <v>44</v>
      </c>
      <c r="U2717">
        <v>18</v>
      </c>
      <c r="V2717">
        <v>24.524999999999999</v>
      </c>
    </row>
    <row r="2718" spans="1:22" x14ac:dyDescent="0.35">
      <c r="A2718" s="3">
        <v>44279</v>
      </c>
      <c r="B2718" t="s">
        <v>34</v>
      </c>
      <c r="C2718">
        <v>0</v>
      </c>
      <c r="D2718">
        <v>0</v>
      </c>
      <c r="E2718">
        <v>0</v>
      </c>
      <c r="F2718">
        <v>0</v>
      </c>
      <c r="G2718">
        <v>25.6</v>
      </c>
      <c r="H2718">
        <v>0</v>
      </c>
      <c r="I2718">
        <v>0</v>
      </c>
      <c r="J2718">
        <v>0</v>
      </c>
      <c r="K2718">
        <v>0</v>
      </c>
      <c r="L2718">
        <v>191</v>
      </c>
      <c r="M2718">
        <v>273</v>
      </c>
      <c r="N2718" t="s">
        <v>34</v>
      </c>
      <c r="O2718" s="3">
        <v>44552</v>
      </c>
      <c r="P2718">
        <v>-1</v>
      </c>
      <c r="T2718" t="s">
        <v>43</v>
      </c>
      <c r="U2718">
        <v>38</v>
      </c>
      <c r="V2718">
        <v>26.225000000000001</v>
      </c>
    </row>
    <row r="2719" spans="1:22" x14ac:dyDescent="0.35">
      <c r="A2719" s="3">
        <v>44279</v>
      </c>
      <c r="B2719" t="s">
        <v>37</v>
      </c>
      <c r="C2719">
        <v>0</v>
      </c>
      <c r="D2719">
        <v>0</v>
      </c>
      <c r="E2719">
        <v>0</v>
      </c>
      <c r="F2719">
        <v>0</v>
      </c>
      <c r="G2719">
        <v>26.590499999999999</v>
      </c>
      <c r="H2719">
        <v>0</v>
      </c>
      <c r="I2719">
        <v>0</v>
      </c>
      <c r="J2719">
        <v>0</v>
      </c>
      <c r="K2719">
        <v>0</v>
      </c>
      <c r="L2719">
        <v>122</v>
      </c>
      <c r="M2719">
        <v>175</v>
      </c>
      <c r="N2719" t="s">
        <v>37</v>
      </c>
      <c r="O2719" s="3">
        <v>44454</v>
      </c>
      <c r="P2719">
        <v>-1</v>
      </c>
      <c r="T2719" t="s">
        <v>42</v>
      </c>
      <c r="U2719">
        <v>63</v>
      </c>
      <c r="V2719">
        <v>26.824999999999999</v>
      </c>
    </row>
    <row r="2720" spans="1:22" x14ac:dyDescent="0.35">
      <c r="A2720" s="3">
        <v>44279</v>
      </c>
      <c r="B2720" t="s">
        <v>42</v>
      </c>
      <c r="C2720">
        <v>0</v>
      </c>
      <c r="D2720">
        <v>0</v>
      </c>
      <c r="E2720">
        <v>0</v>
      </c>
      <c r="F2720">
        <v>0</v>
      </c>
      <c r="G2720">
        <v>22.977499999999999</v>
      </c>
      <c r="H2720">
        <v>0</v>
      </c>
      <c r="I2720">
        <v>0</v>
      </c>
      <c r="J2720">
        <v>0</v>
      </c>
      <c r="K2720">
        <v>0</v>
      </c>
      <c r="L2720">
        <v>20</v>
      </c>
      <c r="M2720">
        <v>28</v>
      </c>
      <c r="N2720" t="s">
        <v>42</v>
      </c>
      <c r="O2720" s="3">
        <v>44307</v>
      </c>
      <c r="P2720">
        <v>-1</v>
      </c>
      <c r="T2720" t="s">
        <v>41</v>
      </c>
      <c r="U2720">
        <v>83</v>
      </c>
      <c r="V2720">
        <v>26.975000000000001</v>
      </c>
    </row>
    <row r="2721" spans="1:22" x14ac:dyDescent="0.35">
      <c r="A2721" s="3">
        <v>44279</v>
      </c>
      <c r="B2721" t="s">
        <v>41</v>
      </c>
      <c r="C2721">
        <v>0</v>
      </c>
      <c r="D2721">
        <v>0</v>
      </c>
      <c r="E2721">
        <v>0</v>
      </c>
      <c r="F2721">
        <v>0</v>
      </c>
      <c r="G2721">
        <v>24.761199999999999</v>
      </c>
      <c r="H2721">
        <v>0</v>
      </c>
      <c r="I2721">
        <v>0</v>
      </c>
      <c r="J2721">
        <v>0</v>
      </c>
      <c r="K2721">
        <v>0</v>
      </c>
      <c r="L2721">
        <v>40</v>
      </c>
      <c r="M2721">
        <v>56</v>
      </c>
      <c r="N2721" t="s">
        <v>41</v>
      </c>
      <c r="O2721" s="3">
        <v>44335</v>
      </c>
      <c r="P2721">
        <v>-1</v>
      </c>
      <c r="T2721" t="s">
        <v>40</v>
      </c>
      <c r="U2721">
        <v>102</v>
      </c>
      <c r="V2721">
        <v>27.024999999999999</v>
      </c>
    </row>
    <row r="2722" spans="1:22" x14ac:dyDescent="0.35">
      <c r="A2722" s="3">
        <v>44279</v>
      </c>
      <c r="B2722" t="s">
        <v>40</v>
      </c>
      <c r="C2722">
        <v>0</v>
      </c>
      <c r="D2722">
        <v>0</v>
      </c>
      <c r="E2722">
        <v>0</v>
      </c>
      <c r="F2722">
        <v>0</v>
      </c>
      <c r="G2722">
        <v>25.5075</v>
      </c>
      <c r="H2722">
        <v>0</v>
      </c>
      <c r="I2722">
        <v>0</v>
      </c>
      <c r="J2722">
        <v>0</v>
      </c>
      <c r="K2722">
        <v>0</v>
      </c>
      <c r="L2722">
        <v>59</v>
      </c>
      <c r="M2722">
        <v>84</v>
      </c>
      <c r="N2722" t="s">
        <v>40</v>
      </c>
      <c r="O2722" s="3">
        <v>44363</v>
      </c>
      <c r="P2722">
        <v>-1</v>
      </c>
      <c r="T2722" t="s">
        <v>39</v>
      </c>
      <c r="U2722">
        <v>126</v>
      </c>
      <c r="V2722">
        <v>27.175000000000001</v>
      </c>
    </row>
    <row r="2723" spans="1:22" x14ac:dyDescent="0.35">
      <c r="A2723" s="3">
        <v>44279</v>
      </c>
      <c r="B2723" t="s">
        <v>35</v>
      </c>
      <c r="C2723">
        <v>0</v>
      </c>
      <c r="D2723">
        <v>0</v>
      </c>
      <c r="E2723">
        <v>0</v>
      </c>
      <c r="F2723">
        <v>0</v>
      </c>
      <c r="G2723">
        <v>26.3</v>
      </c>
      <c r="H2723">
        <v>0</v>
      </c>
      <c r="I2723">
        <v>0</v>
      </c>
      <c r="J2723">
        <v>0</v>
      </c>
      <c r="K2723">
        <v>0</v>
      </c>
      <c r="L2723">
        <v>167</v>
      </c>
      <c r="M2723">
        <v>238</v>
      </c>
      <c r="N2723" t="s">
        <v>35</v>
      </c>
      <c r="O2723" s="3">
        <v>44517</v>
      </c>
      <c r="P2723">
        <v>-1</v>
      </c>
      <c r="T2723" t="s">
        <v>38</v>
      </c>
      <c r="U2723">
        <v>146</v>
      </c>
      <c r="V2723">
        <v>27.024999999999999</v>
      </c>
    </row>
    <row r="2724" spans="1:22" x14ac:dyDescent="0.35">
      <c r="A2724" s="3">
        <v>44279</v>
      </c>
      <c r="B2724" t="s">
        <v>39</v>
      </c>
      <c r="C2724">
        <v>0</v>
      </c>
      <c r="D2724">
        <v>0</v>
      </c>
      <c r="E2724">
        <v>0</v>
      </c>
      <c r="F2724">
        <v>0</v>
      </c>
      <c r="G2724">
        <v>26.151700000000002</v>
      </c>
      <c r="H2724">
        <v>0</v>
      </c>
      <c r="I2724">
        <v>0</v>
      </c>
      <c r="J2724">
        <v>0</v>
      </c>
      <c r="K2724">
        <v>0</v>
      </c>
      <c r="L2724">
        <v>83</v>
      </c>
      <c r="M2724">
        <v>119</v>
      </c>
      <c r="N2724" t="s">
        <v>39</v>
      </c>
      <c r="O2724" s="3">
        <v>44398</v>
      </c>
      <c r="P2724">
        <v>-1</v>
      </c>
      <c r="T2724" t="s">
        <v>37</v>
      </c>
      <c r="U2724">
        <v>165</v>
      </c>
      <c r="V2724">
        <v>26.675000000000001</v>
      </c>
    </row>
    <row r="2725" spans="1:22" x14ac:dyDescent="0.35">
      <c r="A2725" s="3">
        <v>44279</v>
      </c>
      <c r="B2725" t="s">
        <v>36</v>
      </c>
      <c r="C2725">
        <v>0</v>
      </c>
      <c r="D2725">
        <v>0</v>
      </c>
      <c r="E2725">
        <v>0</v>
      </c>
      <c r="F2725">
        <v>0</v>
      </c>
      <c r="G2725">
        <v>26.6265</v>
      </c>
      <c r="H2725">
        <v>0</v>
      </c>
      <c r="I2725">
        <v>0</v>
      </c>
      <c r="J2725">
        <v>0</v>
      </c>
      <c r="K2725">
        <v>0</v>
      </c>
      <c r="L2725">
        <v>147</v>
      </c>
      <c r="M2725">
        <v>210</v>
      </c>
      <c r="N2725" t="s">
        <v>36</v>
      </c>
      <c r="O2725" s="3">
        <v>44489</v>
      </c>
      <c r="P2725">
        <v>-1</v>
      </c>
      <c r="S2725" s="3">
        <v>44218</v>
      </c>
      <c r="T2725" t="s">
        <v>44</v>
      </c>
      <c r="U2725">
        <v>17</v>
      </c>
      <c r="V2725">
        <v>24.875</v>
      </c>
    </row>
    <row r="2726" spans="1:22" x14ac:dyDescent="0.35">
      <c r="A2726" s="3">
        <v>44278</v>
      </c>
      <c r="B2726" t="s">
        <v>36</v>
      </c>
      <c r="C2726">
        <v>0</v>
      </c>
      <c r="D2726">
        <v>0</v>
      </c>
      <c r="E2726">
        <v>0</v>
      </c>
      <c r="F2726">
        <v>0</v>
      </c>
      <c r="G2726">
        <v>26.524999999999999</v>
      </c>
      <c r="H2726">
        <v>0</v>
      </c>
      <c r="I2726">
        <v>0</v>
      </c>
      <c r="J2726">
        <v>0</v>
      </c>
      <c r="K2726">
        <v>0</v>
      </c>
      <c r="L2726">
        <v>148</v>
      </c>
      <c r="M2726">
        <v>211</v>
      </c>
      <c r="N2726" t="s">
        <v>36</v>
      </c>
      <c r="O2726" s="3">
        <v>44489</v>
      </c>
      <c r="P2726">
        <v>-1</v>
      </c>
      <c r="T2726" t="s">
        <v>43</v>
      </c>
      <c r="U2726">
        <v>37</v>
      </c>
      <c r="V2726">
        <v>26.524999999999999</v>
      </c>
    </row>
    <row r="2727" spans="1:22" x14ac:dyDescent="0.35">
      <c r="A2727" s="3">
        <v>44278</v>
      </c>
      <c r="B2727" t="s">
        <v>38</v>
      </c>
      <c r="C2727">
        <v>0</v>
      </c>
      <c r="D2727">
        <v>0</v>
      </c>
      <c r="E2727">
        <v>0</v>
      </c>
      <c r="F2727">
        <v>0</v>
      </c>
      <c r="G2727">
        <v>26.25</v>
      </c>
      <c r="H2727">
        <v>0</v>
      </c>
      <c r="I2727">
        <v>0</v>
      </c>
      <c r="J2727">
        <v>0</v>
      </c>
      <c r="K2727">
        <v>0</v>
      </c>
      <c r="L2727">
        <v>104</v>
      </c>
      <c r="M2727">
        <v>148</v>
      </c>
      <c r="N2727" t="s">
        <v>38</v>
      </c>
      <c r="O2727" s="3">
        <v>44426</v>
      </c>
      <c r="P2727">
        <v>-1</v>
      </c>
      <c r="T2727" t="s">
        <v>42</v>
      </c>
      <c r="U2727">
        <v>62</v>
      </c>
      <c r="V2727">
        <v>26.975000000000001</v>
      </c>
    </row>
    <row r="2728" spans="1:22" x14ac:dyDescent="0.35">
      <c r="A2728" s="3">
        <v>44278</v>
      </c>
      <c r="B2728" t="s">
        <v>34</v>
      </c>
      <c r="C2728">
        <v>0</v>
      </c>
      <c r="D2728">
        <v>0</v>
      </c>
      <c r="E2728">
        <v>0</v>
      </c>
      <c r="F2728">
        <v>0</v>
      </c>
      <c r="G2728">
        <v>25.65</v>
      </c>
      <c r="H2728">
        <v>0</v>
      </c>
      <c r="I2728">
        <v>0</v>
      </c>
      <c r="J2728">
        <v>0</v>
      </c>
      <c r="K2728">
        <v>0</v>
      </c>
      <c r="L2728">
        <v>192</v>
      </c>
      <c r="M2728">
        <v>274</v>
      </c>
      <c r="N2728" t="s">
        <v>34</v>
      </c>
      <c r="O2728" s="3">
        <v>44552</v>
      </c>
      <c r="P2728">
        <v>-1</v>
      </c>
      <c r="T2728" t="s">
        <v>41</v>
      </c>
      <c r="U2728">
        <v>82</v>
      </c>
      <c r="V2728">
        <v>27.074999999999999</v>
      </c>
    </row>
    <row r="2729" spans="1:22" x14ac:dyDescent="0.35">
      <c r="A2729" s="3">
        <v>44278</v>
      </c>
      <c r="B2729" t="s">
        <v>37</v>
      </c>
      <c r="C2729">
        <v>0</v>
      </c>
      <c r="D2729">
        <v>0</v>
      </c>
      <c r="E2729">
        <v>0</v>
      </c>
      <c r="F2729">
        <v>0</v>
      </c>
      <c r="G2729">
        <v>26.551300000000001</v>
      </c>
      <c r="H2729">
        <v>0</v>
      </c>
      <c r="I2729">
        <v>0</v>
      </c>
      <c r="J2729">
        <v>0</v>
      </c>
      <c r="K2729">
        <v>0</v>
      </c>
      <c r="L2729">
        <v>123</v>
      </c>
      <c r="M2729">
        <v>176</v>
      </c>
      <c r="N2729" t="s">
        <v>37</v>
      </c>
      <c r="O2729" s="3">
        <v>44454</v>
      </c>
      <c r="P2729">
        <v>-1</v>
      </c>
      <c r="T2729" t="s">
        <v>40</v>
      </c>
      <c r="U2729">
        <v>101</v>
      </c>
      <c r="V2729">
        <v>27.074999999999999</v>
      </c>
    </row>
    <row r="2730" spans="1:22" x14ac:dyDescent="0.35">
      <c r="A2730" s="3">
        <v>44278</v>
      </c>
      <c r="B2730" t="s">
        <v>42</v>
      </c>
      <c r="C2730">
        <v>0</v>
      </c>
      <c r="D2730">
        <v>0</v>
      </c>
      <c r="E2730">
        <v>0</v>
      </c>
      <c r="F2730">
        <v>0</v>
      </c>
      <c r="G2730">
        <v>22.832999999999998</v>
      </c>
      <c r="H2730">
        <v>0</v>
      </c>
      <c r="I2730">
        <v>0</v>
      </c>
      <c r="J2730">
        <v>0</v>
      </c>
      <c r="K2730">
        <v>0</v>
      </c>
      <c r="L2730">
        <v>21</v>
      </c>
      <c r="M2730">
        <v>29</v>
      </c>
      <c r="N2730" t="s">
        <v>42</v>
      </c>
      <c r="O2730" s="3">
        <v>44307</v>
      </c>
      <c r="P2730">
        <v>-1</v>
      </c>
      <c r="T2730" t="s">
        <v>39</v>
      </c>
      <c r="U2730">
        <v>125</v>
      </c>
      <c r="V2730">
        <v>27.274999999999999</v>
      </c>
    </row>
    <row r="2731" spans="1:22" x14ac:dyDescent="0.35">
      <c r="A2731" s="3">
        <v>44278</v>
      </c>
      <c r="B2731" t="s">
        <v>41</v>
      </c>
      <c r="C2731">
        <v>0</v>
      </c>
      <c r="D2731">
        <v>0</v>
      </c>
      <c r="E2731">
        <v>0</v>
      </c>
      <c r="F2731">
        <v>0</v>
      </c>
      <c r="G2731">
        <v>24.746700000000001</v>
      </c>
      <c r="H2731">
        <v>0</v>
      </c>
      <c r="I2731">
        <v>0</v>
      </c>
      <c r="J2731">
        <v>0</v>
      </c>
      <c r="K2731">
        <v>0</v>
      </c>
      <c r="L2731">
        <v>41</v>
      </c>
      <c r="M2731">
        <v>57</v>
      </c>
      <c r="N2731" t="s">
        <v>41</v>
      </c>
      <c r="O2731" s="3">
        <v>44335</v>
      </c>
      <c r="P2731">
        <v>-1</v>
      </c>
      <c r="T2731" t="s">
        <v>38</v>
      </c>
      <c r="U2731">
        <v>145</v>
      </c>
      <c r="V2731">
        <v>27.15</v>
      </c>
    </row>
    <row r="2732" spans="1:22" x14ac:dyDescent="0.35">
      <c r="A2732" s="3">
        <v>44278</v>
      </c>
      <c r="B2732" t="s">
        <v>40</v>
      </c>
      <c r="C2732">
        <v>0</v>
      </c>
      <c r="D2732">
        <v>0</v>
      </c>
      <c r="E2732">
        <v>0</v>
      </c>
      <c r="F2732">
        <v>0</v>
      </c>
      <c r="G2732">
        <v>25.565999999999999</v>
      </c>
      <c r="H2732">
        <v>0</v>
      </c>
      <c r="I2732">
        <v>0</v>
      </c>
      <c r="J2732">
        <v>0</v>
      </c>
      <c r="K2732">
        <v>0</v>
      </c>
      <c r="L2732">
        <v>60</v>
      </c>
      <c r="M2732">
        <v>85</v>
      </c>
      <c r="N2732" t="s">
        <v>40</v>
      </c>
      <c r="O2732" s="3">
        <v>44363</v>
      </c>
      <c r="P2732">
        <v>-1</v>
      </c>
      <c r="T2732" t="s">
        <v>37</v>
      </c>
      <c r="U2732">
        <v>164</v>
      </c>
      <c r="V2732">
        <v>26.55</v>
      </c>
    </row>
    <row r="2733" spans="1:22" x14ac:dyDescent="0.35">
      <c r="A2733" s="3">
        <v>44278</v>
      </c>
      <c r="B2733" t="s">
        <v>35</v>
      </c>
      <c r="C2733">
        <v>0</v>
      </c>
      <c r="D2733">
        <v>0</v>
      </c>
      <c r="E2733">
        <v>0</v>
      </c>
      <c r="F2733">
        <v>0</v>
      </c>
      <c r="G2733">
        <v>26.2</v>
      </c>
      <c r="H2733">
        <v>0</v>
      </c>
      <c r="I2733">
        <v>0</v>
      </c>
      <c r="J2733">
        <v>0</v>
      </c>
      <c r="K2733">
        <v>0</v>
      </c>
      <c r="L2733">
        <v>168</v>
      </c>
      <c r="M2733">
        <v>239</v>
      </c>
      <c r="N2733" t="s">
        <v>35</v>
      </c>
      <c r="O2733" s="3">
        <v>44517</v>
      </c>
      <c r="P2733">
        <v>-1</v>
      </c>
      <c r="S2733" s="3">
        <v>44221</v>
      </c>
      <c r="T2733" t="s">
        <v>44</v>
      </c>
      <c r="U2733">
        <v>16</v>
      </c>
      <c r="V2733">
        <v>25.953499999999998</v>
      </c>
    </row>
    <row r="2734" spans="1:22" x14ac:dyDescent="0.35">
      <c r="A2734" s="3">
        <v>44278</v>
      </c>
      <c r="B2734" t="s">
        <v>39</v>
      </c>
      <c r="C2734">
        <v>0</v>
      </c>
      <c r="D2734">
        <v>0</v>
      </c>
      <c r="E2734">
        <v>0</v>
      </c>
      <c r="F2734">
        <v>0</v>
      </c>
      <c r="G2734">
        <v>26.2</v>
      </c>
      <c r="H2734">
        <v>0</v>
      </c>
      <c r="I2734">
        <v>0</v>
      </c>
      <c r="J2734">
        <v>0</v>
      </c>
      <c r="K2734">
        <v>0</v>
      </c>
      <c r="L2734">
        <v>84</v>
      </c>
      <c r="M2734">
        <v>120</v>
      </c>
      <c r="N2734" t="s">
        <v>39</v>
      </c>
      <c r="O2734" s="3">
        <v>44398</v>
      </c>
      <c r="P2734">
        <v>-1</v>
      </c>
      <c r="T2734" t="s">
        <v>43</v>
      </c>
      <c r="U2734">
        <v>36</v>
      </c>
      <c r="V2734">
        <v>27.400400000000001</v>
      </c>
    </row>
    <row r="2735" spans="1:22" x14ac:dyDescent="0.35">
      <c r="A2735" s="3">
        <v>44277</v>
      </c>
      <c r="B2735" t="s">
        <v>38</v>
      </c>
      <c r="C2735">
        <v>0</v>
      </c>
      <c r="D2735">
        <v>0</v>
      </c>
      <c r="E2735">
        <v>0</v>
      </c>
      <c r="F2735">
        <v>0</v>
      </c>
      <c r="G2735">
        <v>26.0807</v>
      </c>
      <c r="H2735">
        <v>0</v>
      </c>
      <c r="I2735">
        <v>0</v>
      </c>
      <c r="J2735">
        <v>0</v>
      </c>
      <c r="K2735">
        <v>0</v>
      </c>
      <c r="L2735">
        <v>105</v>
      </c>
      <c r="M2735">
        <v>149</v>
      </c>
      <c r="N2735" t="s">
        <v>38</v>
      </c>
      <c r="O2735" s="3">
        <v>44426</v>
      </c>
      <c r="P2735">
        <v>-1</v>
      </c>
      <c r="T2735" t="s">
        <v>42</v>
      </c>
      <c r="U2735">
        <v>61</v>
      </c>
      <c r="V2735">
        <v>27.7088</v>
      </c>
    </row>
    <row r="2736" spans="1:22" x14ac:dyDescent="0.35">
      <c r="A2736" s="3">
        <v>44277</v>
      </c>
      <c r="B2736" t="s">
        <v>34</v>
      </c>
      <c r="C2736">
        <v>0</v>
      </c>
      <c r="D2736">
        <v>0</v>
      </c>
      <c r="E2736">
        <v>0</v>
      </c>
      <c r="F2736">
        <v>0</v>
      </c>
      <c r="G2736">
        <v>25.625</v>
      </c>
      <c r="H2736">
        <v>0</v>
      </c>
      <c r="I2736">
        <v>0</v>
      </c>
      <c r="J2736">
        <v>0</v>
      </c>
      <c r="K2736">
        <v>0</v>
      </c>
      <c r="L2736">
        <v>193</v>
      </c>
      <c r="M2736">
        <v>275</v>
      </c>
      <c r="N2736" t="s">
        <v>34</v>
      </c>
      <c r="O2736" s="3">
        <v>44552</v>
      </c>
      <c r="P2736">
        <v>-1</v>
      </c>
      <c r="T2736" t="s">
        <v>41</v>
      </c>
      <c r="U2736">
        <v>81</v>
      </c>
      <c r="V2736">
        <v>27.667400000000001</v>
      </c>
    </row>
    <row r="2737" spans="1:22" x14ac:dyDescent="0.35">
      <c r="A2737" s="3">
        <v>44277</v>
      </c>
      <c r="B2737" t="s">
        <v>37</v>
      </c>
      <c r="C2737">
        <v>0</v>
      </c>
      <c r="D2737">
        <v>0</v>
      </c>
      <c r="E2737">
        <v>0</v>
      </c>
      <c r="F2737">
        <v>0</v>
      </c>
      <c r="G2737">
        <v>26.4925</v>
      </c>
      <c r="H2737">
        <v>0</v>
      </c>
      <c r="I2737">
        <v>0</v>
      </c>
      <c r="J2737">
        <v>0</v>
      </c>
      <c r="K2737">
        <v>0</v>
      </c>
      <c r="L2737">
        <v>124</v>
      </c>
      <c r="M2737">
        <v>177</v>
      </c>
      <c r="N2737" t="s">
        <v>37</v>
      </c>
      <c r="O2737" s="3">
        <v>44454</v>
      </c>
      <c r="P2737">
        <v>-1</v>
      </c>
      <c r="T2737" t="s">
        <v>40</v>
      </c>
      <c r="U2737">
        <v>100</v>
      </c>
      <c r="V2737">
        <v>27.6188</v>
      </c>
    </row>
    <row r="2738" spans="1:22" x14ac:dyDescent="0.35">
      <c r="A2738" s="3">
        <v>44277</v>
      </c>
      <c r="B2738" t="s">
        <v>42</v>
      </c>
      <c r="C2738">
        <v>0</v>
      </c>
      <c r="D2738">
        <v>0</v>
      </c>
      <c r="E2738">
        <v>0</v>
      </c>
      <c r="F2738">
        <v>0</v>
      </c>
      <c r="G2738">
        <v>21.731000000000002</v>
      </c>
      <c r="H2738">
        <v>0</v>
      </c>
      <c r="I2738">
        <v>0</v>
      </c>
      <c r="J2738">
        <v>0</v>
      </c>
      <c r="K2738">
        <v>0</v>
      </c>
      <c r="L2738">
        <v>22</v>
      </c>
      <c r="M2738">
        <v>30</v>
      </c>
      <c r="N2738" t="s">
        <v>42</v>
      </c>
      <c r="O2738" s="3">
        <v>44307</v>
      </c>
      <c r="P2738">
        <v>-1</v>
      </c>
      <c r="T2738" t="s">
        <v>39</v>
      </c>
      <c r="U2738">
        <v>124</v>
      </c>
      <c r="V2738">
        <v>27.7455</v>
      </c>
    </row>
    <row r="2739" spans="1:22" x14ac:dyDescent="0.35">
      <c r="A2739" s="3">
        <v>44277</v>
      </c>
      <c r="B2739" t="s">
        <v>41</v>
      </c>
      <c r="C2739">
        <v>0</v>
      </c>
      <c r="D2739">
        <v>0</v>
      </c>
      <c r="E2739">
        <v>0</v>
      </c>
      <c r="F2739">
        <v>0</v>
      </c>
      <c r="G2739">
        <v>23.944900000000001</v>
      </c>
      <c r="H2739">
        <v>0</v>
      </c>
      <c r="I2739">
        <v>0</v>
      </c>
      <c r="J2739">
        <v>0</v>
      </c>
      <c r="K2739">
        <v>0</v>
      </c>
      <c r="L2739">
        <v>42</v>
      </c>
      <c r="M2739">
        <v>58</v>
      </c>
      <c r="N2739" t="s">
        <v>41</v>
      </c>
      <c r="O2739" s="3">
        <v>44335</v>
      </c>
      <c r="P2739">
        <v>-1</v>
      </c>
      <c r="T2739" t="s">
        <v>38</v>
      </c>
      <c r="U2739">
        <v>144</v>
      </c>
      <c r="V2739">
        <v>27.531300000000002</v>
      </c>
    </row>
    <row r="2740" spans="1:22" x14ac:dyDescent="0.35">
      <c r="A2740" s="3">
        <v>44277</v>
      </c>
      <c r="B2740" t="s">
        <v>40</v>
      </c>
      <c r="C2740">
        <v>0</v>
      </c>
      <c r="D2740">
        <v>0</v>
      </c>
      <c r="E2740">
        <v>0</v>
      </c>
      <c r="F2740">
        <v>0</v>
      </c>
      <c r="G2740">
        <v>24.901499999999999</v>
      </c>
      <c r="H2740">
        <v>0</v>
      </c>
      <c r="I2740">
        <v>0</v>
      </c>
      <c r="J2740">
        <v>0</v>
      </c>
      <c r="K2740">
        <v>0</v>
      </c>
      <c r="L2740">
        <v>61</v>
      </c>
      <c r="M2740">
        <v>86</v>
      </c>
      <c r="N2740" t="s">
        <v>40</v>
      </c>
      <c r="O2740" s="3">
        <v>44363</v>
      </c>
      <c r="P2740">
        <v>-1</v>
      </c>
      <c r="T2740" t="s">
        <v>37</v>
      </c>
      <c r="U2740">
        <v>163</v>
      </c>
      <c r="V2740">
        <v>27.574999999999999</v>
      </c>
    </row>
    <row r="2741" spans="1:22" x14ac:dyDescent="0.35">
      <c r="A2741" s="3">
        <v>44277</v>
      </c>
      <c r="B2741" t="s">
        <v>35</v>
      </c>
      <c r="C2741">
        <v>0</v>
      </c>
      <c r="D2741">
        <v>0</v>
      </c>
      <c r="E2741">
        <v>0</v>
      </c>
      <c r="F2741">
        <v>0</v>
      </c>
      <c r="G2741">
        <v>26.225000000000001</v>
      </c>
      <c r="H2741">
        <v>0</v>
      </c>
      <c r="I2741">
        <v>0</v>
      </c>
      <c r="J2741">
        <v>0</v>
      </c>
      <c r="K2741">
        <v>0</v>
      </c>
      <c r="L2741">
        <v>169</v>
      </c>
      <c r="M2741">
        <v>240</v>
      </c>
      <c r="N2741" t="s">
        <v>35</v>
      </c>
      <c r="O2741" s="3">
        <v>44517</v>
      </c>
      <c r="P2741">
        <v>-1</v>
      </c>
      <c r="T2741" t="s">
        <v>36</v>
      </c>
      <c r="U2741">
        <v>188</v>
      </c>
      <c r="V2741">
        <v>27.574999999999999</v>
      </c>
    </row>
    <row r="2742" spans="1:22" x14ac:dyDescent="0.35">
      <c r="A2742" s="3">
        <v>44277</v>
      </c>
      <c r="B2742" t="s">
        <v>39</v>
      </c>
      <c r="C2742">
        <v>0</v>
      </c>
      <c r="D2742">
        <v>0</v>
      </c>
      <c r="E2742">
        <v>0</v>
      </c>
      <c r="F2742">
        <v>0</v>
      </c>
      <c r="G2742">
        <v>25.85</v>
      </c>
      <c r="H2742">
        <v>0</v>
      </c>
      <c r="I2742">
        <v>0</v>
      </c>
      <c r="J2742">
        <v>0</v>
      </c>
      <c r="K2742">
        <v>0</v>
      </c>
      <c r="L2742">
        <v>85</v>
      </c>
      <c r="M2742">
        <v>121</v>
      </c>
      <c r="N2742" t="s">
        <v>39</v>
      </c>
      <c r="O2742" s="3">
        <v>44398</v>
      </c>
      <c r="P2742">
        <v>-1</v>
      </c>
      <c r="S2742" s="3">
        <v>44222</v>
      </c>
      <c r="T2742" t="s">
        <v>44</v>
      </c>
      <c r="U2742">
        <v>15</v>
      </c>
      <c r="V2742">
        <v>25.409500000000001</v>
      </c>
    </row>
    <row r="2743" spans="1:22" x14ac:dyDescent="0.35">
      <c r="A2743" s="3">
        <v>44277</v>
      </c>
      <c r="B2743" t="s">
        <v>36</v>
      </c>
      <c r="C2743">
        <v>0</v>
      </c>
      <c r="D2743">
        <v>0</v>
      </c>
      <c r="E2743">
        <v>0</v>
      </c>
      <c r="F2743">
        <v>0</v>
      </c>
      <c r="G2743">
        <v>26.5</v>
      </c>
      <c r="H2743">
        <v>0</v>
      </c>
      <c r="I2743">
        <v>0</v>
      </c>
      <c r="J2743">
        <v>0</v>
      </c>
      <c r="K2743">
        <v>0</v>
      </c>
      <c r="L2743">
        <v>149</v>
      </c>
      <c r="M2743">
        <v>212</v>
      </c>
      <c r="N2743" t="s">
        <v>36</v>
      </c>
      <c r="O2743" s="3">
        <v>44489</v>
      </c>
      <c r="P2743">
        <v>-1</v>
      </c>
      <c r="T2743" t="s">
        <v>43</v>
      </c>
      <c r="U2743">
        <v>35</v>
      </c>
      <c r="V2743">
        <v>27.226700000000001</v>
      </c>
    </row>
    <row r="2744" spans="1:22" x14ac:dyDescent="0.35">
      <c r="A2744" s="3">
        <v>44274</v>
      </c>
      <c r="B2744" t="s">
        <v>36</v>
      </c>
      <c r="C2744">
        <v>0</v>
      </c>
      <c r="D2744">
        <v>0</v>
      </c>
      <c r="E2744">
        <v>0</v>
      </c>
      <c r="F2744">
        <v>0</v>
      </c>
      <c r="G2744">
        <v>27.45</v>
      </c>
      <c r="H2744">
        <v>0</v>
      </c>
      <c r="I2744">
        <v>0</v>
      </c>
      <c r="J2744">
        <v>0</v>
      </c>
      <c r="K2744">
        <v>0</v>
      </c>
      <c r="L2744">
        <v>150</v>
      </c>
      <c r="M2744">
        <v>215</v>
      </c>
      <c r="N2744" t="s">
        <v>36</v>
      </c>
      <c r="O2744" s="3">
        <v>44489</v>
      </c>
      <c r="P2744">
        <v>-1</v>
      </c>
      <c r="T2744" t="s">
        <v>42</v>
      </c>
      <c r="U2744">
        <v>60</v>
      </c>
      <c r="V2744">
        <v>27.7319</v>
      </c>
    </row>
    <row r="2745" spans="1:22" x14ac:dyDescent="0.35">
      <c r="A2745" s="3">
        <v>44274</v>
      </c>
      <c r="B2745" t="s">
        <v>38</v>
      </c>
      <c r="C2745">
        <v>0</v>
      </c>
      <c r="D2745">
        <v>0</v>
      </c>
      <c r="E2745">
        <v>0</v>
      </c>
      <c r="F2745">
        <v>0</v>
      </c>
      <c r="G2745">
        <v>27.2</v>
      </c>
      <c r="H2745">
        <v>0</v>
      </c>
      <c r="I2745">
        <v>0</v>
      </c>
      <c r="J2745">
        <v>0</v>
      </c>
      <c r="K2745">
        <v>0</v>
      </c>
      <c r="L2745">
        <v>106</v>
      </c>
      <c r="M2745">
        <v>152</v>
      </c>
      <c r="N2745" t="s">
        <v>38</v>
      </c>
      <c r="O2745" s="3">
        <v>44426</v>
      </c>
      <c r="P2745">
        <v>-1</v>
      </c>
      <c r="T2745" t="s">
        <v>41</v>
      </c>
      <c r="U2745">
        <v>80</v>
      </c>
      <c r="V2745">
        <v>27.788799999999998</v>
      </c>
    </row>
    <row r="2746" spans="1:22" x14ac:dyDescent="0.35">
      <c r="A2746" s="3">
        <v>44274</v>
      </c>
      <c r="B2746" t="s">
        <v>37</v>
      </c>
      <c r="C2746">
        <v>0</v>
      </c>
      <c r="D2746">
        <v>0</v>
      </c>
      <c r="E2746">
        <v>0</v>
      </c>
      <c r="F2746">
        <v>0</v>
      </c>
      <c r="G2746">
        <v>27.487500000000001</v>
      </c>
      <c r="H2746">
        <v>0</v>
      </c>
      <c r="I2746">
        <v>0</v>
      </c>
      <c r="J2746">
        <v>0</v>
      </c>
      <c r="K2746">
        <v>0</v>
      </c>
      <c r="L2746">
        <v>125</v>
      </c>
      <c r="M2746">
        <v>180</v>
      </c>
      <c r="N2746" t="s">
        <v>37</v>
      </c>
      <c r="O2746" s="3">
        <v>44454</v>
      </c>
      <c r="P2746">
        <v>-1</v>
      </c>
      <c r="T2746" t="s">
        <v>40</v>
      </c>
      <c r="U2746">
        <v>99</v>
      </c>
      <c r="V2746">
        <v>27.7059</v>
      </c>
    </row>
    <row r="2747" spans="1:22" x14ac:dyDescent="0.35">
      <c r="A2747" s="3">
        <v>44274</v>
      </c>
      <c r="B2747" t="s">
        <v>42</v>
      </c>
      <c r="C2747">
        <v>0</v>
      </c>
      <c r="D2747">
        <v>0</v>
      </c>
      <c r="E2747">
        <v>0</v>
      </c>
      <c r="F2747">
        <v>0</v>
      </c>
      <c r="G2747">
        <v>23.315000000000001</v>
      </c>
      <c r="H2747">
        <v>0</v>
      </c>
      <c r="I2747">
        <v>0</v>
      </c>
      <c r="J2747">
        <v>0</v>
      </c>
      <c r="K2747">
        <v>0</v>
      </c>
      <c r="L2747">
        <v>23</v>
      </c>
      <c r="M2747">
        <v>33</v>
      </c>
      <c r="N2747" t="s">
        <v>42</v>
      </c>
      <c r="O2747" s="3">
        <v>44307</v>
      </c>
      <c r="P2747">
        <v>-1</v>
      </c>
      <c r="T2747" t="s">
        <v>39</v>
      </c>
      <c r="U2747">
        <v>123</v>
      </c>
      <c r="V2747">
        <v>27.7972</v>
      </c>
    </row>
    <row r="2748" spans="1:22" x14ac:dyDescent="0.35">
      <c r="A2748" s="3">
        <v>44274</v>
      </c>
      <c r="B2748" t="s">
        <v>41</v>
      </c>
      <c r="C2748">
        <v>0</v>
      </c>
      <c r="D2748">
        <v>0</v>
      </c>
      <c r="E2748">
        <v>0</v>
      </c>
      <c r="F2748">
        <v>0</v>
      </c>
      <c r="G2748">
        <v>25.2669</v>
      </c>
      <c r="H2748">
        <v>0</v>
      </c>
      <c r="I2748">
        <v>0</v>
      </c>
      <c r="J2748">
        <v>0</v>
      </c>
      <c r="K2748">
        <v>0</v>
      </c>
      <c r="L2748">
        <v>43</v>
      </c>
      <c r="M2748">
        <v>61</v>
      </c>
      <c r="N2748" t="s">
        <v>41</v>
      </c>
      <c r="O2748" s="3">
        <v>44335</v>
      </c>
      <c r="P2748">
        <v>-1</v>
      </c>
      <c r="T2748" t="s">
        <v>38</v>
      </c>
      <c r="U2748">
        <v>143</v>
      </c>
      <c r="V2748">
        <v>27.6313</v>
      </c>
    </row>
    <row r="2749" spans="1:22" x14ac:dyDescent="0.35">
      <c r="A2749" s="3">
        <v>44274</v>
      </c>
      <c r="B2749" t="s">
        <v>40</v>
      </c>
      <c r="C2749">
        <v>0</v>
      </c>
      <c r="D2749">
        <v>0</v>
      </c>
      <c r="E2749">
        <v>0</v>
      </c>
      <c r="F2749">
        <v>0</v>
      </c>
      <c r="G2749">
        <v>26.214500000000001</v>
      </c>
      <c r="H2749">
        <v>0</v>
      </c>
      <c r="I2749">
        <v>0</v>
      </c>
      <c r="J2749">
        <v>0</v>
      </c>
      <c r="K2749">
        <v>0</v>
      </c>
      <c r="L2749">
        <v>62</v>
      </c>
      <c r="M2749">
        <v>89</v>
      </c>
      <c r="N2749" t="s">
        <v>40</v>
      </c>
      <c r="O2749" s="3">
        <v>44363</v>
      </c>
      <c r="P2749">
        <v>-1</v>
      </c>
      <c r="T2749" t="s">
        <v>37</v>
      </c>
      <c r="U2749">
        <v>162</v>
      </c>
      <c r="V2749">
        <v>27.55</v>
      </c>
    </row>
    <row r="2750" spans="1:22" x14ac:dyDescent="0.35">
      <c r="A2750" s="3">
        <v>44274</v>
      </c>
      <c r="B2750" t="s">
        <v>35</v>
      </c>
      <c r="C2750">
        <v>0</v>
      </c>
      <c r="D2750">
        <v>0</v>
      </c>
      <c r="E2750">
        <v>0</v>
      </c>
      <c r="F2750">
        <v>0</v>
      </c>
      <c r="G2750">
        <v>26.8444</v>
      </c>
      <c r="H2750">
        <v>0</v>
      </c>
      <c r="I2750">
        <v>0</v>
      </c>
      <c r="J2750">
        <v>0</v>
      </c>
      <c r="K2750">
        <v>0</v>
      </c>
      <c r="L2750">
        <v>170</v>
      </c>
      <c r="M2750">
        <v>243</v>
      </c>
      <c r="N2750" t="s">
        <v>35</v>
      </c>
      <c r="O2750" s="3">
        <v>44517</v>
      </c>
      <c r="P2750">
        <v>-1</v>
      </c>
      <c r="T2750" t="s">
        <v>36</v>
      </c>
      <c r="U2750">
        <v>187</v>
      </c>
      <c r="V2750">
        <v>27.55</v>
      </c>
    </row>
    <row r="2751" spans="1:22" x14ac:dyDescent="0.35">
      <c r="A2751" s="3">
        <v>44274</v>
      </c>
      <c r="B2751" t="s">
        <v>39</v>
      </c>
      <c r="C2751">
        <v>0</v>
      </c>
      <c r="D2751">
        <v>0</v>
      </c>
      <c r="E2751">
        <v>0</v>
      </c>
      <c r="F2751">
        <v>0</v>
      </c>
      <c r="G2751">
        <v>27.05</v>
      </c>
      <c r="H2751">
        <v>0</v>
      </c>
      <c r="I2751">
        <v>0</v>
      </c>
      <c r="J2751">
        <v>0</v>
      </c>
      <c r="K2751">
        <v>0</v>
      </c>
      <c r="L2751">
        <v>86</v>
      </c>
      <c r="M2751">
        <v>124</v>
      </c>
      <c r="N2751" t="s">
        <v>39</v>
      </c>
      <c r="O2751" s="3">
        <v>44398</v>
      </c>
      <c r="P2751">
        <v>-1</v>
      </c>
      <c r="S2751" s="3">
        <v>44223</v>
      </c>
      <c r="T2751" t="s">
        <v>44</v>
      </c>
      <c r="U2751">
        <v>14</v>
      </c>
      <c r="V2751">
        <v>31.534199999999998</v>
      </c>
    </row>
    <row r="2752" spans="1:22" x14ac:dyDescent="0.35">
      <c r="A2752" s="3">
        <v>44273</v>
      </c>
      <c r="B2752" t="s">
        <v>38</v>
      </c>
      <c r="C2752">
        <v>0</v>
      </c>
      <c r="D2752">
        <v>0</v>
      </c>
      <c r="E2752">
        <v>0</v>
      </c>
      <c r="F2752">
        <v>0</v>
      </c>
      <c r="G2752">
        <v>27.0517</v>
      </c>
      <c r="H2752">
        <v>0</v>
      </c>
      <c r="I2752">
        <v>0</v>
      </c>
      <c r="J2752">
        <v>0</v>
      </c>
      <c r="K2752">
        <v>0</v>
      </c>
      <c r="L2752">
        <v>107</v>
      </c>
      <c r="M2752">
        <v>153</v>
      </c>
      <c r="N2752" t="s">
        <v>38</v>
      </c>
      <c r="O2752" s="3">
        <v>44426</v>
      </c>
      <c r="P2752">
        <v>-1</v>
      </c>
      <c r="T2752" t="s">
        <v>43</v>
      </c>
      <c r="U2752">
        <v>34</v>
      </c>
      <c r="V2752">
        <v>31.231300000000001</v>
      </c>
    </row>
    <row r="2753" spans="1:22" x14ac:dyDescent="0.35">
      <c r="A2753" s="3">
        <v>44273</v>
      </c>
      <c r="B2753" t="s">
        <v>37</v>
      </c>
      <c r="C2753">
        <v>0</v>
      </c>
      <c r="D2753">
        <v>0</v>
      </c>
      <c r="E2753">
        <v>0</v>
      </c>
      <c r="F2753">
        <v>0</v>
      </c>
      <c r="G2753">
        <v>27.2667</v>
      </c>
      <c r="H2753">
        <v>0</v>
      </c>
      <c r="I2753">
        <v>0</v>
      </c>
      <c r="J2753">
        <v>0</v>
      </c>
      <c r="K2753">
        <v>0</v>
      </c>
      <c r="L2753">
        <v>126</v>
      </c>
      <c r="M2753">
        <v>181</v>
      </c>
      <c r="N2753" t="s">
        <v>37</v>
      </c>
      <c r="O2753" s="3">
        <v>44454</v>
      </c>
      <c r="P2753">
        <v>-1</v>
      </c>
      <c r="T2753" t="s">
        <v>42</v>
      </c>
      <c r="U2753">
        <v>59</v>
      </c>
      <c r="V2753">
        <v>30.6007</v>
      </c>
    </row>
    <row r="2754" spans="1:22" x14ac:dyDescent="0.35">
      <c r="A2754" s="3">
        <v>44273</v>
      </c>
      <c r="B2754" t="s">
        <v>42</v>
      </c>
      <c r="C2754">
        <v>0</v>
      </c>
      <c r="D2754">
        <v>0</v>
      </c>
      <c r="E2754">
        <v>0</v>
      </c>
      <c r="F2754">
        <v>0</v>
      </c>
      <c r="G2754">
        <v>24.3001</v>
      </c>
      <c r="H2754">
        <v>0</v>
      </c>
      <c r="I2754">
        <v>0</v>
      </c>
      <c r="J2754">
        <v>0</v>
      </c>
      <c r="K2754">
        <v>0</v>
      </c>
      <c r="L2754">
        <v>24</v>
      </c>
      <c r="M2754">
        <v>34</v>
      </c>
      <c r="N2754" t="s">
        <v>42</v>
      </c>
      <c r="O2754" s="3">
        <v>44307</v>
      </c>
      <c r="P2754">
        <v>-1</v>
      </c>
      <c r="T2754" t="s">
        <v>41</v>
      </c>
      <c r="U2754">
        <v>79</v>
      </c>
      <c r="V2754">
        <v>29.9922</v>
      </c>
    </row>
    <row r="2755" spans="1:22" x14ac:dyDescent="0.35">
      <c r="A2755" s="3">
        <v>44273</v>
      </c>
      <c r="B2755" t="s">
        <v>41</v>
      </c>
      <c r="C2755">
        <v>0</v>
      </c>
      <c r="D2755">
        <v>0</v>
      </c>
      <c r="E2755">
        <v>0</v>
      </c>
      <c r="F2755">
        <v>0</v>
      </c>
      <c r="G2755">
        <v>25.801400000000001</v>
      </c>
      <c r="H2755">
        <v>0</v>
      </c>
      <c r="I2755">
        <v>0</v>
      </c>
      <c r="J2755">
        <v>0</v>
      </c>
      <c r="K2755">
        <v>0</v>
      </c>
      <c r="L2755">
        <v>44</v>
      </c>
      <c r="M2755">
        <v>62</v>
      </c>
      <c r="N2755" t="s">
        <v>41</v>
      </c>
      <c r="O2755" s="3">
        <v>44335</v>
      </c>
      <c r="P2755">
        <v>-1</v>
      </c>
      <c r="T2755" t="s">
        <v>40</v>
      </c>
      <c r="U2755">
        <v>98</v>
      </c>
      <c r="V2755">
        <v>29.574999999999999</v>
      </c>
    </row>
    <row r="2756" spans="1:22" x14ac:dyDescent="0.35">
      <c r="A2756" s="3">
        <v>44273</v>
      </c>
      <c r="B2756" t="s">
        <v>40</v>
      </c>
      <c r="C2756">
        <v>0</v>
      </c>
      <c r="D2756">
        <v>0</v>
      </c>
      <c r="E2756">
        <v>0</v>
      </c>
      <c r="F2756">
        <v>0</v>
      </c>
      <c r="G2756">
        <v>26.446100000000001</v>
      </c>
      <c r="H2756">
        <v>0</v>
      </c>
      <c r="I2756">
        <v>0</v>
      </c>
      <c r="J2756">
        <v>0</v>
      </c>
      <c r="K2756">
        <v>0</v>
      </c>
      <c r="L2756">
        <v>63</v>
      </c>
      <c r="M2756">
        <v>90</v>
      </c>
      <c r="N2756" t="s">
        <v>40</v>
      </c>
      <c r="O2756" s="3">
        <v>44363</v>
      </c>
      <c r="P2756">
        <v>-1</v>
      </c>
      <c r="T2756" t="s">
        <v>39</v>
      </c>
      <c r="U2756">
        <v>122</v>
      </c>
      <c r="V2756">
        <v>29.45</v>
      </c>
    </row>
    <row r="2757" spans="1:22" x14ac:dyDescent="0.35">
      <c r="A2757" s="3">
        <v>44273</v>
      </c>
      <c r="B2757" t="s">
        <v>35</v>
      </c>
      <c r="C2757">
        <v>0</v>
      </c>
      <c r="D2757">
        <v>0</v>
      </c>
      <c r="E2757">
        <v>0</v>
      </c>
      <c r="F2757">
        <v>0</v>
      </c>
      <c r="G2757">
        <v>26.925000000000001</v>
      </c>
      <c r="H2757">
        <v>0</v>
      </c>
      <c r="I2757">
        <v>0</v>
      </c>
      <c r="J2757">
        <v>0</v>
      </c>
      <c r="K2757">
        <v>0</v>
      </c>
      <c r="L2757">
        <v>171</v>
      </c>
      <c r="M2757">
        <v>244</v>
      </c>
      <c r="N2757" t="s">
        <v>35</v>
      </c>
      <c r="O2757" s="3">
        <v>44517</v>
      </c>
      <c r="P2757">
        <v>-1</v>
      </c>
      <c r="T2757" t="s">
        <v>38</v>
      </c>
      <c r="U2757">
        <v>142</v>
      </c>
      <c r="V2757">
        <v>29.35</v>
      </c>
    </row>
    <row r="2758" spans="1:22" x14ac:dyDescent="0.35">
      <c r="A2758" s="3">
        <v>44273</v>
      </c>
      <c r="B2758" t="s">
        <v>39</v>
      </c>
      <c r="C2758">
        <v>0</v>
      </c>
      <c r="D2758">
        <v>0</v>
      </c>
      <c r="E2758">
        <v>0</v>
      </c>
      <c r="F2758">
        <v>0</v>
      </c>
      <c r="G2758">
        <v>27</v>
      </c>
      <c r="H2758">
        <v>0</v>
      </c>
      <c r="I2758">
        <v>0</v>
      </c>
      <c r="J2758">
        <v>0</v>
      </c>
      <c r="K2758">
        <v>0</v>
      </c>
      <c r="L2758">
        <v>87</v>
      </c>
      <c r="M2758">
        <v>125</v>
      </c>
      <c r="N2758" t="s">
        <v>39</v>
      </c>
      <c r="O2758" s="3">
        <v>44398</v>
      </c>
      <c r="P2758">
        <v>-1</v>
      </c>
      <c r="T2758" t="s">
        <v>37</v>
      </c>
      <c r="U2758">
        <v>161</v>
      </c>
      <c r="V2758">
        <v>29.05</v>
      </c>
    </row>
    <row r="2759" spans="1:22" x14ac:dyDescent="0.35">
      <c r="A2759" s="3">
        <v>44273</v>
      </c>
      <c r="B2759" t="s">
        <v>36</v>
      </c>
      <c r="C2759">
        <v>0</v>
      </c>
      <c r="D2759">
        <v>0</v>
      </c>
      <c r="E2759">
        <v>0</v>
      </c>
      <c r="F2759">
        <v>0</v>
      </c>
      <c r="G2759">
        <v>27.2</v>
      </c>
      <c r="H2759">
        <v>0</v>
      </c>
      <c r="I2759">
        <v>0</v>
      </c>
      <c r="J2759">
        <v>0</v>
      </c>
      <c r="K2759">
        <v>0</v>
      </c>
      <c r="L2759">
        <v>151</v>
      </c>
      <c r="M2759">
        <v>216</v>
      </c>
      <c r="N2759" t="s">
        <v>36</v>
      </c>
      <c r="O2759" s="3">
        <v>44489</v>
      </c>
      <c r="P2759">
        <v>-1</v>
      </c>
      <c r="T2759" t="s">
        <v>36</v>
      </c>
      <c r="U2759">
        <v>186</v>
      </c>
      <c r="V2759">
        <v>29.05</v>
      </c>
    </row>
    <row r="2760" spans="1:22" x14ac:dyDescent="0.35">
      <c r="A2760" s="3">
        <v>44272</v>
      </c>
      <c r="B2760" t="s">
        <v>43</v>
      </c>
      <c r="C2760">
        <v>0</v>
      </c>
      <c r="D2760">
        <v>0</v>
      </c>
      <c r="E2760">
        <v>0</v>
      </c>
      <c r="F2760">
        <v>0</v>
      </c>
      <c r="G2760">
        <v>20.8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 t="s">
        <v>43</v>
      </c>
      <c r="O2760" s="3">
        <v>44272</v>
      </c>
      <c r="P2760">
        <v>-1</v>
      </c>
      <c r="S2760" s="3">
        <v>44224</v>
      </c>
      <c r="T2760" t="s">
        <v>44</v>
      </c>
      <c r="U2760">
        <v>13</v>
      </c>
      <c r="V2760">
        <v>30.394600000000001</v>
      </c>
    </row>
    <row r="2761" spans="1:22" x14ac:dyDescent="0.35">
      <c r="A2761" s="3">
        <v>44272</v>
      </c>
      <c r="B2761" t="s">
        <v>36</v>
      </c>
      <c r="C2761">
        <v>0</v>
      </c>
      <c r="D2761">
        <v>0</v>
      </c>
      <c r="E2761">
        <v>0</v>
      </c>
      <c r="F2761">
        <v>0</v>
      </c>
      <c r="G2761">
        <v>27.125</v>
      </c>
      <c r="H2761">
        <v>0</v>
      </c>
      <c r="I2761">
        <v>0</v>
      </c>
      <c r="J2761">
        <v>0</v>
      </c>
      <c r="K2761">
        <v>0</v>
      </c>
      <c r="L2761">
        <v>152</v>
      </c>
      <c r="M2761">
        <v>217</v>
      </c>
      <c r="N2761" t="s">
        <v>36</v>
      </c>
      <c r="O2761" s="3">
        <v>44489</v>
      </c>
      <c r="P2761">
        <v>-1</v>
      </c>
      <c r="T2761" t="s">
        <v>43</v>
      </c>
      <c r="U2761">
        <v>33</v>
      </c>
      <c r="V2761">
        <v>30.719899999999999</v>
      </c>
    </row>
    <row r="2762" spans="1:22" x14ac:dyDescent="0.35">
      <c r="A2762" s="3">
        <v>44272</v>
      </c>
      <c r="B2762" t="s">
        <v>42</v>
      </c>
      <c r="C2762">
        <v>0</v>
      </c>
      <c r="D2762">
        <v>0</v>
      </c>
      <c r="E2762">
        <v>0</v>
      </c>
      <c r="F2762">
        <v>0</v>
      </c>
      <c r="G2762">
        <v>23.002500000000001</v>
      </c>
      <c r="H2762">
        <v>0</v>
      </c>
      <c r="I2762">
        <v>0</v>
      </c>
      <c r="J2762">
        <v>0</v>
      </c>
      <c r="K2762">
        <v>0</v>
      </c>
      <c r="L2762">
        <v>25</v>
      </c>
      <c r="M2762">
        <v>35</v>
      </c>
      <c r="N2762" t="s">
        <v>42</v>
      </c>
      <c r="O2762" s="3">
        <v>44307</v>
      </c>
      <c r="P2762">
        <v>-1</v>
      </c>
      <c r="T2762" t="s">
        <v>42</v>
      </c>
      <c r="U2762">
        <v>58</v>
      </c>
      <c r="V2762">
        <v>30.106200000000001</v>
      </c>
    </row>
    <row r="2763" spans="1:22" x14ac:dyDescent="0.35">
      <c r="A2763" s="3">
        <v>44272</v>
      </c>
      <c r="B2763" t="s">
        <v>38</v>
      </c>
      <c r="C2763">
        <v>0</v>
      </c>
      <c r="D2763">
        <v>0</v>
      </c>
      <c r="E2763">
        <v>0</v>
      </c>
      <c r="F2763">
        <v>0</v>
      </c>
      <c r="G2763">
        <v>26.915099999999999</v>
      </c>
      <c r="H2763">
        <v>0</v>
      </c>
      <c r="I2763">
        <v>0</v>
      </c>
      <c r="J2763">
        <v>0</v>
      </c>
      <c r="K2763">
        <v>0</v>
      </c>
      <c r="L2763">
        <v>108</v>
      </c>
      <c r="M2763">
        <v>154</v>
      </c>
      <c r="N2763" t="s">
        <v>38</v>
      </c>
      <c r="O2763" s="3">
        <v>44426</v>
      </c>
      <c r="P2763">
        <v>-1</v>
      </c>
      <c r="T2763" t="s">
        <v>41</v>
      </c>
      <c r="U2763">
        <v>78</v>
      </c>
      <c r="V2763">
        <v>29.4496</v>
      </c>
    </row>
    <row r="2764" spans="1:22" x14ac:dyDescent="0.35">
      <c r="A2764" s="3">
        <v>44272</v>
      </c>
      <c r="B2764" t="s">
        <v>40</v>
      </c>
      <c r="C2764">
        <v>0</v>
      </c>
      <c r="D2764">
        <v>0</v>
      </c>
      <c r="E2764">
        <v>0</v>
      </c>
      <c r="F2764">
        <v>0</v>
      </c>
      <c r="G2764">
        <v>25.982900000000001</v>
      </c>
      <c r="H2764">
        <v>0</v>
      </c>
      <c r="I2764">
        <v>0</v>
      </c>
      <c r="J2764">
        <v>0</v>
      </c>
      <c r="K2764">
        <v>0</v>
      </c>
      <c r="L2764">
        <v>64</v>
      </c>
      <c r="M2764">
        <v>91</v>
      </c>
      <c r="N2764" t="s">
        <v>40</v>
      </c>
      <c r="O2764" s="3">
        <v>44363</v>
      </c>
      <c r="P2764">
        <v>-1</v>
      </c>
      <c r="T2764" t="s">
        <v>40</v>
      </c>
      <c r="U2764">
        <v>97</v>
      </c>
      <c r="V2764">
        <v>29.079799999999999</v>
      </c>
    </row>
    <row r="2765" spans="1:22" x14ac:dyDescent="0.35">
      <c r="A2765" s="3">
        <v>44272</v>
      </c>
      <c r="B2765" t="s">
        <v>37</v>
      </c>
      <c r="C2765">
        <v>0</v>
      </c>
      <c r="D2765">
        <v>0</v>
      </c>
      <c r="E2765">
        <v>0</v>
      </c>
      <c r="F2765">
        <v>0</v>
      </c>
      <c r="G2765">
        <v>27.2</v>
      </c>
      <c r="H2765">
        <v>0</v>
      </c>
      <c r="I2765">
        <v>0</v>
      </c>
      <c r="J2765">
        <v>0</v>
      </c>
      <c r="K2765">
        <v>0</v>
      </c>
      <c r="L2765">
        <v>127</v>
      </c>
      <c r="M2765">
        <v>182</v>
      </c>
      <c r="N2765" t="s">
        <v>37</v>
      </c>
      <c r="O2765" s="3">
        <v>44454</v>
      </c>
      <c r="P2765">
        <v>-1</v>
      </c>
      <c r="T2765" t="s">
        <v>39</v>
      </c>
      <c r="U2765">
        <v>121</v>
      </c>
      <c r="V2765">
        <v>28.9864</v>
      </c>
    </row>
    <row r="2766" spans="1:22" x14ac:dyDescent="0.35">
      <c r="A2766" s="3">
        <v>44272</v>
      </c>
      <c r="B2766" t="s">
        <v>35</v>
      </c>
      <c r="C2766">
        <v>0</v>
      </c>
      <c r="D2766">
        <v>0</v>
      </c>
      <c r="E2766">
        <v>0</v>
      </c>
      <c r="F2766">
        <v>0</v>
      </c>
      <c r="G2766">
        <v>26.85</v>
      </c>
      <c r="H2766">
        <v>0</v>
      </c>
      <c r="I2766">
        <v>0</v>
      </c>
      <c r="J2766">
        <v>0</v>
      </c>
      <c r="K2766">
        <v>0</v>
      </c>
      <c r="L2766">
        <v>172</v>
      </c>
      <c r="M2766">
        <v>245</v>
      </c>
      <c r="N2766" t="s">
        <v>35</v>
      </c>
      <c r="O2766" s="3">
        <v>44517</v>
      </c>
      <c r="P2766">
        <v>-1</v>
      </c>
      <c r="T2766" t="s">
        <v>38</v>
      </c>
      <c r="U2766">
        <v>141</v>
      </c>
      <c r="V2766">
        <v>28.675000000000001</v>
      </c>
    </row>
    <row r="2767" spans="1:22" x14ac:dyDescent="0.35">
      <c r="A2767" s="3">
        <v>44272</v>
      </c>
      <c r="B2767" t="s">
        <v>39</v>
      </c>
      <c r="C2767">
        <v>0</v>
      </c>
      <c r="D2767">
        <v>0</v>
      </c>
      <c r="E2767">
        <v>0</v>
      </c>
      <c r="F2767">
        <v>0</v>
      </c>
      <c r="G2767">
        <v>26.7974</v>
      </c>
      <c r="H2767">
        <v>0</v>
      </c>
      <c r="I2767">
        <v>0</v>
      </c>
      <c r="J2767">
        <v>0</v>
      </c>
      <c r="K2767">
        <v>0</v>
      </c>
      <c r="L2767">
        <v>88</v>
      </c>
      <c r="M2767">
        <v>126</v>
      </c>
      <c r="N2767" t="s">
        <v>39</v>
      </c>
      <c r="O2767" s="3">
        <v>44398</v>
      </c>
      <c r="P2767">
        <v>-1</v>
      </c>
      <c r="T2767" t="s">
        <v>37</v>
      </c>
      <c r="U2767">
        <v>160</v>
      </c>
      <c r="V2767">
        <v>28.2</v>
      </c>
    </row>
    <row r="2768" spans="1:22" x14ac:dyDescent="0.35">
      <c r="A2768" s="3">
        <v>44272</v>
      </c>
      <c r="B2768" t="s">
        <v>41</v>
      </c>
      <c r="C2768">
        <v>0</v>
      </c>
      <c r="D2768">
        <v>0</v>
      </c>
      <c r="E2768">
        <v>0</v>
      </c>
      <c r="F2768">
        <v>0</v>
      </c>
      <c r="G2768">
        <v>25.019500000000001</v>
      </c>
      <c r="H2768">
        <v>0</v>
      </c>
      <c r="I2768">
        <v>0</v>
      </c>
      <c r="J2768">
        <v>0</v>
      </c>
      <c r="K2768">
        <v>0</v>
      </c>
      <c r="L2768">
        <v>45</v>
      </c>
      <c r="M2768">
        <v>63</v>
      </c>
      <c r="N2768" t="s">
        <v>41</v>
      </c>
      <c r="O2768" s="3">
        <v>44335</v>
      </c>
      <c r="P2768">
        <v>-1</v>
      </c>
      <c r="T2768" t="s">
        <v>36</v>
      </c>
      <c r="U2768">
        <v>185</v>
      </c>
      <c r="V2768">
        <v>28.2</v>
      </c>
    </row>
    <row r="2769" spans="1:22" x14ac:dyDescent="0.35">
      <c r="A2769" s="3">
        <v>44271</v>
      </c>
      <c r="B2769" t="s">
        <v>40</v>
      </c>
      <c r="C2769">
        <v>0</v>
      </c>
      <c r="D2769">
        <v>0</v>
      </c>
      <c r="E2769">
        <v>0</v>
      </c>
      <c r="F2769">
        <v>0</v>
      </c>
      <c r="G2769">
        <v>26.801400000000001</v>
      </c>
      <c r="H2769">
        <v>0</v>
      </c>
      <c r="I2769">
        <v>0</v>
      </c>
      <c r="J2769">
        <v>0</v>
      </c>
      <c r="K2769">
        <v>0</v>
      </c>
      <c r="L2769">
        <v>65</v>
      </c>
      <c r="M2769">
        <v>92</v>
      </c>
      <c r="N2769" t="s">
        <v>40</v>
      </c>
      <c r="O2769" s="3">
        <v>44363</v>
      </c>
      <c r="P2769">
        <v>-1</v>
      </c>
      <c r="S2769" s="3">
        <v>44225</v>
      </c>
      <c r="T2769" t="s">
        <v>44</v>
      </c>
      <c r="U2769">
        <v>12</v>
      </c>
      <c r="V2769">
        <v>32.385899999999999</v>
      </c>
    </row>
    <row r="2770" spans="1:22" x14ac:dyDescent="0.35">
      <c r="A2770" s="3">
        <v>44271</v>
      </c>
      <c r="B2770" t="s">
        <v>39</v>
      </c>
      <c r="C2770">
        <v>0</v>
      </c>
      <c r="D2770">
        <v>0</v>
      </c>
      <c r="E2770">
        <v>0</v>
      </c>
      <c r="F2770">
        <v>0</v>
      </c>
      <c r="G2770">
        <v>27.55</v>
      </c>
      <c r="H2770">
        <v>0</v>
      </c>
      <c r="I2770">
        <v>0</v>
      </c>
      <c r="J2770">
        <v>0</v>
      </c>
      <c r="K2770">
        <v>0</v>
      </c>
      <c r="L2770">
        <v>89</v>
      </c>
      <c r="M2770">
        <v>127</v>
      </c>
      <c r="N2770" t="s">
        <v>39</v>
      </c>
      <c r="O2770" s="3">
        <v>44398</v>
      </c>
      <c r="P2770">
        <v>-1</v>
      </c>
      <c r="T2770" t="s">
        <v>43</v>
      </c>
      <c r="U2770">
        <v>32</v>
      </c>
      <c r="V2770">
        <v>32.420499999999997</v>
      </c>
    </row>
    <row r="2771" spans="1:22" x14ac:dyDescent="0.35">
      <c r="A2771" s="3">
        <v>44271</v>
      </c>
      <c r="B2771" t="s">
        <v>37</v>
      </c>
      <c r="C2771">
        <v>0</v>
      </c>
      <c r="D2771">
        <v>0</v>
      </c>
      <c r="E2771">
        <v>0</v>
      </c>
      <c r="F2771">
        <v>0</v>
      </c>
      <c r="G2771">
        <v>27.85</v>
      </c>
      <c r="H2771">
        <v>0</v>
      </c>
      <c r="I2771">
        <v>0</v>
      </c>
      <c r="J2771">
        <v>0</v>
      </c>
      <c r="K2771">
        <v>0</v>
      </c>
      <c r="L2771">
        <v>128</v>
      </c>
      <c r="M2771">
        <v>183</v>
      </c>
      <c r="N2771" t="s">
        <v>37</v>
      </c>
      <c r="O2771" s="3">
        <v>44454</v>
      </c>
      <c r="P2771">
        <v>-1</v>
      </c>
      <c r="T2771" t="s">
        <v>42</v>
      </c>
      <c r="U2771">
        <v>57</v>
      </c>
      <c r="V2771">
        <v>31.433700000000002</v>
      </c>
    </row>
    <row r="2772" spans="1:22" x14ac:dyDescent="0.35">
      <c r="A2772" s="3">
        <v>44271</v>
      </c>
      <c r="B2772" t="s">
        <v>41</v>
      </c>
      <c r="C2772">
        <v>0</v>
      </c>
      <c r="D2772">
        <v>0</v>
      </c>
      <c r="E2772">
        <v>0</v>
      </c>
      <c r="F2772">
        <v>0</v>
      </c>
      <c r="G2772">
        <v>25.999600000000001</v>
      </c>
      <c r="H2772">
        <v>0</v>
      </c>
      <c r="I2772">
        <v>0</v>
      </c>
      <c r="J2772">
        <v>0</v>
      </c>
      <c r="K2772">
        <v>0</v>
      </c>
      <c r="L2772">
        <v>46</v>
      </c>
      <c r="M2772">
        <v>64</v>
      </c>
      <c r="N2772" t="s">
        <v>41</v>
      </c>
      <c r="O2772" s="3">
        <v>44335</v>
      </c>
      <c r="P2772">
        <v>-1</v>
      </c>
      <c r="T2772" t="s">
        <v>41</v>
      </c>
      <c r="U2772">
        <v>77</v>
      </c>
      <c r="V2772">
        <v>30.506799999999998</v>
      </c>
    </row>
    <row r="2773" spans="1:22" x14ac:dyDescent="0.35">
      <c r="A2773" s="3">
        <v>44271</v>
      </c>
      <c r="B2773" t="s">
        <v>43</v>
      </c>
      <c r="C2773">
        <v>0</v>
      </c>
      <c r="D2773">
        <v>0</v>
      </c>
      <c r="E2773">
        <v>0</v>
      </c>
      <c r="F2773">
        <v>0</v>
      </c>
      <c r="G2773">
        <v>19.920400000000001</v>
      </c>
      <c r="H2773">
        <v>0</v>
      </c>
      <c r="I2773">
        <v>0</v>
      </c>
      <c r="J2773">
        <v>0</v>
      </c>
      <c r="K2773">
        <v>0</v>
      </c>
      <c r="L2773">
        <v>1</v>
      </c>
      <c r="M2773">
        <v>1</v>
      </c>
      <c r="N2773" t="s">
        <v>43</v>
      </c>
      <c r="O2773" s="3">
        <v>44272</v>
      </c>
      <c r="P2773">
        <v>-1</v>
      </c>
      <c r="T2773" t="s">
        <v>40</v>
      </c>
      <c r="U2773">
        <v>96</v>
      </c>
      <c r="V2773">
        <v>30.172899999999998</v>
      </c>
    </row>
    <row r="2774" spans="1:22" x14ac:dyDescent="0.35">
      <c r="A2774" s="3">
        <v>44271</v>
      </c>
      <c r="B2774" t="s">
        <v>38</v>
      </c>
      <c r="C2774">
        <v>0</v>
      </c>
      <c r="D2774">
        <v>0</v>
      </c>
      <c r="E2774">
        <v>0</v>
      </c>
      <c r="F2774">
        <v>0</v>
      </c>
      <c r="G2774">
        <v>27.6</v>
      </c>
      <c r="H2774">
        <v>0</v>
      </c>
      <c r="I2774">
        <v>0</v>
      </c>
      <c r="J2774">
        <v>0</v>
      </c>
      <c r="K2774">
        <v>0</v>
      </c>
      <c r="L2774">
        <v>109</v>
      </c>
      <c r="M2774">
        <v>155</v>
      </c>
      <c r="N2774" t="s">
        <v>38</v>
      </c>
      <c r="O2774" s="3">
        <v>44426</v>
      </c>
      <c r="P2774">
        <v>-1</v>
      </c>
      <c r="T2774" t="s">
        <v>39</v>
      </c>
      <c r="U2774">
        <v>120</v>
      </c>
      <c r="V2774">
        <v>30</v>
      </c>
    </row>
    <row r="2775" spans="1:22" x14ac:dyDescent="0.35">
      <c r="A2775" s="3">
        <v>44271</v>
      </c>
      <c r="B2775" t="s">
        <v>36</v>
      </c>
      <c r="C2775">
        <v>0</v>
      </c>
      <c r="D2775">
        <v>0</v>
      </c>
      <c r="E2775">
        <v>0</v>
      </c>
      <c r="F2775">
        <v>0</v>
      </c>
      <c r="G2775">
        <v>27.75</v>
      </c>
      <c r="H2775">
        <v>0</v>
      </c>
      <c r="I2775">
        <v>0</v>
      </c>
      <c r="J2775">
        <v>0</v>
      </c>
      <c r="K2775">
        <v>0</v>
      </c>
      <c r="L2775">
        <v>153</v>
      </c>
      <c r="M2775">
        <v>218</v>
      </c>
      <c r="N2775" t="s">
        <v>36</v>
      </c>
      <c r="O2775" s="3">
        <v>44489</v>
      </c>
      <c r="P2775">
        <v>-1</v>
      </c>
      <c r="T2775" t="s">
        <v>38</v>
      </c>
      <c r="U2775">
        <v>140</v>
      </c>
      <c r="V2775">
        <v>29.6417</v>
      </c>
    </row>
    <row r="2776" spans="1:22" x14ac:dyDescent="0.35">
      <c r="A2776" s="3">
        <v>44271</v>
      </c>
      <c r="B2776" t="s">
        <v>35</v>
      </c>
      <c r="C2776">
        <v>0</v>
      </c>
      <c r="D2776">
        <v>0</v>
      </c>
      <c r="E2776">
        <v>0</v>
      </c>
      <c r="F2776">
        <v>0</v>
      </c>
      <c r="G2776">
        <v>27.15</v>
      </c>
      <c r="H2776">
        <v>0</v>
      </c>
      <c r="I2776">
        <v>0</v>
      </c>
      <c r="J2776">
        <v>0</v>
      </c>
      <c r="K2776">
        <v>0</v>
      </c>
      <c r="L2776">
        <v>173</v>
      </c>
      <c r="M2776">
        <v>246</v>
      </c>
      <c r="N2776" t="s">
        <v>35</v>
      </c>
      <c r="O2776" s="3">
        <v>44517</v>
      </c>
      <c r="P2776">
        <v>-1</v>
      </c>
      <c r="T2776" t="s">
        <v>37</v>
      </c>
      <c r="U2776">
        <v>159</v>
      </c>
      <c r="V2776">
        <v>29.074999999999999</v>
      </c>
    </row>
    <row r="2777" spans="1:22" x14ac:dyDescent="0.35">
      <c r="A2777" s="3">
        <v>44271</v>
      </c>
      <c r="B2777" t="s">
        <v>42</v>
      </c>
      <c r="C2777">
        <v>0</v>
      </c>
      <c r="D2777">
        <v>0</v>
      </c>
      <c r="E2777">
        <v>0</v>
      </c>
      <c r="F2777">
        <v>0</v>
      </c>
      <c r="G2777">
        <v>24.047000000000001</v>
      </c>
      <c r="H2777">
        <v>0</v>
      </c>
      <c r="I2777">
        <v>0</v>
      </c>
      <c r="J2777">
        <v>0</v>
      </c>
      <c r="K2777">
        <v>0</v>
      </c>
      <c r="L2777">
        <v>26</v>
      </c>
      <c r="M2777">
        <v>36</v>
      </c>
      <c r="N2777" t="s">
        <v>42</v>
      </c>
      <c r="O2777" s="3">
        <v>44307</v>
      </c>
      <c r="P2777">
        <v>-1</v>
      </c>
      <c r="T2777" t="s">
        <v>36</v>
      </c>
      <c r="U2777">
        <v>184</v>
      </c>
      <c r="V2777">
        <v>29.1</v>
      </c>
    </row>
    <row r="2778" spans="1:22" x14ac:dyDescent="0.35">
      <c r="A2778" s="3">
        <v>44270</v>
      </c>
      <c r="B2778" t="s">
        <v>43</v>
      </c>
      <c r="C2778">
        <v>0</v>
      </c>
      <c r="D2778">
        <v>0</v>
      </c>
      <c r="E2778">
        <v>0</v>
      </c>
      <c r="F2778">
        <v>0</v>
      </c>
      <c r="G2778">
        <v>20.1006</v>
      </c>
      <c r="H2778">
        <v>0</v>
      </c>
      <c r="I2778">
        <v>0</v>
      </c>
      <c r="J2778">
        <v>0</v>
      </c>
      <c r="K2778">
        <v>0</v>
      </c>
      <c r="L2778">
        <v>2</v>
      </c>
      <c r="M2778">
        <v>2</v>
      </c>
      <c r="N2778" t="s">
        <v>43</v>
      </c>
      <c r="O2778" s="3">
        <v>44272</v>
      </c>
      <c r="P2778">
        <v>-1</v>
      </c>
      <c r="S2778" s="3">
        <v>44228</v>
      </c>
      <c r="T2778" t="s">
        <v>44</v>
      </c>
      <c r="U2778">
        <v>11</v>
      </c>
      <c r="V2778">
        <v>30.330200000000001</v>
      </c>
    </row>
    <row r="2779" spans="1:22" x14ac:dyDescent="0.35">
      <c r="A2779" s="3">
        <v>44270</v>
      </c>
      <c r="B2779" t="s">
        <v>38</v>
      </c>
      <c r="C2779">
        <v>0</v>
      </c>
      <c r="D2779">
        <v>0</v>
      </c>
      <c r="E2779">
        <v>0</v>
      </c>
      <c r="F2779">
        <v>0</v>
      </c>
      <c r="G2779">
        <v>27.7529</v>
      </c>
      <c r="H2779">
        <v>0</v>
      </c>
      <c r="I2779">
        <v>0</v>
      </c>
      <c r="J2779">
        <v>0</v>
      </c>
      <c r="K2779">
        <v>0</v>
      </c>
      <c r="L2779">
        <v>110</v>
      </c>
      <c r="M2779">
        <v>156</v>
      </c>
      <c r="N2779" t="s">
        <v>38</v>
      </c>
      <c r="O2779" s="3">
        <v>44426</v>
      </c>
      <c r="P2779">
        <v>-1</v>
      </c>
      <c r="T2779" t="s">
        <v>43</v>
      </c>
      <c r="U2779">
        <v>31</v>
      </c>
      <c r="V2779">
        <v>31.026299999999999</v>
      </c>
    </row>
    <row r="2780" spans="1:22" x14ac:dyDescent="0.35">
      <c r="A2780" s="3">
        <v>44270</v>
      </c>
      <c r="B2780" t="s">
        <v>36</v>
      </c>
      <c r="C2780">
        <v>0</v>
      </c>
      <c r="D2780">
        <v>0</v>
      </c>
      <c r="E2780">
        <v>0</v>
      </c>
      <c r="F2780">
        <v>0</v>
      </c>
      <c r="G2780">
        <v>27.85</v>
      </c>
      <c r="H2780">
        <v>0</v>
      </c>
      <c r="I2780">
        <v>0</v>
      </c>
      <c r="J2780">
        <v>0</v>
      </c>
      <c r="K2780">
        <v>0</v>
      </c>
      <c r="L2780">
        <v>154</v>
      </c>
      <c r="M2780">
        <v>219</v>
      </c>
      <c r="N2780" t="s">
        <v>36</v>
      </c>
      <c r="O2780" s="3">
        <v>44489</v>
      </c>
      <c r="P2780">
        <v>-1</v>
      </c>
      <c r="T2780" t="s">
        <v>42</v>
      </c>
      <c r="U2780">
        <v>56</v>
      </c>
      <c r="V2780">
        <v>30.7407</v>
      </c>
    </row>
    <row r="2781" spans="1:22" x14ac:dyDescent="0.35">
      <c r="A2781" s="3">
        <v>44270</v>
      </c>
      <c r="B2781" t="s">
        <v>35</v>
      </c>
      <c r="C2781">
        <v>0</v>
      </c>
      <c r="D2781">
        <v>0</v>
      </c>
      <c r="E2781">
        <v>0</v>
      </c>
      <c r="F2781">
        <v>0</v>
      </c>
      <c r="G2781">
        <v>27.625</v>
      </c>
      <c r="H2781">
        <v>0</v>
      </c>
      <c r="I2781">
        <v>0</v>
      </c>
      <c r="J2781">
        <v>0</v>
      </c>
      <c r="K2781">
        <v>0</v>
      </c>
      <c r="L2781">
        <v>174</v>
      </c>
      <c r="M2781">
        <v>247</v>
      </c>
      <c r="N2781" t="s">
        <v>35</v>
      </c>
      <c r="O2781" s="3">
        <v>44517</v>
      </c>
      <c r="P2781">
        <v>-1</v>
      </c>
      <c r="T2781" t="s">
        <v>41</v>
      </c>
      <c r="U2781">
        <v>76</v>
      </c>
      <c r="V2781">
        <v>30.115100000000002</v>
      </c>
    </row>
    <row r="2782" spans="1:22" x14ac:dyDescent="0.35">
      <c r="A2782" s="3">
        <v>44270</v>
      </c>
      <c r="B2782" t="s">
        <v>42</v>
      </c>
      <c r="C2782">
        <v>0</v>
      </c>
      <c r="D2782">
        <v>0</v>
      </c>
      <c r="E2782">
        <v>0</v>
      </c>
      <c r="F2782">
        <v>0</v>
      </c>
      <c r="G2782">
        <v>23.978100000000001</v>
      </c>
      <c r="H2782">
        <v>0</v>
      </c>
      <c r="I2782">
        <v>0</v>
      </c>
      <c r="J2782">
        <v>0</v>
      </c>
      <c r="K2782">
        <v>0</v>
      </c>
      <c r="L2782">
        <v>27</v>
      </c>
      <c r="M2782">
        <v>37</v>
      </c>
      <c r="N2782" t="s">
        <v>42</v>
      </c>
      <c r="O2782" s="3">
        <v>44307</v>
      </c>
      <c r="P2782">
        <v>-1</v>
      </c>
      <c r="T2782" t="s">
        <v>40</v>
      </c>
      <c r="U2782">
        <v>95</v>
      </c>
      <c r="V2782">
        <v>29.6632</v>
      </c>
    </row>
    <row r="2783" spans="1:22" x14ac:dyDescent="0.35">
      <c r="A2783" s="3">
        <v>44270</v>
      </c>
      <c r="B2783" t="s">
        <v>40</v>
      </c>
      <c r="C2783">
        <v>0</v>
      </c>
      <c r="D2783">
        <v>0</v>
      </c>
      <c r="E2783">
        <v>0</v>
      </c>
      <c r="F2783">
        <v>0</v>
      </c>
      <c r="G2783">
        <v>26.9892</v>
      </c>
      <c r="H2783">
        <v>0</v>
      </c>
      <c r="I2783">
        <v>0</v>
      </c>
      <c r="J2783">
        <v>0</v>
      </c>
      <c r="K2783">
        <v>0</v>
      </c>
      <c r="L2783">
        <v>66</v>
      </c>
      <c r="M2783">
        <v>93</v>
      </c>
      <c r="N2783" t="s">
        <v>40</v>
      </c>
      <c r="O2783" s="3">
        <v>44363</v>
      </c>
      <c r="P2783">
        <v>-1</v>
      </c>
      <c r="T2783" t="s">
        <v>39</v>
      </c>
      <c r="U2783">
        <v>119</v>
      </c>
      <c r="V2783">
        <v>29.4833</v>
      </c>
    </row>
    <row r="2784" spans="1:22" x14ac:dyDescent="0.35">
      <c r="A2784" s="3">
        <v>44270</v>
      </c>
      <c r="B2784" t="s">
        <v>39</v>
      </c>
      <c r="C2784">
        <v>0</v>
      </c>
      <c r="D2784">
        <v>0</v>
      </c>
      <c r="E2784">
        <v>0</v>
      </c>
      <c r="F2784">
        <v>0</v>
      </c>
      <c r="G2784">
        <v>27.728300000000001</v>
      </c>
      <c r="H2784">
        <v>0</v>
      </c>
      <c r="I2784">
        <v>0</v>
      </c>
      <c r="J2784">
        <v>0</v>
      </c>
      <c r="K2784">
        <v>0</v>
      </c>
      <c r="L2784">
        <v>90</v>
      </c>
      <c r="M2784">
        <v>128</v>
      </c>
      <c r="N2784" t="s">
        <v>39</v>
      </c>
      <c r="O2784" s="3">
        <v>44398</v>
      </c>
      <c r="P2784">
        <v>-1</v>
      </c>
      <c r="T2784" t="s">
        <v>38</v>
      </c>
      <c r="U2784">
        <v>139</v>
      </c>
      <c r="V2784">
        <v>29.144100000000002</v>
      </c>
    </row>
    <row r="2785" spans="1:22" x14ac:dyDescent="0.35">
      <c r="A2785" s="3">
        <v>44270</v>
      </c>
      <c r="B2785" t="s">
        <v>37</v>
      </c>
      <c r="C2785">
        <v>0</v>
      </c>
      <c r="D2785">
        <v>0</v>
      </c>
      <c r="E2785">
        <v>0</v>
      </c>
      <c r="F2785">
        <v>0</v>
      </c>
      <c r="G2785">
        <v>27.96</v>
      </c>
      <c r="H2785">
        <v>0</v>
      </c>
      <c r="I2785">
        <v>0</v>
      </c>
      <c r="J2785">
        <v>0</v>
      </c>
      <c r="K2785">
        <v>0</v>
      </c>
      <c r="L2785">
        <v>129</v>
      </c>
      <c r="M2785">
        <v>184</v>
      </c>
      <c r="N2785" t="s">
        <v>37</v>
      </c>
      <c r="O2785" s="3">
        <v>44454</v>
      </c>
      <c r="P2785">
        <v>-1</v>
      </c>
      <c r="T2785" t="s">
        <v>37</v>
      </c>
      <c r="U2785">
        <v>158</v>
      </c>
      <c r="V2785">
        <v>28.9</v>
      </c>
    </row>
    <row r="2786" spans="1:22" x14ac:dyDescent="0.35">
      <c r="A2786" s="3">
        <v>44270</v>
      </c>
      <c r="B2786" t="s">
        <v>41</v>
      </c>
      <c r="C2786">
        <v>0</v>
      </c>
      <c r="D2786">
        <v>0</v>
      </c>
      <c r="E2786">
        <v>0</v>
      </c>
      <c r="F2786">
        <v>0</v>
      </c>
      <c r="G2786">
        <v>26.0626</v>
      </c>
      <c r="H2786">
        <v>0</v>
      </c>
      <c r="I2786">
        <v>0</v>
      </c>
      <c r="J2786">
        <v>0</v>
      </c>
      <c r="K2786">
        <v>0</v>
      </c>
      <c r="L2786">
        <v>47</v>
      </c>
      <c r="M2786">
        <v>65</v>
      </c>
      <c r="N2786" t="s">
        <v>41</v>
      </c>
      <c r="O2786" s="3">
        <v>44335</v>
      </c>
      <c r="P2786">
        <v>-1</v>
      </c>
      <c r="T2786" t="s">
        <v>36</v>
      </c>
      <c r="U2786">
        <v>183</v>
      </c>
      <c r="V2786">
        <v>29.75</v>
      </c>
    </row>
    <row r="2787" spans="1:22" x14ac:dyDescent="0.35">
      <c r="A2787" s="3">
        <v>44267</v>
      </c>
      <c r="B2787" t="s">
        <v>40</v>
      </c>
      <c r="C2787">
        <v>0</v>
      </c>
      <c r="D2787">
        <v>0</v>
      </c>
      <c r="E2787">
        <v>0</v>
      </c>
      <c r="F2787">
        <v>0</v>
      </c>
      <c r="G2787">
        <v>27.758600000000001</v>
      </c>
      <c r="H2787">
        <v>0</v>
      </c>
      <c r="I2787">
        <v>0</v>
      </c>
      <c r="J2787">
        <v>0</v>
      </c>
      <c r="K2787">
        <v>0</v>
      </c>
      <c r="L2787">
        <v>67</v>
      </c>
      <c r="M2787">
        <v>96</v>
      </c>
      <c r="N2787" t="s">
        <v>40</v>
      </c>
      <c r="O2787" s="3">
        <v>44363</v>
      </c>
      <c r="P2787">
        <v>-1</v>
      </c>
      <c r="S2787" s="3">
        <v>44229</v>
      </c>
      <c r="T2787" t="s">
        <v>44</v>
      </c>
      <c r="U2787">
        <v>10</v>
      </c>
      <c r="V2787">
        <v>27.578099999999999</v>
      </c>
    </row>
    <row r="2788" spans="1:22" x14ac:dyDescent="0.35">
      <c r="A2788" s="3">
        <v>44267</v>
      </c>
      <c r="B2788" t="s">
        <v>39</v>
      </c>
      <c r="C2788">
        <v>0</v>
      </c>
      <c r="D2788">
        <v>0</v>
      </c>
      <c r="E2788">
        <v>0</v>
      </c>
      <c r="F2788">
        <v>0</v>
      </c>
      <c r="G2788">
        <v>28.3</v>
      </c>
      <c r="H2788">
        <v>0</v>
      </c>
      <c r="I2788">
        <v>0</v>
      </c>
      <c r="J2788">
        <v>0</v>
      </c>
      <c r="K2788">
        <v>0</v>
      </c>
      <c r="L2788">
        <v>91</v>
      </c>
      <c r="M2788">
        <v>131</v>
      </c>
      <c r="N2788" t="s">
        <v>39</v>
      </c>
      <c r="O2788" s="3">
        <v>44398</v>
      </c>
      <c r="P2788">
        <v>-1</v>
      </c>
      <c r="T2788" t="s">
        <v>43</v>
      </c>
      <c r="U2788">
        <v>30</v>
      </c>
      <c r="V2788">
        <v>28.7376</v>
      </c>
    </row>
    <row r="2789" spans="1:22" x14ac:dyDescent="0.35">
      <c r="A2789" s="3">
        <v>44267</v>
      </c>
      <c r="B2789" t="s">
        <v>37</v>
      </c>
      <c r="C2789">
        <v>0</v>
      </c>
      <c r="D2789">
        <v>0</v>
      </c>
      <c r="E2789">
        <v>0</v>
      </c>
      <c r="F2789">
        <v>0</v>
      </c>
      <c r="G2789">
        <v>28.3</v>
      </c>
      <c r="H2789">
        <v>0</v>
      </c>
      <c r="I2789">
        <v>0</v>
      </c>
      <c r="J2789">
        <v>0</v>
      </c>
      <c r="K2789">
        <v>0</v>
      </c>
      <c r="L2789">
        <v>130</v>
      </c>
      <c r="M2789">
        <v>187</v>
      </c>
      <c r="N2789" t="s">
        <v>37</v>
      </c>
      <c r="O2789" s="3">
        <v>44454</v>
      </c>
      <c r="P2789">
        <v>-1</v>
      </c>
      <c r="T2789" t="s">
        <v>42</v>
      </c>
      <c r="U2789">
        <v>55</v>
      </c>
      <c r="V2789">
        <v>29.337800000000001</v>
      </c>
    </row>
    <row r="2790" spans="1:22" x14ac:dyDescent="0.35">
      <c r="A2790" s="3">
        <v>44267</v>
      </c>
      <c r="B2790" t="s">
        <v>41</v>
      </c>
      <c r="C2790">
        <v>0</v>
      </c>
      <c r="D2790">
        <v>0</v>
      </c>
      <c r="E2790">
        <v>0</v>
      </c>
      <c r="F2790">
        <v>0</v>
      </c>
      <c r="G2790">
        <v>27.101600000000001</v>
      </c>
      <c r="H2790">
        <v>0</v>
      </c>
      <c r="I2790">
        <v>0</v>
      </c>
      <c r="J2790">
        <v>0</v>
      </c>
      <c r="K2790">
        <v>0</v>
      </c>
      <c r="L2790">
        <v>48</v>
      </c>
      <c r="M2790">
        <v>68</v>
      </c>
      <c r="N2790" t="s">
        <v>41</v>
      </c>
      <c r="O2790" s="3">
        <v>44335</v>
      </c>
      <c r="P2790">
        <v>-1</v>
      </c>
      <c r="T2790" t="s">
        <v>41</v>
      </c>
      <c r="U2790">
        <v>75</v>
      </c>
      <c r="V2790">
        <v>28.976199999999999</v>
      </c>
    </row>
    <row r="2791" spans="1:22" x14ac:dyDescent="0.35">
      <c r="A2791" s="3">
        <v>44267</v>
      </c>
      <c r="B2791" t="s">
        <v>43</v>
      </c>
      <c r="C2791">
        <v>0</v>
      </c>
      <c r="D2791">
        <v>0</v>
      </c>
      <c r="E2791">
        <v>0</v>
      </c>
      <c r="F2791">
        <v>0</v>
      </c>
      <c r="G2791">
        <v>21.977799999999998</v>
      </c>
      <c r="H2791">
        <v>0</v>
      </c>
      <c r="I2791">
        <v>0</v>
      </c>
      <c r="J2791">
        <v>0</v>
      </c>
      <c r="K2791">
        <v>0</v>
      </c>
      <c r="L2791">
        <v>3</v>
      </c>
      <c r="M2791">
        <v>5</v>
      </c>
      <c r="N2791" t="s">
        <v>43</v>
      </c>
      <c r="O2791" s="3">
        <v>44272</v>
      </c>
      <c r="P2791">
        <v>-1</v>
      </c>
      <c r="T2791" t="s">
        <v>40</v>
      </c>
      <c r="U2791">
        <v>94</v>
      </c>
      <c r="V2791">
        <v>28.708300000000001</v>
      </c>
    </row>
    <row r="2792" spans="1:22" x14ac:dyDescent="0.35">
      <c r="A2792" s="3">
        <v>44267</v>
      </c>
      <c r="B2792" t="s">
        <v>38</v>
      </c>
      <c r="C2792">
        <v>0</v>
      </c>
      <c r="D2792">
        <v>0</v>
      </c>
      <c r="E2792">
        <v>0</v>
      </c>
      <c r="F2792">
        <v>0</v>
      </c>
      <c r="G2792">
        <v>28.15</v>
      </c>
      <c r="H2792">
        <v>0</v>
      </c>
      <c r="I2792">
        <v>0</v>
      </c>
      <c r="J2792">
        <v>0</v>
      </c>
      <c r="K2792">
        <v>0</v>
      </c>
      <c r="L2792">
        <v>111</v>
      </c>
      <c r="M2792">
        <v>159</v>
      </c>
      <c r="N2792" t="s">
        <v>38</v>
      </c>
      <c r="O2792" s="3">
        <v>44426</v>
      </c>
      <c r="P2792">
        <v>-1</v>
      </c>
      <c r="T2792" t="s">
        <v>39</v>
      </c>
      <c r="U2792">
        <v>118</v>
      </c>
      <c r="V2792">
        <v>28.761700000000001</v>
      </c>
    </row>
    <row r="2793" spans="1:22" x14ac:dyDescent="0.35">
      <c r="A2793" s="3">
        <v>44267</v>
      </c>
      <c r="B2793" t="s">
        <v>36</v>
      </c>
      <c r="C2793">
        <v>0</v>
      </c>
      <c r="D2793">
        <v>0</v>
      </c>
      <c r="E2793">
        <v>0</v>
      </c>
      <c r="F2793">
        <v>0</v>
      </c>
      <c r="G2793">
        <v>28.25</v>
      </c>
      <c r="H2793">
        <v>0</v>
      </c>
      <c r="I2793">
        <v>0</v>
      </c>
      <c r="J2793">
        <v>0</v>
      </c>
      <c r="K2793">
        <v>0</v>
      </c>
      <c r="L2793">
        <v>155</v>
      </c>
      <c r="M2793">
        <v>222</v>
      </c>
      <c r="N2793" t="s">
        <v>36</v>
      </c>
      <c r="O2793" s="3">
        <v>44489</v>
      </c>
      <c r="P2793">
        <v>-1</v>
      </c>
      <c r="T2793" t="s">
        <v>38</v>
      </c>
      <c r="U2793">
        <v>138</v>
      </c>
      <c r="V2793">
        <v>28.45</v>
      </c>
    </row>
    <row r="2794" spans="1:22" x14ac:dyDescent="0.35">
      <c r="A2794" s="3">
        <v>44267</v>
      </c>
      <c r="B2794" t="s">
        <v>35</v>
      </c>
      <c r="C2794">
        <v>0</v>
      </c>
      <c r="D2794">
        <v>0</v>
      </c>
      <c r="E2794">
        <v>0</v>
      </c>
      <c r="F2794">
        <v>0</v>
      </c>
      <c r="G2794">
        <v>27.675000000000001</v>
      </c>
      <c r="H2794">
        <v>0</v>
      </c>
      <c r="I2794">
        <v>0</v>
      </c>
      <c r="J2794">
        <v>0</v>
      </c>
      <c r="K2794">
        <v>0</v>
      </c>
      <c r="L2794">
        <v>175</v>
      </c>
      <c r="M2794">
        <v>250</v>
      </c>
      <c r="N2794" t="s">
        <v>35</v>
      </c>
      <c r="O2794" s="3">
        <v>44517</v>
      </c>
      <c r="P2794">
        <v>-1</v>
      </c>
      <c r="T2794" t="s">
        <v>37</v>
      </c>
      <c r="U2794">
        <v>157</v>
      </c>
      <c r="V2794">
        <v>28.3</v>
      </c>
    </row>
    <row r="2795" spans="1:22" x14ac:dyDescent="0.35">
      <c r="A2795" s="3">
        <v>44267</v>
      </c>
      <c r="B2795" t="s">
        <v>42</v>
      </c>
      <c r="C2795">
        <v>0</v>
      </c>
      <c r="D2795">
        <v>0</v>
      </c>
      <c r="E2795">
        <v>0</v>
      </c>
      <c r="F2795">
        <v>0</v>
      </c>
      <c r="G2795">
        <v>25.410900000000002</v>
      </c>
      <c r="H2795">
        <v>0</v>
      </c>
      <c r="I2795">
        <v>0</v>
      </c>
      <c r="J2795">
        <v>0</v>
      </c>
      <c r="K2795">
        <v>0</v>
      </c>
      <c r="L2795">
        <v>28</v>
      </c>
      <c r="M2795">
        <v>40</v>
      </c>
      <c r="N2795" t="s">
        <v>42</v>
      </c>
      <c r="O2795" s="3">
        <v>44307</v>
      </c>
      <c r="P2795">
        <v>-1</v>
      </c>
      <c r="T2795" t="s">
        <v>36</v>
      </c>
      <c r="U2795">
        <v>182</v>
      </c>
      <c r="V2795">
        <v>29.75</v>
      </c>
    </row>
    <row r="2796" spans="1:22" x14ac:dyDescent="0.35">
      <c r="A2796" s="3">
        <v>44266</v>
      </c>
      <c r="B2796" t="s">
        <v>43</v>
      </c>
      <c r="C2796">
        <v>0</v>
      </c>
      <c r="D2796">
        <v>0</v>
      </c>
      <c r="E2796">
        <v>0</v>
      </c>
      <c r="F2796">
        <v>0</v>
      </c>
      <c r="G2796">
        <v>22.888200000000001</v>
      </c>
      <c r="H2796">
        <v>0</v>
      </c>
      <c r="I2796">
        <v>0</v>
      </c>
      <c r="J2796">
        <v>0</v>
      </c>
      <c r="K2796">
        <v>0</v>
      </c>
      <c r="L2796">
        <v>4</v>
      </c>
      <c r="M2796">
        <v>6</v>
      </c>
      <c r="N2796" t="s">
        <v>43</v>
      </c>
      <c r="O2796" s="3">
        <v>44272</v>
      </c>
      <c r="P2796">
        <v>-1</v>
      </c>
      <c r="S2796" s="3">
        <v>44230</v>
      </c>
      <c r="T2796" t="s">
        <v>44</v>
      </c>
      <c r="U2796">
        <v>9</v>
      </c>
      <c r="V2796">
        <v>25.779399999999999</v>
      </c>
    </row>
    <row r="2797" spans="1:22" x14ac:dyDescent="0.35">
      <c r="A2797" s="3">
        <v>44266</v>
      </c>
      <c r="B2797" t="s">
        <v>38</v>
      </c>
      <c r="C2797">
        <v>0</v>
      </c>
      <c r="D2797">
        <v>0</v>
      </c>
      <c r="E2797">
        <v>0</v>
      </c>
      <c r="F2797">
        <v>0</v>
      </c>
      <c r="G2797">
        <v>28.06</v>
      </c>
      <c r="H2797">
        <v>0</v>
      </c>
      <c r="I2797">
        <v>0</v>
      </c>
      <c r="J2797">
        <v>0</v>
      </c>
      <c r="K2797">
        <v>0</v>
      </c>
      <c r="L2797">
        <v>112</v>
      </c>
      <c r="M2797">
        <v>160</v>
      </c>
      <c r="N2797" t="s">
        <v>38</v>
      </c>
      <c r="O2797" s="3">
        <v>44426</v>
      </c>
      <c r="P2797">
        <v>-1</v>
      </c>
      <c r="T2797" t="s">
        <v>43</v>
      </c>
      <c r="U2797">
        <v>29</v>
      </c>
      <c r="V2797">
        <v>27.651399999999999</v>
      </c>
    </row>
    <row r="2798" spans="1:22" x14ac:dyDescent="0.35">
      <c r="A2798" s="3">
        <v>44266</v>
      </c>
      <c r="B2798" t="s">
        <v>36</v>
      </c>
      <c r="C2798">
        <v>0</v>
      </c>
      <c r="D2798">
        <v>0</v>
      </c>
      <c r="E2798">
        <v>0</v>
      </c>
      <c r="F2798">
        <v>0</v>
      </c>
      <c r="G2798">
        <v>28.1</v>
      </c>
      <c r="H2798">
        <v>0</v>
      </c>
      <c r="I2798">
        <v>0</v>
      </c>
      <c r="J2798">
        <v>0</v>
      </c>
      <c r="K2798">
        <v>0</v>
      </c>
      <c r="L2798">
        <v>156</v>
      </c>
      <c r="M2798">
        <v>223</v>
      </c>
      <c r="N2798" t="s">
        <v>36</v>
      </c>
      <c r="O2798" s="3">
        <v>44489</v>
      </c>
      <c r="P2798">
        <v>-1</v>
      </c>
      <c r="T2798" t="s">
        <v>42</v>
      </c>
      <c r="U2798">
        <v>54</v>
      </c>
      <c r="V2798">
        <v>28.5214</v>
      </c>
    </row>
    <row r="2799" spans="1:22" x14ac:dyDescent="0.35">
      <c r="A2799" s="3">
        <v>44266</v>
      </c>
      <c r="B2799" t="s">
        <v>35</v>
      </c>
      <c r="C2799">
        <v>0</v>
      </c>
      <c r="D2799">
        <v>0</v>
      </c>
      <c r="E2799">
        <v>0</v>
      </c>
      <c r="F2799">
        <v>0</v>
      </c>
      <c r="G2799">
        <v>27.625</v>
      </c>
      <c r="H2799">
        <v>0</v>
      </c>
      <c r="I2799">
        <v>0</v>
      </c>
      <c r="J2799">
        <v>0</v>
      </c>
      <c r="K2799">
        <v>0</v>
      </c>
      <c r="L2799">
        <v>176</v>
      </c>
      <c r="M2799">
        <v>251</v>
      </c>
      <c r="N2799" t="s">
        <v>35</v>
      </c>
      <c r="O2799" s="3">
        <v>44517</v>
      </c>
      <c r="P2799">
        <v>-1</v>
      </c>
      <c r="T2799" t="s">
        <v>41</v>
      </c>
      <c r="U2799">
        <v>74</v>
      </c>
      <c r="V2799">
        <v>28.288699999999999</v>
      </c>
    </row>
    <row r="2800" spans="1:22" x14ac:dyDescent="0.35">
      <c r="A2800" s="3">
        <v>44266</v>
      </c>
      <c r="B2800" t="s">
        <v>42</v>
      </c>
      <c r="C2800">
        <v>0</v>
      </c>
      <c r="D2800">
        <v>0</v>
      </c>
      <c r="E2800">
        <v>0</v>
      </c>
      <c r="F2800">
        <v>0</v>
      </c>
      <c r="G2800">
        <v>25.801300000000001</v>
      </c>
      <c r="H2800">
        <v>0</v>
      </c>
      <c r="I2800">
        <v>0</v>
      </c>
      <c r="J2800">
        <v>0</v>
      </c>
      <c r="K2800">
        <v>0</v>
      </c>
      <c r="L2800">
        <v>29</v>
      </c>
      <c r="M2800">
        <v>41</v>
      </c>
      <c r="N2800" t="s">
        <v>42</v>
      </c>
      <c r="O2800" s="3">
        <v>44307</v>
      </c>
      <c r="P2800">
        <v>-1</v>
      </c>
      <c r="T2800" t="s">
        <v>40</v>
      </c>
      <c r="U2800">
        <v>93</v>
      </c>
      <c r="V2800">
        <v>28.1661</v>
      </c>
    </row>
    <row r="2801" spans="1:22" x14ac:dyDescent="0.35">
      <c r="A2801" s="3">
        <v>44266</v>
      </c>
      <c r="B2801" t="s">
        <v>40</v>
      </c>
      <c r="C2801">
        <v>0</v>
      </c>
      <c r="D2801">
        <v>0</v>
      </c>
      <c r="E2801">
        <v>0</v>
      </c>
      <c r="F2801">
        <v>0</v>
      </c>
      <c r="G2801">
        <v>27.706600000000002</v>
      </c>
      <c r="H2801">
        <v>0</v>
      </c>
      <c r="I2801">
        <v>0</v>
      </c>
      <c r="J2801">
        <v>0</v>
      </c>
      <c r="K2801">
        <v>0</v>
      </c>
      <c r="L2801">
        <v>68</v>
      </c>
      <c r="M2801">
        <v>97</v>
      </c>
      <c r="N2801" t="s">
        <v>40</v>
      </c>
      <c r="O2801" s="3">
        <v>44363</v>
      </c>
      <c r="P2801">
        <v>-1</v>
      </c>
      <c r="T2801" t="s">
        <v>39</v>
      </c>
      <c r="U2801">
        <v>117</v>
      </c>
      <c r="V2801">
        <v>28.258299999999998</v>
      </c>
    </row>
    <row r="2802" spans="1:22" x14ac:dyDescent="0.35">
      <c r="A2802" s="3">
        <v>44266</v>
      </c>
      <c r="B2802" t="s">
        <v>39</v>
      </c>
      <c r="C2802">
        <v>0</v>
      </c>
      <c r="D2802">
        <v>0</v>
      </c>
      <c r="E2802">
        <v>0</v>
      </c>
      <c r="F2802">
        <v>0</v>
      </c>
      <c r="G2802">
        <v>28.197800000000001</v>
      </c>
      <c r="H2802">
        <v>0</v>
      </c>
      <c r="I2802">
        <v>0</v>
      </c>
      <c r="J2802">
        <v>0</v>
      </c>
      <c r="K2802">
        <v>0</v>
      </c>
      <c r="L2802">
        <v>92</v>
      </c>
      <c r="M2802">
        <v>132</v>
      </c>
      <c r="N2802" t="s">
        <v>39</v>
      </c>
      <c r="O2802" s="3">
        <v>44398</v>
      </c>
      <c r="P2802">
        <v>-1</v>
      </c>
      <c r="T2802" t="s">
        <v>38</v>
      </c>
      <c r="U2802">
        <v>137</v>
      </c>
      <c r="V2802">
        <v>28</v>
      </c>
    </row>
    <row r="2803" spans="1:22" x14ac:dyDescent="0.35">
      <c r="A2803" s="3">
        <v>44266</v>
      </c>
      <c r="B2803" t="s">
        <v>37</v>
      </c>
      <c r="C2803">
        <v>0</v>
      </c>
      <c r="D2803">
        <v>0</v>
      </c>
      <c r="E2803">
        <v>0</v>
      </c>
      <c r="F2803">
        <v>0</v>
      </c>
      <c r="G2803">
        <v>28.2</v>
      </c>
      <c r="H2803">
        <v>0</v>
      </c>
      <c r="I2803">
        <v>0</v>
      </c>
      <c r="J2803">
        <v>0</v>
      </c>
      <c r="K2803">
        <v>0</v>
      </c>
      <c r="L2803">
        <v>131</v>
      </c>
      <c r="M2803">
        <v>188</v>
      </c>
      <c r="N2803" t="s">
        <v>37</v>
      </c>
      <c r="O2803" s="3">
        <v>44454</v>
      </c>
      <c r="P2803">
        <v>-1</v>
      </c>
      <c r="T2803" t="s">
        <v>37</v>
      </c>
      <c r="U2803">
        <v>156</v>
      </c>
      <c r="V2803">
        <v>28.125</v>
      </c>
    </row>
    <row r="2804" spans="1:22" x14ac:dyDescent="0.35">
      <c r="A2804" s="3">
        <v>44266</v>
      </c>
      <c r="B2804" t="s">
        <v>41</v>
      </c>
      <c r="C2804">
        <v>0</v>
      </c>
      <c r="D2804">
        <v>0</v>
      </c>
      <c r="E2804">
        <v>0</v>
      </c>
      <c r="F2804">
        <v>0</v>
      </c>
      <c r="G2804">
        <v>27.193200000000001</v>
      </c>
      <c r="H2804">
        <v>0</v>
      </c>
      <c r="I2804">
        <v>0</v>
      </c>
      <c r="J2804">
        <v>0</v>
      </c>
      <c r="K2804">
        <v>0</v>
      </c>
      <c r="L2804">
        <v>49</v>
      </c>
      <c r="M2804">
        <v>69</v>
      </c>
      <c r="N2804" t="s">
        <v>41</v>
      </c>
      <c r="O2804" s="3">
        <v>44335</v>
      </c>
      <c r="P2804">
        <v>-1</v>
      </c>
      <c r="T2804" t="s">
        <v>36</v>
      </c>
      <c r="U2804">
        <v>181</v>
      </c>
      <c r="V2804">
        <v>29.75</v>
      </c>
    </row>
    <row r="2805" spans="1:22" x14ac:dyDescent="0.35">
      <c r="A2805" s="3">
        <v>44265</v>
      </c>
      <c r="B2805" t="s">
        <v>40</v>
      </c>
      <c r="C2805">
        <v>0</v>
      </c>
      <c r="D2805">
        <v>0</v>
      </c>
      <c r="E2805">
        <v>0</v>
      </c>
      <c r="F2805">
        <v>0</v>
      </c>
      <c r="G2805">
        <v>28.2118</v>
      </c>
      <c r="H2805">
        <v>0</v>
      </c>
      <c r="I2805">
        <v>0</v>
      </c>
      <c r="J2805">
        <v>0</v>
      </c>
      <c r="K2805">
        <v>0</v>
      </c>
      <c r="L2805">
        <v>69</v>
      </c>
      <c r="M2805">
        <v>98</v>
      </c>
      <c r="N2805" t="s">
        <v>40</v>
      </c>
      <c r="O2805" s="3">
        <v>44363</v>
      </c>
      <c r="P2805">
        <v>-1</v>
      </c>
      <c r="S2805" s="3">
        <v>44231</v>
      </c>
      <c r="T2805" t="s">
        <v>44</v>
      </c>
      <c r="U2805">
        <v>8</v>
      </c>
      <c r="V2805">
        <v>24.227399999999999</v>
      </c>
    </row>
    <row r="2806" spans="1:22" x14ac:dyDescent="0.35">
      <c r="A2806" s="3">
        <v>44265</v>
      </c>
      <c r="B2806" t="s">
        <v>39</v>
      </c>
      <c r="C2806">
        <v>0</v>
      </c>
      <c r="D2806">
        <v>0</v>
      </c>
      <c r="E2806">
        <v>0</v>
      </c>
      <c r="F2806">
        <v>0</v>
      </c>
      <c r="G2806">
        <v>28.564800000000002</v>
      </c>
      <c r="H2806">
        <v>0</v>
      </c>
      <c r="I2806">
        <v>0</v>
      </c>
      <c r="J2806">
        <v>0</v>
      </c>
      <c r="K2806">
        <v>0</v>
      </c>
      <c r="L2806">
        <v>93</v>
      </c>
      <c r="M2806">
        <v>133</v>
      </c>
      <c r="N2806" t="s">
        <v>39</v>
      </c>
      <c r="O2806" s="3">
        <v>44398</v>
      </c>
      <c r="P2806">
        <v>-1</v>
      </c>
      <c r="T2806" t="s">
        <v>43</v>
      </c>
      <c r="U2806">
        <v>28</v>
      </c>
      <c r="V2806">
        <v>26.743600000000001</v>
      </c>
    </row>
    <row r="2807" spans="1:22" x14ac:dyDescent="0.35">
      <c r="A2807" s="3">
        <v>44265</v>
      </c>
      <c r="B2807" t="s">
        <v>37</v>
      </c>
      <c r="C2807">
        <v>0</v>
      </c>
      <c r="D2807">
        <v>0</v>
      </c>
      <c r="E2807">
        <v>0</v>
      </c>
      <c r="F2807">
        <v>0</v>
      </c>
      <c r="G2807">
        <v>28.504200000000001</v>
      </c>
      <c r="H2807">
        <v>0</v>
      </c>
      <c r="I2807">
        <v>0</v>
      </c>
      <c r="J2807">
        <v>0</v>
      </c>
      <c r="K2807">
        <v>0</v>
      </c>
      <c r="L2807">
        <v>132</v>
      </c>
      <c r="M2807">
        <v>189</v>
      </c>
      <c r="N2807" t="s">
        <v>37</v>
      </c>
      <c r="O2807" s="3">
        <v>44454</v>
      </c>
      <c r="P2807">
        <v>-1</v>
      </c>
      <c r="T2807" t="s">
        <v>42</v>
      </c>
      <c r="U2807">
        <v>53</v>
      </c>
      <c r="V2807">
        <v>27.893699999999999</v>
      </c>
    </row>
    <row r="2808" spans="1:22" x14ac:dyDescent="0.35">
      <c r="A2808" s="3">
        <v>44265</v>
      </c>
      <c r="B2808" t="s">
        <v>41</v>
      </c>
      <c r="C2808">
        <v>0</v>
      </c>
      <c r="D2808">
        <v>0</v>
      </c>
      <c r="E2808">
        <v>0</v>
      </c>
      <c r="F2808">
        <v>0</v>
      </c>
      <c r="G2808">
        <v>27.799399999999999</v>
      </c>
      <c r="H2808">
        <v>0</v>
      </c>
      <c r="I2808">
        <v>0</v>
      </c>
      <c r="J2808">
        <v>0</v>
      </c>
      <c r="K2808">
        <v>0</v>
      </c>
      <c r="L2808">
        <v>50</v>
      </c>
      <c r="M2808">
        <v>70</v>
      </c>
      <c r="N2808" t="s">
        <v>41</v>
      </c>
      <c r="O2808" s="3">
        <v>44335</v>
      </c>
      <c r="P2808">
        <v>-1</v>
      </c>
      <c r="T2808" t="s">
        <v>41</v>
      </c>
      <c r="U2808">
        <v>73</v>
      </c>
      <c r="V2808">
        <v>28.05</v>
      </c>
    </row>
    <row r="2809" spans="1:22" x14ac:dyDescent="0.35">
      <c r="A2809" s="3">
        <v>44265</v>
      </c>
      <c r="B2809" t="s">
        <v>43</v>
      </c>
      <c r="C2809">
        <v>0</v>
      </c>
      <c r="D2809">
        <v>0</v>
      </c>
      <c r="E2809">
        <v>0</v>
      </c>
      <c r="F2809">
        <v>0</v>
      </c>
      <c r="G2809">
        <v>23.504799999999999</v>
      </c>
      <c r="H2809">
        <v>0</v>
      </c>
      <c r="I2809">
        <v>0</v>
      </c>
      <c r="J2809">
        <v>0</v>
      </c>
      <c r="K2809">
        <v>0</v>
      </c>
      <c r="L2809">
        <v>5</v>
      </c>
      <c r="M2809">
        <v>7</v>
      </c>
      <c r="N2809" t="s">
        <v>43</v>
      </c>
      <c r="O2809" s="3">
        <v>44272</v>
      </c>
      <c r="P2809">
        <v>-1</v>
      </c>
      <c r="T2809" t="s">
        <v>40</v>
      </c>
      <c r="U2809">
        <v>92</v>
      </c>
      <c r="V2809">
        <v>27.991800000000001</v>
      </c>
    </row>
    <row r="2810" spans="1:22" x14ac:dyDescent="0.35">
      <c r="A2810" s="3">
        <v>44265</v>
      </c>
      <c r="B2810" t="s">
        <v>38</v>
      </c>
      <c r="C2810">
        <v>0</v>
      </c>
      <c r="D2810">
        <v>0</v>
      </c>
      <c r="E2810">
        <v>0</v>
      </c>
      <c r="F2810">
        <v>0</v>
      </c>
      <c r="G2810">
        <v>28.401399999999999</v>
      </c>
      <c r="H2810">
        <v>0</v>
      </c>
      <c r="I2810">
        <v>0</v>
      </c>
      <c r="J2810">
        <v>0</v>
      </c>
      <c r="K2810">
        <v>0</v>
      </c>
      <c r="L2810">
        <v>113</v>
      </c>
      <c r="M2810">
        <v>161</v>
      </c>
      <c r="N2810" t="s">
        <v>38</v>
      </c>
      <c r="O2810" s="3">
        <v>44426</v>
      </c>
      <c r="P2810">
        <v>-1</v>
      </c>
      <c r="T2810" t="s">
        <v>39</v>
      </c>
      <c r="U2810">
        <v>116</v>
      </c>
      <c r="V2810">
        <v>28.097999999999999</v>
      </c>
    </row>
    <row r="2811" spans="1:22" x14ac:dyDescent="0.35">
      <c r="A2811" s="3">
        <v>44265</v>
      </c>
      <c r="B2811" t="s">
        <v>36</v>
      </c>
      <c r="C2811">
        <v>0</v>
      </c>
      <c r="D2811">
        <v>0</v>
      </c>
      <c r="E2811">
        <v>0</v>
      </c>
      <c r="F2811">
        <v>0</v>
      </c>
      <c r="G2811">
        <v>28.35</v>
      </c>
      <c r="H2811">
        <v>0</v>
      </c>
      <c r="I2811">
        <v>0</v>
      </c>
      <c r="J2811">
        <v>0</v>
      </c>
      <c r="K2811">
        <v>0</v>
      </c>
      <c r="L2811">
        <v>157</v>
      </c>
      <c r="M2811">
        <v>224</v>
      </c>
      <c r="N2811" t="s">
        <v>36</v>
      </c>
      <c r="O2811" s="3">
        <v>44489</v>
      </c>
      <c r="P2811">
        <v>-1</v>
      </c>
      <c r="T2811" t="s">
        <v>38</v>
      </c>
      <c r="U2811">
        <v>136</v>
      </c>
      <c r="V2811">
        <v>27.866700000000002</v>
      </c>
    </row>
    <row r="2812" spans="1:22" x14ac:dyDescent="0.35">
      <c r="A2812" s="3">
        <v>44265</v>
      </c>
      <c r="B2812" t="s">
        <v>35</v>
      </c>
      <c r="C2812">
        <v>0</v>
      </c>
      <c r="D2812">
        <v>0</v>
      </c>
      <c r="E2812">
        <v>0</v>
      </c>
      <c r="F2812">
        <v>0</v>
      </c>
      <c r="G2812">
        <v>27.8</v>
      </c>
      <c r="H2812">
        <v>0</v>
      </c>
      <c r="I2812">
        <v>0</v>
      </c>
      <c r="J2812">
        <v>0</v>
      </c>
      <c r="K2812">
        <v>0</v>
      </c>
      <c r="L2812">
        <v>177</v>
      </c>
      <c r="M2812">
        <v>252</v>
      </c>
      <c r="N2812" t="s">
        <v>35</v>
      </c>
      <c r="O2812" s="3">
        <v>44517</v>
      </c>
      <c r="P2812">
        <v>-1</v>
      </c>
      <c r="T2812" t="s">
        <v>37</v>
      </c>
      <c r="U2812">
        <v>155</v>
      </c>
      <c r="V2812">
        <v>27.9</v>
      </c>
    </row>
    <row r="2813" spans="1:22" x14ac:dyDescent="0.35">
      <c r="A2813" s="3">
        <v>44265</v>
      </c>
      <c r="B2813" t="s">
        <v>42</v>
      </c>
      <c r="C2813">
        <v>0</v>
      </c>
      <c r="D2813">
        <v>0</v>
      </c>
      <c r="E2813">
        <v>0</v>
      </c>
      <c r="F2813">
        <v>0</v>
      </c>
      <c r="G2813">
        <v>26.461600000000001</v>
      </c>
      <c r="H2813">
        <v>0</v>
      </c>
      <c r="I2813">
        <v>0</v>
      </c>
      <c r="J2813">
        <v>0</v>
      </c>
      <c r="K2813">
        <v>0</v>
      </c>
      <c r="L2813">
        <v>30</v>
      </c>
      <c r="M2813">
        <v>42</v>
      </c>
      <c r="N2813" t="s">
        <v>42</v>
      </c>
      <c r="O2813" s="3">
        <v>44307</v>
      </c>
      <c r="P2813">
        <v>-1</v>
      </c>
      <c r="T2813" t="s">
        <v>36</v>
      </c>
      <c r="U2813">
        <v>180</v>
      </c>
      <c r="V2813">
        <v>29.75</v>
      </c>
    </row>
    <row r="2814" spans="1:22" x14ac:dyDescent="0.35">
      <c r="A2814" s="3">
        <v>44264</v>
      </c>
      <c r="B2814" t="s">
        <v>43</v>
      </c>
      <c r="C2814">
        <v>0</v>
      </c>
      <c r="D2814">
        <v>0</v>
      </c>
      <c r="E2814">
        <v>0</v>
      </c>
      <c r="F2814">
        <v>0</v>
      </c>
      <c r="G2814">
        <v>23.9726</v>
      </c>
      <c r="H2814">
        <v>0</v>
      </c>
      <c r="I2814">
        <v>0</v>
      </c>
      <c r="J2814">
        <v>0</v>
      </c>
      <c r="K2814">
        <v>0</v>
      </c>
      <c r="L2814">
        <v>6</v>
      </c>
      <c r="M2814">
        <v>8</v>
      </c>
      <c r="N2814" t="s">
        <v>43</v>
      </c>
      <c r="O2814" s="3">
        <v>44272</v>
      </c>
      <c r="P2814">
        <v>-1</v>
      </c>
      <c r="S2814" s="3">
        <v>44232</v>
      </c>
      <c r="T2814" t="s">
        <v>44</v>
      </c>
      <c r="U2814">
        <v>7</v>
      </c>
      <c r="V2814">
        <v>24.099299999999999</v>
      </c>
    </row>
    <row r="2815" spans="1:22" x14ac:dyDescent="0.35">
      <c r="A2815" s="3">
        <v>44264</v>
      </c>
      <c r="B2815" t="s">
        <v>38</v>
      </c>
      <c r="C2815">
        <v>0</v>
      </c>
      <c r="D2815">
        <v>0</v>
      </c>
      <c r="E2815">
        <v>0</v>
      </c>
      <c r="F2815">
        <v>0</v>
      </c>
      <c r="G2815">
        <v>28.6432</v>
      </c>
      <c r="H2815">
        <v>0</v>
      </c>
      <c r="I2815">
        <v>0</v>
      </c>
      <c r="J2815">
        <v>0</v>
      </c>
      <c r="K2815">
        <v>0</v>
      </c>
      <c r="L2815">
        <v>114</v>
      </c>
      <c r="M2815">
        <v>162</v>
      </c>
      <c r="N2815" t="s">
        <v>38</v>
      </c>
      <c r="O2815" s="3">
        <v>44426</v>
      </c>
      <c r="P2815">
        <v>-1</v>
      </c>
      <c r="T2815" t="s">
        <v>43</v>
      </c>
      <c r="U2815">
        <v>27</v>
      </c>
      <c r="V2815">
        <v>26.65</v>
      </c>
    </row>
    <row r="2816" spans="1:22" x14ac:dyDescent="0.35">
      <c r="A2816" s="3">
        <v>44264</v>
      </c>
      <c r="B2816" t="s">
        <v>36</v>
      </c>
      <c r="C2816">
        <v>0</v>
      </c>
      <c r="D2816">
        <v>0</v>
      </c>
      <c r="E2816">
        <v>0</v>
      </c>
      <c r="F2816">
        <v>0</v>
      </c>
      <c r="G2816">
        <v>28.524999999999999</v>
      </c>
      <c r="H2816">
        <v>0</v>
      </c>
      <c r="I2816">
        <v>0</v>
      </c>
      <c r="J2816">
        <v>0</v>
      </c>
      <c r="K2816">
        <v>0</v>
      </c>
      <c r="L2816">
        <v>158</v>
      </c>
      <c r="M2816">
        <v>225</v>
      </c>
      <c r="N2816" t="s">
        <v>36</v>
      </c>
      <c r="O2816" s="3">
        <v>44489</v>
      </c>
      <c r="P2816">
        <v>-1</v>
      </c>
      <c r="T2816" t="s">
        <v>42</v>
      </c>
      <c r="U2816">
        <v>52</v>
      </c>
      <c r="V2816">
        <v>27.844000000000001</v>
      </c>
    </row>
    <row r="2817" spans="1:22" x14ac:dyDescent="0.35">
      <c r="A2817" s="3">
        <v>44264</v>
      </c>
      <c r="B2817" t="s">
        <v>35</v>
      </c>
      <c r="C2817">
        <v>0</v>
      </c>
      <c r="D2817">
        <v>0</v>
      </c>
      <c r="E2817">
        <v>0</v>
      </c>
      <c r="F2817">
        <v>0</v>
      </c>
      <c r="G2817">
        <v>28.1</v>
      </c>
      <c r="H2817">
        <v>0</v>
      </c>
      <c r="I2817">
        <v>0</v>
      </c>
      <c r="J2817">
        <v>0</v>
      </c>
      <c r="K2817">
        <v>0</v>
      </c>
      <c r="L2817">
        <v>178</v>
      </c>
      <c r="M2817">
        <v>253</v>
      </c>
      <c r="N2817" t="s">
        <v>35</v>
      </c>
      <c r="O2817" s="3">
        <v>44517</v>
      </c>
      <c r="P2817">
        <v>-1</v>
      </c>
      <c r="T2817" t="s">
        <v>41</v>
      </c>
      <c r="U2817">
        <v>72</v>
      </c>
      <c r="V2817">
        <v>28.0456</v>
      </c>
    </row>
    <row r="2818" spans="1:22" x14ac:dyDescent="0.35">
      <c r="A2818" s="3">
        <v>44264</v>
      </c>
      <c r="B2818" t="s">
        <v>42</v>
      </c>
      <c r="C2818">
        <v>0</v>
      </c>
      <c r="D2818">
        <v>0</v>
      </c>
      <c r="E2818">
        <v>0</v>
      </c>
      <c r="F2818">
        <v>0</v>
      </c>
      <c r="G2818">
        <v>26.718800000000002</v>
      </c>
      <c r="H2818">
        <v>0</v>
      </c>
      <c r="I2818">
        <v>0</v>
      </c>
      <c r="J2818">
        <v>0</v>
      </c>
      <c r="K2818">
        <v>0</v>
      </c>
      <c r="L2818">
        <v>31</v>
      </c>
      <c r="M2818">
        <v>43</v>
      </c>
      <c r="N2818" t="s">
        <v>42</v>
      </c>
      <c r="O2818" s="3">
        <v>44307</v>
      </c>
      <c r="P2818">
        <v>-1</v>
      </c>
      <c r="T2818" t="s">
        <v>40</v>
      </c>
      <c r="U2818">
        <v>91</v>
      </c>
      <c r="V2818">
        <v>28.097899999999999</v>
      </c>
    </row>
    <row r="2819" spans="1:22" x14ac:dyDescent="0.35">
      <c r="A2819" s="3">
        <v>44264</v>
      </c>
      <c r="B2819" t="s">
        <v>40</v>
      </c>
      <c r="C2819">
        <v>0</v>
      </c>
      <c r="D2819">
        <v>0</v>
      </c>
      <c r="E2819">
        <v>0</v>
      </c>
      <c r="F2819">
        <v>0</v>
      </c>
      <c r="G2819">
        <v>28.3688</v>
      </c>
      <c r="H2819">
        <v>0</v>
      </c>
      <c r="I2819">
        <v>0</v>
      </c>
      <c r="J2819">
        <v>0</v>
      </c>
      <c r="K2819">
        <v>0</v>
      </c>
      <c r="L2819">
        <v>70</v>
      </c>
      <c r="M2819">
        <v>99</v>
      </c>
      <c r="N2819" t="s">
        <v>40</v>
      </c>
      <c r="O2819" s="3">
        <v>44363</v>
      </c>
      <c r="P2819">
        <v>-1</v>
      </c>
      <c r="T2819" t="s">
        <v>39</v>
      </c>
      <c r="U2819">
        <v>115</v>
      </c>
      <c r="V2819">
        <v>28.2</v>
      </c>
    </row>
    <row r="2820" spans="1:22" x14ac:dyDescent="0.35">
      <c r="A2820" s="3">
        <v>44264</v>
      </c>
      <c r="B2820" t="s">
        <v>39</v>
      </c>
      <c r="C2820">
        <v>0</v>
      </c>
      <c r="D2820">
        <v>0</v>
      </c>
      <c r="E2820">
        <v>0</v>
      </c>
      <c r="F2820">
        <v>0</v>
      </c>
      <c r="G2820">
        <v>28.8416</v>
      </c>
      <c r="H2820">
        <v>0</v>
      </c>
      <c r="I2820">
        <v>0</v>
      </c>
      <c r="J2820">
        <v>0</v>
      </c>
      <c r="K2820">
        <v>0</v>
      </c>
      <c r="L2820">
        <v>94</v>
      </c>
      <c r="M2820">
        <v>134</v>
      </c>
      <c r="N2820" t="s">
        <v>39</v>
      </c>
      <c r="O2820" s="3">
        <v>44398</v>
      </c>
      <c r="P2820">
        <v>-1</v>
      </c>
      <c r="T2820" t="s">
        <v>38</v>
      </c>
      <c r="U2820">
        <v>135</v>
      </c>
      <c r="V2820">
        <v>27.95</v>
      </c>
    </row>
    <row r="2821" spans="1:22" x14ac:dyDescent="0.35">
      <c r="A2821" s="3">
        <v>44264</v>
      </c>
      <c r="B2821" t="s">
        <v>37</v>
      </c>
      <c r="C2821">
        <v>0</v>
      </c>
      <c r="D2821">
        <v>0</v>
      </c>
      <c r="E2821">
        <v>0</v>
      </c>
      <c r="F2821">
        <v>0</v>
      </c>
      <c r="G2821">
        <v>28.7227</v>
      </c>
      <c r="H2821">
        <v>0</v>
      </c>
      <c r="I2821">
        <v>0</v>
      </c>
      <c r="J2821">
        <v>0</v>
      </c>
      <c r="K2821">
        <v>0</v>
      </c>
      <c r="L2821">
        <v>133</v>
      </c>
      <c r="M2821">
        <v>190</v>
      </c>
      <c r="N2821" t="s">
        <v>37</v>
      </c>
      <c r="O2821" s="3">
        <v>44454</v>
      </c>
      <c r="P2821">
        <v>-1</v>
      </c>
      <c r="T2821" t="s">
        <v>37</v>
      </c>
      <c r="U2821">
        <v>154</v>
      </c>
      <c r="V2821">
        <v>27.9</v>
      </c>
    </row>
    <row r="2822" spans="1:22" x14ac:dyDescent="0.35">
      <c r="A2822" s="3">
        <v>44264</v>
      </c>
      <c r="B2822" t="s">
        <v>41</v>
      </c>
      <c r="C2822">
        <v>0</v>
      </c>
      <c r="D2822">
        <v>0</v>
      </c>
      <c r="E2822">
        <v>0</v>
      </c>
      <c r="F2822">
        <v>0</v>
      </c>
      <c r="G2822">
        <v>27.8977</v>
      </c>
      <c r="H2822">
        <v>0</v>
      </c>
      <c r="I2822">
        <v>0</v>
      </c>
      <c r="J2822">
        <v>0</v>
      </c>
      <c r="K2822">
        <v>0</v>
      </c>
      <c r="L2822">
        <v>51</v>
      </c>
      <c r="M2822">
        <v>71</v>
      </c>
      <c r="N2822" t="s">
        <v>41</v>
      </c>
      <c r="O2822" s="3">
        <v>44335</v>
      </c>
      <c r="P2822">
        <v>-1</v>
      </c>
      <c r="T2822" t="s">
        <v>36</v>
      </c>
      <c r="U2822">
        <v>179</v>
      </c>
      <c r="V2822">
        <v>27.475000000000001</v>
      </c>
    </row>
    <row r="2823" spans="1:22" x14ac:dyDescent="0.35">
      <c r="A2823" s="3">
        <v>44263</v>
      </c>
      <c r="B2823" t="s">
        <v>40</v>
      </c>
      <c r="C2823">
        <v>0</v>
      </c>
      <c r="D2823">
        <v>0</v>
      </c>
      <c r="E2823">
        <v>0</v>
      </c>
      <c r="F2823">
        <v>0</v>
      </c>
      <c r="G2823">
        <v>28.803000000000001</v>
      </c>
      <c r="H2823">
        <v>0</v>
      </c>
      <c r="I2823">
        <v>0</v>
      </c>
      <c r="J2823">
        <v>0</v>
      </c>
      <c r="K2823">
        <v>0</v>
      </c>
      <c r="L2823">
        <v>71</v>
      </c>
      <c r="M2823">
        <v>100</v>
      </c>
      <c r="N2823" t="s">
        <v>40</v>
      </c>
      <c r="O2823" s="3">
        <v>44363</v>
      </c>
      <c r="P2823">
        <v>-1</v>
      </c>
      <c r="S2823" s="3">
        <v>44235</v>
      </c>
      <c r="T2823" t="s">
        <v>44</v>
      </c>
      <c r="U2823">
        <v>6</v>
      </c>
      <c r="V2823">
        <v>23.837900000000001</v>
      </c>
    </row>
    <row r="2824" spans="1:22" x14ac:dyDescent="0.35">
      <c r="A2824" s="3">
        <v>44263</v>
      </c>
      <c r="B2824" t="s">
        <v>39</v>
      </c>
      <c r="C2824">
        <v>0</v>
      </c>
      <c r="D2824">
        <v>0</v>
      </c>
      <c r="E2824">
        <v>0</v>
      </c>
      <c r="F2824">
        <v>0</v>
      </c>
      <c r="G2824">
        <v>29.05</v>
      </c>
      <c r="H2824">
        <v>0</v>
      </c>
      <c r="I2824">
        <v>0</v>
      </c>
      <c r="J2824">
        <v>0</v>
      </c>
      <c r="K2824">
        <v>0</v>
      </c>
      <c r="L2824">
        <v>95</v>
      </c>
      <c r="M2824">
        <v>135</v>
      </c>
      <c r="N2824" t="s">
        <v>39</v>
      </c>
      <c r="O2824" s="3">
        <v>44398</v>
      </c>
      <c r="P2824">
        <v>-1</v>
      </c>
      <c r="T2824" t="s">
        <v>43</v>
      </c>
      <c r="U2824">
        <v>26</v>
      </c>
      <c r="V2824">
        <v>26.548400000000001</v>
      </c>
    </row>
    <row r="2825" spans="1:22" x14ac:dyDescent="0.35">
      <c r="A2825" s="3">
        <v>44263</v>
      </c>
      <c r="B2825" t="s">
        <v>37</v>
      </c>
      <c r="C2825">
        <v>0</v>
      </c>
      <c r="D2825">
        <v>0</v>
      </c>
      <c r="E2825">
        <v>0</v>
      </c>
      <c r="F2825">
        <v>0</v>
      </c>
      <c r="G2825">
        <v>28.8</v>
      </c>
      <c r="H2825">
        <v>0</v>
      </c>
      <c r="I2825">
        <v>0</v>
      </c>
      <c r="J2825">
        <v>0</v>
      </c>
      <c r="K2825">
        <v>0</v>
      </c>
      <c r="L2825">
        <v>134</v>
      </c>
      <c r="M2825">
        <v>191</v>
      </c>
      <c r="N2825" t="s">
        <v>37</v>
      </c>
      <c r="O2825" s="3">
        <v>44454</v>
      </c>
      <c r="P2825">
        <v>-1</v>
      </c>
      <c r="T2825" t="s">
        <v>42</v>
      </c>
      <c r="U2825">
        <v>51</v>
      </c>
      <c r="V2825">
        <v>27.8415</v>
      </c>
    </row>
    <row r="2826" spans="1:22" x14ac:dyDescent="0.35">
      <c r="A2826" s="3">
        <v>44263</v>
      </c>
      <c r="B2826" t="s">
        <v>41</v>
      </c>
      <c r="C2826">
        <v>0</v>
      </c>
      <c r="D2826">
        <v>0</v>
      </c>
      <c r="E2826">
        <v>0</v>
      </c>
      <c r="F2826">
        <v>0</v>
      </c>
      <c r="G2826">
        <v>28.5</v>
      </c>
      <c r="H2826">
        <v>0</v>
      </c>
      <c r="I2826">
        <v>0</v>
      </c>
      <c r="J2826">
        <v>0</v>
      </c>
      <c r="K2826">
        <v>0</v>
      </c>
      <c r="L2826">
        <v>52</v>
      </c>
      <c r="M2826">
        <v>72</v>
      </c>
      <c r="N2826" t="s">
        <v>41</v>
      </c>
      <c r="O2826" s="3">
        <v>44335</v>
      </c>
      <c r="P2826">
        <v>-1</v>
      </c>
      <c r="T2826" t="s">
        <v>41</v>
      </c>
      <c r="U2826">
        <v>71</v>
      </c>
      <c r="V2826">
        <v>28.1</v>
      </c>
    </row>
    <row r="2827" spans="1:22" x14ac:dyDescent="0.35">
      <c r="A2827" s="3">
        <v>44263</v>
      </c>
      <c r="B2827" t="s">
        <v>43</v>
      </c>
      <c r="C2827">
        <v>0</v>
      </c>
      <c r="D2827">
        <v>0</v>
      </c>
      <c r="E2827">
        <v>0</v>
      </c>
      <c r="F2827">
        <v>0</v>
      </c>
      <c r="G2827">
        <v>25.366700000000002</v>
      </c>
      <c r="H2827">
        <v>0</v>
      </c>
      <c r="I2827">
        <v>0</v>
      </c>
      <c r="J2827">
        <v>0</v>
      </c>
      <c r="K2827">
        <v>0</v>
      </c>
      <c r="L2827">
        <v>7</v>
      </c>
      <c r="M2827">
        <v>9</v>
      </c>
      <c r="N2827" t="s">
        <v>43</v>
      </c>
      <c r="O2827" s="3">
        <v>44272</v>
      </c>
      <c r="P2827">
        <v>-1</v>
      </c>
      <c r="T2827" t="s">
        <v>40</v>
      </c>
      <c r="U2827">
        <v>90</v>
      </c>
      <c r="V2827">
        <v>28.2517</v>
      </c>
    </row>
    <row r="2828" spans="1:22" x14ac:dyDescent="0.35">
      <c r="A2828" s="3">
        <v>44263</v>
      </c>
      <c r="B2828" t="s">
        <v>38</v>
      </c>
      <c r="C2828">
        <v>0</v>
      </c>
      <c r="D2828">
        <v>0</v>
      </c>
      <c r="E2828">
        <v>0</v>
      </c>
      <c r="F2828">
        <v>0</v>
      </c>
      <c r="G2828">
        <v>28.761099999999999</v>
      </c>
      <c r="H2828">
        <v>0</v>
      </c>
      <c r="I2828">
        <v>0</v>
      </c>
      <c r="J2828">
        <v>0</v>
      </c>
      <c r="K2828">
        <v>0</v>
      </c>
      <c r="L2828">
        <v>115</v>
      </c>
      <c r="M2828">
        <v>163</v>
      </c>
      <c r="N2828" t="s">
        <v>38</v>
      </c>
      <c r="O2828" s="3">
        <v>44426</v>
      </c>
      <c r="P2828">
        <v>-1</v>
      </c>
      <c r="T2828" t="s">
        <v>39</v>
      </c>
      <c r="U2828">
        <v>114</v>
      </c>
      <c r="V2828">
        <v>28.3</v>
      </c>
    </row>
    <row r="2829" spans="1:22" x14ac:dyDescent="0.35">
      <c r="A2829" s="3">
        <v>44263</v>
      </c>
      <c r="B2829" t="s">
        <v>36</v>
      </c>
      <c r="C2829">
        <v>0</v>
      </c>
      <c r="D2829">
        <v>0</v>
      </c>
      <c r="E2829">
        <v>0</v>
      </c>
      <c r="F2829">
        <v>0</v>
      </c>
      <c r="G2829">
        <v>28.55</v>
      </c>
      <c r="H2829">
        <v>0</v>
      </c>
      <c r="I2829">
        <v>0</v>
      </c>
      <c r="J2829">
        <v>0</v>
      </c>
      <c r="K2829">
        <v>0</v>
      </c>
      <c r="L2829">
        <v>159</v>
      </c>
      <c r="M2829">
        <v>226</v>
      </c>
      <c r="N2829" t="s">
        <v>36</v>
      </c>
      <c r="O2829" s="3">
        <v>44489</v>
      </c>
      <c r="P2829">
        <v>-1</v>
      </c>
      <c r="T2829" t="s">
        <v>38</v>
      </c>
      <c r="U2829">
        <v>134</v>
      </c>
      <c r="V2829">
        <v>28.05</v>
      </c>
    </row>
    <row r="2830" spans="1:22" x14ac:dyDescent="0.35">
      <c r="A2830" s="3">
        <v>44263</v>
      </c>
      <c r="B2830" t="s">
        <v>35</v>
      </c>
      <c r="C2830">
        <v>0</v>
      </c>
      <c r="D2830">
        <v>0</v>
      </c>
      <c r="E2830">
        <v>0</v>
      </c>
      <c r="F2830">
        <v>0</v>
      </c>
      <c r="G2830">
        <v>27.774999999999999</v>
      </c>
      <c r="H2830">
        <v>0</v>
      </c>
      <c r="I2830">
        <v>0</v>
      </c>
      <c r="J2830">
        <v>0</v>
      </c>
      <c r="K2830">
        <v>0</v>
      </c>
      <c r="L2830">
        <v>179</v>
      </c>
      <c r="M2830">
        <v>254</v>
      </c>
      <c r="N2830" t="s">
        <v>35</v>
      </c>
      <c r="O2830" s="3">
        <v>44517</v>
      </c>
      <c r="P2830">
        <v>-1</v>
      </c>
      <c r="T2830" t="s">
        <v>37</v>
      </c>
      <c r="U2830">
        <v>153</v>
      </c>
      <c r="V2830">
        <v>27.975000000000001</v>
      </c>
    </row>
    <row r="2831" spans="1:22" x14ac:dyDescent="0.35">
      <c r="A2831" s="3">
        <v>44263</v>
      </c>
      <c r="B2831" t="s">
        <v>42</v>
      </c>
      <c r="C2831">
        <v>0</v>
      </c>
      <c r="D2831">
        <v>0</v>
      </c>
      <c r="E2831">
        <v>0</v>
      </c>
      <c r="F2831">
        <v>0</v>
      </c>
      <c r="G2831">
        <v>27.665700000000001</v>
      </c>
      <c r="H2831">
        <v>0</v>
      </c>
      <c r="I2831">
        <v>0</v>
      </c>
      <c r="J2831">
        <v>0</v>
      </c>
      <c r="K2831">
        <v>0</v>
      </c>
      <c r="L2831">
        <v>32</v>
      </c>
      <c r="M2831">
        <v>44</v>
      </c>
      <c r="N2831" t="s">
        <v>42</v>
      </c>
      <c r="O2831" s="3">
        <v>44307</v>
      </c>
      <c r="P2831">
        <v>-1</v>
      </c>
      <c r="T2831" t="s">
        <v>36</v>
      </c>
      <c r="U2831">
        <v>178</v>
      </c>
      <c r="V2831">
        <v>27.975000000000001</v>
      </c>
    </row>
    <row r="2832" spans="1:22" x14ac:dyDescent="0.35">
      <c r="A2832" s="3">
        <v>44260</v>
      </c>
      <c r="B2832" t="s">
        <v>43</v>
      </c>
      <c r="C2832">
        <v>0</v>
      </c>
      <c r="D2832">
        <v>0</v>
      </c>
      <c r="E2832">
        <v>0</v>
      </c>
      <c r="F2832">
        <v>0</v>
      </c>
      <c r="G2832">
        <v>25.050699999999999</v>
      </c>
      <c r="H2832">
        <v>0</v>
      </c>
      <c r="I2832">
        <v>0</v>
      </c>
      <c r="J2832">
        <v>0</v>
      </c>
      <c r="K2832">
        <v>0</v>
      </c>
      <c r="L2832">
        <v>8</v>
      </c>
      <c r="M2832">
        <v>12</v>
      </c>
      <c r="N2832" t="s">
        <v>43</v>
      </c>
      <c r="O2832" s="3">
        <v>44272</v>
      </c>
      <c r="P2832">
        <v>-1</v>
      </c>
      <c r="S2832" s="3">
        <v>44236</v>
      </c>
      <c r="T2832" t="s">
        <v>44</v>
      </c>
      <c r="U2832">
        <v>5</v>
      </c>
      <c r="V2832">
        <v>23.702100000000002</v>
      </c>
    </row>
    <row r="2833" spans="1:22" x14ac:dyDescent="0.35">
      <c r="A2833" s="3">
        <v>44260</v>
      </c>
      <c r="B2833" t="s">
        <v>38</v>
      </c>
      <c r="C2833">
        <v>0</v>
      </c>
      <c r="D2833">
        <v>0</v>
      </c>
      <c r="E2833">
        <v>0</v>
      </c>
      <c r="F2833">
        <v>0</v>
      </c>
      <c r="G2833">
        <v>28.351700000000001</v>
      </c>
      <c r="H2833">
        <v>0</v>
      </c>
      <c r="I2833">
        <v>0</v>
      </c>
      <c r="J2833">
        <v>0</v>
      </c>
      <c r="K2833">
        <v>0</v>
      </c>
      <c r="L2833">
        <v>116</v>
      </c>
      <c r="M2833">
        <v>166</v>
      </c>
      <c r="N2833" t="s">
        <v>38</v>
      </c>
      <c r="O2833" s="3">
        <v>44426</v>
      </c>
      <c r="P2833">
        <v>-1</v>
      </c>
      <c r="T2833" t="s">
        <v>43</v>
      </c>
      <c r="U2833">
        <v>25</v>
      </c>
      <c r="V2833">
        <v>26.686299999999999</v>
      </c>
    </row>
    <row r="2834" spans="1:22" x14ac:dyDescent="0.35">
      <c r="A2834" s="3">
        <v>44260</v>
      </c>
      <c r="B2834" t="s">
        <v>36</v>
      </c>
      <c r="C2834">
        <v>0</v>
      </c>
      <c r="D2834">
        <v>0</v>
      </c>
      <c r="E2834">
        <v>0</v>
      </c>
      <c r="F2834">
        <v>0</v>
      </c>
      <c r="G2834">
        <v>28.225000000000001</v>
      </c>
      <c r="H2834">
        <v>0</v>
      </c>
      <c r="I2834">
        <v>0</v>
      </c>
      <c r="J2834">
        <v>0</v>
      </c>
      <c r="K2834">
        <v>0</v>
      </c>
      <c r="L2834">
        <v>160</v>
      </c>
      <c r="M2834">
        <v>229</v>
      </c>
      <c r="N2834" t="s">
        <v>36</v>
      </c>
      <c r="O2834" s="3">
        <v>44489</v>
      </c>
      <c r="P2834">
        <v>-1</v>
      </c>
      <c r="T2834" t="s">
        <v>42</v>
      </c>
      <c r="U2834">
        <v>50</v>
      </c>
      <c r="V2834">
        <v>28.145199999999999</v>
      </c>
    </row>
    <row r="2835" spans="1:22" x14ac:dyDescent="0.35">
      <c r="A2835" s="3">
        <v>44260</v>
      </c>
      <c r="B2835" t="s">
        <v>35</v>
      </c>
      <c r="C2835">
        <v>0</v>
      </c>
      <c r="D2835">
        <v>0</v>
      </c>
      <c r="E2835">
        <v>0</v>
      </c>
      <c r="F2835">
        <v>0</v>
      </c>
      <c r="G2835">
        <v>27.75</v>
      </c>
      <c r="H2835">
        <v>0</v>
      </c>
      <c r="I2835">
        <v>0</v>
      </c>
      <c r="J2835">
        <v>0</v>
      </c>
      <c r="K2835">
        <v>0</v>
      </c>
      <c r="L2835">
        <v>180</v>
      </c>
      <c r="M2835">
        <v>257</v>
      </c>
      <c r="N2835" t="s">
        <v>35</v>
      </c>
      <c r="O2835" s="3">
        <v>44517</v>
      </c>
      <c r="P2835">
        <v>-1</v>
      </c>
      <c r="T2835" t="s">
        <v>41</v>
      </c>
      <c r="U2835">
        <v>70</v>
      </c>
      <c r="V2835">
        <v>28.5</v>
      </c>
    </row>
    <row r="2836" spans="1:22" x14ac:dyDescent="0.35">
      <c r="A2836" s="3">
        <v>44260</v>
      </c>
      <c r="B2836" t="s">
        <v>42</v>
      </c>
      <c r="C2836">
        <v>0</v>
      </c>
      <c r="D2836">
        <v>0</v>
      </c>
      <c r="E2836">
        <v>0</v>
      </c>
      <c r="F2836">
        <v>0</v>
      </c>
      <c r="G2836">
        <v>27.211200000000002</v>
      </c>
      <c r="H2836">
        <v>0</v>
      </c>
      <c r="I2836">
        <v>0</v>
      </c>
      <c r="J2836">
        <v>0</v>
      </c>
      <c r="K2836">
        <v>0</v>
      </c>
      <c r="L2836">
        <v>33</v>
      </c>
      <c r="M2836">
        <v>47</v>
      </c>
      <c r="N2836" t="s">
        <v>42</v>
      </c>
      <c r="O2836" s="3">
        <v>44307</v>
      </c>
      <c r="P2836">
        <v>-1</v>
      </c>
      <c r="T2836" t="s">
        <v>40</v>
      </c>
      <c r="U2836">
        <v>89</v>
      </c>
      <c r="V2836">
        <v>28.596499999999999</v>
      </c>
    </row>
    <row r="2837" spans="1:22" x14ac:dyDescent="0.35">
      <c r="A2837" s="3">
        <v>44260</v>
      </c>
      <c r="B2837" t="s">
        <v>40</v>
      </c>
      <c r="C2837">
        <v>0</v>
      </c>
      <c r="D2837">
        <v>0</v>
      </c>
      <c r="E2837">
        <v>0</v>
      </c>
      <c r="F2837">
        <v>0</v>
      </c>
      <c r="G2837">
        <v>28.346599999999999</v>
      </c>
      <c r="H2837">
        <v>0</v>
      </c>
      <c r="I2837">
        <v>0</v>
      </c>
      <c r="J2837">
        <v>0</v>
      </c>
      <c r="K2837">
        <v>0</v>
      </c>
      <c r="L2837">
        <v>72</v>
      </c>
      <c r="M2837">
        <v>103</v>
      </c>
      <c r="N2837" t="s">
        <v>40</v>
      </c>
      <c r="O2837" s="3">
        <v>44363</v>
      </c>
      <c r="P2837">
        <v>-1</v>
      </c>
      <c r="T2837" t="s">
        <v>39</v>
      </c>
      <c r="U2837">
        <v>113</v>
      </c>
      <c r="V2837">
        <v>28.5931</v>
      </c>
    </row>
    <row r="2838" spans="1:22" x14ac:dyDescent="0.35">
      <c r="A2838" s="3">
        <v>44260</v>
      </c>
      <c r="B2838" t="s">
        <v>39</v>
      </c>
      <c r="C2838">
        <v>0</v>
      </c>
      <c r="D2838">
        <v>0</v>
      </c>
      <c r="E2838">
        <v>0</v>
      </c>
      <c r="F2838">
        <v>0</v>
      </c>
      <c r="G2838">
        <v>28.596</v>
      </c>
      <c r="H2838">
        <v>0</v>
      </c>
      <c r="I2838">
        <v>0</v>
      </c>
      <c r="J2838">
        <v>0</v>
      </c>
      <c r="K2838">
        <v>0</v>
      </c>
      <c r="L2838">
        <v>96</v>
      </c>
      <c r="M2838">
        <v>138</v>
      </c>
      <c r="N2838" t="s">
        <v>39</v>
      </c>
      <c r="O2838" s="3">
        <v>44398</v>
      </c>
      <c r="P2838">
        <v>-1</v>
      </c>
      <c r="T2838" t="s">
        <v>38</v>
      </c>
      <c r="U2838">
        <v>133</v>
      </c>
      <c r="V2838">
        <v>28.3</v>
      </c>
    </row>
    <row r="2839" spans="1:22" x14ac:dyDescent="0.35">
      <c r="A2839" s="3">
        <v>44260</v>
      </c>
      <c r="B2839" t="s">
        <v>37</v>
      </c>
      <c r="C2839">
        <v>0</v>
      </c>
      <c r="D2839">
        <v>0</v>
      </c>
      <c r="E2839">
        <v>0</v>
      </c>
      <c r="F2839">
        <v>0</v>
      </c>
      <c r="G2839">
        <v>28.4</v>
      </c>
      <c r="H2839">
        <v>0</v>
      </c>
      <c r="I2839">
        <v>0</v>
      </c>
      <c r="J2839">
        <v>0</v>
      </c>
      <c r="K2839">
        <v>0</v>
      </c>
      <c r="L2839">
        <v>135</v>
      </c>
      <c r="M2839">
        <v>194</v>
      </c>
      <c r="N2839" t="s">
        <v>37</v>
      </c>
      <c r="O2839" s="3">
        <v>44454</v>
      </c>
      <c r="P2839">
        <v>-1</v>
      </c>
      <c r="T2839" t="s">
        <v>37</v>
      </c>
      <c r="U2839">
        <v>152</v>
      </c>
      <c r="V2839">
        <v>28.15</v>
      </c>
    </row>
    <row r="2840" spans="1:22" x14ac:dyDescent="0.35">
      <c r="A2840" s="3">
        <v>44260</v>
      </c>
      <c r="B2840" t="s">
        <v>41</v>
      </c>
      <c r="C2840">
        <v>0</v>
      </c>
      <c r="D2840">
        <v>0</v>
      </c>
      <c r="E2840">
        <v>0</v>
      </c>
      <c r="F2840">
        <v>0</v>
      </c>
      <c r="G2840">
        <v>28.001799999999999</v>
      </c>
      <c r="H2840">
        <v>0</v>
      </c>
      <c r="I2840">
        <v>0</v>
      </c>
      <c r="J2840">
        <v>0</v>
      </c>
      <c r="K2840">
        <v>0</v>
      </c>
      <c r="L2840">
        <v>53</v>
      </c>
      <c r="M2840">
        <v>75</v>
      </c>
      <c r="N2840" t="s">
        <v>41</v>
      </c>
      <c r="O2840" s="3">
        <v>44335</v>
      </c>
      <c r="P2840">
        <v>-1</v>
      </c>
      <c r="T2840" t="s">
        <v>36</v>
      </c>
      <c r="U2840">
        <v>177</v>
      </c>
      <c r="V2840">
        <v>28.15</v>
      </c>
    </row>
    <row r="2841" spans="1:22" x14ac:dyDescent="0.35">
      <c r="A2841" s="3">
        <v>44259</v>
      </c>
      <c r="B2841" t="s">
        <v>40</v>
      </c>
      <c r="C2841">
        <v>0</v>
      </c>
      <c r="D2841">
        <v>0</v>
      </c>
      <c r="E2841">
        <v>0</v>
      </c>
      <c r="F2841">
        <v>0</v>
      </c>
      <c r="G2841">
        <v>29.555399999999999</v>
      </c>
      <c r="H2841">
        <v>0</v>
      </c>
      <c r="I2841">
        <v>0</v>
      </c>
      <c r="J2841">
        <v>0</v>
      </c>
      <c r="K2841">
        <v>0</v>
      </c>
      <c r="L2841">
        <v>73</v>
      </c>
      <c r="M2841">
        <v>104</v>
      </c>
      <c r="N2841" t="s">
        <v>40</v>
      </c>
      <c r="O2841" s="3">
        <v>44363</v>
      </c>
      <c r="P2841">
        <v>-1</v>
      </c>
      <c r="S2841" s="3">
        <v>44237</v>
      </c>
      <c r="T2841" t="s">
        <v>44</v>
      </c>
      <c r="U2841">
        <v>4</v>
      </c>
      <c r="V2841">
        <v>23.741299999999999</v>
      </c>
    </row>
    <row r="2842" spans="1:22" x14ac:dyDescent="0.35">
      <c r="A2842" s="3">
        <v>44259</v>
      </c>
      <c r="B2842" t="s">
        <v>39</v>
      </c>
      <c r="C2842">
        <v>0</v>
      </c>
      <c r="D2842">
        <v>0</v>
      </c>
      <c r="E2842">
        <v>0</v>
      </c>
      <c r="F2842">
        <v>0</v>
      </c>
      <c r="G2842">
        <v>29.700299999999999</v>
      </c>
      <c r="H2842">
        <v>0</v>
      </c>
      <c r="I2842">
        <v>0</v>
      </c>
      <c r="J2842">
        <v>0</v>
      </c>
      <c r="K2842">
        <v>0</v>
      </c>
      <c r="L2842">
        <v>97</v>
      </c>
      <c r="M2842">
        <v>139</v>
      </c>
      <c r="N2842" t="s">
        <v>39</v>
      </c>
      <c r="O2842" s="3">
        <v>44398</v>
      </c>
      <c r="P2842">
        <v>-1</v>
      </c>
      <c r="T2842" t="s">
        <v>43</v>
      </c>
      <c r="U2842">
        <v>24</v>
      </c>
      <c r="V2842">
        <v>27.285499999999999</v>
      </c>
    </row>
    <row r="2843" spans="1:22" x14ac:dyDescent="0.35">
      <c r="A2843" s="3">
        <v>44259</v>
      </c>
      <c r="B2843" t="s">
        <v>37</v>
      </c>
      <c r="C2843">
        <v>0</v>
      </c>
      <c r="D2843">
        <v>0</v>
      </c>
      <c r="E2843">
        <v>0</v>
      </c>
      <c r="F2843">
        <v>0</v>
      </c>
      <c r="G2843">
        <v>29.45</v>
      </c>
      <c r="H2843">
        <v>0</v>
      </c>
      <c r="I2843">
        <v>0</v>
      </c>
      <c r="J2843">
        <v>0</v>
      </c>
      <c r="K2843">
        <v>0</v>
      </c>
      <c r="L2843">
        <v>136</v>
      </c>
      <c r="M2843">
        <v>195</v>
      </c>
      <c r="N2843" t="s">
        <v>37</v>
      </c>
      <c r="O2843" s="3">
        <v>44454</v>
      </c>
      <c r="P2843">
        <v>-1</v>
      </c>
      <c r="T2843" t="s">
        <v>42</v>
      </c>
      <c r="U2843">
        <v>49</v>
      </c>
      <c r="V2843">
        <v>28.85</v>
      </c>
    </row>
    <row r="2844" spans="1:22" x14ac:dyDescent="0.35">
      <c r="A2844" s="3">
        <v>44259</v>
      </c>
      <c r="B2844" t="s">
        <v>41</v>
      </c>
      <c r="C2844">
        <v>0</v>
      </c>
      <c r="D2844">
        <v>0</v>
      </c>
      <c r="E2844">
        <v>0</v>
      </c>
      <c r="F2844">
        <v>0</v>
      </c>
      <c r="G2844">
        <v>29.45</v>
      </c>
      <c r="H2844">
        <v>0</v>
      </c>
      <c r="I2844">
        <v>0</v>
      </c>
      <c r="J2844">
        <v>0</v>
      </c>
      <c r="K2844">
        <v>0</v>
      </c>
      <c r="L2844">
        <v>54</v>
      </c>
      <c r="M2844">
        <v>76</v>
      </c>
      <c r="N2844" t="s">
        <v>41</v>
      </c>
      <c r="O2844" s="3">
        <v>44335</v>
      </c>
      <c r="P2844">
        <v>-1</v>
      </c>
      <c r="T2844" t="s">
        <v>41</v>
      </c>
      <c r="U2844">
        <v>69</v>
      </c>
      <c r="V2844">
        <v>29.200399999999998</v>
      </c>
    </row>
    <row r="2845" spans="1:22" x14ac:dyDescent="0.35">
      <c r="A2845" s="3">
        <v>44259</v>
      </c>
      <c r="B2845" t="s">
        <v>43</v>
      </c>
      <c r="C2845">
        <v>0</v>
      </c>
      <c r="D2845">
        <v>0</v>
      </c>
      <c r="E2845">
        <v>0</v>
      </c>
      <c r="F2845">
        <v>0</v>
      </c>
      <c r="G2845">
        <v>27.521000000000001</v>
      </c>
      <c r="H2845">
        <v>0</v>
      </c>
      <c r="I2845">
        <v>0</v>
      </c>
      <c r="J2845">
        <v>0</v>
      </c>
      <c r="K2845">
        <v>0</v>
      </c>
      <c r="L2845">
        <v>9</v>
      </c>
      <c r="M2845">
        <v>13</v>
      </c>
      <c r="N2845" t="s">
        <v>43</v>
      </c>
      <c r="O2845" s="3">
        <v>44272</v>
      </c>
      <c r="P2845">
        <v>-1</v>
      </c>
      <c r="T2845" t="s">
        <v>40</v>
      </c>
      <c r="U2845">
        <v>88</v>
      </c>
      <c r="V2845">
        <v>29.2408</v>
      </c>
    </row>
    <row r="2846" spans="1:22" x14ac:dyDescent="0.35">
      <c r="A2846" s="3">
        <v>44259</v>
      </c>
      <c r="B2846" t="s">
        <v>38</v>
      </c>
      <c r="C2846">
        <v>0</v>
      </c>
      <c r="D2846">
        <v>0</v>
      </c>
      <c r="E2846">
        <v>0</v>
      </c>
      <c r="F2846">
        <v>0</v>
      </c>
      <c r="G2846">
        <v>29.387</v>
      </c>
      <c r="H2846">
        <v>0</v>
      </c>
      <c r="I2846">
        <v>0</v>
      </c>
      <c r="J2846">
        <v>0</v>
      </c>
      <c r="K2846">
        <v>0</v>
      </c>
      <c r="L2846">
        <v>117</v>
      </c>
      <c r="M2846">
        <v>167</v>
      </c>
      <c r="N2846" t="s">
        <v>38</v>
      </c>
      <c r="O2846" s="3">
        <v>44426</v>
      </c>
      <c r="P2846">
        <v>-1</v>
      </c>
      <c r="T2846" t="s">
        <v>39</v>
      </c>
      <c r="U2846">
        <v>112</v>
      </c>
      <c r="V2846">
        <v>29.071300000000001</v>
      </c>
    </row>
    <row r="2847" spans="1:22" x14ac:dyDescent="0.35">
      <c r="A2847" s="3">
        <v>44259</v>
      </c>
      <c r="B2847" t="s">
        <v>36</v>
      </c>
      <c r="C2847">
        <v>0</v>
      </c>
      <c r="D2847">
        <v>0</v>
      </c>
      <c r="E2847">
        <v>0</v>
      </c>
      <c r="F2847">
        <v>0</v>
      </c>
      <c r="G2847">
        <v>29.225000000000001</v>
      </c>
      <c r="H2847">
        <v>0</v>
      </c>
      <c r="I2847">
        <v>0</v>
      </c>
      <c r="J2847">
        <v>0</v>
      </c>
      <c r="K2847">
        <v>0</v>
      </c>
      <c r="L2847">
        <v>161</v>
      </c>
      <c r="M2847">
        <v>230</v>
      </c>
      <c r="N2847" t="s">
        <v>36</v>
      </c>
      <c r="O2847" s="3">
        <v>44489</v>
      </c>
      <c r="P2847">
        <v>-1</v>
      </c>
      <c r="T2847" t="s">
        <v>38</v>
      </c>
      <c r="U2847">
        <v>132</v>
      </c>
      <c r="V2847">
        <v>28.752099999999999</v>
      </c>
    </row>
    <row r="2848" spans="1:22" x14ac:dyDescent="0.35">
      <c r="A2848" s="3">
        <v>44259</v>
      </c>
      <c r="B2848" t="s">
        <v>35</v>
      </c>
      <c r="C2848">
        <v>0</v>
      </c>
      <c r="D2848">
        <v>0</v>
      </c>
      <c r="E2848">
        <v>0</v>
      </c>
      <c r="F2848">
        <v>0</v>
      </c>
      <c r="G2848">
        <v>28.824999999999999</v>
      </c>
      <c r="H2848">
        <v>0</v>
      </c>
      <c r="I2848">
        <v>0</v>
      </c>
      <c r="J2848">
        <v>0</v>
      </c>
      <c r="K2848">
        <v>0</v>
      </c>
      <c r="L2848">
        <v>181</v>
      </c>
      <c r="M2848">
        <v>258</v>
      </c>
      <c r="N2848" t="s">
        <v>35</v>
      </c>
      <c r="O2848" s="3">
        <v>44517</v>
      </c>
      <c r="P2848">
        <v>-1</v>
      </c>
      <c r="T2848" t="s">
        <v>37</v>
      </c>
      <c r="U2848">
        <v>151</v>
      </c>
      <c r="V2848">
        <v>28.6</v>
      </c>
    </row>
    <row r="2849" spans="1:22" x14ac:dyDescent="0.35">
      <c r="A2849" s="3">
        <v>44259</v>
      </c>
      <c r="B2849" t="s">
        <v>42</v>
      </c>
      <c r="C2849">
        <v>0</v>
      </c>
      <c r="D2849">
        <v>0</v>
      </c>
      <c r="E2849">
        <v>0</v>
      </c>
      <c r="F2849">
        <v>0</v>
      </c>
      <c r="G2849">
        <v>28.9361</v>
      </c>
      <c r="H2849">
        <v>0</v>
      </c>
      <c r="I2849">
        <v>0</v>
      </c>
      <c r="J2849">
        <v>0</v>
      </c>
      <c r="K2849">
        <v>0</v>
      </c>
      <c r="L2849">
        <v>34</v>
      </c>
      <c r="M2849">
        <v>48</v>
      </c>
      <c r="N2849" t="s">
        <v>42</v>
      </c>
      <c r="O2849" s="3">
        <v>44307</v>
      </c>
      <c r="P2849">
        <v>-1</v>
      </c>
      <c r="T2849" t="s">
        <v>36</v>
      </c>
      <c r="U2849">
        <v>176</v>
      </c>
      <c r="V2849">
        <v>28.475000000000001</v>
      </c>
    </row>
    <row r="2850" spans="1:22" x14ac:dyDescent="0.35">
      <c r="A2850" s="3">
        <v>44258</v>
      </c>
      <c r="B2850" t="s">
        <v>43</v>
      </c>
      <c r="C2850">
        <v>0</v>
      </c>
      <c r="D2850">
        <v>0</v>
      </c>
      <c r="E2850">
        <v>0</v>
      </c>
      <c r="F2850">
        <v>0</v>
      </c>
      <c r="G2850">
        <v>26.127500000000001</v>
      </c>
      <c r="H2850">
        <v>0</v>
      </c>
      <c r="I2850">
        <v>0</v>
      </c>
      <c r="J2850">
        <v>0</v>
      </c>
      <c r="K2850">
        <v>0</v>
      </c>
      <c r="L2850">
        <v>10</v>
      </c>
      <c r="M2850">
        <v>14</v>
      </c>
      <c r="N2850" t="s">
        <v>43</v>
      </c>
      <c r="O2850" s="3">
        <v>44272</v>
      </c>
      <c r="P2850">
        <v>-1</v>
      </c>
      <c r="S2850" s="3">
        <v>44238</v>
      </c>
      <c r="T2850" t="s">
        <v>44</v>
      </c>
      <c r="U2850">
        <v>3</v>
      </c>
      <c r="V2850">
        <v>22.71</v>
      </c>
    </row>
    <row r="2851" spans="1:22" x14ac:dyDescent="0.35">
      <c r="A2851" s="3">
        <v>44258</v>
      </c>
      <c r="B2851" t="s">
        <v>38</v>
      </c>
      <c r="C2851">
        <v>0</v>
      </c>
      <c r="D2851">
        <v>0</v>
      </c>
      <c r="E2851">
        <v>0</v>
      </c>
      <c r="F2851">
        <v>0</v>
      </c>
      <c r="G2851">
        <v>28.9438</v>
      </c>
      <c r="H2851">
        <v>0</v>
      </c>
      <c r="I2851">
        <v>0</v>
      </c>
      <c r="J2851">
        <v>0</v>
      </c>
      <c r="K2851">
        <v>0</v>
      </c>
      <c r="L2851">
        <v>118</v>
      </c>
      <c r="M2851">
        <v>168</v>
      </c>
      <c r="N2851" t="s">
        <v>38</v>
      </c>
      <c r="O2851" s="3">
        <v>44426</v>
      </c>
      <c r="P2851">
        <v>-1</v>
      </c>
      <c r="T2851" t="s">
        <v>43</v>
      </c>
      <c r="U2851">
        <v>23</v>
      </c>
      <c r="V2851">
        <v>26.692</v>
      </c>
    </row>
    <row r="2852" spans="1:22" x14ac:dyDescent="0.35">
      <c r="A2852" s="3">
        <v>44258</v>
      </c>
      <c r="B2852" t="s">
        <v>36</v>
      </c>
      <c r="C2852">
        <v>0</v>
      </c>
      <c r="D2852">
        <v>0</v>
      </c>
      <c r="E2852">
        <v>0</v>
      </c>
      <c r="F2852">
        <v>0</v>
      </c>
      <c r="G2852">
        <v>28.774999999999999</v>
      </c>
      <c r="H2852">
        <v>0</v>
      </c>
      <c r="I2852">
        <v>0</v>
      </c>
      <c r="J2852">
        <v>0</v>
      </c>
      <c r="K2852">
        <v>0</v>
      </c>
      <c r="L2852">
        <v>162</v>
      </c>
      <c r="M2852">
        <v>231</v>
      </c>
      <c r="N2852" t="s">
        <v>36</v>
      </c>
      <c r="O2852" s="3">
        <v>44489</v>
      </c>
      <c r="P2852">
        <v>-1</v>
      </c>
      <c r="T2852" t="s">
        <v>42</v>
      </c>
      <c r="U2852">
        <v>48</v>
      </c>
      <c r="V2852">
        <v>28.691700000000001</v>
      </c>
    </row>
    <row r="2853" spans="1:22" x14ac:dyDescent="0.35">
      <c r="A2853" s="3">
        <v>44258</v>
      </c>
      <c r="B2853" t="s">
        <v>35</v>
      </c>
      <c r="C2853">
        <v>0</v>
      </c>
      <c r="D2853">
        <v>0</v>
      </c>
      <c r="E2853">
        <v>0</v>
      </c>
      <c r="F2853">
        <v>0</v>
      </c>
      <c r="G2853">
        <v>28</v>
      </c>
      <c r="H2853">
        <v>0</v>
      </c>
      <c r="I2853">
        <v>0</v>
      </c>
      <c r="J2853">
        <v>0</v>
      </c>
      <c r="K2853">
        <v>0</v>
      </c>
      <c r="L2853">
        <v>182</v>
      </c>
      <c r="M2853">
        <v>259</v>
      </c>
      <c r="N2853" t="s">
        <v>35</v>
      </c>
      <c r="O2853" s="3">
        <v>44517</v>
      </c>
      <c r="P2853">
        <v>-1</v>
      </c>
      <c r="T2853" t="s">
        <v>41</v>
      </c>
      <c r="U2853">
        <v>68</v>
      </c>
      <c r="V2853">
        <v>29.042100000000001</v>
      </c>
    </row>
    <row r="2854" spans="1:22" x14ac:dyDescent="0.35">
      <c r="A2854" s="3">
        <v>44258</v>
      </c>
      <c r="B2854" t="s">
        <v>42</v>
      </c>
      <c r="C2854">
        <v>0</v>
      </c>
      <c r="D2854">
        <v>0</v>
      </c>
      <c r="E2854">
        <v>0</v>
      </c>
      <c r="F2854">
        <v>0</v>
      </c>
      <c r="G2854">
        <v>27.9008</v>
      </c>
      <c r="H2854">
        <v>0</v>
      </c>
      <c r="I2854">
        <v>0</v>
      </c>
      <c r="J2854">
        <v>0</v>
      </c>
      <c r="K2854">
        <v>0</v>
      </c>
      <c r="L2854">
        <v>35</v>
      </c>
      <c r="M2854">
        <v>49</v>
      </c>
      <c r="N2854" t="s">
        <v>42</v>
      </c>
      <c r="O2854" s="3">
        <v>44307</v>
      </c>
      <c r="P2854">
        <v>-1</v>
      </c>
      <c r="T2854" t="s">
        <v>40</v>
      </c>
      <c r="U2854">
        <v>87</v>
      </c>
      <c r="V2854">
        <v>29.101600000000001</v>
      </c>
    </row>
    <row r="2855" spans="1:22" x14ac:dyDescent="0.35">
      <c r="A2855" s="3">
        <v>44258</v>
      </c>
      <c r="B2855" t="s">
        <v>40</v>
      </c>
      <c r="C2855">
        <v>0</v>
      </c>
      <c r="D2855">
        <v>0</v>
      </c>
      <c r="E2855">
        <v>0</v>
      </c>
      <c r="F2855">
        <v>0</v>
      </c>
      <c r="G2855">
        <v>28.950500000000002</v>
      </c>
      <c r="H2855">
        <v>0</v>
      </c>
      <c r="I2855">
        <v>0</v>
      </c>
      <c r="J2855">
        <v>0</v>
      </c>
      <c r="K2855">
        <v>0</v>
      </c>
      <c r="L2855">
        <v>74</v>
      </c>
      <c r="M2855">
        <v>105</v>
      </c>
      <c r="N2855" t="s">
        <v>40</v>
      </c>
      <c r="O2855" s="3">
        <v>44363</v>
      </c>
      <c r="P2855">
        <v>-1</v>
      </c>
      <c r="T2855" t="s">
        <v>39</v>
      </c>
      <c r="U2855">
        <v>111</v>
      </c>
      <c r="V2855">
        <v>29.05</v>
      </c>
    </row>
    <row r="2856" spans="1:22" x14ac:dyDescent="0.35">
      <c r="A2856" s="3">
        <v>44258</v>
      </c>
      <c r="B2856" t="s">
        <v>39</v>
      </c>
      <c r="C2856">
        <v>0</v>
      </c>
      <c r="D2856">
        <v>0</v>
      </c>
      <c r="E2856">
        <v>0</v>
      </c>
      <c r="F2856">
        <v>0</v>
      </c>
      <c r="G2856">
        <v>29.2</v>
      </c>
      <c r="H2856">
        <v>0</v>
      </c>
      <c r="I2856">
        <v>0</v>
      </c>
      <c r="J2856">
        <v>0</v>
      </c>
      <c r="K2856">
        <v>0</v>
      </c>
      <c r="L2856">
        <v>98</v>
      </c>
      <c r="M2856">
        <v>140</v>
      </c>
      <c r="N2856" t="s">
        <v>39</v>
      </c>
      <c r="O2856" s="3">
        <v>44398</v>
      </c>
      <c r="P2856">
        <v>-1</v>
      </c>
      <c r="T2856" t="s">
        <v>38</v>
      </c>
      <c r="U2856">
        <v>131</v>
      </c>
      <c r="V2856">
        <v>28.74</v>
      </c>
    </row>
    <row r="2857" spans="1:22" x14ac:dyDescent="0.35">
      <c r="A2857" s="3">
        <v>44258</v>
      </c>
      <c r="B2857" t="s">
        <v>37</v>
      </c>
      <c r="C2857">
        <v>0</v>
      </c>
      <c r="D2857">
        <v>0</v>
      </c>
      <c r="E2857">
        <v>0</v>
      </c>
      <c r="F2857">
        <v>0</v>
      </c>
      <c r="G2857">
        <v>28.95</v>
      </c>
      <c r="H2857">
        <v>0</v>
      </c>
      <c r="I2857">
        <v>0</v>
      </c>
      <c r="J2857">
        <v>0</v>
      </c>
      <c r="K2857">
        <v>0</v>
      </c>
      <c r="L2857">
        <v>137</v>
      </c>
      <c r="M2857">
        <v>196</v>
      </c>
      <c r="N2857" t="s">
        <v>37</v>
      </c>
      <c r="O2857" s="3">
        <v>44454</v>
      </c>
      <c r="P2857">
        <v>-1</v>
      </c>
      <c r="T2857" t="s">
        <v>37</v>
      </c>
      <c r="U2857">
        <v>150</v>
      </c>
      <c r="V2857">
        <v>28.55</v>
      </c>
    </row>
    <row r="2858" spans="1:22" x14ac:dyDescent="0.35">
      <c r="A2858" s="3">
        <v>44258</v>
      </c>
      <c r="B2858" t="s">
        <v>41</v>
      </c>
      <c r="C2858">
        <v>0</v>
      </c>
      <c r="D2858">
        <v>0</v>
      </c>
      <c r="E2858">
        <v>0</v>
      </c>
      <c r="F2858">
        <v>0</v>
      </c>
      <c r="G2858">
        <v>28.65</v>
      </c>
      <c r="H2858">
        <v>0</v>
      </c>
      <c r="I2858">
        <v>0</v>
      </c>
      <c r="J2858">
        <v>0</v>
      </c>
      <c r="K2858">
        <v>0</v>
      </c>
      <c r="L2858">
        <v>55</v>
      </c>
      <c r="M2858">
        <v>77</v>
      </c>
      <c r="N2858" t="s">
        <v>41</v>
      </c>
      <c r="O2858" s="3">
        <v>44335</v>
      </c>
      <c r="P2858">
        <v>-1</v>
      </c>
      <c r="T2858" t="s">
        <v>36</v>
      </c>
      <c r="U2858">
        <v>175</v>
      </c>
      <c r="V2858">
        <v>28.55</v>
      </c>
    </row>
    <row r="2859" spans="1:22" x14ac:dyDescent="0.35">
      <c r="A2859" s="3">
        <v>44257</v>
      </c>
      <c r="B2859" t="s">
        <v>40</v>
      </c>
      <c r="C2859">
        <v>0</v>
      </c>
      <c r="D2859">
        <v>0</v>
      </c>
      <c r="E2859">
        <v>0</v>
      </c>
      <c r="F2859">
        <v>0</v>
      </c>
      <c r="G2859">
        <v>28.548400000000001</v>
      </c>
      <c r="H2859">
        <v>0</v>
      </c>
      <c r="I2859">
        <v>0</v>
      </c>
      <c r="J2859">
        <v>0</v>
      </c>
      <c r="K2859">
        <v>0</v>
      </c>
      <c r="L2859">
        <v>75</v>
      </c>
      <c r="M2859">
        <v>106</v>
      </c>
      <c r="N2859" t="s">
        <v>40</v>
      </c>
      <c r="O2859" s="3">
        <v>44363</v>
      </c>
      <c r="P2859">
        <v>-1</v>
      </c>
      <c r="S2859" s="3">
        <v>44239</v>
      </c>
      <c r="T2859" t="s">
        <v>44</v>
      </c>
      <c r="U2859">
        <v>2</v>
      </c>
      <c r="V2859">
        <v>21.359400000000001</v>
      </c>
    </row>
    <row r="2860" spans="1:22" x14ac:dyDescent="0.35">
      <c r="A2860" s="3">
        <v>44257</v>
      </c>
      <c r="B2860" t="s">
        <v>39</v>
      </c>
      <c r="C2860">
        <v>0</v>
      </c>
      <c r="D2860">
        <v>0</v>
      </c>
      <c r="E2860">
        <v>0</v>
      </c>
      <c r="F2860">
        <v>0</v>
      </c>
      <c r="G2860">
        <v>28.9</v>
      </c>
      <c r="H2860">
        <v>0</v>
      </c>
      <c r="I2860">
        <v>0</v>
      </c>
      <c r="J2860">
        <v>0</v>
      </c>
      <c r="K2860">
        <v>0</v>
      </c>
      <c r="L2860">
        <v>99</v>
      </c>
      <c r="M2860">
        <v>141</v>
      </c>
      <c r="N2860" t="s">
        <v>39</v>
      </c>
      <c r="O2860" s="3">
        <v>44398</v>
      </c>
      <c r="P2860">
        <v>-1</v>
      </c>
      <c r="T2860" t="s">
        <v>43</v>
      </c>
      <c r="U2860">
        <v>22</v>
      </c>
      <c r="V2860">
        <v>25.878499999999999</v>
      </c>
    </row>
    <row r="2861" spans="1:22" x14ac:dyDescent="0.35">
      <c r="A2861" s="3">
        <v>44257</v>
      </c>
      <c r="B2861" t="s">
        <v>37</v>
      </c>
      <c r="C2861">
        <v>0</v>
      </c>
      <c r="D2861">
        <v>0</v>
      </c>
      <c r="E2861">
        <v>0</v>
      </c>
      <c r="F2861">
        <v>0</v>
      </c>
      <c r="G2861">
        <v>28.725000000000001</v>
      </c>
      <c r="H2861">
        <v>0</v>
      </c>
      <c r="I2861">
        <v>0</v>
      </c>
      <c r="J2861">
        <v>0</v>
      </c>
      <c r="K2861">
        <v>0</v>
      </c>
      <c r="L2861">
        <v>138</v>
      </c>
      <c r="M2861">
        <v>197</v>
      </c>
      <c r="N2861" t="s">
        <v>37</v>
      </c>
      <c r="O2861" s="3">
        <v>44454</v>
      </c>
      <c r="P2861">
        <v>-1</v>
      </c>
      <c r="T2861" t="s">
        <v>42</v>
      </c>
      <c r="U2861">
        <v>47</v>
      </c>
      <c r="V2861">
        <v>28.149100000000001</v>
      </c>
    </row>
    <row r="2862" spans="1:22" x14ac:dyDescent="0.35">
      <c r="A2862" s="3">
        <v>44257</v>
      </c>
      <c r="B2862" t="s">
        <v>41</v>
      </c>
      <c r="C2862">
        <v>0</v>
      </c>
      <c r="D2862">
        <v>0</v>
      </c>
      <c r="E2862">
        <v>0</v>
      </c>
      <c r="F2862">
        <v>0</v>
      </c>
      <c r="G2862">
        <v>28.069800000000001</v>
      </c>
      <c r="H2862">
        <v>0</v>
      </c>
      <c r="I2862">
        <v>0</v>
      </c>
      <c r="J2862">
        <v>0</v>
      </c>
      <c r="K2862">
        <v>0</v>
      </c>
      <c r="L2862">
        <v>56</v>
      </c>
      <c r="M2862">
        <v>78</v>
      </c>
      <c r="N2862" t="s">
        <v>41</v>
      </c>
      <c r="O2862" s="3">
        <v>44335</v>
      </c>
      <c r="P2862">
        <v>-1</v>
      </c>
      <c r="T2862" t="s">
        <v>41</v>
      </c>
      <c r="U2862">
        <v>67</v>
      </c>
      <c r="V2862">
        <v>28.75</v>
      </c>
    </row>
    <row r="2863" spans="1:22" x14ac:dyDescent="0.35">
      <c r="A2863" s="3">
        <v>44257</v>
      </c>
      <c r="B2863" t="s">
        <v>43</v>
      </c>
      <c r="C2863">
        <v>0</v>
      </c>
      <c r="D2863">
        <v>0</v>
      </c>
      <c r="E2863">
        <v>0</v>
      </c>
      <c r="F2863">
        <v>0</v>
      </c>
      <c r="G2863">
        <v>24.765000000000001</v>
      </c>
      <c r="H2863">
        <v>0</v>
      </c>
      <c r="I2863">
        <v>0</v>
      </c>
      <c r="J2863">
        <v>0</v>
      </c>
      <c r="K2863">
        <v>0</v>
      </c>
      <c r="L2863">
        <v>11</v>
      </c>
      <c r="M2863">
        <v>15</v>
      </c>
      <c r="N2863" t="s">
        <v>43</v>
      </c>
      <c r="O2863" s="3">
        <v>44272</v>
      </c>
      <c r="P2863">
        <v>-1</v>
      </c>
      <c r="T2863" t="s">
        <v>40</v>
      </c>
      <c r="U2863">
        <v>86</v>
      </c>
      <c r="V2863">
        <v>29.0946</v>
      </c>
    </row>
    <row r="2864" spans="1:22" x14ac:dyDescent="0.35">
      <c r="A2864" s="3">
        <v>44257</v>
      </c>
      <c r="B2864" t="s">
        <v>38</v>
      </c>
      <c r="C2864">
        <v>0</v>
      </c>
      <c r="D2864">
        <v>0</v>
      </c>
      <c r="E2864">
        <v>0</v>
      </c>
      <c r="F2864">
        <v>0</v>
      </c>
      <c r="G2864">
        <v>28.6557</v>
      </c>
      <c r="H2864">
        <v>0</v>
      </c>
      <c r="I2864">
        <v>0</v>
      </c>
      <c r="J2864">
        <v>0</v>
      </c>
      <c r="K2864">
        <v>0</v>
      </c>
      <c r="L2864">
        <v>119</v>
      </c>
      <c r="M2864">
        <v>169</v>
      </c>
      <c r="N2864" t="s">
        <v>38</v>
      </c>
      <c r="O2864" s="3">
        <v>44426</v>
      </c>
      <c r="P2864">
        <v>-1</v>
      </c>
      <c r="T2864" t="s">
        <v>39</v>
      </c>
      <c r="U2864">
        <v>110</v>
      </c>
      <c r="V2864">
        <v>29.084399999999999</v>
      </c>
    </row>
    <row r="2865" spans="1:22" x14ac:dyDescent="0.35">
      <c r="A2865" s="3">
        <v>44257</v>
      </c>
      <c r="B2865" t="s">
        <v>36</v>
      </c>
      <c r="C2865">
        <v>0</v>
      </c>
      <c r="D2865">
        <v>0</v>
      </c>
      <c r="E2865">
        <v>0</v>
      </c>
      <c r="F2865">
        <v>0</v>
      </c>
      <c r="G2865">
        <v>28.524999999999999</v>
      </c>
      <c r="H2865">
        <v>0</v>
      </c>
      <c r="I2865">
        <v>0</v>
      </c>
      <c r="J2865">
        <v>0</v>
      </c>
      <c r="K2865">
        <v>0</v>
      </c>
      <c r="L2865">
        <v>163</v>
      </c>
      <c r="M2865">
        <v>232</v>
      </c>
      <c r="N2865" t="s">
        <v>36</v>
      </c>
      <c r="O2865" s="3">
        <v>44489</v>
      </c>
      <c r="P2865">
        <v>-1</v>
      </c>
      <c r="T2865" t="s">
        <v>38</v>
      </c>
      <c r="U2865">
        <v>130</v>
      </c>
      <c r="V2865">
        <v>28.8</v>
      </c>
    </row>
    <row r="2866" spans="1:22" x14ac:dyDescent="0.35">
      <c r="A2866" s="3">
        <v>44257</v>
      </c>
      <c r="B2866" t="s">
        <v>35</v>
      </c>
      <c r="C2866">
        <v>0</v>
      </c>
      <c r="D2866">
        <v>0</v>
      </c>
      <c r="E2866">
        <v>0</v>
      </c>
      <c r="F2866">
        <v>0</v>
      </c>
      <c r="G2866">
        <v>28.65</v>
      </c>
      <c r="H2866">
        <v>0</v>
      </c>
      <c r="I2866">
        <v>0</v>
      </c>
      <c r="J2866">
        <v>0</v>
      </c>
      <c r="K2866">
        <v>0</v>
      </c>
      <c r="L2866">
        <v>183</v>
      </c>
      <c r="M2866">
        <v>260</v>
      </c>
      <c r="N2866" t="s">
        <v>35</v>
      </c>
      <c r="O2866" s="3">
        <v>44517</v>
      </c>
      <c r="P2866">
        <v>-1</v>
      </c>
      <c r="T2866" t="s">
        <v>37</v>
      </c>
      <c r="U2866">
        <v>149</v>
      </c>
      <c r="V2866">
        <v>28.725000000000001</v>
      </c>
    </row>
    <row r="2867" spans="1:22" x14ac:dyDescent="0.35">
      <c r="A2867" s="3">
        <v>44257</v>
      </c>
      <c r="B2867" t="s">
        <v>42</v>
      </c>
      <c r="C2867">
        <v>0</v>
      </c>
      <c r="D2867">
        <v>0</v>
      </c>
      <c r="E2867">
        <v>0</v>
      </c>
      <c r="F2867">
        <v>0</v>
      </c>
      <c r="G2867">
        <v>27.032900000000001</v>
      </c>
      <c r="H2867">
        <v>0</v>
      </c>
      <c r="I2867">
        <v>0</v>
      </c>
      <c r="J2867">
        <v>0</v>
      </c>
      <c r="K2867">
        <v>0</v>
      </c>
      <c r="L2867">
        <v>36</v>
      </c>
      <c r="M2867">
        <v>50</v>
      </c>
      <c r="N2867" t="s">
        <v>42</v>
      </c>
      <c r="O2867" s="3">
        <v>44307</v>
      </c>
      <c r="P2867">
        <v>-1</v>
      </c>
      <c r="T2867" t="s">
        <v>36</v>
      </c>
      <c r="U2867">
        <v>174</v>
      </c>
      <c r="V2867">
        <v>28.725000000000001</v>
      </c>
    </row>
    <row r="2868" spans="1:22" x14ac:dyDescent="0.35">
      <c r="A2868" s="3">
        <v>44256</v>
      </c>
      <c r="B2868" t="s">
        <v>43</v>
      </c>
      <c r="C2868">
        <v>0</v>
      </c>
      <c r="D2868">
        <v>0</v>
      </c>
      <c r="E2868">
        <v>0</v>
      </c>
      <c r="F2868">
        <v>0</v>
      </c>
      <c r="G2868">
        <v>24.6158</v>
      </c>
      <c r="H2868">
        <v>0</v>
      </c>
      <c r="I2868">
        <v>0</v>
      </c>
      <c r="J2868">
        <v>0</v>
      </c>
      <c r="K2868">
        <v>0</v>
      </c>
      <c r="L2868">
        <v>12</v>
      </c>
      <c r="M2868">
        <v>16</v>
      </c>
      <c r="N2868" t="s">
        <v>43</v>
      </c>
      <c r="O2868" s="3">
        <v>44272</v>
      </c>
      <c r="P2868">
        <v>-1</v>
      </c>
      <c r="S2868" s="3">
        <v>44243</v>
      </c>
      <c r="T2868" t="s">
        <v>44</v>
      </c>
      <c r="U2868">
        <v>1</v>
      </c>
      <c r="V2868">
        <v>21.241800000000001</v>
      </c>
    </row>
    <row r="2869" spans="1:22" x14ac:dyDescent="0.35">
      <c r="A2869" s="3">
        <v>44256</v>
      </c>
      <c r="B2869" t="s">
        <v>38</v>
      </c>
      <c r="C2869">
        <v>0</v>
      </c>
      <c r="D2869">
        <v>0</v>
      </c>
      <c r="E2869">
        <v>0</v>
      </c>
      <c r="F2869">
        <v>0</v>
      </c>
      <c r="G2869">
        <v>28.122699999999998</v>
      </c>
      <c r="H2869">
        <v>0</v>
      </c>
      <c r="I2869">
        <v>0</v>
      </c>
      <c r="J2869">
        <v>0</v>
      </c>
      <c r="K2869">
        <v>0</v>
      </c>
      <c r="L2869">
        <v>120</v>
      </c>
      <c r="M2869">
        <v>170</v>
      </c>
      <c r="N2869" t="s">
        <v>38</v>
      </c>
      <c r="O2869" s="3">
        <v>44426</v>
      </c>
      <c r="P2869">
        <v>-1</v>
      </c>
      <c r="T2869" t="s">
        <v>43</v>
      </c>
      <c r="U2869">
        <v>21</v>
      </c>
      <c r="V2869">
        <v>26.1251</v>
      </c>
    </row>
    <row r="2870" spans="1:22" x14ac:dyDescent="0.35">
      <c r="A2870" s="3">
        <v>44256</v>
      </c>
      <c r="B2870" t="s">
        <v>36</v>
      </c>
      <c r="C2870">
        <v>0</v>
      </c>
      <c r="D2870">
        <v>0</v>
      </c>
      <c r="E2870">
        <v>0</v>
      </c>
      <c r="F2870">
        <v>0</v>
      </c>
      <c r="G2870">
        <v>28.125</v>
      </c>
      <c r="H2870">
        <v>0</v>
      </c>
      <c r="I2870">
        <v>0</v>
      </c>
      <c r="J2870">
        <v>0</v>
      </c>
      <c r="K2870">
        <v>0</v>
      </c>
      <c r="L2870">
        <v>164</v>
      </c>
      <c r="M2870">
        <v>233</v>
      </c>
      <c r="N2870" t="s">
        <v>36</v>
      </c>
      <c r="O2870" s="3">
        <v>44489</v>
      </c>
      <c r="P2870">
        <v>-1</v>
      </c>
      <c r="T2870" t="s">
        <v>42</v>
      </c>
      <c r="U2870">
        <v>46</v>
      </c>
      <c r="V2870">
        <v>28.4757</v>
      </c>
    </row>
    <row r="2871" spans="1:22" x14ac:dyDescent="0.35">
      <c r="A2871" s="3">
        <v>44256</v>
      </c>
      <c r="B2871" t="s">
        <v>35</v>
      </c>
      <c r="C2871">
        <v>0</v>
      </c>
      <c r="D2871">
        <v>0</v>
      </c>
      <c r="E2871">
        <v>0</v>
      </c>
      <c r="F2871">
        <v>0</v>
      </c>
      <c r="G2871">
        <v>27.55</v>
      </c>
      <c r="H2871">
        <v>0</v>
      </c>
      <c r="I2871">
        <v>0</v>
      </c>
      <c r="J2871">
        <v>0</v>
      </c>
      <c r="K2871">
        <v>0</v>
      </c>
      <c r="L2871">
        <v>184</v>
      </c>
      <c r="M2871">
        <v>261</v>
      </c>
      <c r="N2871" t="s">
        <v>35</v>
      </c>
      <c r="O2871" s="3">
        <v>44517</v>
      </c>
      <c r="P2871">
        <v>-1</v>
      </c>
      <c r="T2871" t="s">
        <v>41</v>
      </c>
      <c r="U2871">
        <v>66</v>
      </c>
      <c r="V2871">
        <v>29.0977</v>
      </c>
    </row>
    <row r="2872" spans="1:22" x14ac:dyDescent="0.35">
      <c r="A2872" s="3">
        <v>44256</v>
      </c>
      <c r="B2872" t="s">
        <v>42</v>
      </c>
      <c r="C2872">
        <v>0</v>
      </c>
      <c r="D2872">
        <v>0</v>
      </c>
      <c r="E2872">
        <v>0</v>
      </c>
      <c r="F2872">
        <v>0</v>
      </c>
      <c r="G2872">
        <v>26.903300000000002</v>
      </c>
      <c r="H2872">
        <v>0</v>
      </c>
      <c r="I2872">
        <v>0</v>
      </c>
      <c r="J2872">
        <v>0</v>
      </c>
      <c r="K2872">
        <v>0</v>
      </c>
      <c r="L2872">
        <v>37</v>
      </c>
      <c r="M2872">
        <v>51</v>
      </c>
      <c r="N2872" t="s">
        <v>42</v>
      </c>
      <c r="O2872" s="3">
        <v>44307</v>
      </c>
      <c r="P2872">
        <v>-1</v>
      </c>
      <c r="T2872" t="s">
        <v>40</v>
      </c>
      <c r="U2872">
        <v>85</v>
      </c>
      <c r="V2872">
        <v>29.4008</v>
      </c>
    </row>
    <row r="2873" spans="1:22" x14ac:dyDescent="0.35">
      <c r="A2873" s="3">
        <v>44256</v>
      </c>
      <c r="B2873" t="s">
        <v>40</v>
      </c>
      <c r="C2873">
        <v>0</v>
      </c>
      <c r="D2873">
        <v>0</v>
      </c>
      <c r="E2873">
        <v>0</v>
      </c>
      <c r="F2873">
        <v>0</v>
      </c>
      <c r="G2873">
        <v>28.1036</v>
      </c>
      <c r="H2873">
        <v>0</v>
      </c>
      <c r="I2873">
        <v>0</v>
      </c>
      <c r="J2873">
        <v>0</v>
      </c>
      <c r="K2873">
        <v>0</v>
      </c>
      <c r="L2873">
        <v>76</v>
      </c>
      <c r="M2873">
        <v>107</v>
      </c>
      <c r="N2873" t="s">
        <v>40</v>
      </c>
      <c r="O2873" s="3">
        <v>44363</v>
      </c>
      <c r="P2873">
        <v>-1</v>
      </c>
      <c r="T2873" t="s">
        <v>39</v>
      </c>
      <c r="U2873">
        <v>109</v>
      </c>
      <c r="V2873">
        <v>29.402100000000001</v>
      </c>
    </row>
    <row r="2874" spans="1:22" x14ac:dyDescent="0.35">
      <c r="A2874" s="3">
        <v>44256</v>
      </c>
      <c r="B2874" t="s">
        <v>39</v>
      </c>
      <c r="C2874">
        <v>0</v>
      </c>
      <c r="D2874">
        <v>0</v>
      </c>
      <c r="E2874">
        <v>0</v>
      </c>
      <c r="F2874">
        <v>0</v>
      </c>
      <c r="G2874">
        <v>28.4</v>
      </c>
      <c r="H2874">
        <v>0</v>
      </c>
      <c r="I2874">
        <v>0</v>
      </c>
      <c r="J2874">
        <v>0</v>
      </c>
      <c r="K2874">
        <v>0</v>
      </c>
      <c r="L2874">
        <v>100</v>
      </c>
      <c r="M2874">
        <v>142</v>
      </c>
      <c r="N2874" t="s">
        <v>39</v>
      </c>
      <c r="O2874" s="3">
        <v>44398</v>
      </c>
      <c r="P2874">
        <v>-1</v>
      </c>
      <c r="T2874" t="s">
        <v>38</v>
      </c>
      <c r="U2874">
        <v>129</v>
      </c>
      <c r="V2874">
        <v>29.198899999999998</v>
      </c>
    </row>
    <row r="2875" spans="1:22" x14ac:dyDescent="0.35">
      <c r="A2875" s="3">
        <v>44256</v>
      </c>
      <c r="B2875" t="s">
        <v>37</v>
      </c>
      <c r="C2875">
        <v>0</v>
      </c>
      <c r="D2875">
        <v>0</v>
      </c>
      <c r="E2875">
        <v>0</v>
      </c>
      <c r="F2875">
        <v>0</v>
      </c>
      <c r="G2875">
        <v>28.178599999999999</v>
      </c>
      <c r="H2875">
        <v>0</v>
      </c>
      <c r="I2875">
        <v>0</v>
      </c>
      <c r="J2875">
        <v>0</v>
      </c>
      <c r="K2875">
        <v>0</v>
      </c>
      <c r="L2875">
        <v>139</v>
      </c>
      <c r="M2875">
        <v>198</v>
      </c>
      <c r="N2875" t="s">
        <v>37</v>
      </c>
      <c r="O2875" s="3">
        <v>44454</v>
      </c>
      <c r="P2875">
        <v>-1</v>
      </c>
      <c r="T2875" t="s">
        <v>37</v>
      </c>
      <c r="U2875">
        <v>148</v>
      </c>
      <c r="V2875">
        <v>29.15</v>
      </c>
    </row>
    <row r="2876" spans="1:22" x14ac:dyDescent="0.35">
      <c r="A2876" s="3">
        <v>44256</v>
      </c>
      <c r="B2876" t="s">
        <v>41</v>
      </c>
      <c r="C2876">
        <v>0</v>
      </c>
      <c r="D2876">
        <v>0</v>
      </c>
      <c r="E2876">
        <v>0</v>
      </c>
      <c r="F2876">
        <v>0</v>
      </c>
      <c r="G2876">
        <v>27.722100000000001</v>
      </c>
      <c r="H2876">
        <v>0</v>
      </c>
      <c r="I2876">
        <v>0</v>
      </c>
      <c r="J2876">
        <v>0</v>
      </c>
      <c r="K2876">
        <v>0</v>
      </c>
      <c r="L2876">
        <v>57</v>
      </c>
      <c r="M2876">
        <v>79</v>
      </c>
      <c r="N2876" t="s">
        <v>41</v>
      </c>
      <c r="O2876" s="3">
        <v>44335</v>
      </c>
      <c r="P2876">
        <v>-1</v>
      </c>
      <c r="T2876" t="s">
        <v>36</v>
      </c>
      <c r="U2876">
        <v>173</v>
      </c>
      <c r="V2876">
        <v>28.625</v>
      </c>
    </row>
    <row r="2877" spans="1:22" x14ac:dyDescent="0.35">
      <c r="A2877" s="3">
        <v>44253</v>
      </c>
      <c r="B2877" t="s">
        <v>40</v>
      </c>
      <c r="C2877">
        <v>0</v>
      </c>
      <c r="D2877">
        <v>0</v>
      </c>
      <c r="E2877">
        <v>0</v>
      </c>
      <c r="F2877">
        <v>0</v>
      </c>
      <c r="G2877">
        <v>29.154900000000001</v>
      </c>
      <c r="H2877">
        <v>0</v>
      </c>
      <c r="I2877">
        <v>0</v>
      </c>
      <c r="J2877">
        <v>0</v>
      </c>
      <c r="K2877">
        <v>0</v>
      </c>
      <c r="L2877">
        <v>77</v>
      </c>
      <c r="M2877">
        <v>110</v>
      </c>
      <c r="N2877" t="s">
        <v>40</v>
      </c>
      <c r="O2877" s="3">
        <v>44363</v>
      </c>
      <c r="P2877">
        <v>-1</v>
      </c>
      <c r="S2877" s="3">
        <v>44244</v>
      </c>
      <c r="T2877" t="s">
        <v>44</v>
      </c>
      <c r="U2877">
        <v>0</v>
      </c>
      <c r="V2877">
        <v>22.81</v>
      </c>
    </row>
    <row r="2878" spans="1:22" x14ac:dyDescent="0.35">
      <c r="A2878" s="3">
        <v>44253</v>
      </c>
      <c r="B2878" t="s">
        <v>39</v>
      </c>
      <c r="C2878">
        <v>0</v>
      </c>
      <c r="D2878">
        <v>0</v>
      </c>
      <c r="E2878">
        <v>0</v>
      </c>
      <c r="F2878">
        <v>0</v>
      </c>
      <c r="G2878">
        <v>29.3</v>
      </c>
      <c r="H2878">
        <v>0</v>
      </c>
      <c r="I2878">
        <v>0</v>
      </c>
      <c r="J2878">
        <v>0</v>
      </c>
      <c r="K2878">
        <v>0</v>
      </c>
      <c r="L2878">
        <v>101</v>
      </c>
      <c r="M2878">
        <v>145</v>
      </c>
      <c r="N2878" t="s">
        <v>39</v>
      </c>
      <c r="O2878" s="3">
        <v>44398</v>
      </c>
      <c r="P2878">
        <v>-1</v>
      </c>
      <c r="T2878" t="s">
        <v>43</v>
      </c>
      <c r="U2878">
        <v>20</v>
      </c>
      <c r="V2878">
        <v>25.6</v>
      </c>
    </row>
    <row r="2879" spans="1:22" x14ac:dyDescent="0.35">
      <c r="A2879" s="3">
        <v>44253</v>
      </c>
      <c r="B2879" t="s">
        <v>37</v>
      </c>
      <c r="C2879">
        <v>0</v>
      </c>
      <c r="D2879">
        <v>0</v>
      </c>
      <c r="E2879">
        <v>0</v>
      </c>
      <c r="F2879">
        <v>0</v>
      </c>
      <c r="G2879">
        <v>28.9556</v>
      </c>
      <c r="H2879">
        <v>0</v>
      </c>
      <c r="I2879">
        <v>0</v>
      </c>
      <c r="J2879">
        <v>0</v>
      </c>
      <c r="K2879">
        <v>0</v>
      </c>
      <c r="L2879">
        <v>140</v>
      </c>
      <c r="M2879">
        <v>201</v>
      </c>
      <c r="N2879" t="s">
        <v>37</v>
      </c>
      <c r="O2879" s="3">
        <v>44454</v>
      </c>
      <c r="P2879">
        <v>-1</v>
      </c>
      <c r="T2879" t="s">
        <v>42</v>
      </c>
      <c r="U2879">
        <v>45</v>
      </c>
      <c r="V2879">
        <v>28.5503</v>
      </c>
    </row>
    <row r="2880" spans="1:22" x14ac:dyDescent="0.35">
      <c r="A2880" s="3">
        <v>44253</v>
      </c>
      <c r="B2880" t="s">
        <v>41</v>
      </c>
      <c r="C2880">
        <v>0</v>
      </c>
      <c r="D2880">
        <v>0</v>
      </c>
      <c r="E2880">
        <v>0</v>
      </c>
      <c r="F2880">
        <v>0</v>
      </c>
      <c r="G2880">
        <v>28.854399999999998</v>
      </c>
      <c r="H2880">
        <v>0</v>
      </c>
      <c r="I2880">
        <v>0</v>
      </c>
      <c r="J2880">
        <v>0</v>
      </c>
      <c r="K2880">
        <v>0</v>
      </c>
      <c r="L2880">
        <v>58</v>
      </c>
      <c r="M2880">
        <v>82</v>
      </c>
      <c r="N2880" t="s">
        <v>41</v>
      </c>
      <c r="O2880" s="3">
        <v>44335</v>
      </c>
      <c r="P2880">
        <v>-1</v>
      </c>
      <c r="T2880" t="s">
        <v>41</v>
      </c>
      <c r="U2880">
        <v>65</v>
      </c>
      <c r="V2880">
        <v>29.187100000000001</v>
      </c>
    </row>
    <row r="2881" spans="1:22" x14ac:dyDescent="0.35">
      <c r="A2881" s="3">
        <v>44253</v>
      </c>
      <c r="B2881" t="s">
        <v>43</v>
      </c>
      <c r="C2881">
        <v>0</v>
      </c>
      <c r="D2881">
        <v>0</v>
      </c>
      <c r="E2881">
        <v>0</v>
      </c>
      <c r="F2881">
        <v>0</v>
      </c>
      <c r="G2881">
        <v>26.744399999999999</v>
      </c>
      <c r="H2881">
        <v>0</v>
      </c>
      <c r="I2881">
        <v>0</v>
      </c>
      <c r="J2881">
        <v>0</v>
      </c>
      <c r="K2881">
        <v>0</v>
      </c>
      <c r="L2881">
        <v>13</v>
      </c>
      <c r="M2881">
        <v>19</v>
      </c>
      <c r="N2881" t="s">
        <v>43</v>
      </c>
      <c r="O2881" s="3">
        <v>44272</v>
      </c>
      <c r="P2881">
        <v>-1</v>
      </c>
      <c r="T2881" t="s">
        <v>40</v>
      </c>
      <c r="U2881">
        <v>84</v>
      </c>
      <c r="V2881">
        <v>29.452100000000002</v>
      </c>
    </row>
    <row r="2882" spans="1:22" x14ac:dyDescent="0.35">
      <c r="A2882" s="3">
        <v>44253</v>
      </c>
      <c r="B2882" t="s">
        <v>38</v>
      </c>
      <c r="C2882">
        <v>0</v>
      </c>
      <c r="D2882">
        <v>0</v>
      </c>
      <c r="E2882">
        <v>0</v>
      </c>
      <c r="F2882">
        <v>0</v>
      </c>
      <c r="G2882">
        <v>28.952000000000002</v>
      </c>
      <c r="H2882">
        <v>0</v>
      </c>
      <c r="I2882">
        <v>0</v>
      </c>
      <c r="J2882">
        <v>0</v>
      </c>
      <c r="K2882">
        <v>0</v>
      </c>
      <c r="L2882">
        <v>121</v>
      </c>
      <c r="M2882">
        <v>173</v>
      </c>
      <c r="N2882" t="s">
        <v>38</v>
      </c>
      <c r="O2882" s="3">
        <v>44426</v>
      </c>
      <c r="P2882">
        <v>-1</v>
      </c>
      <c r="T2882" t="s">
        <v>39</v>
      </c>
      <c r="U2882">
        <v>108</v>
      </c>
      <c r="V2882">
        <v>29.522099999999998</v>
      </c>
    </row>
    <row r="2883" spans="1:22" x14ac:dyDescent="0.35">
      <c r="A2883" s="3">
        <v>44253</v>
      </c>
      <c r="B2883" t="s">
        <v>36</v>
      </c>
      <c r="C2883">
        <v>0</v>
      </c>
      <c r="D2883">
        <v>0</v>
      </c>
      <c r="E2883">
        <v>0</v>
      </c>
      <c r="F2883">
        <v>0</v>
      </c>
      <c r="G2883">
        <v>28.824999999999999</v>
      </c>
      <c r="H2883">
        <v>0</v>
      </c>
      <c r="I2883">
        <v>0</v>
      </c>
      <c r="J2883">
        <v>0</v>
      </c>
      <c r="K2883">
        <v>0</v>
      </c>
      <c r="L2883">
        <v>165</v>
      </c>
      <c r="M2883">
        <v>236</v>
      </c>
      <c r="N2883" t="s">
        <v>36</v>
      </c>
      <c r="O2883" s="3">
        <v>44489</v>
      </c>
      <c r="P2883">
        <v>-1</v>
      </c>
      <c r="T2883" t="s">
        <v>38</v>
      </c>
      <c r="U2883">
        <v>128</v>
      </c>
      <c r="V2883">
        <v>29.3094</v>
      </c>
    </row>
    <row r="2884" spans="1:22" x14ac:dyDescent="0.35">
      <c r="A2884" s="3">
        <v>44253</v>
      </c>
      <c r="B2884" t="s">
        <v>35</v>
      </c>
      <c r="C2884">
        <v>0</v>
      </c>
      <c r="D2884">
        <v>0</v>
      </c>
      <c r="E2884">
        <v>0</v>
      </c>
      <c r="F2884">
        <v>0</v>
      </c>
      <c r="G2884">
        <v>28.4</v>
      </c>
      <c r="H2884">
        <v>0</v>
      </c>
      <c r="I2884">
        <v>0</v>
      </c>
      <c r="J2884">
        <v>0</v>
      </c>
      <c r="K2884">
        <v>0</v>
      </c>
      <c r="L2884">
        <v>185</v>
      </c>
      <c r="M2884">
        <v>264</v>
      </c>
      <c r="N2884" t="s">
        <v>35</v>
      </c>
      <c r="O2884" s="3">
        <v>44517</v>
      </c>
      <c r="P2884">
        <v>-1</v>
      </c>
      <c r="T2884" t="s">
        <v>37</v>
      </c>
      <c r="U2884">
        <v>147</v>
      </c>
      <c r="V2884">
        <v>29.287500000000001</v>
      </c>
    </row>
    <row r="2885" spans="1:22" x14ac:dyDescent="0.35">
      <c r="A2885" s="3">
        <v>44253</v>
      </c>
      <c r="B2885" t="s">
        <v>42</v>
      </c>
      <c r="C2885">
        <v>0</v>
      </c>
      <c r="D2885">
        <v>0</v>
      </c>
      <c r="E2885">
        <v>0</v>
      </c>
      <c r="F2885">
        <v>0</v>
      </c>
      <c r="G2885">
        <v>28.232900000000001</v>
      </c>
      <c r="H2885">
        <v>0</v>
      </c>
      <c r="I2885">
        <v>0</v>
      </c>
      <c r="J2885">
        <v>0</v>
      </c>
      <c r="K2885">
        <v>0</v>
      </c>
      <c r="L2885">
        <v>38</v>
      </c>
      <c r="M2885">
        <v>54</v>
      </c>
      <c r="N2885" t="s">
        <v>42</v>
      </c>
      <c r="O2885" s="3">
        <v>44307</v>
      </c>
      <c r="P2885">
        <v>-1</v>
      </c>
      <c r="T2885" t="s">
        <v>36</v>
      </c>
      <c r="U2885">
        <v>172</v>
      </c>
      <c r="V2885">
        <v>29.3</v>
      </c>
    </row>
    <row r="2886" spans="1:22" x14ac:dyDescent="0.35">
      <c r="A2886" s="3">
        <v>44252</v>
      </c>
      <c r="B2886" t="s">
        <v>43</v>
      </c>
      <c r="C2886">
        <v>0</v>
      </c>
      <c r="D2886">
        <v>0</v>
      </c>
      <c r="E2886">
        <v>0</v>
      </c>
      <c r="F2886">
        <v>0</v>
      </c>
      <c r="G2886">
        <v>28.215</v>
      </c>
      <c r="H2886">
        <v>0</v>
      </c>
      <c r="I2886">
        <v>0</v>
      </c>
      <c r="J2886">
        <v>0</v>
      </c>
      <c r="K2886">
        <v>0</v>
      </c>
      <c r="L2886">
        <v>14</v>
      </c>
      <c r="M2886">
        <v>20</v>
      </c>
      <c r="N2886" t="s">
        <v>43</v>
      </c>
      <c r="O2886" s="3">
        <v>44272</v>
      </c>
      <c r="P2886">
        <v>-1</v>
      </c>
      <c r="S2886" s="3">
        <v>44245</v>
      </c>
      <c r="T2886" t="s">
        <v>43</v>
      </c>
      <c r="U2886">
        <v>19</v>
      </c>
      <c r="V2886">
        <v>25.8017</v>
      </c>
    </row>
    <row r="2887" spans="1:22" x14ac:dyDescent="0.35">
      <c r="A2887" s="3">
        <v>44252</v>
      </c>
      <c r="B2887" t="s">
        <v>38</v>
      </c>
      <c r="C2887">
        <v>0</v>
      </c>
      <c r="D2887">
        <v>0</v>
      </c>
      <c r="E2887">
        <v>0</v>
      </c>
      <c r="F2887">
        <v>0</v>
      </c>
      <c r="G2887">
        <v>29.387499999999999</v>
      </c>
      <c r="H2887">
        <v>0</v>
      </c>
      <c r="I2887">
        <v>0</v>
      </c>
      <c r="J2887">
        <v>0</v>
      </c>
      <c r="K2887">
        <v>0</v>
      </c>
      <c r="L2887">
        <v>122</v>
      </c>
      <c r="M2887">
        <v>174</v>
      </c>
      <c r="N2887" t="s">
        <v>38</v>
      </c>
      <c r="O2887" s="3">
        <v>44426</v>
      </c>
      <c r="P2887">
        <v>-1</v>
      </c>
      <c r="T2887" t="s">
        <v>42</v>
      </c>
      <c r="U2887">
        <v>44</v>
      </c>
      <c r="V2887">
        <v>28.65</v>
      </c>
    </row>
    <row r="2888" spans="1:22" x14ac:dyDescent="0.35">
      <c r="A2888" s="3">
        <v>44252</v>
      </c>
      <c r="B2888" t="s">
        <v>36</v>
      </c>
      <c r="C2888">
        <v>0</v>
      </c>
      <c r="D2888">
        <v>0</v>
      </c>
      <c r="E2888">
        <v>0</v>
      </c>
      <c r="F2888">
        <v>0</v>
      </c>
      <c r="G2888">
        <v>29.2</v>
      </c>
      <c r="H2888">
        <v>0</v>
      </c>
      <c r="I2888">
        <v>0</v>
      </c>
      <c r="J2888">
        <v>0</v>
      </c>
      <c r="K2888">
        <v>0</v>
      </c>
      <c r="L2888">
        <v>166</v>
      </c>
      <c r="M2888">
        <v>237</v>
      </c>
      <c r="N2888" t="s">
        <v>36</v>
      </c>
      <c r="O2888" s="3">
        <v>44489</v>
      </c>
      <c r="P2888">
        <v>-1</v>
      </c>
      <c r="T2888" t="s">
        <v>41</v>
      </c>
      <c r="U2888">
        <v>64</v>
      </c>
      <c r="V2888">
        <v>29.3</v>
      </c>
    </row>
    <row r="2889" spans="1:22" x14ac:dyDescent="0.35">
      <c r="A2889" s="3">
        <v>44252</v>
      </c>
      <c r="B2889" t="s">
        <v>35</v>
      </c>
      <c r="C2889">
        <v>0</v>
      </c>
      <c r="D2889">
        <v>0</v>
      </c>
      <c r="E2889">
        <v>0</v>
      </c>
      <c r="F2889">
        <v>0</v>
      </c>
      <c r="G2889">
        <v>29.024999999999999</v>
      </c>
      <c r="H2889">
        <v>0</v>
      </c>
      <c r="I2889">
        <v>0</v>
      </c>
      <c r="J2889">
        <v>0</v>
      </c>
      <c r="K2889">
        <v>0</v>
      </c>
      <c r="L2889">
        <v>186</v>
      </c>
      <c r="M2889">
        <v>265</v>
      </c>
      <c r="N2889" t="s">
        <v>35</v>
      </c>
      <c r="O2889" s="3">
        <v>44517</v>
      </c>
      <c r="P2889">
        <v>-1</v>
      </c>
      <c r="T2889" t="s">
        <v>40</v>
      </c>
      <c r="U2889">
        <v>83</v>
      </c>
      <c r="V2889">
        <v>29.5825</v>
      </c>
    </row>
    <row r="2890" spans="1:22" x14ac:dyDescent="0.35">
      <c r="A2890" s="3">
        <v>44252</v>
      </c>
      <c r="B2890" t="s">
        <v>42</v>
      </c>
      <c r="C2890">
        <v>0</v>
      </c>
      <c r="D2890">
        <v>0</v>
      </c>
      <c r="E2890">
        <v>0</v>
      </c>
      <c r="F2890">
        <v>0</v>
      </c>
      <c r="G2890">
        <v>29.652200000000001</v>
      </c>
      <c r="H2890">
        <v>0</v>
      </c>
      <c r="I2890">
        <v>0</v>
      </c>
      <c r="J2890">
        <v>0</v>
      </c>
      <c r="K2890">
        <v>0</v>
      </c>
      <c r="L2890">
        <v>39</v>
      </c>
      <c r="M2890">
        <v>55</v>
      </c>
      <c r="N2890" t="s">
        <v>42</v>
      </c>
      <c r="O2890" s="3">
        <v>44307</v>
      </c>
      <c r="P2890">
        <v>-1</v>
      </c>
      <c r="T2890" t="s">
        <v>39</v>
      </c>
      <c r="U2890">
        <v>107</v>
      </c>
      <c r="V2890">
        <v>29.741499999999998</v>
      </c>
    </row>
    <row r="2891" spans="1:22" x14ac:dyDescent="0.35">
      <c r="A2891" s="3">
        <v>44252</v>
      </c>
      <c r="B2891" t="s">
        <v>40</v>
      </c>
      <c r="C2891">
        <v>0</v>
      </c>
      <c r="D2891">
        <v>0</v>
      </c>
      <c r="E2891">
        <v>0</v>
      </c>
      <c r="F2891">
        <v>0</v>
      </c>
      <c r="G2891">
        <v>29.885999999999999</v>
      </c>
      <c r="H2891">
        <v>0</v>
      </c>
      <c r="I2891">
        <v>0</v>
      </c>
      <c r="J2891">
        <v>0</v>
      </c>
      <c r="K2891">
        <v>0</v>
      </c>
      <c r="L2891">
        <v>78</v>
      </c>
      <c r="M2891">
        <v>111</v>
      </c>
      <c r="N2891" t="s">
        <v>40</v>
      </c>
      <c r="O2891" s="3">
        <v>44363</v>
      </c>
      <c r="P2891">
        <v>-1</v>
      </c>
      <c r="T2891" t="s">
        <v>38</v>
      </c>
      <c r="U2891">
        <v>127</v>
      </c>
      <c r="V2891">
        <v>29.5</v>
      </c>
    </row>
    <row r="2892" spans="1:22" x14ac:dyDescent="0.35">
      <c r="A2892" s="3">
        <v>44252</v>
      </c>
      <c r="B2892" t="s">
        <v>39</v>
      </c>
      <c r="C2892">
        <v>0</v>
      </c>
      <c r="D2892">
        <v>0</v>
      </c>
      <c r="E2892">
        <v>0</v>
      </c>
      <c r="F2892">
        <v>0</v>
      </c>
      <c r="G2892">
        <v>29.805599999999998</v>
      </c>
      <c r="H2892">
        <v>0</v>
      </c>
      <c r="I2892">
        <v>0</v>
      </c>
      <c r="J2892">
        <v>0</v>
      </c>
      <c r="K2892">
        <v>0</v>
      </c>
      <c r="L2892">
        <v>102</v>
      </c>
      <c r="M2892">
        <v>146</v>
      </c>
      <c r="N2892" t="s">
        <v>39</v>
      </c>
      <c r="O2892" s="3">
        <v>44398</v>
      </c>
      <c r="P2892">
        <v>-1</v>
      </c>
      <c r="T2892" t="s">
        <v>37</v>
      </c>
      <c r="U2892">
        <v>146</v>
      </c>
      <c r="V2892">
        <v>29.412500000000001</v>
      </c>
    </row>
    <row r="2893" spans="1:22" x14ac:dyDescent="0.35">
      <c r="A2893" s="3">
        <v>44252</v>
      </c>
      <c r="B2893" t="s">
        <v>37</v>
      </c>
      <c r="C2893">
        <v>0</v>
      </c>
      <c r="D2893">
        <v>0</v>
      </c>
      <c r="E2893">
        <v>0</v>
      </c>
      <c r="F2893">
        <v>0</v>
      </c>
      <c r="G2893">
        <v>29.311800000000002</v>
      </c>
      <c r="H2893">
        <v>0</v>
      </c>
      <c r="I2893">
        <v>0</v>
      </c>
      <c r="J2893">
        <v>0</v>
      </c>
      <c r="K2893">
        <v>0</v>
      </c>
      <c r="L2893">
        <v>141</v>
      </c>
      <c r="M2893">
        <v>202</v>
      </c>
      <c r="N2893" t="s">
        <v>37</v>
      </c>
      <c r="O2893" s="3">
        <v>44454</v>
      </c>
      <c r="P2893">
        <v>-1</v>
      </c>
      <c r="T2893" t="s">
        <v>36</v>
      </c>
      <c r="U2893">
        <v>171</v>
      </c>
      <c r="V2893">
        <v>29.125</v>
      </c>
    </row>
    <row r="2894" spans="1:22" x14ac:dyDescent="0.35">
      <c r="A2894" s="3">
        <v>44252</v>
      </c>
      <c r="B2894" t="s">
        <v>41</v>
      </c>
      <c r="C2894">
        <v>0</v>
      </c>
      <c r="D2894">
        <v>0</v>
      </c>
      <c r="E2894">
        <v>0</v>
      </c>
      <c r="F2894">
        <v>0</v>
      </c>
      <c r="G2894">
        <v>29.875800000000002</v>
      </c>
      <c r="H2894">
        <v>0</v>
      </c>
      <c r="I2894">
        <v>0</v>
      </c>
      <c r="J2894">
        <v>0</v>
      </c>
      <c r="K2894">
        <v>0</v>
      </c>
      <c r="L2894">
        <v>59</v>
      </c>
      <c r="M2894">
        <v>83</v>
      </c>
      <c r="N2894" t="s">
        <v>41</v>
      </c>
      <c r="O2894" s="3">
        <v>44335</v>
      </c>
      <c r="P2894">
        <v>-1</v>
      </c>
      <c r="S2894" s="3">
        <v>44246</v>
      </c>
      <c r="T2894" t="s">
        <v>43</v>
      </c>
      <c r="U2894">
        <v>18</v>
      </c>
      <c r="V2894">
        <v>24.7988</v>
      </c>
    </row>
    <row r="2895" spans="1:22" x14ac:dyDescent="0.35">
      <c r="A2895" s="3">
        <v>44251</v>
      </c>
      <c r="B2895" t="s">
        <v>40</v>
      </c>
      <c r="C2895">
        <v>0</v>
      </c>
      <c r="D2895">
        <v>0</v>
      </c>
      <c r="E2895">
        <v>0</v>
      </c>
      <c r="F2895">
        <v>0</v>
      </c>
      <c r="G2895">
        <v>29.85</v>
      </c>
      <c r="H2895">
        <v>0</v>
      </c>
      <c r="I2895">
        <v>0</v>
      </c>
      <c r="J2895">
        <v>0</v>
      </c>
      <c r="K2895">
        <v>0</v>
      </c>
      <c r="L2895">
        <v>79</v>
      </c>
      <c r="M2895">
        <v>112</v>
      </c>
      <c r="N2895" t="s">
        <v>40</v>
      </c>
      <c r="O2895" s="3">
        <v>44363</v>
      </c>
      <c r="P2895">
        <v>-1</v>
      </c>
      <c r="T2895" t="s">
        <v>42</v>
      </c>
      <c r="U2895">
        <v>43</v>
      </c>
      <c r="V2895">
        <v>27.8902</v>
      </c>
    </row>
    <row r="2896" spans="1:22" x14ac:dyDescent="0.35">
      <c r="A2896" s="3">
        <v>44251</v>
      </c>
      <c r="B2896" t="s">
        <v>39</v>
      </c>
      <c r="C2896">
        <v>0</v>
      </c>
      <c r="D2896">
        <v>0</v>
      </c>
      <c r="E2896">
        <v>0</v>
      </c>
      <c r="F2896">
        <v>0</v>
      </c>
      <c r="G2896">
        <v>30.15</v>
      </c>
      <c r="H2896">
        <v>0</v>
      </c>
      <c r="I2896">
        <v>0</v>
      </c>
      <c r="J2896">
        <v>0</v>
      </c>
      <c r="K2896">
        <v>0</v>
      </c>
      <c r="L2896">
        <v>103</v>
      </c>
      <c r="M2896">
        <v>147</v>
      </c>
      <c r="N2896" t="s">
        <v>39</v>
      </c>
      <c r="O2896" s="3">
        <v>44398</v>
      </c>
      <c r="P2896">
        <v>-1</v>
      </c>
      <c r="T2896" t="s">
        <v>41</v>
      </c>
      <c r="U2896">
        <v>63</v>
      </c>
      <c r="V2896">
        <v>28.817399999999999</v>
      </c>
    </row>
    <row r="2897" spans="1:22" x14ac:dyDescent="0.35">
      <c r="A2897" s="3">
        <v>44251</v>
      </c>
      <c r="B2897" t="s">
        <v>37</v>
      </c>
      <c r="C2897">
        <v>0</v>
      </c>
      <c r="D2897">
        <v>0</v>
      </c>
      <c r="E2897">
        <v>0</v>
      </c>
      <c r="F2897">
        <v>0</v>
      </c>
      <c r="G2897">
        <v>29.8</v>
      </c>
      <c r="H2897">
        <v>0</v>
      </c>
      <c r="I2897">
        <v>0</v>
      </c>
      <c r="J2897">
        <v>0</v>
      </c>
      <c r="K2897">
        <v>0</v>
      </c>
      <c r="L2897">
        <v>142</v>
      </c>
      <c r="M2897">
        <v>203</v>
      </c>
      <c r="N2897" t="s">
        <v>37</v>
      </c>
      <c r="O2897" s="3">
        <v>44454</v>
      </c>
      <c r="P2897">
        <v>-1</v>
      </c>
      <c r="T2897" t="s">
        <v>40</v>
      </c>
      <c r="U2897">
        <v>82</v>
      </c>
      <c r="V2897">
        <v>29.3</v>
      </c>
    </row>
    <row r="2898" spans="1:22" x14ac:dyDescent="0.35">
      <c r="A2898" s="3">
        <v>44251</v>
      </c>
      <c r="B2898" t="s">
        <v>41</v>
      </c>
      <c r="C2898">
        <v>0</v>
      </c>
      <c r="D2898">
        <v>0</v>
      </c>
      <c r="E2898">
        <v>0</v>
      </c>
      <c r="F2898">
        <v>0</v>
      </c>
      <c r="G2898">
        <v>29.400300000000001</v>
      </c>
      <c r="H2898">
        <v>0</v>
      </c>
      <c r="I2898">
        <v>0</v>
      </c>
      <c r="J2898">
        <v>0</v>
      </c>
      <c r="K2898">
        <v>0</v>
      </c>
      <c r="L2898">
        <v>60</v>
      </c>
      <c r="M2898">
        <v>84</v>
      </c>
      <c r="N2898" t="s">
        <v>41</v>
      </c>
      <c r="O2898" s="3">
        <v>44335</v>
      </c>
      <c r="P2898">
        <v>-1</v>
      </c>
      <c r="T2898" t="s">
        <v>39</v>
      </c>
      <c r="U2898">
        <v>106</v>
      </c>
      <c r="V2898">
        <v>29.6</v>
      </c>
    </row>
    <row r="2899" spans="1:22" x14ac:dyDescent="0.35">
      <c r="A2899" s="3">
        <v>44251</v>
      </c>
      <c r="B2899" t="s">
        <v>43</v>
      </c>
      <c r="C2899">
        <v>0</v>
      </c>
      <c r="D2899">
        <v>0</v>
      </c>
      <c r="E2899">
        <v>0</v>
      </c>
      <c r="F2899">
        <v>0</v>
      </c>
      <c r="G2899">
        <v>25.903099999999998</v>
      </c>
      <c r="H2899">
        <v>0</v>
      </c>
      <c r="I2899">
        <v>0</v>
      </c>
      <c r="J2899">
        <v>0</v>
      </c>
      <c r="K2899">
        <v>0</v>
      </c>
      <c r="L2899">
        <v>15</v>
      </c>
      <c r="M2899">
        <v>21</v>
      </c>
      <c r="N2899" t="s">
        <v>43</v>
      </c>
      <c r="O2899" s="3">
        <v>44272</v>
      </c>
      <c r="P2899">
        <v>-1</v>
      </c>
      <c r="T2899" t="s">
        <v>38</v>
      </c>
      <c r="U2899">
        <v>126</v>
      </c>
      <c r="V2899">
        <v>29.405899999999999</v>
      </c>
    </row>
    <row r="2900" spans="1:22" x14ac:dyDescent="0.35">
      <c r="A2900" s="3">
        <v>44251</v>
      </c>
      <c r="B2900" t="s">
        <v>38</v>
      </c>
      <c r="C2900">
        <v>0</v>
      </c>
      <c r="D2900">
        <v>0</v>
      </c>
      <c r="E2900">
        <v>0</v>
      </c>
      <c r="F2900">
        <v>0</v>
      </c>
      <c r="G2900">
        <v>29.9</v>
      </c>
      <c r="H2900">
        <v>0</v>
      </c>
      <c r="I2900">
        <v>0</v>
      </c>
      <c r="J2900">
        <v>0</v>
      </c>
      <c r="K2900">
        <v>0</v>
      </c>
      <c r="L2900">
        <v>123</v>
      </c>
      <c r="M2900">
        <v>175</v>
      </c>
      <c r="N2900" t="s">
        <v>38</v>
      </c>
      <c r="O2900" s="3">
        <v>44426</v>
      </c>
      <c r="P2900">
        <v>-1</v>
      </c>
      <c r="T2900" t="s">
        <v>37</v>
      </c>
      <c r="U2900">
        <v>145</v>
      </c>
      <c r="V2900">
        <v>29.4</v>
      </c>
    </row>
    <row r="2901" spans="1:22" x14ac:dyDescent="0.35">
      <c r="A2901" s="3">
        <v>44251</v>
      </c>
      <c r="B2901" t="s">
        <v>36</v>
      </c>
      <c r="C2901">
        <v>0</v>
      </c>
      <c r="D2901">
        <v>0</v>
      </c>
      <c r="E2901">
        <v>0</v>
      </c>
      <c r="F2901">
        <v>0</v>
      </c>
      <c r="G2901">
        <v>29.65</v>
      </c>
      <c r="H2901">
        <v>0</v>
      </c>
      <c r="I2901">
        <v>0</v>
      </c>
      <c r="J2901">
        <v>0</v>
      </c>
      <c r="K2901">
        <v>0</v>
      </c>
      <c r="L2901">
        <v>167</v>
      </c>
      <c r="M2901">
        <v>238</v>
      </c>
      <c r="N2901" t="s">
        <v>36</v>
      </c>
      <c r="O2901" s="3">
        <v>44489</v>
      </c>
      <c r="P2901">
        <v>-1</v>
      </c>
      <c r="T2901" t="s">
        <v>36</v>
      </c>
      <c r="U2901">
        <v>170</v>
      </c>
      <c r="V2901">
        <v>29.2</v>
      </c>
    </row>
    <row r="2902" spans="1:22" x14ac:dyDescent="0.35">
      <c r="A2902" s="3">
        <v>44251</v>
      </c>
      <c r="B2902" t="s">
        <v>35</v>
      </c>
      <c r="C2902">
        <v>0</v>
      </c>
      <c r="D2902">
        <v>0</v>
      </c>
      <c r="E2902">
        <v>0</v>
      </c>
      <c r="F2902">
        <v>0</v>
      </c>
      <c r="G2902">
        <v>29.4</v>
      </c>
      <c r="H2902">
        <v>0</v>
      </c>
      <c r="I2902">
        <v>0</v>
      </c>
      <c r="J2902">
        <v>0</v>
      </c>
      <c r="K2902">
        <v>0</v>
      </c>
      <c r="L2902">
        <v>187</v>
      </c>
      <c r="M2902">
        <v>266</v>
      </c>
      <c r="N2902" t="s">
        <v>35</v>
      </c>
      <c r="O2902" s="3">
        <v>44517</v>
      </c>
      <c r="P2902">
        <v>-1</v>
      </c>
      <c r="S2902" s="3">
        <v>44249</v>
      </c>
      <c r="T2902" t="s">
        <v>43</v>
      </c>
      <c r="U2902">
        <v>17</v>
      </c>
      <c r="V2902">
        <v>25.903099999999998</v>
      </c>
    </row>
    <row r="2903" spans="1:22" x14ac:dyDescent="0.35">
      <c r="A2903" s="3">
        <v>44251</v>
      </c>
      <c r="B2903" t="s">
        <v>42</v>
      </c>
      <c r="C2903">
        <v>0</v>
      </c>
      <c r="D2903">
        <v>0</v>
      </c>
      <c r="E2903">
        <v>0</v>
      </c>
      <c r="F2903">
        <v>0</v>
      </c>
      <c r="G2903">
        <v>28.6508</v>
      </c>
      <c r="H2903">
        <v>0</v>
      </c>
      <c r="I2903">
        <v>0</v>
      </c>
      <c r="J2903">
        <v>0</v>
      </c>
      <c r="K2903">
        <v>0</v>
      </c>
      <c r="L2903">
        <v>40</v>
      </c>
      <c r="M2903">
        <v>56</v>
      </c>
      <c r="N2903" t="s">
        <v>42</v>
      </c>
      <c r="O2903" s="3">
        <v>44307</v>
      </c>
      <c r="P2903">
        <v>-1</v>
      </c>
      <c r="T2903" t="s">
        <v>42</v>
      </c>
      <c r="U2903">
        <v>42</v>
      </c>
      <c r="V2903">
        <v>28.6508</v>
      </c>
    </row>
    <row r="2904" spans="1:22" x14ac:dyDescent="0.35">
      <c r="A2904" s="3">
        <v>44249</v>
      </c>
      <c r="B2904" t="s">
        <v>43</v>
      </c>
      <c r="C2904">
        <v>0</v>
      </c>
      <c r="D2904">
        <v>0</v>
      </c>
      <c r="E2904">
        <v>0</v>
      </c>
      <c r="F2904">
        <v>0</v>
      </c>
      <c r="G2904">
        <v>25.903099999999998</v>
      </c>
      <c r="H2904">
        <v>0</v>
      </c>
      <c r="I2904">
        <v>0</v>
      </c>
      <c r="J2904">
        <v>0</v>
      </c>
      <c r="K2904">
        <v>0</v>
      </c>
      <c r="L2904">
        <v>17</v>
      </c>
      <c r="M2904">
        <v>23</v>
      </c>
      <c r="N2904" t="s">
        <v>43</v>
      </c>
      <c r="O2904" s="3">
        <v>44272</v>
      </c>
      <c r="P2904">
        <v>-1</v>
      </c>
      <c r="T2904" t="s">
        <v>41</v>
      </c>
      <c r="U2904">
        <v>62</v>
      </c>
      <c r="V2904">
        <v>29.400300000000001</v>
      </c>
    </row>
    <row r="2905" spans="1:22" x14ac:dyDescent="0.35">
      <c r="A2905" s="3">
        <v>44249</v>
      </c>
      <c r="B2905" t="s">
        <v>38</v>
      </c>
      <c r="C2905">
        <v>0</v>
      </c>
      <c r="D2905">
        <v>0</v>
      </c>
      <c r="E2905">
        <v>0</v>
      </c>
      <c r="F2905">
        <v>0</v>
      </c>
      <c r="G2905">
        <v>29.9</v>
      </c>
      <c r="H2905">
        <v>0</v>
      </c>
      <c r="I2905">
        <v>0</v>
      </c>
      <c r="J2905">
        <v>0</v>
      </c>
      <c r="K2905">
        <v>0</v>
      </c>
      <c r="L2905">
        <v>125</v>
      </c>
      <c r="M2905">
        <v>177</v>
      </c>
      <c r="N2905" t="s">
        <v>38</v>
      </c>
      <c r="O2905" s="3">
        <v>44426</v>
      </c>
      <c r="P2905">
        <v>-1</v>
      </c>
      <c r="T2905" t="s">
        <v>40</v>
      </c>
      <c r="U2905">
        <v>81</v>
      </c>
      <c r="V2905">
        <v>29.85</v>
      </c>
    </row>
    <row r="2906" spans="1:22" x14ac:dyDescent="0.35">
      <c r="A2906" s="3">
        <v>44249</v>
      </c>
      <c r="B2906" t="s">
        <v>36</v>
      </c>
      <c r="C2906">
        <v>0</v>
      </c>
      <c r="D2906">
        <v>0</v>
      </c>
      <c r="E2906">
        <v>0</v>
      </c>
      <c r="F2906">
        <v>0</v>
      </c>
      <c r="G2906">
        <v>29.65</v>
      </c>
      <c r="H2906">
        <v>0</v>
      </c>
      <c r="I2906">
        <v>0</v>
      </c>
      <c r="J2906">
        <v>0</v>
      </c>
      <c r="K2906">
        <v>0</v>
      </c>
      <c r="L2906">
        <v>169</v>
      </c>
      <c r="M2906">
        <v>240</v>
      </c>
      <c r="N2906" t="s">
        <v>36</v>
      </c>
      <c r="O2906" s="3">
        <v>44489</v>
      </c>
      <c r="P2906">
        <v>-1</v>
      </c>
      <c r="T2906" t="s">
        <v>39</v>
      </c>
      <c r="U2906">
        <v>105</v>
      </c>
      <c r="V2906">
        <v>30.15</v>
      </c>
    </row>
    <row r="2907" spans="1:22" x14ac:dyDescent="0.35">
      <c r="A2907" s="3">
        <v>44249</v>
      </c>
      <c r="B2907" t="s">
        <v>35</v>
      </c>
      <c r="C2907">
        <v>0</v>
      </c>
      <c r="D2907">
        <v>0</v>
      </c>
      <c r="E2907">
        <v>0</v>
      </c>
      <c r="F2907">
        <v>0</v>
      </c>
      <c r="G2907">
        <v>29.4</v>
      </c>
      <c r="H2907">
        <v>0</v>
      </c>
      <c r="I2907">
        <v>0</v>
      </c>
      <c r="J2907">
        <v>0</v>
      </c>
      <c r="K2907">
        <v>0</v>
      </c>
      <c r="L2907">
        <v>189</v>
      </c>
      <c r="M2907">
        <v>268</v>
      </c>
      <c r="N2907" t="s">
        <v>35</v>
      </c>
      <c r="O2907" s="3">
        <v>44517</v>
      </c>
      <c r="P2907">
        <v>-1</v>
      </c>
      <c r="T2907" t="s">
        <v>38</v>
      </c>
      <c r="U2907">
        <v>125</v>
      </c>
      <c r="V2907">
        <v>29.9</v>
      </c>
    </row>
    <row r="2908" spans="1:22" x14ac:dyDescent="0.35">
      <c r="A2908" s="3">
        <v>44249</v>
      </c>
      <c r="B2908" t="s">
        <v>42</v>
      </c>
      <c r="C2908">
        <v>0</v>
      </c>
      <c r="D2908">
        <v>0</v>
      </c>
      <c r="E2908">
        <v>0</v>
      </c>
      <c r="F2908">
        <v>0</v>
      </c>
      <c r="G2908">
        <v>28.6508</v>
      </c>
      <c r="H2908">
        <v>0</v>
      </c>
      <c r="I2908">
        <v>0</v>
      </c>
      <c r="J2908">
        <v>0</v>
      </c>
      <c r="K2908">
        <v>0</v>
      </c>
      <c r="L2908">
        <v>42</v>
      </c>
      <c r="M2908">
        <v>58</v>
      </c>
      <c r="N2908" t="s">
        <v>42</v>
      </c>
      <c r="O2908" s="3">
        <v>44307</v>
      </c>
      <c r="P2908">
        <v>-1</v>
      </c>
      <c r="T2908" t="s">
        <v>37</v>
      </c>
      <c r="U2908">
        <v>144</v>
      </c>
      <c r="V2908">
        <v>29.8</v>
      </c>
    </row>
    <row r="2909" spans="1:22" x14ac:dyDescent="0.35">
      <c r="A2909" s="3">
        <v>44249</v>
      </c>
      <c r="B2909" t="s">
        <v>40</v>
      </c>
      <c r="C2909">
        <v>0</v>
      </c>
      <c r="D2909">
        <v>0</v>
      </c>
      <c r="E2909">
        <v>0</v>
      </c>
      <c r="F2909">
        <v>0</v>
      </c>
      <c r="G2909">
        <v>29.85</v>
      </c>
      <c r="H2909">
        <v>0</v>
      </c>
      <c r="I2909">
        <v>0</v>
      </c>
      <c r="J2909">
        <v>0</v>
      </c>
      <c r="K2909">
        <v>0</v>
      </c>
      <c r="L2909">
        <v>81</v>
      </c>
      <c r="M2909">
        <v>114</v>
      </c>
      <c r="N2909" t="s">
        <v>40</v>
      </c>
      <c r="O2909" s="3">
        <v>44363</v>
      </c>
      <c r="P2909">
        <v>-1</v>
      </c>
      <c r="T2909" t="s">
        <v>36</v>
      </c>
      <c r="U2909">
        <v>169</v>
      </c>
      <c r="V2909">
        <v>29.65</v>
      </c>
    </row>
    <row r="2910" spans="1:22" x14ac:dyDescent="0.35">
      <c r="A2910" s="3">
        <v>44249</v>
      </c>
      <c r="B2910" t="s">
        <v>39</v>
      </c>
      <c r="C2910">
        <v>0</v>
      </c>
      <c r="D2910">
        <v>0</v>
      </c>
      <c r="E2910">
        <v>0</v>
      </c>
      <c r="F2910">
        <v>0</v>
      </c>
      <c r="G2910">
        <v>30.15</v>
      </c>
      <c r="H2910">
        <v>0</v>
      </c>
      <c r="I2910">
        <v>0</v>
      </c>
      <c r="J2910">
        <v>0</v>
      </c>
      <c r="K2910">
        <v>0</v>
      </c>
      <c r="L2910">
        <v>105</v>
      </c>
      <c r="M2910">
        <v>149</v>
      </c>
      <c r="N2910" t="s">
        <v>39</v>
      </c>
      <c r="O2910" s="3">
        <v>44398</v>
      </c>
      <c r="P2910">
        <v>-1</v>
      </c>
      <c r="T2910" t="s">
        <v>35</v>
      </c>
      <c r="U2910">
        <v>189</v>
      </c>
      <c r="V2910">
        <v>29.4</v>
      </c>
    </row>
    <row r="2911" spans="1:22" x14ac:dyDescent="0.35">
      <c r="A2911" s="3">
        <v>44249</v>
      </c>
      <c r="B2911" t="s">
        <v>37</v>
      </c>
      <c r="C2911">
        <v>0</v>
      </c>
      <c r="D2911">
        <v>0</v>
      </c>
      <c r="E2911">
        <v>0</v>
      </c>
      <c r="F2911">
        <v>0</v>
      </c>
      <c r="G2911">
        <v>29.8</v>
      </c>
      <c r="H2911">
        <v>0</v>
      </c>
      <c r="I2911">
        <v>0</v>
      </c>
      <c r="J2911">
        <v>0</v>
      </c>
      <c r="K2911">
        <v>0</v>
      </c>
      <c r="L2911">
        <v>144</v>
      </c>
      <c r="M2911">
        <v>205</v>
      </c>
      <c r="N2911" t="s">
        <v>37</v>
      </c>
      <c r="O2911" s="3">
        <v>44454</v>
      </c>
      <c r="P2911">
        <v>-1</v>
      </c>
      <c r="S2911" s="3">
        <v>44251</v>
      </c>
      <c r="T2911" t="s">
        <v>43</v>
      </c>
      <c r="U2911">
        <v>15</v>
      </c>
      <c r="V2911">
        <v>25.903099999999998</v>
      </c>
    </row>
    <row r="2912" spans="1:22" x14ac:dyDescent="0.35">
      <c r="A2912" s="3">
        <v>44249</v>
      </c>
      <c r="B2912" t="s">
        <v>41</v>
      </c>
      <c r="C2912">
        <v>0</v>
      </c>
      <c r="D2912">
        <v>0</v>
      </c>
      <c r="E2912">
        <v>0</v>
      </c>
      <c r="F2912">
        <v>0</v>
      </c>
      <c r="G2912">
        <v>29.400300000000001</v>
      </c>
      <c r="H2912">
        <v>0</v>
      </c>
      <c r="I2912">
        <v>0</v>
      </c>
      <c r="J2912">
        <v>0</v>
      </c>
      <c r="K2912">
        <v>0</v>
      </c>
      <c r="L2912">
        <v>62</v>
      </c>
      <c r="M2912">
        <v>86</v>
      </c>
      <c r="N2912" t="s">
        <v>41</v>
      </c>
      <c r="O2912" s="3">
        <v>44335</v>
      </c>
      <c r="P2912">
        <v>-1</v>
      </c>
      <c r="T2912" t="s">
        <v>42</v>
      </c>
      <c r="U2912">
        <v>40</v>
      </c>
      <c r="V2912">
        <v>28.6508</v>
      </c>
    </row>
    <row r="2913" spans="1:22" x14ac:dyDescent="0.35">
      <c r="A2913" s="3">
        <v>44246</v>
      </c>
      <c r="B2913" t="s">
        <v>40</v>
      </c>
      <c r="C2913">
        <v>0</v>
      </c>
      <c r="D2913">
        <v>0</v>
      </c>
      <c r="E2913">
        <v>0</v>
      </c>
      <c r="F2913">
        <v>0</v>
      </c>
      <c r="G2913">
        <v>29.3</v>
      </c>
      <c r="H2913">
        <v>0</v>
      </c>
      <c r="I2913">
        <v>0</v>
      </c>
      <c r="J2913">
        <v>0</v>
      </c>
      <c r="K2913">
        <v>0</v>
      </c>
      <c r="L2913">
        <v>82</v>
      </c>
      <c r="M2913">
        <v>117</v>
      </c>
      <c r="N2913" t="s">
        <v>40</v>
      </c>
      <c r="O2913" s="3">
        <v>44363</v>
      </c>
      <c r="P2913">
        <v>-1</v>
      </c>
      <c r="T2913" t="s">
        <v>41</v>
      </c>
      <c r="U2913">
        <v>60</v>
      </c>
      <c r="V2913">
        <v>29.400300000000001</v>
      </c>
    </row>
    <row r="2914" spans="1:22" x14ac:dyDescent="0.35">
      <c r="A2914" s="3">
        <v>44246</v>
      </c>
      <c r="B2914" t="s">
        <v>39</v>
      </c>
      <c r="C2914">
        <v>0</v>
      </c>
      <c r="D2914">
        <v>0</v>
      </c>
      <c r="E2914">
        <v>0</v>
      </c>
      <c r="F2914">
        <v>0</v>
      </c>
      <c r="G2914">
        <v>29.6</v>
      </c>
      <c r="H2914">
        <v>0</v>
      </c>
      <c r="I2914">
        <v>0</v>
      </c>
      <c r="J2914">
        <v>0</v>
      </c>
      <c r="K2914">
        <v>0</v>
      </c>
      <c r="L2914">
        <v>106</v>
      </c>
      <c r="M2914">
        <v>152</v>
      </c>
      <c r="N2914" t="s">
        <v>39</v>
      </c>
      <c r="O2914" s="3">
        <v>44398</v>
      </c>
      <c r="P2914">
        <v>-1</v>
      </c>
      <c r="T2914" t="s">
        <v>40</v>
      </c>
      <c r="U2914">
        <v>79</v>
      </c>
      <c r="V2914">
        <v>29.85</v>
      </c>
    </row>
    <row r="2915" spans="1:22" x14ac:dyDescent="0.35">
      <c r="A2915" s="3">
        <v>44246</v>
      </c>
      <c r="B2915" t="s">
        <v>37</v>
      </c>
      <c r="C2915">
        <v>0</v>
      </c>
      <c r="D2915">
        <v>0</v>
      </c>
      <c r="E2915">
        <v>0</v>
      </c>
      <c r="F2915">
        <v>0</v>
      </c>
      <c r="G2915">
        <v>29.4</v>
      </c>
      <c r="H2915">
        <v>0</v>
      </c>
      <c r="I2915">
        <v>0</v>
      </c>
      <c r="J2915">
        <v>0</v>
      </c>
      <c r="K2915">
        <v>0</v>
      </c>
      <c r="L2915">
        <v>145</v>
      </c>
      <c r="M2915">
        <v>208</v>
      </c>
      <c r="N2915" t="s">
        <v>37</v>
      </c>
      <c r="O2915" s="3">
        <v>44454</v>
      </c>
      <c r="P2915">
        <v>-1</v>
      </c>
      <c r="T2915" t="s">
        <v>39</v>
      </c>
      <c r="U2915">
        <v>103</v>
      </c>
      <c r="V2915">
        <v>30.15</v>
      </c>
    </row>
    <row r="2916" spans="1:22" x14ac:dyDescent="0.35">
      <c r="A2916" s="3">
        <v>44246</v>
      </c>
      <c r="B2916" t="s">
        <v>41</v>
      </c>
      <c r="C2916">
        <v>0</v>
      </c>
      <c r="D2916">
        <v>0</v>
      </c>
      <c r="E2916">
        <v>0</v>
      </c>
      <c r="F2916">
        <v>0</v>
      </c>
      <c r="G2916">
        <v>28.817399999999999</v>
      </c>
      <c r="H2916">
        <v>0</v>
      </c>
      <c r="I2916">
        <v>0</v>
      </c>
      <c r="J2916">
        <v>0</v>
      </c>
      <c r="K2916">
        <v>0</v>
      </c>
      <c r="L2916">
        <v>63</v>
      </c>
      <c r="M2916">
        <v>89</v>
      </c>
      <c r="N2916" t="s">
        <v>41</v>
      </c>
      <c r="O2916" s="3">
        <v>44335</v>
      </c>
      <c r="P2916">
        <v>-1</v>
      </c>
      <c r="T2916" t="s">
        <v>38</v>
      </c>
      <c r="U2916">
        <v>123</v>
      </c>
      <c r="V2916">
        <v>29.9</v>
      </c>
    </row>
    <row r="2917" spans="1:22" x14ac:dyDescent="0.35">
      <c r="A2917" s="3">
        <v>44246</v>
      </c>
      <c r="B2917" t="s">
        <v>43</v>
      </c>
      <c r="C2917">
        <v>0</v>
      </c>
      <c r="D2917">
        <v>0</v>
      </c>
      <c r="E2917">
        <v>0</v>
      </c>
      <c r="F2917">
        <v>0</v>
      </c>
      <c r="G2917">
        <v>24.7988</v>
      </c>
      <c r="H2917">
        <v>0</v>
      </c>
      <c r="I2917">
        <v>0</v>
      </c>
      <c r="J2917">
        <v>0</v>
      </c>
      <c r="K2917">
        <v>0</v>
      </c>
      <c r="L2917">
        <v>18</v>
      </c>
      <c r="M2917">
        <v>26</v>
      </c>
      <c r="N2917" t="s">
        <v>43</v>
      </c>
      <c r="O2917" s="3">
        <v>44272</v>
      </c>
      <c r="P2917">
        <v>-1</v>
      </c>
      <c r="T2917" t="s">
        <v>37</v>
      </c>
      <c r="U2917">
        <v>142</v>
      </c>
      <c r="V2917">
        <v>29.8</v>
      </c>
    </row>
    <row r="2918" spans="1:22" x14ac:dyDescent="0.35">
      <c r="A2918" s="3">
        <v>44246</v>
      </c>
      <c r="B2918" t="s">
        <v>38</v>
      </c>
      <c r="C2918">
        <v>0</v>
      </c>
      <c r="D2918">
        <v>0</v>
      </c>
      <c r="E2918">
        <v>0</v>
      </c>
      <c r="F2918">
        <v>0</v>
      </c>
      <c r="G2918">
        <v>29.405899999999999</v>
      </c>
      <c r="H2918">
        <v>0</v>
      </c>
      <c r="I2918">
        <v>0</v>
      </c>
      <c r="J2918">
        <v>0</v>
      </c>
      <c r="K2918">
        <v>0</v>
      </c>
      <c r="L2918">
        <v>126</v>
      </c>
      <c r="M2918">
        <v>180</v>
      </c>
      <c r="N2918" t="s">
        <v>38</v>
      </c>
      <c r="O2918" s="3">
        <v>44426</v>
      </c>
      <c r="P2918">
        <v>-1</v>
      </c>
      <c r="T2918" t="s">
        <v>36</v>
      </c>
      <c r="U2918">
        <v>167</v>
      </c>
      <c r="V2918">
        <v>29.65</v>
      </c>
    </row>
    <row r="2919" spans="1:22" x14ac:dyDescent="0.35">
      <c r="A2919" s="3">
        <v>44246</v>
      </c>
      <c r="B2919" t="s">
        <v>36</v>
      </c>
      <c r="C2919">
        <v>0</v>
      </c>
      <c r="D2919">
        <v>0</v>
      </c>
      <c r="E2919">
        <v>0</v>
      </c>
      <c r="F2919">
        <v>0</v>
      </c>
      <c r="G2919">
        <v>29.2</v>
      </c>
      <c r="H2919">
        <v>0</v>
      </c>
      <c r="I2919">
        <v>0</v>
      </c>
      <c r="J2919">
        <v>0</v>
      </c>
      <c r="K2919">
        <v>0</v>
      </c>
      <c r="L2919">
        <v>170</v>
      </c>
      <c r="M2919">
        <v>243</v>
      </c>
      <c r="N2919" t="s">
        <v>36</v>
      </c>
      <c r="O2919" s="3">
        <v>44489</v>
      </c>
      <c r="P2919">
        <v>-1</v>
      </c>
      <c r="T2919" t="s">
        <v>35</v>
      </c>
      <c r="U2919">
        <v>187</v>
      </c>
      <c r="V2919">
        <v>29.4</v>
      </c>
    </row>
    <row r="2920" spans="1:22" x14ac:dyDescent="0.35">
      <c r="A2920" s="3">
        <v>44246</v>
      </c>
      <c r="B2920" t="s">
        <v>42</v>
      </c>
      <c r="C2920">
        <v>0</v>
      </c>
      <c r="D2920">
        <v>0</v>
      </c>
      <c r="E2920">
        <v>0</v>
      </c>
      <c r="F2920">
        <v>0</v>
      </c>
      <c r="G2920">
        <v>27.8902</v>
      </c>
      <c r="H2920">
        <v>0</v>
      </c>
      <c r="I2920">
        <v>0</v>
      </c>
      <c r="J2920">
        <v>0</v>
      </c>
      <c r="K2920">
        <v>0</v>
      </c>
      <c r="L2920">
        <v>43</v>
      </c>
      <c r="M2920">
        <v>61</v>
      </c>
      <c r="N2920" t="s">
        <v>42</v>
      </c>
      <c r="O2920" s="3">
        <v>44307</v>
      </c>
      <c r="P2920">
        <v>-1</v>
      </c>
      <c r="S2920" s="3">
        <v>44252</v>
      </c>
      <c r="T2920" t="s">
        <v>43</v>
      </c>
      <c r="U2920">
        <v>14</v>
      </c>
      <c r="V2920">
        <v>28.215</v>
      </c>
    </row>
    <row r="2921" spans="1:22" x14ac:dyDescent="0.35">
      <c r="A2921" s="3">
        <v>44245</v>
      </c>
      <c r="B2921" t="s">
        <v>43</v>
      </c>
      <c r="C2921">
        <v>0</v>
      </c>
      <c r="D2921">
        <v>0</v>
      </c>
      <c r="E2921">
        <v>0</v>
      </c>
      <c r="F2921">
        <v>0</v>
      </c>
      <c r="G2921">
        <v>25.8017</v>
      </c>
      <c r="H2921">
        <v>0</v>
      </c>
      <c r="I2921">
        <v>0</v>
      </c>
      <c r="J2921">
        <v>0</v>
      </c>
      <c r="K2921">
        <v>0</v>
      </c>
      <c r="L2921">
        <v>19</v>
      </c>
      <c r="M2921">
        <v>27</v>
      </c>
      <c r="N2921" t="s">
        <v>43</v>
      </c>
      <c r="O2921" s="3">
        <v>44272</v>
      </c>
      <c r="P2921">
        <v>-1</v>
      </c>
      <c r="T2921" t="s">
        <v>42</v>
      </c>
      <c r="U2921">
        <v>39</v>
      </c>
      <c r="V2921">
        <v>29.652200000000001</v>
      </c>
    </row>
    <row r="2922" spans="1:22" x14ac:dyDescent="0.35">
      <c r="A2922" s="3">
        <v>44245</v>
      </c>
      <c r="B2922" t="s">
        <v>38</v>
      </c>
      <c r="C2922">
        <v>0</v>
      </c>
      <c r="D2922">
        <v>0</v>
      </c>
      <c r="E2922">
        <v>0</v>
      </c>
      <c r="F2922">
        <v>0</v>
      </c>
      <c r="G2922">
        <v>29.5</v>
      </c>
      <c r="H2922">
        <v>0</v>
      </c>
      <c r="I2922">
        <v>0</v>
      </c>
      <c r="J2922">
        <v>0</v>
      </c>
      <c r="K2922">
        <v>0</v>
      </c>
      <c r="L2922">
        <v>127</v>
      </c>
      <c r="M2922">
        <v>181</v>
      </c>
      <c r="N2922" t="s">
        <v>38</v>
      </c>
      <c r="O2922" s="3">
        <v>44426</v>
      </c>
      <c r="P2922">
        <v>-1</v>
      </c>
      <c r="T2922" t="s">
        <v>41</v>
      </c>
      <c r="U2922">
        <v>59</v>
      </c>
      <c r="V2922">
        <v>29.875800000000002</v>
      </c>
    </row>
    <row r="2923" spans="1:22" x14ac:dyDescent="0.35">
      <c r="A2923" s="3">
        <v>44245</v>
      </c>
      <c r="B2923" t="s">
        <v>37</v>
      </c>
      <c r="C2923">
        <v>0</v>
      </c>
      <c r="D2923">
        <v>0</v>
      </c>
      <c r="E2923">
        <v>0</v>
      </c>
      <c r="F2923">
        <v>0</v>
      </c>
      <c r="G2923">
        <v>29.412500000000001</v>
      </c>
      <c r="H2923">
        <v>0</v>
      </c>
      <c r="I2923">
        <v>0</v>
      </c>
      <c r="J2923">
        <v>0</v>
      </c>
      <c r="K2923">
        <v>0</v>
      </c>
      <c r="L2923">
        <v>146</v>
      </c>
      <c r="M2923">
        <v>209</v>
      </c>
      <c r="N2923" t="s">
        <v>37</v>
      </c>
      <c r="O2923" s="3">
        <v>44454</v>
      </c>
      <c r="P2923">
        <v>-1</v>
      </c>
      <c r="T2923" t="s">
        <v>40</v>
      </c>
      <c r="U2923">
        <v>78</v>
      </c>
      <c r="V2923">
        <v>29.885999999999999</v>
      </c>
    </row>
    <row r="2924" spans="1:22" x14ac:dyDescent="0.35">
      <c r="A2924" s="3">
        <v>44245</v>
      </c>
      <c r="B2924" t="s">
        <v>36</v>
      </c>
      <c r="C2924">
        <v>0</v>
      </c>
      <c r="D2924">
        <v>0</v>
      </c>
      <c r="E2924">
        <v>0</v>
      </c>
      <c r="F2924">
        <v>0</v>
      </c>
      <c r="G2924">
        <v>29.125</v>
      </c>
      <c r="H2924">
        <v>0</v>
      </c>
      <c r="I2924">
        <v>0</v>
      </c>
      <c r="J2924">
        <v>0</v>
      </c>
      <c r="K2924">
        <v>0</v>
      </c>
      <c r="L2924">
        <v>171</v>
      </c>
      <c r="M2924">
        <v>244</v>
      </c>
      <c r="N2924" t="s">
        <v>36</v>
      </c>
      <c r="O2924" s="3">
        <v>44489</v>
      </c>
      <c r="P2924">
        <v>-1</v>
      </c>
      <c r="T2924" t="s">
        <v>39</v>
      </c>
      <c r="U2924">
        <v>102</v>
      </c>
      <c r="V2924">
        <v>29.805599999999998</v>
      </c>
    </row>
    <row r="2925" spans="1:22" x14ac:dyDescent="0.35">
      <c r="A2925" s="3">
        <v>44245</v>
      </c>
      <c r="B2925" t="s">
        <v>42</v>
      </c>
      <c r="C2925">
        <v>0</v>
      </c>
      <c r="D2925">
        <v>0</v>
      </c>
      <c r="E2925">
        <v>0</v>
      </c>
      <c r="F2925">
        <v>0</v>
      </c>
      <c r="G2925">
        <v>28.65</v>
      </c>
      <c r="H2925">
        <v>0</v>
      </c>
      <c r="I2925">
        <v>0</v>
      </c>
      <c r="J2925">
        <v>0</v>
      </c>
      <c r="K2925">
        <v>0</v>
      </c>
      <c r="L2925">
        <v>44</v>
      </c>
      <c r="M2925">
        <v>62</v>
      </c>
      <c r="N2925" t="s">
        <v>42</v>
      </c>
      <c r="O2925" s="3">
        <v>44307</v>
      </c>
      <c r="P2925">
        <v>-1</v>
      </c>
      <c r="T2925" t="s">
        <v>38</v>
      </c>
      <c r="U2925">
        <v>122</v>
      </c>
      <c r="V2925">
        <v>29.387499999999999</v>
      </c>
    </row>
    <row r="2926" spans="1:22" x14ac:dyDescent="0.35">
      <c r="A2926" s="3">
        <v>44245</v>
      </c>
      <c r="B2926" t="s">
        <v>40</v>
      </c>
      <c r="C2926">
        <v>0</v>
      </c>
      <c r="D2926">
        <v>0</v>
      </c>
      <c r="E2926">
        <v>0</v>
      </c>
      <c r="F2926">
        <v>0</v>
      </c>
      <c r="G2926">
        <v>29.5825</v>
      </c>
      <c r="H2926">
        <v>0</v>
      </c>
      <c r="I2926">
        <v>0</v>
      </c>
      <c r="J2926">
        <v>0</v>
      </c>
      <c r="K2926">
        <v>0</v>
      </c>
      <c r="L2926">
        <v>83</v>
      </c>
      <c r="M2926">
        <v>118</v>
      </c>
      <c r="N2926" t="s">
        <v>40</v>
      </c>
      <c r="O2926" s="3">
        <v>44363</v>
      </c>
      <c r="P2926">
        <v>-1</v>
      </c>
      <c r="T2926" t="s">
        <v>37</v>
      </c>
      <c r="U2926">
        <v>141</v>
      </c>
      <c r="V2926">
        <v>29.311800000000002</v>
      </c>
    </row>
    <row r="2927" spans="1:22" x14ac:dyDescent="0.35">
      <c r="A2927" s="3">
        <v>44245</v>
      </c>
      <c r="B2927" t="s">
        <v>39</v>
      </c>
      <c r="C2927">
        <v>0</v>
      </c>
      <c r="D2927">
        <v>0</v>
      </c>
      <c r="E2927">
        <v>0</v>
      </c>
      <c r="F2927">
        <v>0</v>
      </c>
      <c r="G2927">
        <v>29.741499999999998</v>
      </c>
      <c r="H2927">
        <v>0</v>
      </c>
      <c r="I2927">
        <v>0</v>
      </c>
      <c r="J2927">
        <v>0</v>
      </c>
      <c r="K2927">
        <v>0</v>
      </c>
      <c r="L2927">
        <v>107</v>
      </c>
      <c r="M2927">
        <v>153</v>
      </c>
      <c r="N2927" t="s">
        <v>39</v>
      </c>
      <c r="O2927" s="3">
        <v>44398</v>
      </c>
      <c r="P2927">
        <v>-1</v>
      </c>
      <c r="T2927" t="s">
        <v>36</v>
      </c>
      <c r="U2927">
        <v>166</v>
      </c>
      <c r="V2927">
        <v>29.2</v>
      </c>
    </row>
    <row r="2928" spans="1:22" x14ac:dyDescent="0.35">
      <c r="A2928" s="3">
        <v>44245</v>
      </c>
      <c r="B2928" t="s">
        <v>41</v>
      </c>
      <c r="C2928">
        <v>0</v>
      </c>
      <c r="D2928">
        <v>0</v>
      </c>
      <c r="E2928">
        <v>0</v>
      </c>
      <c r="F2928">
        <v>0</v>
      </c>
      <c r="G2928">
        <v>29.3</v>
      </c>
      <c r="H2928">
        <v>0</v>
      </c>
      <c r="I2928">
        <v>0</v>
      </c>
      <c r="J2928">
        <v>0</v>
      </c>
      <c r="K2928">
        <v>0</v>
      </c>
      <c r="L2928">
        <v>64</v>
      </c>
      <c r="M2928">
        <v>90</v>
      </c>
      <c r="N2928" t="s">
        <v>41</v>
      </c>
      <c r="O2928" s="3">
        <v>44335</v>
      </c>
      <c r="P2928">
        <v>-1</v>
      </c>
      <c r="T2928" t="s">
        <v>35</v>
      </c>
      <c r="U2928">
        <v>186</v>
      </c>
      <c r="V2928">
        <v>29.024999999999999</v>
      </c>
    </row>
    <row r="2929" spans="1:22" x14ac:dyDescent="0.35">
      <c r="A2929" s="3">
        <v>44244</v>
      </c>
      <c r="B2929" t="s">
        <v>40</v>
      </c>
      <c r="C2929">
        <v>0</v>
      </c>
      <c r="D2929">
        <v>0</v>
      </c>
      <c r="E2929">
        <v>0</v>
      </c>
      <c r="F2929">
        <v>0</v>
      </c>
      <c r="G2929">
        <v>29.452100000000002</v>
      </c>
      <c r="H2929">
        <v>0</v>
      </c>
      <c r="I2929">
        <v>0</v>
      </c>
      <c r="J2929">
        <v>0</v>
      </c>
      <c r="K2929">
        <v>0</v>
      </c>
      <c r="L2929">
        <v>84</v>
      </c>
      <c r="M2929">
        <v>119</v>
      </c>
      <c r="N2929" t="s">
        <v>40</v>
      </c>
      <c r="O2929" s="3">
        <v>44363</v>
      </c>
      <c r="P2929">
        <v>-1</v>
      </c>
      <c r="S2929" s="3">
        <v>44253</v>
      </c>
      <c r="T2929" t="s">
        <v>43</v>
      </c>
      <c r="U2929">
        <v>13</v>
      </c>
      <c r="V2929">
        <v>26.744399999999999</v>
      </c>
    </row>
    <row r="2930" spans="1:22" x14ac:dyDescent="0.35">
      <c r="A2930" s="3">
        <v>44244</v>
      </c>
      <c r="B2930" t="s">
        <v>39</v>
      </c>
      <c r="C2930">
        <v>0</v>
      </c>
      <c r="D2930">
        <v>0</v>
      </c>
      <c r="E2930">
        <v>0</v>
      </c>
      <c r="F2930">
        <v>0</v>
      </c>
      <c r="G2930">
        <v>29.522099999999998</v>
      </c>
      <c r="H2930">
        <v>0</v>
      </c>
      <c r="I2930">
        <v>0</v>
      </c>
      <c r="J2930">
        <v>0</v>
      </c>
      <c r="K2930">
        <v>0</v>
      </c>
      <c r="L2930">
        <v>108</v>
      </c>
      <c r="M2930">
        <v>154</v>
      </c>
      <c r="N2930" t="s">
        <v>39</v>
      </c>
      <c r="O2930" s="3">
        <v>44398</v>
      </c>
      <c r="P2930">
        <v>-1</v>
      </c>
      <c r="T2930" t="s">
        <v>42</v>
      </c>
      <c r="U2930">
        <v>38</v>
      </c>
      <c r="V2930">
        <v>28.232900000000001</v>
      </c>
    </row>
    <row r="2931" spans="1:22" x14ac:dyDescent="0.35">
      <c r="A2931" s="3">
        <v>44244</v>
      </c>
      <c r="B2931" t="s">
        <v>41</v>
      </c>
      <c r="C2931">
        <v>0</v>
      </c>
      <c r="D2931">
        <v>0</v>
      </c>
      <c r="E2931">
        <v>0</v>
      </c>
      <c r="F2931">
        <v>0</v>
      </c>
      <c r="G2931">
        <v>29.187100000000001</v>
      </c>
      <c r="H2931">
        <v>0</v>
      </c>
      <c r="I2931">
        <v>0</v>
      </c>
      <c r="J2931">
        <v>0</v>
      </c>
      <c r="K2931">
        <v>0</v>
      </c>
      <c r="L2931">
        <v>65</v>
      </c>
      <c r="M2931">
        <v>91</v>
      </c>
      <c r="N2931" t="s">
        <v>41</v>
      </c>
      <c r="O2931" s="3">
        <v>44335</v>
      </c>
      <c r="P2931">
        <v>-1</v>
      </c>
      <c r="T2931" t="s">
        <v>41</v>
      </c>
      <c r="U2931">
        <v>58</v>
      </c>
      <c r="V2931">
        <v>28.854399999999998</v>
      </c>
    </row>
    <row r="2932" spans="1:22" x14ac:dyDescent="0.35">
      <c r="A2932" s="3">
        <v>44244</v>
      </c>
      <c r="B2932" t="s">
        <v>44</v>
      </c>
      <c r="C2932">
        <v>0</v>
      </c>
      <c r="D2932">
        <v>0</v>
      </c>
      <c r="E2932">
        <v>0</v>
      </c>
      <c r="F2932">
        <v>0</v>
      </c>
      <c r="G2932">
        <v>22.81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44</v>
      </c>
      <c r="O2932" s="3">
        <v>44244</v>
      </c>
      <c r="P2932">
        <v>-1</v>
      </c>
      <c r="T2932" t="s">
        <v>40</v>
      </c>
      <c r="U2932">
        <v>77</v>
      </c>
      <c r="V2932">
        <v>29.154900000000001</v>
      </c>
    </row>
    <row r="2933" spans="1:22" x14ac:dyDescent="0.35">
      <c r="A2933" s="3">
        <v>44244</v>
      </c>
      <c r="B2933" t="s">
        <v>43</v>
      </c>
      <c r="C2933">
        <v>0</v>
      </c>
      <c r="D2933">
        <v>0</v>
      </c>
      <c r="E2933">
        <v>0</v>
      </c>
      <c r="F2933">
        <v>0</v>
      </c>
      <c r="G2933">
        <v>25.6</v>
      </c>
      <c r="H2933">
        <v>0</v>
      </c>
      <c r="I2933">
        <v>0</v>
      </c>
      <c r="J2933">
        <v>0</v>
      </c>
      <c r="K2933">
        <v>0</v>
      </c>
      <c r="L2933">
        <v>20</v>
      </c>
      <c r="M2933">
        <v>28</v>
      </c>
      <c r="N2933" t="s">
        <v>43</v>
      </c>
      <c r="O2933" s="3">
        <v>44272</v>
      </c>
      <c r="P2933">
        <v>-1</v>
      </c>
      <c r="T2933" t="s">
        <v>39</v>
      </c>
      <c r="U2933">
        <v>101</v>
      </c>
      <c r="V2933">
        <v>29.3</v>
      </c>
    </row>
    <row r="2934" spans="1:22" x14ac:dyDescent="0.35">
      <c r="A2934" s="3">
        <v>44244</v>
      </c>
      <c r="B2934" t="s">
        <v>38</v>
      </c>
      <c r="C2934">
        <v>0</v>
      </c>
      <c r="D2934">
        <v>0</v>
      </c>
      <c r="E2934">
        <v>0</v>
      </c>
      <c r="F2934">
        <v>0</v>
      </c>
      <c r="G2934">
        <v>29.3094</v>
      </c>
      <c r="H2934">
        <v>0</v>
      </c>
      <c r="I2934">
        <v>0</v>
      </c>
      <c r="J2934">
        <v>0</v>
      </c>
      <c r="K2934">
        <v>0</v>
      </c>
      <c r="L2934">
        <v>128</v>
      </c>
      <c r="M2934">
        <v>182</v>
      </c>
      <c r="N2934" t="s">
        <v>38</v>
      </c>
      <c r="O2934" s="3">
        <v>44426</v>
      </c>
      <c r="P2934">
        <v>-1</v>
      </c>
      <c r="T2934" t="s">
        <v>38</v>
      </c>
      <c r="U2934">
        <v>121</v>
      </c>
      <c r="V2934">
        <v>28.952000000000002</v>
      </c>
    </row>
    <row r="2935" spans="1:22" x14ac:dyDescent="0.35">
      <c r="A2935" s="3">
        <v>44244</v>
      </c>
      <c r="B2935" t="s">
        <v>37</v>
      </c>
      <c r="C2935">
        <v>0</v>
      </c>
      <c r="D2935">
        <v>0</v>
      </c>
      <c r="E2935">
        <v>0</v>
      </c>
      <c r="F2935">
        <v>0</v>
      </c>
      <c r="G2935">
        <v>29.287500000000001</v>
      </c>
      <c r="H2935">
        <v>0</v>
      </c>
      <c r="I2935">
        <v>0</v>
      </c>
      <c r="J2935">
        <v>0</v>
      </c>
      <c r="K2935">
        <v>0</v>
      </c>
      <c r="L2935">
        <v>147</v>
      </c>
      <c r="M2935">
        <v>210</v>
      </c>
      <c r="N2935" t="s">
        <v>37</v>
      </c>
      <c r="O2935" s="3">
        <v>44454</v>
      </c>
      <c r="P2935">
        <v>-1</v>
      </c>
      <c r="T2935" t="s">
        <v>37</v>
      </c>
      <c r="U2935">
        <v>140</v>
      </c>
      <c r="V2935">
        <v>28.9556</v>
      </c>
    </row>
    <row r="2936" spans="1:22" x14ac:dyDescent="0.35">
      <c r="A2936" s="3">
        <v>44244</v>
      </c>
      <c r="B2936" t="s">
        <v>36</v>
      </c>
      <c r="C2936">
        <v>0</v>
      </c>
      <c r="D2936">
        <v>0</v>
      </c>
      <c r="E2936">
        <v>0</v>
      </c>
      <c r="F2936">
        <v>0</v>
      </c>
      <c r="G2936">
        <v>29.3</v>
      </c>
      <c r="H2936">
        <v>0</v>
      </c>
      <c r="I2936">
        <v>0</v>
      </c>
      <c r="J2936">
        <v>0</v>
      </c>
      <c r="K2936">
        <v>0</v>
      </c>
      <c r="L2936">
        <v>172</v>
      </c>
      <c r="M2936">
        <v>245</v>
      </c>
      <c r="N2936" t="s">
        <v>36</v>
      </c>
      <c r="O2936" s="3">
        <v>44489</v>
      </c>
      <c r="P2936">
        <v>-1</v>
      </c>
      <c r="T2936" t="s">
        <v>36</v>
      </c>
      <c r="U2936">
        <v>165</v>
      </c>
      <c r="V2936">
        <v>28.824999999999999</v>
      </c>
    </row>
    <row r="2937" spans="1:22" x14ac:dyDescent="0.35">
      <c r="A2937" s="3">
        <v>44244</v>
      </c>
      <c r="B2937" t="s">
        <v>42</v>
      </c>
      <c r="C2937">
        <v>0</v>
      </c>
      <c r="D2937">
        <v>0</v>
      </c>
      <c r="E2937">
        <v>0</v>
      </c>
      <c r="F2937">
        <v>0</v>
      </c>
      <c r="G2937">
        <v>28.5503</v>
      </c>
      <c r="H2937">
        <v>0</v>
      </c>
      <c r="I2937">
        <v>0</v>
      </c>
      <c r="J2937">
        <v>0</v>
      </c>
      <c r="K2937">
        <v>0</v>
      </c>
      <c r="L2937">
        <v>45</v>
      </c>
      <c r="M2937">
        <v>63</v>
      </c>
      <c r="N2937" t="s">
        <v>42</v>
      </c>
      <c r="O2937" s="3">
        <v>44307</v>
      </c>
      <c r="P2937">
        <v>-1</v>
      </c>
      <c r="T2937" t="s">
        <v>35</v>
      </c>
      <c r="U2937">
        <v>185</v>
      </c>
      <c r="V2937">
        <v>28.4</v>
      </c>
    </row>
    <row r="2938" spans="1:22" x14ac:dyDescent="0.35">
      <c r="A2938" s="3">
        <v>44243</v>
      </c>
      <c r="B2938" t="s">
        <v>44</v>
      </c>
      <c r="C2938">
        <v>0</v>
      </c>
      <c r="D2938">
        <v>0</v>
      </c>
      <c r="E2938">
        <v>0</v>
      </c>
      <c r="F2938">
        <v>0</v>
      </c>
      <c r="G2938">
        <v>21.241800000000001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1</v>
      </c>
      <c r="N2938" t="s">
        <v>44</v>
      </c>
      <c r="O2938" s="3">
        <v>44244</v>
      </c>
      <c r="P2938">
        <v>-1</v>
      </c>
      <c r="S2938" s="3">
        <v>44256</v>
      </c>
      <c r="T2938" t="s">
        <v>43</v>
      </c>
      <c r="U2938">
        <v>12</v>
      </c>
      <c r="V2938">
        <v>24.6158</v>
      </c>
    </row>
    <row r="2939" spans="1:22" x14ac:dyDescent="0.35">
      <c r="A2939" s="3">
        <v>44243</v>
      </c>
      <c r="B2939" t="s">
        <v>43</v>
      </c>
      <c r="C2939">
        <v>0</v>
      </c>
      <c r="D2939">
        <v>0</v>
      </c>
      <c r="E2939">
        <v>0</v>
      </c>
      <c r="F2939">
        <v>0</v>
      </c>
      <c r="G2939">
        <v>26.1251</v>
      </c>
      <c r="H2939">
        <v>0</v>
      </c>
      <c r="I2939">
        <v>0</v>
      </c>
      <c r="J2939">
        <v>0</v>
      </c>
      <c r="K2939">
        <v>0</v>
      </c>
      <c r="L2939">
        <v>21</v>
      </c>
      <c r="M2939">
        <v>29</v>
      </c>
      <c r="N2939" t="s">
        <v>43</v>
      </c>
      <c r="O2939" s="3">
        <v>44272</v>
      </c>
      <c r="P2939">
        <v>-1</v>
      </c>
      <c r="T2939" t="s">
        <v>42</v>
      </c>
      <c r="U2939">
        <v>37</v>
      </c>
      <c r="V2939">
        <v>26.903300000000002</v>
      </c>
    </row>
    <row r="2940" spans="1:22" x14ac:dyDescent="0.35">
      <c r="A2940" s="3">
        <v>44243</v>
      </c>
      <c r="B2940" t="s">
        <v>38</v>
      </c>
      <c r="C2940">
        <v>0</v>
      </c>
      <c r="D2940">
        <v>0</v>
      </c>
      <c r="E2940">
        <v>0</v>
      </c>
      <c r="F2940">
        <v>0</v>
      </c>
      <c r="G2940">
        <v>29.198899999999998</v>
      </c>
      <c r="H2940">
        <v>0</v>
      </c>
      <c r="I2940">
        <v>0</v>
      </c>
      <c r="J2940">
        <v>0</v>
      </c>
      <c r="K2940">
        <v>0</v>
      </c>
      <c r="L2940">
        <v>129</v>
      </c>
      <c r="M2940">
        <v>183</v>
      </c>
      <c r="N2940" t="s">
        <v>38</v>
      </c>
      <c r="O2940" s="3">
        <v>44426</v>
      </c>
      <c r="P2940">
        <v>-1</v>
      </c>
      <c r="T2940" t="s">
        <v>41</v>
      </c>
      <c r="U2940">
        <v>57</v>
      </c>
      <c r="V2940">
        <v>27.722100000000001</v>
      </c>
    </row>
    <row r="2941" spans="1:22" x14ac:dyDescent="0.35">
      <c r="A2941" s="3">
        <v>44243</v>
      </c>
      <c r="B2941" t="s">
        <v>37</v>
      </c>
      <c r="C2941">
        <v>0</v>
      </c>
      <c r="D2941">
        <v>0</v>
      </c>
      <c r="E2941">
        <v>0</v>
      </c>
      <c r="F2941">
        <v>0</v>
      </c>
      <c r="G2941">
        <v>29.15</v>
      </c>
      <c r="H2941">
        <v>0</v>
      </c>
      <c r="I2941">
        <v>0</v>
      </c>
      <c r="J2941">
        <v>0</v>
      </c>
      <c r="K2941">
        <v>0</v>
      </c>
      <c r="L2941">
        <v>148</v>
      </c>
      <c r="M2941">
        <v>211</v>
      </c>
      <c r="N2941" t="s">
        <v>37</v>
      </c>
      <c r="O2941" s="3">
        <v>44454</v>
      </c>
      <c r="P2941">
        <v>-1</v>
      </c>
      <c r="T2941" t="s">
        <v>40</v>
      </c>
      <c r="U2941">
        <v>76</v>
      </c>
      <c r="V2941">
        <v>28.1036</v>
      </c>
    </row>
    <row r="2942" spans="1:22" x14ac:dyDescent="0.35">
      <c r="A2942" s="3">
        <v>44243</v>
      </c>
      <c r="B2942" t="s">
        <v>36</v>
      </c>
      <c r="C2942">
        <v>0</v>
      </c>
      <c r="D2942">
        <v>0</v>
      </c>
      <c r="E2942">
        <v>0</v>
      </c>
      <c r="F2942">
        <v>0</v>
      </c>
      <c r="G2942">
        <v>28.625</v>
      </c>
      <c r="H2942">
        <v>0</v>
      </c>
      <c r="I2942">
        <v>0</v>
      </c>
      <c r="J2942">
        <v>0</v>
      </c>
      <c r="K2942">
        <v>0</v>
      </c>
      <c r="L2942">
        <v>173</v>
      </c>
      <c r="M2942">
        <v>246</v>
      </c>
      <c r="N2942" t="s">
        <v>36</v>
      </c>
      <c r="O2942" s="3">
        <v>44489</v>
      </c>
      <c r="P2942">
        <v>-1</v>
      </c>
      <c r="T2942" t="s">
        <v>39</v>
      </c>
      <c r="U2942">
        <v>100</v>
      </c>
      <c r="V2942">
        <v>28.4</v>
      </c>
    </row>
    <row r="2943" spans="1:22" x14ac:dyDescent="0.35">
      <c r="A2943" s="3">
        <v>44243</v>
      </c>
      <c r="B2943" t="s">
        <v>42</v>
      </c>
      <c r="C2943">
        <v>0</v>
      </c>
      <c r="D2943">
        <v>0</v>
      </c>
      <c r="E2943">
        <v>0</v>
      </c>
      <c r="F2943">
        <v>0</v>
      </c>
      <c r="G2943">
        <v>28.4757</v>
      </c>
      <c r="H2943">
        <v>0</v>
      </c>
      <c r="I2943">
        <v>0</v>
      </c>
      <c r="J2943">
        <v>0</v>
      </c>
      <c r="K2943">
        <v>0</v>
      </c>
      <c r="L2943">
        <v>46</v>
      </c>
      <c r="M2943">
        <v>64</v>
      </c>
      <c r="N2943" t="s">
        <v>42</v>
      </c>
      <c r="O2943" s="3">
        <v>44307</v>
      </c>
      <c r="P2943">
        <v>-1</v>
      </c>
      <c r="T2943" t="s">
        <v>38</v>
      </c>
      <c r="U2943">
        <v>120</v>
      </c>
      <c r="V2943">
        <v>28.122699999999998</v>
      </c>
    </row>
    <row r="2944" spans="1:22" x14ac:dyDescent="0.35">
      <c r="A2944" s="3">
        <v>44243</v>
      </c>
      <c r="B2944" t="s">
        <v>40</v>
      </c>
      <c r="C2944">
        <v>0</v>
      </c>
      <c r="D2944">
        <v>0</v>
      </c>
      <c r="E2944">
        <v>0</v>
      </c>
      <c r="F2944">
        <v>0</v>
      </c>
      <c r="G2944">
        <v>29.4008</v>
      </c>
      <c r="H2944">
        <v>0</v>
      </c>
      <c r="I2944">
        <v>0</v>
      </c>
      <c r="J2944">
        <v>0</v>
      </c>
      <c r="K2944">
        <v>0</v>
      </c>
      <c r="L2944">
        <v>85</v>
      </c>
      <c r="M2944">
        <v>120</v>
      </c>
      <c r="N2944" t="s">
        <v>40</v>
      </c>
      <c r="O2944" s="3">
        <v>44363</v>
      </c>
      <c r="P2944">
        <v>-1</v>
      </c>
      <c r="T2944" t="s">
        <v>37</v>
      </c>
      <c r="U2944">
        <v>139</v>
      </c>
      <c r="V2944">
        <v>28.178599999999999</v>
      </c>
    </row>
    <row r="2945" spans="1:22" x14ac:dyDescent="0.35">
      <c r="A2945" s="3">
        <v>44243</v>
      </c>
      <c r="B2945" t="s">
        <v>39</v>
      </c>
      <c r="C2945">
        <v>0</v>
      </c>
      <c r="D2945">
        <v>0</v>
      </c>
      <c r="E2945">
        <v>0</v>
      </c>
      <c r="F2945">
        <v>0</v>
      </c>
      <c r="G2945">
        <v>29.402100000000001</v>
      </c>
      <c r="H2945">
        <v>0</v>
      </c>
      <c r="I2945">
        <v>0</v>
      </c>
      <c r="J2945">
        <v>0</v>
      </c>
      <c r="K2945">
        <v>0</v>
      </c>
      <c r="L2945">
        <v>109</v>
      </c>
      <c r="M2945">
        <v>155</v>
      </c>
      <c r="N2945" t="s">
        <v>39</v>
      </c>
      <c r="O2945" s="3">
        <v>44398</v>
      </c>
      <c r="P2945">
        <v>-1</v>
      </c>
      <c r="T2945" t="s">
        <v>36</v>
      </c>
      <c r="U2945">
        <v>164</v>
      </c>
      <c r="V2945">
        <v>28.125</v>
      </c>
    </row>
    <row r="2946" spans="1:22" x14ac:dyDescent="0.35">
      <c r="A2946" s="3">
        <v>44243</v>
      </c>
      <c r="B2946" t="s">
        <v>41</v>
      </c>
      <c r="C2946">
        <v>0</v>
      </c>
      <c r="D2946">
        <v>0</v>
      </c>
      <c r="E2946">
        <v>0</v>
      </c>
      <c r="F2946">
        <v>0</v>
      </c>
      <c r="G2946">
        <v>29.0977</v>
      </c>
      <c r="H2946">
        <v>0</v>
      </c>
      <c r="I2946">
        <v>0</v>
      </c>
      <c r="J2946">
        <v>0</v>
      </c>
      <c r="K2946">
        <v>0</v>
      </c>
      <c r="L2946">
        <v>66</v>
      </c>
      <c r="M2946">
        <v>92</v>
      </c>
      <c r="N2946" t="s">
        <v>41</v>
      </c>
      <c r="O2946" s="3">
        <v>44335</v>
      </c>
      <c r="P2946">
        <v>-1</v>
      </c>
      <c r="T2946" t="s">
        <v>35</v>
      </c>
      <c r="U2946">
        <v>184</v>
      </c>
      <c r="V2946">
        <v>27.55</v>
      </c>
    </row>
    <row r="2947" spans="1:22" x14ac:dyDescent="0.35">
      <c r="A2947" s="3">
        <v>44239</v>
      </c>
      <c r="B2947" t="s">
        <v>40</v>
      </c>
      <c r="C2947">
        <v>0</v>
      </c>
      <c r="D2947">
        <v>0</v>
      </c>
      <c r="E2947">
        <v>0</v>
      </c>
      <c r="F2947">
        <v>0</v>
      </c>
      <c r="G2947">
        <v>29.0946</v>
      </c>
      <c r="H2947">
        <v>0</v>
      </c>
      <c r="I2947">
        <v>0</v>
      </c>
      <c r="J2947">
        <v>0</v>
      </c>
      <c r="K2947">
        <v>0</v>
      </c>
      <c r="L2947">
        <v>86</v>
      </c>
      <c r="M2947">
        <v>124</v>
      </c>
      <c r="N2947" t="s">
        <v>40</v>
      </c>
      <c r="O2947" s="3">
        <v>44363</v>
      </c>
      <c r="P2947">
        <v>-1</v>
      </c>
      <c r="S2947" s="3">
        <v>44257</v>
      </c>
      <c r="T2947" t="s">
        <v>43</v>
      </c>
      <c r="U2947">
        <v>11</v>
      </c>
      <c r="V2947">
        <v>24.765000000000001</v>
      </c>
    </row>
    <row r="2948" spans="1:22" x14ac:dyDescent="0.35">
      <c r="A2948" s="3">
        <v>44239</v>
      </c>
      <c r="B2948" t="s">
        <v>39</v>
      </c>
      <c r="C2948">
        <v>0</v>
      </c>
      <c r="D2948">
        <v>0</v>
      </c>
      <c r="E2948">
        <v>0</v>
      </c>
      <c r="F2948">
        <v>0</v>
      </c>
      <c r="G2948">
        <v>29.084399999999999</v>
      </c>
      <c r="H2948">
        <v>0</v>
      </c>
      <c r="I2948">
        <v>0</v>
      </c>
      <c r="J2948">
        <v>0</v>
      </c>
      <c r="K2948">
        <v>0</v>
      </c>
      <c r="L2948">
        <v>110</v>
      </c>
      <c r="M2948">
        <v>159</v>
      </c>
      <c r="N2948" t="s">
        <v>39</v>
      </c>
      <c r="O2948" s="3">
        <v>44398</v>
      </c>
      <c r="P2948">
        <v>-1</v>
      </c>
      <c r="T2948" t="s">
        <v>42</v>
      </c>
      <c r="U2948">
        <v>36</v>
      </c>
      <c r="V2948">
        <v>27.032900000000001</v>
      </c>
    </row>
    <row r="2949" spans="1:22" x14ac:dyDescent="0.35">
      <c r="A2949" s="3">
        <v>44239</v>
      </c>
      <c r="B2949" t="s">
        <v>41</v>
      </c>
      <c r="C2949">
        <v>0</v>
      </c>
      <c r="D2949">
        <v>0</v>
      </c>
      <c r="E2949">
        <v>0</v>
      </c>
      <c r="F2949">
        <v>0</v>
      </c>
      <c r="G2949">
        <v>28.75</v>
      </c>
      <c r="H2949">
        <v>0</v>
      </c>
      <c r="I2949">
        <v>0</v>
      </c>
      <c r="J2949">
        <v>0</v>
      </c>
      <c r="K2949">
        <v>0</v>
      </c>
      <c r="L2949">
        <v>67</v>
      </c>
      <c r="M2949">
        <v>96</v>
      </c>
      <c r="N2949" t="s">
        <v>41</v>
      </c>
      <c r="O2949" s="3">
        <v>44335</v>
      </c>
      <c r="P2949">
        <v>-1</v>
      </c>
      <c r="T2949" t="s">
        <v>41</v>
      </c>
      <c r="U2949">
        <v>56</v>
      </c>
      <c r="V2949">
        <v>28.069800000000001</v>
      </c>
    </row>
    <row r="2950" spans="1:22" x14ac:dyDescent="0.35">
      <c r="A2950" s="3">
        <v>44239</v>
      </c>
      <c r="B2950" t="s">
        <v>44</v>
      </c>
      <c r="C2950">
        <v>0</v>
      </c>
      <c r="D2950">
        <v>0</v>
      </c>
      <c r="E2950">
        <v>0</v>
      </c>
      <c r="F2950">
        <v>0</v>
      </c>
      <c r="G2950">
        <v>21.359400000000001</v>
      </c>
      <c r="H2950">
        <v>0</v>
      </c>
      <c r="I2950">
        <v>0</v>
      </c>
      <c r="J2950">
        <v>0</v>
      </c>
      <c r="K2950">
        <v>0</v>
      </c>
      <c r="L2950">
        <v>2</v>
      </c>
      <c r="M2950">
        <v>5</v>
      </c>
      <c r="N2950" t="s">
        <v>44</v>
      </c>
      <c r="O2950" s="3">
        <v>44244</v>
      </c>
      <c r="P2950">
        <v>-1</v>
      </c>
      <c r="T2950" t="s">
        <v>40</v>
      </c>
      <c r="U2950">
        <v>75</v>
      </c>
      <c r="V2950">
        <v>28.548400000000001</v>
      </c>
    </row>
    <row r="2951" spans="1:22" x14ac:dyDescent="0.35">
      <c r="A2951" s="3">
        <v>44239</v>
      </c>
      <c r="B2951" t="s">
        <v>43</v>
      </c>
      <c r="C2951">
        <v>0</v>
      </c>
      <c r="D2951">
        <v>0</v>
      </c>
      <c r="E2951">
        <v>0</v>
      </c>
      <c r="F2951">
        <v>0</v>
      </c>
      <c r="G2951">
        <v>25.878499999999999</v>
      </c>
      <c r="H2951">
        <v>0</v>
      </c>
      <c r="I2951">
        <v>0</v>
      </c>
      <c r="J2951">
        <v>0</v>
      </c>
      <c r="K2951">
        <v>0</v>
      </c>
      <c r="L2951">
        <v>22</v>
      </c>
      <c r="M2951">
        <v>33</v>
      </c>
      <c r="N2951" t="s">
        <v>43</v>
      </c>
      <c r="O2951" s="3">
        <v>44272</v>
      </c>
      <c r="P2951">
        <v>-1</v>
      </c>
      <c r="T2951" t="s">
        <v>39</v>
      </c>
      <c r="U2951">
        <v>99</v>
      </c>
      <c r="V2951">
        <v>28.9</v>
      </c>
    </row>
    <row r="2952" spans="1:22" x14ac:dyDescent="0.35">
      <c r="A2952" s="3">
        <v>44239</v>
      </c>
      <c r="B2952" t="s">
        <v>38</v>
      </c>
      <c r="C2952">
        <v>0</v>
      </c>
      <c r="D2952">
        <v>0</v>
      </c>
      <c r="E2952">
        <v>0</v>
      </c>
      <c r="F2952">
        <v>0</v>
      </c>
      <c r="G2952">
        <v>28.8</v>
      </c>
      <c r="H2952">
        <v>0</v>
      </c>
      <c r="I2952">
        <v>0</v>
      </c>
      <c r="J2952">
        <v>0</v>
      </c>
      <c r="K2952">
        <v>0</v>
      </c>
      <c r="L2952">
        <v>130</v>
      </c>
      <c r="M2952">
        <v>187</v>
      </c>
      <c r="N2952" t="s">
        <v>38</v>
      </c>
      <c r="O2952" s="3">
        <v>44426</v>
      </c>
      <c r="P2952">
        <v>-1</v>
      </c>
      <c r="T2952" t="s">
        <v>38</v>
      </c>
      <c r="U2952">
        <v>119</v>
      </c>
      <c r="V2952">
        <v>28.6557</v>
      </c>
    </row>
    <row r="2953" spans="1:22" x14ac:dyDescent="0.35">
      <c r="A2953" s="3">
        <v>44239</v>
      </c>
      <c r="B2953" t="s">
        <v>37</v>
      </c>
      <c r="C2953">
        <v>0</v>
      </c>
      <c r="D2953">
        <v>0</v>
      </c>
      <c r="E2953">
        <v>0</v>
      </c>
      <c r="F2953">
        <v>0</v>
      </c>
      <c r="G2953">
        <v>28.725000000000001</v>
      </c>
      <c r="H2953">
        <v>0</v>
      </c>
      <c r="I2953">
        <v>0</v>
      </c>
      <c r="J2953">
        <v>0</v>
      </c>
      <c r="K2953">
        <v>0</v>
      </c>
      <c r="L2953">
        <v>149</v>
      </c>
      <c r="M2953">
        <v>215</v>
      </c>
      <c r="N2953" t="s">
        <v>37</v>
      </c>
      <c r="O2953" s="3">
        <v>44454</v>
      </c>
      <c r="P2953">
        <v>-1</v>
      </c>
      <c r="T2953" t="s">
        <v>37</v>
      </c>
      <c r="U2953">
        <v>138</v>
      </c>
      <c r="V2953">
        <v>28.725000000000001</v>
      </c>
    </row>
    <row r="2954" spans="1:22" x14ac:dyDescent="0.35">
      <c r="A2954" s="3">
        <v>44239</v>
      </c>
      <c r="B2954" t="s">
        <v>36</v>
      </c>
      <c r="C2954">
        <v>0</v>
      </c>
      <c r="D2954">
        <v>0</v>
      </c>
      <c r="E2954">
        <v>0</v>
      </c>
      <c r="F2954">
        <v>0</v>
      </c>
      <c r="G2954">
        <v>28.725000000000001</v>
      </c>
      <c r="H2954">
        <v>0</v>
      </c>
      <c r="I2954">
        <v>0</v>
      </c>
      <c r="J2954">
        <v>0</v>
      </c>
      <c r="K2954">
        <v>0</v>
      </c>
      <c r="L2954">
        <v>174</v>
      </c>
      <c r="M2954">
        <v>250</v>
      </c>
      <c r="N2954" t="s">
        <v>36</v>
      </c>
      <c r="O2954" s="3">
        <v>44489</v>
      </c>
      <c r="P2954">
        <v>-1</v>
      </c>
      <c r="T2954" t="s">
        <v>36</v>
      </c>
      <c r="U2954">
        <v>163</v>
      </c>
      <c r="V2954">
        <v>28.524999999999999</v>
      </c>
    </row>
    <row r="2955" spans="1:22" x14ac:dyDescent="0.35">
      <c r="A2955" s="3">
        <v>44239</v>
      </c>
      <c r="B2955" t="s">
        <v>42</v>
      </c>
      <c r="C2955">
        <v>0</v>
      </c>
      <c r="D2955">
        <v>0</v>
      </c>
      <c r="E2955">
        <v>0</v>
      </c>
      <c r="F2955">
        <v>0</v>
      </c>
      <c r="G2955">
        <v>28.149100000000001</v>
      </c>
      <c r="H2955">
        <v>0</v>
      </c>
      <c r="I2955">
        <v>0</v>
      </c>
      <c r="J2955">
        <v>0</v>
      </c>
      <c r="K2955">
        <v>0</v>
      </c>
      <c r="L2955">
        <v>47</v>
      </c>
      <c r="M2955">
        <v>68</v>
      </c>
      <c r="N2955" t="s">
        <v>42</v>
      </c>
      <c r="O2955" s="3">
        <v>44307</v>
      </c>
      <c r="P2955">
        <v>-1</v>
      </c>
      <c r="T2955" t="s">
        <v>35</v>
      </c>
      <c r="U2955">
        <v>183</v>
      </c>
      <c r="V2955">
        <v>28.65</v>
      </c>
    </row>
    <row r="2956" spans="1:22" x14ac:dyDescent="0.35">
      <c r="A2956" s="3">
        <v>44238</v>
      </c>
      <c r="B2956" t="s">
        <v>44</v>
      </c>
      <c r="C2956">
        <v>0</v>
      </c>
      <c r="D2956">
        <v>0</v>
      </c>
      <c r="E2956">
        <v>0</v>
      </c>
      <c r="F2956">
        <v>0</v>
      </c>
      <c r="G2956">
        <v>22.71</v>
      </c>
      <c r="H2956">
        <v>0</v>
      </c>
      <c r="I2956">
        <v>0</v>
      </c>
      <c r="J2956">
        <v>0</v>
      </c>
      <c r="K2956">
        <v>0</v>
      </c>
      <c r="L2956">
        <v>3</v>
      </c>
      <c r="M2956">
        <v>6</v>
      </c>
      <c r="N2956" t="s">
        <v>44</v>
      </c>
      <c r="O2956" s="3">
        <v>44244</v>
      </c>
      <c r="P2956">
        <v>-1</v>
      </c>
      <c r="S2956" s="3">
        <v>44258</v>
      </c>
      <c r="T2956" t="s">
        <v>43</v>
      </c>
      <c r="U2956">
        <v>10</v>
      </c>
      <c r="V2956">
        <v>26.127500000000001</v>
      </c>
    </row>
    <row r="2957" spans="1:22" x14ac:dyDescent="0.35">
      <c r="A2957" s="3">
        <v>44238</v>
      </c>
      <c r="B2957" t="s">
        <v>43</v>
      </c>
      <c r="C2957">
        <v>0</v>
      </c>
      <c r="D2957">
        <v>0</v>
      </c>
      <c r="E2957">
        <v>0</v>
      </c>
      <c r="F2957">
        <v>0</v>
      </c>
      <c r="G2957">
        <v>26.692</v>
      </c>
      <c r="H2957">
        <v>0</v>
      </c>
      <c r="I2957">
        <v>0</v>
      </c>
      <c r="J2957">
        <v>0</v>
      </c>
      <c r="K2957">
        <v>0</v>
      </c>
      <c r="L2957">
        <v>23</v>
      </c>
      <c r="M2957">
        <v>34</v>
      </c>
      <c r="N2957" t="s">
        <v>43</v>
      </c>
      <c r="O2957" s="3">
        <v>44272</v>
      </c>
      <c r="P2957">
        <v>-1</v>
      </c>
      <c r="T2957" t="s">
        <v>42</v>
      </c>
      <c r="U2957">
        <v>35</v>
      </c>
      <c r="V2957">
        <v>27.9008</v>
      </c>
    </row>
    <row r="2958" spans="1:22" x14ac:dyDescent="0.35">
      <c r="A2958" s="3">
        <v>44238</v>
      </c>
      <c r="B2958" t="s">
        <v>38</v>
      </c>
      <c r="C2958">
        <v>0</v>
      </c>
      <c r="D2958">
        <v>0</v>
      </c>
      <c r="E2958">
        <v>0</v>
      </c>
      <c r="F2958">
        <v>0</v>
      </c>
      <c r="G2958">
        <v>28.74</v>
      </c>
      <c r="H2958">
        <v>0</v>
      </c>
      <c r="I2958">
        <v>0</v>
      </c>
      <c r="J2958">
        <v>0</v>
      </c>
      <c r="K2958">
        <v>0</v>
      </c>
      <c r="L2958">
        <v>131</v>
      </c>
      <c r="M2958">
        <v>188</v>
      </c>
      <c r="N2958" t="s">
        <v>38</v>
      </c>
      <c r="O2958" s="3">
        <v>44426</v>
      </c>
      <c r="P2958">
        <v>-1</v>
      </c>
      <c r="T2958" t="s">
        <v>41</v>
      </c>
      <c r="U2958">
        <v>55</v>
      </c>
      <c r="V2958">
        <v>28.65</v>
      </c>
    </row>
    <row r="2959" spans="1:22" x14ac:dyDescent="0.35">
      <c r="A2959" s="3">
        <v>44238</v>
      </c>
      <c r="B2959" t="s">
        <v>37</v>
      </c>
      <c r="C2959">
        <v>0</v>
      </c>
      <c r="D2959">
        <v>0</v>
      </c>
      <c r="E2959">
        <v>0</v>
      </c>
      <c r="F2959">
        <v>0</v>
      </c>
      <c r="G2959">
        <v>28.55</v>
      </c>
      <c r="H2959">
        <v>0</v>
      </c>
      <c r="I2959">
        <v>0</v>
      </c>
      <c r="J2959">
        <v>0</v>
      </c>
      <c r="K2959">
        <v>0</v>
      </c>
      <c r="L2959">
        <v>150</v>
      </c>
      <c r="M2959">
        <v>216</v>
      </c>
      <c r="N2959" t="s">
        <v>37</v>
      </c>
      <c r="O2959" s="3">
        <v>44454</v>
      </c>
      <c r="P2959">
        <v>-1</v>
      </c>
      <c r="T2959" t="s">
        <v>40</v>
      </c>
      <c r="U2959">
        <v>74</v>
      </c>
      <c r="V2959">
        <v>28.950500000000002</v>
      </c>
    </row>
    <row r="2960" spans="1:22" x14ac:dyDescent="0.35">
      <c r="A2960" s="3">
        <v>44238</v>
      </c>
      <c r="B2960" t="s">
        <v>36</v>
      </c>
      <c r="C2960">
        <v>0</v>
      </c>
      <c r="D2960">
        <v>0</v>
      </c>
      <c r="E2960">
        <v>0</v>
      </c>
      <c r="F2960">
        <v>0</v>
      </c>
      <c r="G2960">
        <v>28.55</v>
      </c>
      <c r="H2960">
        <v>0</v>
      </c>
      <c r="I2960">
        <v>0</v>
      </c>
      <c r="J2960">
        <v>0</v>
      </c>
      <c r="K2960">
        <v>0</v>
      </c>
      <c r="L2960">
        <v>175</v>
      </c>
      <c r="M2960">
        <v>251</v>
      </c>
      <c r="N2960" t="s">
        <v>36</v>
      </c>
      <c r="O2960" s="3">
        <v>44489</v>
      </c>
      <c r="P2960">
        <v>-1</v>
      </c>
      <c r="T2960" t="s">
        <v>39</v>
      </c>
      <c r="U2960">
        <v>98</v>
      </c>
      <c r="V2960">
        <v>29.2</v>
      </c>
    </row>
    <row r="2961" spans="1:22" x14ac:dyDescent="0.35">
      <c r="A2961" s="3">
        <v>44238</v>
      </c>
      <c r="B2961" t="s">
        <v>42</v>
      </c>
      <c r="C2961">
        <v>0</v>
      </c>
      <c r="D2961">
        <v>0</v>
      </c>
      <c r="E2961">
        <v>0</v>
      </c>
      <c r="F2961">
        <v>0</v>
      </c>
      <c r="G2961">
        <v>28.691700000000001</v>
      </c>
      <c r="H2961">
        <v>0</v>
      </c>
      <c r="I2961">
        <v>0</v>
      </c>
      <c r="J2961">
        <v>0</v>
      </c>
      <c r="K2961">
        <v>0</v>
      </c>
      <c r="L2961">
        <v>48</v>
      </c>
      <c r="M2961">
        <v>69</v>
      </c>
      <c r="N2961" t="s">
        <v>42</v>
      </c>
      <c r="O2961" s="3">
        <v>44307</v>
      </c>
      <c r="P2961">
        <v>-1</v>
      </c>
      <c r="T2961" t="s">
        <v>38</v>
      </c>
      <c r="U2961">
        <v>118</v>
      </c>
      <c r="V2961">
        <v>28.9438</v>
      </c>
    </row>
    <row r="2962" spans="1:22" x14ac:dyDescent="0.35">
      <c r="A2962" s="3">
        <v>44238</v>
      </c>
      <c r="B2962" t="s">
        <v>40</v>
      </c>
      <c r="C2962">
        <v>0</v>
      </c>
      <c r="D2962">
        <v>0</v>
      </c>
      <c r="E2962">
        <v>0</v>
      </c>
      <c r="F2962">
        <v>0</v>
      </c>
      <c r="G2962">
        <v>29.101600000000001</v>
      </c>
      <c r="H2962">
        <v>0</v>
      </c>
      <c r="I2962">
        <v>0</v>
      </c>
      <c r="J2962">
        <v>0</v>
      </c>
      <c r="K2962">
        <v>0</v>
      </c>
      <c r="L2962">
        <v>87</v>
      </c>
      <c r="M2962">
        <v>125</v>
      </c>
      <c r="N2962" t="s">
        <v>40</v>
      </c>
      <c r="O2962" s="3">
        <v>44363</v>
      </c>
      <c r="P2962">
        <v>-1</v>
      </c>
      <c r="T2962" t="s">
        <v>37</v>
      </c>
      <c r="U2962">
        <v>137</v>
      </c>
      <c r="V2962">
        <v>28.95</v>
      </c>
    </row>
    <row r="2963" spans="1:22" x14ac:dyDescent="0.35">
      <c r="A2963" s="3">
        <v>44238</v>
      </c>
      <c r="B2963" t="s">
        <v>39</v>
      </c>
      <c r="C2963">
        <v>0</v>
      </c>
      <c r="D2963">
        <v>0</v>
      </c>
      <c r="E2963">
        <v>0</v>
      </c>
      <c r="F2963">
        <v>0</v>
      </c>
      <c r="G2963">
        <v>29.05</v>
      </c>
      <c r="H2963">
        <v>0</v>
      </c>
      <c r="I2963">
        <v>0</v>
      </c>
      <c r="J2963">
        <v>0</v>
      </c>
      <c r="K2963">
        <v>0</v>
      </c>
      <c r="L2963">
        <v>111</v>
      </c>
      <c r="M2963">
        <v>160</v>
      </c>
      <c r="N2963" t="s">
        <v>39</v>
      </c>
      <c r="O2963" s="3">
        <v>44398</v>
      </c>
      <c r="P2963">
        <v>-1</v>
      </c>
      <c r="T2963" t="s">
        <v>36</v>
      </c>
      <c r="U2963">
        <v>162</v>
      </c>
      <c r="V2963">
        <v>28.774999999999999</v>
      </c>
    </row>
    <row r="2964" spans="1:22" x14ac:dyDescent="0.35">
      <c r="A2964" s="3">
        <v>44238</v>
      </c>
      <c r="B2964" t="s">
        <v>41</v>
      </c>
      <c r="C2964">
        <v>0</v>
      </c>
      <c r="D2964">
        <v>0</v>
      </c>
      <c r="E2964">
        <v>0</v>
      </c>
      <c r="F2964">
        <v>0</v>
      </c>
      <c r="G2964">
        <v>29.042100000000001</v>
      </c>
      <c r="H2964">
        <v>0</v>
      </c>
      <c r="I2964">
        <v>0</v>
      </c>
      <c r="J2964">
        <v>0</v>
      </c>
      <c r="K2964">
        <v>0</v>
      </c>
      <c r="L2964">
        <v>68</v>
      </c>
      <c r="M2964">
        <v>97</v>
      </c>
      <c r="N2964" t="s">
        <v>41</v>
      </c>
      <c r="O2964" s="3">
        <v>44335</v>
      </c>
      <c r="P2964">
        <v>-1</v>
      </c>
      <c r="T2964" t="s">
        <v>35</v>
      </c>
      <c r="U2964">
        <v>182</v>
      </c>
      <c r="V2964">
        <v>28</v>
      </c>
    </row>
    <row r="2965" spans="1:22" x14ac:dyDescent="0.35">
      <c r="A2965" s="3">
        <v>44237</v>
      </c>
      <c r="B2965" t="s">
        <v>40</v>
      </c>
      <c r="C2965">
        <v>0</v>
      </c>
      <c r="D2965">
        <v>0</v>
      </c>
      <c r="E2965">
        <v>0</v>
      </c>
      <c r="F2965">
        <v>0</v>
      </c>
      <c r="G2965">
        <v>29.2408</v>
      </c>
      <c r="H2965">
        <v>0</v>
      </c>
      <c r="I2965">
        <v>0</v>
      </c>
      <c r="J2965">
        <v>0</v>
      </c>
      <c r="K2965">
        <v>0</v>
      </c>
      <c r="L2965">
        <v>88</v>
      </c>
      <c r="M2965">
        <v>126</v>
      </c>
      <c r="N2965" t="s">
        <v>40</v>
      </c>
      <c r="O2965" s="3">
        <v>44363</v>
      </c>
      <c r="P2965">
        <v>-1</v>
      </c>
      <c r="S2965" s="3">
        <v>44259</v>
      </c>
      <c r="T2965" t="s">
        <v>43</v>
      </c>
      <c r="U2965">
        <v>9</v>
      </c>
      <c r="V2965">
        <v>27.521000000000001</v>
      </c>
    </row>
    <row r="2966" spans="1:22" x14ac:dyDescent="0.35">
      <c r="A2966" s="3">
        <v>44237</v>
      </c>
      <c r="B2966" t="s">
        <v>39</v>
      </c>
      <c r="C2966">
        <v>0</v>
      </c>
      <c r="D2966">
        <v>0</v>
      </c>
      <c r="E2966">
        <v>0</v>
      </c>
      <c r="F2966">
        <v>0</v>
      </c>
      <c r="G2966">
        <v>29.071300000000001</v>
      </c>
      <c r="H2966">
        <v>0</v>
      </c>
      <c r="I2966">
        <v>0</v>
      </c>
      <c r="J2966">
        <v>0</v>
      </c>
      <c r="K2966">
        <v>0</v>
      </c>
      <c r="L2966">
        <v>112</v>
      </c>
      <c r="M2966">
        <v>161</v>
      </c>
      <c r="N2966" t="s">
        <v>39</v>
      </c>
      <c r="O2966" s="3">
        <v>44398</v>
      </c>
      <c r="P2966">
        <v>-1</v>
      </c>
      <c r="T2966" t="s">
        <v>42</v>
      </c>
      <c r="U2966">
        <v>34</v>
      </c>
      <c r="V2966">
        <v>28.9361</v>
      </c>
    </row>
    <row r="2967" spans="1:22" x14ac:dyDescent="0.35">
      <c r="A2967" s="3">
        <v>44237</v>
      </c>
      <c r="B2967" t="s">
        <v>41</v>
      </c>
      <c r="C2967">
        <v>0</v>
      </c>
      <c r="D2967">
        <v>0</v>
      </c>
      <c r="E2967">
        <v>0</v>
      </c>
      <c r="F2967">
        <v>0</v>
      </c>
      <c r="G2967">
        <v>29.200399999999998</v>
      </c>
      <c r="H2967">
        <v>0</v>
      </c>
      <c r="I2967">
        <v>0</v>
      </c>
      <c r="J2967">
        <v>0</v>
      </c>
      <c r="K2967">
        <v>0</v>
      </c>
      <c r="L2967">
        <v>69</v>
      </c>
      <c r="M2967">
        <v>98</v>
      </c>
      <c r="N2967" t="s">
        <v>41</v>
      </c>
      <c r="O2967" s="3">
        <v>44335</v>
      </c>
      <c r="P2967">
        <v>-1</v>
      </c>
      <c r="T2967" t="s">
        <v>41</v>
      </c>
      <c r="U2967">
        <v>54</v>
      </c>
      <c r="V2967">
        <v>29.45</v>
      </c>
    </row>
    <row r="2968" spans="1:22" x14ac:dyDescent="0.35">
      <c r="A2968" s="3">
        <v>44237</v>
      </c>
      <c r="B2968" t="s">
        <v>44</v>
      </c>
      <c r="C2968">
        <v>0</v>
      </c>
      <c r="D2968">
        <v>0</v>
      </c>
      <c r="E2968">
        <v>0</v>
      </c>
      <c r="F2968">
        <v>0</v>
      </c>
      <c r="G2968">
        <v>23.741299999999999</v>
      </c>
      <c r="H2968">
        <v>0</v>
      </c>
      <c r="I2968">
        <v>0</v>
      </c>
      <c r="J2968">
        <v>0</v>
      </c>
      <c r="K2968">
        <v>0</v>
      </c>
      <c r="L2968">
        <v>4</v>
      </c>
      <c r="M2968">
        <v>7</v>
      </c>
      <c r="N2968" t="s">
        <v>44</v>
      </c>
      <c r="O2968" s="3">
        <v>44244</v>
      </c>
      <c r="P2968">
        <v>-1</v>
      </c>
      <c r="T2968" t="s">
        <v>40</v>
      </c>
      <c r="U2968">
        <v>73</v>
      </c>
      <c r="V2968">
        <v>29.555399999999999</v>
      </c>
    </row>
    <row r="2969" spans="1:22" x14ac:dyDescent="0.35">
      <c r="A2969" s="3">
        <v>44237</v>
      </c>
      <c r="B2969" t="s">
        <v>43</v>
      </c>
      <c r="C2969">
        <v>0</v>
      </c>
      <c r="D2969">
        <v>0</v>
      </c>
      <c r="E2969">
        <v>0</v>
      </c>
      <c r="F2969">
        <v>0</v>
      </c>
      <c r="G2969">
        <v>27.285499999999999</v>
      </c>
      <c r="H2969">
        <v>0</v>
      </c>
      <c r="I2969">
        <v>0</v>
      </c>
      <c r="J2969">
        <v>0</v>
      </c>
      <c r="K2969">
        <v>0</v>
      </c>
      <c r="L2969">
        <v>24</v>
      </c>
      <c r="M2969">
        <v>35</v>
      </c>
      <c r="N2969" t="s">
        <v>43</v>
      </c>
      <c r="O2969" s="3">
        <v>44272</v>
      </c>
      <c r="P2969">
        <v>-1</v>
      </c>
      <c r="T2969" t="s">
        <v>39</v>
      </c>
      <c r="U2969">
        <v>97</v>
      </c>
      <c r="V2969">
        <v>29.700299999999999</v>
      </c>
    </row>
    <row r="2970" spans="1:22" x14ac:dyDescent="0.35">
      <c r="A2970" s="3">
        <v>44237</v>
      </c>
      <c r="B2970" t="s">
        <v>38</v>
      </c>
      <c r="C2970">
        <v>0</v>
      </c>
      <c r="D2970">
        <v>0</v>
      </c>
      <c r="E2970">
        <v>0</v>
      </c>
      <c r="F2970">
        <v>0</v>
      </c>
      <c r="G2970">
        <v>28.752099999999999</v>
      </c>
      <c r="H2970">
        <v>0</v>
      </c>
      <c r="I2970">
        <v>0</v>
      </c>
      <c r="J2970">
        <v>0</v>
      </c>
      <c r="K2970">
        <v>0</v>
      </c>
      <c r="L2970">
        <v>132</v>
      </c>
      <c r="M2970">
        <v>189</v>
      </c>
      <c r="N2970" t="s">
        <v>38</v>
      </c>
      <c r="O2970" s="3">
        <v>44426</v>
      </c>
      <c r="P2970">
        <v>-1</v>
      </c>
      <c r="T2970" t="s">
        <v>38</v>
      </c>
      <c r="U2970">
        <v>117</v>
      </c>
      <c r="V2970">
        <v>29.387</v>
      </c>
    </row>
    <row r="2971" spans="1:22" x14ac:dyDescent="0.35">
      <c r="A2971" s="3">
        <v>44237</v>
      </c>
      <c r="B2971" t="s">
        <v>37</v>
      </c>
      <c r="C2971">
        <v>0</v>
      </c>
      <c r="D2971">
        <v>0</v>
      </c>
      <c r="E2971">
        <v>0</v>
      </c>
      <c r="F2971">
        <v>0</v>
      </c>
      <c r="G2971">
        <v>28.6</v>
      </c>
      <c r="H2971">
        <v>0</v>
      </c>
      <c r="I2971">
        <v>0</v>
      </c>
      <c r="J2971">
        <v>0</v>
      </c>
      <c r="K2971">
        <v>0</v>
      </c>
      <c r="L2971">
        <v>151</v>
      </c>
      <c r="M2971">
        <v>217</v>
      </c>
      <c r="N2971" t="s">
        <v>37</v>
      </c>
      <c r="O2971" s="3">
        <v>44454</v>
      </c>
      <c r="P2971">
        <v>-1</v>
      </c>
      <c r="T2971" t="s">
        <v>37</v>
      </c>
      <c r="U2971">
        <v>136</v>
      </c>
      <c r="V2971">
        <v>29.45</v>
      </c>
    </row>
    <row r="2972" spans="1:22" x14ac:dyDescent="0.35">
      <c r="A2972" s="3">
        <v>44237</v>
      </c>
      <c r="B2972" t="s">
        <v>36</v>
      </c>
      <c r="C2972">
        <v>0</v>
      </c>
      <c r="D2972">
        <v>0</v>
      </c>
      <c r="E2972">
        <v>0</v>
      </c>
      <c r="F2972">
        <v>0</v>
      </c>
      <c r="G2972">
        <v>28.475000000000001</v>
      </c>
      <c r="H2972">
        <v>0</v>
      </c>
      <c r="I2972">
        <v>0</v>
      </c>
      <c r="J2972">
        <v>0</v>
      </c>
      <c r="K2972">
        <v>0</v>
      </c>
      <c r="L2972">
        <v>176</v>
      </c>
      <c r="M2972">
        <v>252</v>
      </c>
      <c r="N2972" t="s">
        <v>36</v>
      </c>
      <c r="O2972" s="3">
        <v>44489</v>
      </c>
      <c r="P2972">
        <v>-1</v>
      </c>
      <c r="T2972" t="s">
        <v>36</v>
      </c>
      <c r="U2972">
        <v>161</v>
      </c>
      <c r="V2972">
        <v>29.225000000000001</v>
      </c>
    </row>
    <row r="2973" spans="1:22" x14ac:dyDescent="0.35">
      <c r="A2973" s="3">
        <v>44237</v>
      </c>
      <c r="B2973" t="s">
        <v>42</v>
      </c>
      <c r="C2973">
        <v>0</v>
      </c>
      <c r="D2973">
        <v>0</v>
      </c>
      <c r="E2973">
        <v>0</v>
      </c>
      <c r="F2973">
        <v>0</v>
      </c>
      <c r="G2973">
        <v>28.85</v>
      </c>
      <c r="H2973">
        <v>0</v>
      </c>
      <c r="I2973">
        <v>0</v>
      </c>
      <c r="J2973">
        <v>0</v>
      </c>
      <c r="K2973">
        <v>0</v>
      </c>
      <c r="L2973">
        <v>49</v>
      </c>
      <c r="M2973">
        <v>70</v>
      </c>
      <c r="N2973" t="s">
        <v>42</v>
      </c>
      <c r="O2973" s="3">
        <v>44307</v>
      </c>
      <c r="P2973">
        <v>-1</v>
      </c>
      <c r="T2973" t="s">
        <v>35</v>
      </c>
      <c r="U2973">
        <v>181</v>
      </c>
      <c r="V2973">
        <v>28.824999999999999</v>
      </c>
    </row>
    <row r="2974" spans="1:22" x14ac:dyDescent="0.35">
      <c r="A2974" s="3">
        <v>44236</v>
      </c>
      <c r="B2974" t="s">
        <v>44</v>
      </c>
      <c r="C2974">
        <v>0</v>
      </c>
      <c r="D2974">
        <v>0</v>
      </c>
      <c r="E2974">
        <v>0</v>
      </c>
      <c r="F2974">
        <v>0</v>
      </c>
      <c r="G2974">
        <v>23.702100000000002</v>
      </c>
      <c r="H2974">
        <v>0</v>
      </c>
      <c r="I2974">
        <v>0</v>
      </c>
      <c r="J2974">
        <v>0</v>
      </c>
      <c r="K2974">
        <v>0</v>
      </c>
      <c r="L2974">
        <v>5</v>
      </c>
      <c r="M2974">
        <v>8</v>
      </c>
      <c r="N2974" t="s">
        <v>44</v>
      </c>
      <c r="O2974" s="3">
        <v>44244</v>
      </c>
      <c r="P2974">
        <v>-1</v>
      </c>
      <c r="S2974" s="3">
        <v>44260</v>
      </c>
      <c r="T2974" t="s">
        <v>43</v>
      </c>
      <c r="U2974">
        <v>8</v>
      </c>
      <c r="V2974">
        <v>25.050699999999999</v>
      </c>
    </row>
    <row r="2975" spans="1:22" x14ac:dyDescent="0.35">
      <c r="A2975" s="3">
        <v>44236</v>
      </c>
      <c r="B2975" t="s">
        <v>43</v>
      </c>
      <c r="C2975">
        <v>0</v>
      </c>
      <c r="D2975">
        <v>0</v>
      </c>
      <c r="E2975">
        <v>0</v>
      </c>
      <c r="F2975">
        <v>0</v>
      </c>
      <c r="G2975">
        <v>26.686299999999999</v>
      </c>
      <c r="H2975">
        <v>0</v>
      </c>
      <c r="I2975">
        <v>0</v>
      </c>
      <c r="J2975">
        <v>0</v>
      </c>
      <c r="K2975">
        <v>0</v>
      </c>
      <c r="L2975">
        <v>25</v>
      </c>
      <c r="M2975">
        <v>36</v>
      </c>
      <c r="N2975" t="s">
        <v>43</v>
      </c>
      <c r="O2975" s="3">
        <v>44272</v>
      </c>
      <c r="P2975">
        <v>-1</v>
      </c>
      <c r="T2975" t="s">
        <v>42</v>
      </c>
      <c r="U2975">
        <v>33</v>
      </c>
      <c r="V2975">
        <v>27.211200000000002</v>
      </c>
    </row>
    <row r="2976" spans="1:22" x14ac:dyDescent="0.35">
      <c r="A2976" s="3">
        <v>44236</v>
      </c>
      <c r="B2976" t="s">
        <v>38</v>
      </c>
      <c r="C2976">
        <v>0</v>
      </c>
      <c r="D2976">
        <v>0</v>
      </c>
      <c r="E2976">
        <v>0</v>
      </c>
      <c r="F2976">
        <v>0</v>
      </c>
      <c r="G2976">
        <v>28.3</v>
      </c>
      <c r="H2976">
        <v>0</v>
      </c>
      <c r="I2976">
        <v>0</v>
      </c>
      <c r="J2976">
        <v>0</v>
      </c>
      <c r="K2976">
        <v>0</v>
      </c>
      <c r="L2976">
        <v>133</v>
      </c>
      <c r="M2976">
        <v>190</v>
      </c>
      <c r="N2976" t="s">
        <v>38</v>
      </c>
      <c r="O2976" s="3">
        <v>44426</v>
      </c>
      <c r="P2976">
        <v>-1</v>
      </c>
      <c r="T2976" t="s">
        <v>41</v>
      </c>
      <c r="U2976">
        <v>53</v>
      </c>
      <c r="V2976">
        <v>28.001799999999999</v>
      </c>
    </row>
    <row r="2977" spans="1:22" x14ac:dyDescent="0.35">
      <c r="A2977" s="3">
        <v>44236</v>
      </c>
      <c r="B2977" t="s">
        <v>37</v>
      </c>
      <c r="C2977">
        <v>0</v>
      </c>
      <c r="D2977">
        <v>0</v>
      </c>
      <c r="E2977">
        <v>0</v>
      </c>
      <c r="F2977">
        <v>0</v>
      </c>
      <c r="G2977">
        <v>28.15</v>
      </c>
      <c r="H2977">
        <v>0</v>
      </c>
      <c r="I2977">
        <v>0</v>
      </c>
      <c r="J2977">
        <v>0</v>
      </c>
      <c r="K2977">
        <v>0</v>
      </c>
      <c r="L2977">
        <v>152</v>
      </c>
      <c r="M2977">
        <v>218</v>
      </c>
      <c r="N2977" t="s">
        <v>37</v>
      </c>
      <c r="O2977" s="3">
        <v>44454</v>
      </c>
      <c r="P2977">
        <v>-1</v>
      </c>
      <c r="T2977" t="s">
        <v>40</v>
      </c>
      <c r="U2977">
        <v>72</v>
      </c>
      <c r="V2977">
        <v>28.346599999999999</v>
      </c>
    </row>
    <row r="2978" spans="1:22" x14ac:dyDescent="0.35">
      <c r="A2978" s="3">
        <v>44236</v>
      </c>
      <c r="B2978" t="s">
        <v>36</v>
      </c>
      <c r="C2978">
        <v>0</v>
      </c>
      <c r="D2978">
        <v>0</v>
      </c>
      <c r="E2978">
        <v>0</v>
      </c>
      <c r="F2978">
        <v>0</v>
      </c>
      <c r="G2978">
        <v>28.15</v>
      </c>
      <c r="H2978">
        <v>0</v>
      </c>
      <c r="I2978">
        <v>0</v>
      </c>
      <c r="J2978">
        <v>0</v>
      </c>
      <c r="K2978">
        <v>0</v>
      </c>
      <c r="L2978">
        <v>177</v>
      </c>
      <c r="M2978">
        <v>253</v>
      </c>
      <c r="N2978" t="s">
        <v>36</v>
      </c>
      <c r="O2978" s="3">
        <v>44489</v>
      </c>
      <c r="P2978">
        <v>-1</v>
      </c>
      <c r="T2978" t="s">
        <v>39</v>
      </c>
      <c r="U2978">
        <v>96</v>
      </c>
      <c r="V2978">
        <v>28.596</v>
      </c>
    </row>
    <row r="2979" spans="1:22" x14ac:dyDescent="0.35">
      <c r="A2979" s="3">
        <v>44236</v>
      </c>
      <c r="B2979" t="s">
        <v>42</v>
      </c>
      <c r="C2979">
        <v>0</v>
      </c>
      <c r="D2979">
        <v>0</v>
      </c>
      <c r="E2979">
        <v>0</v>
      </c>
      <c r="F2979">
        <v>0</v>
      </c>
      <c r="G2979">
        <v>28.145199999999999</v>
      </c>
      <c r="H2979">
        <v>0</v>
      </c>
      <c r="I2979">
        <v>0</v>
      </c>
      <c r="J2979">
        <v>0</v>
      </c>
      <c r="K2979">
        <v>0</v>
      </c>
      <c r="L2979">
        <v>50</v>
      </c>
      <c r="M2979">
        <v>71</v>
      </c>
      <c r="N2979" t="s">
        <v>42</v>
      </c>
      <c r="O2979" s="3">
        <v>44307</v>
      </c>
      <c r="P2979">
        <v>-1</v>
      </c>
      <c r="T2979" t="s">
        <v>38</v>
      </c>
      <c r="U2979">
        <v>116</v>
      </c>
      <c r="V2979">
        <v>28.351700000000001</v>
      </c>
    </row>
    <row r="2980" spans="1:22" x14ac:dyDescent="0.35">
      <c r="A2980" s="3">
        <v>44236</v>
      </c>
      <c r="B2980" t="s">
        <v>40</v>
      </c>
      <c r="C2980">
        <v>0</v>
      </c>
      <c r="D2980">
        <v>0</v>
      </c>
      <c r="E2980">
        <v>0</v>
      </c>
      <c r="F2980">
        <v>0</v>
      </c>
      <c r="G2980">
        <v>28.596499999999999</v>
      </c>
      <c r="H2980">
        <v>0</v>
      </c>
      <c r="I2980">
        <v>0</v>
      </c>
      <c r="J2980">
        <v>0</v>
      </c>
      <c r="K2980">
        <v>0</v>
      </c>
      <c r="L2980">
        <v>89</v>
      </c>
      <c r="M2980">
        <v>127</v>
      </c>
      <c r="N2980" t="s">
        <v>40</v>
      </c>
      <c r="O2980" s="3">
        <v>44363</v>
      </c>
      <c r="P2980">
        <v>-1</v>
      </c>
      <c r="T2980" t="s">
        <v>37</v>
      </c>
      <c r="U2980">
        <v>135</v>
      </c>
      <c r="V2980">
        <v>28.4</v>
      </c>
    </row>
    <row r="2981" spans="1:22" x14ac:dyDescent="0.35">
      <c r="A2981" s="3">
        <v>44236</v>
      </c>
      <c r="B2981" t="s">
        <v>39</v>
      </c>
      <c r="C2981">
        <v>0</v>
      </c>
      <c r="D2981">
        <v>0</v>
      </c>
      <c r="E2981">
        <v>0</v>
      </c>
      <c r="F2981">
        <v>0</v>
      </c>
      <c r="G2981">
        <v>28.5931</v>
      </c>
      <c r="H2981">
        <v>0</v>
      </c>
      <c r="I2981">
        <v>0</v>
      </c>
      <c r="J2981">
        <v>0</v>
      </c>
      <c r="K2981">
        <v>0</v>
      </c>
      <c r="L2981">
        <v>113</v>
      </c>
      <c r="M2981">
        <v>162</v>
      </c>
      <c r="N2981" t="s">
        <v>39</v>
      </c>
      <c r="O2981" s="3">
        <v>44398</v>
      </c>
      <c r="P2981">
        <v>-1</v>
      </c>
      <c r="T2981" t="s">
        <v>36</v>
      </c>
      <c r="U2981">
        <v>160</v>
      </c>
      <c r="V2981">
        <v>28.225000000000001</v>
      </c>
    </row>
    <row r="2982" spans="1:22" x14ac:dyDescent="0.35">
      <c r="A2982" s="3">
        <v>44236</v>
      </c>
      <c r="B2982" t="s">
        <v>41</v>
      </c>
      <c r="C2982">
        <v>0</v>
      </c>
      <c r="D2982">
        <v>0</v>
      </c>
      <c r="E2982">
        <v>0</v>
      </c>
      <c r="F2982">
        <v>0</v>
      </c>
      <c r="G2982">
        <v>28.5</v>
      </c>
      <c r="H2982">
        <v>0</v>
      </c>
      <c r="I2982">
        <v>0</v>
      </c>
      <c r="J2982">
        <v>0</v>
      </c>
      <c r="K2982">
        <v>0</v>
      </c>
      <c r="L2982">
        <v>70</v>
      </c>
      <c r="M2982">
        <v>99</v>
      </c>
      <c r="N2982" t="s">
        <v>41</v>
      </c>
      <c r="O2982" s="3">
        <v>44335</v>
      </c>
      <c r="P2982">
        <v>-1</v>
      </c>
      <c r="T2982" t="s">
        <v>35</v>
      </c>
      <c r="U2982">
        <v>180</v>
      </c>
      <c r="V2982">
        <v>27.75</v>
      </c>
    </row>
    <row r="2983" spans="1:22" x14ac:dyDescent="0.35">
      <c r="A2983" s="3">
        <v>44235</v>
      </c>
      <c r="B2983" t="s">
        <v>40</v>
      </c>
      <c r="C2983">
        <v>0</v>
      </c>
      <c r="D2983">
        <v>0</v>
      </c>
      <c r="E2983">
        <v>0</v>
      </c>
      <c r="F2983">
        <v>0</v>
      </c>
      <c r="G2983">
        <v>28.2517</v>
      </c>
      <c r="H2983">
        <v>0</v>
      </c>
      <c r="I2983">
        <v>0</v>
      </c>
      <c r="J2983">
        <v>0</v>
      </c>
      <c r="K2983">
        <v>0</v>
      </c>
      <c r="L2983">
        <v>90</v>
      </c>
      <c r="M2983">
        <v>128</v>
      </c>
      <c r="N2983" t="s">
        <v>40</v>
      </c>
      <c r="O2983" s="3">
        <v>44363</v>
      </c>
      <c r="P2983">
        <v>-1</v>
      </c>
      <c r="S2983" s="3">
        <v>44263</v>
      </c>
      <c r="T2983" t="s">
        <v>43</v>
      </c>
      <c r="U2983">
        <v>7</v>
      </c>
      <c r="V2983">
        <v>25.366700000000002</v>
      </c>
    </row>
    <row r="2984" spans="1:22" x14ac:dyDescent="0.35">
      <c r="A2984" s="3">
        <v>44235</v>
      </c>
      <c r="B2984" t="s">
        <v>39</v>
      </c>
      <c r="C2984">
        <v>0</v>
      </c>
      <c r="D2984">
        <v>0</v>
      </c>
      <c r="E2984">
        <v>0</v>
      </c>
      <c r="F2984">
        <v>0</v>
      </c>
      <c r="G2984">
        <v>28.3</v>
      </c>
      <c r="H2984">
        <v>0</v>
      </c>
      <c r="I2984">
        <v>0</v>
      </c>
      <c r="J2984">
        <v>0</v>
      </c>
      <c r="K2984">
        <v>0</v>
      </c>
      <c r="L2984">
        <v>114</v>
      </c>
      <c r="M2984">
        <v>163</v>
      </c>
      <c r="N2984" t="s">
        <v>39</v>
      </c>
      <c r="O2984" s="3">
        <v>44398</v>
      </c>
      <c r="P2984">
        <v>-1</v>
      </c>
      <c r="T2984" t="s">
        <v>42</v>
      </c>
      <c r="U2984">
        <v>32</v>
      </c>
      <c r="V2984">
        <v>27.665700000000001</v>
      </c>
    </row>
    <row r="2985" spans="1:22" x14ac:dyDescent="0.35">
      <c r="A2985" s="3">
        <v>44235</v>
      </c>
      <c r="B2985" t="s">
        <v>41</v>
      </c>
      <c r="C2985">
        <v>0</v>
      </c>
      <c r="D2985">
        <v>0</v>
      </c>
      <c r="E2985">
        <v>0</v>
      </c>
      <c r="F2985">
        <v>0</v>
      </c>
      <c r="G2985">
        <v>28.1</v>
      </c>
      <c r="H2985">
        <v>0</v>
      </c>
      <c r="I2985">
        <v>0</v>
      </c>
      <c r="J2985">
        <v>0</v>
      </c>
      <c r="K2985">
        <v>0</v>
      </c>
      <c r="L2985">
        <v>71</v>
      </c>
      <c r="M2985">
        <v>100</v>
      </c>
      <c r="N2985" t="s">
        <v>41</v>
      </c>
      <c r="O2985" s="3">
        <v>44335</v>
      </c>
      <c r="P2985">
        <v>-1</v>
      </c>
      <c r="T2985" t="s">
        <v>41</v>
      </c>
      <c r="U2985">
        <v>52</v>
      </c>
      <c r="V2985">
        <v>28.5</v>
      </c>
    </row>
    <row r="2986" spans="1:22" x14ac:dyDescent="0.35">
      <c r="A2986" s="3">
        <v>44235</v>
      </c>
      <c r="B2986" t="s">
        <v>44</v>
      </c>
      <c r="C2986">
        <v>0</v>
      </c>
      <c r="D2986">
        <v>0</v>
      </c>
      <c r="E2986">
        <v>0</v>
      </c>
      <c r="F2986">
        <v>0</v>
      </c>
      <c r="G2986">
        <v>23.837900000000001</v>
      </c>
      <c r="H2986">
        <v>0</v>
      </c>
      <c r="I2986">
        <v>0</v>
      </c>
      <c r="J2986">
        <v>0</v>
      </c>
      <c r="K2986">
        <v>0</v>
      </c>
      <c r="L2986">
        <v>6</v>
      </c>
      <c r="M2986">
        <v>9</v>
      </c>
      <c r="N2986" t="s">
        <v>44</v>
      </c>
      <c r="O2986" s="3">
        <v>44244</v>
      </c>
      <c r="P2986">
        <v>-1</v>
      </c>
      <c r="T2986" t="s">
        <v>40</v>
      </c>
      <c r="U2986">
        <v>71</v>
      </c>
      <c r="V2986">
        <v>28.803000000000001</v>
      </c>
    </row>
    <row r="2987" spans="1:22" x14ac:dyDescent="0.35">
      <c r="A2987" s="3">
        <v>44235</v>
      </c>
      <c r="B2987" t="s">
        <v>43</v>
      </c>
      <c r="C2987">
        <v>0</v>
      </c>
      <c r="D2987">
        <v>0</v>
      </c>
      <c r="E2987">
        <v>0</v>
      </c>
      <c r="F2987">
        <v>0</v>
      </c>
      <c r="G2987">
        <v>26.548400000000001</v>
      </c>
      <c r="H2987">
        <v>0</v>
      </c>
      <c r="I2987">
        <v>0</v>
      </c>
      <c r="J2987">
        <v>0</v>
      </c>
      <c r="K2987">
        <v>0</v>
      </c>
      <c r="L2987">
        <v>26</v>
      </c>
      <c r="M2987">
        <v>37</v>
      </c>
      <c r="N2987" t="s">
        <v>43</v>
      </c>
      <c r="O2987" s="3">
        <v>44272</v>
      </c>
      <c r="P2987">
        <v>-1</v>
      </c>
      <c r="T2987" t="s">
        <v>39</v>
      </c>
      <c r="U2987">
        <v>95</v>
      </c>
      <c r="V2987">
        <v>29.05</v>
      </c>
    </row>
    <row r="2988" spans="1:22" x14ac:dyDescent="0.35">
      <c r="A2988" s="3">
        <v>44235</v>
      </c>
      <c r="B2988" t="s">
        <v>38</v>
      </c>
      <c r="C2988">
        <v>0</v>
      </c>
      <c r="D2988">
        <v>0</v>
      </c>
      <c r="E2988">
        <v>0</v>
      </c>
      <c r="F2988">
        <v>0</v>
      </c>
      <c r="G2988">
        <v>28.05</v>
      </c>
      <c r="H2988">
        <v>0</v>
      </c>
      <c r="I2988">
        <v>0</v>
      </c>
      <c r="J2988">
        <v>0</v>
      </c>
      <c r="K2988">
        <v>0</v>
      </c>
      <c r="L2988">
        <v>134</v>
      </c>
      <c r="M2988">
        <v>191</v>
      </c>
      <c r="N2988" t="s">
        <v>38</v>
      </c>
      <c r="O2988" s="3">
        <v>44426</v>
      </c>
      <c r="P2988">
        <v>-1</v>
      </c>
      <c r="T2988" t="s">
        <v>38</v>
      </c>
      <c r="U2988">
        <v>115</v>
      </c>
      <c r="V2988">
        <v>28.761099999999999</v>
      </c>
    </row>
    <row r="2989" spans="1:22" x14ac:dyDescent="0.35">
      <c r="A2989" s="3">
        <v>44235</v>
      </c>
      <c r="B2989" t="s">
        <v>37</v>
      </c>
      <c r="C2989">
        <v>0</v>
      </c>
      <c r="D2989">
        <v>0</v>
      </c>
      <c r="E2989">
        <v>0</v>
      </c>
      <c r="F2989">
        <v>0</v>
      </c>
      <c r="G2989">
        <v>27.975000000000001</v>
      </c>
      <c r="H2989">
        <v>0</v>
      </c>
      <c r="I2989">
        <v>0</v>
      </c>
      <c r="J2989">
        <v>0</v>
      </c>
      <c r="K2989">
        <v>0</v>
      </c>
      <c r="L2989">
        <v>153</v>
      </c>
      <c r="M2989">
        <v>219</v>
      </c>
      <c r="N2989" t="s">
        <v>37</v>
      </c>
      <c r="O2989" s="3">
        <v>44454</v>
      </c>
      <c r="P2989">
        <v>-1</v>
      </c>
      <c r="T2989" t="s">
        <v>37</v>
      </c>
      <c r="U2989">
        <v>134</v>
      </c>
      <c r="V2989">
        <v>28.8</v>
      </c>
    </row>
    <row r="2990" spans="1:22" x14ac:dyDescent="0.35">
      <c r="A2990" s="3">
        <v>44235</v>
      </c>
      <c r="B2990" t="s">
        <v>36</v>
      </c>
      <c r="C2990">
        <v>0</v>
      </c>
      <c r="D2990">
        <v>0</v>
      </c>
      <c r="E2990">
        <v>0</v>
      </c>
      <c r="F2990">
        <v>0</v>
      </c>
      <c r="G2990">
        <v>27.975000000000001</v>
      </c>
      <c r="H2990">
        <v>0</v>
      </c>
      <c r="I2990">
        <v>0</v>
      </c>
      <c r="J2990">
        <v>0</v>
      </c>
      <c r="K2990">
        <v>0</v>
      </c>
      <c r="L2990">
        <v>178</v>
      </c>
      <c r="M2990">
        <v>254</v>
      </c>
      <c r="N2990" t="s">
        <v>36</v>
      </c>
      <c r="O2990" s="3">
        <v>44489</v>
      </c>
      <c r="P2990">
        <v>-1</v>
      </c>
      <c r="T2990" t="s">
        <v>36</v>
      </c>
      <c r="U2990">
        <v>159</v>
      </c>
      <c r="V2990">
        <v>28.55</v>
      </c>
    </row>
    <row r="2991" spans="1:22" x14ac:dyDescent="0.35">
      <c r="A2991" s="3">
        <v>44235</v>
      </c>
      <c r="B2991" t="s">
        <v>42</v>
      </c>
      <c r="C2991">
        <v>0</v>
      </c>
      <c r="D2991">
        <v>0</v>
      </c>
      <c r="E2991">
        <v>0</v>
      </c>
      <c r="F2991">
        <v>0</v>
      </c>
      <c r="G2991">
        <v>27.8415</v>
      </c>
      <c r="H2991">
        <v>0</v>
      </c>
      <c r="I2991">
        <v>0</v>
      </c>
      <c r="J2991">
        <v>0</v>
      </c>
      <c r="K2991">
        <v>0</v>
      </c>
      <c r="L2991">
        <v>51</v>
      </c>
      <c r="M2991">
        <v>72</v>
      </c>
      <c r="N2991" t="s">
        <v>42</v>
      </c>
      <c r="O2991" s="3">
        <v>44307</v>
      </c>
      <c r="P2991">
        <v>-1</v>
      </c>
      <c r="T2991" t="s">
        <v>35</v>
      </c>
      <c r="U2991">
        <v>179</v>
      </c>
      <c r="V2991">
        <v>27.774999999999999</v>
      </c>
    </row>
    <row r="2992" spans="1:22" x14ac:dyDescent="0.35">
      <c r="A2992" s="3">
        <v>44232</v>
      </c>
      <c r="B2992" t="s">
        <v>44</v>
      </c>
      <c r="C2992">
        <v>0</v>
      </c>
      <c r="D2992">
        <v>0</v>
      </c>
      <c r="E2992">
        <v>0</v>
      </c>
      <c r="F2992">
        <v>0</v>
      </c>
      <c r="G2992">
        <v>24.099299999999999</v>
      </c>
      <c r="H2992">
        <v>0</v>
      </c>
      <c r="I2992">
        <v>0</v>
      </c>
      <c r="J2992">
        <v>0</v>
      </c>
      <c r="K2992">
        <v>0</v>
      </c>
      <c r="L2992">
        <v>7</v>
      </c>
      <c r="M2992">
        <v>12</v>
      </c>
      <c r="N2992" t="s">
        <v>44</v>
      </c>
      <c r="O2992" s="3">
        <v>44244</v>
      </c>
      <c r="P2992">
        <v>-1</v>
      </c>
      <c r="S2992" s="3">
        <v>44264</v>
      </c>
      <c r="T2992" t="s">
        <v>43</v>
      </c>
      <c r="U2992">
        <v>6</v>
      </c>
      <c r="V2992">
        <v>23.9726</v>
      </c>
    </row>
    <row r="2993" spans="1:22" x14ac:dyDescent="0.35">
      <c r="A2993" s="3">
        <v>44232</v>
      </c>
      <c r="B2993" t="s">
        <v>43</v>
      </c>
      <c r="C2993">
        <v>0</v>
      </c>
      <c r="D2993">
        <v>0</v>
      </c>
      <c r="E2993">
        <v>0</v>
      </c>
      <c r="F2993">
        <v>0</v>
      </c>
      <c r="G2993">
        <v>26.65</v>
      </c>
      <c r="H2993">
        <v>0</v>
      </c>
      <c r="I2993">
        <v>0</v>
      </c>
      <c r="J2993">
        <v>0</v>
      </c>
      <c r="K2993">
        <v>0</v>
      </c>
      <c r="L2993">
        <v>27</v>
      </c>
      <c r="M2993">
        <v>40</v>
      </c>
      <c r="N2993" t="s">
        <v>43</v>
      </c>
      <c r="O2993" s="3">
        <v>44272</v>
      </c>
      <c r="P2993">
        <v>-1</v>
      </c>
      <c r="T2993" t="s">
        <v>42</v>
      </c>
      <c r="U2993">
        <v>31</v>
      </c>
      <c r="V2993">
        <v>26.718800000000002</v>
      </c>
    </row>
    <row r="2994" spans="1:22" x14ac:dyDescent="0.35">
      <c r="A2994" s="3">
        <v>44232</v>
      </c>
      <c r="B2994" t="s">
        <v>38</v>
      </c>
      <c r="C2994">
        <v>0</v>
      </c>
      <c r="D2994">
        <v>0</v>
      </c>
      <c r="E2994">
        <v>0</v>
      </c>
      <c r="F2994">
        <v>0</v>
      </c>
      <c r="G2994">
        <v>27.95</v>
      </c>
      <c r="H2994">
        <v>0</v>
      </c>
      <c r="I2994">
        <v>0</v>
      </c>
      <c r="J2994">
        <v>0</v>
      </c>
      <c r="K2994">
        <v>0</v>
      </c>
      <c r="L2994">
        <v>135</v>
      </c>
      <c r="M2994">
        <v>194</v>
      </c>
      <c r="N2994" t="s">
        <v>38</v>
      </c>
      <c r="O2994" s="3">
        <v>44426</v>
      </c>
      <c r="P2994">
        <v>-1</v>
      </c>
      <c r="T2994" t="s">
        <v>41</v>
      </c>
      <c r="U2994">
        <v>51</v>
      </c>
      <c r="V2994">
        <v>27.8977</v>
      </c>
    </row>
    <row r="2995" spans="1:22" x14ac:dyDescent="0.35">
      <c r="A2995" s="3">
        <v>44232</v>
      </c>
      <c r="B2995" t="s">
        <v>37</v>
      </c>
      <c r="C2995">
        <v>0</v>
      </c>
      <c r="D2995">
        <v>0</v>
      </c>
      <c r="E2995">
        <v>0</v>
      </c>
      <c r="F2995">
        <v>0</v>
      </c>
      <c r="G2995">
        <v>27.9</v>
      </c>
      <c r="H2995">
        <v>0</v>
      </c>
      <c r="I2995">
        <v>0</v>
      </c>
      <c r="J2995">
        <v>0</v>
      </c>
      <c r="K2995">
        <v>0</v>
      </c>
      <c r="L2995">
        <v>154</v>
      </c>
      <c r="M2995">
        <v>222</v>
      </c>
      <c r="N2995" t="s">
        <v>37</v>
      </c>
      <c r="O2995" s="3">
        <v>44454</v>
      </c>
      <c r="P2995">
        <v>-1</v>
      </c>
      <c r="T2995" t="s">
        <v>40</v>
      </c>
      <c r="U2995">
        <v>70</v>
      </c>
      <c r="V2995">
        <v>28.3688</v>
      </c>
    </row>
    <row r="2996" spans="1:22" x14ac:dyDescent="0.35">
      <c r="A2996" s="3">
        <v>44232</v>
      </c>
      <c r="B2996" t="s">
        <v>36</v>
      </c>
      <c r="C2996">
        <v>0</v>
      </c>
      <c r="D2996">
        <v>0</v>
      </c>
      <c r="E2996">
        <v>0</v>
      </c>
      <c r="F2996">
        <v>0</v>
      </c>
      <c r="G2996">
        <v>27.475000000000001</v>
      </c>
      <c r="H2996">
        <v>0</v>
      </c>
      <c r="I2996">
        <v>0</v>
      </c>
      <c r="J2996">
        <v>0</v>
      </c>
      <c r="K2996">
        <v>0</v>
      </c>
      <c r="L2996">
        <v>179</v>
      </c>
      <c r="M2996">
        <v>257</v>
      </c>
      <c r="N2996" t="s">
        <v>36</v>
      </c>
      <c r="O2996" s="3">
        <v>44489</v>
      </c>
      <c r="P2996">
        <v>-1</v>
      </c>
      <c r="T2996" t="s">
        <v>39</v>
      </c>
      <c r="U2996">
        <v>94</v>
      </c>
      <c r="V2996">
        <v>28.8416</v>
      </c>
    </row>
    <row r="2997" spans="1:22" x14ac:dyDescent="0.35">
      <c r="A2997" s="3">
        <v>44232</v>
      </c>
      <c r="B2997" t="s">
        <v>42</v>
      </c>
      <c r="C2997">
        <v>0</v>
      </c>
      <c r="D2997">
        <v>0</v>
      </c>
      <c r="E2997">
        <v>0</v>
      </c>
      <c r="F2997">
        <v>0</v>
      </c>
      <c r="G2997">
        <v>27.844000000000001</v>
      </c>
      <c r="H2997">
        <v>0</v>
      </c>
      <c r="I2997">
        <v>0</v>
      </c>
      <c r="J2997">
        <v>0</v>
      </c>
      <c r="K2997">
        <v>0</v>
      </c>
      <c r="L2997">
        <v>52</v>
      </c>
      <c r="M2997">
        <v>75</v>
      </c>
      <c r="N2997" t="s">
        <v>42</v>
      </c>
      <c r="O2997" s="3">
        <v>44307</v>
      </c>
      <c r="P2997">
        <v>-1</v>
      </c>
      <c r="T2997" t="s">
        <v>38</v>
      </c>
      <c r="U2997">
        <v>114</v>
      </c>
      <c r="V2997">
        <v>28.6432</v>
      </c>
    </row>
    <row r="2998" spans="1:22" x14ac:dyDescent="0.35">
      <c r="A2998" s="3">
        <v>44232</v>
      </c>
      <c r="B2998" t="s">
        <v>40</v>
      </c>
      <c r="C2998">
        <v>0</v>
      </c>
      <c r="D2998">
        <v>0</v>
      </c>
      <c r="E2998">
        <v>0</v>
      </c>
      <c r="F2998">
        <v>0</v>
      </c>
      <c r="G2998">
        <v>28.097899999999999</v>
      </c>
      <c r="H2998">
        <v>0</v>
      </c>
      <c r="I2998">
        <v>0</v>
      </c>
      <c r="J2998">
        <v>0</v>
      </c>
      <c r="K2998">
        <v>0</v>
      </c>
      <c r="L2998">
        <v>91</v>
      </c>
      <c r="M2998">
        <v>131</v>
      </c>
      <c r="N2998" t="s">
        <v>40</v>
      </c>
      <c r="O2998" s="3">
        <v>44363</v>
      </c>
      <c r="P2998">
        <v>-1</v>
      </c>
      <c r="T2998" t="s">
        <v>37</v>
      </c>
      <c r="U2998">
        <v>133</v>
      </c>
      <c r="V2998">
        <v>28.7227</v>
      </c>
    </row>
    <row r="2999" spans="1:22" x14ac:dyDescent="0.35">
      <c r="A2999" s="3">
        <v>44232</v>
      </c>
      <c r="B2999" t="s">
        <v>39</v>
      </c>
      <c r="C2999">
        <v>0</v>
      </c>
      <c r="D2999">
        <v>0</v>
      </c>
      <c r="E2999">
        <v>0</v>
      </c>
      <c r="F2999">
        <v>0</v>
      </c>
      <c r="G2999">
        <v>28.2</v>
      </c>
      <c r="H2999">
        <v>0</v>
      </c>
      <c r="I2999">
        <v>0</v>
      </c>
      <c r="J2999">
        <v>0</v>
      </c>
      <c r="K2999">
        <v>0</v>
      </c>
      <c r="L2999">
        <v>115</v>
      </c>
      <c r="M2999">
        <v>166</v>
      </c>
      <c r="N2999" t="s">
        <v>39</v>
      </c>
      <c r="O2999" s="3">
        <v>44398</v>
      </c>
      <c r="P2999">
        <v>-1</v>
      </c>
      <c r="T2999" t="s">
        <v>36</v>
      </c>
      <c r="U2999">
        <v>158</v>
      </c>
      <c r="V2999">
        <v>28.524999999999999</v>
      </c>
    </row>
    <row r="3000" spans="1:22" x14ac:dyDescent="0.35">
      <c r="A3000" s="3">
        <v>44232</v>
      </c>
      <c r="B3000" t="s">
        <v>41</v>
      </c>
      <c r="C3000">
        <v>0</v>
      </c>
      <c r="D3000">
        <v>0</v>
      </c>
      <c r="E3000">
        <v>0</v>
      </c>
      <c r="F3000">
        <v>0</v>
      </c>
      <c r="G3000">
        <v>28.0456</v>
      </c>
      <c r="H3000">
        <v>0</v>
      </c>
      <c r="I3000">
        <v>0</v>
      </c>
      <c r="J3000">
        <v>0</v>
      </c>
      <c r="K3000">
        <v>0</v>
      </c>
      <c r="L3000">
        <v>72</v>
      </c>
      <c r="M3000">
        <v>103</v>
      </c>
      <c r="N3000" t="s">
        <v>41</v>
      </c>
      <c r="O3000" s="3">
        <v>44335</v>
      </c>
      <c r="P3000">
        <v>-1</v>
      </c>
      <c r="T3000" t="s">
        <v>35</v>
      </c>
      <c r="U3000">
        <v>178</v>
      </c>
      <c r="V3000">
        <v>28.1</v>
      </c>
    </row>
    <row r="3001" spans="1:22" x14ac:dyDescent="0.35">
      <c r="A3001" s="3">
        <v>44231</v>
      </c>
      <c r="B3001" t="s">
        <v>40</v>
      </c>
      <c r="C3001">
        <v>0</v>
      </c>
      <c r="D3001">
        <v>0</v>
      </c>
      <c r="E3001">
        <v>0</v>
      </c>
      <c r="F3001">
        <v>0</v>
      </c>
      <c r="G3001">
        <v>27.991800000000001</v>
      </c>
      <c r="H3001">
        <v>0</v>
      </c>
      <c r="I3001">
        <v>0</v>
      </c>
      <c r="J3001">
        <v>0</v>
      </c>
      <c r="K3001">
        <v>0</v>
      </c>
      <c r="L3001">
        <v>92</v>
      </c>
      <c r="M3001">
        <v>132</v>
      </c>
      <c r="N3001" t="s">
        <v>40</v>
      </c>
      <c r="O3001" s="3">
        <v>44363</v>
      </c>
      <c r="P3001">
        <v>-1</v>
      </c>
      <c r="S3001" s="3">
        <v>44265</v>
      </c>
      <c r="T3001" t="s">
        <v>43</v>
      </c>
      <c r="U3001">
        <v>5</v>
      </c>
      <c r="V3001">
        <v>23.504799999999999</v>
      </c>
    </row>
    <row r="3002" spans="1:22" x14ac:dyDescent="0.35">
      <c r="A3002" s="3">
        <v>44231</v>
      </c>
      <c r="B3002" t="s">
        <v>39</v>
      </c>
      <c r="C3002">
        <v>0</v>
      </c>
      <c r="D3002">
        <v>0</v>
      </c>
      <c r="E3002">
        <v>0</v>
      </c>
      <c r="F3002">
        <v>0</v>
      </c>
      <c r="G3002">
        <v>28.097999999999999</v>
      </c>
      <c r="H3002">
        <v>0</v>
      </c>
      <c r="I3002">
        <v>0</v>
      </c>
      <c r="J3002">
        <v>0</v>
      </c>
      <c r="K3002">
        <v>0</v>
      </c>
      <c r="L3002">
        <v>116</v>
      </c>
      <c r="M3002">
        <v>167</v>
      </c>
      <c r="N3002" t="s">
        <v>39</v>
      </c>
      <c r="O3002" s="3">
        <v>44398</v>
      </c>
      <c r="P3002">
        <v>-1</v>
      </c>
      <c r="T3002" t="s">
        <v>42</v>
      </c>
      <c r="U3002">
        <v>30</v>
      </c>
      <c r="V3002">
        <v>26.461600000000001</v>
      </c>
    </row>
    <row r="3003" spans="1:22" x14ac:dyDescent="0.35">
      <c r="A3003" s="3">
        <v>44231</v>
      </c>
      <c r="B3003" t="s">
        <v>41</v>
      </c>
      <c r="C3003">
        <v>0</v>
      </c>
      <c r="D3003">
        <v>0</v>
      </c>
      <c r="E3003">
        <v>0</v>
      </c>
      <c r="F3003">
        <v>0</v>
      </c>
      <c r="G3003">
        <v>28.05</v>
      </c>
      <c r="H3003">
        <v>0</v>
      </c>
      <c r="I3003">
        <v>0</v>
      </c>
      <c r="J3003">
        <v>0</v>
      </c>
      <c r="K3003">
        <v>0</v>
      </c>
      <c r="L3003">
        <v>73</v>
      </c>
      <c r="M3003">
        <v>104</v>
      </c>
      <c r="N3003" t="s">
        <v>41</v>
      </c>
      <c r="O3003" s="3">
        <v>44335</v>
      </c>
      <c r="P3003">
        <v>-1</v>
      </c>
      <c r="T3003" t="s">
        <v>41</v>
      </c>
      <c r="U3003">
        <v>50</v>
      </c>
      <c r="V3003">
        <v>27.799399999999999</v>
      </c>
    </row>
    <row r="3004" spans="1:22" x14ac:dyDescent="0.35">
      <c r="A3004" s="3">
        <v>44231</v>
      </c>
      <c r="B3004" t="s">
        <v>44</v>
      </c>
      <c r="C3004">
        <v>0</v>
      </c>
      <c r="D3004">
        <v>0</v>
      </c>
      <c r="E3004">
        <v>0</v>
      </c>
      <c r="F3004">
        <v>0</v>
      </c>
      <c r="G3004">
        <v>24.227399999999999</v>
      </c>
      <c r="H3004">
        <v>0</v>
      </c>
      <c r="I3004">
        <v>0</v>
      </c>
      <c r="J3004">
        <v>0</v>
      </c>
      <c r="K3004">
        <v>0</v>
      </c>
      <c r="L3004">
        <v>8</v>
      </c>
      <c r="M3004">
        <v>13</v>
      </c>
      <c r="N3004" t="s">
        <v>44</v>
      </c>
      <c r="O3004" s="3">
        <v>44244</v>
      </c>
      <c r="P3004">
        <v>-1</v>
      </c>
      <c r="T3004" t="s">
        <v>40</v>
      </c>
      <c r="U3004">
        <v>69</v>
      </c>
      <c r="V3004">
        <v>28.2118</v>
      </c>
    </row>
    <row r="3005" spans="1:22" x14ac:dyDescent="0.35">
      <c r="A3005" s="3">
        <v>44231</v>
      </c>
      <c r="B3005" t="s">
        <v>43</v>
      </c>
      <c r="C3005">
        <v>0</v>
      </c>
      <c r="D3005">
        <v>0</v>
      </c>
      <c r="E3005">
        <v>0</v>
      </c>
      <c r="F3005">
        <v>0</v>
      </c>
      <c r="G3005">
        <v>26.743600000000001</v>
      </c>
      <c r="H3005">
        <v>0</v>
      </c>
      <c r="I3005">
        <v>0</v>
      </c>
      <c r="J3005">
        <v>0</v>
      </c>
      <c r="K3005">
        <v>0</v>
      </c>
      <c r="L3005">
        <v>28</v>
      </c>
      <c r="M3005">
        <v>41</v>
      </c>
      <c r="N3005" t="s">
        <v>43</v>
      </c>
      <c r="O3005" s="3">
        <v>44272</v>
      </c>
      <c r="P3005">
        <v>-1</v>
      </c>
      <c r="T3005" t="s">
        <v>39</v>
      </c>
      <c r="U3005">
        <v>93</v>
      </c>
      <c r="V3005">
        <v>28.564800000000002</v>
      </c>
    </row>
    <row r="3006" spans="1:22" x14ac:dyDescent="0.35">
      <c r="A3006" s="3">
        <v>44231</v>
      </c>
      <c r="B3006" t="s">
        <v>38</v>
      </c>
      <c r="C3006">
        <v>0</v>
      </c>
      <c r="D3006">
        <v>0</v>
      </c>
      <c r="E3006">
        <v>0</v>
      </c>
      <c r="F3006">
        <v>0</v>
      </c>
      <c r="G3006">
        <v>27.866700000000002</v>
      </c>
      <c r="H3006">
        <v>0</v>
      </c>
      <c r="I3006">
        <v>0</v>
      </c>
      <c r="J3006">
        <v>0</v>
      </c>
      <c r="K3006">
        <v>0</v>
      </c>
      <c r="L3006">
        <v>136</v>
      </c>
      <c r="M3006">
        <v>195</v>
      </c>
      <c r="N3006" t="s">
        <v>38</v>
      </c>
      <c r="O3006" s="3">
        <v>44426</v>
      </c>
      <c r="P3006">
        <v>-1</v>
      </c>
      <c r="T3006" t="s">
        <v>38</v>
      </c>
      <c r="U3006">
        <v>113</v>
      </c>
      <c r="V3006">
        <v>28.401399999999999</v>
      </c>
    </row>
    <row r="3007" spans="1:22" x14ac:dyDescent="0.35">
      <c r="A3007" s="3">
        <v>44231</v>
      </c>
      <c r="B3007" t="s">
        <v>37</v>
      </c>
      <c r="C3007">
        <v>0</v>
      </c>
      <c r="D3007">
        <v>0</v>
      </c>
      <c r="E3007">
        <v>0</v>
      </c>
      <c r="F3007">
        <v>0</v>
      </c>
      <c r="G3007">
        <v>27.9</v>
      </c>
      <c r="H3007">
        <v>0</v>
      </c>
      <c r="I3007">
        <v>0</v>
      </c>
      <c r="J3007">
        <v>0</v>
      </c>
      <c r="K3007">
        <v>0</v>
      </c>
      <c r="L3007">
        <v>155</v>
      </c>
      <c r="M3007">
        <v>223</v>
      </c>
      <c r="N3007" t="s">
        <v>37</v>
      </c>
      <c r="O3007" s="3">
        <v>44454</v>
      </c>
      <c r="P3007">
        <v>-1</v>
      </c>
      <c r="T3007" t="s">
        <v>37</v>
      </c>
      <c r="U3007">
        <v>132</v>
      </c>
      <c r="V3007">
        <v>28.504200000000001</v>
      </c>
    </row>
    <row r="3008" spans="1:22" x14ac:dyDescent="0.35">
      <c r="A3008" s="3">
        <v>44231</v>
      </c>
      <c r="B3008" t="s">
        <v>36</v>
      </c>
      <c r="C3008">
        <v>0</v>
      </c>
      <c r="D3008">
        <v>0</v>
      </c>
      <c r="E3008">
        <v>0</v>
      </c>
      <c r="F3008">
        <v>0</v>
      </c>
      <c r="G3008">
        <v>29.75</v>
      </c>
      <c r="H3008">
        <v>0</v>
      </c>
      <c r="I3008">
        <v>0</v>
      </c>
      <c r="J3008">
        <v>0</v>
      </c>
      <c r="K3008">
        <v>0</v>
      </c>
      <c r="L3008">
        <v>180</v>
      </c>
      <c r="M3008">
        <v>258</v>
      </c>
      <c r="N3008" t="s">
        <v>36</v>
      </c>
      <c r="O3008" s="3">
        <v>44489</v>
      </c>
      <c r="P3008">
        <v>-1</v>
      </c>
      <c r="T3008" t="s">
        <v>36</v>
      </c>
      <c r="U3008">
        <v>157</v>
      </c>
      <c r="V3008">
        <v>28.35</v>
      </c>
    </row>
    <row r="3009" spans="1:22" x14ac:dyDescent="0.35">
      <c r="A3009" s="3">
        <v>44231</v>
      </c>
      <c r="B3009" t="s">
        <v>42</v>
      </c>
      <c r="C3009">
        <v>0</v>
      </c>
      <c r="D3009">
        <v>0</v>
      </c>
      <c r="E3009">
        <v>0</v>
      </c>
      <c r="F3009">
        <v>0</v>
      </c>
      <c r="G3009">
        <v>27.893699999999999</v>
      </c>
      <c r="H3009">
        <v>0</v>
      </c>
      <c r="I3009">
        <v>0</v>
      </c>
      <c r="J3009">
        <v>0</v>
      </c>
      <c r="K3009">
        <v>0</v>
      </c>
      <c r="L3009">
        <v>53</v>
      </c>
      <c r="M3009">
        <v>76</v>
      </c>
      <c r="N3009" t="s">
        <v>42</v>
      </c>
      <c r="O3009" s="3">
        <v>44307</v>
      </c>
      <c r="P3009">
        <v>-1</v>
      </c>
      <c r="T3009" t="s">
        <v>35</v>
      </c>
      <c r="U3009">
        <v>177</v>
      </c>
      <c r="V3009">
        <v>27.8</v>
      </c>
    </row>
    <row r="3010" spans="1:22" x14ac:dyDescent="0.35">
      <c r="A3010" s="3">
        <v>44230</v>
      </c>
      <c r="B3010" t="s">
        <v>44</v>
      </c>
      <c r="C3010">
        <v>0</v>
      </c>
      <c r="D3010">
        <v>0</v>
      </c>
      <c r="E3010">
        <v>0</v>
      </c>
      <c r="F3010">
        <v>0</v>
      </c>
      <c r="G3010">
        <v>25.779399999999999</v>
      </c>
      <c r="H3010">
        <v>0</v>
      </c>
      <c r="I3010">
        <v>0</v>
      </c>
      <c r="J3010">
        <v>0</v>
      </c>
      <c r="K3010">
        <v>0</v>
      </c>
      <c r="L3010">
        <v>9</v>
      </c>
      <c r="M3010">
        <v>14</v>
      </c>
      <c r="N3010" t="s">
        <v>44</v>
      </c>
      <c r="O3010" s="3">
        <v>44244</v>
      </c>
      <c r="P3010">
        <v>-1</v>
      </c>
      <c r="S3010" s="3">
        <v>44266</v>
      </c>
      <c r="T3010" t="s">
        <v>43</v>
      </c>
      <c r="U3010">
        <v>4</v>
      </c>
      <c r="V3010">
        <v>22.888200000000001</v>
      </c>
    </row>
    <row r="3011" spans="1:22" x14ac:dyDescent="0.35">
      <c r="A3011" s="3">
        <v>44230</v>
      </c>
      <c r="B3011" t="s">
        <v>43</v>
      </c>
      <c r="C3011">
        <v>0</v>
      </c>
      <c r="D3011">
        <v>0</v>
      </c>
      <c r="E3011">
        <v>0</v>
      </c>
      <c r="F3011">
        <v>0</v>
      </c>
      <c r="G3011">
        <v>27.651399999999999</v>
      </c>
      <c r="H3011">
        <v>0</v>
      </c>
      <c r="I3011">
        <v>0</v>
      </c>
      <c r="J3011">
        <v>0</v>
      </c>
      <c r="K3011">
        <v>0</v>
      </c>
      <c r="L3011">
        <v>29</v>
      </c>
      <c r="M3011">
        <v>42</v>
      </c>
      <c r="N3011" t="s">
        <v>43</v>
      </c>
      <c r="O3011" s="3">
        <v>44272</v>
      </c>
      <c r="P3011">
        <v>-1</v>
      </c>
      <c r="T3011" t="s">
        <v>42</v>
      </c>
      <c r="U3011">
        <v>29</v>
      </c>
      <c r="V3011">
        <v>25.801300000000001</v>
      </c>
    </row>
    <row r="3012" spans="1:22" x14ac:dyDescent="0.35">
      <c r="A3012" s="3">
        <v>44230</v>
      </c>
      <c r="B3012" t="s">
        <v>38</v>
      </c>
      <c r="C3012">
        <v>0</v>
      </c>
      <c r="D3012">
        <v>0</v>
      </c>
      <c r="E3012">
        <v>0</v>
      </c>
      <c r="F3012">
        <v>0</v>
      </c>
      <c r="G3012">
        <v>28</v>
      </c>
      <c r="H3012">
        <v>0</v>
      </c>
      <c r="I3012">
        <v>0</v>
      </c>
      <c r="J3012">
        <v>0</v>
      </c>
      <c r="K3012">
        <v>0</v>
      </c>
      <c r="L3012">
        <v>137</v>
      </c>
      <c r="M3012">
        <v>196</v>
      </c>
      <c r="N3012" t="s">
        <v>38</v>
      </c>
      <c r="O3012" s="3">
        <v>44426</v>
      </c>
      <c r="P3012">
        <v>-1</v>
      </c>
      <c r="T3012" t="s">
        <v>41</v>
      </c>
      <c r="U3012">
        <v>49</v>
      </c>
      <c r="V3012">
        <v>27.193200000000001</v>
      </c>
    </row>
    <row r="3013" spans="1:22" x14ac:dyDescent="0.35">
      <c r="A3013" s="3">
        <v>44230</v>
      </c>
      <c r="B3013" t="s">
        <v>37</v>
      </c>
      <c r="C3013">
        <v>0</v>
      </c>
      <c r="D3013">
        <v>0</v>
      </c>
      <c r="E3013">
        <v>0</v>
      </c>
      <c r="F3013">
        <v>0</v>
      </c>
      <c r="G3013">
        <v>28.125</v>
      </c>
      <c r="H3013">
        <v>0</v>
      </c>
      <c r="I3013">
        <v>0</v>
      </c>
      <c r="J3013">
        <v>0</v>
      </c>
      <c r="K3013">
        <v>0</v>
      </c>
      <c r="L3013">
        <v>156</v>
      </c>
      <c r="M3013">
        <v>224</v>
      </c>
      <c r="N3013" t="s">
        <v>37</v>
      </c>
      <c r="O3013" s="3">
        <v>44454</v>
      </c>
      <c r="P3013">
        <v>-1</v>
      </c>
      <c r="T3013" t="s">
        <v>40</v>
      </c>
      <c r="U3013">
        <v>68</v>
      </c>
      <c r="V3013">
        <v>27.706600000000002</v>
      </c>
    </row>
    <row r="3014" spans="1:22" x14ac:dyDescent="0.35">
      <c r="A3014" s="3">
        <v>44230</v>
      </c>
      <c r="B3014" t="s">
        <v>36</v>
      </c>
      <c r="C3014">
        <v>0</v>
      </c>
      <c r="D3014">
        <v>0</v>
      </c>
      <c r="E3014">
        <v>0</v>
      </c>
      <c r="F3014">
        <v>0</v>
      </c>
      <c r="G3014">
        <v>29.75</v>
      </c>
      <c r="H3014">
        <v>0</v>
      </c>
      <c r="I3014">
        <v>0</v>
      </c>
      <c r="J3014">
        <v>0</v>
      </c>
      <c r="K3014">
        <v>0</v>
      </c>
      <c r="L3014">
        <v>181</v>
      </c>
      <c r="M3014">
        <v>259</v>
      </c>
      <c r="N3014" t="s">
        <v>36</v>
      </c>
      <c r="O3014" s="3">
        <v>44489</v>
      </c>
      <c r="P3014">
        <v>-1</v>
      </c>
      <c r="T3014" t="s">
        <v>39</v>
      </c>
      <c r="U3014">
        <v>92</v>
      </c>
      <c r="V3014">
        <v>28.197800000000001</v>
      </c>
    </row>
    <row r="3015" spans="1:22" x14ac:dyDescent="0.35">
      <c r="A3015" s="3">
        <v>44230</v>
      </c>
      <c r="B3015" t="s">
        <v>42</v>
      </c>
      <c r="C3015">
        <v>0</v>
      </c>
      <c r="D3015">
        <v>0</v>
      </c>
      <c r="E3015">
        <v>0</v>
      </c>
      <c r="F3015">
        <v>0</v>
      </c>
      <c r="G3015">
        <v>28.5214</v>
      </c>
      <c r="H3015">
        <v>0</v>
      </c>
      <c r="I3015">
        <v>0</v>
      </c>
      <c r="J3015">
        <v>0</v>
      </c>
      <c r="K3015">
        <v>0</v>
      </c>
      <c r="L3015">
        <v>54</v>
      </c>
      <c r="M3015">
        <v>77</v>
      </c>
      <c r="N3015" t="s">
        <v>42</v>
      </c>
      <c r="O3015" s="3">
        <v>44307</v>
      </c>
      <c r="P3015">
        <v>-1</v>
      </c>
      <c r="T3015" t="s">
        <v>38</v>
      </c>
      <c r="U3015">
        <v>112</v>
      </c>
      <c r="V3015">
        <v>28.06</v>
      </c>
    </row>
    <row r="3016" spans="1:22" x14ac:dyDescent="0.35">
      <c r="A3016" s="3">
        <v>44230</v>
      </c>
      <c r="B3016" t="s">
        <v>40</v>
      </c>
      <c r="C3016">
        <v>0</v>
      </c>
      <c r="D3016">
        <v>0</v>
      </c>
      <c r="E3016">
        <v>0</v>
      </c>
      <c r="F3016">
        <v>0</v>
      </c>
      <c r="G3016">
        <v>28.1661</v>
      </c>
      <c r="H3016">
        <v>0</v>
      </c>
      <c r="I3016">
        <v>0</v>
      </c>
      <c r="J3016">
        <v>0</v>
      </c>
      <c r="K3016">
        <v>0</v>
      </c>
      <c r="L3016">
        <v>93</v>
      </c>
      <c r="M3016">
        <v>133</v>
      </c>
      <c r="N3016" t="s">
        <v>40</v>
      </c>
      <c r="O3016" s="3">
        <v>44363</v>
      </c>
      <c r="P3016">
        <v>-1</v>
      </c>
      <c r="T3016" t="s">
        <v>37</v>
      </c>
      <c r="U3016">
        <v>131</v>
      </c>
      <c r="V3016">
        <v>28.2</v>
      </c>
    </row>
    <row r="3017" spans="1:22" x14ac:dyDescent="0.35">
      <c r="A3017" s="3">
        <v>44230</v>
      </c>
      <c r="B3017" t="s">
        <v>39</v>
      </c>
      <c r="C3017">
        <v>0</v>
      </c>
      <c r="D3017">
        <v>0</v>
      </c>
      <c r="E3017">
        <v>0</v>
      </c>
      <c r="F3017">
        <v>0</v>
      </c>
      <c r="G3017">
        <v>28.258299999999998</v>
      </c>
      <c r="H3017">
        <v>0</v>
      </c>
      <c r="I3017">
        <v>0</v>
      </c>
      <c r="J3017">
        <v>0</v>
      </c>
      <c r="K3017">
        <v>0</v>
      </c>
      <c r="L3017">
        <v>117</v>
      </c>
      <c r="M3017">
        <v>168</v>
      </c>
      <c r="N3017" t="s">
        <v>39</v>
      </c>
      <c r="O3017" s="3">
        <v>44398</v>
      </c>
      <c r="P3017">
        <v>-1</v>
      </c>
      <c r="T3017" t="s">
        <v>36</v>
      </c>
      <c r="U3017">
        <v>156</v>
      </c>
      <c r="V3017">
        <v>28.1</v>
      </c>
    </row>
    <row r="3018" spans="1:22" x14ac:dyDescent="0.35">
      <c r="A3018" s="3">
        <v>44230</v>
      </c>
      <c r="B3018" t="s">
        <v>41</v>
      </c>
      <c r="C3018">
        <v>0</v>
      </c>
      <c r="D3018">
        <v>0</v>
      </c>
      <c r="E3018">
        <v>0</v>
      </c>
      <c r="F3018">
        <v>0</v>
      </c>
      <c r="G3018">
        <v>28.288699999999999</v>
      </c>
      <c r="H3018">
        <v>0</v>
      </c>
      <c r="I3018">
        <v>0</v>
      </c>
      <c r="J3018">
        <v>0</v>
      </c>
      <c r="K3018">
        <v>0</v>
      </c>
      <c r="L3018">
        <v>74</v>
      </c>
      <c r="M3018">
        <v>105</v>
      </c>
      <c r="N3018" t="s">
        <v>41</v>
      </c>
      <c r="O3018" s="3">
        <v>44335</v>
      </c>
      <c r="P3018">
        <v>-1</v>
      </c>
      <c r="T3018" t="s">
        <v>35</v>
      </c>
      <c r="U3018">
        <v>176</v>
      </c>
      <c r="V3018">
        <v>27.625</v>
      </c>
    </row>
    <row r="3019" spans="1:22" x14ac:dyDescent="0.35">
      <c r="A3019" s="3">
        <v>44229</v>
      </c>
      <c r="B3019" t="s">
        <v>40</v>
      </c>
      <c r="C3019">
        <v>0</v>
      </c>
      <c r="D3019">
        <v>0</v>
      </c>
      <c r="E3019">
        <v>0</v>
      </c>
      <c r="F3019">
        <v>0</v>
      </c>
      <c r="G3019">
        <v>28.708300000000001</v>
      </c>
      <c r="H3019">
        <v>0</v>
      </c>
      <c r="I3019">
        <v>0</v>
      </c>
      <c r="J3019">
        <v>0</v>
      </c>
      <c r="K3019">
        <v>0</v>
      </c>
      <c r="L3019">
        <v>94</v>
      </c>
      <c r="M3019">
        <v>134</v>
      </c>
      <c r="N3019" t="s">
        <v>40</v>
      </c>
      <c r="O3019" s="3">
        <v>44363</v>
      </c>
      <c r="P3019">
        <v>-1</v>
      </c>
      <c r="S3019" s="3">
        <v>44267</v>
      </c>
      <c r="T3019" t="s">
        <v>43</v>
      </c>
      <c r="U3019">
        <v>3</v>
      </c>
      <c r="V3019">
        <v>21.977799999999998</v>
      </c>
    </row>
    <row r="3020" spans="1:22" x14ac:dyDescent="0.35">
      <c r="A3020" s="3">
        <v>44229</v>
      </c>
      <c r="B3020" t="s">
        <v>39</v>
      </c>
      <c r="C3020">
        <v>0</v>
      </c>
      <c r="D3020">
        <v>0</v>
      </c>
      <c r="E3020">
        <v>0</v>
      </c>
      <c r="F3020">
        <v>0</v>
      </c>
      <c r="G3020">
        <v>28.761700000000001</v>
      </c>
      <c r="H3020">
        <v>0</v>
      </c>
      <c r="I3020">
        <v>0</v>
      </c>
      <c r="J3020">
        <v>0</v>
      </c>
      <c r="K3020">
        <v>0</v>
      </c>
      <c r="L3020">
        <v>118</v>
      </c>
      <c r="M3020">
        <v>169</v>
      </c>
      <c r="N3020" t="s">
        <v>39</v>
      </c>
      <c r="O3020" s="3">
        <v>44398</v>
      </c>
      <c r="P3020">
        <v>-1</v>
      </c>
      <c r="T3020" t="s">
        <v>42</v>
      </c>
      <c r="U3020">
        <v>28</v>
      </c>
      <c r="V3020">
        <v>25.410900000000002</v>
      </c>
    </row>
    <row r="3021" spans="1:22" x14ac:dyDescent="0.35">
      <c r="A3021" s="3">
        <v>44229</v>
      </c>
      <c r="B3021" t="s">
        <v>41</v>
      </c>
      <c r="C3021">
        <v>0</v>
      </c>
      <c r="D3021">
        <v>0</v>
      </c>
      <c r="E3021">
        <v>0</v>
      </c>
      <c r="F3021">
        <v>0</v>
      </c>
      <c r="G3021">
        <v>28.976199999999999</v>
      </c>
      <c r="H3021">
        <v>0</v>
      </c>
      <c r="I3021">
        <v>0</v>
      </c>
      <c r="J3021">
        <v>0</v>
      </c>
      <c r="K3021">
        <v>0</v>
      </c>
      <c r="L3021">
        <v>75</v>
      </c>
      <c r="M3021">
        <v>106</v>
      </c>
      <c r="N3021" t="s">
        <v>41</v>
      </c>
      <c r="O3021" s="3">
        <v>44335</v>
      </c>
      <c r="P3021">
        <v>-1</v>
      </c>
      <c r="T3021" t="s">
        <v>41</v>
      </c>
      <c r="U3021">
        <v>48</v>
      </c>
      <c r="V3021">
        <v>27.101600000000001</v>
      </c>
    </row>
    <row r="3022" spans="1:22" x14ac:dyDescent="0.35">
      <c r="A3022" s="3">
        <v>44229</v>
      </c>
      <c r="B3022" t="s">
        <v>44</v>
      </c>
      <c r="C3022">
        <v>0</v>
      </c>
      <c r="D3022">
        <v>0</v>
      </c>
      <c r="E3022">
        <v>0</v>
      </c>
      <c r="F3022">
        <v>0</v>
      </c>
      <c r="G3022">
        <v>27.578099999999999</v>
      </c>
      <c r="H3022">
        <v>0</v>
      </c>
      <c r="I3022">
        <v>0</v>
      </c>
      <c r="J3022">
        <v>0</v>
      </c>
      <c r="K3022">
        <v>0</v>
      </c>
      <c r="L3022">
        <v>10</v>
      </c>
      <c r="M3022">
        <v>15</v>
      </c>
      <c r="N3022" t="s">
        <v>44</v>
      </c>
      <c r="O3022" s="3">
        <v>44244</v>
      </c>
      <c r="P3022">
        <v>-1</v>
      </c>
      <c r="T3022" t="s">
        <v>40</v>
      </c>
      <c r="U3022">
        <v>67</v>
      </c>
      <c r="V3022">
        <v>27.758600000000001</v>
      </c>
    </row>
    <row r="3023" spans="1:22" x14ac:dyDescent="0.35">
      <c r="A3023" s="3">
        <v>44229</v>
      </c>
      <c r="B3023" t="s">
        <v>43</v>
      </c>
      <c r="C3023">
        <v>0</v>
      </c>
      <c r="D3023">
        <v>0</v>
      </c>
      <c r="E3023">
        <v>0</v>
      </c>
      <c r="F3023">
        <v>0</v>
      </c>
      <c r="G3023">
        <v>28.7376</v>
      </c>
      <c r="H3023">
        <v>0</v>
      </c>
      <c r="I3023">
        <v>0</v>
      </c>
      <c r="J3023">
        <v>0</v>
      </c>
      <c r="K3023">
        <v>0</v>
      </c>
      <c r="L3023">
        <v>30</v>
      </c>
      <c r="M3023">
        <v>43</v>
      </c>
      <c r="N3023" t="s">
        <v>43</v>
      </c>
      <c r="O3023" s="3">
        <v>44272</v>
      </c>
      <c r="P3023">
        <v>-1</v>
      </c>
      <c r="T3023" t="s">
        <v>39</v>
      </c>
      <c r="U3023">
        <v>91</v>
      </c>
      <c r="V3023">
        <v>28.3</v>
      </c>
    </row>
    <row r="3024" spans="1:22" x14ac:dyDescent="0.35">
      <c r="A3024" s="3">
        <v>44229</v>
      </c>
      <c r="B3024" t="s">
        <v>38</v>
      </c>
      <c r="C3024">
        <v>0</v>
      </c>
      <c r="D3024">
        <v>0</v>
      </c>
      <c r="E3024">
        <v>0</v>
      </c>
      <c r="F3024">
        <v>0</v>
      </c>
      <c r="G3024">
        <v>28.45</v>
      </c>
      <c r="H3024">
        <v>0</v>
      </c>
      <c r="I3024">
        <v>0</v>
      </c>
      <c r="J3024">
        <v>0</v>
      </c>
      <c r="K3024">
        <v>0</v>
      </c>
      <c r="L3024">
        <v>138</v>
      </c>
      <c r="M3024">
        <v>197</v>
      </c>
      <c r="N3024" t="s">
        <v>38</v>
      </c>
      <c r="O3024" s="3">
        <v>44426</v>
      </c>
      <c r="P3024">
        <v>-1</v>
      </c>
      <c r="T3024" t="s">
        <v>38</v>
      </c>
      <c r="U3024">
        <v>111</v>
      </c>
      <c r="V3024">
        <v>28.15</v>
      </c>
    </row>
    <row r="3025" spans="1:22" x14ac:dyDescent="0.35">
      <c r="A3025" s="3">
        <v>44229</v>
      </c>
      <c r="B3025" t="s">
        <v>37</v>
      </c>
      <c r="C3025">
        <v>0</v>
      </c>
      <c r="D3025">
        <v>0</v>
      </c>
      <c r="E3025">
        <v>0</v>
      </c>
      <c r="F3025">
        <v>0</v>
      </c>
      <c r="G3025">
        <v>28.3</v>
      </c>
      <c r="H3025">
        <v>0</v>
      </c>
      <c r="I3025">
        <v>0</v>
      </c>
      <c r="J3025">
        <v>0</v>
      </c>
      <c r="K3025">
        <v>0</v>
      </c>
      <c r="L3025">
        <v>157</v>
      </c>
      <c r="M3025">
        <v>225</v>
      </c>
      <c r="N3025" t="s">
        <v>37</v>
      </c>
      <c r="O3025" s="3">
        <v>44454</v>
      </c>
      <c r="P3025">
        <v>-1</v>
      </c>
      <c r="T3025" t="s">
        <v>37</v>
      </c>
      <c r="U3025">
        <v>130</v>
      </c>
      <c r="V3025">
        <v>28.3</v>
      </c>
    </row>
    <row r="3026" spans="1:22" x14ac:dyDescent="0.35">
      <c r="A3026" s="3">
        <v>44229</v>
      </c>
      <c r="B3026" t="s">
        <v>36</v>
      </c>
      <c r="C3026">
        <v>0</v>
      </c>
      <c r="D3026">
        <v>0</v>
      </c>
      <c r="E3026">
        <v>0</v>
      </c>
      <c r="F3026">
        <v>0</v>
      </c>
      <c r="G3026">
        <v>29.75</v>
      </c>
      <c r="H3026">
        <v>0</v>
      </c>
      <c r="I3026">
        <v>0</v>
      </c>
      <c r="J3026">
        <v>0</v>
      </c>
      <c r="K3026">
        <v>0</v>
      </c>
      <c r="L3026">
        <v>182</v>
      </c>
      <c r="M3026">
        <v>260</v>
      </c>
      <c r="N3026" t="s">
        <v>36</v>
      </c>
      <c r="O3026" s="3">
        <v>44489</v>
      </c>
      <c r="P3026">
        <v>-1</v>
      </c>
      <c r="T3026" t="s">
        <v>36</v>
      </c>
      <c r="U3026">
        <v>155</v>
      </c>
      <c r="V3026">
        <v>28.25</v>
      </c>
    </row>
    <row r="3027" spans="1:22" x14ac:dyDescent="0.35">
      <c r="A3027" s="3">
        <v>44229</v>
      </c>
      <c r="B3027" t="s">
        <v>42</v>
      </c>
      <c r="C3027">
        <v>0</v>
      </c>
      <c r="D3027">
        <v>0</v>
      </c>
      <c r="E3027">
        <v>0</v>
      </c>
      <c r="F3027">
        <v>0</v>
      </c>
      <c r="G3027">
        <v>29.337800000000001</v>
      </c>
      <c r="H3027">
        <v>0</v>
      </c>
      <c r="I3027">
        <v>0</v>
      </c>
      <c r="J3027">
        <v>0</v>
      </c>
      <c r="K3027">
        <v>0</v>
      </c>
      <c r="L3027">
        <v>55</v>
      </c>
      <c r="M3027">
        <v>78</v>
      </c>
      <c r="N3027" t="s">
        <v>42</v>
      </c>
      <c r="O3027" s="3">
        <v>44307</v>
      </c>
      <c r="P3027">
        <v>-1</v>
      </c>
      <c r="T3027" t="s">
        <v>35</v>
      </c>
      <c r="U3027">
        <v>175</v>
      </c>
      <c r="V3027">
        <v>27.675000000000001</v>
      </c>
    </row>
    <row r="3028" spans="1:22" x14ac:dyDescent="0.35">
      <c r="A3028" s="3">
        <v>44228</v>
      </c>
      <c r="B3028" t="s">
        <v>44</v>
      </c>
      <c r="C3028">
        <v>0</v>
      </c>
      <c r="D3028">
        <v>0</v>
      </c>
      <c r="E3028">
        <v>0</v>
      </c>
      <c r="F3028">
        <v>0</v>
      </c>
      <c r="G3028">
        <v>30.330200000000001</v>
      </c>
      <c r="H3028">
        <v>0</v>
      </c>
      <c r="I3028">
        <v>0</v>
      </c>
      <c r="J3028">
        <v>0</v>
      </c>
      <c r="K3028">
        <v>0</v>
      </c>
      <c r="L3028">
        <v>11</v>
      </c>
      <c r="M3028">
        <v>16</v>
      </c>
      <c r="N3028" t="s">
        <v>44</v>
      </c>
      <c r="O3028" s="3">
        <v>44244</v>
      </c>
      <c r="P3028">
        <v>-1</v>
      </c>
      <c r="S3028" s="3">
        <v>44270</v>
      </c>
      <c r="T3028" t="s">
        <v>43</v>
      </c>
      <c r="U3028">
        <v>2</v>
      </c>
      <c r="V3028">
        <v>20.1006</v>
      </c>
    </row>
    <row r="3029" spans="1:22" x14ac:dyDescent="0.35">
      <c r="A3029" s="3">
        <v>44228</v>
      </c>
      <c r="B3029" t="s">
        <v>43</v>
      </c>
      <c r="C3029">
        <v>0</v>
      </c>
      <c r="D3029">
        <v>0</v>
      </c>
      <c r="E3029">
        <v>0</v>
      </c>
      <c r="F3029">
        <v>0</v>
      </c>
      <c r="G3029">
        <v>31.026299999999999</v>
      </c>
      <c r="H3029">
        <v>0</v>
      </c>
      <c r="I3029">
        <v>0</v>
      </c>
      <c r="J3029">
        <v>0</v>
      </c>
      <c r="K3029">
        <v>0</v>
      </c>
      <c r="L3029">
        <v>31</v>
      </c>
      <c r="M3029">
        <v>44</v>
      </c>
      <c r="N3029" t="s">
        <v>43</v>
      </c>
      <c r="O3029" s="3">
        <v>44272</v>
      </c>
      <c r="P3029">
        <v>-1</v>
      </c>
      <c r="T3029" t="s">
        <v>42</v>
      </c>
      <c r="U3029">
        <v>27</v>
      </c>
      <c r="V3029">
        <v>23.978100000000001</v>
      </c>
    </row>
    <row r="3030" spans="1:22" x14ac:dyDescent="0.35">
      <c r="A3030" s="3">
        <v>44228</v>
      </c>
      <c r="B3030" t="s">
        <v>38</v>
      </c>
      <c r="C3030">
        <v>0</v>
      </c>
      <c r="D3030">
        <v>0</v>
      </c>
      <c r="E3030">
        <v>0</v>
      </c>
      <c r="F3030">
        <v>0</v>
      </c>
      <c r="G3030">
        <v>29.144100000000002</v>
      </c>
      <c r="H3030">
        <v>0</v>
      </c>
      <c r="I3030">
        <v>0</v>
      </c>
      <c r="J3030">
        <v>0</v>
      </c>
      <c r="K3030">
        <v>0</v>
      </c>
      <c r="L3030">
        <v>139</v>
      </c>
      <c r="M3030">
        <v>198</v>
      </c>
      <c r="N3030" t="s">
        <v>38</v>
      </c>
      <c r="O3030" s="3">
        <v>44426</v>
      </c>
      <c r="P3030">
        <v>-1</v>
      </c>
      <c r="T3030" t="s">
        <v>41</v>
      </c>
      <c r="U3030">
        <v>47</v>
      </c>
      <c r="V3030">
        <v>26.0626</v>
      </c>
    </row>
    <row r="3031" spans="1:22" x14ac:dyDescent="0.35">
      <c r="A3031" s="3">
        <v>44228</v>
      </c>
      <c r="B3031" t="s">
        <v>37</v>
      </c>
      <c r="C3031">
        <v>0</v>
      </c>
      <c r="D3031">
        <v>0</v>
      </c>
      <c r="E3031">
        <v>0</v>
      </c>
      <c r="F3031">
        <v>0</v>
      </c>
      <c r="G3031">
        <v>28.9</v>
      </c>
      <c r="H3031">
        <v>0</v>
      </c>
      <c r="I3031">
        <v>0</v>
      </c>
      <c r="J3031">
        <v>0</v>
      </c>
      <c r="K3031">
        <v>0</v>
      </c>
      <c r="L3031">
        <v>158</v>
      </c>
      <c r="M3031">
        <v>226</v>
      </c>
      <c r="N3031" t="s">
        <v>37</v>
      </c>
      <c r="O3031" s="3">
        <v>44454</v>
      </c>
      <c r="P3031">
        <v>-1</v>
      </c>
      <c r="T3031" t="s">
        <v>40</v>
      </c>
      <c r="U3031">
        <v>66</v>
      </c>
      <c r="V3031">
        <v>26.9892</v>
      </c>
    </row>
    <row r="3032" spans="1:22" x14ac:dyDescent="0.35">
      <c r="A3032" s="3">
        <v>44228</v>
      </c>
      <c r="B3032" t="s">
        <v>36</v>
      </c>
      <c r="C3032">
        <v>0</v>
      </c>
      <c r="D3032">
        <v>0</v>
      </c>
      <c r="E3032">
        <v>0</v>
      </c>
      <c r="F3032">
        <v>0</v>
      </c>
      <c r="G3032">
        <v>29.75</v>
      </c>
      <c r="H3032">
        <v>0</v>
      </c>
      <c r="I3032">
        <v>0</v>
      </c>
      <c r="J3032">
        <v>0</v>
      </c>
      <c r="K3032">
        <v>0</v>
      </c>
      <c r="L3032">
        <v>183</v>
      </c>
      <c r="M3032">
        <v>261</v>
      </c>
      <c r="N3032" t="s">
        <v>36</v>
      </c>
      <c r="O3032" s="3">
        <v>44489</v>
      </c>
      <c r="P3032">
        <v>-1</v>
      </c>
      <c r="T3032" t="s">
        <v>39</v>
      </c>
      <c r="U3032">
        <v>90</v>
      </c>
      <c r="V3032">
        <v>27.728300000000001</v>
      </c>
    </row>
    <row r="3033" spans="1:22" x14ac:dyDescent="0.35">
      <c r="A3033" s="3">
        <v>44228</v>
      </c>
      <c r="B3033" t="s">
        <v>42</v>
      </c>
      <c r="C3033">
        <v>0</v>
      </c>
      <c r="D3033">
        <v>0</v>
      </c>
      <c r="E3033">
        <v>0</v>
      </c>
      <c r="F3033">
        <v>0</v>
      </c>
      <c r="G3033">
        <v>30.7407</v>
      </c>
      <c r="H3033">
        <v>0</v>
      </c>
      <c r="I3033">
        <v>0</v>
      </c>
      <c r="J3033">
        <v>0</v>
      </c>
      <c r="K3033">
        <v>0</v>
      </c>
      <c r="L3033">
        <v>56</v>
      </c>
      <c r="M3033">
        <v>79</v>
      </c>
      <c r="N3033" t="s">
        <v>42</v>
      </c>
      <c r="O3033" s="3">
        <v>44307</v>
      </c>
      <c r="P3033">
        <v>-1</v>
      </c>
      <c r="T3033" t="s">
        <v>38</v>
      </c>
      <c r="U3033">
        <v>110</v>
      </c>
      <c r="V3033">
        <v>27.7529</v>
      </c>
    </row>
    <row r="3034" spans="1:22" x14ac:dyDescent="0.35">
      <c r="A3034" s="3">
        <v>44228</v>
      </c>
      <c r="B3034" t="s">
        <v>40</v>
      </c>
      <c r="C3034">
        <v>0</v>
      </c>
      <c r="D3034">
        <v>0</v>
      </c>
      <c r="E3034">
        <v>0</v>
      </c>
      <c r="F3034">
        <v>0</v>
      </c>
      <c r="G3034">
        <v>29.6632</v>
      </c>
      <c r="H3034">
        <v>0</v>
      </c>
      <c r="I3034">
        <v>0</v>
      </c>
      <c r="J3034">
        <v>0</v>
      </c>
      <c r="K3034">
        <v>0</v>
      </c>
      <c r="L3034">
        <v>95</v>
      </c>
      <c r="M3034">
        <v>135</v>
      </c>
      <c r="N3034" t="s">
        <v>40</v>
      </c>
      <c r="O3034" s="3">
        <v>44363</v>
      </c>
      <c r="P3034">
        <v>-1</v>
      </c>
      <c r="T3034" t="s">
        <v>37</v>
      </c>
      <c r="U3034">
        <v>129</v>
      </c>
      <c r="V3034">
        <v>27.96</v>
      </c>
    </row>
    <row r="3035" spans="1:22" x14ac:dyDescent="0.35">
      <c r="A3035" s="3">
        <v>44228</v>
      </c>
      <c r="B3035" t="s">
        <v>39</v>
      </c>
      <c r="C3035">
        <v>0</v>
      </c>
      <c r="D3035">
        <v>0</v>
      </c>
      <c r="E3035">
        <v>0</v>
      </c>
      <c r="F3035">
        <v>0</v>
      </c>
      <c r="G3035">
        <v>29.4833</v>
      </c>
      <c r="H3035">
        <v>0</v>
      </c>
      <c r="I3035">
        <v>0</v>
      </c>
      <c r="J3035">
        <v>0</v>
      </c>
      <c r="K3035">
        <v>0</v>
      </c>
      <c r="L3035">
        <v>119</v>
      </c>
      <c r="M3035">
        <v>170</v>
      </c>
      <c r="N3035" t="s">
        <v>39</v>
      </c>
      <c r="O3035" s="3">
        <v>44398</v>
      </c>
      <c r="P3035">
        <v>-1</v>
      </c>
      <c r="T3035" t="s">
        <v>36</v>
      </c>
      <c r="U3035">
        <v>154</v>
      </c>
      <c r="V3035">
        <v>27.85</v>
      </c>
    </row>
    <row r="3036" spans="1:22" x14ac:dyDescent="0.35">
      <c r="A3036" s="3">
        <v>44228</v>
      </c>
      <c r="B3036" t="s">
        <v>41</v>
      </c>
      <c r="C3036">
        <v>0</v>
      </c>
      <c r="D3036">
        <v>0</v>
      </c>
      <c r="E3036">
        <v>0</v>
      </c>
      <c r="F3036">
        <v>0</v>
      </c>
      <c r="G3036">
        <v>30.115100000000002</v>
      </c>
      <c r="H3036">
        <v>0</v>
      </c>
      <c r="I3036">
        <v>0</v>
      </c>
      <c r="J3036">
        <v>0</v>
      </c>
      <c r="K3036">
        <v>0</v>
      </c>
      <c r="L3036">
        <v>76</v>
      </c>
      <c r="M3036">
        <v>107</v>
      </c>
      <c r="N3036" t="s">
        <v>41</v>
      </c>
      <c r="O3036" s="3">
        <v>44335</v>
      </c>
      <c r="P3036">
        <v>-1</v>
      </c>
      <c r="T3036" t="s">
        <v>35</v>
      </c>
      <c r="U3036">
        <v>174</v>
      </c>
      <c r="V3036">
        <v>27.625</v>
      </c>
    </row>
    <row r="3037" spans="1:22" x14ac:dyDescent="0.35">
      <c r="A3037" s="3">
        <v>44225</v>
      </c>
      <c r="B3037" t="s">
        <v>40</v>
      </c>
      <c r="C3037">
        <v>0</v>
      </c>
      <c r="D3037">
        <v>0</v>
      </c>
      <c r="E3037">
        <v>0</v>
      </c>
      <c r="F3037">
        <v>0</v>
      </c>
      <c r="G3037">
        <v>30.172899999999998</v>
      </c>
      <c r="H3037">
        <v>0</v>
      </c>
      <c r="I3037">
        <v>0</v>
      </c>
      <c r="J3037">
        <v>0</v>
      </c>
      <c r="K3037">
        <v>0</v>
      </c>
      <c r="L3037">
        <v>96</v>
      </c>
      <c r="M3037">
        <v>138</v>
      </c>
      <c r="N3037" t="s">
        <v>40</v>
      </c>
      <c r="O3037" s="3">
        <v>44363</v>
      </c>
      <c r="P3037">
        <v>-1</v>
      </c>
      <c r="S3037" s="3">
        <v>44271</v>
      </c>
      <c r="T3037" t="s">
        <v>43</v>
      </c>
      <c r="U3037">
        <v>1</v>
      </c>
      <c r="V3037">
        <v>19.920400000000001</v>
      </c>
    </row>
    <row r="3038" spans="1:22" x14ac:dyDescent="0.35">
      <c r="A3038" s="3">
        <v>44225</v>
      </c>
      <c r="B3038" t="s">
        <v>39</v>
      </c>
      <c r="C3038">
        <v>0</v>
      </c>
      <c r="D3038">
        <v>0</v>
      </c>
      <c r="E3038">
        <v>0</v>
      </c>
      <c r="F3038">
        <v>0</v>
      </c>
      <c r="G3038">
        <v>30</v>
      </c>
      <c r="H3038">
        <v>0</v>
      </c>
      <c r="I3038">
        <v>0</v>
      </c>
      <c r="J3038">
        <v>0</v>
      </c>
      <c r="K3038">
        <v>0</v>
      </c>
      <c r="L3038">
        <v>120</v>
      </c>
      <c r="M3038">
        <v>173</v>
      </c>
      <c r="N3038" t="s">
        <v>39</v>
      </c>
      <c r="O3038" s="3">
        <v>44398</v>
      </c>
      <c r="P3038">
        <v>-1</v>
      </c>
      <c r="T3038" t="s">
        <v>42</v>
      </c>
      <c r="U3038">
        <v>26</v>
      </c>
      <c r="V3038">
        <v>24.047000000000001</v>
      </c>
    </row>
    <row r="3039" spans="1:22" x14ac:dyDescent="0.35">
      <c r="A3039" s="3">
        <v>44225</v>
      </c>
      <c r="B3039" t="s">
        <v>41</v>
      </c>
      <c r="C3039">
        <v>0</v>
      </c>
      <c r="D3039">
        <v>0</v>
      </c>
      <c r="E3039">
        <v>0</v>
      </c>
      <c r="F3039">
        <v>0</v>
      </c>
      <c r="G3039">
        <v>30.506799999999998</v>
      </c>
      <c r="H3039">
        <v>0</v>
      </c>
      <c r="I3039">
        <v>0</v>
      </c>
      <c r="J3039">
        <v>0</v>
      </c>
      <c r="K3039">
        <v>0</v>
      </c>
      <c r="L3039">
        <v>77</v>
      </c>
      <c r="M3039">
        <v>110</v>
      </c>
      <c r="N3039" t="s">
        <v>41</v>
      </c>
      <c r="O3039" s="3">
        <v>44335</v>
      </c>
      <c r="P3039">
        <v>-1</v>
      </c>
      <c r="T3039" t="s">
        <v>41</v>
      </c>
      <c r="U3039">
        <v>46</v>
      </c>
      <c r="V3039">
        <v>25.999600000000001</v>
      </c>
    </row>
    <row r="3040" spans="1:22" x14ac:dyDescent="0.35">
      <c r="A3040" s="3">
        <v>44225</v>
      </c>
      <c r="B3040" t="s">
        <v>44</v>
      </c>
      <c r="C3040">
        <v>0</v>
      </c>
      <c r="D3040">
        <v>0</v>
      </c>
      <c r="E3040">
        <v>0</v>
      </c>
      <c r="F3040">
        <v>0</v>
      </c>
      <c r="G3040">
        <v>32.385899999999999</v>
      </c>
      <c r="H3040">
        <v>0</v>
      </c>
      <c r="I3040">
        <v>0</v>
      </c>
      <c r="J3040">
        <v>0</v>
      </c>
      <c r="K3040">
        <v>0</v>
      </c>
      <c r="L3040">
        <v>12</v>
      </c>
      <c r="M3040">
        <v>19</v>
      </c>
      <c r="N3040" t="s">
        <v>44</v>
      </c>
      <c r="O3040" s="3">
        <v>44244</v>
      </c>
      <c r="P3040">
        <v>-1</v>
      </c>
      <c r="T3040" t="s">
        <v>40</v>
      </c>
      <c r="U3040">
        <v>65</v>
      </c>
      <c r="V3040">
        <v>26.801400000000001</v>
      </c>
    </row>
    <row r="3041" spans="1:22" x14ac:dyDescent="0.35">
      <c r="A3041" s="3">
        <v>44225</v>
      </c>
      <c r="B3041" t="s">
        <v>43</v>
      </c>
      <c r="C3041">
        <v>0</v>
      </c>
      <c r="D3041">
        <v>0</v>
      </c>
      <c r="E3041">
        <v>0</v>
      </c>
      <c r="F3041">
        <v>0</v>
      </c>
      <c r="G3041">
        <v>32.420499999999997</v>
      </c>
      <c r="H3041">
        <v>0</v>
      </c>
      <c r="I3041">
        <v>0</v>
      </c>
      <c r="J3041">
        <v>0</v>
      </c>
      <c r="K3041">
        <v>0</v>
      </c>
      <c r="L3041">
        <v>32</v>
      </c>
      <c r="M3041">
        <v>47</v>
      </c>
      <c r="N3041" t="s">
        <v>43</v>
      </c>
      <c r="O3041" s="3">
        <v>44272</v>
      </c>
      <c r="P3041">
        <v>-1</v>
      </c>
      <c r="T3041" t="s">
        <v>39</v>
      </c>
      <c r="U3041">
        <v>89</v>
      </c>
      <c r="V3041">
        <v>27.55</v>
      </c>
    </row>
    <row r="3042" spans="1:22" x14ac:dyDescent="0.35">
      <c r="A3042" s="3">
        <v>44225</v>
      </c>
      <c r="B3042" t="s">
        <v>38</v>
      </c>
      <c r="C3042">
        <v>0</v>
      </c>
      <c r="D3042">
        <v>0</v>
      </c>
      <c r="E3042">
        <v>0</v>
      </c>
      <c r="F3042">
        <v>0</v>
      </c>
      <c r="G3042">
        <v>29.6417</v>
      </c>
      <c r="H3042">
        <v>0</v>
      </c>
      <c r="I3042">
        <v>0</v>
      </c>
      <c r="J3042">
        <v>0</v>
      </c>
      <c r="K3042">
        <v>0</v>
      </c>
      <c r="L3042">
        <v>140</v>
      </c>
      <c r="M3042">
        <v>201</v>
      </c>
      <c r="N3042" t="s">
        <v>38</v>
      </c>
      <c r="O3042" s="3">
        <v>44426</v>
      </c>
      <c r="P3042">
        <v>-1</v>
      </c>
      <c r="T3042" t="s">
        <v>38</v>
      </c>
      <c r="U3042">
        <v>109</v>
      </c>
      <c r="V3042">
        <v>27.6</v>
      </c>
    </row>
    <row r="3043" spans="1:22" x14ac:dyDescent="0.35">
      <c r="A3043" s="3">
        <v>44225</v>
      </c>
      <c r="B3043" t="s">
        <v>37</v>
      </c>
      <c r="C3043">
        <v>0</v>
      </c>
      <c r="D3043">
        <v>0</v>
      </c>
      <c r="E3043">
        <v>0</v>
      </c>
      <c r="F3043">
        <v>0</v>
      </c>
      <c r="G3043">
        <v>29.074999999999999</v>
      </c>
      <c r="H3043">
        <v>0</v>
      </c>
      <c r="I3043">
        <v>0</v>
      </c>
      <c r="J3043">
        <v>0</v>
      </c>
      <c r="K3043">
        <v>0</v>
      </c>
      <c r="L3043">
        <v>159</v>
      </c>
      <c r="M3043">
        <v>229</v>
      </c>
      <c r="N3043" t="s">
        <v>37</v>
      </c>
      <c r="O3043" s="3">
        <v>44454</v>
      </c>
      <c r="P3043">
        <v>-1</v>
      </c>
      <c r="T3043" t="s">
        <v>37</v>
      </c>
      <c r="U3043">
        <v>128</v>
      </c>
      <c r="V3043">
        <v>27.85</v>
      </c>
    </row>
    <row r="3044" spans="1:22" x14ac:dyDescent="0.35">
      <c r="A3044" s="3">
        <v>44225</v>
      </c>
      <c r="B3044" t="s">
        <v>36</v>
      </c>
      <c r="C3044">
        <v>0</v>
      </c>
      <c r="D3044">
        <v>0</v>
      </c>
      <c r="E3044">
        <v>0</v>
      </c>
      <c r="F3044">
        <v>0</v>
      </c>
      <c r="G3044">
        <v>29.1</v>
      </c>
      <c r="H3044">
        <v>0</v>
      </c>
      <c r="I3044">
        <v>0</v>
      </c>
      <c r="J3044">
        <v>0</v>
      </c>
      <c r="K3044">
        <v>0</v>
      </c>
      <c r="L3044">
        <v>184</v>
      </c>
      <c r="M3044">
        <v>264</v>
      </c>
      <c r="N3044" t="s">
        <v>36</v>
      </c>
      <c r="O3044" s="3">
        <v>44489</v>
      </c>
      <c r="P3044">
        <v>-1</v>
      </c>
      <c r="T3044" t="s">
        <v>36</v>
      </c>
      <c r="U3044">
        <v>153</v>
      </c>
      <c r="V3044">
        <v>27.75</v>
      </c>
    </row>
    <row r="3045" spans="1:22" x14ac:dyDescent="0.35">
      <c r="A3045" s="3">
        <v>44225</v>
      </c>
      <c r="B3045" t="s">
        <v>42</v>
      </c>
      <c r="C3045">
        <v>0</v>
      </c>
      <c r="D3045">
        <v>0</v>
      </c>
      <c r="E3045">
        <v>0</v>
      </c>
      <c r="F3045">
        <v>0</v>
      </c>
      <c r="G3045">
        <v>31.433700000000002</v>
      </c>
      <c r="H3045">
        <v>0</v>
      </c>
      <c r="I3045">
        <v>0</v>
      </c>
      <c r="J3045">
        <v>0</v>
      </c>
      <c r="K3045">
        <v>0</v>
      </c>
      <c r="L3045">
        <v>57</v>
      </c>
      <c r="M3045">
        <v>82</v>
      </c>
      <c r="N3045" t="s">
        <v>42</v>
      </c>
      <c r="O3045" s="3">
        <v>44307</v>
      </c>
      <c r="P3045">
        <v>-1</v>
      </c>
      <c r="T3045" t="s">
        <v>35</v>
      </c>
      <c r="U3045">
        <v>173</v>
      </c>
      <c r="V3045">
        <v>27.15</v>
      </c>
    </row>
    <row r="3046" spans="1:22" x14ac:dyDescent="0.35">
      <c r="A3046" s="3">
        <v>44224</v>
      </c>
      <c r="B3046" t="s">
        <v>44</v>
      </c>
      <c r="C3046">
        <v>0</v>
      </c>
      <c r="D3046">
        <v>0</v>
      </c>
      <c r="E3046">
        <v>0</v>
      </c>
      <c r="F3046">
        <v>0</v>
      </c>
      <c r="G3046">
        <v>30.394600000000001</v>
      </c>
      <c r="H3046">
        <v>0</v>
      </c>
      <c r="I3046">
        <v>0</v>
      </c>
      <c r="J3046">
        <v>0</v>
      </c>
      <c r="K3046">
        <v>0</v>
      </c>
      <c r="L3046">
        <v>13</v>
      </c>
      <c r="M3046">
        <v>20</v>
      </c>
      <c r="N3046" t="s">
        <v>44</v>
      </c>
      <c r="O3046" s="3">
        <v>44244</v>
      </c>
      <c r="P3046">
        <v>-1</v>
      </c>
      <c r="S3046" s="3">
        <v>44272</v>
      </c>
      <c r="T3046" t="s">
        <v>43</v>
      </c>
      <c r="U3046">
        <v>0</v>
      </c>
      <c r="V3046">
        <v>20.8</v>
      </c>
    </row>
    <row r="3047" spans="1:22" x14ac:dyDescent="0.35">
      <c r="A3047" s="3">
        <v>44224</v>
      </c>
      <c r="B3047" t="s">
        <v>43</v>
      </c>
      <c r="C3047">
        <v>0</v>
      </c>
      <c r="D3047">
        <v>0</v>
      </c>
      <c r="E3047">
        <v>0</v>
      </c>
      <c r="F3047">
        <v>0</v>
      </c>
      <c r="G3047">
        <v>30.719899999999999</v>
      </c>
      <c r="H3047">
        <v>0</v>
      </c>
      <c r="I3047">
        <v>0</v>
      </c>
      <c r="J3047">
        <v>0</v>
      </c>
      <c r="K3047">
        <v>0</v>
      </c>
      <c r="L3047">
        <v>33</v>
      </c>
      <c r="M3047">
        <v>48</v>
      </c>
      <c r="N3047" t="s">
        <v>43</v>
      </c>
      <c r="O3047" s="3">
        <v>44272</v>
      </c>
      <c r="P3047">
        <v>-1</v>
      </c>
      <c r="T3047" t="s">
        <v>42</v>
      </c>
      <c r="U3047">
        <v>25</v>
      </c>
      <c r="V3047">
        <v>23.002500000000001</v>
      </c>
    </row>
    <row r="3048" spans="1:22" x14ac:dyDescent="0.35">
      <c r="A3048" s="3">
        <v>44224</v>
      </c>
      <c r="B3048" t="s">
        <v>38</v>
      </c>
      <c r="C3048">
        <v>0</v>
      </c>
      <c r="D3048">
        <v>0</v>
      </c>
      <c r="E3048">
        <v>0</v>
      </c>
      <c r="F3048">
        <v>0</v>
      </c>
      <c r="G3048">
        <v>28.675000000000001</v>
      </c>
      <c r="H3048">
        <v>0</v>
      </c>
      <c r="I3048">
        <v>0</v>
      </c>
      <c r="J3048">
        <v>0</v>
      </c>
      <c r="K3048">
        <v>0</v>
      </c>
      <c r="L3048">
        <v>141</v>
      </c>
      <c r="M3048">
        <v>202</v>
      </c>
      <c r="N3048" t="s">
        <v>38</v>
      </c>
      <c r="O3048" s="3">
        <v>44426</v>
      </c>
      <c r="P3048">
        <v>-1</v>
      </c>
      <c r="T3048" t="s">
        <v>41</v>
      </c>
      <c r="U3048">
        <v>45</v>
      </c>
      <c r="V3048">
        <v>25.019500000000001</v>
      </c>
    </row>
    <row r="3049" spans="1:22" x14ac:dyDescent="0.35">
      <c r="A3049" s="3">
        <v>44224</v>
      </c>
      <c r="B3049" t="s">
        <v>37</v>
      </c>
      <c r="C3049">
        <v>0</v>
      </c>
      <c r="D3049">
        <v>0</v>
      </c>
      <c r="E3049">
        <v>0</v>
      </c>
      <c r="F3049">
        <v>0</v>
      </c>
      <c r="G3049">
        <v>28.2</v>
      </c>
      <c r="H3049">
        <v>0</v>
      </c>
      <c r="I3049">
        <v>0</v>
      </c>
      <c r="J3049">
        <v>0</v>
      </c>
      <c r="K3049">
        <v>0</v>
      </c>
      <c r="L3049">
        <v>160</v>
      </c>
      <c r="M3049">
        <v>230</v>
      </c>
      <c r="N3049" t="s">
        <v>37</v>
      </c>
      <c r="O3049" s="3">
        <v>44454</v>
      </c>
      <c r="P3049">
        <v>-1</v>
      </c>
      <c r="T3049" t="s">
        <v>40</v>
      </c>
      <c r="U3049">
        <v>64</v>
      </c>
      <c r="V3049">
        <v>25.982900000000001</v>
      </c>
    </row>
    <row r="3050" spans="1:22" x14ac:dyDescent="0.35">
      <c r="A3050" s="3">
        <v>44224</v>
      </c>
      <c r="B3050" t="s">
        <v>36</v>
      </c>
      <c r="C3050">
        <v>0</v>
      </c>
      <c r="D3050">
        <v>0</v>
      </c>
      <c r="E3050">
        <v>0</v>
      </c>
      <c r="F3050">
        <v>0</v>
      </c>
      <c r="G3050">
        <v>28.2</v>
      </c>
      <c r="H3050">
        <v>0</v>
      </c>
      <c r="I3050">
        <v>0</v>
      </c>
      <c r="J3050">
        <v>0</v>
      </c>
      <c r="K3050">
        <v>0</v>
      </c>
      <c r="L3050">
        <v>185</v>
      </c>
      <c r="M3050">
        <v>265</v>
      </c>
      <c r="N3050" t="s">
        <v>36</v>
      </c>
      <c r="O3050" s="3">
        <v>44489</v>
      </c>
      <c r="P3050">
        <v>-1</v>
      </c>
      <c r="T3050" t="s">
        <v>39</v>
      </c>
      <c r="U3050">
        <v>88</v>
      </c>
      <c r="V3050">
        <v>26.7974</v>
      </c>
    </row>
    <row r="3051" spans="1:22" x14ac:dyDescent="0.35">
      <c r="A3051" s="3">
        <v>44224</v>
      </c>
      <c r="B3051" t="s">
        <v>42</v>
      </c>
      <c r="C3051">
        <v>0</v>
      </c>
      <c r="D3051">
        <v>0</v>
      </c>
      <c r="E3051">
        <v>0</v>
      </c>
      <c r="F3051">
        <v>0</v>
      </c>
      <c r="G3051">
        <v>30.106200000000001</v>
      </c>
      <c r="H3051">
        <v>0</v>
      </c>
      <c r="I3051">
        <v>0</v>
      </c>
      <c r="J3051">
        <v>0</v>
      </c>
      <c r="K3051">
        <v>0</v>
      </c>
      <c r="L3051">
        <v>58</v>
      </c>
      <c r="M3051">
        <v>83</v>
      </c>
      <c r="N3051" t="s">
        <v>42</v>
      </c>
      <c r="O3051" s="3">
        <v>44307</v>
      </c>
      <c r="P3051">
        <v>-1</v>
      </c>
      <c r="T3051" t="s">
        <v>38</v>
      </c>
      <c r="U3051">
        <v>108</v>
      </c>
      <c r="V3051">
        <v>26.915099999999999</v>
      </c>
    </row>
    <row r="3052" spans="1:22" x14ac:dyDescent="0.35">
      <c r="A3052" s="3">
        <v>44224</v>
      </c>
      <c r="B3052" t="s">
        <v>40</v>
      </c>
      <c r="C3052">
        <v>0</v>
      </c>
      <c r="D3052">
        <v>0</v>
      </c>
      <c r="E3052">
        <v>0</v>
      </c>
      <c r="F3052">
        <v>0</v>
      </c>
      <c r="G3052">
        <v>29.079799999999999</v>
      </c>
      <c r="H3052">
        <v>0</v>
      </c>
      <c r="I3052">
        <v>0</v>
      </c>
      <c r="J3052">
        <v>0</v>
      </c>
      <c r="K3052">
        <v>0</v>
      </c>
      <c r="L3052">
        <v>97</v>
      </c>
      <c r="M3052">
        <v>139</v>
      </c>
      <c r="N3052" t="s">
        <v>40</v>
      </c>
      <c r="O3052" s="3">
        <v>44363</v>
      </c>
      <c r="P3052">
        <v>-1</v>
      </c>
      <c r="T3052" t="s">
        <v>37</v>
      </c>
      <c r="U3052">
        <v>127</v>
      </c>
      <c r="V3052">
        <v>27.2</v>
      </c>
    </row>
    <row r="3053" spans="1:22" x14ac:dyDescent="0.35">
      <c r="A3053" s="3">
        <v>44224</v>
      </c>
      <c r="B3053" t="s">
        <v>39</v>
      </c>
      <c r="C3053">
        <v>0</v>
      </c>
      <c r="D3053">
        <v>0</v>
      </c>
      <c r="E3053">
        <v>0</v>
      </c>
      <c r="F3053">
        <v>0</v>
      </c>
      <c r="G3053">
        <v>28.9864</v>
      </c>
      <c r="H3053">
        <v>0</v>
      </c>
      <c r="I3053">
        <v>0</v>
      </c>
      <c r="J3053">
        <v>0</v>
      </c>
      <c r="K3053">
        <v>0</v>
      </c>
      <c r="L3053">
        <v>121</v>
      </c>
      <c r="M3053">
        <v>174</v>
      </c>
      <c r="N3053" t="s">
        <v>39</v>
      </c>
      <c r="O3053" s="3">
        <v>44398</v>
      </c>
      <c r="P3053">
        <v>-1</v>
      </c>
      <c r="T3053" t="s">
        <v>36</v>
      </c>
      <c r="U3053">
        <v>152</v>
      </c>
      <c r="V3053">
        <v>27.125</v>
      </c>
    </row>
    <row r="3054" spans="1:22" x14ac:dyDescent="0.35">
      <c r="A3054" s="3">
        <v>44224</v>
      </c>
      <c r="B3054" t="s">
        <v>41</v>
      </c>
      <c r="C3054">
        <v>0</v>
      </c>
      <c r="D3054">
        <v>0</v>
      </c>
      <c r="E3054">
        <v>0</v>
      </c>
      <c r="F3054">
        <v>0</v>
      </c>
      <c r="G3054">
        <v>29.4496</v>
      </c>
      <c r="H3054">
        <v>0</v>
      </c>
      <c r="I3054">
        <v>0</v>
      </c>
      <c r="J3054">
        <v>0</v>
      </c>
      <c r="K3054">
        <v>0</v>
      </c>
      <c r="L3054">
        <v>78</v>
      </c>
      <c r="M3054">
        <v>111</v>
      </c>
      <c r="N3054" t="s">
        <v>41</v>
      </c>
      <c r="O3054" s="3">
        <v>44335</v>
      </c>
      <c r="P3054">
        <v>-1</v>
      </c>
      <c r="T3054" t="s">
        <v>35</v>
      </c>
      <c r="U3054">
        <v>172</v>
      </c>
      <c r="V3054">
        <v>26.85</v>
      </c>
    </row>
    <row r="3055" spans="1:22" x14ac:dyDescent="0.35">
      <c r="A3055" s="3">
        <v>44223</v>
      </c>
      <c r="B3055" t="s">
        <v>40</v>
      </c>
      <c r="C3055">
        <v>0</v>
      </c>
      <c r="D3055">
        <v>0</v>
      </c>
      <c r="E3055">
        <v>0</v>
      </c>
      <c r="F3055">
        <v>0</v>
      </c>
      <c r="G3055">
        <v>29.574999999999999</v>
      </c>
      <c r="H3055">
        <v>0</v>
      </c>
      <c r="I3055">
        <v>0</v>
      </c>
      <c r="J3055">
        <v>0</v>
      </c>
      <c r="K3055">
        <v>0</v>
      </c>
      <c r="L3055">
        <v>98</v>
      </c>
      <c r="M3055">
        <v>140</v>
      </c>
      <c r="N3055" t="s">
        <v>40</v>
      </c>
      <c r="O3055" s="3">
        <v>44363</v>
      </c>
      <c r="P3055">
        <v>-1</v>
      </c>
      <c r="S3055" s="3">
        <v>44273</v>
      </c>
      <c r="T3055" t="s">
        <v>42</v>
      </c>
      <c r="U3055">
        <v>24</v>
      </c>
      <c r="V3055">
        <v>24.3001</v>
      </c>
    </row>
    <row r="3056" spans="1:22" x14ac:dyDescent="0.35">
      <c r="A3056" s="3">
        <v>44223</v>
      </c>
      <c r="B3056" t="s">
        <v>39</v>
      </c>
      <c r="C3056">
        <v>0</v>
      </c>
      <c r="D3056">
        <v>0</v>
      </c>
      <c r="E3056">
        <v>0</v>
      </c>
      <c r="F3056">
        <v>0</v>
      </c>
      <c r="G3056">
        <v>29.45</v>
      </c>
      <c r="H3056">
        <v>0</v>
      </c>
      <c r="I3056">
        <v>0</v>
      </c>
      <c r="J3056">
        <v>0</v>
      </c>
      <c r="K3056">
        <v>0</v>
      </c>
      <c r="L3056">
        <v>122</v>
      </c>
      <c r="M3056">
        <v>175</v>
      </c>
      <c r="N3056" t="s">
        <v>39</v>
      </c>
      <c r="O3056" s="3">
        <v>44398</v>
      </c>
      <c r="P3056">
        <v>-1</v>
      </c>
      <c r="T3056" t="s">
        <v>41</v>
      </c>
      <c r="U3056">
        <v>44</v>
      </c>
      <c r="V3056">
        <v>25.801400000000001</v>
      </c>
    </row>
    <row r="3057" spans="1:22" x14ac:dyDescent="0.35">
      <c r="A3057" s="3">
        <v>44223</v>
      </c>
      <c r="B3057" t="s">
        <v>41</v>
      </c>
      <c r="C3057">
        <v>0</v>
      </c>
      <c r="D3057">
        <v>0</v>
      </c>
      <c r="E3057">
        <v>0</v>
      </c>
      <c r="F3057">
        <v>0</v>
      </c>
      <c r="G3057">
        <v>29.9922</v>
      </c>
      <c r="H3057">
        <v>0</v>
      </c>
      <c r="I3057">
        <v>0</v>
      </c>
      <c r="J3057">
        <v>0</v>
      </c>
      <c r="K3057">
        <v>0</v>
      </c>
      <c r="L3057">
        <v>79</v>
      </c>
      <c r="M3057">
        <v>112</v>
      </c>
      <c r="N3057" t="s">
        <v>41</v>
      </c>
      <c r="O3057" s="3">
        <v>44335</v>
      </c>
      <c r="P3057">
        <v>-1</v>
      </c>
      <c r="T3057" t="s">
        <v>40</v>
      </c>
      <c r="U3057">
        <v>63</v>
      </c>
      <c r="V3057">
        <v>26.446100000000001</v>
      </c>
    </row>
    <row r="3058" spans="1:22" x14ac:dyDescent="0.35">
      <c r="A3058" s="3">
        <v>44223</v>
      </c>
      <c r="B3058" t="s">
        <v>44</v>
      </c>
      <c r="C3058">
        <v>0</v>
      </c>
      <c r="D3058">
        <v>0</v>
      </c>
      <c r="E3058">
        <v>0</v>
      </c>
      <c r="F3058">
        <v>0</v>
      </c>
      <c r="G3058">
        <v>31.534199999999998</v>
      </c>
      <c r="H3058">
        <v>0</v>
      </c>
      <c r="I3058">
        <v>0</v>
      </c>
      <c r="J3058">
        <v>0</v>
      </c>
      <c r="K3058">
        <v>0</v>
      </c>
      <c r="L3058">
        <v>14</v>
      </c>
      <c r="M3058">
        <v>21</v>
      </c>
      <c r="N3058" t="s">
        <v>44</v>
      </c>
      <c r="O3058" s="3">
        <v>44244</v>
      </c>
      <c r="P3058">
        <v>-1</v>
      </c>
      <c r="T3058" t="s">
        <v>39</v>
      </c>
      <c r="U3058">
        <v>87</v>
      </c>
      <c r="V3058">
        <v>27</v>
      </c>
    </row>
    <row r="3059" spans="1:22" x14ac:dyDescent="0.35">
      <c r="A3059" s="3">
        <v>44223</v>
      </c>
      <c r="B3059" t="s">
        <v>43</v>
      </c>
      <c r="C3059">
        <v>0</v>
      </c>
      <c r="D3059">
        <v>0</v>
      </c>
      <c r="E3059">
        <v>0</v>
      </c>
      <c r="F3059">
        <v>0</v>
      </c>
      <c r="G3059">
        <v>31.231300000000001</v>
      </c>
      <c r="H3059">
        <v>0</v>
      </c>
      <c r="I3059">
        <v>0</v>
      </c>
      <c r="J3059">
        <v>0</v>
      </c>
      <c r="K3059">
        <v>0</v>
      </c>
      <c r="L3059">
        <v>34</v>
      </c>
      <c r="M3059">
        <v>49</v>
      </c>
      <c r="N3059" t="s">
        <v>43</v>
      </c>
      <c r="O3059" s="3">
        <v>44272</v>
      </c>
      <c r="P3059">
        <v>-1</v>
      </c>
      <c r="T3059" t="s">
        <v>38</v>
      </c>
      <c r="U3059">
        <v>107</v>
      </c>
      <c r="V3059">
        <v>27.0517</v>
      </c>
    </row>
    <row r="3060" spans="1:22" x14ac:dyDescent="0.35">
      <c r="A3060" s="3">
        <v>44223</v>
      </c>
      <c r="B3060" t="s">
        <v>38</v>
      </c>
      <c r="C3060">
        <v>0</v>
      </c>
      <c r="D3060">
        <v>0</v>
      </c>
      <c r="E3060">
        <v>0</v>
      </c>
      <c r="F3060">
        <v>0</v>
      </c>
      <c r="G3060">
        <v>29.35</v>
      </c>
      <c r="H3060">
        <v>0</v>
      </c>
      <c r="I3060">
        <v>0</v>
      </c>
      <c r="J3060">
        <v>0</v>
      </c>
      <c r="K3060">
        <v>0</v>
      </c>
      <c r="L3060">
        <v>142</v>
      </c>
      <c r="M3060">
        <v>203</v>
      </c>
      <c r="N3060" t="s">
        <v>38</v>
      </c>
      <c r="O3060" s="3">
        <v>44426</v>
      </c>
      <c r="P3060">
        <v>-1</v>
      </c>
      <c r="T3060" t="s">
        <v>37</v>
      </c>
      <c r="U3060">
        <v>126</v>
      </c>
      <c r="V3060">
        <v>27.2667</v>
      </c>
    </row>
    <row r="3061" spans="1:22" x14ac:dyDescent="0.35">
      <c r="A3061" s="3">
        <v>44223</v>
      </c>
      <c r="B3061" t="s">
        <v>37</v>
      </c>
      <c r="C3061">
        <v>0</v>
      </c>
      <c r="D3061">
        <v>0</v>
      </c>
      <c r="E3061">
        <v>0</v>
      </c>
      <c r="F3061">
        <v>0</v>
      </c>
      <c r="G3061">
        <v>29.05</v>
      </c>
      <c r="H3061">
        <v>0</v>
      </c>
      <c r="I3061">
        <v>0</v>
      </c>
      <c r="J3061">
        <v>0</v>
      </c>
      <c r="K3061">
        <v>0</v>
      </c>
      <c r="L3061">
        <v>161</v>
      </c>
      <c r="M3061">
        <v>231</v>
      </c>
      <c r="N3061" t="s">
        <v>37</v>
      </c>
      <c r="O3061" s="3">
        <v>44454</v>
      </c>
      <c r="P3061">
        <v>-1</v>
      </c>
      <c r="T3061" t="s">
        <v>36</v>
      </c>
      <c r="U3061">
        <v>151</v>
      </c>
      <c r="V3061">
        <v>27.2</v>
      </c>
    </row>
    <row r="3062" spans="1:22" x14ac:dyDescent="0.35">
      <c r="A3062" s="3">
        <v>44223</v>
      </c>
      <c r="B3062" t="s">
        <v>36</v>
      </c>
      <c r="C3062">
        <v>0</v>
      </c>
      <c r="D3062">
        <v>0</v>
      </c>
      <c r="E3062">
        <v>0</v>
      </c>
      <c r="F3062">
        <v>0</v>
      </c>
      <c r="G3062">
        <v>29.05</v>
      </c>
      <c r="H3062">
        <v>0</v>
      </c>
      <c r="I3062">
        <v>0</v>
      </c>
      <c r="J3062">
        <v>0</v>
      </c>
      <c r="K3062">
        <v>0</v>
      </c>
      <c r="L3062">
        <v>186</v>
      </c>
      <c r="M3062">
        <v>266</v>
      </c>
      <c r="N3062" t="s">
        <v>36</v>
      </c>
      <c r="O3062" s="3">
        <v>44489</v>
      </c>
      <c r="P3062">
        <v>-1</v>
      </c>
      <c r="T3062" t="s">
        <v>35</v>
      </c>
      <c r="U3062">
        <v>171</v>
      </c>
      <c r="V3062">
        <v>26.925000000000001</v>
      </c>
    </row>
    <row r="3063" spans="1:22" x14ac:dyDescent="0.35">
      <c r="A3063" s="3">
        <v>44223</v>
      </c>
      <c r="B3063" t="s">
        <v>42</v>
      </c>
      <c r="C3063">
        <v>0</v>
      </c>
      <c r="D3063">
        <v>0</v>
      </c>
      <c r="E3063">
        <v>0</v>
      </c>
      <c r="F3063">
        <v>0</v>
      </c>
      <c r="G3063">
        <v>30.6007</v>
      </c>
      <c r="H3063">
        <v>0</v>
      </c>
      <c r="I3063">
        <v>0</v>
      </c>
      <c r="J3063">
        <v>0</v>
      </c>
      <c r="K3063">
        <v>0</v>
      </c>
      <c r="L3063">
        <v>59</v>
      </c>
      <c r="M3063">
        <v>84</v>
      </c>
      <c r="N3063" t="s">
        <v>42</v>
      </c>
      <c r="O3063" s="3">
        <v>44307</v>
      </c>
      <c r="P3063">
        <v>-1</v>
      </c>
      <c r="S3063" s="3">
        <v>44274</v>
      </c>
      <c r="T3063" t="s">
        <v>42</v>
      </c>
      <c r="U3063">
        <v>23</v>
      </c>
      <c r="V3063">
        <v>23.315000000000001</v>
      </c>
    </row>
    <row r="3064" spans="1:22" x14ac:dyDescent="0.35">
      <c r="A3064" s="3">
        <v>44222</v>
      </c>
      <c r="B3064" t="s">
        <v>44</v>
      </c>
      <c r="C3064">
        <v>0</v>
      </c>
      <c r="D3064">
        <v>0</v>
      </c>
      <c r="E3064">
        <v>0</v>
      </c>
      <c r="F3064">
        <v>0</v>
      </c>
      <c r="G3064">
        <v>25.409500000000001</v>
      </c>
      <c r="H3064">
        <v>0</v>
      </c>
      <c r="I3064">
        <v>0</v>
      </c>
      <c r="J3064">
        <v>0</v>
      </c>
      <c r="K3064">
        <v>0</v>
      </c>
      <c r="L3064">
        <v>15</v>
      </c>
      <c r="M3064">
        <v>22</v>
      </c>
      <c r="N3064" t="s">
        <v>44</v>
      </c>
      <c r="O3064" s="3">
        <v>44244</v>
      </c>
      <c r="P3064">
        <v>-1</v>
      </c>
      <c r="T3064" t="s">
        <v>41</v>
      </c>
      <c r="U3064">
        <v>43</v>
      </c>
      <c r="V3064">
        <v>25.2669</v>
      </c>
    </row>
    <row r="3065" spans="1:22" x14ac:dyDescent="0.35">
      <c r="A3065" s="3">
        <v>44222</v>
      </c>
      <c r="B3065" t="s">
        <v>43</v>
      </c>
      <c r="C3065">
        <v>0</v>
      </c>
      <c r="D3065">
        <v>0</v>
      </c>
      <c r="E3065">
        <v>0</v>
      </c>
      <c r="F3065">
        <v>0</v>
      </c>
      <c r="G3065">
        <v>27.226700000000001</v>
      </c>
      <c r="H3065">
        <v>0</v>
      </c>
      <c r="I3065">
        <v>0</v>
      </c>
      <c r="J3065">
        <v>0</v>
      </c>
      <c r="K3065">
        <v>0</v>
      </c>
      <c r="L3065">
        <v>35</v>
      </c>
      <c r="M3065">
        <v>50</v>
      </c>
      <c r="N3065" t="s">
        <v>43</v>
      </c>
      <c r="O3065" s="3">
        <v>44272</v>
      </c>
      <c r="P3065">
        <v>-1</v>
      </c>
      <c r="T3065" t="s">
        <v>40</v>
      </c>
      <c r="U3065">
        <v>62</v>
      </c>
      <c r="V3065">
        <v>26.214500000000001</v>
      </c>
    </row>
    <row r="3066" spans="1:22" x14ac:dyDescent="0.35">
      <c r="A3066" s="3">
        <v>44222</v>
      </c>
      <c r="B3066" t="s">
        <v>38</v>
      </c>
      <c r="C3066">
        <v>0</v>
      </c>
      <c r="D3066">
        <v>0</v>
      </c>
      <c r="E3066">
        <v>0</v>
      </c>
      <c r="F3066">
        <v>0</v>
      </c>
      <c r="G3066">
        <v>27.6313</v>
      </c>
      <c r="H3066">
        <v>0</v>
      </c>
      <c r="I3066">
        <v>0</v>
      </c>
      <c r="J3066">
        <v>0</v>
      </c>
      <c r="K3066">
        <v>0</v>
      </c>
      <c r="L3066">
        <v>143</v>
      </c>
      <c r="M3066">
        <v>204</v>
      </c>
      <c r="N3066" t="s">
        <v>38</v>
      </c>
      <c r="O3066" s="3">
        <v>44426</v>
      </c>
      <c r="P3066">
        <v>-1</v>
      </c>
      <c r="T3066" t="s">
        <v>39</v>
      </c>
      <c r="U3066">
        <v>86</v>
      </c>
      <c r="V3066">
        <v>27.05</v>
      </c>
    </row>
    <row r="3067" spans="1:22" x14ac:dyDescent="0.35">
      <c r="A3067" s="3">
        <v>44222</v>
      </c>
      <c r="B3067" t="s">
        <v>37</v>
      </c>
      <c r="C3067">
        <v>0</v>
      </c>
      <c r="D3067">
        <v>0</v>
      </c>
      <c r="E3067">
        <v>0</v>
      </c>
      <c r="F3067">
        <v>0</v>
      </c>
      <c r="G3067">
        <v>27.55</v>
      </c>
      <c r="H3067">
        <v>0</v>
      </c>
      <c r="I3067">
        <v>0</v>
      </c>
      <c r="J3067">
        <v>0</v>
      </c>
      <c r="K3067">
        <v>0</v>
      </c>
      <c r="L3067">
        <v>162</v>
      </c>
      <c r="M3067">
        <v>232</v>
      </c>
      <c r="N3067" t="s">
        <v>37</v>
      </c>
      <c r="O3067" s="3">
        <v>44454</v>
      </c>
      <c r="P3067">
        <v>-1</v>
      </c>
      <c r="T3067" t="s">
        <v>38</v>
      </c>
      <c r="U3067">
        <v>106</v>
      </c>
      <c r="V3067">
        <v>27.2</v>
      </c>
    </row>
    <row r="3068" spans="1:22" x14ac:dyDescent="0.35">
      <c r="A3068" s="3">
        <v>44222</v>
      </c>
      <c r="B3068" t="s">
        <v>36</v>
      </c>
      <c r="C3068">
        <v>0</v>
      </c>
      <c r="D3068">
        <v>0</v>
      </c>
      <c r="E3068">
        <v>0</v>
      </c>
      <c r="F3068">
        <v>0</v>
      </c>
      <c r="G3068">
        <v>27.55</v>
      </c>
      <c r="H3068">
        <v>0</v>
      </c>
      <c r="I3068">
        <v>0</v>
      </c>
      <c r="J3068">
        <v>0</v>
      </c>
      <c r="K3068">
        <v>0</v>
      </c>
      <c r="L3068">
        <v>187</v>
      </c>
      <c r="M3068">
        <v>267</v>
      </c>
      <c r="N3068" t="s">
        <v>36</v>
      </c>
      <c r="O3068" s="3">
        <v>44489</v>
      </c>
      <c r="P3068">
        <v>-1</v>
      </c>
      <c r="T3068" t="s">
        <v>37</v>
      </c>
      <c r="U3068">
        <v>125</v>
      </c>
      <c r="V3068">
        <v>27.487500000000001</v>
      </c>
    </row>
    <row r="3069" spans="1:22" x14ac:dyDescent="0.35">
      <c r="A3069" s="3">
        <v>44222</v>
      </c>
      <c r="B3069" t="s">
        <v>42</v>
      </c>
      <c r="C3069">
        <v>0</v>
      </c>
      <c r="D3069">
        <v>0</v>
      </c>
      <c r="E3069">
        <v>0</v>
      </c>
      <c r="F3069">
        <v>0</v>
      </c>
      <c r="G3069">
        <v>27.7319</v>
      </c>
      <c r="H3069">
        <v>0</v>
      </c>
      <c r="I3069">
        <v>0</v>
      </c>
      <c r="J3069">
        <v>0</v>
      </c>
      <c r="K3069">
        <v>0</v>
      </c>
      <c r="L3069">
        <v>60</v>
      </c>
      <c r="M3069">
        <v>85</v>
      </c>
      <c r="N3069" t="s">
        <v>42</v>
      </c>
      <c r="O3069" s="3">
        <v>44307</v>
      </c>
      <c r="P3069">
        <v>-1</v>
      </c>
      <c r="T3069" t="s">
        <v>36</v>
      </c>
      <c r="U3069">
        <v>150</v>
      </c>
      <c r="V3069">
        <v>27.45</v>
      </c>
    </row>
    <row r="3070" spans="1:22" x14ac:dyDescent="0.35">
      <c r="A3070" s="3">
        <v>44222</v>
      </c>
      <c r="B3070" t="s">
        <v>40</v>
      </c>
      <c r="C3070">
        <v>0</v>
      </c>
      <c r="D3070">
        <v>0</v>
      </c>
      <c r="E3070">
        <v>0</v>
      </c>
      <c r="F3070">
        <v>0</v>
      </c>
      <c r="G3070">
        <v>27.7059</v>
      </c>
      <c r="H3070">
        <v>0</v>
      </c>
      <c r="I3070">
        <v>0</v>
      </c>
      <c r="J3070">
        <v>0</v>
      </c>
      <c r="K3070">
        <v>0</v>
      </c>
      <c r="L3070">
        <v>99</v>
      </c>
      <c r="M3070">
        <v>141</v>
      </c>
      <c r="N3070" t="s">
        <v>40</v>
      </c>
      <c r="O3070" s="3">
        <v>44363</v>
      </c>
      <c r="P3070">
        <v>-1</v>
      </c>
      <c r="T3070" t="s">
        <v>35</v>
      </c>
      <c r="U3070">
        <v>170</v>
      </c>
      <c r="V3070">
        <v>26.8444</v>
      </c>
    </row>
    <row r="3071" spans="1:22" x14ac:dyDescent="0.35">
      <c r="A3071" s="3">
        <v>44222</v>
      </c>
      <c r="B3071" t="s">
        <v>39</v>
      </c>
      <c r="C3071">
        <v>0</v>
      </c>
      <c r="D3071">
        <v>0</v>
      </c>
      <c r="E3071">
        <v>0</v>
      </c>
      <c r="F3071">
        <v>0</v>
      </c>
      <c r="G3071">
        <v>27.7972</v>
      </c>
      <c r="H3071">
        <v>0</v>
      </c>
      <c r="I3071">
        <v>0</v>
      </c>
      <c r="J3071">
        <v>0</v>
      </c>
      <c r="K3071">
        <v>0</v>
      </c>
      <c r="L3071">
        <v>123</v>
      </c>
      <c r="M3071">
        <v>176</v>
      </c>
      <c r="N3071" t="s">
        <v>39</v>
      </c>
      <c r="O3071" s="3">
        <v>44398</v>
      </c>
      <c r="P3071">
        <v>-1</v>
      </c>
      <c r="S3071" s="3">
        <v>44277</v>
      </c>
      <c r="T3071" t="s">
        <v>42</v>
      </c>
      <c r="U3071">
        <v>22</v>
      </c>
      <c r="V3071">
        <v>21.731000000000002</v>
      </c>
    </row>
    <row r="3072" spans="1:22" x14ac:dyDescent="0.35">
      <c r="A3072" s="3">
        <v>44222</v>
      </c>
      <c r="B3072" t="s">
        <v>41</v>
      </c>
      <c r="C3072">
        <v>0</v>
      </c>
      <c r="D3072">
        <v>0</v>
      </c>
      <c r="E3072">
        <v>0</v>
      </c>
      <c r="F3072">
        <v>0</v>
      </c>
      <c r="G3072">
        <v>27.788799999999998</v>
      </c>
      <c r="H3072">
        <v>0</v>
      </c>
      <c r="I3072">
        <v>0</v>
      </c>
      <c r="J3072">
        <v>0</v>
      </c>
      <c r="K3072">
        <v>0</v>
      </c>
      <c r="L3072">
        <v>80</v>
      </c>
      <c r="M3072">
        <v>113</v>
      </c>
      <c r="N3072" t="s">
        <v>41</v>
      </c>
      <c r="O3072" s="3">
        <v>44335</v>
      </c>
      <c r="P3072">
        <v>-1</v>
      </c>
      <c r="T3072" t="s">
        <v>41</v>
      </c>
      <c r="U3072">
        <v>42</v>
      </c>
      <c r="V3072">
        <v>23.944900000000001</v>
      </c>
    </row>
    <row r="3073" spans="1:22" x14ac:dyDescent="0.35">
      <c r="A3073" s="3">
        <v>44221</v>
      </c>
      <c r="B3073" t="s">
        <v>40</v>
      </c>
      <c r="C3073">
        <v>0</v>
      </c>
      <c r="D3073">
        <v>0</v>
      </c>
      <c r="E3073">
        <v>0</v>
      </c>
      <c r="F3073">
        <v>0</v>
      </c>
      <c r="G3073">
        <v>27.6188</v>
      </c>
      <c r="H3073">
        <v>0</v>
      </c>
      <c r="I3073">
        <v>0</v>
      </c>
      <c r="J3073">
        <v>0</v>
      </c>
      <c r="K3073">
        <v>0</v>
      </c>
      <c r="L3073">
        <v>100</v>
      </c>
      <c r="M3073">
        <v>142</v>
      </c>
      <c r="N3073" t="s">
        <v>40</v>
      </c>
      <c r="O3073" s="3">
        <v>44363</v>
      </c>
      <c r="P3073">
        <v>-1</v>
      </c>
      <c r="T3073" t="s">
        <v>40</v>
      </c>
      <c r="U3073">
        <v>61</v>
      </c>
      <c r="V3073">
        <v>24.901499999999999</v>
      </c>
    </row>
    <row r="3074" spans="1:22" x14ac:dyDescent="0.35">
      <c r="A3074" s="3">
        <v>44221</v>
      </c>
      <c r="B3074" t="s">
        <v>39</v>
      </c>
      <c r="C3074">
        <v>0</v>
      </c>
      <c r="D3074">
        <v>0</v>
      </c>
      <c r="E3074">
        <v>0</v>
      </c>
      <c r="F3074">
        <v>0</v>
      </c>
      <c r="G3074">
        <v>27.7455</v>
      </c>
      <c r="H3074">
        <v>0</v>
      </c>
      <c r="I3074">
        <v>0</v>
      </c>
      <c r="J3074">
        <v>0</v>
      </c>
      <c r="K3074">
        <v>0</v>
      </c>
      <c r="L3074">
        <v>124</v>
      </c>
      <c r="M3074">
        <v>177</v>
      </c>
      <c r="N3074" t="s">
        <v>39</v>
      </c>
      <c r="O3074" s="3">
        <v>44398</v>
      </c>
      <c r="P3074">
        <v>-1</v>
      </c>
      <c r="T3074" t="s">
        <v>39</v>
      </c>
      <c r="U3074">
        <v>85</v>
      </c>
      <c r="V3074">
        <v>25.85</v>
      </c>
    </row>
    <row r="3075" spans="1:22" x14ac:dyDescent="0.35">
      <c r="A3075" s="3">
        <v>44221</v>
      </c>
      <c r="B3075" t="s">
        <v>41</v>
      </c>
      <c r="C3075">
        <v>0</v>
      </c>
      <c r="D3075">
        <v>0</v>
      </c>
      <c r="E3075">
        <v>0</v>
      </c>
      <c r="F3075">
        <v>0</v>
      </c>
      <c r="G3075">
        <v>27.667400000000001</v>
      </c>
      <c r="H3075">
        <v>0</v>
      </c>
      <c r="I3075">
        <v>0</v>
      </c>
      <c r="J3075">
        <v>0</v>
      </c>
      <c r="K3075">
        <v>0</v>
      </c>
      <c r="L3075">
        <v>81</v>
      </c>
      <c r="M3075">
        <v>114</v>
      </c>
      <c r="N3075" t="s">
        <v>41</v>
      </c>
      <c r="O3075" s="3">
        <v>44335</v>
      </c>
      <c r="P3075">
        <v>-1</v>
      </c>
      <c r="T3075" t="s">
        <v>38</v>
      </c>
      <c r="U3075">
        <v>105</v>
      </c>
      <c r="V3075">
        <v>26.0807</v>
      </c>
    </row>
    <row r="3076" spans="1:22" x14ac:dyDescent="0.35">
      <c r="A3076" s="3">
        <v>44221</v>
      </c>
      <c r="B3076" t="s">
        <v>44</v>
      </c>
      <c r="C3076">
        <v>0</v>
      </c>
      <c r="D3076">
        <v>0</v>
      </c>
      <c r="E3076">
        <v>0</v>
      </c>
      <c r="F3076">
        <v>0</v>
      </c>
      <c r="G3076">
        <v>25.953499999999998</v>
      </c>
      <c r="H3076">
        <v>0</v>
      </c>
      <c r="I3076">
        <v>0</v>
      </c>
      <c r="J3076">
        <v>0</v>
      </c>
      <c r="K3076">
        <v>0</v>
      </c>
      <c r="L3076">
        <v>16</v>
      </c>
      <c r="M3076">
        <v>23</v>
      </c>
      <c r="N3076" t="s">
        <v>44</v>
      </c>
      <c r="O3076" s="3">
        <v>44244</v>
      </c>
      <c r="P3076">
        <v>-1</v>
      </c>
      <c r="T3076" t="s">
        <v>37</v>
      </c>
      <c r="U3076">
        <v>124</v>
      </c>
      <c r="V3076">
        <v>26.4925</v>
      </c>
    </row>
    <row r="3077" spans="1:22" x14ac:dyDescent="0.35">
      <c r="A3077" s="3">
        <v>44221</v>
      </c>
      <c r="B3077" t="s">
        <v>43</v>
      </c>
      <c r="C3077">
        <v>0</v>
      </c>
      <c r="D3077">
        <v>0</v>
      </c>
      <c r="E3077">
        <v>0</v>
      </c>
      <c r="F3077">
        <v>0</v>
      </c>
      <c r="G3077">
        <v>27.400400000000001</v>
      </c>
      <c r="H3077">
        <v>0</v>
      </c>
      <c r="I3077">
        <v>0</v>
      </c>
      <c r="J3077">
        <v>0</v>
      </c>
      <c r="K3077">
        <v>0</v>
      </c>
      <c r="L3077">
        <v>36</v>
      </c>
      <c r="M3077">
        <v>51</v>
      </c>
      <c r="N3077" t="s">
        <v>43</v>
      </c>
      <c r="O3077" s="3">
        <v>44272</v>
      </c>
      <c r="P3077">
        <v>-1</v>
      </c>
      <c r="T3077" t="s">
        <v>36</v>
      </c>
      <c r="U3077">
        <v>149</v>
      </c>
      <c r="V3077">
        <v>26.5</v>
      </c>
    </row>
    <row r="3078" spans="1:22" x14ac:dyDescent="0.35">
      <c r="A3078" s="3">
        <v>44221</v>
      </c>
      <c r="B3078" t="s">
        <v>38</v>
      </c>
      <c r="C3078">
        <v>0</v>
      </c>
      <c r="D3078">
        <v>0</v>
      </c>
      <c r="E3078">
        <v>0</v>
      </c>
      <c r="F3078">
        <v>0</v>
      </c>
      <c r="G3078">
        <v>27.531300000000002</v>
      </c>
      <c r="H3078">
        <v>0</v>
      </c>
      <c r="I3078">
        <v>0</v>
      </c>
      <c r="J3078">
        <v>0</v>
      </c>
      <c r="K3078">
        <v>0</v>
      </c>
      <c r="L3078">
        <v>144</v>
      </c>
      <c r="M3078">
        <v>205</v>
      </c>
      <c r="N3078" t="s">
        <v>38</v>
      </c>
      <c r="O3078" s="3">
        <v>44426</v>
      </c>
      <c r="P3078">
        <v>-1</v>
      </c>
      <c r="T3078" t="s">
        <v>35</v>
      </c>
      <c r="U3078">
        <v>169</v>
      </c>
      <c r="V3078">
        <v>26.225000000000001</v>
      </c>
    </row>
    <row r="3079" spans="1:22" x14ac:dyDescent="0.35">
      <c r="A3079" s="3">
        <v>44221</v>
      </c>
      <c r="B3079" t="s">
        <v>37</v>
      </c>
      <c r="C3079">
        <v>0</v>
      </c>
      <c r="D3079">
        <v>0</v>
      </c>
      <c r="E3079">
        <v>0</v>
      </c>
      <c r="F3079">
        <v>0</v>
      </c>
      <c r="G3079">
        <v>27.574999999999999</v>
      </c>
      <c r="H3079">
        <v>0</v>
      </c>
      <c r="I3079">
        <v>0</v>
      </c>
      <c r="J3079">
        <v>0</v>
      </c>
      <c r="K3079">
        <v>0</v>
      </c>
      <c r="L3079">
        <v>163</v>
      </c>
      <c r="M3079">
        <v>233</v>
      </c>
      <c r="N3079" t="s">
        <v>37</v>
      </c>
      <c r="O3079" s="3">
        <v>44454</v>
      </c>
      <c r="P3079">
        <v>-1</v>
      </c>
      <c r="T3079" t="s">
        <v>34</v>
      </c>
      <c r="U3079">
        <v>193</v>
      </c>
      <c r="V3079">
        <v>25.625</v>
      </c>
    </row>
    <row r="3080" spans="1:22" x14ac:dyDescent="0.35">
      <c r="A3080" s="3">
        <v>44221</v>
      </c>
      <c r="B3080" t="s">
        <v>36</v>
      </c>
      <c r="C3080">
        <v>0</v>
      </c>
      <c r="D3080">
        <v>0</v>
      </c>
      <c r="E3080">
        <v>0</v>
      </c>
      <c r="F3080">
        <v>0</v>
      </c>
      <c r="G3080">
        <v>27.574999999999999</v>
      </c>
      <c r="H3080">
        <v>0</v>
      </c>
      <c r="I3080">
        <v>0</v>
      </c>
      <c r="J3080">
        <v>0</v>
      </c>
      <c r="K3080">
        <v>0</v>
      </c>
      <c r="L3080">
        <v>188</v>
      </c>
      <c r="M3080">
        <v>268</v>
      </c>
      <c r="N3080" t="s">
        <v>36</v>
      </c>
      <c r="O3080" s="3">
        <v>44489</v>
      </c>
      <c r="P3080">
        <v>-1</v>
      </c>
      <c r="S3080" s="3">
        <v>44278</v>
      </c>
      <c r="T3080" t="s">
        <v>42</v>
      </c>
      <c r="U3080">
        <v>21</v>
      </c>
      <c r="V3080">
        <v>22.832999999999998</v>
      </c>
    </row>
    <row r="3081" spans="1:22" x14ac:dyDescent="0.35">
      <c r="A3081" s="3">
        <v>44221</v>
      </c>
      <c r="B3081" t="s">
        <v>42</v>
      </c>
      <c r="C3081">
        <v>0</v>
      </c>
      <c r="D3081">
        <v>0</v>
      </c>
      <c r="E3081">
        <v>0</v>
      </c>
      <c r="F3081">
        <v>0</v>
      </c>
      <c r="G3081">
        <v>27.7088</v>
      </c>
      <c r="H3081">
        <v>0</v>
      </c>
      <c r="I3081">
        <v>0</v>
      </c>
      <c r="J3081">
        <v>0</v>
      </c>
      <c r="K3081">
        <v>0</v>
      </c>
      <c r="L3081">
        <v>61</v>
      </c>
      <c r="M3081">
        <v>86</v>
      </c>
      <c r="N3081" t="s">
        <v>42</v>
      </c>
      <c r="O3081" s="3">
        <v>44307</v>
      </c>
      <c r="P3081">
        <v>-1</v>
      </c>
      <c r="T3081" t="s">
        <v>41</v>
      </c>
      <c r="U3081">
        <v>41</v>
      </c>
      <c r="V3081">
        <v>24.746700000000001</v>
      </c>
    </row>
    <row r="3082" spans="1:22" x14ac:dyDescent="0.35">
      <c r="A3082" s="3">
        <v>44218</v>
      </c>
      <c r="B3082" t="s">
        <v>44</v>
      </c>
      <c r="C3082">
        <v>0</v>
      </c>
      <c r="D3082">
        <v>0</v>
      </c>
      <c r="E3082">
        <v>0</v>
      </c>
      <c r="F3082">
        <v>0</v>
      </c>
      <c r="G3082">
        <v>24.875</v>
      </c>
      <c r="H3082">
        <v>0</v>
      </c>
      <c r="I3082">
        <v>0</v>
      </c>
      <c r="J3082">
        <v>0</v>
      </c>
      <c r="K3082">
        <v>0</v>
      </c>
      <c r="L3082">
        <v>17</v>
      </c>
      <c r="M3082">
        <v>26</v>
      </c>
      <c r="N3082" t="s">
        <v>44</v>
      </c>
      <c r="O3082" s="3">
        <v>44244</v>
      </c>
      <c r="P3082">
        <v>-1</v>
      </c>
      <c r="T3082" t="s">
        <v>40</v>
      </c>
      <c r="U3082">
        <v>60</v>
      </c>
      <c r="V3082">
        <v>25.565999999999999</v>
      </c>
    </row>
    <row r="3083" spans="1:22" x14ac:dyDescent="0.35">
      <c r="A3083" s="3">
        <v>44218</v>
      </c>
      <c r="B3083" t="s">
        <v>43</v>
      </c>
      <c r="C3083">
        <v>0</v>
      </c>
      <c r="D3083">
        <v>0</v>
      </c>
      <c r="E3083">
        <v>0</v>
      </c>
      <c r="F3083">
        <v>0</v>
      </c>
      <c r="G3083">
        <v>26.524999999999999</v>
      </c>
      <c r="H3083">
        <v>0</v>
      </c>
      <c r="I3083">
        <v>0</v>
      </c>
      <c r="J3083">
        <v>0</v>
      </c>
      <c r="K3083">
        <v>0</v>
      </c>
      <c r="L3083">
        <v>37</v>
      </c>
      <c r="M3083">
        <v>54</v>
      </c>
      <c r="N3083" t="s">
        <v>43</v>
      </c>
      <c r="O3083" s="3">
        <v>44272</v>
      </c>
      <c r="P3083">
        <v>-1</v>
      </c>
      <c r="T3083" t="s">
        <v>39</v>
      </c>
      <c r="U3083">
        <v>84</v>
      </c>
      <c r="V3083">
        <v>26.2</v>
      </c>
    </row>
    <row r="3084" spans="1:22" x14ac:dyDescent="0.35">
      <c r="A3084" s="3">
        <v>44218</v>
      </c>
      <c r="B3084" t="s">
        <v>38</v>
      </c>
      <c r="C3084">
        <v>0</v>
      </c>
      <c r="D3084">
        <v>0</v>
      </c>
      <c r="E3084">
        <v>0</v>
      </c>
      <c r="F3084">
        <v>0</v>
      </c>
      <c r="G3084">
        <v>27.15</v>
      </c>
      <c r="H3084">
        <v>0</v>
      </c>
      <c r="I3084">
        <v>0</v>
      </c>
      <c r="J3084">
        <v>0</v>
      </c>
      <c r="K3084">
        <v>0</v>
      </c>
      <c r="L3084">
        <v>145</v>
      </c>
      <c r="M3084">
        <v>208</v>
      </c>
      <c r="N3084" t="s">
        <v>38</v>
      </c>
      <c r="O3084" s="3">
        <v>44426</v>
      </c>
      <c r="P3084">
        <v>-1</v>
      </c>
      <c r="T3084" t="s">
        <v>38</v>
      </c>
      <c r="U3084">
        <v>104</v>
      </c>
      <c r="V3084">
        <v>26.25</v>
      </c>
    </row>
    <row r="3085" spans="1:22" x14ac:dyDescent="0.35">
      <c r="A3085" s="3">
        <v>44218</v>
      </c>
      <c r="B3085" t="s">
        <v>37</v>
      </c>
      <c r="C3085">
        <v>0</v>
      </c>
      <c r="D3085">
        <v>0</v>
      </c>
      <c r="E3085">
        <v>0</v>
      </c>
      <c r="F3085">
        <v>0</v>
      </c>
      <c r="G3085">
        <v>26.55</v>
      </c>
      <c r="H3085">
        <v>0</v>
      </c>
      <c r="I3085">
        <v>0</v>
      </c>
      <c r="J3085">
        <v>0</v>
      </c>
      <c r="K3085">
        <v>0</v>
      </c>
      <c r="L3085">
        <v>164</v>
      </c>
      <c r="M3085">
        <v>236</v>
      </c>
      <c r="N3085" t="s">
        <v>37</v>
      </c>
      <c r="O3085" s="3">
        <v>44454</v>
      </c>
      <c r="P3085">
        <v>-1</v>
      </c>
      <c r="T3085" t="s">
        <v>37</v>
      </c>
      <c r="U3085">
        <v>123</v>
      </c>
      <c r="V3085">
        <v>26.551300000000001</v>
      </c>
    </row>
    <row r="3086" spans="1:22" x14ac:dyDescent="0.35">
      <c r="A3086" s="3">
        <v>44218</v>
      </c>
      <c r="B3086" t="s">
        <v>42</v>
      </c>
      <c r="C3086">
        <v>0</v>
      </c>
      <c r="D3086">
        <v>0</v>
      </c>
      <c r="E3086">
        <v>0</v>
      </c>
      <c r="F3086">
        <v>0</v>
      </c>
      <c r="G3086">
        <v>26.975000000000001</v>
      </c>
      <c r="H3086">
        <v>0</v>
      </c>
      <c r="I3086">
        <v>0</v>
      </c>
      <c r="J3086">
        <v>0</v>
      </c>
      <c r="K3086">
        <v>0</v>
      </c>
      <c r="L3086">
        <v>62</v>
      </c>
      <c r="M3086">
        <v>89</v>
      </c>
      <c r="N3086" t="s">
        <v>42</v>
      </c>
      <c r="O3086" s="3">
        <v>44307</v>
      </c>
      <c r="P3086">
        <v>-1</v>
      </c>
      <c r="T3086" t="s">
        <v>36</v>
      </c>
      <c r="U3086">
        <v>148</v>
      </c>
      <c r="V3086">
        <v>26.524999999999999</v>
      </c>
    </row>
    <row r="3087" spans="1:22" x14ac:dyDescent="0.35">
      <c r="A3087" s="3">
        <v>44218</v>
      </c>
      <c r="B3087" t="s">
        <v>40</v>
      </c>
      <c r="C3087">
        <v>0</v>
      </c>
      <c r="D3087">
        <v>0</v>
      </c>
      <c r="E3087">
        <v>0</v>
      </c>
      <c r="F3087">
        <v>0</v>
      </c>
      <c r="G3087">
        <v>27.074999999999999</v>
      </c>
      <c r="H3087">
        <v>0</v>
      </c>
      <c r="I3087">
        <v>0</v>
      </c>
      <c r="J3087">
        <v>0</v>
      </c>
      <c r="K3087">
        <v>0</v>
      </c>
      <c r="L3087">
        <v>101</v>
      </c>
      <c r="M3087">
        <v>145</v>
      </c>
      <c r="N3087" t="s">
        <v>40</v>
      </c>
      <c r="O3087" s="3">
        <v>44363</v>
      </c>
      <c r="P3087">
        <v>-1</v>
      </c>
      <c r="T3087" t="s">
        <v>35</v>
      </c>
      <c r="U3087">
        <v>168</v>
      </c>
      <c r="V3087">
        <v>26.2</v>
      </c>
    </row>
    <row r="3088" spans="1:22" x14ac:dyDescent="0.35">
      <c r="A3088" s="3">
        <v>44218</v>
      </c>
      <c r="B3088" t="s">
        <v>39</v>
      </c>
      <c r="C3088">
        <v>0</v>
      </c>
      <c r="D3088">
        <v>0</v>
      </c>
      <c r="E3088">
        <v>0</v>
      </c>
      <c r="F3088">
        <v>0</v>
      </c>
      <c r="G3088">
        <v>27.274999999999999</v>
      </c>
      <c r="H3088">
        <v>0</v>
      </c>
      <c r="I3088">
        <v>0</v>
      </c>
      <c r="J3088">
        <v>0</v>
      </c>
      <c r="K3088">
        <v>0</v>
      </c>
      <c r="L3088">
        <v>125</v>
      </c>
      <c r="M3088">
        <v>180</v>
      </c>
      <c r="N3088" t="s">
        <v>39</v>
      </c>
      <c r="O3088" s="3">
        <v>44398</v>
      </c>
      <c r="P3088">
        <v>-1</v>
      </c>
      <c r="T3088" t="s">
        <v>34</v>
      </c>
      <c r="U3088">
        <v>192</v>
      </c>
      <c r="V3088">
        <v>25.65</v>
      </c>
    </row>
    <row r="3089" spans="1:22" x14ac:dyDescent="0.35">
      <c r="A3089" s="3">
        <v>44218</v>
      </c>
      <c r="B3089" t="s">
        <v>41</v>
      </c>
      <c r="C3089">
        <v>0</v>
      </c>
      <c r="D3089">
        <v>0</v>
      </c>
      <c r="E3089">
        <v>0</v>
      </c>
      <c r="F3089">
        <v>0</v>
      </c>
      <c r="G3089">
        <v>27.074999999999999</v>
      </c>
      <c r="H3089">
        <v>0</v>
      </c>
      <c r="I3089">
        <v>0</v>
      </c>
      <c r="J3089">
        <v>0</v>
      </c>
      <c r="K3089">
        <v>0</v>
      </c>
      <c r="L3089">
        <v>82</v>
      </c>
      <c r="M3089">
        <v>117</v>
      </c>
      <c r="N3089" t="s">
        <v>41</v>
      </c>
      <c r="O3089" s="3">
        <v>44335</v>
      </c>
      <c r="P3089">
        <v>-1</v>
      </c>
      <c r="S3089" s="3">
        <v>44279</v>
      </c>
      <c r="T3089" t="s">
        <v>42</v>
      </c>
      <c r="U3089">
        <v>20</v>
      </c>
      <c r="V3089">
        <v>22.977499999999999</v>
      </c>
    </row>
    <row r="3090" spans="1:22" x14ac:dyDescent="0.35">
      <c r="A3090" s="3">
        <v>44217</v>
      </c>
      <c r="B3090" t="s">
        <v>40</v>
      </c>
      <c r="C3090">
        <v>0</v>
      </c>
      <c r="D3090">
        <v>0</v>
      </c>
      <c r="E3090">
        <v>0</v>
      </c>
      <c r="F3090">
        <v>0</v>
      </c>
      <c r="G3090">
        <v>27.024999999999999</v>
      </c>
      <c r="H3090">
        <v>0</v>
      </c>
      <c r="I3090">
        <v>0</v>
      </c>
      <c r="J3090">
        <v>0</v>
      </c>
      <c r="K3090">
        <v>0</v>
      </c>
      <c r="L3090">
        <v>102</v>
      </c>
      <c r="M3090">
        <v>146</v>
      </c>
      <c r="N3090" t="s">
        <v>40</v>
      </c>
      <c r="O3090" s="3">
        <v>44363</v>
      </c>
      <c r="P3090">
        <v>-1</v>
      </c>
      <c r="T3090" t="s">
        <v>41</v>
      </c>
      <c r="U3090">
        <v>40</v>
      </c>
      <c r="V3090">
        <v>24.761199999999999</v>
      </c>
    </row>
    <row r="3091" spans="1:22" x14ac:dyDescent="0.35">
      <c r="A3091" s="3">
        <v>44217</v>
      </c>
      <c r="B3091" t="s">
        <v>39</v>
      </c>
      <c r="C3091">
        <v>0</v>
      </c>
      <c r="D3091">
        <v>0</v>
      </c>
      <c r="E3091">
        <v>0</v>
      </c>
      <c r="F3091">
        <v>0</v>
      </c>
      <c r="G3091">
        <v>27.175000000000001</v>
      </c>
      <c r="H3091">
        <v>0</v>
      </c>
      <c r="I3091">
        <v>0</v>
      </c>
      <c r="J3091">
        <v>0</v>
      </c>
      <c r="K3091">
        <v>0</v>
      </c>
      <c r="L3091">
        <v>126</v>
      </c>
      <c r="M3091">
        <v>181</v>
      </c>
      <c r="N3091" t="s">
        <v>39</v>
      </c>
      <c r="O3091" s="3">
        <v>44398</v>
      </c>
      <c r="P3091">
        <v>-1</v>
      </c>
      <c r="T3091" t="s">
        <v>40</v>
      </c>
      <c r="U3091">
        <v>59</v>
      </c>
      <c r="V3091">
        <v>25.5075</v>
      </c>
    </row>
    <row r="3092" spans="1:22" x14ac:dyDescent="0.35">
      <c r="A3092" s="3">
        <v>44217</v>
      </c>
      <c r="B3092" t="s">
        <v>41</v>
      </c>
      <c r="C3092">
        <v>0</v>
      </c>
      <c r="D3092">
        <v>0</v>
      </c>
      <c r="E3092">
        <v>0</v>
      </c>
      <c r="F3092">
        <v>0</v>
      </c>
      <c r="G3092">
        <v>26.975000000000001</v>
      </c>
      <c r="H3092">
        <v>0</v>
      </c>
      <c r="I3092">
        <v>0</v>
      </c>
      <c r="J3092">
        <v>0</v>
      </c>
      <c r="K3092">
        <v>0</v>
      </c>
      <c r="L3092">
        <v>83</v>
      </c>
      <c r="M3092">
        <v>118</v>
      </c>
      <c r="N3092" t="s">
        <v>41</v>
      </c>
      <c r="O3092" s="3">
        <v>44335</v>
      </c>
      <c r="P3092">
        <v>-1</v>
      </c>
      <c r="T3092" t="s">
        <v>39</v>
      </c>
      <c r="U3092">
        <v>83</v>
      </c>
      <c r="V3092">
        <v>26.151700000000002</v>
      </c>
    </row>
    <row r="3093" spans="1:22" x14ac:dyDescent="0.35">
      <c r="A3093" s="3">
        <v>44217</v>
      </c>
      <c r="B3093" t="s">
        <v>44</v>
      </c>
      <c r="C3093">
        <v>0</v>
      </c>
      <c r="D3093">
        <v>0</v>
      </c>
      <c r="E3093">
        <v>0</v>
      </c>
      <c r="F3093">
        <v>0</v>
      </c>
      <c r="G3093">
        <v>24.524999999999999</v>
      </c>
      <c r="H3093">
        <v>0</v>
      </c>
      <c r="I3093">
        <v>0</v>
      </c>
      <c r="J3093">
        <v>0</v>
      </c>
      <c r="K3093">
        <v>0</v>
      </c>
      <c r="L3093">
        <v>18</v>
      </c>
      <c r="M3093">
        <v>27</v>
      </c>
      <c r="N3093" t="s">
        <v>44</v>
      </c>
      <c r="O3093" s="3">
        <v>44244</v>
      </c>
      <c r="P3093">
        <v>-1</v>
      </c>
      <c r="T3093" t="s">
        <v>38</v>
      </c>
      <c r="U3093">
        <v>103</v>
      </c>
      <c r="V3093">
        <v>26.258700000000001</v>
      </c>
    </row>
    <row r="3094" spans="1:22" x14ac:dyDescent="0.35">
      <c r="A3094" s="3">
        <v>44217</v>
      </c>
      <c r="B3094" t="s">
        <v>43</v>
      </c>
      <c r="C3094">
        <v>0</v>
      </c>
      <c r="D3094">
        <v>0</v>
      </c>
      <c r="E3094">
        <v>0</v>
      </c>
      <c r="F3094">
        <v>0</v>
      </c>
      <c r="G3094">
        <v>26.225000000000001</v>
      </c>
      <c r="H3094">
        <v>0</v>
      </c>
      <c r="I3094">
        <v>0</v>
      </c>
      <c r="J3094">
        <v>0</v>
      </c>
      <c r="K3094">
        <v>0</v>
      </c>
      <c r="L3094">
        <v>38</v>
      </c>
      <c r="M3094">
        <v>55</v>
      </c>
      <c r="N3094" t="s">
        <v>43</v>
      </c>
      <c r="O3094" s="3">
        <v>44272</v>
      </c>
      <c r="P3094">
        <v>-1</v>
      </c>
      <c r="T3094" t="s">
        <v>37</v>
      </c>
      <c r="U3094">
        <v>122</v>
      </c>
      <c r="V3094">
        <v>26.590499999999999</v>
      </c>
    </row>
    <row r="3095" spans="1:22" x14ac:dyDescent="0.35">
      <c r="A3095" s="3">
        <v>44217</v>
      </c>
      <c r="B3095" t="s">
        <v>38</v>
      </c>
      <c r="C3095">
        <v>0</v>
      </c>
      <c r="D3095">
        <v>0</v>
      </c>
      <c r="E3095">
        <v>0</v>
      </c>
      <c r="F3095">
        <v>0</v>
      </c>
      <c r="G3095">
        <v>27.024999999999999</v>
      </c>
      <c r="H3095">
        <v>0</v>
      </c>
      <c r="I3095">
        <v>0</v>
      </c>
      <c r="J3095">
        <v>0</v>
      </c>
      <c r="K3095">
        <v>0</v>
      </c>
      <c r="L3095">
        <v>146</v>
      </c>
      <c r="M3095">
        <v>209</v>
      </c>
      <c r="N3095" t="s">
        <v>38</v>
      </c>
      <c r="O3095" s="3">
        <v>44426</v>
      </c>
      <c r="P3095">
        <v>-1</v>
      </c>
      <c r="T3095" t="s">
        <v>36</v>
      </c>
      <c r="U3095">
        <v>147</v>
      </c>
      <c r="V3095">
        <v>26.6265</v>
      </c>
    </row>
    <row r="3096" spans="1:22" x14ac:dyDescent="0.35">
      <c r="A3096" s="3">
        <v>44217</v>
      </c>
      <c r="B3096" t="s">
        <v>37</v>
      </c>
      <c r="C3096">
        <v>0</v>
      </c>
      <c r="D3096">
        <v>0</v>
      </c>
      <c r="E3096">
        <v>0</v>
      </c>
      <c r="F3096">
        <v>0</v>
      </c>
      <c r="G3096">
        <v>26.675000000000001</v>
      </c>
      <c r="H3096">
        <v>0</v>
      </c>
      <c r="I3096">
        <v>0</v>
      </c>
      <c r="J3096">
        <v>0</v>
      </c>
      <c r="K3096">
        <v>0</v>
      </c>
      <c r="L3096">
        <v>165</v>
      </c>
      <c r="M3096">
        <v>237</v>
      </c>
      <c r="N3096" t="s">
        <v>37</v>
      </c>
      <c r="O3096" s="3">
        <v>44454</v>
      </c>
      <c r="P3096">
        <v>-1</v>
      </c>
      <c r="T3096" t="s">
        <v>35</v>
      </c>
      <c r="U3096">
        <v>167</v>
      </c>
      <c r="V3096">
        <v>26.3</v>
      </c>
    </row>
    <row r="3097" spans="1:22" x14ac:dyDescent="0.35">
      <c r="A3097" s="3">
        <v>44217</v>
      </c>
      <c r="B3097" t="s">
        <v>42</v>
      </c>
      <c r="C3097">
        <v>0</v>
      </c>
      <c r="D3097">
        <v>0</v>
      </c>
      <c r="E3097">
        <v>0</v>
      </c>
      <c r="F3097">
        <v>0</v>
      </c>
      <c r="G3097">
        <v>26.824999999999999</v>
      </c>
      <c r="H3097">
        <v>0</v>
      </c>
      <c r="I3097">
        <v>0</v>
      </c>
      <c r="J3097">
        <v>0</v>
      </c>
      <c r="K3097">
        <v>0</v>
      </c>
      <c r="L3097">
        <v>63</v>
      </c>
      <c r="M3097">
        <v>90</v>
      </c>
      <c r="N3097" t="s">
        <v>42</v>
      </c>
      <c r="O3097" s="3">
        <v>44307</v>
      </c>
      <c r="P3097">
        <v>-1</v>
      </c>
      <c r="T3097" t="s">
        <v>34</v>
      </c>
      <c r="U3097">
        <v>191</v>
      </c>
      <c r="V3097">
        <v>25.6</v>
      </c>
    </row>
    <row r="3098" spans="1:22" x14ac:dyDescent="0.35">
      <c r="A3098" s="3">
        <v>44216</v>
      </c>
      <c r="B3098" t="s">
        <v>44</v>
      </c>
      <c r="C3098">
        <v>0</v>
      </c>
      <c r="D3098">
        <v>0</v>
      </c>
      <c r="E3098">
        <v>0</v>
      </c>
      <c r="F3098">
        <v>0</v>
      </c>
      <c r="G3098">
        <v>24.774999999999999</v>
      </c>
      <c r="H3098">
        <v>0</v>
      </c>
      <c r="I3098">
        <v>0</v>
      </c>
      <c r="J3098">
        <v>0</v>
      </c>
      <c r="K3098">
        <v>0</v>
      </c>
      <c r="L3098">
        <v>19</v>
      </c>
      <c r="M3098">
        <v>28</v>
      </c>
      <c r="N3098" t="s">
        <v>44</v>
      </c>
      <c r="O3098" s="3">
        <v>44244</v>
      </c>
      <c r="P3098">
        <v>-1</v>
      </c>
      <c r="S3098" s="3">
        <v>44280</v>
      </c>
      <c r="T3098" t="s">
        <v>42</v>
      </c>
      <c r="U3098">
        <v>19</v>
      </c>
      <c r="V3098">
        <v>22.305599999999998</v>
      </c>
    </row>
    <row r="3099" spans="1:22" x14ac:dyDescent="0.35">
      <c r="A3099" s="3">
        <v>44216</v>
      </c>
      <c r="B3099" t="s">
        <v>43</v>
      </c>
      <c r="C3099">
        <v>0</v>
      </c>
      <c r="D3099">
        <v>0</v>
      </c>
      <c r="E3099">
        <v>0</v>
      </c>
      <c r="F3099">
        <v>0</v>
      </c>
      <c r="G3099">
        <v>26.274999999999999</v>
      </c>
      <c r="H3099">
        <v>0</v>
      </c>
      <c r="I3099">
        <v>0</v>
      </c>
      <c r="J3099">
        <v>0</v>
      </c>
      <c r="K3099">
        <v>0</v>
      </c>
      <c r="L3099">
        <v>39</v>
      </c>
      <c r="M3099">
        <v>56</v>
      </c>
      <c r="N3099" t="s">
        <v>43</v>
      </c>
      <c r="O3099" s="3">
        <v>44272</v>
      </c>
      <c r="P3099">
        <v>-1</v>
      </c>
      <c r="T3099" t="s">
        <v>41</v>
      </c>
      <c r="U3099">
        <v>39</v>
      </c>
      <c r="V3099">
        <v>24.2012</v>
      </c>
    </row>
    <row r="3100" spans="1:22" x14ac:dyDescent="0.35">
      <c r="A3100" s="3">
        <v>44216</v>
      </c>
      <c r="B3100" t="s">
        <v>38</v>
      </c>
      <c r="C3100">
        <v>0</v>
      </c>
      <c r="D3100">
        <v>0</v>
      </c>
      <c r="E3100">
        <v>0</v>
      </c>
      <c r="F3100">
        <v>0</v>
      </c>
      <c r="G3100">
        <v>26.625</v>
      </c>
      <c r="H3100">
        <v>0</v>
      </c>
      <c r="I3100">
        <v>0</v>
      </c>
      <c r="J3100">
        <v>0</v>
      </c>
      <c r="K3100">
        <v>0</v>
      </c>
      <c r="L3100">
        <v>147</v>
      </c>
      <c r="M3100">
        <v>210</v>
      </c>
      <c r="N3100" t="s">
        <v>38</v>
      </c>
      <c r="O3100" s="3">
        <v>44426</v>
      </c>
      <c r="P3100">
        <v>-1</v>
      </c>
      <c r="T3100" t="s">
        <v>40</v>
      </c>
      <c r="U3100">
        <v>58</v>
      </c>
      <c r="V3100">
        <v>25.05</v>
      </c>
    </row>
    <row r="3101" spans="1:22" x14ac:dyDescent="0.35">
      <c r="A3101" s="3">
        <v>44216</v>
      </c>
      <c r="B3101" t="s">
        <v>37</v>
      </c>
      <c r="C3101">
        <v>0</v>
      </c>
      <c r="D3101">
        <v>0</v>
      </c>
      <c r="E3101">
        <v>0</v>
      </c>
      <c r="F3101">
        <v>0</v>
      </c>
      <c r="G3101">
        <v>26.5</v>
      </c>
      <c r="H3101">
        <v>0</v>
      </c>
      <c r="I3101">
        <v>0</v>
      </c>
      <c r="J3101">
        <v>0</v>
      </c>
      <c r="K3101">
        <v>0</v>
      </c>
      <c r="L3101">
        <v>166</v>
      </c>
      <c r="M3101">
        <v>238</v>
      </c>
      <c r="N3101" t="s">
        <v>37</v>
      </c>
      <c r="O3101" s="3">
        <v>44454</v>
      </c>
      <c r="P3101">
        <v>-1</v>
      </c>
      <c r="T3101" t="s">
        <v>39</v>
      </c>
      <c r="U3101">
        <v>82</v>
      </c>
      <c r="V3101">
        <v>25.704499999999999</v>
      </c>
    </row>
    <row r="3102" spans="1:22" x14ac:dyDescent="0.35">
      <c r="A3102" s="3">
        <v>44216</v>
      </c>
      <c r="B3102" t="s">
        <v>42</v>
      </c>
      <c r="C3102">
        <v>0</v>
      </c>
      <c r="D3102">
        <v>0</v>
      </c>
      <c r="E3102">
        <v>0</v>
      </c>
      <c r="F3102">
        <v>0</v>
      </c>
      <c r="G3102">
        <v>26.675000000000001</v>
      </c>
      <c r="H3102">
        <v>0</v>
      </c>
      <c r="I3102">
        <v>0</v>
      </c>
      <c r="J3102">
        <v>0</v>
      </c>
      <c r="K3102">
        <v>0</v>
      </c>
      <c r="L3102">
        <v>64</v>
      </c>
      <c r="M3102">
        <v>91</v>
      </c>
      <c r="N3102" t="s">
        <v>42</v>
      </c>
      <c r="O3102" s="3">
        <v>44307</v>
      </c>
      <c r="P3102">
        <v>-1</v>
      </c>
      <c r="T3102" t="s">
        <v>38</v>
      </c>
      <c r="U3102">
        <v>102</v>
      </c>
      <c r="V3102">
        <v>25.861799999999999</v>
      </c>
    </row>
    <row r="3103" spans="1:22" x14ac:dyDescent="0.35">
      <c r="A3103" s="3">
        <v>44216</v>
      </c>
      <c r="B3103" t="s">
        <v>40</v>
      </c>
      <c r="C3103">
        <v>0</v>
      </c>
      <c r="D3103">
        <v>0</v>
      </c>
      <c r="E3103">
        <v>0</v>
      </c>
      <c r="F3103">
        <v>0</v>
      </c>
      <c r="G3103">
        <v>26.774999999999999</v>
      </c>
      <c r="H3103">
        <v>0</v>
      </c>
      <c r="I3103">
        <v>0</v>
      </c>
      <c r="J3103">
        <v>0</v>
      </c>
      <c r="K3103">
        <v>0</v>
      </c>
      <c r="L3103">
        <v>103</v>
      </c>
      <c r="M3103">
        <v>147</v>
      </c>
      <c r="N3103" t="s">
        <v>40</v>
      </c>
      <c r="O3103" s="3">
        <v>44363</v>
      </c>
      <c r="P3103">
        <v>-1</v>
      </c>
      <c r="T3103" t="s">
        <v>37</v>
      </c>
      <c r="U3103">
        <v>121</v>
      </c>
      <c r="V3103">
        <v>26.2</v>
      </c>
    </row>
    <row r="3104" spans="1:22" x14ac:dyDescent="0.35">
      <c r="A3104" s="3">
        <v>44216</v>
      </c>
      <c r="B3104" t="s">
        <v>39</v>
      </c>
      <c r="C3104">
        <v>0</v>
      </c>
      <c r="D3104">
        <v>0</v>
      </c>
      <c r="E3104">
        <v>0</v>
      </c>
      <c r="F3104">
        <v>0</v>
      </c>
      <c r="G3104">
        <v>26.875</v>
      </c>
      <c r="H3104">
        <v>0</v>
      </c>
      <c r="I3104">
        <v>0</v>
      </c>
      <c r="J3104">
        <v>0</v>
      </c>
      <c r="K3104">
        <v>0</v>
      </c>
      <c r="L3104">
        <v>127</v>
      </c>
      <c r="M3104">
        <v>182</v>
      </c>
      <c r="N3104" t="s">
        <v>39</v>
      </c>
      <c r="O3104" s="3">
        <v>44398</v>
      </c>
      <c r="P3104">
        <v>-1</v>
      </c>
      <c r="T3104" t="s">
        <v>36</v>
      </c>
      <c r="U3104">
        <v>146</v>
      </c>
      <c r="V3104">
        <v>26.251200000000001</v>
      </c>
    </row>
    <row r="3105" spans="1:22" x14ac:dyDescent="0.35">
      <c r="A3105" s="3">
        <v>44216</v>
      </c>
      <c r="B3105" t="s">
        <v>45</v>
      </c>
      <c r="C3105">
        <v>0</v>
      </c>
      <c r="D3105">
        <v>0</v>
      </c>
      <c r="E3105">
        <v>0</v>
      </c>
      <c r="F3105">
        <v>0</v>
      </c>
      <c r="G3105">
        <v>22.59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 t="s">
        <v>45</v>
      </c>
      <c r="O3105" s="3">
        <v>44216</v>
      </c>
      <c r="P3105">
        <v>-1</v>
      </c>
      <c r="T3105" t="s">
        <v>35</v>
      </c>
      <c r="U3105">
        <v>166</v>
      </c>
      <c r="V3105">
        <v>25.925000000000001</v>
      </c>
    </row>
    <row r="3106" spans="1:22" x14ac:dyDescent="0.35">
      <c r="A3106" s="3">
        <v>44216</v>
      </c>
      <c r="B3106" t="s">
        <v>41</v>
      </c>
      <c r="C3106">
        <v>0</v>
      </c>
      <c r="D3106">
        <v>0</v>
      </c>
      <c r="E3106">
        <v>0</v>
      </c>
      <c r="F3106">
        <v>0</v>
      </c>
      <c r="G3106">
        <v>26.774999999999999</v>
      </c>
      <c r="H3106">
        <v>0</v>
      </c>
      <c r="I3106">
        <v>0</v>
      </c>
      <c r="J3106">
        <v>0</v>
      </c>
      <c r="K3106">
        <v>0</v>
      </c>
      <c r="L3106">
        <v>84</v>
      </c>
      <c r="M3106">
        <v>119</v>
      </c>
      <c r="N3106" t="s">
        <v>41</v>
      </c>
      <c r="O3106" s="3">
        <v>44335</v>
      </c>
      <c r="P3106">
        <v>-1</v>
      </c>
      <c r="T3106" t="s">
        <v>34</v>
      </c>
      <c r="U3106">
        <v>190</v>
      </c>
      <c r="V3106">
        <v>25.35</v>
      </c>
    </row>
    <row r="3107" spans="1:22" x14ac:dyDescent="0.35">
      <c r="A3107" s="3">
        <v>44215</v>
      </c>
      <c r="B3107" t="s">
        <v>40</v>
      </c>
      <c r="C3107">
        <v>0</v>
      </c>
      <c r="D3107">
        <v>0</v>
      </c>
      <c r="E3107">
        <v>0</v>
      </c>
      <c r="F3107">
        <v>0</v>
      </c>
      <c r="G3107">
        <v>26.725000000000001</v>
      </c>
      <c r="H3107">
        <v>0</v>
      </c>
      <c r="I3107">
        <v>0</v>
      </c>
      <c r="J3107">
        <v>0</v>
      </c>
      <c r="K3107">
        <v>0</v>
      </c>
      <c r="L3107">
        <v>104</v>
      </c>
      <c r="M3107">
        <v>148</v>
      </c>
      <c r="N3107" t="s">
        <v>40</v>
      </c>
      <c r="O3107" s="3">
        <v>44363</v>
      </c>
      <c r="P3107">
        <v>-1</v>
      </c>
      <c r="S3107" s="3">
        <v>44281</v>
      </c>
      <c r="T3107" t="s">
        <v>42</v>
      </c>
      <c r="U3107">
        <v>18</v>
      </c>
      <c r="V3107">
        <v>21.385899999999999</v>
      </c>
    </row>
    <row r="3108" spans="1:22" x14ac:dyDescent="0.35">
      <c r="A3108" s="3">
        <v>44215</v>
      </c>
      <c r="B3108" t="s">
        <v>39</v>
      </c>
      <c r="C3108">
        <v>0</v>
      </c>
      <c r="D3108">
        <v>0</v>
      </c>
      <c r="E3108">
        <v>0</v>
      </c>
      <c r="F3108">
        <v>0</v>
      </c>
      <c r="G3108">
        <v>26.925000000000001</v>
      </c>
      <c r="H3108">
        <v>0</v>
      </c>
      <c r="I3108">
        <v>0</v>
      </c>
      <c r="J3108">
        <v>0</v>
      </c>
      <c r="K3108">
        <v>0</v>
      </c>
      <c r="L3108">
        <v>128</v>
      </c>
      <c r="M3108">
        <v>183</v>
      </c>
      <c r="N3108" t="s">
        <v>39</v>
      </c>
      <c r="O3108" s="3">
        <v>44398</v>
      </c>
      <c r="P3108">
        <v>-1</v>
      </c>
      <c r="T3108" t="s">
        <v>41</v>
      </c>
      <c r="U3108">
        <v>38</v>
      </c>
      <c r="V3108">
        <v>23.313500000000001</v>
      </c>
    </row>
    <row r="3109" spans="1:22" x14ac:dyDescent="0.35">
      <c r="A3109" s="3">
        <v>44215</v>
      </c>
      <c r="B3109" t="s">
        <v>45</v>
      </c>
      <c r="C3109">
        <v>0</v>
      </c>
      <c r="D3109">
        <v>0</v>
      </c>
      <c r="E3109">
        <v>0</v>
      </c>
      <c r="F3109">
        <v>0</v>
      </c>
      <c r="G3109">
        <v>23.225000000000001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1</v>
      </c>
      <c r="N3109" t="s">
        <v>45</v>
      </c>
      <c r="O3109" s="3">
        <v>44216</v>
      </c>
      <c r="P3109">
        <v>-1</v>
      </c>
      <c r="T3109" t="s">
        <v>40</v>
      </c>
      <c r="U3109">
        <v>57</v>
      </c>
      <c r="V3109">
        <v>24.357800000000001</v>
      </c>
    </row>
    <row r="3110" spans="1:22" x14ac:dyDescent="0.35">
      <c r="A3110" s="3">
        <v>44215</v>
      </c>
      <c r="B3110" t="s">
        <v>41</v>
      </c>
      <c r="C3110">
        <v>0</v>
      </c>
      <c r="D3110">
        <v>0</v>
      </c>
      <c r="E3110">
        <v>0</v>
      </c>
      <c r="F3110">
        <v>0</v>
      </c>
      <c r="G3110">
        <v>26.875</v>
      </c>
      <c r="H3110">
        <v>0</v>
      </c>
      <c r="I3110">
        <v>0</v>
      </c>
      <c r="J3110">
        <v>0</v>
      </c>
      <c r="K3110">
        <v>0</v>
      </c>
      <c r="L3110">
        <v>85</v>
      </c>
      <c r="M3110">
        <v>120</v>
      </c>
      <c r="N3110" t="s">
        <v>41</v>
      </c>
      <c r="O3110" s="3">
        <v>44335</v>
      </c>
      <c r="P3110">
        <v>-1</v>
      </c>
      <c r="T3110" t="s">
        <v>39</v>
      </c>
      <c r="U3110">
        <v>81</v>
      </c>
      <c r="V3110">
        <v>25.1614</v>
      </c>
    </row>
    <row r="3111" spans="1:22" x14ac:dyDescent="0.35">
      <c r="A3111" s="3">
        <v>44215</v>
      </c>
      <c r="B3111" t="s">
        <v>44</v>
      </c>
      <c r="C3111">
        <v>0</v>
      </c>
      <c r="D3111">
        <v>0</v>
      </c>
      <c r="E3111">
        <v>0</v>
      </c>
      <c r="F3111">
        <v>0</v>
      </c>
      <c r="G3111">
        <v>25.225000000000001</v>
      </c>
      <c r="H3111">
        <v>0</v>
      </c>
      <c r="I3111">
        <v>0</v>
      </c>
      <c r="J3111">
        <v>0</v>
      </c>
      <c r="K3111">
        <v>0</v>
      </c>
      <c r="L3111">
        <v>20</v>
      </c>
      <c r="M3111">
        <v>29</v>
      </c>
      <c r="N3111" t="s">
        <v>44</v>
      </c>
      <c r="O3111" s="3">
        <v>44244</v>
      </c>
      <c r="P3111">
        <v>-1</v>
      </c>
      <c r="T3111" t="s">
        <v>38</v>
      </c>
      <c r="U3111">
        <v>101</v>
      </c>
      <c r="V3111">
        <v>25.360299999999999</v>
      </c>
    </row>
    <row r="3112" spans="1:22" x14ac:dyDescent="0.35">
      <c r="A3112" s="3">
        <v>44215</v>
      </c>
      <c r="B3112" t="s">
        <v>43</v>
      </c>
      <c r="C3112">
        <v>0</v>
      </c>
      <c r="D3112">
        <v>0</v>
      </c>
      <c r="E3112">
        <v>0</v>
      </c>
      <c r="F3112">
        <v>0</v>
      </c>
      <c r="G3112">
        <v>26.375</v>
      </c>
      <c r="H3112">
        <v>0</v>
      </c>
      <c r="I3112">
        <v>0</v>
      </c>
      <c r="J3112">
        <v>0</v>
      </c>
      <c r="K3112">
        <v>0</v>
      </c>
      <c r="L3112">
        <v>40</v>
      </c>
      <c r="M3112">
        <v>57</v>
      </c>
      <c r="N3112" t="s">
        <v>43</v>
      </c>
      <c r="O3112" s="3">
        <v>44272</v>
      </c>
      <c r="P3112">
        <v>-1</v>
      </c>
      <c r="T3112" t="s">
        <v>37</v>
      </c>
      <c r="U3112">
        <v>120</v>
      </c>
      <c r="V3112">
        <v>25.708100000000002</v>
      </c>
    </row>
    <row r="3113" spans="1:22" x14ac:dyDescent="0.35">
      <c r="A3113" s="3">
        <v>44215</v>
      </c>
      <c r="B3113" t="s">
        <v>38</v>
      </c>
      <c r="C3113">
        <v>0</v>
      </c>
      <c r="D3113">
        <v>0</v>
      </c>
      <c r="E3113">
        <v>0</v>
      </c>
      <c r="F3113">
        <v>0</v>
      </c>
      <c r="G3113">
        <v>26.7</v>
      </c>
      <c r="H3113">
        <v>0</v>
      </c>
      <c r="I3113">
        <v>0</v>
      </c>
      <c r="J3113">
        <v>0</v>
      </c>
      <c r="K3113">
        <v>0</v>
      </c>
      <c r="L3113">
        <v>148</v>
      </c>
      <c r="M3113">
        <v>211</v>
      </c>
      <c r="N3113" t="s">
        <v>38</v>
      </c>
      <c r="O3113" s="3">
        <v>44426</v>
      </c>
      <c r="P3113">
        <v>-1</v>
      </c>
      <c r="T3113" t="s">
        <v>36</v>
      </c>
      <c r="U3113">
        <v>145</v>
      </c>
      <c r="V3113">
        <v>25.774999999999999</v>
      </c>
    </row>
    <row r="3114" spans="1:22" x14ac:dyDescent="0.35">
      <c r="A3114" s="3">
        <v>44215</v>
      </c>
      <c r="B3114" t="s">
        <v>37</v>
      </c>
      <c r="C3114">
        <v>0</v>
      </c>
      <c r="D3114">
        <v>0</v>
      </c>
      <c r="E3114">
        <v>0</v>
      </c>
      <c r="F3114">
        <v>0</v>
      </c>
      <c r="G3114">
        <v>27.15</v>
      </c>
      <c r="H3114">
        <v>0</v>
      </c>
      <c r="I3114">
        <v>0</v>
      </c>
      <c r="J3114">
        <v>0</v>
      </c>
      <c r="K3114">
        <v>0</v>
      </c>
      <c r="L3114">
        <v>167</v>
      </c>
      <c r="M3114">
        <v>239</v>
      </c>
      <c r="N3114" t="s">
        <v>37</v>
      </c>
      <c r="O3114" s="3">
        <v>44454</v>
      </c>
      <c r="P3114">
        <v>-1</v>
      </c>
      <c r="T3114" t="s">
        <v>35</v>
      </c>
      <c r="U3114">
        <v>165</v>
      </c>
      <c r="V3114">
        <v>25.4</v>
      </c>
    </row>
    <row r="3115" spans="1:22" x14ac:dyDescent="0.35">
      <c r="A3115" s="3">
        <v>44215</v>
      </c>
      <c r="B3115" t="s">
        <v>42</v>
      </c>
      <c r="C3115">
        <v>0</v>
      </c>
      <c r="D3115">
        <v>0</v>
      </c>
      <c r="E3115">
        <v>0</v>
      </c>
      <c r="F3115">
        <v>0</v>
      </c>
      <c r="G3115">
        <v>26.875</v>
      </c>
      <c r="H3115">
        <v>0</v>
      </c>
      <c r="I3115">
        <v>0</v>
      </c>
      <c r="J3115">
        <v>0</v>
      </c>
      <c r="K3115">
        <v>0</v>
      </c>
      <c r="L3115">
        <v>65</v>
      </c>
      <c r="M3115">
        <v>92</v>
      </c>
      <c r="N3115" t="s">
        <v>42</v>
      </c>
      <c r="O3115" s="3">
        <v>44307</v>
      </c>
      <c r="P3115">
        <v>-1</v>
      </c>
      <c r="T3115" t="s">
        <v>34</v>
      </c>
      <c r="U3115">
        <v>189</v>
      </c>
      <c r="V3115">
        <v>24.95</v>
      </c>
    </row>
    <row r="3116" spans="1:22" x14ac:dyDescent="0.35">
      <c r="A3116" s="3">
        <v>44211</v>
      </c>
      <c r="B3116" t="s">
        <v>44</v>
      </c>
      <c r="C3116">
        <v>0</v>
      </c>
      <c r="D3116">
        <v>0</v>
      </c>
      <c r="E3116">
        <v>0</v>
      </c>
      <c r="F3116">
        <v>0</v>
      </c>
      <c r="G3116">
        <v>25.975000000000001</v>
      </c>
      <c r="H3116">
        <v>0</v>
      </c>
      <c r="I3116">
        <v>0</v>
      </c>
      <c r="J3116">
        <v>0</v>
      </c>
      <c r="K3116">
        <v>0</v>
      </c>
      <c r="L3116">
        <v>21</v>
      </c>
      <c r="M3116">
        <v>33</v>
      </c>
      <c r="N3116" t="s">
        <v>44</v>
      </c>
      <c r="O3116" s="3">
        <v>44244</v>
      </c>
      <c r="P3116">
        <v>-1</v>
      </c>
      <c r="S3116" s="3">
        <v>44284</v>
      </c>
      <c r="T3116" t="s">
        <v>42</v>
      </c>
      <c r="U3116">
        <v>17</v>
      </c>
      <c r="V3116">
        <v>22.0032</v>
      </c>
    </row>
    <row r="3117" spans="1:22" x14ac:dyDescent="0.35">
      <c r="A3117" s="3">
        <v>44211</v>
      </c>
      <c r="B3117" t="s">
        <v>43</v>
      </c>
      <c r="C3117">
        <v>0</v>
      </c>
      <c r="D3117">
        <v>0</v>
      </c>
      <c r="E3117">
        <v>0</v>
      </c>
      <c r="F3117">
        <v>0</v>
      </c>
      <c r="G3117">
        <v>26.625</v>
      </c>
      <c r="H3117">
        <v>0</v>
      </c>
      <c r="I3117">
        <v>0</v>
      </c>
      <c r="J3117">
        <v>0</v>
      </c>
      <c r="K3117">
        <v>0</v>
      </c>
      <c r="L3117">
        <v>41</v>
      </c>
      <c r="M3117">
        <v>61</v>
      </c>
      <c r="N3117" t="s">
        <v>43</v>
      </c>
      <c r="O3117" s="3">
        <v>44272</v>
      </c>
      <c r="P3117">
        <v>-1</v>
      </c>
      <c r="T3117" t="s">
        <v>41</v>
      </c>
      <c r="U3117">
        <v>37</v>
      </c>
      <c r="V3117">
        <v>23.650200000000002</v>
      </c>
    </row>
    <row r="3118" spans="1:22" x14ac:dyDescent="0.35">
      <c r="A3118" s="3">
        <v>44211</v>
      </c>
      <c r="B3118" t="s">
        <v>38</v>
      </c>
      <c r="C3118">
        <v>0</v>
      </c>
      <c r="D3118">
        <v>0</v>
      </c>
      <c r="E3118">
        <v>0</v>
      </c>
      <c r="F3118">
        <v>0</v>
      </c>
      <c r="G3118">
        <v>26.8</v>
      </c>
      <c r="H3118">
        <v>0</v>
      </c>
      <c r="I3118">
        <v>0</v>
      </c>
      <c r="J3118">
        <v>0</v>
      </c>
      <c r="K3118">
        <v>0</v>
      </c>
      <c r="L3118">
        <v>149</v>
      </c>
      <c r="M3118">
        <v>215</v>
      </c>
      <c r="N3118" t="s">
        <v>38</v>
      </c>
      <c r="O3118" s="3">
        <v>44426</v>
      </c>
      <c r="P3118">
        <v>-1</v>
      </c>
      <c r="T3118" t="s">
        <v>40</v>
      </c>
      <c r="U3118">
        <v>56</v>
      </c>
      <c r="V3118">
        <v>24.4815</v>
      </c>
    </row>
    <row r="3119" spans="1:22" x14ac:dyDescent="0.35">
      <c r="A3119" s="3">
        <v>44211</v>
      </c>
      <c r="B3119" t="s">
        <v>37</v>
      </c>
      <c r="C3119">
        <v>0</v>
      </c>
      <c r="D3119">
        <v>0</v>
      </c>
      <c r="E3119">
        <v>0</v>
      </c>
      <c r="F3119">
        <v>0</v>
      </c>
      <c r="G3119">
        <v>26.75</v>
      </c>
      <c r="H3119">
        <v>0</v>
      </c>
      <c r="I3119">
        <v>0</v>
      </c>
      <c r="J3119">
        <v>0</v>
      </c>
      <c r="K3119">
        <v>0</v>
      </c>
      <c r="L3119">
        <v>168</v>
      </c>
      <c r="M3119">
        <v>243</v>
      </c>
      <c r="N3119" t="s">
        <v>37</v>
      </c>
      <c r="O3119" s="3">
        <v>44454</v>
      </c>
      <c r="P3119">
        <v>-1</v>
      </c>
      <c r="T3119" t="s">
        <v>39</v>
      </c>
      <c r="U3119">
        <v>80</v>
      </c>
      <c r="V3119">
        <v>25.1</v>
      </c>
    </row>
    <row r="3120" spans="1:22" x14ac:dyDescent="0.35">
      <c r="A3120" s="3">
        <v>44211</v>
      </c>
      <c r="B3120" t="s">
        <v>42</v>
      </c>
      <c r="C3120">
        <v>0</v>
      </c>
      <c r="D3120">
        <v>0</v>
      </c>
      <c r="E3120">
        <v>0</v>
      </c>
      <c r="F3120">
        <v>0</v>
      </c>
      <c r="G3120">
        <v>26.925000000000001</v>
      </c>
      <c r="H3120">
        <v>0</v>
      </c>
      <c r="I3120">
        <v>0</v>
      </c>
      <c r="J3120">
        <v>0</v>
      </c>
      <c r="K3120">
        <v>0</v>
      </c>
      <c r="L3120">
        <v>66</v>
      </c>
      <c r="M3120">
        <v>96</v>
      </c>
      <c r="N3120" t="s">
        <v>42</v>
      </c>
      <c r="O3120" s="3">
        <v>44307</v>
      </c>
      <c r="P3120">
        <v>-1</v>
      </c>
      <c r="T3120" t="s">
        <v>38</v>
      </c>
      <c r="U3120">
        <v>100</v>
      </c>
      <c r="V3120">
        <v>25.233000000000001</v>
      </c>
    </row>
    <row r="3121" spans="1:22" x14ac:dyDescent="0.35">
      <c r="A3121" s="3">
        <v>44211</v>
      </c>
      <c r="B3121" t="s">
        <v>40</v>
      </c>
      <c r="C3121">
        <v>0</v>
      </c>
      <c r="D3121">
        <v>0</v>
      </c>
      <c r="E3121">
        <v>0</v>
      </c>
      <c r="F3121">
        <v>0</v>
      </c>
      <c r="G3121">
        <v>26.875</v>
      </c>
      <c r="H3121">
        <v>0</v>
      </c>
      <c r="I3121">
        <v>0</v>
      </c>
      <c r="J3121">
        <v>0</v>
      </c>
      <c r="K3121">
        <v>0</v>
      </c>
      <c r="L3121">
        <v>105</v>
      </c>
      <c r="M3121">
        <v>152</v>
      </c>
      <c r="N3121" t="s">
        <v>40</v>
      </c>
      <c r="O3121" s="3">
        <v>44363</v>
      </c>
      <c r="P3121">
        <v>-1</v>
      </c>
      <c r="T3121" t="s">
        <v>37</v>
      </c>
      <c r="U3121">
        <v>119</v>
      </c>
      <c r="V3121">
        <v>25.625</v>
      </c>
    </row>
    <row r="3122" spans="1:22" x14ac:dyDescent="0.35">
      <c r="A3122" s="3">
        <v>44211</v>
      </c>
      <c r="B3122" t="s">
        <v>39</v>
      </c>
      <c r="C3122">
        <v>0</v>
      </c>
      <c r="D3122">
        <v>0</v>
      </c>
      <c r="E3122">
        <v>0</v>
      </c>
      <c r="F3122">
        <v>0</v>
      </c>
      <c r="G3122">
        <v>27.05</v>
      </c>
      <c r="H3122">
        <v>0</v>
      </c>
      <c r="I3122">
        <v>0</v>
      </c>
      <c r="J3122">
        <v>0</v>
      </c>
      <c r="K3122">
        <v>0</v>
      </c>
      <c r="L3122">
        <v>129</v>
      </c>
      <c r="M3122">
        <v>187</v>
      </c>
      <c r="N3122" t="s">
        <v>39</v>
      </c>
      <c r="O3122" s="3">
        <v>44398</v>
      </c>
      <c r="P3122">
        <v>-1</v>
      </c>
      <c r="T3122" t="s">
        <v>36</v>
      </c>
      <c r="U3122">
        <v>144</v>
      </c>
      <c r="V3122">
        <v>25.7</v>
      </c>
    </row>
    <row r="3123" spans="1:22" x14ac:dyDescent="0.35">
      <c r="A3123" s="3">
        <v>44211</v>
      </c>
      <c r="B3123" t="s">
        <v>45</v>
      </c>
      <c r="C3123">
        <v>0</v>
      </c>
      <c r="D3123">
        <v>0</v>
      </c>
      <c r="E3123">
        <v>0</v>
      </c>
      <c r="F3123">
        <v>0</v>
      </c>
      <c r="G3123">
        <v>23.774999999999999</v>
      </c>
      <c r="H3123">
        <v>0</v>
      </c>
      <c r="I3123">
        <v>0</v>
      </c>
      <c r="J3123">
        <v>0</v>
      </c>
      <c r="K3123">
        <v>0</v>
      </c>
      <c r="L3123">
        <v>2</v>
      </c>
      <c r="M3123">
        <v>5</v>
      </c>
      <c r="N3123" t="s">
        <v>45</v>
      </c>
      <c r="O3123" s="3">
        <v>44216</v>
      </c>
      <c r="P3123">
        <v>-1</v>
      </c>
      <c r="T3123" t="s">
        <v>35</v>
      </c>
      <c r="U3123">
        <v>164</v>
      </c>
      <c r="V3123">
        <v>25.45</v>
      </c>
    </row>
    <row r="3124" spans="1:22" x14ac:dyDescent="0.35">
      <c r="A3124" s="3">
        <v>44211</v>
      </c>
      <c r="B3124" t="s">
        <v>41</v>
      </c>
      <c r="C3124">
        <v>0</v>
      </c>
      <c r="D3124">
        <v>0</v>
      </c>
      <c r="E3124">
        <v>0</v>
      </c>
      <c r="F3124">
        <v>0</v>
      </c>
      <c r="G3124">
        <v>26.875</v>
      </c>
      <c r="H3124">
        <v>0</v>
      </c>
      <c r="I3124">
        <v>0</v>
      </c>
      <c r="J3124">
        <v>0</v>
      </c>
      <c r="K3124">
        <v>0</v>
      </c>
      <c r="L3124">
        <v>86</v>
      </c>
      <c r="M3124">
        <v>124</v>
      </c>
      <c r="N3124" t="s">
        <v>41</v>
      </c>
      <c r="O3124" s="3">
        <v>44335</v>
      </c>
      <c r="P3124">
        <v>-1</v>
      </c>
      <c r="T3124" t="s">
        <v>34</v>
      </c>
      <c r="U3124">
        <v>188</v>
      </c>
      <c r="V3124">
        <v>25</v>
      </c>
    </row>
    <row r="3125" spans="1:22" x14ac:dyDescent="0.35">
      <c r="A3125" s="3">
        <v>44210</v>
      </c>
      <c r="B3125" t="s">
        <v>40</v>
      </c>
      <c r="C3125">
        <v>0</v>
      </c>
      <c r="D3125">
        <v>0</v>
      </c>
      <c r="E3125">
        <v>0</v>
      </c>
      <c r="F3125">
        <v>0</v>
      </c>
      <c r="G3125">
        <v>26.475000000000001</v>
      </c>
      <c r="H3125">
        <v>0</v>
      </c>
      <c r="I3125">
        <v>0</v>
      </c>
      <c r="J3125">
        <v>0</v>
      </c>
      <c r="K3125">
        <v>0</v>
      </c>
      <c r="L3125">
        <v>106</v>
      </c>
      <c r="M3125">
        <v>153</v>
      </c>
      <c r="N3125" t="s">
        <v>40</v>
      </c>
      <c r="O3125" s="3">
        <v>44363</v>
      </c>
      <c r="P3125">
        <v>-1</v>
      </c>
      <c r="S3125" s="3">
        <v>44285</v>
      </c>
      <c r="T3125" t="s">
        <v>42</v>
      </c>
      <c r="U3125">
        <v>16</v>
      </c>
      <c r="V3125">
        <v>21.0321</v>
      </c>
    </row>
    <row r="3126" spans="1:22" x14ac:dyDescent="0.35">
      <c r="A3126" s="3">
        <v>44210</v>
      </c>
      <c r="B3126" t="s">
        <v>39</v>
      </c>
      <c r="C3126">
        <v>0</v>
      </c>
      <c r="D3126">
        <v>0</v>
      </c>
      <c r="E3126">
        <v>0</v>
      </c>
      <c r="F3126">
        <v>0</v>
      </c>
      <c r="G3126">
        <v>26.6</v>
      </c>
      <c r="H3126">
        <v>0</v>
      </c>
      <c r="I3126">
        <v>0</v>
      </c>
      <c r="J3126">
        <v>0</v>
      </c>
      <c r="K3126">
        <v>0</v>
      </c>
      <c r="L3126">
        <v>130</v>
      </c>
      <c r="M3126">
        <v>188</v>
      </c>
      <c r="N3126" t="s">
        <v>39</v>
      </c>
      <c r="O3126" s="3">
        <v>44398</v>
      </c>
      <c r="P3126">
        <v>-1</v>
      </c>
      <c r="T3126" t="s">
        <v>41</v>
      </c>
      <c r="U3126">
        <v>36</v>
      </c>
      <c r="V3126">
        <v>22.807600000000001</v>
      </c>
    </row>
    <row r="3127" spans="1:22" x14ac:dyDescent="0.35">
      <c r="A3127" s="3">
        <v>44210</v>
      </c>
      <c r="B3127" t="s">
        <v>45</v>
      </c>
      <c r="C3127">
        <v>0</v>
      </c>
      <c r="D3127">
        <v>0</v>
      </c>
      <c r="E3127">
        <v>0</v>
      </c>
      <c r="F3127">
        <v>0</v>
      </c>
      <c r="G3127">
        <v>23.175000000000001</v>
      </c>
      <c r="H3127">
        <v>0</v>
      </c>
      <c r="I3127">
        <v>0</v>
      </c>
      <c r="J3127">
        <v>0</v>
      </c>
      <c r="K3127">
        <v>0</v>
      </c>
      <c r="L3127">
        <v>3</v>
      </c>
      <c r="M3127">
        <v>6</v>
      </c>
      <c r="N3127" t="s">
        <v>45</v>
      </c>
      <c r="O3127" s="3">
        <v>44216</v>
      </c>
      <c r="P3127">
        <v>-1</v>
      </c>
      <c r="T3127" t="s">
        <v>40</v>
      </c>
      <c r="U3127">
        <v>55</v>
      </c>
      <c r="V3127">
        <v>23.713200000000001</v>
      </c>
    </row>
    <row r="3128" spans="1:22" x14ac:dyDescent="0.35">
      <c r="A3128" s="3">
        <v>44210</v>
      </c>
      <c r="B3128" t="s">
        <v>41</v>
      </c>
      <c r="C3128">
        <v>0</v>
      </c>
      <c r="D3128">
        <v>0</v>
      </c>
      <c r="E3128">
        <v>0</v>
      </c>
      <c r="F3128">
        <v>0</v>
      </c>
      <c r="G3128">
        <v>26.524999999999999</v>
      </c>
      <c r="H3128">
        <v>0</v>
      </c>
      <c r="I3128">
        <v>0</v>
      </c>
      <c r="J3128">
        <v>0</v>
      </c>
      <c r="K3128">
        <v>0</v>
      </c>
      <c r="L3128">
        <v>87</v>
      </c>
      <c r="M3128">
        <v>125</v>
      </c>
      <c r="N3128" t="s">
        <v>41</v>
      </c>
      <c r="O3128" s="3">
        <v>44335</v>
      </c>
      <c r="P3128">
        <v>-1</v>
      </c>
      <c r="T3128" t="s">
        <v>39</v>
      </c>
      <c r="U3128">
        <v>79</v>
      </c>
      <c r="V3128">
        <v>24.3811</v>
      </c>
    </row>
    <row r="3129" spans="1:22" x14ac:dyDescent="0.35">
      <c r="A3129" s="3">
        <v>44210</v>
      </c>
      <c r="B3129" t="s">
        <v>44</v>
      </c>
      <c r="C3129">
        <v>0</v>
      </c>
      <c r="D3129">
        <v>0</v>
      </c>
      <c r="E3129">
        <v>0</v>
      </c>
      <c r="F3129">
        <v>0</v>
      </c>
      <c r="G3129">
        <v>25.324999999999999</v>
      </c>
      <c r="H3129">
        <v>0</v>
      </c>
      <c r="I3129">
        <v>0</v>
      </c>
      <c r="J3129">
        <v>0</v>
      </c>
      <c r="K3129">
        <v>0</v>
      </c>
      <c r="L3129">
        <v>22</v>
      </c>
      <c r="M3129">
        <v>34</v>
      </c>
      <c r="N3129" t="s">
        <v>44</v>
      </c>
      <c r="O3129" s="3">
        <v>44244</v>
      </c>
      <c r="P3129">
        <v>-1</v>
      </c>
      <c r="T3129" t="s">
        <v>38</v>
      </c>
      <c r="U3129">
        <v>99</v>
      </c>
      <c r="V3129">
        <v>24.55</v>
      </c>
    </row>
    <row r="3130" spans="1:22" x14ac:dyDescent="0.35">
      <c r="A3130" s="3">
        <v>44210</v>
      </c>
      <c r="B3130" t="s">
        <v>43</v>
      </c>
      <c r="C3130">
        <v>0</v>
      </c>
      <c r="D3130">
        <v>0</v>
      </c>
      <c r="E3130">
        <v>0</v>
      </c>
      <c r="F3130">
        <v>0</v>
      </c>
      <c r="G3130">
        <v>26.024999999999999</v>
      </c>
      <c r="H3130">
        <v>0</v>
      </c>
      <c r="I3130">
        <v>0</v>
      </c>
      <c r="J3130">
        <v>0</v>
      </c>
      <c r="K3130">
        <v>0</v>
      </c>
      <c r="L3130">
        <v>42</v>
      </c>
      <c r="M3130">
        <v>62</v>
      </c>
      <c r="N3130" t="s">
        <v>43</v>
      </c>
      <c r="O3130" s="3">
        <v>44272</v>
      </c>
      <c r="P3130">
        <v>-1</v>
      </c>
      <c r="T3130" t="s">
        <v>37</v>
      </c>
      <c r="U3130">
        <v>118</v>
      </c>
      <c r="V3130">
        <v>24.95</v>
      </c>
    </row>
    <row r="3131" spans="1:22" x14ac:dyDescent="0.35">
      <c r="A3131" s="3">
        <v>44210</v>
      </c>
      <c r="B3131" t="s">
        <v>38</v>
      </c>
      <c r="C3131">
        <v>0</v>
      </c>
      <c r="D3131">
        <v>0</v>
      </c>
      <c r="E3131">
        <v>0</v>
      </c>
      <c r="F3131">
        <v>0</v>
      </c>
      <c r="G3131">
        <v>26.3</v>
      </c>
      <c r="H3131">
        <v>0</v>
      </c>
      <c r="I3131">
        <v>0</v>
      </c>
      <c r="J3131">
        <v>0</v>
      </c>
      <c r="K3131">
        <v>0</v>
      </c>
      <c r="L3131">
        <v>150</v>
      </c>
      <c r="M3131">
        <v>216</v>
      </c>
      <c r="N3131" t="s">
        <v>38</v>
      </c>
      <c r="O3131" s="3">
        <v>44426</v>
      </c>
      <c r="P3131">
        <v>-1</v>
      </c>
      <c r="T3131" t="s">
        <v>36</v>
      </c>
      <c r="U3131">
        <v>143</v>
      </c>
      <c r="V3131">
        <v>25.031300000000002</v>
      </c>
    </row>
    <row r="3132" spans="1:22" x14ac:dyDescent="0.35">
      <c r="A3132" s="3">
        <v>44210</v>
      </c>
      <c r="B3132" t="s">
        <v>37</v>
      </c>
      <c r="C3132">
        <v>0</v>
      </c>
      <c r="D3132">
        <v>0</v>
      </c>
      <c r="E3132">
        <v>0</v>
      </c>
      <c r="F3132">
        <v>0</v>
      </c>
      <c r="G3132">
        <v>26.55</v>
      </c>
      <c r="H3132">
        <v>0</v>
      </c>
      <c r="I3132">
        <v>0</v>
      </c>
      <c r="J3132">
        <v>0</v>
      </c>
      <c r="K3132">
        <v>0</v>
      </c>
      <c r="L3132">
        <v>169</v>
      </c>
      <c r="M3132">
        <v>244</v>
      </c>
      <c r="N3132" t="s">
        <v>37</v>
      </c>
      <c r="O3132" s="3">
        <v>44454</v>
      </c>
      <c r="P3132">
        <v>-1</v>
      </c>
      <c r="T3132" t="s">
        <v>35</v>
      </c>
      <c r="U3132">
        <v>163</v>
      </c>
      <c r="V3132">
        <v>24.85</v>
      </c>
    </row>
    <row r="3133" spans="1:22" x14ac:dyDescent="0.35">
      <c r="A3133" s="3">
        <v>44210</v>
      </c>
      <c r="B3133" t="s">
        <v>42</v>
      </c>
      <c r="C3133">
        <v>0</v>
      </c>
      <c r="D3133">
        <v>0</v>
      </c>
      <c r="E3133">
        <v>0</v>
      </c>
      <c r="F3133">
        <v>0</v>
      </c>
      <c r="G3133">
        <v>26.475000000000001</v>
      </c>
      <c r="H3133">
        <v>0</v>
      </c>
      <c r="I3133">
        <v>0</v>
      </c>
      <c r="J3133">
        <v>0</v>
      </c>
      <c r="K3133">
        <v>0</v>
      </c>
      <c r="L3133">
        <v>67</v>
      </c>
      <c r="M3133">
        <v>97</v>
      </c>
      <c r="N3133" t="s">
        <v>42</v>
      </c>
      <c r="O3133" s="3">
        <v>44307</v>
      </c>
      <c r="P3133">
        <v>-1</v>
      </c>
      <c r="T3133" t="s">
        <v>34</v>
      </c>
      <c r="U3133">
        <v>187</v>
      </c>
      <c r="V3133">
        <v>24.5</v>
      </c>
    </row>
    <row r="3134" spans="1:22" x14ac:dyDescent="0.35">
      <c r="A3134" s="3">
        <v>44209</v>
      </c>
      <c r="B3134" t="s">
        <v>44</v>
      </c>
      <c r="C3134">
        <v>0</v>
      </c>
      <c r="D3134">
        <v>0</v>
      </c>
      <c r="E3134">
        <v>0</v>
      </c>
      <c r="F3134">
        <v>0</v>
      </c>
      <c r="G3134">
        <v>25.074999999999999</v>
      </c>
      <c r="H3134">
        <v>0</v>
      </c>
      <c r="I3134">
        <v>0</v>
      </c>
      <c r="J3134">
        <v>0</v>
      </c>
      <c r="K3134">
        <v>0</v>
      </c>
      <c r="L3134">
        <v>23</v>
      </c>
      <c r="M3134">
        <v>35</v>
      </c>
      <c r="N3134" t="s">
        <v>44</v>
      </c>
      <c r="O3134" s="3">
        <v>44244</v>
      </c>
      <c r="P3134">
        <v>-1</v>
      </c>
      <c r="S3134" s="3">
        <v>44286</v>
      </c>
      <c r="T3134" t="s">
        <v>42</v>
      </c>
      <c r="U3134">
        <v>15</v>
      </c>
      <c r="V3134">
        <v>20.734000000000002</v>
      </c>
    </row>
    <row r="3135" spans="1:22" x14ac:dyDescent="0.35">
      <c r="A3135" s="3">
        <v>44209</v>
      </c>
      <c r="B3135" t="s">
        <v>43</v>
      </c>
      <c r="C3135">
        <v>0</v>
      </c>
      <c r="D3135">
        <v>0</v>
      </c>
      <c r="E3135">
        <v>0</v>
      </c>
      <c r="F3135">
        <v>0</v>
      </c>
      <c r="G3135">
        <v>25.725000000000001</v>
      </c>
      <c r="H3135">
        <v>0</v>
      </c>
      <c r="I3135">
        <v>0</v>
      </c>
      <c r="J3135">
        <v>0</v>
      </c>
      <c r="K3135">
        <v>0</v>
      </c>
      <c r="L3135">
        <v>43</v>
      </c>
      <c r="M3135">
        <v>63</v>
      </c>
      <c r="N3135" t="s">
        <v>43</v>
      </c>
      <c r="O3135" s="3">
        <v>44272</v>
      </c>
      <c r="P3135">
        <v>-1</v>
      </c>
      <c r="T3135" t="s">
        <v>41</v>
      </c>
      <c r="U3135">
        <v>35</v>
      </c>
      <c r="V3135">
        <v>22.675799999999999</v>
      </c>
    </row>
    <row r="3136" spans="1:22" x14ac:dyDescent="0.35">
      <c r="A3136" s="3">
        <v>44209</v>
      </c>
      <c r="B3136" t="s">
        <v>38</v>
      </c>
      <c r="C3136">
        <v>0</v>
      </c>
      <c r="D3136">
        <v>0</v>
      </c>
      <c r="E3136">
        <v>0</v>
      </c>
      <c r="F3136">
        <v>0</v>
      </c>
      <c r="G3136">
        <v>25.875</v>
      </c>
      <c r="H3136">
        <v>0</v>
      </c>
      <c r="I3136">
        <v>0</v>
      </c>
      <c r="J3136">
        <v>0</v>
      </c>
      <c r="K3136">
        <v>0</v>
      </c>
      <c r="L3136">
        <v>151</v>
      </c>
      <c r="M3136">
        <v>217</v>
      </c>
      <c r="N3136" t="s">
        <v>38</v>
      </c>
      <c r="O3136" s="3">
        <v>44426</v>
      </c>
      <c r="P3136">
        <v>-1</v>
      </c>
      <c r="T3136" t="s">
        <v>40</v>
      </c>
      <c r="U3136">
        <v>54</v>
      </c>
      <c r="V3136">
        <v>23.646699999999999</v>
      </c>
    </row>
    <row r="3137" spans="1:22" x14ac:dyDescent="0.35">
      <c r="A3137" s="3">
        <v>44209</v>
      </c>
      <c r="B3137" t="s">
        <v>37</v>
      </c>
      <c r="C3137">
        <v>0</v>
      </c>
      <c r="D3137">
        <v>0</v>
      </c>
      <c r="E3137">
        <v>0</v>
      </c>
      <c r="F3137">
        <v>0</v>
      </c>
      <c r="G3137">
        <v>26.55</v>
      </c>
      <c r="H3137">
        <v>0</v>
      </c>
      <c r="I3137">
        <v>0</v>
      </c>
      <c r="J3137">
        <v>0</v>
      </c>
      <c r="K3137">
        <v>0</v>
      </c>
      <c r="L3137">
        <v>170</v>
      </c>
      <c r="M3137">
        <v>245</v>
      </c>
      <c r="N3137" t="s">
        <v>37</v>
      </c>
      <c r="O3137" s="3">
        <v>44454</v>
      </c>
      <c r="P3137">
        <v>-1</v>
      </c>
      <c r="T3137" t="s">
        <v>39</v>
      </c>
      <c r="U3137">
        <v>78</v>
      </c>
      <c r="V3137">
        <v>24.3</v>
      </c>
    </row>
    <row r="3138" spans="1:22" x14ac:dyDescent="0.35">
      <c r="A3138" s="3">
        <v>44209</v>
      </c>
      <c r="B3138" t="s">
        <v>42</v>
      </c>
      <c r="C3138">
        <v>0</v>
      </c>
      <c r="D3138">
        <v>0</v>
      </c>
      <c r="E3138">
        <v>0</v>
      </c>
      <c r="F3138">
        <v>0</v>
      </c>
      <c r="G3138">
        <v>26</v>
      </c>
      <c r="H3138">
        <v>0</v>
      </c>
      <c r="I3138">
        <v>0</v>
      </c>
      <c r="J3138">
        <v>0</v>
      </c>
      <c r="K3138">
        <v>0</v>
      </c>
      <c r="L3138">
        <v>68</v>
      </c>
      <c r="M3138">
        <v>98</v>
      </c>
      <c r="N3138" t="s">
        <v>42</v>
      </c>
      <c r="O3138" s="3">
        <v>44307</v>
      </c>
      <c r="P3138">
        <v>-1</v>
      </c>
      <c r="T3138" t="s">
        <v>38</v>
      </c>
      <c r="U3138">
        <v>98</v>
      </c>
      <c r="V3138">
        <v>24.4511</v>
      </c>
    </row>
    <row r="3139" spans="1:22" x14ac:dyDescent="0.35">
      <c r="A3139" s="3">
        <v>44209</v>
      </c>
      <c r="B3139" t="s">
        <v>40</v>
      </c>
      <c r="C3139">
        <v>0</v>
      </c>
      <c r="D3139">
        <v>0</v>
      </c>
      <c r="E3139">
        <v>0</v>
      </c>
      <c r="F3139">
        <v>0</v>
      </c>
      <c r="G3139">
        <v>25.975000000000001</v>
      </c>
      <c r="H3139">
        <v>0</v>
      </c>
      <c r="I3139">
        <v>0</v>
      </c>
      <c r="J3139">
        <v>0</v>
      </c>
      <c r="K3139">
        <v>0</v>
      </c>
      <c r="L3139">
        <v>107</v>
      </c>
      <c r="M3139">
        <v>154</v>
      </c>
      <c r="N3139" t="s">
        <v>40</v>
      </c>
      <c r="O3139" s="3">
        <v>44363</v>
      </c>
      <c r="P3139">
        <v>-1</v>
      </c>
      <c r="T3139" t="s">
        <v>37</v>
      </c>
      <c r="U3139">
        <v>117</v>
      </c>
      <c r="V3139">
        <v>24.851900000000001</v>
      </c>
    </row>
    <row r="3140" spans="1:22" x14ac:dyDescent="0.35">
      <c r="A3140" s="3">
        <v>44209</v>
      </c>
      <c r="B3140" t="s">
        <v>39</v>
      </c>
      <c r="C3140">
        <v>0</v>
      </c>
      <c r="D3140">
        <v>0</v>
      </c>
      <c r="E3140">
        <v>0</v>
      </c>
      <c r="F3140">
        <v>0</v>
      </c>
      <c r="G3140">
        <v>26.125</v>
      </c>
      <c r="H3140">
        <v>0</v>
      </c>
      <c r="I3140">
        <v>0</v>
      </c>
      <c r="J3140">
        <v>0</v>
      </c>
      <c r="K3140">
        <v>0</v>
      </c>
      <c r="L3140">
        <v>131</v>
      </c>
      <c r="M3140">
        <v>189</v>
      </c>
      <c r="N3140" t="s">
        <v>39</v>
      </c>
      <c r="O3140" s="3">
        <v>44398</v>
      </c>
      <c r="P3140">
        <v>-1</v>
      </c>
      <c r="T3140" t="s">
        <v>36</v>
      </c>
      <c r="U3140">
        <v>142</v>
      </c>
      <c r="V3140">
        <v>25.008299999999998</v>
      </c>
    </row>
    <row r="3141" spans="1:22" x14ac:dyDescent="0.35">
      <c r="A3141" s="3">
        <v>44209</v>
      </c>
      <c r="B3141" t="s">
        <v>45</v>
      </c>
      <c r="C3141">
        <v>0</v>
      </c>
      <c r="D3141">
        <v>0</v>
      </c>
      <c r="E3141">
        <v>0</v>
      </c>
      <c r="F3141">
        <v>0</v>
      </c>
      <c r="G3141">
        <v>22.675000000000001</v>
      </c>
      <c r="H3141">
        <v>0</v>
      </c>
      <c r="I3141">
        <v>0</v>
      </c>
      <c r="J3141">
        <v>0</v>
      </c>
      <c r="K3141">
        <v>0</v>
      </c>
      <c r="L3141">
        <v>4</v>
      </c>
      <c r="M3141">
        <v>7</v>
      </c>
      <c r="N3141" t="s">
        <v>45</v>
      </c>
      <c r="O3141" s="3">
        <v>44216</v>
      </c>
      <c r="P3141">
        <v>-1</v>
      </c>
      <c r="T3141" t="s">
        <v>35</v>
      </c>
      <c r="U3141">
        <v>162</v>
      </c>
      <c r="V3141">
        <v>24.8</v>
      </c>
    </row>
    <row r="3142" spans="1:22" x14ac:dyDescent="0.35">
      <c r="A3142" s="3">
        <v>44209</v>
      </c>
      <c r="B3142" t="s">
        <v>41</v>
      </c>
      <c r="C3142">
        <v>0</v>
      </c>
      <c r="D3142">
        <v>0</v>
      </c>
      <c r="E3142">
        <v>0</v>
      </c>
      <c r="F3142">
        <v>0</v>
      </c>
      <c r="G3142">
        <v>26</v>
      </c>
      <c r="H3142">
        <v>0</v>
      </c>
      <c r="I3142">
        <v>0</v>
      </c>
      <c r="J3142">
        <v>0</v>
      </c>
      <c r="K3142">
        <v>0</v>
      </c>
      <c r="L3142">
        <v>88</v>
      </c>
      <c r="M3142">
        <v>126</v>
      </c>
      <c r="N3142" t="s">
        <v>41</v>
      </c>
      <c r="O3142" s="3">
        <v>44335</v>
      </c>
      <c r="P3142">
        <v>-1</v>
      </c>
      <c r="T3142" t="s">
        <v>34</v>
      </c>
      <c r="U3142">
        <v>186</v>
      </c>
      <c r="V3142">
        <v>24.3</v>
      </c>
    </row>
    <row r="3143" spans="1:22" x14ac:dyDescent="0.35">
      <c r="A3143" s="3">
        <v>44208</v>
      </c>
      <c r="B3143" t="s">
        <v>40</v>
      </c>
      <c r="C3143">
        <v>0</v>
      </c>
      <c r="D3143">
        <v>0</v>
      </c>
      <c r="E3143">
        <v>0</v>
      </c>
      <c r="F3143">
        <v>0</v>
      </c>
      <c r="G3143">
        <v>26.175000000000001</v>
      </c>
      <c r="H3143">
        <v>0</v>
      </c>
      <c r="I3143">
        <v>0</v>
      </c>
      <c r="J3143">
        <v>0</v>
      </c>
      <c r="K3143">
        <v>0</v>
      </c>
      <c r="L3143">
        <v>108</v>
      </c>
      <c r="M3143">
        <v>155</v>
      </c>
      <c r="N3143" t="s">
        <v>40</v>
      </c>
      <c r="O3143" s="3">
        <v>44363</v>
      </c>
      <c r="P3143">
        <v>-1</v>
      </c>
      <c r="S3143" s="3">
        <v>44287</v>
      </c>
      <c r="T3143" t="s">
        <v>42</v>
      </c>
      <c r="U3143">
        <v>14</v>
      </c>
      <c r="V3143">
        <v>20.0824</v>
      </c>
    </row>
    <row r="3144" spans="1:22" x14ac:dyDescent="0.35">
      <c r="A3144" s="3">
        <v>44208</v>
      </c>
      <c r="B3144" t="s">
        <v>39</v>
      </c>
      <c r="C3144">
        <v>0</v>
      </c>
      <c r="D3144">
        <v>0</v>
      </c>
      <c r="E3144">
        <v>0</v>
      </c>
      <c r="F3144">
        <v>0</v>
      </c>
      <c r="G3144">
        <v>26.274999999999999</v>
      </c>
      <c r="H3144">
        <v>0</v>
      </c>
      <c r="I3144">
        <v>0</v>
      </c>
      <c r="J3144">
        <v>0</v>
      </c>
      <c r="K3144">
        <v>0</v>
      </c>
      <c r="L3144">
        <v>132</v>
      </c>
      <c r="M3144">
        <v>190</v>
      </c>
      <c r="N3144" t="s">
        <v>39</v>
      </c>
      <c r="O3144" s="3">
        <v>44398</v>
      </c>
      <c r="P3144">
        <v>-1</v>
      </c>
      <c r="T3144" t="s">
        <v>41</v>
      </c>
      <c r="U3144">
        <v>34</v>
      </c>
      <c r="V3144">
        <v>22.0336</v>
      </c>
    </row>
    <row r="3145" spans="1:22" x14ac:dyDescent="0.35">
      <c r="A3145" s="3">
        <v>44208</v>
      </c>
      <c r="B3145" t="s">
        <v>45</v>
      </c>
      <c r="C3145">
        <v>0</v>
      </c>
      <c r="D3145">
        <v>0</v>
      </c>
      <c r="E3145">
        <v>0</v>
      </c>
      <c r="F3145">
        <v>0</v>
      </c>
      <c r="G3145">
        <v>23.324999999999999</v>
      </c>
      <c r="H3145">
        <v>0</v>
      </c>
      <c r="I3145">
        <v>0</v>
      </c>
      <c r="J3145">
        <v>0</v>
      </c>
      <c r="K3145">
        <v>0</v>
      </c>
      <c r="L3145">
        <v>5</v>
      </c>
      <c r="M3145">
        <v>8</v>
      </c>
      <c r="N3145" t="s">
        <v>45</v>
      </c>
      <c r="O3145" s="3">
        <v>44216</v>
      </c>
      <c r="P3145">
        <v>-1</v>
      </c>
      <c r="T3145" t="s">
        <v>40</v>
      </c>
      <c r="U3145">
        <v>53</v>
      </c>
      <c r="V3145">
        <v>23.131</v>
      </c>
    </row>
    <row r="3146" spans="1:22" x14ac:dyDescent="0.35">
      <c r="A3146" s="3">
        <v>44208</v>
      </c>
      <c r="B3146" t="s">
        <v>41</v>
      </c>
      <c r="C3146">
        <v>0</v>
      </c>
      <c r="D3146">
        <v>0</v>
      </c>
      <c r="E3146">
        <v>0</v>
      </c>
      <c r="F3146">
        <v>0</v>
      </c>
      <c r="G3146">
        <v>26.175000000000001</v>
      </c>
      <c r="H3146">
        <v>0</v>
      </c>
      <c r="I3146">
        <v>0</v>
      </c>
      <c r="J3146">
        <v>0</v>
      </c>
      <c r="K3146">
        <v>0</v>
      </c>
      <c r="L3146">
        <v>89</v>
      </c>
      <c r="M3146">
        <v>127</v>
      </c>
      <c r="N3146" t="s">
        <v>41</v>
      </c>
      <c r="O3146" s="3">
        <v>44335</v>
      </c>
      <c r="P3146">
        <v>-1</v>
      </c>
      <c r="T3146" t="s">
        <v>39</v>
      </c>
      <c r="U3146">
        <v>77</v>
      </c>
      <c r="V3146">
        <v>23.853899999999999</v>
      </c>
    </row>
    <row r="3147" spans="1:22" x14ac:dyDescent="0.35">
      <c r="A3147" s="3">
        <v>44208</v>
      </c>
      <c r="B3147" t="s">
        <v>44</v>
      </c>
      <c r="C3147">
        <v>0</v>
      </c>
      <c r="D3147">
        <v>0</v>
      </c>
      <c r="E3147">
        <v>0</v>
      </c>
      <c r="F3147">
        <v>0</v>
      </c>
      <c r="G3147">
        <v>25.425000000000001</v>
      </c>
      <c r="H3147">
        <v>0</v>
      </c>
      <c r="I3147">
        <v>0</v>
      </c>
      <c r="J3147">
        <v>0</v>
      </c>
      <c r="K3147">
        <v>0</v>
      </c>
      <c r="L3147">
        <v>24</v>
      </c>
      <c r="M3147">
        <v>36</v>
      </c>
      <c r="N3147" t="s">
        <v>44</v>
      </c>
      <c r="O3147" s="3">
        <v>44244</v>
      </c>
      <c r="P3147">
        <v>-1</v>
      </c>
      <c r="T3147" t="s">
        <v>38</v>
      </c>
      <c r="U3147">
        <v>97</v>
      </c>
      <c r="V3147">
        <v>24.03</v>
      </c>
    </row>
    <row r="3148" spans="1:22" x14ac:dyDescent="0.35">
      <c r="A3148" s="3">
        <v>44208</v>
      </c>
      <c r="B3148" t="s">
        <v>43</v>
      </c>
      <c r="C3148">
        <v>0</v>
      </c>
      <c r="D3148">
        <v>0</v>
      </c>
      <c r="E3148">
        <v>0</v>
      </c>
      <c r="F3148">
        <v>0</v>
      </c>
      <c r="G3148">
        <v>25.875</v>
      </c>
      <c r="H3148">
        <v>0</v>
      </c>
      <c r="I3148">
        <v>0</v>
      </c>
      <c r="J3148">
        <v>0</v>
      </c>
      <c r="K3148">
        <v>0</v>
      </c>
      <c r="L3148">
        <v>44</v>
      </c>
      <c r="M3148">
        <v>64</v>
      </c>
      <c r="N3148" t="s">
        <v>43</v>
      </c>
      <c r="O3148" s="3">
        <v>44272</v>
      </c>
      <c r="P3148">
        <v>-1</v>
      </c>
      <c r="T3148" t="s">
        <v>37</v>
      </c>
      <c r="U3148">
        <v>116</v>
      </c>
      <c r="V3148">
        <v>24.478300000000001</v>
      </c>
    </row>
    <row r="3149" spans="1:22" x14ac:dyDescent="0.35">
      <c r="A3149" s="3">
        <v>44208</v>
      </c>
      <c r="B3149" t="s">
        <v>38</v>
      </c>
      <c r="C3149">
        <v>0</v>
      </c>
      <c r="D3149">
        <v>0</v>
      </c>
      <c r="E3149">
        <v>0</v>
      </c>
      <c r="F3149">
        <v>0</v>
      </c>
      <c r="G3149">
        <v>26.074999999999999</v>
      </c>
      <c r="H3149">
        <v>0</v>
      </c>
      <c r="I3149">
        <v>0</v>
      </c>
      <c r="J3149">
        <v>0</v>
      </c>
      <c r="K3149">
        <v>0</v>
      </c>
      <c r="L3149">
        <v>152</v>
      </c>
      <c r="M3149">
        <v>218</v>
      </c>
      <c r="N3149" t="s">
        <v>38</v>
      </c>
      <c r="O3149" s="3">
        <v>44426</v>
      </c>
      <c r="P3149">
        <v>-1</v>
      </c>
      <c r="T3149" t="s">
        <v>36</v>
      </c>
      <c r="U3149">
        <v>141</v>
      </c>
      <c r="V3149">
        <v>24.573399999999999</v>
      </c>
    </row>
    <row r="3150" spans="1:22" x14ac:dyDescent="0.35">
      <c r="A3150" s="3">
        <v>44208</v>
      </c>
      <c r="B3150" t="s">
        <v>37</v>
      </c>
      <c r="C3150">
        <v>0</v>
      </c>
      <c r="D3150">
        <v>0</v>
      </c>
      <c r="E3150">
        <v>0</v>
      </c>
      <c r="F3150">
        <v>0</v>
      </c>
      <c r="G3150">
        <v>26.05</v>
      </c>
      <c r="H3150">
        <v>0</v>
      </c>
      <c r="I3150">
        <v>0</v>
      </c>
      <c r="J3150">
        <v>0</v>
      </c>
      <c r="K3150">
        <v>0</v>
      </c>
      <c r="L3150">
        <v>171</v>
      </c>
      <c r="M3150">
        <v>246</v>
      </c>
      <c r="N3150" t="s">
        <v>37</v>
      </c>
      <c r="O3150" s="3">
        <v>44454</v>
      </c>
      <c r="P3150">
        <v>-1</v>
      </c>
      <c r="T3150" t="s">
        <v>35</v>
      </c>
      <c r="U3150">
        <v>161</v>
      </c>
      <c r="V3150">
        <v>24.4</v>
      </c>
    </row>
    <row r="3151" spans="1:22" x14ac:dyDescent="0.35">
      <c r="A3151" s="3">
        <v>44208</v>
      </c>
      <c r="B3151" t="s">
        <v>42</v>
      </c>
      <c r="C3151">
        <v>0</v>
      </c>
      <c r="D3151">
        <v>0</v>
      </c>
      <c r="E3151">
        <v>0</v>
      </c>
      <c r="F3151">
        <v>0</v>
      </c>
      <c r="G3151">
        <v>26.225000000000001</v>
      </c>
      <c r="H3151">
        <v>0</v>
      </c>
      <c r="I3151">
        <v>0</v>
      </c>
      <c r="J3151">
        <v>0</v>
      </c>
      <c r="K3151">
        <v>0</v>
      </c>
      <c r="L3151">
        <v>69</v>
      </c>
      <c r="M3151">
        <v>99</v>
      </c>
      <c r="N3151" t="s">
        <v>42</v>
      </c>
      <c r="O3151" s="3">
        <v>44307</v>
      </c>
      <c r="P3151">
        <v>-1</v>
      </c>
      <c r="T3151" t="s">
        <v>34</v>
      </c>
      <c r="U3151">
        <v>185</v>
      </c>
      <c r="V3151">
        <v>24.2</v>
      </c>
    </row>
    <row r="3152" spans="1:22" x14ac:dyDescent="0.35">
      <c r="A3152" s="3">
        <v>44207</v>
      </c>
      <c r="B3152" t="s">
        <v>44</v>
      </c>
      <c r="C3152">
        <v>0</v>
      </c>
      <c r="D3152">
        <v>0</v>
      </c>
      <c r="E3152">
        <v>0</v>
      </c>
      <c r="F3152">
        <v>0</v>
      </c>
      <c r="G3152">
        <v>26.175000000000001</v>
      </c>
      <c r="H3152">
        <v>0</v>
      </c>
      <c r="I3152">
        <v>0</v>
      </c>
      <c r="J3152">
        <v>0</v>
      </c>
      <c r="K3152">
        <v>0</v>
      </c>
      <c r="L3152">
        <v>25</v>
      </c>
      <c r="M3152">
        <v>37</v>
      </c>
      <c r="N3152" t="s">
        <v>44</v>
      </c>
      <c r="O3152" s="3">
        <v>44244</v>
      </c>
      <c r="P3152">
        <v>-1</v>
      </c>
      <c r="S3152" s="3">
        <v>44291</v>
      </c>
      <c r="T3152" t="s">
        <v>42</v>
      </c>
      <c r="U3152">
        <v>12</v>
      </c>
      <c r="V3152">
        <v>19.542300000000001</v>
      </c>
    </row>
    <row r="3153" spans="1:22" x14ac:dyDescent="0.35">
      <c r="A3153" s="3">
        <v>44207</v>
      </c>
      <c r="B3153" t="s">
        <v>43</v>
      </c>
      <c r="C3153">
        <v>0</v>
      </c>
      <c r="D3153">
        <v>0</v>
      </c>
      <c r="E3153">
        <v>0</v>
      </c>
      <c r="F3153">
        <v>0</v>
      </c>
      <c r="G3153">
        <v>26.475000000000001</v>
      </c>
      <c r="H3153">
        <v>0</v>
      </c>
      <c r="I3153">
        <v>0</v>
      </c>
      <c r="J3153">
        <v>0</v>
      </c>
      <c r="K3153">
        <v>0</v>
      </c>
      <c r="L3153">
        <v>45</v>
      </c>
      <c r="M3153">
        <v>65</v>
      </c>
      <c r="N3153" t="s">
        <v>43</v>
      </c>
      <c r="O3153" s="3">
        <v>44272</v>
      </c>
      <c r="P3153">
        <v>-1</v>
      </c>
      <c r="T3153" t="s">
        <v>41</v>
      </c>
      <c r="U3153">
        <v>32</v>
      </c>
      <c r="V3153">
        <v>21.491399999999999</v>
      </c>
    </row>
    <row r="3154" spans="1:22" x14ac:dyDescent="0.35">
      <c r="A3154" s="3">
        <v>44207</v>
      </c>
      <c r="B3154" t="s">
        <v>38</v>
      </c>
      <c r="C3154">
        <v>0</v>
      </c>
      <c r="D3154">
        <v>0</v>
      </c>
      <c r="E3154">
        <v>0</v>
      </c>
      <c r="F3154">
        <v>0</v>
      </c>
      <c r="G3154">
        <v>26.25</v>
      </c>
      <c r="H3154">
        <v>0</v>
      </c>
      <c r="I3154">
        <v>0</v>
      </c>
      <c r="J3154">
        <v>0</v>
      </c>
      <c r="K3154">
        <v>0</v>
      </c>
      <c r="L3154">
        <v>153</v>
      </c>
      <c r="M3154">
        <v>219</v>
      </c>
      <c r="N3154" t="s">
        <v>38</v>
      </c>
      <c r="O3154" s="3">
        <v>44426</v>
      </c>
      <c r="P3154">
        <v>-1</v>
      </c>
      <c r="T3154" t="s">
        <v>40</v>
      </c>
      <c r="U3154">
        <v>51</v>
      </c>
      <c r="V3154">
        <v>22.6</v>
      </c>
    </row>
    <row r="3155" spans="1:22" x14ac:dyDescent="0.35">
      <c r="A3155" s="3">
        <v>44207</v>
      </c>
      <c r="B3155" t="s">
        <v>37</v>
      </c>
      <c r="C3155">
        <v>0</v>
      </c>
      <c r="D3155">
        <v>0</v>
      </c>
      <c r="E3155">
        <v>0</v>
      </c>
      <c r="F3155">
        <v>0</v>
      </c>
      <c r="G3155">
        <v>25.2</v>
      </c>
      <c r="H3155">
        <v>0</v>
      </c>
      <c r="I3155">
        <v>0</v>
      </c>
      <c r="J3155">
        <v>0</v>
      </c>
      <c r="K3155">
        <v>0</v>
      </c>
      <c r="L3155">
        <v>172</v>
      </c>
      <c r="M3155">
        <v>247</v>
      </c>
      <c r="N3155" t="s">
        <v>37</v>
      </c>
      <c r="O3155" s="3">
        <v>44454</v>
      </c>
      <c r="P3155">
        <v>-1</v>
      </c>
      <c r="T3155" t="s">
        <v>39</v>
      </c>
      <c r="U3155">
        <v>75</v>
      </c>
      <c r="V3155">
        <v>23.35</v>
      </c>
    </row>
    <row r="3156" spans="1:22" x14ac:dyDescent="0.35">
      <c r="A3156" s="3">
        <v>44207</v>
      </c>
      <c r="B3156" t="s">
        <v>42</v>
      </c>
      <c r="C3156">
        <v>0</v>
      </c>
      <c r="D3156">
        <v>0</v>
      </c>
      <c r="E3156">
        <v>0</v>
      </c>
      <c r="F3156">
        <v>0</v>
      </c>
      <c r="G3156">
        <v>26.574999999999999</v>
      </c>
      <c r="H3156">
        <v>0</v>
      </c>
      <c r="I3156">
        <v>0</v>
      </c>
      <c r="J3156">
        <v>0</v>
      </c>
      <c r="K3156">
        <v>0</v>
      </c>
      <c r="L3156">
        <v>70</v>
      </c>
      <c r="M3156">
        <v>100</v>
      </c>
      <c r="N3156" t="s">
        <v>42</v>
      </c>
      <c r="O3156" s="3">
        <v>44307</v>
      </c>
      <c r="P3156">
        <v>-1</v>
      </c>
      <c r="T3156" t="s">
        <v>38</v>
      </c>
      <c r="U3156">
        <v>95</v>
      </c>
      <c r="V3156">
        <v>23.5548</v>
      </c>
    </row>
    <row r="3157" spans="1:22" x14ac:dyDescent="0.35">
      <c r="A3157" s="3">
        <v>44207</v>
      </c>
      <c r="B3157" t="s">
        <v>40</v>
      </c>
      <c r="C3157">
        <v>0</v>
      </c>
      <c r="D3157">
        <v>0</v>
      </c>
      <c r="E3157">
        <v>0</v>
      </c>
      <c r="F3157">
        <v>0</v>
      </c>
      <c r="G3157">
        <v>26.425000000000001</v>
      </c>
      <c r="H3157">
        <v>0</v>
      </c>
      <c r="I3157">
        <v>0</v>
      </c>
      <c r="J3157">
        <v>0</v>
      </c>
      <c r="K3157">
        <v>0</v>
      </c>
      <c r="L3157">
        <v>109</v>
      </c>
      <c r="M3157">
        <v>156</v>
      </c>
      <c r="N3157" t="s">
        <v>40</v>
      </c>
      <c r="O3157" s="3">
        <v>44363</v>
      </c>
      <c r="P3157">
        <v>-1</v>
      </c>
      <c r="T3157" t="s">
        <v>37</v>
      </c>
      <c r="U3157">
        <v>114</v>
      </c>
      <c r="V3157">
        <v>24.05</v>
      </c>
    </row>
    <row r="3158" spans="1:22" x14ac:dyDescent="0.35">
      <c r="A3158" s="3">
        <v>44207</v>
      </c>
      <c r="B3158" t="s">
        <v>39</v>
      </c>
      <c r="C3158">
        <v>0</v>
      </c>
      <c r="D3158">
        <v>0</v>
      </c>
      <c r="E3158">
        <v>0</v>
      </c>
      <c r="F3158">
        <v>0</v>
      </c>
      <c r="G3158">
        <v>26.5</v>
      </c>
      <c r="H3158">
        <v>0</v>
      </c>
      <c r="I3158">
        <v>0</v>
      </c>
      <c r="J3158">
        <v>0</v>
      </c>
      <c r="K3158">
        <v>0</v>
      </c>
      <c r="L3158">
        <v>133</v>
      </c>
      <c r="M3158">
        <v>191</v>
      </c>
      <c r="N3158" t="s">
        <v>39</v>
      </c>
      <c r="O3158" s="3">
        <v>44398</v>
      </c>
      <c r="P3158">
        <v>-1</v>
      </c>
      <c r="T3158" t="s">
        <v>36</v>
      </c>
      <c r="U3158">
        <v>139</v>
      </c>
      <c r="V3158">
        <v>24.2</v>
      </c>
    </row>
    <row r="3159" spans="1:22" x14ac:dyDescent="0.35">
      <c r="A3159" s="3">
        <v>44207</v>
      </c>
      <c r="B3159" t="s">
        <v>45</v>
      </c>
      <c r="C3159">
        <v>0</v>
      </c>
      <c r="D3159">
        <v>0</v>
      </c>
      <c r="E3159">
        <v>0</v>
      </c>
      <c r="F3159">
        <v>0</v>
      </c>
      <c r="G3159">
        <v>24.475000000000001</v>
      </c>
      <c r="H3159">
        <v>0</v>
      </c>
      <c r="I3159">
        <v>0</v>
      </c>
      <c r="J3159">
        <v>0</v>
      </c>
      <c r="K3159">
        <v>0</v>
      </c>
      <c r="L3159">
        <v>6</v>
      </c>
      <c r="M3159">
        <v>9</v>
      </c>
      <c r="N3159" t="s">
        <v>45</v>
      </c>
      <c r="O3159" s="3">
        <v>44216</v>
      </c>
      <c r="P3159">
        <v>-1</v>
      </c>
      <c r="T3159" t="s">
        <v>35</v>
      </c>
      <c r="U3159">
        <v>159</v>
      </c>
      <c r="V3159">
        <v>24.074999999999999</v>
      </c>
    </row>
    <row r="3160" spans="1:22" x14ac:dyDescent="0.35">
      <c r="A3160" s="3">
        <v>44207</v>
      </c>
      <c r="B3160" t="s">
        <v>41</v>
      </c>
      <c r="C3160">
        <v>0</v>
      </c>
      <c r="D3160">
        <v>0</v>
      </c>
      <c r="E3160">
        <v>0</v>
      </c>
      <c r="F3160">
        <v>0</v>
      </c>
      <c r="G3160">
        <v>26.5</v>
      </c>
      <c r="H3160">
        <v>0</v>
      </c>
      <c r="I3160">
        <v>0</v>
      </c>
      <c r="J3160">
        <v>0</v>
      </c>
      <c r="K3160">
        <v>0</v>
      </c>
      <c r="L3160">
        <v>90</v>
      </c>
      <c r="M3160">
        <v>128</v>
      </c>
      <c r="N3160" t="s">
        <v>41</v>
      </c>
      <c r="O3160" s="3">
        <v>44335</v>
      </c>
      <c r="P3160">
        <v>-1</v>
      </c>
      <c r="T3160" t="s">
        <v>34</v>
      </c>
      <c r="U3160">
        <v>183</v>
      </c>
      <c r="V3160">
        <v>23.774999999999999</v>
      </c>
    </row>
    <row r="3161" spans="1:22" x14ac:dyDescent="0.35">
      <c r="A3161" s="3">
        <v>44204</v>
      </c>
      <c r="B3161" t="s">
        <v>40</v>
      </c>
      <c r="C3161">
        <v>25.65</v>
      </c>
      <c r="D3161">
        <v>25.87</v>
      </c>
      <c r="E3161">
        <v>25.35</v>
      </c>
      <c r="F3161">
        <v>25.42</v>
      </c>
      <c r="G3161">
        <v>25.524999999999999</v>
      </c>
      <c r="H3161">
        <v>-0.05</v>
      </c>
      <c r="I3161">
        <v>1225</v>
      </c>
      <c r="J3161">
        <v>0</v>
      </c>
      <c r="K3161">
        <v>9599</v>
      </c>
      <c r="L3161">
        <v>110</v>
      </c>
      <c r="M3161">
        <v>159</v>
      </c>
      <c r="N3161" t="s">
        <v>40</v>
      </c>
      <c r="O3161" s="3">
        <v>44363</v>
      </c>
      <c r="P3161">
        <v>-1</v>
      </c>
      <c r="S3161" s="3">
        <v>44292</v>
      </c>
      <c r="T3161" t="s">
        <v>42</v>
      </c>
      <c r="U3161">
        <v>11</v>
      </c>
      <c r="V3161">
        <v>19.561</v>
      </c>
    </row>
    <row r="3162" spans="1:22" x14ac:dyDescent="0.35">
      <c r="A3162" s="3">
        <v>44204</v>
      </c>
      <c r="B3162" t="s">
        <v>39</v>
      </c>
      <c r="C3162">
        <v>25.75</v>
      </c>
      <c r="D3162">
        <v>25.93</v>
      </c>
      <c r="E3162">
        <v>25.45</v>
      </c>
      <c r="F3162">
        <v>25.51</v>
      </c>
      <c r="G3162">
        <v>25.625</v>
      </c>
      <c r="H3162">
        <v>0</v>
      </c>
      <c r="I3162">
        <v>495</v>
      </c>
      <c r="J3162">
        <v>0</v>
      </c>
      <c r="K3162">
        <v>2820</v>
      </c>
      <c r="L3162">
        <v>134</v>
      </c>
      <c r="M3162">
        <v>194</v>
      </c>
      <c r="N3162" t="s">
        <v>39</v>
      </c>
      <c r="O3162" s="3">
        <v>44398</v>
      </c>
      <c r="P3162">
        <v>-1</v>
      </c>
      <c r="T3162" t="s">
        <v>41</v>
      </c>
      <c r="U3162">
        <v>31</v>
      </c>
      <c r="V3162">
        <v>21.4864</v>
      </c>
    </row>
    <row r="3163" spans="1:22" x14ac:dyDescent="0.35">
      <c r="A3163" s="3">
        <v>44204</v>
      </c>
      <c r="B3163" t="s">
        <v>45</v>
      </c>
      <c r="C3163">
        <v>23.2</v>
      </c>
      <c r="D3163">
        <v>23.77</v>
      </c>
      <c r="E3163">
        <v>22.55</v>
      </c>
      <c r="F3163">
        <v>22.8</v>
      </c>
      <c r="G3163">
        <v>22.774999999999999</v>
      </c>
      <c r="H3163">
        <v>-0.45</v>
      </c>
      <c r="I3163">
        <v>87598</v>
      </c>
      <c r="J3163">
        <v>0</v>
      </c>
      <c r="K3163">
        <v>86283</v>
      </c>
      <c r="L3163">
        <v>7</v>
      </c>
      <c r="M3163">
        <v>12</v>
      </c>
      <c r="N3163" t="s">
        <v>45</v>
      </c>
      <c r="O3163" s="3">
        <v>44216</v>
      </c>
      <c r="P3163">
        <v>-1</v>
      </c>
      <c r="T3163" t="s">
        <v>40</v>
      </c>
      <c r="U3163">
        <v>50</v>
      </c>
      <c r="V3163">
        <v>22.542200000000001</v>
      </c>
    </row>
    <row r="3164" spans="1:22" x14ac:dyDescent="0.35">
      <c r="A3164" s="3">
        <v>44204</v>
      </c>
      <c r="B3164" t="s">
        <v>41</v>
      </c>
      <c r="C3164">
        <v>25.7</v>
      </c>
      <c r="D3164">
        <v>25.97</v>
      </c>
      <c r="E3164">
        <v>25.37</v>
      </c>
      <c r="F3164">
        <v>25.49</v>
      </c>
      <c r="G3164">
        <v>25.574999999999999</v>
      </c>
      <c r="H3164">
        <v>-0.05</v>
      </c>
      <c r="I3164">
        <v>2528</v>
      </c>
      <c r="J3164">
        <v>0</v>
      </c>
      <c r="K3164">
        <v>10139</v>
      </c>
      <c r="L3164">
        <v>91</v>
      </c>
      <c r="M3164">
        <v>131</v>
      </c>
      <c r="N3164" t="s">
        <v>41</v>
      </c>
      <c r="O3164" s="3">
        <v>44335</v>
      </c>
      <c r="P3164">
        <v>-1</v>
      </c>
      <c r="T3164" t="s">
        <v>39</v>
      </c>
      <c r="U3164">
        <v>74</v>
      </c>
      <c r="V3164">
        <v>23.251799999999999</v>
      </c>
    </row>
    <row r="3165" spans="1:22" x14ac:dyDescent="0.35">
      <c r="A3165" s="3">
        <v>44204</v>
      </c>
      <c r="B3165" t="s">
        <v>44</v>
      </c>
      <c r="C3165">
        <v>25</v>
      </c>
      <c r="D3165">
        <v>25.62</v>
      </c>
      <c r="E3165">
        <v>24.62</v>
      </c>
      <c r="F3165">
        <v>24.82</v>
      </c>
      <c r="G3165">
        <v>24.824999999999999</v>
      </c>
      <c r="H3165">
        <v>-0.15</v>
      </c>
      <c r="I3165">
        <v>89257</v>
      </c>
      <c r="J3165">
        <v>0</v>
      </c>
      <c r="K3165">
        <v>160089</v>
      </c>
      <c r="L3165">
        <v>26</v>
      </c>
      <c r="M3165">
        <v>40</v>
      </c>
      <c r="N3165" t="s">
        <v>44</v>
      </c>
      <c r="O3165" s="3">
        <v>44244</v>
      </c>
      <c r="P3165">
        <v>-1</v>
      </c>
      <c r="T3165" t="s">
        <v>38</v>
      </c>
      <c r="U3165">
        <v>94</v>
      </c>
      <c r="V3165">
        <v>23.47</v>
      </c>
    </row>
    <row r="3166" spans="1:22" x14ac:dyDescent="0.35">
      <c r="A3166" s="3">
        <v>44204</v>
      </c>
      <c r="B3166" t="s">
        <v>43</v>
      </c>
      <c r="C3166">
        <v>25.55</v>
      </c>
      <c r="D3166">
        <v>25.97</v>
      </c>
      <c r="E3166">
        <v>25.1</v>
      </c>
      <c r="F3166">
        <v>25.2</v>
      </c>
      <c r="G3166">
        <v>25.274999999999999</v>
      </c>
      <c r="H3166">
        <v>-0.25</v>
      </c>
      <c r="I3166">
        <v>18304</v>
      </c>
      <c r="J3166">
        <v>0</v>
      </c>
      <c r="K3166">
        <v>41497</v>
      </c>
      <c r="L3166">
        <v>46</v>
      </c>
      <c r="M3166">
        <v>68</v>
      </c>
      <c r="N3166" t="s">
        <v>43</v>
      </c>
      <c r="O3166" s="3">
        <v>44272</v>
      </c>
      <c r="P3166">
        <v>-1</v>
      </c>
      <c r="T3166" t="s">
        <v>37</v>
      </c>
      <c r="U3166">
        <v>113</v>
      </c>
      <c r="V3166">
        <v>23.95</v>
      </c>
    </row>
    <row r="3167" spans="1:22" x14ac:dyDescent="0.35">
      <c r="A3167" s="3">
        <v>44204</v>
      </c>
      <c r="B3167" t="s">
        <v>42</v>
      </c>
      <c r="C3167">
        <v>25.75</v>
      </c>
      <c r="D3167">
        <v>26.1</v>
      </c>
      <c r="E3167">
        <v>25.42</v>
      </c>
      <c r="F3167">
        <v>25.51</v>
      </c>
      <c r="G3167">
        <v>25.574999999999999</v>
      </c>
      <c r="H3167">
        <v>-0.15</v>
      </c>
      <c r="I3167">
        <v>4833</v>
      </c>
      <c r="J3167">
        <v>0</v>
      </c>
      <c r="K3167">
        <v>13762</v>
      </c>
      <c r="L3167">
        <v>71</v>
      </c>
      <c r="M3167">
        <v>103</v>
      </c>
      <c r="N3167" t="s">
        <v>42</v>
      </c>
      <c r="O3167" s="3">
        <v>44307</v>
      </c>
      <c r="P3167">
        <v>-1</v>
      </c>
      <c r="T3167" t="s">
        <v>36</v>
      </c>
      <c r="U3167">
        <v>138</v>
      </c>
      <c r="V3167">
        <v>24.1</v>
      </c>
    </row>
    <row r="3168" spans="1:22" x14ac:dyDescent="0.35">
      <c r="A3168" s="3">
        <v>44203</v>
      </c>
      <c r="B3168" t="s">
        <v>44</v>
      </c>
      <c r="C3168">
        <v>25.8</v>
      </c>
      <c r="D3168">
        <v>25.86</v>
      </c>
      <c r="E3168">
        <v>24.8</v>
      </c>
      <c r="F3168">
        <v>24.97</v>
      </c>
      <c r="G3168">
        <v>24.975000000000001</v>
      </c>
      <c r="H3168">
        <v>-1.3</v>
      </c>
      <c r="I3168">
        <v>78604</v>
      </c>
      <c r="J3168">
        <v>0</v>
      </c>
      <c r="K3168">
        <v>144896</v>
      </c>
      <c r="L3168">
        <v>27</v>
      </c>
      <c r="M3168">
        <v>41</v>
      </c>
      <c r="N3168" t="s">
        <v>44</v>
      </c>
      <c r="O3168" s="3">
        <v>44244</v>
      </c>
      <c r="P3168">
        <v>-1</v>
      </c>
      <c r="T3168" t="s">
        <v>35</v>
      </c>
      <c r="U3168">
        <v>158</v>
      </c>
      <c r="V3168">
        <v>24</v>
      </c>
    </row>
    <row r="3169" spans="1:22" x14ac:dyDescent="0.35">
      <c r="A3169" s="3">
        <v>44203</v>
      </c>
      <c r="B3169" t="s">
        <v>43</v>
      </c>
      <c r="C3169">
        <v>25.93</v>
      </c>
      <c r="D3169">
        <v>25.97</v>
      </c>
      <c r="E3169">
        <v>25.31</v>
      </c>
      <c r="F3169">
        <v>25.52</v>
      </c>
      <c r="G3169">
        <v>25.524999999999999</v>
      </c>
      <c r="H3169">
        <v>-0.75</v>
      </c>
      <c r="I3169">
        <v>16713</v>
      </c>
      <c r="J3169">
        <v>0</v>
      </c>
      <c r="K3169">
        <v>37647</v>
      </c>
      <c r="L3169">
        <v>47</v>
      </c>
      <c r="M3169">
        <v>69</v>
      </c>
      <c r="N3169" t="s">
        <v>43</v>
      </c>
      <c r="O3169" s="3">
        <v>44272</v>
      </c>
      <c r="P3169">
        <v>-1</v>
      </c>
      <c r="T3169" t="s">
        <v>34</v>
      </c>
      <c r="U3169">
        <v>182</v>
      </c>
      <c r="V3169">
        <v>23.774999999999999</v>
      </c>
    </row>
    <row r="3170" spans="1:22" x14ac:dyDescent="0.35">
      <c r="A3170" s="3">
        <v>44203</v>
      </c>
      <c r="B3170" t="s">
        <v>42</v>
      </c>
      <c r="C3170">
        <v>25.9</v>
      </c>
      <c r="D3170">
        <v>25.94</v>
      </c>
      <c r="E3170">
        <v>25.47</v>
      </c>
      <c r="F3170">
        <v>25.71</v>
      </c>
      <c r="G3170">
        <v>25.725000000000001</v>
      </c>
      <c r="H3170">
        <v>-0.5</v>
      </c>
      <c r="I3170">
        <v>6061</v>
      </c>
      <c r="J3170">
        <v>0</v>
      </c>
      <c r="K3170">
        <v>13876</v>
      </c>
      <c r="L3170">
        <v>72</v>
      </c>
      <c r="M3170">
        <v>104</v>
      </c>
      <c r="N3170" t="s">
        <v>42</v>
      </c>
      <c r="O3170" s="3">
        <v>44307</v>
      </c>
      <c r="P3170">
        <v>-1</v>
      </c>
      <c r="S3170" s="3">
        <v>44293</v>
      </c>
      <c r="T3170" t="s">
        <v>42</v>
      </c>
      <c r="U3170">
        <v>10</v>
      </c>
      <c r="V3170">
        <v>18.986000000000001</v>
      </c>
    </row>
    <row r="3171" spans="1:22" x14ac:dyDescent="0.35">
      <c r="A3171" s="3">
        <v>44203</v>
      </c>
      <c r="B3171" t="s">
        <v>40</v>
      </c>
      <c r="C3171">
        <v>25.56</v>
      </c>
      <c r="D3171">
        <v>25.65</v>
      </c>
      <c r="E3171">
        <v>25.3</v>
      </c>
      <c r="F3171">
        <v>25.57</v>
      </c>
      <c r="G3171">
        <v>25.574999999999999</v>
      </c>
      <c r="H3171">
        <v>-0.2</v>
      </c>
      <c r="I3171">
        <v>3298</v>
      </c>
      <c r="J3171">
        <v>0</v>
      </c>
      <c r="K3171">
        <v>9457</v>
      </c>
      <c r="L3171">
        <v>111</v>
      </c>
      <c r="M3171">
        <v>160</v>
      </c>
      <c r="N3171" t="s">
        <v>40</v>
      </c>
      <c r="O3171" s="3">
        <v>44363</v>
      </c>
      <c r="P3171">
        <v>-1</v>
      </c>
      <c r="T3171" t="s">
        <v>41</v>
      </c>
      <c r="U3171">
        <v>30</v>
      </c>
      <c r="V3171">
        <v>21.0655</v>
      </c>
    </row>
    <row r="3172" spans="1:22" x14ac:dyDescent="0.35">
      <c r="A3172" s="3">
        <v>44203</v>
      </c>
      <c r="B3172" t="s">
        <v>39</v>
      </c>
      <c r="C3172">
        <v>25.6</v>
      </c>
      <c r="D3172">
        <v>25.75</v>
      </c>
      <c r="E3172">
        <v>25.42</v>
      </c>
      <c r="F3172">
        <v>25.65</v>
      </c>
      <c r="G3172">
        <v>25.625</v>
      </c>
      <c r="H3172">
        <v>-0.27500000000000002</v>
      </c>
      <c r="I3172">
        <v>760</v>
      </c>
      <c r="J3172">
        <v>0</v>
      </c>
      <c r="K3172">
        <v>2739</v>
      </c>
      <c r="L3172">
        <v>135</v>
      </c>
      <c r="M3172">
        <v>195</v>
      </c>
      <c r="N3172" t="s">
        <v>39</v>
      </c>
      <c r="O3172" s="3">
        <v>44398</v>
      </c>
      <c r="P3172">
        <v>-1</v>
      </c>
      <c r="T3172" t="s">
        <v>40</v>
      </c>
      <c r="U3172">
        <v>49</v>
      </c>
      <c r="V3172">
        <v>22.296399999999998</v>
      </c>
    </row>
    <row r="3173" spans="1:22" x14ac:dyDescent="0.35">
      <c r="A3173" s="3">
        <v>44203</v>
      </c>
      <c r="B3173" t="s">
        <v>38</v>
      </c>
      <c r="C3173">
        <v>25.6</v>
      </c>
      <c r="D3173">
        <v>25.6</v>
      </c>
      <c r="E3173">
        <v>25.45</v>
      </c>
      <c r="F3173">
        <v>25.6</v>
      </c>
      <c r="G3173">
        <v>25.5</v>
      </c>
      <c r="H3173">
        <v>-0.32500000000000001</v>
      </c>
      <c r="I3173">
        <v>1</v>
      </c>
      <c r="J3173">
        <v>0</v>
      </c>
      <c r="K3173">
        <v>24</v>
      </c>
      <c r="L3173">
        <v>155</v>
      </c>
      <c r="M3173">
        <v>223</v>
      </c>
      <c r="N3173" t="s">
        <v>38</v>
      </c>
      <c r="O3173" s="3">
        <v>44426</v>
      </c>
      <c r="P3173">
        <v>-1</v>
      </c>
      <c r="T3173" t="s">
        <v>39</v>
      </c>
      <c r="U3173">
        <v>73</v>
      </c>
      <c r="V3173">
        <v>23.1</v>
      </c>
    </row>
    <row r="3174" spans="1:22" x14ac:dyDescent="0.35">
      <c r="A3174" s="3">
        <v>44203</v>
      </c>
      <c r="B3174" t="s">
        <v>45</v>
      </c>
      <c r="C3174">
        <v>24.6</v>
      </c>
      <c r="D3174">
        <v>24.63</v>
      </c>
      <c r="E3174">
        <v>22.95</v>
      </c>
      <c r="F3174">
        <v>23.2</v>
      </c>
      <c r="G3174">
        <v>23.225000000000001</v>
      </c>
      <c r="H3174">
        <v>-1.9</v>
      </c>
      <c r="I3174">
        <v>90569</v>
      </c>
      <c r="J3174">
        <v>309</v>
      </c>
      <c r="K3174">
        <v>97478</v>
      </c>
      <c r="L3174">
        <v>8</v>
      </c>
      <c r="M3174">
        <v>13</v>
      </c>
      <c r="N3174" t="s">
        <v>45</v>
      </c>
      <c r="O3174" s="3">
        <v>44216</v>
      </c>
      <c r="P3174">
        <v>-1</v>
      </c>
      <c r="T3174" t="s">
        <v>38</v>
      </c>
      <c r="U3174">
        <v>93</v>
      </c>
      <c r="V3174">
        <v>23.3</v>
      </c>
    </row>
    <row r="3175" spans="1:22" x14ac:dyDescent="0.35">
      <c r="A3175" s="3">
        <v>44203</v>
      </c>
      <c r="B3175" t="s">
        <v>41</v>
      </c>
      <c r="C3175">
        <v>25.7</v>
      </c>
      <c r="D3175">
        <v>25.72</v>
      </c>
      <c r="E3175">
        <v>25.35</v>
      </c>
      <c r="F3175">
        <v>25.63</v>
      </c>
      <c r="G3175">
        <v>25.625</v>
      </c>
      <c r="H3175">
        <v>-0.35</v>
      </c>
      <c r="I3175">
        <v>3147</v>
      </c>
      <c r="J3175">
        <v>0</v>
      </c>
      <c r="K3175">
        <v>9916</v>
      </c>
      <c r="L3175">
        <v>92</v>
      </c>
      <c r="M3175">
        <v>132</v>
      </c>
      <c r="N3175" t="s">
        <v>41</v>
      </c>
      <c r="O3175" s="3">
        <v>44335</v>
      </c>
      <c r="P3175">
        <v>-1</v>
      </c>
      <c r="T3175" t="s">
        <v>37</v>
      </c>
      <c r="U3175">
        <v>112</v>
      </c>
      <c r="V3175">
        <v>23.8</v>
      </c>
    </row>
    <row r="3176" spans="1:22" x14ac:dyDescent="0.35">
      <c r="A3176" s="3">
        <v>44202</v>
      </c>
      <c r="B3176" t="s">
        <v>40</v>
      </c>
      <c r="C3176">
        <v>26.2</v>
      </c>
      <c r="D3176">
        <v>26.45</v>
      </c>
      <c r="E3176">
        <v>25.3</v>
      </c>
      <c r="F3176">
        <v>25.6</v>
      </c>
      <c r="G3176">
        <v>25.774999999999999</v>
      </c>
      <c r="H3176">
        <v>-0.25</v>
      </c>
      <c r="I3176">
        <v>3849</v>
      </c>
      <c r="J3176">
        <v>0</v>
      </c>
      <c r="K3176">
        <v>8950</v>
      </c>
      <c r="L3176">
        <v>112</v>
      </c>
      <c r="M3176">
        <v>161</v>
      </c>
      <c r="N3176" t="s">
        <v>40</v>
      </c>
      <c r="O3176" s="3">
        <v>44363</v>
      </c>
      <c r="P3176">
        <v>-1</v>
      </c>
      <c r="T3176" t="s">
        <v>36</v>
      </c>
      <c r="U3176">
        <v>137</v>
      </c>
      <c r="V3176">
        <v>23.9529</v>
      </c>
    </row>
    <row r="3177" spans="1:22" x14ac:dyDescent="0.35">
      <c r="A3177" s="3">
        <v>44202</v>
      </c>
      <c r="B3177" t="s">
        <v>39</v>
      </c>
      <c r="C3177">
        <v>26.21</v>
      </c>
      <c r="D3177">
        <v>26.45</v>
      </c>
      <c r="E3177">
        <v>25.45</v>
      </c>
      <c r="F3177">
        <v>25.69</v>
      </c>
      <c r="G3177">
        <v>25.9</v>
      </c>
      <c r="H3177">
        <v>-0.25</v>
      </c>
      <c r="I3177">
        <v>1028</v>
      </c>
      <c r="J3177">
        <v>0</v>
      </c>
      <c r="K3177">
        <v>2560</v>
      </c>
      <c r="L3177">
        <v>136</v>
      </c>
      <c r="M3177">
        <v>196</v>
      </c>
      <c r="N3177" t="s">
        <v>39</v>
      </c>
      <c r="O3177" s="3">
        <v>44398</v>
      </c>
      <c r="P3177">
        <v>-1</v>
      </c>
      <c r="T3177" t="s">
        <v>35</v>
      </c>
      <c r="U3177">
        <v>157</v>
      </c>
      <c r="V3177">
        <v>23.75</v>
      </c>
    </row>
    <row r="3178" spans="1:22" x14ac:dyDescent="0.35">
      <c r="A3178" s="3">
        <v>44202</v>
      </c>
      <c r="B3178" t="s">
        <v>38</v>
      </c>
      <c r="C3178">
        <v>25.9</v>
      </c>
      <c r="D3178">
        <v>25.9</v>
      </c>
      <c r="E3178">
        <v>25.45</v>
      </c>
      <c r="F3178">
        <v>25.75</v>
      </c>
      <c r="G3178">
        <v>25.824999999999999</v>
      </c>
      <c r="H3178">
        <v>-0.22500000000000001</v>
      </c>
      <c r="I3178">
        <v>7</v>
      </c>
      <c r="J3178">
        <v>0</v>
      </c>
      <c r="K3178">
        <v>24</v>
      </c>
      <c r="L3178">
        <v>156</v>
      </c>
      <c r="M3178">
        <v>224</v>
      </c>
      <c r="N3178" t="s">
        <v>38</v>
      </c>
      <c r="O3178" s="3">
        <v>44426</v>
      </c>
      <c r="P3178">
        <v>-1</v>
      </c>
      <c r="T3178" t="s">
        <v>34</v>
      </c>
      <c r="U3178">
        <v>181</v>
      </c>
      <c r="V3178">
        <v>23.45</v>
      </c>
    </row>
    <row r="3179" spans="1:22" x14ac:dyDescent="0.35">
      <c r="A3179" s="3">
        <v>44202</v>
      </c>
      <c r="B3179" t="s">
        <v>45</v>
      </c>
      <c r="C3179">
        <v>25.5</v>
      </c>
      <c r="D3179">
        <v>26.45</v>
      </c>
      <c r="E3179">
        <v>23.2</v>
      </c>
      <c r="F3179">
        <v>24.7</v>
      </c>
      <c r="G3179">
        <v>25.125</v>
      </c>
      <c r="H3179">
        <v>-0.2</v>
      </c>
      <c r="I3179">
        <v>143351</v>
      </c>
      <c r="J3179">
        <v>139</v>
      </c>
      <c r="K3179">
        <v>104005</v>
      </c>
      <c r="L3179">
        <v>9</v>
      </c>
      <c r="M3179">
        <v>14</v>
      </c>
      <c r="N3179" t="s">
        <v>45</v>
      </c>
      <c r="O3179" s="3">
        <v>44216</v>
      </c>
      <c r="P3179">
        <v>-1</v>
      </c>
      <c r="S3179" s="3">
        <v>44294</v>
      </c>
      <c r="T3179" t="s">
        <v>42</v>
      </c>
      <c r="U3179">
        <v>9</v>
      </c>
      <c r="V3179">
        <v>18.488700000000001</v>
      </c>
    </row>
    <row r="3180" spans="1:22" x14ac:dyDescent="0.35">
      <c r="A3180" s="3">
        <v>44202</v>
      </c>
      <c r="B3180" t="s">
        <v>41</v>
      </c>
      <c r="C3180">
        <v>26.38</v>
      </c>
      <c r="D3180">
        <v>26.77</v>
      </c>
      <c r="E3180">
        <v>25.45</v>
      </c>
      <c r="F3180">
        <v>25.74</v>
      </c>
      <c r="G3180">
        <v>25.975000000000001</v>
      </c>
      <c r="H3180">
        <v>-0.25</v>
      </c>
      <c r="I3180">
        <v>4199</v>
      </c>
      <c r="J3180">
        <v>0</v>
      </c>
      <c r="K3180">
        <v>9544</v>
      </c>
      <c r="L3180">
        <v>93</v>
      </c>
      <c r="M3180">
        <v>133</v>
      </c>
      <c r="N3180" t="s">
        <v>41</v>
      </c>
      <c r="O3180" s="3">
        <v>44335</v>
      </c>
      <c r="P3180">
        <v>-1</v>
      </c>
      <c r="T3180" t="s">
        <v>41</v>
      </c>
      <c r="U3180">
        <v>29</v>
      </c>
      <c r="V3180">
        <v>20.805</v>
      </c>
    </row>
    <row r="3181" spans="1:22" x14ac:dyDescent="0.35">
      <c r="A3181" s="3">
        <v>44202</v>
      </c>
      <c r="B3181" t="s">
        <v>44</v>
      </c>
      <c r="C3181">
        <v>26.65</v>
      </c>
      <c r="D3181">
        <v>27.37</v>
      </c>
      <c r="E3181">
        <v>25.04</v>
      </c>
      <c r="F3181">
        <v>25.94</v>
      </c>
      <c r="G3181">
        <v>26.274999999999999</v>
      </c>
      <c r="H3181">
        <v>-0.15</v>
      </c>
      <c r="I3181">
        <v>119720</v>
      </c>
      <c r="J3181">
        <v>200</v>
      </c>
      <c r="K3181">
        <v>135313</v>
      </c>
      <c r="L3181">
        <v>28</v>
      </c>
      <c r="M3181">
        <v>42</v>
      </c>
      <c r="N3181" t="s">
        <v>44</v>
      </c>
      <c r="O3181" s="3">
        <v>44244</v>
      </c>
      <c r="P3181">
        <v>-1</v>
      </c>
      <c r="T3181" t="s">
        <v>40</v>
      </c>
      <c r="U3181">
        <v>48</v>
      </c>
      <c r="V3181">
        <v>22.1601</v>
      </c>
    </row>
    <row r="3182" spans="1:22" x14ac:dyDescent="0.35">
      <c r="A3182" s="3">
        <v>44202</v>
      </c>
      <c r="B3182" t="s">
        <v>43</v>
      </c>
      <c r="C3182">
        <v>26.65</v>
      </c>
      <c r="D3182">
        <v>27.17</v>
      </c>
      <c r="E3182">
        <v>25.4</v>
      </c>
      <c r="F3182">
        <v>25.95</v>
      </c>
      <c r="G3182">
        <v>26.274999999999999</v>
      </c>
      <c r="H3182">
        <v>-0.15</v>
      </c>
      <c r="I3182">
        <v>25422</v>
      </c>
      <c r="J3182">
        <v>0</v>
      </c>
      <c r="K3182">
        <v>35287</v>
      </c>
      <c r="L3182">
        <v>48</v>
      </c>
      <c r="M3182">
        <v>70</v>
      </c>
      <c r="N3182" t="s">
        <v>43</v>
      </c>
      <c r="O3182" s="3">
        <v>44272</v>
      </c>
      <c r="P3182">
        <v>-1</v>
      </c>
      <c r="T3182" t="s">
        <v>39</v>
      </c>
      <c r="U3182">
        <v>72</v>
      </c>
      <c r="V3182">
        <v>23.05</v>
      </c>
    </row>
    <row r="3183" spans="1:22" x14ac:dyDescent="0.35">
      <c r="A3183" s="3">
        <v>44202</v>
      </c>
      <c r="B3183" t="s">
        <v>42</v>
      </c>
      <c r="C3183">
        <v>26.65</v>
      </c>
      <c r="D3183">
        <v>27.02</v>
      </c>
      <c r="E3183">
        <v>25.57</v>
      </c>
      <c r="F3183">
        <v>26</v>
      </c>
      <c r="G3183">
        <v>26.225000000000001</v>
      </c>
      <c r="H3183">
        <v>-0.2</v>
      </c>
      <c r="I3183">
        <v>6411</v>
      </c>
      <c r="J3183">
        <v>0</v>
      </c>
      <c r="K3183">
        <v>13144</v>
      </c>
      <c r="L3183">
        <v>73</v>
      </c>
      <c r="M3183">
        <v>105</v>
      </c>
      <c r="N3183" t="s">
        <v>42</v>
      </c>
      <c r="O3183" s="3">
        <v>44307</v>
      </c>
      <c r="P3183">
        <v>-1</v>
      </c>
      <c r="T3183" t="s">
        <v>38</v>
      </c>
      <c r="U3183">
        <v>92</v>
      </c>
      <c r="V3183">
        <v>23.35</v>
      </c>
    </row>
    <row r="3184" spans="1:22" x14ac:dyDescent="0.35">
      <c r="A3184" s="3">
        <v>44201</v>
      </c>
      <c r="B3184" t="s">
        <v>44</v>
      </c>
      <c r="C3184">
        <v>27.25</v>
      </c>
      <c r="D3184">
        <v>28.02</v>
      </c>
      <c r="E3184">
        <v>26.25</v>
      </c>
      <c r="F3184">
        <v>26.7</v>
      </c>
      <c r="G3184">
        <v>26.425000000000001</v>
      </c>
      <c r="H3184">
        <v>-0.7</v>
      </c>
      <c r="I3184">
        <v>73697</v>
      </c>
      <c r="J3184">
        <v>0</v>
      </c>
      <c r="K3184">
        <v>125335</v>
      </c>
      <c r="L3184">
        <v>29</v>
      </c>
      <c r="M3184">
        <v>43</v>
      </c>
      <c r="N3184" t="s">
        <v>44</v>
      </c>
      <c r="O3184" s="3">
        <v>44244</v>
      </c>
      <c r="P3184">
        <v>-1</v>
      </c>
      <c r="T3184" t="s">
        <v>37</v>
      </c>
      <c r="U3184">
        <v>111</v>
      </c>
      <c r="V3184">
        <v>23.8</v>
      </c>
    </row>
    <row r="3185" spans="1:22" x14ac:dyDescent="0.35">
      <c r="A3185" s="3">
        <v>44201</v>
      </c>
      <c r="B3185" t="s">
        <v>43</v>
      </c>
      <c r="C3185">
        <v>27</v>
      </c>
      <c r="D3185">
        <v>27.62</v>
      </c>
      <c r="E3185">
        <v>26.33</v>
      </c>
      <c r="F3185">
        <v>26.62</v>
      </c>
      <c r="G3185">
        <v>26.425000000000001</v>
      </c>
      <c r="H3185">
        <v>-0.45</v>
      </c>
      <c r="I3185">
        <v>14961</v>
      </c>
      <c r="J3185">
        <v>0</v>
      </c>
      <c r="K3185">
        <v>31815</v>
      </c>
      <c r="L3185">
        <v>49</v>
      </c>
      <c r="M3185">
        <v>71</v>
      </c>
      <c r="N3185" t="s">
        <v>43</v>
      </c>
      <c r="O3185" s="3">
        <v>44272</v>
      </c>
      <c r="P3185">
        <v>-1</v>
      </c>
      <c r="T3185" t="s">
        <v>36</v>
      </c>
      <c r="U3185">
        <v>136</v>
      </c>
      <c r="V3185">
        <v>23.95</v>
      </c>
    </row>
    <row r="3186" spans="1:22" x14ac:dyDescent="0.35">
      <c r="A3186" s="3">
        <v>44201</v>
      </c>
      <c r="B3186" t="s">
        <v>42</v>
      </c>
      <c r="C3186">
        <v>26.94</v>
      </c>
      <c r="D3186">
        <v>27.42</v>
      </c>
      <c r="E3186">
        <v>26.33</v>
      </c>
      <c r="F3186">
        <v>26.61</v>
      </c>
      <c r="G3186">
        <v>26.425000000000001</v>
      </c>
      <c r="H3186">
        <v>-0.4</v>
      </c>
      <c r="I3186">
        <v>5233</v>
      </c>
      <c r="J3186">
        <v>0</v>
      </c>
      <c r="K3186">
        <v>12885</v>
      </c>
      <c r="L3186">
        <v>74</v>
      </c>
      <c r="M3186">
        <v>106</v>
      </c>
      <c r="N3186" t="s">
        <v>42</v>
      </c>
      <c r="O3186" s="3">
        <v>44307</v>
      </c>
      <c r="P3186">
        <v>-1</v>
      </c>
      <c r="T3186" t="s">
        <v>35</v>
      </c>
      <c r="U3186">
        <v>156</v>
      </c>
      <c r="V3186">
        <v>23.75</v>
      </c>
    </row>
    <row r="3187" spans="1:22" x14ac:dyDescent="0.35">
      <c r="A3187" s="3">
        <v>44201</v>
      </c>
      <c r="B3187" t="s">
        <v>40</v>
      </c>
      <c r="C3187">
        <v>26.63</v>
      </c>
      <c r="D3187">
        <v>27.05</v>
      </c>
      <c r="E3187">
        <v>25.92</v>
      </c>
      <c r="F3187">
        <v>26.15</v>
      </c>
      <c r="G3187">
        <v>26.024999999999999</v>
      </c>
      <c r="H3187">
        <v>-0.5</v>
      </c>
      <c r="I3187">
        <v>3176</v>
      </c>
      <c r="J3187">
        <v>0</v>
      </c>
      <c r="K3187">
        <v>8193</v>
      </c>
      <c r="L3187">
        <v>113</v>
      </c>
      <c r="M3187">
        <v>162</v>
      </c>
      <c r="N3187" t="s">
        <v>40</v>
      </c>
      <c r="O3187" s="3">
        <v>44363</v>
      </c>
      <c r="P3187">
        <v>-1</v>
      </c>
      <c r="T3187" t="s">
        <v>34</v>
      </c>
      <c r="U3187">
        <v>180</v>
      </c>
      <c r="V3187">
        <v>23.4</v>
      </c>
    </row>
    <row r="3188" spans="1:22" x14ac:dyDescent="0.35">
      <c r="A3188" s="3">
        <v>44201</v>
      </c>
      <c r="B3188" t="s">
        <v>39</v>
      </c>
      <c r="C3188">
        <v>26.6</v>
      </c>
      <c r="D3188">
        <v>27.09</v>
      </c>
      <c r="E3188">
        <v>26.05</v>
      </c>
      <c r="F3188">
        <v>26.2</v>
      </c>
      <c r="G3188">
        <v>26.15</v>
      </c>
      <c r="H3188">
        <v>-0.47499999999999998</v>
      </c>
      <c r="I3188">
        <v>1090</v>
      </c>
      <c r="J3188">
        <v>0</v>
      </c>
      <c r="K3188">
        <v>2484</v>
      </c>
      <c r="L3188">
        <v>137</v>
      </c>
      <c r="M3188">
        <v>197</v>
      </c>
      <c r="N3188" t="s">
        <v>39</v>
      </c>
      <c r="O3188" s="3">
        <v>44398</v>
      </c>
      <c r="P3188">
        <v>-1</v>
      </c>
      <c r="S3188" s="3">
        <v>44295</v>
      </c>
      <c r="T3188" t="s">
        <v>42</v>
      </c>
      <c r="U3188">
        <v>8</v>
      </c>
      <c r="V3188">
        <v>18.150500000000001</v>
      </c>
    </row>
    <row r="3189" spans="1:22" x14ac:dyDescent="0.35">
      <c r="A3189" s="3">
        <v>44201</v>
      </c>
      <c r="B3189" t="s">
        <v>38</v>
      </c>
      <c r="C3189">
        <v>26.1</v>
      </c>
      <c r="D3189">
        <v>26.1</v>
      </c>
      <c r="E3189">
        <v>26.1</v>
      </c>
      <c r="F3189">
        <v>26.1</v>
      </c>
      <c r="G3189">
        <v>26.05</v>
      </c>
      <c r="H3189">
        <v>-0.47499999999999998</v>
      </c>
      <c r="I3189">
        <v>3</v>
      </c>
      <c r="J3189">
        <v>0</v>
      </c>
      <c r="K3189">
        <v>24</v>
      </c>
      <c r="L3189">
        <v>157</v>
      </c>
      <c r="M3189">
        <v>225</v>
      </c>
      <c r="N3189" t="s">
        <v>38</v>
      </c>
      <c r="O3189" s="3">
        <v>44426</v>
      </c>
      <c r="P3189">
        <v>-1</v>
      </c>
      <c r="T3189" t="s">
        <v>41</v>
      </c>
      <c r="U3189">
        <v>28</v>
      </c>
      <c r="V3189">
        <v>20.8262</v>
      </c>
    </row>
    <row r="3190" spans="1:22" x14ac:dyDescent="0.35">
      <c r="A3190" s="3">
        <v>44201</v>
      </c>
      <c r="B3190" t="s">
        <v>45</v>
      </c>
      <c r="C3190">
        <v>26.5</v>
      </c>
      <c r="D3190">
        <v>27.45</v>
      </c>
      <c r="E3190">
        <v>24.95</v>
      </c>
      <c r="F3190">
        <v>25.4</v>
      </c>
      <c r="G3190">
        <v>25.324999999999999</v>
      </c>
      <c r="H3190">
        <v>-0.95</v>
      </c>
      <c r="I3190">
        <v>87182</v>
      </c>
      <c r="J3190">
        <v>0</v>
      </c>
      <c r="K3190">
        <v>111463</v>
      </c>
      <c r="L3190">
        <v>10</v>
      </c>
      <c r="M3190">
        <v>15</v>
      </c>
      <c r="N3190" t="s">
        <v>45</v>
      </c>
      <c r="O3190" s="3">
        <v>44216</v>
      </c>
      <c r="P3190">
        <v>-1</v>
      </c>
      <c r="T3190" t="s">
        <v>40</v>
      </c>
      <c r="U3190">
        <v>47</v>
      </c>
      <c r="V3190">
        <v>22.231000000000002</v>
      </c>
    </row>
    <row r="3191" spans="1:22" x14ac:dyDescent="0.35">
      <c r="A3191" s="3">
        <v>44201</v>
      </c>
      <c r="B3191" t="s">
        <v>41</v>
      </c>
      <c r="C3191">
        <v>26.77</v>
      </c>
      <c r="D3191">
        <v>27.2</v>
      </c>
      <c r="E3191">
        <v>26.12</v>
      </c>
      <c r="F3191">
        <v>26.4</v>
      </c>
      <c r="G3191">
        <v>26.225000000000001</v>
      </c>
      <c r="H3191">
        <v>-0.45</v>
      </c>
      <c r="I3191">
        <v>3594</v>
      </c>
      <c r="J3191">
        <v>0</v>
      </c>
      <c r="K3191">
        <v>9151</v>
      </c>
      <c r="L3191">
        <v>94</v>
      </c>
      <c r="M3191">
        <v>134</v>
      </c>
      <c r="N3191" t="s">
        <v>41</v>
      </c>
      <c r="O3191" s="3">
        <v>44335</v>
      </c>
      <c r="P3191">
        <v>-1</v>
      </c>
      <c r="T3191" t="s">
        <v>39</v>
      </c>
      <c r="U3191">
        <v>71</v>
      </c>
      <c r="V3191">
        <v>23.1646</v>
      </c>
    </row>
    <row r="3192" spans="1:22" x14ac:dyDescent="0.35">
      <c r="A3192" s="3">
        <v>44200</v>
      </c>
      <c r="B3192" t="s">
        <v>40</v>
      </c>
      <c r="C3192">
        <v>25.9</v>
      </c>
      <c r="D3192">
        <v>27.08</v>
      </c>
      <c r="E3192">
        <v>25.7</v>
      </c>
      <c r="F3192">
        <v>26.56</v>
      </c>
      <c r="G3192">
        <v>26.524999999999999</v>
      </c>
      <c r="H3192">
        <v>0.6</v>
      </c>
      <c r="I3192">
        <v>2720</v>
      </c>
      <c r="J3192">
        <v>0</v>
      </c>
      <c r="K3192">
        <v>7765</v>
      </c>
      <c r="L3192">
        <v>114</v>
      </c>
      <c r="M3192">
        <v>163</v>
      </c>
      <c r="N3192" t="s">
        <v>40</v>
      </c>
      <c r="O3192" s="3">
        <v>44363</v>
      </c>
      <c r="P3192">
        <v>-1</v>
      </c>
      <c r="T3192" t="s">
        <v>38</v>
      </c>
      <c r="U3192">
        <v>91</v>
      </c>
      <c r="V3192">
        <v>23.421299999999999</v>
      </c>
    </row>
    <row r="3193" spans="1:22" x14ac:dyDescent="0.35">
      <c r="A3193" s="3">
        <v>44200</v>
      </c>
      <c r="B3193" t="s">
        <v>39</v>
      </c>
      <c r="C3193">
        <v>25.97</v>
      </c>
      <c r="D3193">
        <v>27.17</v>
      </c>
      <c r="E3193">
        <v>25.7</v>
      </c>
      <c r="F3193">
        <v>26.65</v>
      </c>
      <c r="G3193">
        <v>26.625</v>
      </c>
      <c r="H3193">
        <v>0.625</v>
      </c>
      <c r="I3193">
        <v>1202</v>
      </c>
      <c r="J3193">
        <v>0</v>
      </c>
      <c r="K3193">
        <v>2397</v>
      </c>
      <c r="L3193">
        <v>138</v>
      </c>
      <c r="M3193">
        <v>198</v>
      </c>
      <c r="N3193" t="s">
        <v>39</v>
      </c>
      <c r="O3193" s="3">
        <v>44398</v>
      </c>
      <c r="P3193">
        <v>-1</v>
      </c>
      <c r="T3193" t="s">
        <v>37</v>
      </c>
      <c r="U3193">
        <v>110</v>
      </c>
      <c r="V3193">
        <v>23.9</v>
      </c>
    </row>
    <row r="3194" spans="1:22" x14ac:dyDescent="0.35">
      <c r="A3194" s="3">
        <v>44200</v>
      </c>
      <c r="B3194" t="s">
        <v>38</v>
      </c>
      <c r="C3194">
        <v>26.3</v>
      </c>
      <c r="D3194">
        <v>27</v>
      </c>
      <c r="E3194">
        <v>26</v>
      </c>
      <c r="F3194">
        <v>27</v>
      </c>
      <c r="G3194">
        <v>26.524999999999999</v>
      </c>
      <c r="H3194">
        <v>0.47499999999999998</v>
      </c>
      <c r="I3194">
        <v>3</v>
      </c>
      <c r="J3194">
        <v>0</v>
      </c>
      <c r="K3194">
        <v>21</v>
      </c>
      <c r="L3194">
        <v>158</v>
      </c>
      <c r="M3194">
        <v>226</v>
      </c>
      <c r="N3194" t="s">
        <v>38</v>
      </c>
      <c r="O3194" s="3">
        <v>44426</v>
      </c>
      <c r="P3194">
        <v>-1</v>
      </c>
      <c r="T3194" t="s">
        <v>36</v>
      </c>
      <c r="U3194">
        <v>135</v>
      </c>
      <c r="V3194">
        <v>24.05</v>
      </c>
    </row>
    <row r="3195" spans="1:22" x14ac:dyDescent="0.35">
      <c r="A3195" s="3">
        <v>44200</v>
      </c>
      <c r="B3195" t="s">
        <v>45</v>
      </c>
      <c r="C3195">
        <v>23.4</v>
      </c>
      <c r="D3195">
        <v>27.35</v>
      </c>
      <c r="E3195">
        <v>23.15</v>
      </c>
      <c r="F3195">
        <v>26.45</v>
      </c>
      <c r="G3195">
        <v>26.274999999999999</v>
      </c>
      <c r="H3195">
        <v>2.6</v>
      </c>
      <c r="I3195">
        <v>132333</v>
      </c>
      <c r="J3195">
        <v>0</v>
      </c>
      <c r="K3195">
        <v>119409</v>
      </c>
      <c r="L3195">
        <v>11</v>
      </c>
      <c r="M3195">
        <v>16</v>
      </c>
      <c r="N3195" t="s">
        <v>45</v>
      </c>
      <c r="O3195" s="3">
        <v>44216</v>
      </c>
      <c r="P3195">
        <v>-1</v>
      </c>
      <c r="T3195" t="s">
        <v>35</v>
      </c>
      <c r="U3195">
        <v>155</v>
      </c>
      <c r="V3195">
        <v>23.85</v>
      </c>
    </row>
    <row r="3196" spans="1:22" x14ac:dyDescent="0.35">
      <c r="A3196" s="3">
        <v>44200</v>
      </c>
      <c r="B3196" t="s">
        <v>41</v>
      </c>
      <c r="C3196">
        <v>25.85</v>
      </c>
      <c r="D3196">
        <v>27.17</v>
      </c>
      <c r="E3196">
        <v>25.67</v>
      </c>
      <c r="F3196">
        <v>26.69</v>
      </c>
      <c r="G3196">
        <v>26.675000000000001</v>
      </c>
      <c r="H3196">
        <v>0.75</v>
      </c>
      <c r="I3196">
        <v>3850</v>
      </c>
      <c r="J3196">
        <v>0</v>
      </c>
      <c r="K3196">
        <v>9164</v>
      </c>
      <c r="L3196">
        <v>95</v>
      </c>
      <c r="M3196">
        <v>135</v>
      </c>
      <c r="N3196" t="s">
        <v>41</v>
      </c>
      <c r="O3196" s="3">
        <v>44335</v>
      </c>
      <c r="P3196">
        <v>-1</v>
      </c>
      <c r="T3196" t="s">
        <v>34</v>
      </c>
      <c r="U3196">
        <v>179</v>
      </c>
      <c r="V3196">
        <v>23.5</v>
      </c>
    </row>
    <row r="3197" spans="1:22" x14ac:dyDescent="0.35">
      <c r="A3197" s="3">
        <v>44200</v>
      </c>
      <c r="B3197" t="s">
        <v>44</v>
      </c>
      <c r="C3197">
        <v>25.44</v>
      </c>
      <c r="D3197">
        <v>27.8</v>
      </c>
      <c r="E3197">
        <v>25.15</v>
      </c>
      <c r="F3197">
        <v>27.19</v>
      </c>
      <c r="G3197">
        <v>27.125</v>
      </c>
      <c r="H3197">
        <v>1.55</v>
      </c>
      <c r="I3197">
        <v>101687</v>
      </c>
      <c r="J3197">
        <v>0</v>
      </c>
      <c r="K3197">
        <v>118542</v>
      </c>
      <c r="L3197">
        <v>30</v>
      </c>
      <c r="M3197">
        <v>44</v>
      </c>
      <c r="N3197" t="s">
        <v>44</v>
      </c>
      <c r="O3197" s="3">
        <v>44244</v>
      </c>
      <c r="P3197">
        <v>-1</v>
      </c>
      <c r="S3197" s="3">
        <v>44298</v>
      </c>
      <c r="T3197" t="s">
        <v>42</v>
      </c>
      <c r="U3197">
        <v>7</v>
      </c>
      <c r="V3197">
        <v>18.003900000000002</v>
      </c>
    </row>
    <row r="3198" spans="1:22" x14ac:dyDescent="0.35">
      <c r="A3198" s="3">
        <v>44200</v>
      </c>
      <c r="B3198" t="s">
        <v>43</v>
      </c>
      <c r="C3198">
        <v>25.65</v>
      </c>
      <c r="D3198">
        <v>27.57</v>
      </c>
      <c r="E3198">
        <v>25.49</v>
      </c>
      <c r="F3198">
        <v>26.92</v>
      </c>
      <c r="G3198">
        <v>26.875</v>
      </c>
      <c r="H3198">
        <v>1.1000000000000001</v>
      </c>
      <c r="I3198">
        <v>19132</v>
      </c>
      <c r="J3198">
        <v>0</v>
      </c>
      <c r="K3198">
        <v>30399</v>
      </c>
      <c r="L3198">
        <v>50</v>
      </c>
      <c r="M3198">
        <v>72</v>
      </c>
      <c r="N3198" t="s">
        <v>43</v>
      </c>
      <c r="O3198" s="3">
        <v>44272</v>
      </c>
      <c r="P3198">
        <v>-1</v>
      </c>
      <c r="T3198" t="s">
        <v>41</v>
      </c>
      <c r="U3198">
        <v>27</v>
      </c>
      <c r="V3198">
        <v>20.565300000000001</v>
      </c>
    </row>
    <row r="3199" spans="1:22" x14ac:dyDescent="0.35">
      <c r="A3199" s="3">
        <v>44200</v>
      </c>
      <c r="B3199" t="s">
        <v>42</v>
      </c>
      <c r="C3199">
        <v>25.85</v>
      </c>
      <c r="D3199">
        <v>27.35</v>
      </c>
      <c r="E3199">
        <v>25.66</v>
      </c>
      <c r="F3199">
        <v>26.8</v>
      </c>
      <c r="G3199">
        <v>26.824999999999999</v>
      </c>
      <c r="H3199">
        <v>0.875</v>
      </c>
      <c r="I3199">
        <v>7047</v>
      </c>
      <c r="J3199">
        <v>0</v>
      </c>
      <c r="K3199">
        <v>12688</v>
      </c>
      <c r="L3199">
        <v>75</v>
      </c>
      <c r="M3199">
        <v>107</v>
      </c>
      <c r="N3199" t="s">
        <v>42</v>
      </c>
      <c r="O3199" s="3">
        <v>44307</v>
      </c>
      <c r="P3199">
        <v>-1</v>
      </c>
      <c r="T3199" t="s">
        <v>40</v>
      </c>
      <c r="U3199">
        <v>46</v>
      </c>
      <c r="V3199">
        <v>22.05</v>
      </c>
    </row>
    <row r="3200" spans="1:22" x14ac:dyDescent="0.35">
      <c r="A3200" s="3">
        <v>44196</v>
      </c>
      <c r="B3200" t="s">
        <v>44</v>
      </c>
      <c r="C3200">
        <v>25.7</v>
      </c>
      <c r="D3200">
        <v>25.87</v>
      </c>
      <c r="E3200">
        <v>25.05</v>
      </c>
      <c r="F3200">
        <v>25.48</v>
      </c>
      <c r="G3200">
        <v>25.574999999999999</v>
      </c>
      <c r="H3200">
        <v>-0.05</v>
      </c>
      <c r="I3200">
        <v>42629</v>
      </c>
      <c r="J3200">
        <v>20</v>
      </c>
      <c r="K3200">
        <v>104708</v>
      </c>
      <c r="L3200">
        <v>31</v>
      </c>
      <c r="M3200">
        <v>48</v>
      </c>
      <c r="N3200" t="s">
        <v>44</v>
      </c>
      <c r="O3200" s="3">
        <v>44244</v>
      </c>
      <c r="P3200">
        <v>-1</v>
      </c>
      <c r="T3200" t="s">
        <v>39</v>
      </c>
      <c r="U3200">
        <v>70</v>
      </c>
      <c r="V3200">
        <v>23.007400000000001</v>
      </c>
    </row>
    <row r="3201" spans="1:22" x14ac:dyDescent="0.35">
      <c r="A3201" s="3">
        <v>44196</v>
      </c>
      <c r="B3201" t="s">
        <v>43</v>
      </c>
      <c r="C3201">
        <v>25.93</v>
      </c>
      <c r="D3201">
        <v>26.01</v>
      </c>
      <c r="E3201">
        <v>25.32</v>
      </c>
      <c r="F3201">
        <v>25.7</v>
      </c>
      <c r="G3201">
        <v>25.774999999999999</v>
      </c>
      <c r="H3201">
        <v>-0.1</v>
      </c>
      <c r="I3201">
        <v>6333</v>
      </c>
      <c r="J3201">
        <v>0</v>
      </c>
      <c r="K3201">
        <v>28367</v>
      </c>
      <c r="L3201">
        <v>51</v>
      </c>
      <c r="M3201">
        <v>76</v>
      </c>
      <c r="N3201" t="s">
        <v>43</v>
      </c>
      <c r="O3201" s="3">
        <v>44272</v>
      </c>
      <c r="P3201">
        <v>-1</v>
      </c>
      <c r="T3201" t="s">
        <v>38</v>
      </c>
      <c r="U3201">
        <v>90</v>
      </c>
      <c r="V3201">
        <v>23.300599999999999</v>
      </c>
    </row>
    <row r="3202" spans="1:22" x14ac:dyDescent="0.35">
      <c r="A3202" s="3">
        <v>44196</v>
      </c>
      <c r="B3202" t="s">
        <v>42</v>
      </c>
      <c r="C3202">
        <v>25.9</v>
      </c>
      <c r="D3202">
        <v>26.09</v>
      </c>
      <c r="E3202">
        <v>25.52</v>
      </c>
      <c r="F3202">
        <v>25.85</v>
      </c>
      <c r="G3202">
        <v>25.95</v>
      </c>
      <c r="H3202">
        <v>2.5000000000000001E-2</v>
      </c>
      <c r="I3202">
        <v>2454</v>
      </c>
      <c r="J3202">
        <v>0</v>
      </c>
      <c r="K3202">
        <v>11997</v>
      </c>
      <c r="L3202">
        <v>76</v>
      </c>
      <c r="M3202">
        <v>111</v>
      </c>
      <c r="N3202" t="s">
        <v>42</v>
      </c>
      <c r="O3202" s="3">
        <v>44307</v>
      </c>
      <c r="P3202">
        <v>-1</v>
      </c>
      <c r="T3202" t="s">
        <v>37</v>
      </c>
      <c r="U3202">
        <v>109</v>
      </c>
      <c r="V3202">
        <v>23.7818</v>
      </c>
    </row>
    <row r="3203" spans="1:22" x14ac:dyDescent="0.35">
      <c r="A3203" s="3">
        <v>44196</v>
      </c>
      <c r="B3203" t="s">
        <v>40</v>
      </c>
      <c r="C3203">
        <v>25.95</v>
      </c>
      <c r="D3203">
        <v>26</v>
      </c>
      <c r="E3203">
        <v>25.51</v>
      </c>
      <c r="F3203">
        <v>25.85</v>
      </c>
      <c r="G3203">
        <v>25.925000000000001</v>
      </c>
      <c r="H3203">
        <v>7.4999999999999997E-2</v>
      </c>
      <c r="I3203">
        <v>1260</v>
      </c>
      <c r="J3203">
        <v>0</v>
      </c>
      <c r="K3203">
        <v>7479</v>
      </c>
      <c r="L3203">
        <v>115</v>
      </c>
      <c r="M3203">
        <v>167</v>
      </c>
      <c r="N3203" t="s">
        <v>40</v>
      </c>
      <c r="O3203" s="3">
        <v>44363</v>
      </c>
      <c r="P3203">
        <v>-1</v>
      </c>
      <c r="T3203" t="s">
        <v>36</v>
      </c>
      <c r="U3203">
        <v>134</v>
      </c>
      <c r="V3203">
        <v>23.95</v>
      </c>
    </row>
    <row r="3204" spans="1:22" x14ac:dyDescent="0.35">
      <c r="A3204" s="3">
        <v>44196</v>
      </c>
      <c r="B3204" t="s">
        <v>39</v>
      </c>
      <c r="C3204">
        <v>25.95</v>
      </c>
      <c r="D3204">
        <v>26.05</v>
      </c>
      <c r="E3204">
        <v>25.58</v>
      </c>
      <c r="F3204">
        <v>25.92</v>
      </c>
      <c r="G3204">
        <v>26</v>
      </c>
      <c r="H3204">
        <v>0.1</v>
      </c>
      <c r="I3204">
        <v>516</v>
      </c>
      <c r="J3204">
        <v>0</v>
      </c>
      <c r="K3204">
        <v>2204</v>
      </c>
      <c r="L3204">
        <v>139</v>
      </c>
      <c r="M3204">
        <v>202</v>
      </c>
      <c r="N3204" t="s">
        <v>39</v>
      </c>
      <c r="O3204" s="3">
        <v>44398</v>
      </c>
      <c r="P3204">
        <v>-1</v>
      </c>
      <c r="T3204" t="s">
        <v>35</v>
      </c>
      <c r="U3204">
        <v>154</v>
      </c>
      <c r="V3204">
        <v>23.774999999999999</v>
      </c>
    </row>
    <row r="3205" spans="1:22" x14ac:dyDescent="0.35">
      <c r="A3205" s="3">
        <v>44196</v>
      </c>
      <c r="B3205" t="s">
        <v>45</v>
      </c>
      <c r="C3205">
        <v>23.8</v>
      </c>
      <c r="D3205">
        <v>24.13</v>
      </c>
      <c r="E3205">
        <v>23.18</v>
      </c>
      <c r="F3205">
        <v>23.6</v>
      </c>
      <c r="G3205">
        <v>23.675000000000001</v>
      </c>
      <c r="H3205">
        <v>0</v>
      </c>
      <c r="I3205">
        <v>46212</v>
      </c>
      <c r="J3205">
        <v>0</v>
      </c>
      <c r="K3205">
        <v>126320</v>
      </c>
      <c r="L3205">
        <v>12</v>
      </c>
      <c r="M3205">
        <v>20</v>
      </c>
      <c r="N3205" t="s">
        <v>45</v>
      </c>
      <c r="O3205" s="3">
        <v>44216</v>
      </c>
      <c r="P3205">
        <v>-1</v>
      </c>
      <c r="T3205" t="s">
        <v>34</v>
      </c>
      <c r="U3205">
        <v>178</v>
      </c>
      <c r="V3205">
        <v>23.45</v>
      </c>
    </row>
    <row r="3206" spans="1:22" x14ac:dyDescent="0.35">
      <c r="A3206" s="3">
        <v>44196</v>
      </c>
      <c r="B3206" t="s">
        <v>41</v>
      </c>
      <c r="C3206">
        <v>25.95</v>
      </c>
      <c r="D3206">
        <v>26</v>
      </c>
      <c r="E3206">
        <v>25.51</v>
      </c>
      <c r="F3206">
        <v>25.88</v>
      </c>
      <c r="G3206">
        <v>25.925000000000001</v>
      </c>
      <c r="H3206">
        <v>0.05</v>
      </c>
      <c r="I3206">
        <v>1870</v>
      </c>
      <c r="J3206">
        <v>0</v>
      </c>
      <c r="K3206">
        <v>8943</v>
      </c>
      <c r="L3206">
        <v>96</v>
      </c>
      <c r="M3206">
        <v>139</v>
      </c>
      <c r="N3206" t="s">
        <v>41</v>
      </c>
      <c r="O3206" s="3">
        <v>44335</v>
      </c>
      <c r="P3206">
        <v>-1</v>
      </c>
      <c r="S3206" s="3">
        <v>44299</v>
      </c>
      <c r="T3206" t="s">
        <v>42</v>
      </c>
      <c r="U3206">
        <v>6</v>
      </c>
      <c r="V3206">
        <v>17.678100000000001</v>
      </c>
    </row>
    <row r="3207" spans="1:22" x14ac:dyDescent="0.35">
      <c r="A3207" s="3">
        <v>44195</v>
      </c>
      <c r="B3207" t="s">
        <v>40</v>
      </c>
      <c r="C3207">
        <v>26.34</v>
      </c>
      <c r="D3207">
        <v>26.5</v>
      </c>
      <c r="E3207">
        <v>25.8</v>
      </c>
      <c r="F3207">
        <v>25.95</v>
      </c>
      <c r="G3207">
        <v>25.85</v>
      </c>
      <c r="H3207">
        <v>-0.57499999999999996</v>
      </c>
      <c r="I3207">
        <v>1411</v>
      </c>
      <c r="J3207">
        <v>0</v>
      </c>
      <c r="K3207">
        <v>7584</v>
      </c>
      <c r="L3207">
        <v>116</v>
      </c>
      <c r="M3207">
        <v>168</v>
      </c>
      <c r="N3207" t="s">
        <v>40</v>
      </c>
      <c r="O3207" s="3">
        <v>44363</v>
      </c>
      <c r="P3207">
        <v>-1</v>
      </c>
      <c r="T3207" t="s">
        <v>41</v>
      </c>
      <c r="U3207">
        <v>26</v>
      </c>
      <c r="V3207">
        <v>20.473400000000002</v>
      </c>
    </row>
    <row r="3208" spans="1:22" x14ac:dyDescent="0.35">
      <c r="A3208" s="3">
        <v>44195</v>
      </c>
      <c r="B3208" t="s">
        <v>39</v>
      </c>
      <c r="C3208">
        <v>26.37</v>
      </c>
      <c r="D3208">
        <v>26.5</v>
      </c>
      <c r="E3208">
        <v>25.85</v>
      </c>
      <c r="F3208">
        <v>25.95</v>
      </c>
      <c r="G3208">
        <v>25.9</v>
      </c>
      <c r="H3208">
        <v>-0.52500000000000002</v>
      </c>
      <c r="I3208">
        <v>384</v>
      </c>
      <c r="J3208">
        <v>0</v>
      </c>
      <c r="K3208">
        <v>2120</v>
      </c>
      <c r="L3208">
        <v>140</v>
      </c>
      <c r="M3208">
        <v>203</v>
      </c>
      <c r="N3208" t="s">
        <v>39</v>
      </c>
      <c r="O3208" s="3">
        <v>44398</v>
      </c>
      <c r="P3208">
        <v>-1</v>
      </c>
      <c r="T3208" t="s">
        <v>40</v>
      </c>
      <c r="U3208">
        <v>45</v>
      </c>
      <c r="V3208">
        <v>22.114899999999999</v>
      </c>
    </row>
    <row r="3209" spans="1:22" x14ac:dyDescent="0.35">
      <c r="A3209" s="3">
        <v>44195</v>
      </c>
      <c r="B3209" t="s">
        <v>45</v>
      </c>
      <c r="C3209">
        <v>24.9</v>
      </c>
      <c r="D3209">
        <v>24.9</v>
      </c>
      <c r="E3209">
        <v>23.55</v>
      </c>
      <c r="F3209">
        <v>23.75</v>
      </c>
      <c r="G3209">
        <v>23.675000000000001</v>
      </c>
      <c r="H3209">
        <v>-0.95</v>
      </c>
      <c r="I3209">
        <v>54397</v>
      </c>
      <c r="J3209">
        <v>0</v>
      </c>
      <c r="K3209">
        <v>130550</v>
      </c>
      <c r="L3209">
        <v>13</v>
      </c>
      <c r="M3209">
        <v>21</v>
      </c>
      <c r="N3209" t="s">
        <v>45</v>
      </c>
      <c r="O3209" s="3">
        <v>44216</v>
      </c>
      <c r="P3209">
        <v>-1</v>
      </c>
      <c r="T3209" t="s">
        <v>39</v>
      </c>
      <c r="U3209">
        <v>69</v>
      </c>
      <c r="V3209">
        <v>23.1873</v>
      </c>
    </row>
    <row r="3210" spans="1:22" x14ac:dyDescent="0.35">
      <c r="A3210" s="3">
        <v>44195</v>
      </c>
      <c r="B3210" t="s">
        <v>41</v>
      </c>
      <c r="C3210">
        <v>26.35</v>
      </c>
      <c r="D3210">
        <v>26.46</v>
      </c>
      <c r="E3210">
        <v>25.82</v>
      </c>
      <c r="F3210">
        <v>25.92</v>
      </c>
      <c r="G3210">
        <v>25.875</v>
      </c>
      <c r="H3210">
        <v>-0.5</v>
      </c>
      <c r="I3210">
        <v>1481</v>
      </c>
      <c r="J3210">
        <v>0</v>
      </c>
      <c r="K3210">
        <v>8778</v>
      </c>
      <c r="L3210">
        <v>97</v>
      </c>
      <c r="M3210">
        <v>140</v>
      </c>
      <c r="N3210" t="s">
        <v>41</v>
      </c>
      <c r="O3210" s="3">
        <v>44335</v>
      </c>
      <c r="P3210">
        <v>-1</v>
      </c>
      <c r="T3210" t="s">
        <v>38</v>
      </c>
      <c r="U3210">
        <v>89</v>
      </c>
      <c r="V3210">
        <v>23.543500000000002</v>
      </c>
    </row>
    <row r="3211" spans="1:22" x14ac:dyDescent="0.35">
      <c r="A3211" s="3">
        <v>44195</v>
      </c>
      <c r="B3211" t="s">
        <v>44</v>
      </c>
      <c r="C3211">
        <v>26.35</v>
      </c>
      <c r="D3211">
        <v>26.53</v>
      </c>
      <c r="E3211">
        <v>25.48</v>
      </c>
      <c r="F3211">
        <v>25.65</v>
      </c>
      <c r="G3211">
        <v>25.625</v>
      </c>
      <c r="H3211">
        <v>-0.8</v>
      </c>
      <c r="I3211">
        <v>41545</v>
      </c>
      <c r="J3211">
        <v>0</v>
      </c>
      <c r="K3211">
        <v>99207</v>
      </c>
      <c r="L3211">
        <v>32</v>
      </c>
      <c r="M3211">
        <v>49</v>
      </c>
      <c r="N3211" t="s">
        <v>44</v>
      </c>
      <c r="O3211" s="3">
        <v>44244</v>
      </c>
      <c r="P3211">
        <v>-1</v>
      </c>
      <c r="T3211" t="s">
        <v>37</v>
      </c>
      <c r="U3211">
        <v>108</v>
      </c>
      <c r="V3211">
        <v>24.024000000000001</v>
      </c>
    </row>
    <row r="3212" spans="1:22" x14ac:dyDescent="0.35">
      <c r="A3212" s="3">
        <v>44195</v>
      </c>
      <c r="B3212" t="s">
        <v>43</v>
      </c>
      <c r="C3212">
        <v>26.4</v>
      </c>
      <c r="D3212">
        <v>26.55</v>
      </c>
      <c r="E3212">
        <v>25.75</v>
      </c>
      <c r="F3212">
        <v>25.93</v>
      </c>
      <c r="G3212">
        <v>25.875</v>
      </c>
      <c r="H3212">
        <v>-0.55000000000000004</v>
      </c>
      <c r="I3212">
        <v>8568</v>
      </c>
      <c r="J3212">
        <v>0</v>
      </c>
      <c r="K3212">
        <v>27248</v>
      </c>
      <c r="L3212">
        <v>52</v>
      </c>
      <c r="M3212">
        <v>77</v>
      </c>
      <c r="N3212" t="s">
        <v>43</v>
      </c>
      <c r="O3212" s="3">
        <v>44272</v>
      </c>
      <c r="P3212">
        <v>-1</v>
      </c>
      <c r="T3212" t="s">
        <v>36</v>
      </c>
      <c r="U3212">
        <v>133</v>
      </c>
      <c r="V3212">
        <v>24.1982</v>
      </c>
    </row>
    <row r="3213" spans="1:22" x14ac:dyDescent="0.35">
      <c r="A3213" s="3">
        <v>44195</v>
      </c>
      <c r="B3213" t="s">
        <v>38</v>
      </c>
      <c r="C3213">
        <v>26.23</v>
      </c>
      <c r="D3213">
        <v>26.23</v>
      </c>
      <c r="E3213">
        <v>26</v>
      </c>
      <c r="F3213">
        <v>26.05</v>
      </c>
      <c r="G3213">
        <v>26.1</v>
      </c>
      <c r="H3213">
        <v>0.05</v>
      </c>
      <c r="I3213">
        <v>3</v>
      </c>
      <c r="J3213">
        <v>0</v>
      </c>
      <c r="K3213">
        <v>18</v>
      </c>
      <c r="L3213">
        <v>160</v>
      </c>
      <c r="M3213">
        <v>231</v>
      </c>
      <c r="N3213" t="s">
        <v>38</v>
      </c>
      <c r="O3213" s="3">
        <v>44426</v>
      </c>
      <c r="P3213">
        <v>-1</v>
      </c>
      <c r="T3213" t="s">
        <v>35</v>
      </c>
      <c r="U3213">
        <v>153</v>
      </c>
      <c r="V3213">
        <v>24</v>
      </c>
    </row>
    <row r="3214" spans="1:22" x14ac:dyDescent="0.35">
      <c r="A3214" s="3">
        <v>44195</v>
      </c>
      <c r="B3214" t="s">
        <v>42</v>
      </c>
      <c r="C3214">
        <v>26.45</v>
      </c>
      <c r="D3214">
        <v>26.54</v>
      </c>
      <c r="E3214">
        <v>25.85</v>
      </c>
      <c r="F3214">
        <v>26.01</v>
      </c>
      <c r="G3214">
        <v>25.925000000000001</v>
      </c>
      <c r="H3214">
        <v>-0.55000000000000004</v>
      </c>
      <c r="I3214">
        <v>2617</v>
      </c>
      <c r="J3214">
        <v>0</v>
      </c>
      <c r="K3214">
        <v>12020</v>
      </c>
      <c r="L3214">
        <v>77</v>
      </c>
      <c r="M3214">
        <v>112</v>
      </c>
      <c r="N3214" t="s">
        <v>42</v>
      </c>
      <c r="O3214" s="3">
        <v>44307</v>
      </c>
      <c r="P3214">
        <v>-1</v>
      </c>
      <c r="T3214" t="s">
        <v>34</v>
      </c>
      <c r="U3214">
        <v>177</v>
      </c>
      <c r="V3214">
        <v>23.524999999999999</v>
      </c>
    </row>
    <row r="3215" spans="1:22" x14ac:dyDescent="0.35">
      <c r="A3215" s="3">
        <v>44194</v>
      </c>
      <c r="B3215" t="s">
        <v>44</v>
      </c>
      <c r="C3215">
        <v>25.41</v>
      </c>
      <c r="D3215">
        <v>26.7</v>
      </c>
      <c r="E3215">
        <v>25.22</v>
      </c>
      <c r="F3215">
        <v>26.43</v>
      </c>
      <c r="G3215">
        <v>26.425000000000001</v>
      </c>
      <c r="H3215">
        <v>0.85</v>
      </c>
      <c r="I3215">
        <v>44120</v>
      </c>
      <c r="J3215">
        <v>0</v>
      </c>
      <c r="K3215">
        <v>92085</v>
      </c>
      <c r="L3215">
        <v>33</v>
      </c>
      <c r="M3215">
        <v>50</v>
      </c>
      <c r="N3215" t="s">
        <v>44</v>
      </c>
      <c r="O3215" s="3">
        <v>44244</v>
      </c>
      <c r="P3215">
        <v>-1</v>
      </c>
      <c r="S3215" s="3">
        <v>44300</v>
      </c>
      <c r="T3215" t="s">
        <v>42</v>
      </c>
      <c r="U3215">
        <v>5</v>
      </c>
      <c r="V3215">
        <v>18.0989</v>
      </c>
    </row>
    <row r="3216" spans="1:22" x14ac:dyDescent="0.35">
      <c r="A3216" s="3">
        <v>44194</v>
      </c>
      <c r="B3216" t="s">
        <v>43</v>
      </c>
      <c r="C3216">
        <v>25.6</v>
      </c>
      <c r="D3216">
        <v>26.63</v>
      </c>
      <c r="E3216">
        <v>25.4</v>
      </c>
      <c r="F3216">
        <v>26.45</v>
      </c>
      <c r="G3216">
        <v>26.425000000000001</v>
      </c>
      <c r="H3216">
        <v>0.75</v>
      </c>
      <c r="I3216">
        <v>8906</v>
      </c>
      <c r="J3216">
        <v>0</v>
      </c>
      <c r="K3216">
        <v>26182</v>
      </c>
      <c r="L3216">
        <v>53</v>
      </c>
      <c r="M3216">
        <v>78</v>
      </c>
      <c r="N3216" t="s">
        <v>43</v>
      </c>
      <c r="O3216" s="3">
        <v>44272</v>
      </c>
      <c r="P3216">
        <v>-1</v>
      </c>
      <c r="T3216" t="s">
        <v>41</v>
      </c>
      <c r="U3216">
        <v>25</v>
      </c>
      <c r="V3216">
        <v>20.933299999999999</v>
      </c>
    </row>
    <row r="3217" spans="1:22" x14ac:dyDescent="0.35">
      <c r="A3217" s="3">
        <v>44194</v>
      </c>
      <c r="B3217" t="s">
        <v>42</v>
      </c>
      <c r="C3217">
        <v>25.67</v>
      </c>
      <c r="D3217">
        <v>26.6</v>
      </c>
      <c r="E3217">
        <v>25.5</v>
      </c>
      <c r="F3217">
        <v>26.45</v>
      </c>
      <c r="G3217">
        <v>26.475000000000001</v>
      </c>
      <c r="H3217">
        <v>0.7</v>
      </c>
      <c r="I3217">
        <v>3863</v>
      </c>
      <c r="J3217">
        <v>0</v>
      </c>
      <c r="K3217">
        <v>11866</v>
      </c>
      <c r="L3217">
        <v>78</v>
      </c>
      <c r="M3217">
        <v>113</v>
      </c>
      <c r="N3217" t="s">
        <v>42</v>
      </c>
      <c r="O3217" s="3">
        <v>44307</v>
      </c>
      <c r="P3217">
        <v>-1</v>
      </c>
      <c r="T3217" t="s">
        <v>40</v>
      </c>
      <c r="U3217">
        <v>44</v>
      </c>
      <c r="V3217">
        <v>22.365600000000001</v>
      </c>
    </row>
    <row r="3218" spans="1:22" x14ac:dyDescent="0.35">
      <c r="A3218" s="3">
        <v>44194</v>
      </c>
      <c r="B3218" t="s">
        <v>40</v>
      </c>
      <c r="C3218">
        <v>25.63</v>
      </c>
      <c r="D3218">
        <v>26.53</v>
      </c>
      <c r="E3218">
        <v>25.5</v>
      </c>
      <c r="F3218">
        <v>26.4</v>
      </c>
      <c r="G3218">
        <v>26.425000000000001</v>
      </c>
      <c r="H3218">
        <v>0.65</v>
      </c>
      <c r="I3218">
        <v>2442</v>
      </c>
      <c r="J3218">
        <v>0</v>
      </c>
      <c r="K3218">
        <v>7654</v>
      </c>
      <c r="L3218">
        <v>117</v>
      </c>
      <c r="M3218">
        <v>169</v>
      </c>
      <c r="N3218" t="s">
        <v>40</v>
      </c>
      <c r="O3218" s="3">
        <v>44363</v>
      </c>
      <c r="P3218">
        <v>-1</v>
      </c>
      <c r="T3218" t="s">
        <v>39</v>
      </c>
      <c r="U3218">
        <v>68</v>
      </c>
      <c r="V3218">
        <v>23.406300000000002</v>
      </c>
    </row>
    <row r="3219" spans="1:22" x14ac:dyDescent="0.35">
      <c r="A3219" s="3">
        <v>44194</v>
      </c>
      <c r="B3219" t="s">
        <v>39</v>
      </c>
      <c r="C3219">
        <v>25.68</v>
      </c>
      <c r="D3219">
        <v>26.51</v>
      </c>
      <c r="E3219">
        <v>25.64</v>
      </c>
      <c r="F3219">
        <v>26.4</v>
      </c>
      <c r="G3219">
        <v>26.425000000000001</v>
      </c>
      <c r="H3219">
        <v>0.6</v>
      </c>
      <c r="I3219">
        <v>789</v>
      </c>
      <c r="J3219">
        <v>0</v>
      </c>
      <c r="K3219">
        <v>2082</v>
      </c>
      <c r="L3219">
        <v>141</v>
      </c>
      <c r="M3219">
        <v>204</v>
      </c>
      <c r="N3219" t="s">
        <v>39</v>
      </c>
      <c r="O3219" s="3">
        <v>44398</v>
      </c>
      <c r="P3219">
        <v>-1</v>
      </c>
      <c r="T3219" t="s">
        <v>38</v>
      </c>
      <c r="U3219">
        <v>88</v>
      </c>
      <c r="V3219">
        <v>23.75</v>
      </c>
    </row>
    <row r="3220" spans="1:22" x14ac:dyDescent="0.35">
      <c r="A3220" s="3">
        <v>44194</v>
      </c>
      <c r="B3220" t="s">
        <v>45</v>
      </c>
      <c r="C3220">
        <v>23.65</v>
      </c>
      <c r="D3220">
        <v>25.2</v>
      </c>
      <c r="E3220">
        <v>23.3</v>
      </c>
      <c r="F3220">
        <v>24.7</v>
      </c>
      <c r="G3220">
        <v>24.625</v>
      </c>
      <c r="H3220">
        <v>0.95</v>
      </c>
      <c r="I3220">
        <v>62028</v>
      </c>
      <c r="J3220">
        <v>0</v>
      </c>
      <c r="K3220">
        <v>135225</v>
      </c>
      <c r="L3220">
        <v>14</v>
      </c>
      <c r="M3220">
        <v>22</v>
      </c>
      <c r="N3220" t="s">
        <v>45</v>
      </c>
      <c r="O3220" s="3">
        <v>44216</v>
      </c>
      <c r="P3220">
        <v>-1</v>
      </c>
      <c r="T3220" t="s">
        <v>37</v>
      </c>
      <c r="U3220">
        <v>107</v>
      </c>
      <c r="V3220">
        <v>24.25</v>
      </c>
    </row>
    <row r="3221" spans="1:22" x14ac:dyDescent="0.35">
      <c r="A3221" s="3">
        <v>44194</v>
      </c>
      <c r="B3221" t="s">
        <v>41</v>
      </c>
      <c r="C3221">
        <v>25.62</v>
      </c>
      <c r="D3221">
        <v>26.51</v>
      </c>
      <c r="E3221">
        <v>25.5</v>
      </c>
      <c r="F3221">
        <v>26.35</v>
      </c>
      <c r="G3221">
        <v>26.375</v>
      </c>
      <c r="H3221">
        <v>0.6</v>
      </c>
      <c r="I3221">
        <v>3026</v>
      </c>
      <c r="J3221">
        <v>0</v>
      </c>
      <c r="K3221">
        <v>8792</v>
      </c>
      <c r="L3221">
        <v>98</v>
      </c>
      <c r="M3221">
        <v>141</v>
      </c>
      <c r="N3221" t="s">
        <v>41</v>
      </c>
      <c r="O3221" s="3">
        <v>44335</v>
      </c>
      <c r="P3221">
        <v>-1</v>
      </c>
      <c r="T3221" t="s">
        <v>36</v>
      </c>
      <c r="U3221">
        <v>132</v>
      </c>
      <c r="V3221">
        <v>24.4</v>
      </c>
    </row>
    <row r="3222" spans="1:22" x14ac:dyDescent="0.35">
      <c r="A3222" s="3">
        <v>44193</v>
      </c>
      <c r="B3222" t="s">
        <v>40</v>
      </c>
      <c r="C3222">
        <v>26.1</v>
      </c>
      <c r="D3222">
        <v>26.1</v>
      </c>
      <c r="E3222">
        <v>25.58</v>
      </c>
      <c r="F3222">
        <v>25.7</v>
      </c>
      <c r="G3222">
        <v>25.774999999999999</v>
      </c>
      <c r="H3222">
        <v>-0.125</v>
      </c>
      <c r="I3222">
        <v>1557</v>
      </c>
      <c r="J3222">
        <v>0</v>
      </c>
      <c r="K3222">
        <v>6929</v>
      </c>
      <c r="L3222">
        <v>118</v>
      </c>
      <c r="M3222">
        <v>170</v>
      </c>
      <c r="N3222" t="s">
        <v>40</v>
      </c>
      <c r="O3222" s="3">
        <v>44363</v>
      </c>
      <c r="P3222">
        <v>-1</v>
      </c>
      <c r="T3222" t="s">
        <v>35</v>
      </c>
      <c r="U3222">
        <v>152</v>
      </c>
      <c r="V3222">
        <v>24.2</v>
      </c>
    </row>
    <row r="3223" spans="1:22" x14ac:dyDescent="0.35">
      <c r="A3223" s="3">
        <v>44193</v>
      </c>
      <c r="B3223" t="s">
        <v>39</v>
      </c>
      <c r="C3223">
        <v>25.95</v>
      </c>
      <c r="D3223">
        <v>26.05</v>
      </c>
      <c r="E3223">
        <v>25.68</v>
      </c>
      <c r="F3223">
        <v>25.7</v>
      </c>
      <c r="G3223">
        <v>25.824999999999999</v>
      </c>
      <c r="H3223">
        <v>-0.22500000000000001</v>
      </c>
      <c r="I3223">
        <v>668</v>
      </c>
      <c r="J3223">
        <v>0</v>
      </c>
      <c r="K3223">
        <v>1882</v>
      </c>
      <c r="L3223">
        <v>142</v>
      </c>
      <c r="M3223">
        <v>205</v>
      </c>
      <c r="N3223" t="s">
        <v>39</v>
      </c>
      <c r="O3223" s="3">
        <v>44398</v>
      </c>
      <c r="P3223">
        <v>-1</v>
      </c>
      <c r="T3223" t="s">
        <v>34</v>
      </c>
      <c r="U3223">
        <v>176</v>
      </c>
      <c r="V3223">
        <v>23.65</v>
      </c>
    </row>
    <row r="3224" spans="1:22" x14ac:dyDescent="0.35">
      <c r="A3224" s="3">
        <v>44193</v>
      </c>
      <c r="B3224" t="s">
        <v>38</v>
      </c>
      <c r="C3224">
        <v>25.85</v>
      </c>
      <c r="D3224">
        <v>25.85</v>
      </c>
      <c r="E3224">
        <v>25.85</v>
      </c>
      <c r="F3224">
        <v>25.85</v>
      </c>
      <c r="G3224">
        <v>25.824999999999999</v>
      </c>
      <c r="H3224">
        <v>-0.1</v>
      </c>
      <c r="I3224">
        <v>1</v>
      </c>
      <c r="J3224">
        <v>0</v>
      </c>
      <c r="K3224">
        <v>18</v>
      </c>
      <c r="L3224">
        <v>162</v>
      </c>
      <c r="M3224">
        <v>233</v>
      </c>
      <c r="N3224" t="s">
        <v>38</v>
      </c>
      <c r="O3224" s="3">
        <v>44426</v>
      </c>
      <c r="P3224">
        <v>-1</v>
      </c>
      <c r="S3224" s="3">
        <v>44301</v>
      </c>
      <c r="T3224" t="s">
        <v>42</v>
      </c>
      <c r="U3224">
        <v>4</v>
      </c>
      <c r="V3224">
        <v>17.1523</v>
      </c>
    </row>
    <row r="3225" spans="1:22" x14ac:dyDescent="0.35">
      <c r="A3225" s="3">
        <v>44193</v>
      </c>
      <c r="B3225" t="s">
        <v>45</v>
      </c>
      <c r="C3225">
        <v>23.9</v>
      </c>
      <c r="D3225">
        <v>24.25</v>
      </c>
      <c r="E3225">
        <v>23.28</v>
      </c>
      <c r="F3225">
        <v>23.6</v>
      </c>
      <c r="G3225">
        <v>23.675000000000001</v>
      </c>
      <c r="H3225">
        <v>-0.15</v>
      </c>
      <c r="I3225">
        <v>46070</v>
      </c>
      <c r="J3225">
        <v>0</v>
      </c>
      <c r="K3225">
        <v>140881</v>
      </c>
      <c r="L3225">
        <v>15</v>
      </c>
      <c r="M3225">
        <v>23</v>
      </c>
      <c r="N3225" t="s">
        <v>45</v>
      </c>
      <c r="O3225" s="3">
        <v>44216</v>
      </c>
      <c r="P3225">
        <v>-1</v>
      </c>
      <c r="T3225" t="s">
        <v>41</v>
      </c>
      <c r="U3225">
        <v>24</v>
      </c>
      <c r="V3225">
        <v>20.2942</v>
      </c>
    </row>
    <row r="3226" spans="1:22" x14ac:dyDescent="0.35">
      <c r="A3226" s="3">
        <v>44193</v>
      </c>
      <c r="B3226" t="s">
        <v>41</v>
      </c>
      <c r="C3226">
        <v>25.95</v>
      </c>
      <c r="D3226">
        <v>25.95</v>
      </c>
      <c r="E3226">
        <v>25.55</v>
      </c>
      <c r="F3226">
        <v>25.65</v>
      </c>
      <c r="G3226">
        <v>25.774999999999999</v>
      </c>
      <c r="H3226">
        <v>-0.05</v>
      </c>
      <c r="I3226">
        <v>1407</v>
      </c>
      <c r="J3226">
        <v>0</v>
      </c>
      <c r="K3226">
        <v>8535</v>
      </c>
      <c r="L3226">
        <v>99</v>
      </c>
      <c r="M3226">
        <v>142</v>
      </c>
      <c r="N3226" t="s">
        <v>41</v>
      </c>
      <c r="O3226" s="3">
        <v>44335</v>
      </c>
      <c r="P3226">
        <v>-1</v>
      </c>
      <c r="T3226" t="s">
        <v>40</v>
      </c>
      <c r="U3226">
        <v>43</v>
      </c>
      <c r="V3226">
        <v>21.998699999999999</v>
      </c>
    </row>
    <row r="3227" spans="1:22" x14ac:dyDescent="0.35">
      <c r="A3227" s="3">
        <v>44193</v>
      </c>
      <c r="B3227" t="s">
        <v>44</v>
      </c>
      <c r="C3227">
        <v>25.6</v>
      </c>
      <c r="D3227">
        <v>26.05</v>
      </c>
      <c r="E3227">
        <v>25.25</v>
      </c>
      <c r="F3227">
        <v>25.44</v>
      </c>
      <c r="G3227">
        <v>25.574999999999999</v>
      </c>
      <c r="H3227">
        <v>-0.05</v>
      </c>
      <c r="I3227">
        <v>38445</v>
      </c>
      <c r="J3227">
        <v>0</v>
      </c>
      <c r="K3227">
        <v>86209</v>
      </c>
      <c r="L3227">
        <v>34</v>
      </c>
      <c r="M3227">
        <v>51</v>
      </c>
      <c r="N3227" t="s">
        <v>44</v>
      </c>
      <c r="O3227" s="3">
        <v>44244</v>
      </c>
      <c r="P3227">
        <v>-1</v>
      </c>
      <c r="T3227" t="s">
        <v>39</v>
      </c>
      <c r="U3227">
        <v>67</v>
      </c>
      <c r="V3227">
        <v>23.1557</v>
      </c>
    </row>
    <row r="3228" spans="1:22" x14ac:dyDescent="0.35">
      <c r="A3228" s="3">
        <v>44193</v>
      </c>
      <c r="B3228" t="s">
        <v>43</v>
      </c>
      <c r="C3228">
        <v>25.91</v>
      </c>
      <c r="D3228">
        <v>25.91</v>
      </c>
      <c r="E3228">
        <v>25.42</v>
      </c>
      <c r="F3228">
        <v>25.6</v>
      </c>
      <c r="G3228">
        <v>25.675000000000001</v>
      </c>
      <c r="H3228">
        <v>-0.05</v>
      </c>
      <c r="I3228">
        <v>5492</v>
      </c>
      <c r="J3228">
        <v>0</v>
      </c>
      <c r="K3228">
        <v>24806</v>
      </c>
      <c r="L3228">
        <v>54</v>
      </c>
      <c r="M3228">
        <v>79</v>
      </c>
      <c r="N3228" t="s">
        <v>43</v>
      </c>
      <c r="O3228" s="3">
        <v>44272</v>
      </c>
      <c r="P3228">
        <v>-1</v>
      </c>
      <c r="T3228" t="s">
        <v>38</v>
      </c>
      <c r="U3228">
        <v>87</v>
      </c>
      <c r="V3228">
        <v>23.55</v>
      </c>
    </row>
    <row r="3229" spans="1:22" x14ac:dyDescent="0.35">
      <c r="A3229" s="3">
        <v>44193</v>
      </c>
      <c r="B3229" t="s">
        <v>42</v>
      </c>
      <c r="C3229">
        <v>25.95</v>
      </c>
      <c r="D3229">
        <v>25.95</v>
      </c>
      <c r="E3229">
        <v>25.52</v>
      </c>
      <c r="F3229">
        <v>25.75</v>
      </c>
      <c r="G3229">
        <v>25.774999999999999</v>
      </c>
      <c r="H3229">
        <v>-2.5000000000000001E-2</v>
      </c>
      <c r="I3229">
        <v>2007</v>
      </c>
      <c r="J3229">
        <v>0</v>
      </c>
      <c r="K3229">
        <v>12065</v>
      </c>
      <c r="L3229">
        <v>79</v>
      </c>
      <c r="M3229">
        <v>114</v>
      </c>
      <c r="N3229" t="s">
        <v>42</v>
      </c>
      <c r="O3229" s="3">
        <v>44307</v>
      </c>
      <c r="P3229">
        <v>-1</v>
      </c>
      <c r="T3229" t="s">
        <v>37</v>
      </c>
      <c r="U3229">
        <v>106</v>
      </c>
      <c r="V3229">
        <v>24.05</v>
      </c>
    </row>
    <row r="3230" spans="1:22" x14ac:dyDescent="0.35">
      <c r="A3230" s="3">
        <v>44189</v>
      </c>
      <c r="B3230" t="s">
        <v>44</v>
      </c>
      <c r="C3230">
        <v>26.05</v>
      </c>
      <c r="D3230">
        <v>26.1</v>
      </c>
      <c r="E3230">
        <v>25.5</v>
      </c>
      <c r="F3230">
        <v>25.66</v>
      </c>
      <c r="G3230">
        <v>25.625</v>
      </c>
      <c r="H3230">
        <v>-0.55000000000000004</v>
      </c>
      <c r="I3230">
        <v>27836</v>
      </c>
      <c r="J3230">
        <v>0</v>
      </c>
      <c r="K3230">
        <v>79305</v>
      </c>
      <c r="L3230">
        <v>35</v>
      </c>
      <c r="M3230">
        <v>55</v>
      </c>
      <c r="N3230" t="s">
        <v>44</v>
      </c>
      <c r="O3230" s="3">
        <v>44244</v>
      </c>
      <c r="P3230">
        <v>-1</v>
      </c>
      <c r="T3230" t="s">
        <v>36</v>
      </c>
      <c r="U3230">
        <v>131</v>
      </c>
      <c r="V3230">
        <v>24.251999999999999</v>
      </c>
    </row>
    <row r="3231" spans="1:22" x14ac:dyDescent="0.35">
      <c r="A3231" s="3">
        <v>44189</v>
      </c>
      <c r="B3231" t="s">
        <v>43</v>
      </c>
      <c r="C3231">
        <v>26.07</v>
      </c>
      <c r="D3231">
        <v>26.07</v>
      </c>
      <c r="E3231">
        <v>25.6</v>
      </c>
      <c r="F3231">
        <v>25.75</v>
      </c>
      <c r="G3231">
        <v>25.725000000000001</v>
      </c>
      <c r="H3231">
        <v>-0.4</v>
      </c>
      <c r="I3231">
        <v>4385</v>
      </c>
      <c r="J3231">
        <v>0</v>
      </c>
      <c r="K3231">
        <v>24480</v>
      </c>
      <c r="L3231">
        <v>55</v>
      </c>
      <c r="M3231">
        <v>83</v>
      </c>
      <c r="N3231" t="s">
        <v>43</v>
      </c>
      <c r="O3231" s="3">
        <v>44272</v>
      </c>
      <c r="P3231">
        <v>-1</v>
      </c>
      <c r="T3231" t="s">
        <v>35</v>
      </c>
      <c r="U3231">
        <v>151</v>
      </c>
      <c r="V3231">
        <v>24</v>
      </c>
    </row>
    <row r="3232" spans="1:22" x14ac:dyDescent="0.35">
      <c r="A3232" s="3">
        <v>44189</v>
      </c>
      <c r="B3232" t="s">
        <v>42</v>
      </c>
      <c r="C3232">
        <v>26.12</v>
      </c>
      <c r="D3232">
        <v>26.12</v>
      </c>
      <c r="E3232">
        <v>25.74</v>
      </c>
      <c r="F3232">
        <v>25.8</v>
      </c>
      <c r="G3232">
        <v>25.8</v>
      </c>
      <c r="H3232">
        <v>-0.32500000000000001</v>
      </c>
      <c r="I3232">
        <v>1803</v>
      </c>
      <c r="J3232">
        <v>0</v>
      </c>
      <c r="K3232">
        <v>11903</v>
      </c>
      <c r="L3232">
        <v>80</v>
      </c>
      <c r="M3232">
        <v>118</v>
      </c>
      <c r="N3232" t="s">
        <v>42</v>
      </c>
      <c r="O3232" s="3">
        <v>44307</v>
      </c>
      <c r="P3232">
        <v>-1</v>
      </c>
      <c r="T3232" t="s">
        <v>34</v>
      </c>
      <c r="U3232">
        <v>175</v>
      </c>
      <c r="V3232">
        <v>23.5</v>
      </c>
    </row>
    <row r="3233" spans="1:22" x14ac:dyDescent="0.35">
      <c r="A3233" s="3">
        <v>44189</v>
      </c>
      <c r="B3233" t="s">
        <v>40</v>
      </c>
      <c r="C3233">
        <v>26</v>
      </c>
      <c r="D3233">
        <v>26.05</v>
      </c>
      <c r="E3233">
        <v>25.8</v>
      </c>
      <c r="F3233">
        <v>25.95</v>
      </c>
      <c r="G3233">
        <v>25.9</v>
      </c>
      <c r="H3233">
        <v>-0.17499999999999999</v>
      </c>
      <c r="I3233">
        <v>1525</v>
      </c>
      <c r="J3233">
        <v>0</v>
      </c>
      <c r="K3233">
        <v>6891</v>
      </c>
      <c r="L3233">
        <v>119</v>
      </c>
      <c r="M3233">
        <v>174</v>
      </c>
      <c r="N3233" t="s">
        <v>40</v>
      </c>
      <c r="O3233" s="3">
        <v>44363</v>
      </c>
      <c r="P3233">
        <v>-1</v>
      </c>
      <c r="S3233" s="3">
        <v>44302</v>
      </c>
      <c r="T3233" t="s">
        <v>42</v>
      </c>
      <c r="U3233">
        <v>3</v>
      </c>
      <c r="V3233">
        <v>17.001899999999999</v>
      </c>
    </row>
    <row r="3234" spans="1:22" x14ac:dyDescent="0.35">
      <c r="A3234" s="3">
        <v>44189</v>
      </c>
      <c r="B3234" t="s">
        <v>39</v>
      </c>
      <c r="C3234">
        <v>26.05</v>
      </c>
      <c r="D3234">
        <v>26.15</v>
      </c>
      <c r="E3234">
        <v>25.9</v>
      </c>
      <c r="F3234">
        <v>26.05</v>
      </c>
      <c r="G3234">
        <v>26.05</v>
      </c>
      <c r="H3234">
        <v>-0.125</v>
      </c>
      <c r="I3234">
        <v>647</v>
      </c>
      <c r="J3234">
        <v>0</v>
      </c>
      <c r="K3234">
        <v>1804</v>
      </c>
      <c r="L3234">
        <v>143</v>
      </c>
      <c r="M3234">
        <v>209</v>
      </c>
      <c r="N3234" t="s">
        <v>39</v>
      </c>
      <c r="O3234" s="3">
        <v>44398</v>
      </c>
      <c r="P3234">
        <v>-1</v>
      </c>
      <c r="T3234" t="s">
        <v>41</v>
      </c>
      <c r="U3234">
        <v>23</v>
      </c>
      <c r="V3234">
        <v>19.954999999999998</v>
      </c>
    </row>
    <row r="3235" spans="1:22" x14ac:dyDescent="0.35">
      <c r="A3235" s="3">
        <v>44189</v>
      </c>
      <c r="B3235" t="s">
        <v>45</v>
      </c>
      <c r="C3235">
        <v>24.6</v>
      </c>
      <c r="D3235">
        <v>24.67</v>
      </c>
      <c r="E3235">
        <v>23.8</v>
      </c>
      <c r="F3235">
        <v>23.85</v>
      </c>
      <c r="G3235">
        <v>23.824999999999999</v>
      </c>
      <c r="H3235">
        <v>-0.8</v>
      </c>
      <c r="I3235">
        <v>38210</v>
      </c>
      <c r="J3235">
        <v>0</v>
      </c>
      <c r="K3235">
        <v>149254</v>
      </c>
      <c r="L3235">
        <v>16</v>
      </c>
      <c r="M3235">
        <v>27</v>
      </c>
      <c r="N3235" t="s">
        <v>45</v>
      </c>
      <c r="O3235" s="3">
        <v>44216</v>
      </c>
      <c r="P3235">
        <v>-1</v>
      </c>
      <c r="T3235" t="s">
        <v>40</v>
      </c>
      <c r="U3235">
        <v>42</v>
      </c>
      <c r="V3235">
        <v>21.601099999999999</v>
      </c>
    </row>
    <row r="3236" spans="1:22" x14ac:dyDescent="0.35">
      <c r="A3236" s="3">
        <v>44189</v>
      </c>
      <c r="B3236" t="s">
        <v>41</v>
      </c>
      <c r="C3236">
        <v>26</v>
      </c>
      <c r="D3236">
        <v>26</v>
      </c>
      <c r="E3236">
        <v>25.75</v>
      </c>
      <c r="F3236">
        <v>25.8</v>
      </c>
      <c r="G3236">
        <v>25.824999999999999</v>
      </c>
      <c r="H3236">
        <v>-0.25</v>
      </c>
      <c r="I3236">
        <v>2106</v>
      </c>
      <c r="J3236">
        <v>0</v>
      </c>
      <c r="K3236">
        <v>8399</v>
      </c>
      <c r="L3236">
        <v>100</v>
      </c>
      <c r="M3236">
        <v>146</v>
      </c>
      <c r="N3236" t="s">
        <v>41</v>
      </c>
      <c r="O3236" s="3">
        <v>44335</v>
      </c>
      <c r="P3236">
        <v>-1</v>
      </c>
      <c r="T3236" t="s">
        <v>39</v>
      </c>
      <c r="U3236">
        <v>66</v>
      </c>
      <c r="V3236">
        <v>22.85</v>
      </c>
    </row>
    <row r="3237" spans="1:22" x14ac:dyDescent="0.35">
      <c r="A3237" s="3">
        <v>44188</v>
      </c>
      <c r="B3237" t="s">
        <v>40</v>
      </c>
      <c r="C3237">
        <v>26.8</v>
      </c>
      <c r="D3237">
        <v>27</v>
      </c>
      <c r="E3237">
        <v>25.92</v>
      </c>
      <c r="F3237">
        <v>26.04</v>
      </c>
      <c r="G3237">
        <v>26.074999999999999</v>
      </c>
      <c r="H3237">
        <v>-0.65</v>
      </c>
      <c r="I3237">
        <v>1402</v>
      </c>
      <c r="J3237">
        <v>0</v>
      </c>
      <c r="K3237">
        <v>6528</v>
      </c>
      <c r="L3237">
        <v>120</v>
      </c>
      <c r="M3237">
        <v>175</v>
      </c>
      <c r="N3237" t="s">
        <v>40</v>
      </c>
      <c r="O3237" s="3">
        <v>44363</v>
      </c>
      <c r="P3237">
        <v>-1</v>
      </c>
      <c r="T3237" t="s">
        <v>38</v>
      </c>
      <c r="U3237">
        <v>86</v>
      </c>
      <c r="V3237">
        <v>23.3444</v>
      </c>
    </row>
    <row r="3238" spans="1:22" x14ac:dyDescent="0.35">
      <c r="A3238" s="3">
        <v>44188</v>
      </c>
      <c r="B3238" t="s">
        <v>39</v>
      </c>
      <c r="C3238">
        <v>26.8</v>
      </c>
      <c r="D3238">
        <v>27.05</v>
      </c>
      <c r="E3238">
        <v>26.03</v>
      </c>
      <c r="F3238">
        <v>26.17</v>
      </c>
      <c r="G3238">
        <v>26.175000000000001</v>
      </c>
      <c r="H3238">
        <v>-0.6</v>
      </c>
      <c r="I3238">
        <v>489</v>
      </c>
      <c r="J3238">
        <v>0</v>
      </c>
      <c r="K3238">
        <v>1594</v>
      </c>
      <c r="L3238">
        <v>144</v>
      </c>
      <c r="M3238">
        <v>210</v>
      </c>
      <c r="N3238" t="s">
        <v>39</v>
      </c>
      <c r="O3238" s="3">
        <v>44398</v>
      </c>
      <c r="P3238">
        <v>-1</v>
      </c>
      <c r="T3238" t="s">
        <v>37</v>
      </c>
      <c r="U3238">
        <v>105</v>
      </c>
      <c r="V3238">
        <v>23.95</v>
      </c>
    </row>
    <row r="3239" spans="1:22" x14ac:dyDescent="0.35">
      <c r="A3239" s="3">
        <v>44188</v>
      </c>
      <c r="B3239" t="s">
        <v>45</v>
      </c>
      <c r="C3239">
        <v>25.8</v>
      </c>
      <c r="D3239">
        <v>26.5</v>
      </c>
      <c r="E3239">
        <v>24.1</v>
      </c>
      <c r="F3239">
        <v>24.65</v>
      </c>
      <c r="G3239">
        <v>24.625</v>
      </c>
      <c r="H3239">
        <v>-1.1499999999999999</v>
      </c>
      <c r="I3239">
        <v>66463</v>
      </c>
      <c r="J3239">
        <v>0</v>
      </c>
      <c r="K3239">
        <v>154833</v>
      </c>
      <c r="L3239">
        <v>17</v>
      </c>
      <c r="M3239">
        <v>28</v>
      </c>
      <c r="N3239" t="s">
        <v>45</v>
      </c>
      <c r="O3239" s="3">
        <v>44216</v>
      </c>
      <c r="P3239">
        <v>-1</v>
      </c>
      <c r="T3239" t="s">
        <v>36</v>
      </c>
      <c r="U3239">
        <v>130</v>
      </c>
      <c r="V3239">
        <v>24.25</v>
      </c>
    </row>
    <row r="3240" spans="1:22" x14ac:dyDescent="0.35">
      <c r="A3240" s="3">
        <v>44188</v>
      </c>
      <c r="B3240" t="s">
        <v>41</v>
      </c>
      <c r="C3240">
        <v>26.75</v>
      </c>
      <c r="D3240">
        <v>27.1</v>
      </c>
      <c r="E3240">
        <v>25.95</v>
      </c>
      <c r="F3240">
        <v>26.03</v>
      </c>
      <c r="G3240">
        <v>26.074999999999999</v>
      </c>
      <c r="H3240">
        <v>-0.6</v>
      </c>
      <c r="I3240">
        <v>3065</v>
      </c>
      <c r="J3240">
        <v>0</v>
      </c>
      <c r="K3240">
        <v>8350</v>
      </c>
      <c r="L3240">
        <v>101</v>
      </c>
      <c r="M3240">
        <v>147</v>
      </c>
      <c r="N3240" t="s">
        <v>41</v>
      </c>
      <c r="O3240" s="3">
        <v>44335</v>
      </c>
      <c r="P3240">
        <v>-1</v>
      </c>
      <c r="T3240" t="s">
        <v>35</v>
      </c>
      <c r="U3240">
        <v>150</v>
      </c>
      <c r="V3240">
        <v>24.05</v>
      </c>
    </row>
    <row r="3241" spans="1:22" x14ac:dyDescent="0.35">
      <c r="A3241" s="3">
        <v>44188</v>
      </c>
      <c r="B3241" t="s">
        <v>44</v>
      </c>
      <c r="C3241">
        <v>26.95</v>
      </c>
      <c r="D3241">
        <v>27.46</v>
      </c>
      <c r="E3241">
        <v>25.75</v>
      </c>
      <c r="F3241">
        <v>26.05</v>
      </c>
      <c r="G3241">
        <v>26.175000000000001</v>
      </c>
      <c r="H3241">
        <v>-0.75</v>
      </c>
      <c r="I3241">
        <v>39851</v>
      </c>
      <c r="J3241">
        <v>0</v>
      </c>
      <c r="K3241">
        <v>74863</v>
      </c>
      <c r="L3241">
        <v>36</v>
      </c>
      <c r="M3241">
        <v>56</v>
      </c>
      <c r="N3241" t="s">
        <v>44</v>
      </c>
      <c r="O3241" s="3">
        <v>44244</v>
      </c>
      <c r="P3241">
        <v>-1</v>
      </c>
      <c r="T3241" t="s">
        <v>34</v>
      </c>
      <c r="U3241">
        <v>174</v>
      </c>
      <c r="V3241">
        <v>23.55</v>
      </c>
    </row>
    <row r="3242" spans="1:22" x14ac:dyDescent="0.35">
      <c r="A3242" s="3">
        <v>44188</v>
      </c>
      <c r="B3242" t="s">
        <v>43</v>
      </c>
      <c r="C3242">
        <v>26.8</v>
      </c>
      <c r="D3242">
        <v>27.27</v>
      </c>
      <c r="E3242">
        <v>25.95</v>
      </c>
      <c r="F3242">
        <v>26.04</v>
      </c>
      <c r="G3242">
        <v>26.125</v>
      </c>
      <c r="H3242">
        <v>-0.7</v>
      </c>
      <c r="I3242">
        <v>10824</v>
      </c>
      <c r="J3242">
        <v>0</v>
      </c>
      <c r="K3242">
        <v>24058</v>
      </c>
      <c r="L3242">
        <v>56</v>
      </c>
      <c r="M3242">
        <v>84</v>
      </c>
      <c r="N3242" t="s">
        <v>43</v>
      </c>
      <c r="O3242" s="3">
        <v>44272</v>
      </c>
      <c r="P3242">
        <v>-1</v>
      </c>
      <c r="S3242" s="3">
        <v>44305</v>
      </c>
      <c r="T3242" t="s">
        <v>42</v>
      </c>
      <c r="U3242">
        <v>2</v>
      </c>
      <c r="V3242">
        <v>17.657</v>
      </c>
    </row>
    <row r="3243" spans="1:22" x14ac:dyDescent="0.35">
      <c r="A3243" s="3">
        <v>44188</v>
      </c>
      <c r="B3243" t="s">
        <v>38</v>
      </c>
      <c r="C3243">
        <v>26.1</v>
      </c>
      <c r="D3243">
        <v>26.15</v>
      </c>
      <c r="E3243">
        <v>25.95</v>
      </c>
      <c r="F3243">
        <v>25.95</v>
      </c>
      <c r="G3243">
        <v>26</v>
      </c>
      <c r="H3243">
        <v>-0.57499999999999996</v>
      </c>
      <c r="I3243">
        <v>3</v>
      </c>
      <c r="J3243">
        <v>0</v>
      </c>
      <c r="K3243">
        <v>17</v>
      </c>
      <c r="L3243">
        <v>164</v>
      </c>
      <c r="M3243">
        <v>238</v>
      </c>
      <c r="N3243" t="s">
        <v>38</v>
      </c>
      <c r="O3243" s="3">
        <v>44426</v>
      </c>
      <c r="P3243">
        <v>-1</v>
      </c>
      <c r="T3243" t="s">
        <v>41</v>
      </c>
      <c r="U3243">
        <v>22</v>
      </c>
      <c r="V3243">
        <v>20.700600000000001</v>
      </c>
    </row>
    <row r="3244" spans="1:22" x14ac:dyDescent="0.35">
      <c r="A3244" s="3">
        <v>44188</v>
      </c>
      <c r="B3244" t="s">
        <v>42</v>
      </c>
      <c r="C3244">
        <v>26.85</v>
      </c>
      <c r="D3244">
        <v>27.2</v>
      </c>
      <c r="E3244">
        <v>26.02</v>
      </c>
      <c r="F3244">
        <v>26.1</v>
      </c>
      <c r="G3244">
        <v>26.125</v>
      </c>
      <c r="H3244">
        <v>-0.7</v>
      </c>
      <c r="I3244">
        <v>3506</v>
      </c>
      <c r="J3244">
        <v>0</v>
      </c>
      <c r="K3244">
        <v>11832</v>
      </c>
      <c r="L3244">
        <v>81</v>
      </c>
      <c r="M3244">
        <v>119</v>
      </c>
      <c r="N3244" t="s">
        <v>42</v>
      </c>
      <c r="O3244" s="3">
        <v>44307</v>
      </c>
      <c r="P3244">
        <v>-1</v>
      </c>
      <c r="T3244" t="s">
        <v>40</v>
      </c>
      <c r="U3244">
        <v>41</v>
      </c>
      <c r="V3244">
        <v>22.262899999999998</v>
      </c>
    </row>
    <row r="3245" spans="1:22" x14ac:dyDescent="0.35">
      <c r="A3245" s="3">
        <v>44187</v>
      </c>
      <c r="B3245" t="s">
        <v>44</v>
      </c>
      <c r="C3245">
        <v>26.95</v>
      </c>
      <c r="D3245">
        <v>27.65</v>
      </c>
      <c r="E3245">
        <v>26.8</v>
      </c>
      <c r="F3245">
        <v>26.9</v>
      </c>
      <c r="G3245">
        <v>26.925000000000001</v>
      </c>
      <c r="H3245">
        <v>-0.2</v>
      </c>
      <c r="I3245">
        <v>43080</v>
      </c>
      <c r="J3245">
        <v>0</v>
      </c>
      <c r="K3245">
        <v>69516</v>
      </c>
      <c r="L3245">
        <v>37</v>
      </c>
      <c r="M3245">
        <v>57</v>
      </c>
      <c r="N3245" t="s">
        <v>44</v>
      </c>
      <c r="O3245" s="3">
        <v>44244</v>
      </c>
      <c r="P3245">
        <v>-1</v>
      </c>
      <c r="T3245" t="s">
        <v>39</v>
      </c>
      <c r="U3245">
        <v>65</v>
      </c>
      <c r="V3245">
        <v>23.452400000000001</v>
      </c>
    </row>
    <row r="3246" spans="1:22" x14ac:dyDescent="0.35">
      <c r="A3246" s="3">
        <v>44187</v>
      </c>
      <c r="B3246" t="s">
        <v>43</v>
      </c>
      <c r="C3246">
        <v>26.75</v>
      </c>
      <c r="D3246">
        <v>27.25</v>
      </c>
      <c r="E3246">
        <v>26.63</v>
      </c>
      <c r="F3246">
        <v>26.85</v>
      </c>
      <c r="G3246">
        <v>26.824999999999999</v>
      </c>
      <c r="H3246">
        <v>0</v>
      </c>
      <c r="I3246">
        <v>9126</v>
      </c>
      <c r="J3246">
        <v>0</v>
      </c>
      <c r="K3246">
        <v>23309</v>
      </c>
      <c r="L3246">
        <v>57</v>
      </c>
      <c r="M3246">
        <v>85</v>
      </c>
      <c r="N3246" t="s">
        <v>43</v>
      </c>
      <c r="O3246" s="3">
        <v>44272</v>
      </c>
      <c r="P3246">
        <v>-1</v>
      </c>
      <c r="T3246" t="s">
        <v>38</v>
      </c>
      <c r="U3246">
        <v>85</v>
      </c>
      <c r="V3246">
        <v>23.849799999999998</v>
      </c>
    </row>
    <row r="3247" spans="1:22" x14ac:dyDescent="0.35">
      <c r="A3247" s="3">
        <v>44187</v>
      </c>
      <c r="B3247" t="s">
        <v>38</v>
      </c>
      <c r="C3247">
        <v>27</v>
      </c>
      <c r="D3247">
        <v>27</v>
      </c>
      <c r="E3247">
        <v>27</v>
      </c>
      <c r="F3247">
        <v>27</v>
      </c>
      <c r="G3247">
        <v>26.574999999999999</v>
      </c>
      <c r="H3247">
        <v>-0.25</v>
      </c>
      <c r="I3247">
        <v>10</v>
      </c>
      <c r="J3247">
        <v>0</v>
      </c>
      <c r="K3247">
        <v>16</v>
      </c>
      <c r="L3247">
        <v>165</v>
      </c>
      <c r="M3247">
        <v>239</v>
      </c>
      <c r="N3247" t="s">
        <v>38</v>
      </c>
      <c r="O3247" s="3">
        <v>44426</v>
      </c>
      <c r="P3247">
        <v>-1</v>
      </c>
      <c r="T3247" t="s">
        <v>37</v>
      </c>
      <c r="U3247">
        <v>104</v>
      </c>
      <c r="V3247">
        <v>24.386399999999998</v>
      </c>
    </row>
    <row r="3248" spans="1:22" x14ac:dyDescent="0.35">
      <c r="A3248" s="3">
        <v>44187</v>
      </c>
      <c r="B3248" t="s">
        <v>42</v>
      </c>
      <c r="C3248">
        <v>26.59</v>
      </c>
      <c r="D3248">
        <v>27.08</v>
      </c>
      <c r="E3248">
        <v>26.57</v>
      </c>
      <c r="F3248">
        <v>26.88</v>
      </c>
      <c r="G3248">
        <v>26.824999999999999</v>
      </c>
      <c r="H3248">
        <v>0.15</v>
      </c>
      <c r="I3248">
        <v>3942</v>
      </c>
      <c r="J3248">
        <v>0</v>
      </c>
      <c r="K3248">
        <v>11997</v>
      </c>
      <c r="L3248">
        <v>82</v>
      </c>
      <c r="M3248">
        <v>120</v>
      </c>
      <c r="N3248" t="s">
        <v>42</v>
      </c>
      <c r="O3248" s="3">
        <v>44307</v>
      </c>
      <c r="P3248">
        <v>-1</v>
      </c>
      <c r="T3248" t="s">
        <v>36</v>
      </c>
      <c r="U3248">
        <v>129</v>
      </c>
      <c r="V3248">
        <v>24.551600000000001</v>
      </c>
    </row>
    <row r="3249" spans="1:22" x14ac:dyDescent="0.35">
      <c r="A3249" s="3">
        <v>44187</v>
      </c>
      <c r="B3249" t="s">
        <v>40</v>
      </c>
      <c r="C3249">
        <v>26.4</v>
      </c>
      <c r="D3249">
        <v>26.8</v>
      </c>
      <c r="E3249">
        <v>26.39</v>
      </c>
      <c r="F3249">
        <v>26.75</v>
      </c>
      <c r="G3249">
        <v>26.725000000000001</v>
      </c>
      <c r="H3249">
        <v>0.25</v>
      </c>
      <c r="I3249">
        <v>1370</v>
      </c>
      <c r="J3249">
        <v>0</v>
      </c>
      <c r="K3249">
        <v>6302</v>
      </c>
      <c r="L3249">
        <v>121</v>
      </c>
      <c r="M3249">
        <v>176</v>
      </c>
      <c r="N3249" t="s">
        <v>40</v>
      </c>
      <c r="O3249" s="3">
        <v>44363</v>
      </c>
      <c r="P3249">
        <v>-1</v>
      </c>
      <c r="T3249" t="s">
        <v>35</v>
      </c>
      <c r="U3249">
        <v>149</v>
      </c>
      <c r="V3249">
        <v>24.3</v>
      </c>
    </row>
    <row r="3250" spans="1:22" x14ac:dyDescent="0.35">
      <c r="A3250" s="3">
        <v>44187</v>
      </c>
      <c r="B3250" t="s">
        <v>39</v>
      </c>
      <c r="C3250">
        <v>26.53</v>
      </c>
      <c r="D3250">
        <v>26.87</v>
      </c>
      <c r="E3250">
        <v>26.49</v>
      </c>
      <c r="F3250">
        <v>26.78</v>
      </c>
      <c r="G3250">
        <v>26.774999999999999</v>
      </c>
      <c r="H3250">
        <v>0.22500000000000001</v>
      </c>
      <c r="I3250">
        <v>508</v>
      </c>
      <c r="J3250">
        <v>0</v>
      </c>
      <c r="K3250">
        <v>1635</v>
      </c>
      <c r="L3250">
        <v>145</v>
      </c>
      <c r="M3250">
        <v>211</v>
      </c>
      <c r="N3250" t="s">
        <v>39</v>
      </c>
      <c r="O3250" s="3">
        <v>44398</v>
      </c>
      <c r="P3250">
        <v>-1</v>
      </c>
      <c r="T3250" t="s">
        <v>34</v>
      </c>
      <c r="U3250">
        <v>173</v>
      </c>
      <c r="V3250">
        <v>23.85</v>
      </c>
    </row>
    <row r="3251" spans="1:22" x14ac:dyDescent="0.35">
      <c r="A3251" s="3">
        <v>44187</v>
      </c>
      <c r="B3251" t="s">
        <v>45</v>
      </c>
      <c r="C3251">
        <v>26.25</v>
      </c>
      <c r="D3251">
        <v>27.1</v>
      </c>
      <c r="E3251">
        <v>25.6</v>
      </c>
      <c r="F3251">
        <v>25.8</v>
      </c>
      <c r="G3251">
        <v>25.774999999999999</v>
      </c>
      <c r="H3251">
        <v>-0.55000000000000004</v>
      </c>
      <c r="I3251">
        <v>67933</v>
      </c>
      <c r="J3251">
        <v>0</v>
      </c>
      <c r="K3251">
        <v>163838</v>
      </c>
      <c r="L3251">
        <v>18</v>
      </c>
      <c r="M3251">
        <v>29</v>
      </c>
      <c r="N3251" t="s">
        <v>45</v>
      </c>
      <c r="O3251" s="3">
        <v>44216</v>
      </c>
      <c r="P3251">
        <v>-1</v>
      </c>
      <c r="S3251" s="3">
        <v>44306</v>
      </c>
      <c r="T3251" t="s">
        <v>42</v>
      </c>
      <c r="U3251">
        <v>1</v>
      </c>
      <c r="V3251">
        <v>18.6526</v>
      </c>
    </row>
    <row r="3252" spans="1:22" x14ac:dyDescent="0.35">
      <c r="A3252" s="3">
        <v>44187</v>
      </c>
      <c r="B3252" t="s">
        <v>41</v>
      </c>
      <c r="C3252">
        <v>26.5</v>
      </c>
      <c r="D3252">
        <v>26.85</v>
      </c>
      <c r="E3252">
        <v>26.45</v>
      </c>
      <c r="F3252">
        <v>26.85</v>
      </c>
      <c r="G3252">
        <v>26.675000000000001</v>
      </c>
      <c r="H3252">
        <v>0.1</v>
      </c>
      <c r="I3252">
        <v>2725</v>
      </c>
      <c r="J3252">
        <v>0</v>
      </c>
      <c r="K3252">
        <v>8557</v>
      </c>
      <c r="L3252">
        <v>102</v>
      </c>
      <c r="M3252">
        <v>148</v>
      </c>
      <c r="N3252" t="s">
        <v>41</v>
      </c>
      <c r="O3252" s="3">
        <v>44335</v>
      </c>
      <c r="P3252">
        <v>-1</v>
      </c>
      <c r="T3252" t="s">
        <v>41</v>
      </c>
      <c r="U3252">
        <v>21</v>
      </c>
      <c r="V3252">
        <v>21.052800000000001</v>
      </c>
    </row>
    <row r="3253" spans="1:22" x14ac:dyDescent="0.35">
      <c r="A3253" s="3">
        <v>44186</v>
      </c>
      <c r="B3253" t="s">
        <v>40</v>
      </c>
      <c r="C3253">
        <v>26.05</v>
      </c>
      <c r="D3253">
        <v>27.65</v>
      </c>
      <c r="E3253">
        <v>26.05</v>
      </c>
      <c r="F3253">
        <v>26.56</v>
      </c>
      <c r="G3253">
        <v>26.475000000000001</v>
      </c>
      <c r="H3253">
        <v>0.25</v>
      </c>
      <c r="I3253">
        <v>2754</v>
      </c>
      <c r="J3253">
        <v>0</v>
      </c>
      <c r="K3253">
        <v>6055</v>
      </c>
      <c r="L3253">
        <v>122</v>
      </c>
      <c r="M3253">
        <v>177</v>
      </c>
      <c r="N3253" t="s">
        <v>40</v>
      </c>
      <c r="O3253" s="3">
        <v>44363</v>
      </c>
      <c r="P3253">
        <v>-1</v>
      </c>
      <c r="T3253" t="s">
        <v>40</v>
      </c>
      <c r="U3253">
        <v>40</v>
      </c>
      <c r="V3253">
        <v>22.7044</v>
      </c>
    </row>
    <row r="3254" spans="1:22" x14ac:dyDescent="0.35">
      <c r="A3254" s="3">
        <v>44186</v>
      </c>
      <c r="B3254" t="s">
        <v>39</v>
      </c>
      <c r="C3254">
        <v>26.43</v>
      </c>
      <c r="D3254">
        <v>27.6</v>
      </c>
      <c r="E3254">
        <v>26.35</v>
      </c>
      <c r="F3254">
        <v>26.61</v>
      </c>
      <c r="G3254">
        <v>26.55</v>
      </c>
      <c r="H3254">
        <v>0.22500000000000001</v>
      </c>
      <c r="I3254">
        <v>1185</v>
      </c>
      <c r="J3254">
        <v>0</v>
      </c>
      <c r="K3254">
        <v>1451</v>
      </c>
      <c r="L3254">
        <v>146</v>
      </c>
      <c r="M3254">
        <v>212</v>
      </c>
      <c r="N3254" t="s">
        <v>39</v>
      </c>
      <c r="O3254" s="3">
        <v>44398</v>
      </c>
      <c r="P3254">
        <v>-1</v>
      </c>
      <c r="T3254" t="s">
        <v>39</v>
      </c>
      <c r="U3254">
        <v>64</v>
      </c>
      <c r="V3254">
        <v>23.9038</v>
      </c>
    </row>
    <row r="3255" spans="1:22" x14ac:dyDescent="0.35">
      <c r="A3255" s="3">
        <v>44186</v>
      </c>
      <c r="B3255" t="s">
        <v>45</v>
      </c>
      <c r="C3255">
        <v>24.2</v>
      </c>
      <c r="D3255">
        <v>27.85</v>
      </c>
      <c r="E3255">
        <v>23.95</v>
      </c>
      <c r="F3255">
        <v>26.25</v>
      </c>
      <c r="G3255">
        <v>26.324999999999999</v>
      </c>
      <c r="H3255">
        <v>2.15</v>
      </c>
      <c r="I3255">
        <v>129127</v>
      </c>
      <c r="J3255">
        <v>86</v>
      </c>
      <c r="K3255">
        <v>170490</v>
      </c>
      <c r="L3255">
        <v>19</v>
      </c>
      <c r="M3255">
        <v>30</v>
      </c>
      <c r="N3255" t="s">
        <v>45</v>
      </c>
      <c r="O3255" s="3">
        <v>44216</v>
      </c>
      <c r="P3255">
        <v>-1</v>
      </c>
      <c r="T3255" t="s">
        <v>38</v>
      </c>
      <c r="U3255">
        <v>84</v>
      </c>
      <c r="V3255">
        <v>24.271899999999999</v>
      </c>
    </row>
    <row r="3256" spans="1:22" x14ac:dyDescent="0.35">
      <c r="A3256" s="3">
        <v>44186</v>
      </c>
      <c r="B3256" t="s">
        <v>41</v>
      </c>
      <c r="C3256">
        <v>26.02</v>
      </c>
      <c r="D3256">
        <v>27.7</v>
      </c>
      <c r="E3256">
        <v>26.02</v>
      </c>
      <c r="F3256">
        <v>26.62</v>
      </c>
      <c r="G3256">
        <v>26.574999999999999</v>
      </c>
      <c r="H3256">
        <v>0.4</v>
      </c>
      <c r="I3256">
        <v>5481</v>
      </c>
      <c r="J3256">
        <v>0</v>
      </c>
      <c r="K3256">
        <v>8326</v>
      </c>
      <c r="L3256">
        <v>103</v>
      </c>
      <c r="M3256">
        <v>149</v>
      </c>
      <c r="N3256" t="s">
        <v>41</v>
      </c>
      <c r="O3256" s="3">
        <v>44335</v>
      </c>
      <c r="P3256">
        <v>-1</v>
      </c>
      <c r="T3256" t="s">
        <v>37</v>
      </c>
      <c r="U3256">
        <v>103</v>
      </c>
      <c r="V3256">
        <v>24.8</v>
      </c>
    </row>
    <row r="3257" spans="1:22" x14ac:dyDescent="0.35">
      <c r="A3257" s="3">
        <v>44186</v>
      </c>
      <c r="B3257" t="s">
        <v>44</v>
      </c>
      <c r="C3257">
        <v>25.5</v>
      </c>
      <c r="D3257">
        <v>28.4</v>
      </c>
      <c r="E3257">
        <v>25.45</v>
      </c>
      <c r="F3257">
        <v>27</v>
      </c>
      <c r="G3257">
        <v>27.125</v>
      </c>
      <c r="H3257">
        <v>1.4</v>
      </c>
      <c r="I3257">
        <v>69759</v>
      </c>
      <c r="J3257">
        <v>14</v>
      </c>
      <c r="K3257">
        <v>68043</v>
      </c>
      <c r="L3257">
        <v>38</v>
      </c>
      <c r="M3257">
        <v>58</v>
      </c>
      <c r="N3257" t="s">
        <v>44</v>
      </c>
      <c r="O3257" s="3">
        <v>44244</v>
      </c>
      <c r="P3257">
        <v>-1</v>
      </c>
      <c r="T3257" t="s">
        <v>36</v>
      </c>
      <c r="U3257">
        <v>128</v>
      </c>
      <c r="V3257">
        <v>24.9</v>
      </c>
    </row>
    <row r="3258" spans="1:22" x14ac:dyDescent="0.35">
      <c r="A3258" s="3">
        <v>44186</v>
      </c>
      <c r="B3258" t="s">
        <v>43</v>
      </c>
      <c r="C3258">
        <v>25.78</v>
      </c>
      <c r="D3258">
        <v>28.05</v>
      </c>
      <c r="E3258">
        <v>25.78</v>
      </c>
      <c r="F3258">
        <v>26.8</v>
      </c>
      <c r="G3258">
        <v>26.824999999999999</v>
      </c>
      <c r="H3258">
        <v>0.8</v>
      </c>
      <c r="I3258">
        <v>19988</v>
      </c>
      <c r="J3258">
        <v>0</v>
      </c>
      <c r="K3258">
        <v>22766</v>
      </c>
      <c r="L3258">
        <v>58</v>
      </c>
      <c r="M3258">
        <v>86</v>
      </c>
      <c r="N3258" t="s">
        <v>43</v>
      </c>
      <c r="O3258" s="3">
        <v>44272</v>
      </c>
      <c r="P3258">
        <v>-1</v>
      </c>
      <c r="T3258" t="s">
        <v>35</v>
      </c>
      <c r="U3258">
        <v>148</v>
      </c>
      <c r="V3258">
        <v>24.7</v>
      </c>
    </row>
    <row r="3259" spans="1:22" x14ac:dyDescent="0.35">
      <c r="A3259" s="3">
        <v>44186</v>
      </c>
      <c r="B3259" t="s">
        <v>38</v>
      </c>
      <c r="C3259">
        <v>26.5</v>
      </c>
      <c r="D3259">
        <v>27.1</v>
      </c>
      <c r="E3259">
        <v>26.5</v>
      </c>
      <c r="F3259">
        <v>27.1</v>
      </c>
      <c r="G3259">
        <v>26.824999999999999</v>
      </c>
      <c r="H3259">
        <v>0.9</v>
      </c>
      <c r="I3259">
        <v>3</v>
      </c>
      <c r="J3259">
        <v>0</v>
      </c>
      <c r="K3259">
        <v>6</v>
      </c>
      <c r="L3259">
        <v>166</v>
      </c>
      <c r="M3259">
        <v>240</v>
      </c>
      <c r="N3259" t="s">
        <v>38</v>
      </c>
      <c r="O3259" s="3">
        <v>44426</v>
      </c>
      <c r="P3259">
        <v>-1</v>
      </c>
      <c r="T3259" t="s">
        <v>34</v>
      </c>
      <c r="U3259">
        <v>172</v>
      </c>
      <c r="V3259">
        <v>24.2</v>
      </c>
    </row>
    <row r="3260" spans="1:22" x14ac:dyDescent="0.35">
      <c r="A3260" s="3">
        <v>44186</v>
      </c>
      <c r="B3260" t="s">
        <v>42</v>
      </c>
      <c r="C3260">
        <v>26.11</v>
      </c>
      <c r="D3260">
        <v>27.9</v>
      </c>
      <c r="E3260">
        <v>26.11</v>
      </c>
      <c r="F3260">
        <v>26.75</v>
      </c>
      <c r="G3260">
        <v>26.675000000000001</v>
      </c>
      <c r="H3260">
        <v>0.5</v>
      </c>
      <c r="I3260">
        <v>9245</v>
      </c>
      <c r="J3260">
        <v>0</v>
      </c>
      <c r="K3260">
        <v>11999</v>
      </c>
      <c r="L3260">
        <v>83</v>
      </c>
      <c r="M3260">
        <v>121</v>
      </c>
      <c r="N3260" t="s">
        <v>42</v>
      </c>
      <c r="O3260" s="3">
        <v>44307</v>
      </c>
      <c r="P3260">
        <v>-1</v>
      </c>
      <c r="S3260" s="3">
        <v>44307</v>
      </c>
      <c r="T3260" t="s">
        <v>42</v>
      </c>
      <c r="U3260">
        <v>0</v>
      </c>
      <c r="V3260">
        <v>19.28</v>
      </c>
    </row>
    <row r="3261" spans="1:22" x14ac:dyDescent="0.35">
      <c r="A3261" s="3">
        <v>44183</v>
      </c>
      <c r="B3261" t="s">
        <v>44</v>
      </c>
      <c r="C3261">
        <v>25.47</v>
      </c>
      <c r="D3261">
        <v>26.27</v>
      </c>
      <c r="E3261">
        <v>25.42</v>
      </c>
      <c r="F3261">
        <v>25.55</v>
      </c>
      <c r="G3261">
        <v>25.725000000000001</v>
      </c>
      <c r="H3261">
        <v>0.3</v>
      </c>
      <c r="I3261">
        <v>42588</v>
      </c>
      <c r="J3261">
        <v>0</v>
      </c>
      <c r="K3261">
        <v>58615</v>
      </c>
      <c r="L3261">
        <v>39</v>
      </c>
      <c r="M3261">
        <v>61</v>
      </c>
      <c r="N3261" t="s">
        <v>44</v>
      </c>
      <c r="O3261" s="3">
        <v>44244</v>
      </c>
      <c r="P3261">
        <v>-1</v>
      </c>
      <c r="T3261" t="s">
        <v>41</v>
      </c>
      <c r="U3261">
        <v>20</v>
      </c>
      <c r="V3261">
        <v>19.9955</v>
      </c>
    </row>
    <row r="3262" spans="1:22" x14ac:dyDescent="0.35">
      <c r="A3262" s="3">
        <v>44183</v>
      </c>
      <c r="B3262" t="s">
        <v>43</v>
      </c>
      <c r="C3262">
        <v>25.81</v>
      </c>
      <c r="D3262">
        <v>26.44</v>
      </c>
      <c r="E3262">
        <v>25.8</v>
      </c>
      <c r="F3262">
        <v>25.9</v>
      </c>
      <c r="G3262">
        <v>26.024999999999999</v>
      </c>
      <c r="H3262">
        <v>0.3</v>
      </c>
      <c r="I3262">
        <v>6218</v>
      </c>
      <c r="J3262">
        <v>0</v>
      </c>
      <c r="K3262">
        <v>21609</v>
      </c>
      <c r="L3262">
        <v>59</v>
      </c>
      <c r="M3262">
        <v>89</v>
      </c>
      <c r="N3262" t="s">
        <v>43</v>
      </c>
      <c r="O3262" s="3">
        <v>44272</v>
      </c>
      <c r="P3262">
        <v>-1</v>
      </c>
      <c r="T3262" t="s">
        <v>40</v>
      </c>
      <c r="U3262">
        <v>39</v>
      </c>
      <c r="V3262">
        <v>21.82</v>
      </c>
    </row>
    <row r="3263" spans="1:22" x14ac:dyDescent="0.35">
      <c r="A3263" s="3">
        <v>44183</v>
      </c>
      <c r="B3263" t="s">
        <v>38</v>
      </c>
      <c r="C3263">
        <v>26.25</v>
      </c>
      <c r="D3263">
        <v>26.4</v>
      </c>
      <c r="E3263">
        <v>26.25</v>
      </c>
      <c r="F3263">
        <v>26.4</v>
      </c>
      <c r="G3263">
        <v>25.925000000000001</v>
      </c>
      <c r="H3263">
        <v>-0.1</v>
      </c>
      <c r="I3263">
        <v>2</v>
      </c>
      <c r="J3263">
        <v>0</v>
      </c>
      <c r="K3263">
        <v>3</v>
      </c>
      <c r="L3263">
        <v>167</v>
      </c>
      <c r="M3263">
        <v>243</v>
      </c>
      <c r="N3263" t="s">
        <v>38</v>
      </c>
      <c r="O3263" s="3">
        <v>44426</v>
      </c>
      <c r="P3263">
        <v>-1</v>
      </c>
      <c r="T3263" t="s">
        <v>39</v>
      </c>
      <c r="U3263">
        <v>63</v>
      </c>
      <c r="V3263">
        <v>23.196200000000001</v>
      </c>
    </row>
    <row r="3264" spans="1:22" x14ac:dyDescent="0.35">
      <c r="A3264" s="3">
        <v>44183</v>
      </c>
      <c r="B3264" t="s">
        <v>42</v>
      </c>
      <c r="C3264">
        <v>26</v>
      </c>
      <c r="D3264">
        <v>26.56</v>
      </c>
      <c r="E3264">
        <v>25.95</v>
      </c>
      <c r="F3264">
        <v>26.05</v>
      </c>
      <c r="G3264">
        <v>26.175000000000001</v>
      </c>
      <c r="H3264">
        <v>0.25</v>
      </c>
      <c r="I3264">
        <v>4286</v>
      </c>
      <c r="J3264">
        <v>0</v>
      </c>
      <c r="K3264">
        <v>11881</v>
      </c>
      <c r="L3264">
        <v>84</v>
      </c>
      <c r="M3264">
        <v>124</v>
      </c>
      <c r="N3264" t="s">
        <v>42</v>
      </c>
      <c r="O3264" s="3">
        <v>44307</v>
      </c>
      <c r="P3264">
        <v>-1</v>
      </c>
      <c r="T3264" t="s">
        <v>38</v>
      </c>
      <c r="U3264">
        <v>83</v>
      </c>
      <c r="V3264">
        <v>23.700500000000002</v>
      </c>
    </row>
    <row r="3265" spans="1:22" x14ac:dyDescent="0.35">
      <c r="A3265" s="3">
        <v>44183</v>
      </c>
      <c r="B3265" t="s">
        <v>40</v>
      </c>
      <c r="C3265">
        <v>25.95</v>
      </c>
      <c r="D3265">
        <v>26.47</v>
      </c>
      <c r="E3265">
        <v>25.85</v>
      </c>
      <c r="F3265">
        <v>26.1</v>
      </c>
      <c r="G3265">
        <v>26.225000000000001</v>
      </c>
      <c r="H3265">
        <v>0.35</v>
      </c>
      <c r="I3265">
        <v>2047</v>
      </c>
      <c r="J3265">
        <v>0</v>
      </c>
      <c r="K3265">
        <v>5618</v>
      </c>
      <c r="L3265">
        <v>123</v>
      </c>
      <c r="M3265">
        <v>180</v>
      </c>
      <c r="N3265" t="s">
        <v>40</v>
      </c>
      <c r="O3265" s="3">
        <v>44363</v>
      </c>
      <c r="P3265">
        <v>-1</v>
      </c>
      <c r="T3265" t="s">
        <v>37</v>
      </c>
      <c r="U3265">
        <v>102</v>
      </c>
      <c r="V3265">
        <v>24.292899999999999</v>
      </c>
    </row>
    <row r="3266" spans="1:22" x14ac:dyDescent="0.35">
      <c r="A3266" s="3">
        <v>44183</v>
      </c>
      <c r="B3266" t="s">
        <v>39</v>
      </c>
      <c r="C3266">
        <v>26.08</v>
      </c>
      <c r="D3266">
        <v>26.6</v>
      </c>
      <c r="E3266">
        <v>26.05</v>
      </c>
      <c r="F3266">
        <v>26.21</v>
      </c>
      <c r="G3266">
        <v>26.324999999999999</v>
      </c>
      <c r="H3266">
        <v>0.3</v>
      </c>
      <c r="I3266">
        <v>764</v>
      </c>
      <c r="J3266">
        <v>0</v>
      </c>
      <c r="K3266">
        <v>1260</v>
      </c>
      <c r="L3266">
        <v>147</v>
      </c>
      <c r="M3266">
        <v>215</v>
      </c>
      <c r="N3266" t="s">
        <v>39</v>
      </c>
      <c r="O3266" s="3">
        <v>44398</v>
      </c>
      <c r="P3266">
        <v>-1</v>
      </c>
      <c r="T3266" t="s">
        <v>36</v>
      </c>
      <c r="U3266">
        <v>127</v>
      </c>
      <c r="V3266">
        <v>24.5</v>
      </c>
    </row>
    <row r="3267" spans="1:22" x14ac:dyDescent="0.35">
      <c r="A3267" s="3">
        <v>44183</v>
      </c>
      <c r="B3267" t="s">
        <v>45</v>
      </c>
      <c r="C3267">
        <v>23.86</v>
      </c>
      <c r="D3267">
        <v>25</v>
      </c>
      <c r="E3267">
        <v>23.8</v>
      </c>
      <c r="F3267">
        <v>24</v>
      </c>
      <c r="G3267">
        <v>24.175000000000001</v>
      </c>
      <c r="H3267">
        <v>0.35</v>
      </c>
      <c r="I3267">
        <v>71168</v>
      </c>
      <c r="J3267">
        <v>0</v>
      </c>
      <c r="K3267">
        <v>173692</v>
      </c>
      <c r="L3267">
        <v>20</v>
      </c>
      <c r="M3267">
        <v>33</v>
      </c>
      <c r="N3267" t="s">
        <v>45</v>
      </c>
      <c r="O3267" s="3">
        <v>44216</v>
      </c>
      <c r="P3267">
        <v>-1</v>
      </c>
      <c r="T3267" t="s">
        <v>35</v>
      </c>
      <c r="U3267">
        <v>147</v>
      </c>
      <c r="V3267">
        <v>24.3</v>
      </c>
    </row>
    <row r="3268" spans="1:22" x14ac:dyDescent="0.35">
      <c r="A3268" s="3">
        <v>44183</v>
      </c>
      <c r="B3268" t="s">
        <v>41</v>
      </c>
      <c r="C3268">
        <v>25.9</v>
      </c>
      <c r="D3268">
        <v>26.48</v>
      </c>
      <c r="E3268">
        <v>25.85</v>
      </c>
      <c r="F3268">
        <v>26.07</v>
      </c>
      <c r="G3268">
        <v>26.175000000000001</v>
      </c>
      <c r="H3268">
        <v>0.3</v>
      </c>
      <c r="I3268">
        <v>2626</v>
      </c>
      <c r="J3268">
        <v>0</v>
      </c>
      <c r="K3268">
        <v>7870</v>
      </c>
      <c r="L3268">
        <v>104</v>
      </c>
      <c r="M3268">
        <v>152</v>
      </c>
      <c r="N3268" t="s">
        <v>41</v>
      </c>
      <c r="O3268" s="3">
        <v>44335</v>
      </c>
      <c r="P3268">
        <v>-1</v>
      </c>
      <c r="T3268" t="s">
        <v>34</v>
      </c>
      <c r="U3268">
        <v>171</v>
      </c>
      <c r="V3268">
        <v>23.824999999999999</v>
      </c>
    </row>
    <row r="3269" spans="1:22" x14ac:dyDescent="0.35">
      <c r="A3269" s="3">
        <v>44182</v>
      </c>
      <c r="B3269" t="s">
        <v>40</v>
      </c>
      <c r="C3269">
        <v>25.9</v>
      </c>
      <c r="D3269">
        <v>26.11</v>
      </c>
      <c r="E3269">
        <v>25.77</v>
      </c>
      <c r="F3269">
        <v>25.87</v>
      </c>
      <c r="G3269">
        <v>25.875</v>
      </c>
      <c r="H3269">
        <v>-0.05</v>
      </c>
      <c r="I3269">
        <v>1158</v>
      </c>
      <c r="J3269">
        <v>0</v>
      </c>
      <c r="K3269">
        <v>5095</v>
      </c>
      <c r="L3269">
        <v>124</v>
      </c>
      <c r="M3269">
        <v>181</v>
      </c>
      <c r="N3269" t="s">
        <v>40</v>
      </c>
      <c r="O3269" s="3">
        <v>44363</v>
      </c>
      <c r="P3269">
        <v>-1</v>
      </c>
      <c r="S3269" s="3">
        <v>44308</v>
      </c>
      <c r="T3269" t="s">
        <v>41</v>
      </c>
      <c r="U3269">
        <v>19</v>
      </c>
      <c r="V3269">
        <v>21.165800000000001</v>
      </c>
    </row>
    <row r="3270" spans="1:22" x14ac:dyDescent="0.35">
      <c r="A3270" s="3">
        <v>44182</v>
      </c>
      <c r="B3270" t="s">
        <v>39</v>
      </c>
      <c r="C3270">
        <v>26.15</v>
      </c>
      <c r="D3270">
        <v>26.25</v>
      </c>
      <c r="E3270">
        <v>25.98</v>
      </c>
      <c r="F3270">
        <v>26.05</v>
      </c>
      <c r="G3270">
        <v>26.024999999999999</v>
      </c>
      <c r="H3270">
        <v>-0.1</v>
      </c>
      <c r="I3270">
        <v>316</v>
      </c>
      <c r="J3270">
        <v>0</v>
      </c>
      <c r="K3270">
        <v>919</v>
      </c>
      <c r="L3270">
        <v>148</v>
      </c>
      <c r="M3270">
        <v>216</v>
      </c>
      <c r="N3270" t="s">
        <v>39</v>
      </c>
      <c r="O3270" s="3">
        <v>44398</v>
      </c>
      <c r="P3270">
        <v>-1</v>
      </c>
      <c r="T3270" t="s">
        <v>40</v>
      </c>
      <c r="U3270">
        <v>38</v>
      </c>
      <c r="V3270">
        <v>22.8048</v>
      </c>
    </row>
    <row r="3271" spans="1:22" x14ac:dyDescent="0.35">
      <c r="A3271" s="3">
        <v>44182</v>
      </c>
      <c r="B3271" t="s">
        <v>45</v>
      </c>
      <c r="C3271">
        <v>24.25</v>
      </c>
      <c r="D3271">
        <v>24.3</v>
      </c>
      <c r="E3271">
        <v>23.55</v>
      </c>
      <c r="F3271">
        <v>23.9</v>
      </c>
      <c r="G3271">
        <v>23.824999999999999</v>
      </c>
      <c r="H3271">
        <v>-0.27500000000000002</v>
      </c>
      <c r="I3271">
        <v>56938</v>
      </c>
      <c r="J3271">
        <v>0</v>
      </c>
      <c r="K3271">
        <v>179516</v>
      </c>
      <c r="L3271">
        <v>21</v>
      </c>
      <c r="M3271">
        <v>34</v>
      </c>
      <c r="N3271" t="s">
        <v>45</v>
      </c>
      <c r="O3271" s="3">
        <v>44216</v>
      </c>
      <c r="P3271">
        <v>-1</v>
      </c>
      <c r="T3271" t="s">
        <v>39</v>
      </c>
      <c r="U3271">
        <v>62</v>
      </c>
      <c r="V3271">
        <v>23.9968</v>
      </c>
    </row>
    <row r="3272" spans="1:22" x14ac:dyDescent="0.35">
      <c r="A3272" s="3">
        <v>44182</v>
      </c>
      <c r="B3272" t="s">
        <v>41</v>
      </c>
      <c r="C3272">
        <v>25.95</v>
      </c>
      <c r="D3272">
        <v>26.17</v>
      </c>
      <c r="E3272">
        <v>25.8</v>
      </c>
      <c r="F3272">
        <v>25.87</v>
      </c>
      <c r="G3272">
        <v>25.875</v>
      </c>
      <c r="H3272">
        <v>-0.1</v>
      </c>
      <c r="I3272">
        <v>1968</v>
      </c>
      <c r="J3272">
        <v>0</v>
      </c>
      <c r="K3272">
        <v>7625</v>
      </c>
      <c r="L3272">
        <v>105</v>
      </c>
      <c r="M3272">
        <v>153</v>
      </c>
      <c r="N3272" t="s">
        <v>41</v>
      </c>
      <c r="O3272" s="3">
        <v>44335</v>
      </c>
      <c r="P3272">
        <v>-1</v>
      </c>
      <c r="T3272" t="s">
        <v>38</v>
      </c>
      <c r="U3272">
        <v>82</v>
      </c>
      <c r="V3272">
        <v>24.4389</v>
      </c>
    </row>
    <row r="3273" spans="1:22" x14ac:dyDescent="0.35">
      <c r="A3273" s="3">
        <v>44182</v>
      </c>
      <c r="B3273" t="s">
        <v>44</v>
      </c>
      <c r="C3273">
        <v>25.65</v>
      </c>
      <c r="D3273">
        <v>25.95</v>
      </c>
      <c r="E3273">
        <v>25.31</v>
      </c>
      <c r="F3273">
        <v>25.4</v>
      </c>
      <c r="G3273">
        <v>25.425000000000001</v>
      </c>
      <c r="H3273">
        <v>-0.15</v>
      </c>
      <c r="I3273">
        <v>37852</v>
      </c>
      <c r="J3273">
        <v>0</v>
      </c>
      <c r="K3273">
        <v>55110</v>
      </c>
      <c r="L3273">
        <v>40</v>
      </c>
      <c r="M3273">
        <v>62</v>
      </c>
      <c r="N3273" t="s">
        <v>44</v>
      </c>
      <c r="O3273" s="3">
        <v>44244</v>
      </c>
      <c r="P3273">
        <v>-1</v>
      </c>
      <c r="T3273" t="s">
        <v>37</v>
      </c>
      <c r="U3273">
        <v>101</v>
      </c>
      <c r="V3273">
        <v>24.95</v>
      </c>
    </row>
    <row r="3274" spans="1:22" x14ac:dyDescent="0.35">
      <c r="A3274" s="3">
        <v>44182</v>
      </c>
      <c r="B3274" t="s">
        <v>43</v>
      </c>
      <c r="C3274">
        <v>25.85</v>
      </c>
      <c r="D3274">
        <v>26.15</v>
      </c>
      <c r="E3274">
        <v>25.68</v>
      </c>
      <c r="F3274">
        <v>25.78</v>
      </c>
      <c r="G3274">
        <v>25.725000000000001</v>
      </c>
      <c r="H3274">
        <v>-0.15</v>
      </c>
      <c r="I3274">
        <v>7749</v>
      </c>
      <c r="J3274">
        <v>0</v>
      </c>
      <c r="K3274">
        <v>21132</v>
      </c>
      <c r="L3274">
        <v>60</v>
      </c>
      <c r="M3274">
        <v>90</v>
      </c>
      <c r="N3274" t="s">
        <v>43</v>
      </c>
      <c r="O3274" s="3">
        <v>44272</v>
      </c>
      <c r="P3274">
        <v>-1</v>
      </c>
      <c r="T3274" t="s">
        <v>36</v>
      </c>
      <c r="U3274">
        <v>126</v>
      </c>
      <c r="V3274">
        <v>25.091999999999999</v>
      </c>
    </row>
    <row r="3275" spans="1:22" x14ac:dyDescent="0.35">
      <c r="A3275" s="3">
        <v>44182</v>
      </c>
      <c r="B3275" t="s">
        <v>42</v>
      </c>
      <c r="C3275">
        <v>26.02</v>
      </c>
      <c r="D3275">
        <v>26.27</v>
      </c>
      <c r="E3275">
        <v>25.88</v>
      </c>
      <c r="F3275">
        <v>25.93</v>
      </c>
      <c r="G3275">
        <v>25.925000000000001</v>
      </c>
      <c r="H3275">
        <v>-0.15</v>
      </c>
      <c r="I3275">
        <v>3416</v>
      </c>
      <c r="J3275">
        <v>0</v>
      </c>
      <c r="K3275">
        <v>11630</v>
      </c>
      <c r="L3275">
        <v>85</v>
      </c>
      <c r="M3275">
        <v>125</v>
      </c>
      <c r="N3275" t="s">
        <v>42</v>
      </c>
      <c r="O3275" s="3">
        <v>44307</v>
      </c>
      <c r="P3275">
        <v>-1</v>
      </c>
      <c r="T3275" t="s">
        <v>35</v>
      </c>
      <c r="U3275">
        <v>146</v>
      </c>
      <c r="V3275">
        <v>24.9</v>
      </c>
    </row>
    <row r="3276" spans="1:22" x14ac:dyDescent="0.35">
      <c r="A3276" s="3">
        <v>44181</v>
      </c>
      <c r="B3276" t="s">
        <v>44</v>
      </c>
      <c r="C3276">
        <v>25.85</v>
      </c>
      <c r="D3276">
        <v>26.2</v>
      </c>
      <c r="E3276">
        <v>25.56</v>
      </c>
      <c r="F3276">
        <v>25.65</v>
      </c>
      <c r="G3276">
        <v>25.574999999999999</v>
      </c>
      <c r="H3276">
        <v>-0.35</v>
      </c>
      <c r="I3276">
        <v>36249</v>
      </c>
      <c r="J3276">
        <v>0</v>
      </c>
      <c r="K3276">
        <v>50156</v>
      </c>
      <c r="L3276">
        <v>41</v>
      </c>
      <c r="M3276">
        <v>63</v>
      </c>
      <c r="N3276" t="s">
        <v>44</v>
      </c>
      <c r="O3276" s="3">
        <v>44244</v>
      </c>
      <c r="P3276">
        <v>-1</v>
      </c>
      <c r="T3276" t="s">
        <v>34</v>
      </c>
      <c r="U3276">
        <v>170</v>
      </c>
      <c r="V3276">
        <v>24.375</v>
      </c>
    </row>
    <row r="3277" spans="1:22" x14ac:dyDescent="0.35">
      <c r="A3277" s="3">
        <v>44181</v>
      </c>
      <c r="B3277" t="s">
        <v>43</v>
      </c>
      <c r="C3277">
        <v>26.1</v>
      </c>
      <c r="D3277">
        <v>26.35</v>
      </c>
      <c r="E3277">
        <v>25.8</v>
      </c>
      <c r="F3277">
        <v>25.9</v>
      </c>
      <c r="G3277">
        <v>25.875</v>
      </c>
      <c r="H3277">
        <v>-0.3</v>
      </c>
      <c r="I3277">
        <v>10344</v>
      </c>
      <c r="J3277">
        <v>0</v>
      </c>
      <c r="K3277">
        <v>20129</v>
      </c>
      <c r="L3277">
        <v>61</v>
      </c>
      <c r="M3277">
        <v>91</v>
      </c>
      <c r="N3277" t="s">
        <v>43</v>
      </c>
      <c r="O3277" s="3">
        <v>44272</v>
      </c>
      <c r="P3277">
        <v>-1</v>
      </c>
      <c r="S3277" s="3">
        <v>44309</v>
      </c>
      <c r="T3277" t="s">
        <v>41</v>
      </c>
      <c r="U3277">
        <v>18</v>
      </c>
      <c r="V3277">
        <v>20.431799999999999</v>
      </c>
    </row>
    <row r="3278" spans="1:22" x14ac:dyDescent="0.35">
      <c r="A3278" s="3">
        <v>44181</v>
      </c>
      <c r="B3278" t="s">
        <v>42</v>
      </c>
      <c r="C3278">
        <v>26.25</v>
      </c>
      <c r="D3278">
        <v>26.51</v>
      </c>
      <c r="E3278">
        <v>26</v>
      </c>
      <c r="F3278">
        <v>26.07</v>
      </c>
      <c r="G3278">
        <v>26.074999999999999</v>
      </c>
      <c r="H3278">
        <v>-0.3</v>
      </c>
      <c r="I3278">
        <v>3591</v>
      </c>
      <c r="J3278">
        <v>0</v>
      </c>
      <c r="K3278">
        <v>11874</v>
      </c>
      <c r="L3278">
        <v>86</v>
      </c>
      <c r="M3278">
        <v>126</v>
      </c>
      <c r="N3278" t="s">
        <v>42</v>
      </c>
      <c r="O3278" s="3">
        <v>44307</v>
      </c>
      <c r="P3278">
        <v>-1</v>
      </c>
      <c r="T3278" t="s">
        <v>40</v>
      </c>
      <c r="U3278">
        <v>37</v>
      </c>
      <c r="V3278">
        <v>22.190999999999999</v>
      </c>
    </row>
    <row r="3279" spans="1:22" x14ac:dyDescent="0.35">
      <c r="A3279" s="3">
        <v>44181</v>
      </c>
      <c r="B3279" t="s">
        <v>40</v>
      </c>
      <c r="C3279">
        <v>26.35</v>
      </c>
      <c r="D3279">
        <v>26.5</v>
      </c>
      <c r="E3279">
        <v>25.94</v>
      </c>
      <c r="F3279">
        <v>25.95</v>
      </c>
      <c r="G3279">
        <v>25.925000000000001</v>
      </c>
      <c r="H3279">
        <v>-0.45</v>
      </c>
      <c r="I3279">
        <v>1711</v>
      </c>
      <c r="J3279">
        <v>0</v>
      </c>
      <c r="K3279">
        <v>4945</v>
      </c>
      <c r="L3279">
        <v>125</v>
      </c>
      <c r="M3279">
        <v>182</v>
      </c>
      <c r="N3279" t="s">
        <v>40</v>
      </c>
      <c r="O3279" s="3">
        <v>44363</v>
      </c>
      <c r="P3279">
        <v>-1</v>
      </c>
      <c r="T3279" t="s">
        <v>39</v>
      </c>
      <c r="U3279">
        <v>61</v>
      </c>
      <c r="V3279">
        <v>23.4861</v>
      </c>
    </row>
    <row r="3280" spans="1:22" x14ac:dyDescent="0.35">
      <c r="A3280" s="3">
        <v>44181</v>
      </c>
      <c r="B3280" t="s">
        <v>39</v>
      </c>
      <c r="C3280">
        <v>26.4</v>
      </c>
      <c r="D3280">
        <v>26.62</v>
      </c>
      <c r="E3280">
        <v>26.1</v>
      </c>
      <c r="F3280">
        <v>26.1</v>
      </c>
      <c r="G3280">
        <v>26.125</v>
      </c>
      <c r="H3280">
        <v>-0.32500000000000001</v>
      </c>
      <c r="I3280">
        <v>674</v>
      </c>
      <c r="J3280">
        <v>0</v>
      </c>
      <c r="K3280">
        <v>780</v>
      </c>
      <c r="L3280">
        <v>149</v>
      </c>
      <c r="M3280">
        <v>217</v>
      </c>
      <c r="N3280" t="s">
        <v>39</v>
      </c>
      <c r="O3280" s="3">
        <v>44398</v>
      </c>
      <c r="P3280">
        <v>-1</v>
      </c>
      <c r="T3280" t="s">
        <v>38</v>
      </c>
      <c r="U3280">
        <v>81</v>
      </c>
      <c r="V3280">
        <v>24.05</v>
      </c>
    </row>
    <row r="3281" spans="1:22" x14ac:dyDescent="0.35">
      <c r="A3281" s="3">
        <v>44181</v>
      </c>
      <c r="B3281" t="s">
        <v>45</v>
      </c>
      <c r="C3281">
        <v>24.85</v>
      </c>
      <c r="D3281">
        <v>25.15</v>
      </c>
      <c r="E3281">
        <v>24.05</v>
      </c>
      <c r="F3281">
        <v>24.25</v>
      </c>
      <c r="G3281">
        <v>24.1</v>
      </c>
      <c r="H3281">
        <v>-0.875</v>
      </c>
      <c r="I3281">
        <v>63436</v>
      </c>
      <c r="J3281">
        <v>0</v>
      </c>
      <c r="K3281">
        <v>186940</v>
      </c>
      <c r="L3281">
        <v>22</v>
      </c>
      <c r="M3281">
        <v>35</v>
      </c>
      <c r="N3281" t="s">
        <v>45</v>
      </c>
      <c r="O3281" s="3">
        <v>44216</v>
      </c>
      <c r="P3281">
        <v>-1</v>
      </c>
      <c r="T3281" t="s">
        <v>37</v>
      </c>
      <c r="U3281">
        <v>100</v>
      </c>
      <c r="V3281">
        <v>24.65</v>
      </c>
    </row>
    <row r="3282" spans="1:22" x14ac:dyDescent="0.35">
      <c r="A3282" s="3">
        <v>44181</v>
      </c>
      <c r="B3282" t="s">
        <v>41</v>
      </c>
      <c r="C3282">
        <v>26.35</v>
      </c>
      <c r="D3282">
        <v>26.5</v>
      </c>
      <c r="E3282">
        <v>25.93</v>
      </c>
      <c r="F3282">
        <v>26</v>
      </c>
      <c r="G3282">
        <v>25.975000000000001</v>
      </c>
      <c r="H3282">
        <v>-0.4</v>
      </c>
      <c r="I3282">
        <v>2577</v>
      </c>
      <c r="J3282">
        <v>0</v>
      </c>
      <c r="K3282">
        <v>7861</v>
      </c>
      <c r="L3282">
        <v>106</v>
      </c>
      <c r="M3282">
        <v>154</v>
      </c>
      <c r="N3282" t="s">
        <v>41</v>
      </c>
      <c r="O3282" s="3">
        <v>44335</v>
      </c>
      <c r="P3282">
        <v>-1</v>
      </c>
      <c r="T3282" t="s">
        <v>36</v>
      </c>
      <c r="U3282">
        <v>125</v>
      </c>
      <c r="V3282">
        <v>24.8323</v>
      </c>
    </row>
    <row r="3283" spans="1:22" x14ac:dyDescent="0.35">
      <c r="A3283" s="3">
        <v>44180</v>
      </c>
      <c r="B3283" t="s">
        <v>40</v>
      </c>
      <c r="C3283">
        <v>26.75</v>
      </c>
      <c r="D3283">
        <v>26.75</v>
      </c>
      <c r="E3283">
        <v>26.2</v>
      </c>
      <c r="F3283">
        <v>26.3</v>
      </c>
      <c r="G3283">
        <v>26.375</v>
      </c>
      <c r="H3283">
        <v>-0.25</v>
      </c>
      <c r="I3283">
        <v>1446</v>
      </c>
      <c r="J3283">
        <v>0</v>
      </c>
      <c r="K3283">
        <v>4794</v>
      </c>
      <c r="L3283">
        <v>126</v>
      </c>
      <c r="M3283">
        <v>183</v>
      </c>
      <c r="N3283" t="s">
        <v>40</v>
      </c>
      <c r="O3283" s="3">
        <v>44363</v>
      </c>
      <c r="P3283">
        <v>-1</v>
      </c>
      <c r="T3283" t="s">
        <v>35</v>
      </c>
      <c r="U3283">
        <v>145</v>
      </c>
      <c r="V3283">
        <v>24.7</v>
      </c>
    </row>
    <row r="3284" spans="1:22" x14ac:dyDescent="0.35">
      <c r="A3284" s="3">
        <v>44180</v>
      </c>
      <c r="B3284" t="s">
        <v>39</v>
      </c>
      <c r="C3284">
        <v>26.75</v>
      </c>
      <c r="D3284">
        <v>26.76</v>
      </c>
      <c r="E3284">
        <v>26.39</v>
      </c>
      <c r="F3284">
        <v>26.46</v>
      </c>
      <c r="G3284">
        <v>26.45</v>
      </c>
      <c r="H3284">
        <v>-0.2</v>
      </c>
      <c r="I3284">
        <v>148</v>
      </c>
      <c r="J3284">
        <v>0</v>
      </c>
      <c r="K3284">
        <v>392</v>
      </c>
      <c r="L3284">
        <v>150</v>
      </c>
      <c r="M3284">
        <v>218</v>
      </c>
      <c r="N3284" t="s">
        <v>39</v>
      </c>
      <c r="O3284" s="3">
        <v>44398</v>
      </c>
      <c r="P3284">
        <v>-1</v>
      </c>
      <c r="T3284" t="s">
        <v>34</v>
      </c>
      <c r="U3284">
        <v>169</v>
      </c>
      <c r="V3284">
        <v>24.274999999999999</v>
      </c>
    </row>
    <row r="3285" spans="1:22" x14ac:dyDescent="0.35">
      <c r="A3285" s="3">
        <v>44180</v>
      </c>
      <c r="B3285" t="s">
        <v>45</v>
      </c>
      <c r="C3285">
        <v>26.05</v>
      </c>
      <c r="D3285">
        <v>26.43</v>
      </c>
      <c r="E3285">
        <v>24.8</v>
      </c>
      <c r="F3285">
        <v>24.8</v>
      </c>
      <c r="G3285">
        <v>24.975000000000001</v>
      </c>
      <c r="H3285">
        <v>-1.1499999999999999</v>
      </c>
      <c r="I3285">
        <v>76032</v>
      </c>
      <c r="J3285">
        <v>0</v>
      </c>
      <c r="K3285">
        <v>193457</v>
      </c>
      <c r="L3285">
        <v>23</v>
      </c>
      <c r="M3285">
        <v>36</v>
      </c>
      <c r="N3285" t="s">
        <v>45</v>
      </c>
      <c r="O3285" s="3">
        <v>44216</v>
      </c>
      <c r="P3285">
        <v>-1</v>
      </c>
      <c r="S3285" s="3">
        <v>44312</v>
      </c>
      <c r="T3285" t="s">
        <v>33</v>
      </c>
      <c r="U3285">
        <v>186</v>
      </c>
      <c r="V3285">
        <v>24.25</v>
      </c>
    </row>
    <row r="3286" spans="1:22" x14ac:dyDescent="0.35">
      <c r="A3286" s="3">
        <v>44180</v>
      </c>
      <c r="B3286" t="s">
        <v>41</v>
      </c>
      <c r="C3286">
        <v>26.68</v>
      </c>
      <c r="D3286">
        <v>26.8</v>
      </c>
      <c r="E3286">
        <v>26.23</v>
      </c>
      <c r="F3286">
        <v>26.3</v>
      </c>
      <c r="G3286">
        <v>26.375</v>
      </c>
      <c r="H3286">
        <v>-0.25</v>
      </c>
      <c r="I3286">
        <v>2389</v>
      </c>
      <c r="J3286">
        <v>0</v>
      </c>
      <c r="K3286">
        <v>7862</v>
      </c>
      <c r="L3286">
        <v>107</v>
      </c>
      <c r="M3286">
        <v>155</v>
      </c>
      <c r="N3286" t="s">
        <v>41</v>
      </c>
      <c r="O3286" s="3">
        <v>44335</v>
      </c>
      <c r="P3286">
        <v>-1</v>
      </c>
      <c r="T3286" t="s">
        <v>41</v>
      </c>
      <c r="U3286">
        <v>17</v>
      </c>
      <c r="V3286">
        <v>20.205100000000002</v>
      </c>
    </row>
    <row r="3287" spans="1:22" x14ac:dyDescent="0.35">
      <c r="A3287" s="3">
        <v>44180</v>
      </c>
      <c r="B3287" t="s">
        <v>44</v>
      </c>
      <c r="C3287">
        <v>26.6</v>
      </c>
      <c r="D3287">
        <v>26.81</v>
      </c>
      <c r="E3287">
        <v>25.8</v>
      </c>
      <c r="F3287">
        <v>25.85</v>
      </c>
      <c r="G3287">
        <v>25.925000000000001</v>
      </c>
      <c r="H3287">
        <v>-0.7</v>
      </c>
      <c r="I3287">
        <v>21299</v>
      </c>
      <c r="J3287">
        <v>0</v>
      </c>
      <c r="K3287">
        <v>46408</v>
      </c>
      <c r="L3287">
        <v>42</v>
      </c>
      <c r="M3287">
        <v>64</v>
      </c>
      <c r="N3287" t="s">
        <v>44</v>
      </c>
      <c r="O3287" s="3">
        <v>44244</v>
      </c>
      <c r="P3287">
        <v>-1</v>
      </c>
      <c r="T3287" t="s">
        <v>40</v>
      </c>
      <c r="U3287">
        <v>36</v>
      </c>
      <c r="V3287">
        <v>22.100100000000001</v>
      </c>
    </row>
    <row r="3288" spans="1:22" x14ac:dyDescent="0.35">
      <c r="A3288" s="3">
        <v>44180</v>
      </c>
      <c r="B3288" t="s">
        <v>43</v>
      </c>
      <c r="C3288">
        <v>26.55</v>
      </c>
      <c r="D3288">
        <v>26.7</v>
      </c>
      <c r="E3288">
        <v>26.05</v>
      </c>
      <c r="F3288">
        <v>26.09</v>
      </c>
      <c r="G3288">
        <v>26.175000000000001</v>
      </c>
      <c r="H3288">
        <v>-0.35</v>
      </c>
      <c r="I3288">
        <v>10707</v>
      </c>
      <c r="J3288">
        <v>0</v>
      </c>
      <c r="K3288">
        <v>18439</v>
      </c>
      <c r="L3288">
        <v>62</v>
      </c>
      <c r="M3288">
        <v>92</v>
      </c>
      <c r="N3288" t="s">
        <v>43</v>
      </c>
      <c r="O3288" s="3">
        <v>44272</v>
      </c>
      <c r="P3288">
        <v>-1</v>
      </c>
      <c r="T3288" t="s">
        <v>39</v>
      </c>
      <c r="U3288">
        <v>60</v>
      </c>
      <c r="V3288">
        <v>23.395099999999999</v>
      </c>
    </row>
    <row r="3289" spans="1:22" x14ac:dyDescent="0.35">
      <c r="A3289" s="3">
        <v>44180</v>
      </c>
      <c r="B3289" t="s">
        <v>38</v>
      </c>
      <c r="C3289">
        <v>26.75</v>
      </c>
      <c r="D3289">
        <v>26.75</v>
      </c>
      <c r="E3289">
        <v>26.75</v>
      </c>
      <c r="F3289">
        <v>26.75</v>
      </c>
      <c r="G3289">
        <v>26.7</v>
      </c>
      <c r="H3289">
        <v>0.05</v>
      </c>
      <c r="I3289">
        <v>1</v>
      </c>
      <c r="J3289">
        <v>0</v>
      </c>
      <c r="K3289">
        <v>1</v>
      </c>
      <c r="L3289">
        <v>170</v>
      </c>
      <c r="M3289">
        <v>246</v>
      </c>
      <c r="N3289" t="s">
        <v>38</v>
      </c>
      <c r="O3289" s="3">
        <v>44426</v>
      </c>
      <c r="P3289">
        <v>-1</v>
      </c>
      <c r="T3289" t="s">
        <v>38</v>
      </c>
      <c r="U3289">
        <v>80</v>
      </c>
      <c r="V3289">
        <v>23.950700000000001</v>
      </c>
    </row>
    <row r="3290" spans="1:22" x14ac:dyDescent="0.35">
      <c r="A3290" s="3">
        <v>44180</v>
      </c>
      <c r="B3290" t="s">
        <v>42</v>
      </c>
      <c r="C3290">
        <v>26.75</v>
      </c>
      <c r="D3290">
        <v>26.81</v>
      </c>
      <c r="E3290">
        <v>26.25</v>
      </c>
      <c r="F3290">
        <v>26.31</v>
      </c>
      <c r="G3290">
        <v>26.375</v>
      </c>
      <c r="H3290">
        <v>-0.3</v>
      </c>
      <c r="I3290">
        <v>5375</v>
      </c>
      <c r="J3290">
        <v>0</v>
      </c>
      <c r="K3290">
        <v>11655</v>
      </c>
      <c r="L3290">
        <v>87</v>
      </c>
      <c r="M3290">
        <v>127</v>
      </c>
      <c r="N3290" t="s">
        <v>42</v>
      </c>
      <c r="O3290" s="3">
        <v>44307</v>
      </c>
      <c r="P3290">
        <v>-1</v>
      </c>
      <c r="T3290" t="s">
        <v>37</v>
      </c>
      <c r="U3290">
        <v>99</v>
      </c>
      <c r="V3290">
        <v>24.55</v>
      </c>
    </row>
    <row r="3291" spans="1:22" x14ac:dyDescent="0.35">
      <c r="A3291" s="3">
        <v>44179</v>
      </c>
      <c r="B3291" t="s">
        <v>44</v>
      </c>
      <c r="C3291">
        <v>25.8</v>
      </c>
      <c r="D3291">
        <v>26.68</v>
      </c>
      <c r="E3291">
        <v>25.4</v>
      </c>
      <c r="F3291">
        <v>26.65</v>
      </c>
      <c r="G3291">
        <v>26.625</v>
      </c>
      <c r="H3291">
        <v>0.55000000000000004</v>
      </c>
      <c r="I3291">
        <v>17782</v>
      </c>
      <c r="J3291">
        <v>0</v>
      </c>
      <c r="K3291">
        <v>43127</v>
      </c>
      <c r="L3291">
        <v>43</v>
      </c>
      <c r="M3291">
        <v>65</v>
      </c>
      <c r="N3291" t="s">
        <v>44</v>
      </c>
      <c r="O3291" s="3">
        <v>44244</v>
      </c>
      <c r="P3291">
        <v>-1</v>
      </c>
      <c r="T3291" t="s">
        <v>36</v>
      </c>
      <c r="U3291">
        <v>124</v>
      </c>
      <c r="V3291">
        <v>24.8</v>
      </c>
    </row>
    <row r="3292" spans="1:22" x14ac:dyDescent="0.35">
      <c r="A3292" s="3">
        <v>44179</v>
      </c>
      <c r="B3292" t="s">
        <v>43</v>
      </c>
      <c r="C3292">
        <v>25.85</v>
      </c>
      <c r="D3292">
        <v>26.6</v>
      </c>
      <c r="E3292">
        <v>25.54</v>
      </c>
      <c r="F3292">
        <v>26.6</v>
      </c>
      <c r="G3292">
        <v>26.524999999999999</v>
      </c>
      <c r="H3292">
        <v>0.45</v>
      </c>
      <c r="I3292">
        <v>8966</v>
      </c>
      <c r="J3292">
        <v>0</v>
      </c>
      <c r="K3292">
        <v>16091</v>
      </c>
      <c r="L3292">
        <v>63</v>
      </c>
      <c r="M3292">
        <v>93</v>
      </c>
      <c r="N3292" t="s">
        <v>43</v>
      </c>
      <c r="O3292" s="3">
        <v>44272</v>
      </c>
      <c r="P3292">
        <v>-1</v>
      </c>
      <c r="T3292" t="s">
        <v>35</v>
      </c>
      <c r="U3292">
        <v>144</v>
      </c>
      <c r="V3292">
        <v>24.6</v>
      </c>
    </row>
    <row r="3293" spans="1:22" x14ac:dyDescent="0.35">
      <c r="A3293" s="3">
        <v>44179</v>
      </c>
      <c r="B3293" t="s">
        <v>42</v>
      </c>
      <c r="C3293">
        <v>26.3</v>
      </c>
      <c r="D3293">
        <v>26.75</v>
      </c>
      <c r="E3293">
        <v>26.03</v>
      </c>
      <c r="F3293">
        <v>26.75</v>
      </c>
      <c r="G3293">
        <v>26.675000000000001</v>
      </c>
      <c r="H3293">
        <v>0.1</v>
      </c>
      <c r="I3293">
        <v>5094</v>
      </c>
      <c r="J3293">
        <v>0</v>
      </c>
      <c r="K3293">
        <v>11134</v>
      </c>
      <c r="L3293">
        <v>88</v>
      </c>
      <c r="M3293">
        <v>128</v>
      </c>
      <c r="N3293" t="s">
        <v>42</v>
      </c>
      <c r="O3293" s="3">
        <v>44307</v>
      </c>
      <c r="P3293">
        <v>-1</v>
      </c>
      <c r="T3293" t="s">
        <v>34</v>
      </c>
      <c r="U3293">
        <v>168</v>
      </c>
      <c r="V3293">
        <v>24.125</v>
      </c>
    </row>
    <row r="3294" spans="1:22" x14ac:dyDescent="0.35">
      <c r="A3294" s="3">
        <v>44179</v>
      </c>
      <c r="B3294" t="s">
        <v>40</v>
      </c>
      <c r="C3294">
        <v>26.01</v>
      </c>
      <c r="D3294">
        <v>26.65</v>
      </c>
      <c r="E3294">
        <v>25.99</v>
      </c>
      <c r="F3294">
        <v>26.6</v>
      </c>
      <c r="G3294">
        <v>26.625</v>
      </c>
      <c r="H3294">
        <v>0.25</v>
      </c>
      <c r="I3294">
        <v>1557</v>
      </c>
      <c r="J3294">
        <v>0</v>
      </c>
      <c r="K3294">
        <v>5437</v>
      </c>
      <c r="L3294">
        <v>127</v>
      </c>
      <c r="M3294">
        <v>184</v>
      </c>
      <c r="N3294" t="s">
        <v>40</v>
      </c>
      <c r="O3294" s="3">
        <v>44363</v>
      </c>
      <c r="P3294">
        <v>-1</v>
      </c>
      <c r="S3294" s="3">
        <v>44313</v>
      </c>
      <c r="T3294" t="s">
        <v>33</v>
      </c>
      <c r="U3294">
        <v>185</v>
      </c>
      <c r="V3294">
        <v>24.675000000000001</v>
      </c>
    </row>
    <row r="3295" spans="1:22" x14ac:dyDescent="0.35">
      <c r="A3295" s="3">
        <v>44179</v>
      </c>
      <c r="B3295" t="s">
        <v>39</v>
      </c>
      <c r="C3295">
        <v>26.13</v>
      </c>
      <c r="D3295">
        <v>26.65</v>
      </c>
      <c r="E3295">
        <v>26.13</v>
      </c>
      <c r="F3295">
        <v>26.65</v>
      </c>
      <c r="G3295">
        <v>26.65</v>
      </c>
      <c r="H3295">
        <v>0.25</v>
      </c>
      <c r="I3295">
        <v>88</v>
      </c>
      <c r="J3295">
        <v>0</v>
      </c>
      <c r="K3295">
        <v>322</v>
      </c>
      <c r="L3295">
        <v>151</v>
      </c>
      <c r="M3295">
        <v>219</v>
      </c>
      <c r="N3295" t="s">
        <v>39</v>
      </c>
      <c r="O3295" s="3">
        <v>44398</v>
      </c>
      <c r="P3295">
        <v>-1</v>
      </c>
      <c r="T3295" t="s">
        <v>41</v>
      </c>
      <c r="U3295">
        <v>16</v>
      </c>
      <c r="V3295">
        <v>19.709299999999999</v>
      </c>
    </row>
    <row r="3296" spans="1:22" x14ac:dyDescent="0.35">
      <c r="A3296" s="3">
        <v>44179</v>
      </c>
      <c r="B3296" t="s">
        <v>45</v>
      </c>
      <c r="C3296">
        <v>25.1</v>
      </c>
      <c r="D3296">
        <v>26.25</v>
      </c>
      <c r="E3296">
        <v>24.53</v>
      </c>
      <c r="F3296">
        <v>26.15</v>
      </c>
      <c r="G3296">
        <v>26.125</v>
      </c>
      <c r="H3296">
        <v>0.55000000000000004</v>
      </c>
      <c r="I3296">
        <v>80326</v>
      </c>
      <c r="J3296">
        <v>0</v>
      </c>
      <c r="K3296">
        <v>189005</v>
      </c>
      <c r="L3296">
        <v>24</v>
      </c>
      <c r="M3296">
        <v>37</v>
      </c>
      <c r="N3296" t="s">
        <v>45</v>
      </c>
      <c r="O3296" s="3">
        <v>44216</v>
      </c>
      <c r="P3296">
        <v>-1</v>
      </c>
      <c r="T3296" t="s">
        <v>40</v>
      </c>
      <c r="U3296">
        <v>35</v>
      </c>
      <c r="V3296">
        <v>21.6953</v>
      </c>
    </row>
    <row r="3297" spans="1:22" x14ac:dyDescent="0.35">
      <c r="A3297" s="3">
        <v>44179</v>
      </c>
      <c r="B3297" t="s">
        <v>41</v>
      </c>
      <c r="C3297">
        <v>26.29</v>
      </c>
      <c r="D3297">
        <v>26.7</v>
      </c>
      <c r="E3297">
        <v>26.06</v>
      </c>
      <c r="F3297">
        <v>26.7</v>
      </c>
      <c r="G3297">
        <v>26.625</v>
      </c>
      <c r="H3297">
        <v>0.15</v>
      </c>
      <c r="I3297">
        <v>2464</v>
      </c>
      <c r="J3297">
        <v>0</v>
      </c>
      <c r="K3297">
        <v>7686</v>
      </c>
      <c r="L3297">
        <v>108</v>
      </c>
      <c r="M3297">
        <v>156</v>
      </c>
      <c r="N3297" t="s">
        <v>41</v>
      </c>
      <c r="O3297" s="3">
        <v>44335</v>
      </c>
      <c r="P3297">
        <v>-1</v>
      </c>
      <c r="T3297" t="s">
        <v>39</v>
      </c>
      <c r="U3297">
        <v>59</v>
      </c>
      <c r="V3297">
        <v>23.046399999999998</v>
      </c>
    </row>
    <row r="3298" spans="1:22" x14ac:dyDescent="0.35">
      <c r="A3298" s="3">
        <v>44176</v>
      </c>
      <c r="B3298" t="s">
        <v>40</v>
      </c>
      <c r="C3298">
        <v>25.9</v>
      </c>
      <c r="D3298">
        <v>26.65</v>
      </c>
      <c r="E3298">
        <v>25.9</v>
      </c>
      <c r="F3298">
        <v>26.28</v>
      </c>
      <c r="G3298">
        <v>26.375</v>
      </c>
      <c r="H3298">
        <v>0.5</v>
      </c>
      <c r="I3298">
        <v>1250</v>
      </c>
      <c r="J3298">
        <v>0</v>
      </c>
      <c r="K3298">
        <v>4777</v>
      </c>
      <c r="L3298">
        <v>128</v>
      </c>
      <c r="M3298">
        <v>187</v>
      </c>
      <c r="N3298" t="s">
        <v>40</v>
      </c>
      <c r="O3298" s="3">
        <v>44363</v>
      </c>
      <c r="P3298">
        <v>-1</v>
      </c>
      <c r="T3298" t="s">
        <v>38</v>
      </c>
      <c r="U3298">
        <v>79</v>
      </c>
      <c r="V3298">
        <v>23.552900000000001</v>
      </c>
    </row>
    <row r="3299" spans="1:22" x14ac:dyDescent="0.35">
      <c r="A3299" s="3">
        <v>44176</v>
      </c>
      <c r="B3299" t="s">
        <v>39</v>
      </c>
      <c r="C3299">
        <v>26.05</v>
      </c>
      <c r="D3299">
        <v>26.7</v>
      </c>
      <c r="E3299">
        <v>26.05</v>
      </c>
      <c r="F3299">
        <v>26.35</v>
      </c>
      <c r="G3299">
        <v>26.4</v>
      </c>
      <c r="H3299">
        <v>0.4</v>
      </c>
      <c r="I3299">
        <v>135</v>
      </c>
      <c r="J3299">
        <v>0</v>
      </c>
      <c r="K3299">
        <v>296</v>
      </c>
      <c r="L3299">
        <v>152</v>
      </c>
      <c r="M3299">
        <v>222</v>
      </c>
      <c r="N3299" t="s">
        <v>39</v>
      </c>
      <c r="O3299" s="3">
        <v>44398</v>
      </c>
      <c r="P3299">
        <v>-1</v>
      </c>
      <c r="T3299" t="s">
        <v>37</v>
      </c>
      <c r="U3299">
        <v>98</v>
      </c>
      <c r="V3299">
        <v>24.193899999999999</v>
      </c>
    </row>
    <row r="3300" spans="1:22" x14ac:dyDescent="0.35">
      <c r="A3300" s="3">
        <v>44176</v>
      </c>
      <c r="B3300" t="s">
        <v>45</v>
      </c>
      <c r="C3300">
        <v>24.6</v>
      </c>
      <c r="D3300">
        <v>26.1</v>
      </c>
      <c r="E3300">
        <v>24.47</v>
      </c>
      <c r="F3300">
        <v>25.62</v>
      </c>
      <c r="G3300">
        <v>25.574999999999999</v>
      </c>
      <c r="H3300">
        <v>0.9</v>
      </c>
      <c r="I3300">
        <v>85788</v>
      </c>
      <c r="J3300">
        <v>168</v>
      </c>
      <c r="K3300">
        <v>179775</v>
      </c>
      <c r="L3300">
        <v>25</v>
      </c>
      <c r="M3300">
        <v>40</v>
      </c>
      <c r="N3300" t="s">
        <v>45</v>
      </c>
      <c r="O3300" s="3">
        <v>44216</v>
      </c>
      <c r="P3300">
        <v>-1</v>
      </c>
      <c r="T3300" t="s">
        <v>36</v>
      </c>
      <c r="U3300">
        <v>123</v>
      </c>
      <c r="V3300">
        <v>24.4</v>
      </c>
    </row>
    <row r="3301" spans="1:22" x14ac:dyDescent="0.35">
      <c r="A3301" s="3">
        <v>44176</v>
      </c>
      <c r="B3301" t="s">
        <v>41</v>
      </c>
      <c r="C3301">
        <v>25.91</v>
      </c>
      <c r="D3301">
        <v>26.72</v>
      </c>
      <c r="E3301">
        <v>25.9</v>
      </c>
      <c r="F3301">
        <v>26.41</v>
      </c>
      <c r="G3301">
        <v>26.475000000000001</v>
      </c>
      <c r="H3301">
        <v>0.55000000000000004</v>
      </c>
      <c r="I3301">
        <v>2597</v>
      </c>
      <c r="J3301">
        <v>0</v>
      </c>
      <c r="K3301">
        <v>7634</v>
      </c>
      <c r="L3301">
        <v>109</v>
      </c>
      <c r="M3301">
        <v>159</v>
      </c>
      <c r="N3301" t="s">
        <v>41</v>
      </c>
      <c r="O3301" s="3">
        <v>44335</v>
      </c>
      <c r="P3301">
        <v>-1</v>
      </c>
      <c r="T3301" t="s">
        <v>35</v>
      </c>
      <c r="U3301">
        <v>143</v>
      </c>
      <c r="V3301">
        <v>24.245100000000001</v>
      </c>
    </row>
    <row r="3302" spans="1:22" x14ac:dyDescent="0.35">
      <c r="A3302" s="3">
        <v>44176</v>
      </c>
      <c r="B3302" t="s">
        <v>44</v>
      </c>
      <c r="C3302">
        <v>25.35</v>
      </c>
      <c r="D3302">
        <v>26.63</v>
      </c>
      <c r="E3302">
        <v>25.25</v>
      </c>
      <c r="F3302">
        <v>26.19</v>
      </c>
      <c r="G3302">
        <v>26.074999999999999</v>
      </c>
      <c r="H3302">
        <v>0.65</v>
      </c>
      <c r="I3302">
        <v>19187</v>
      </c>
      <c r="J3302">
        <v>0</v>
      </c>
      <c r="K3302">
        <v>41474</v>
      </c>
      <c r="L3302">
        <v>44</v>
      </c>
      <c r="M3302">
        <v>68</v>
      </c>
      <c r="N3302" t="s">
        <v>44</v>
      </c>
      <c r="O3302" s="3">
        <v>44244</v>
      </c>
      <c r="P3302">
        <v>-1</v>
      </c>
      <c r="T3302" t="s">
        <v>34</v>
      </c>
      <c r="U3302">
        <v>167</v>
      </c>
      <c r="V3302">
        <v>23.774999999999999</v>
      </c>
    </row>
    <row r="3303" spans="1:22" x14ac:dyDescent="0.35">
      <c r="A3303" s="3">
        <v>44176</v>
      </c>
      <c r="B3303" t="s">
        <v>43</v>
      </c>
      <c r="C3303">
        <v>25.52</v>
      </c>
      <c r="D3303">
        <v>26.62</v>
      </c>
      <c r="E3303">
        <v>25.5</v>
      </c>
      <c r="F3303">
        <v>26.15</v>
      </c>
      <c r="G3303">
        <v>26.074999999999999</v>
      </c>
      <c r="H3303">
        <v>0.5</v>
      </c>
      <c r="I3303">
        <v>11183</v>
      </c>
      <c r="J3303">
        <v>0</v>
      </c>
      <c r="K3303">
        <v>14988</v>
      </c>
      <c r="L3303">
        <v>64</v>
      </c>
      <c r="M3303">
        <v>96</v>
      </c>
      <c r="N3303" t="s">
        <v>43</v>
      </c>
      <c r="O3303" s="3">
        <v>44272</v>
      </c>
      <c r="P3303">
        <v>-1</v>
      </c>
      <c r="S3303" s="3">
        <v>44314</v>
      </c>
      <c r="T3303" t="s">
        <v>33</v>
      </c>
      <c r="U3303">
        <v>184</v>
      </c>
      <c r="V3303">
        <v>24.45</v>
      </c>
    </row>
    <row r="3304" spans="1:22" x14ac:dyDescent="0.35">
      <c r="A3304" s="3">
        <v>44176</v>
      </c>
      <c r="B3304" t="s">
        <v>42</v>
      </c>
      <c r="C3304">
        <v>25.81</v>
      </c>
      <c r="D3304">
        <v>26.75</v>
      </c>
      <c r="E3304">
        <v>25.8</v>
      </c>
      <c r="F3304">
        <v>26.45</v>
      </c>
      <c r="G3304">
        <v>26.574999999999999</v>
      </c>
      <c r="H3304">
        <v>0.75</v>
      </c>
      <c r="I3304">
        <v>8209</v>
      </c>
      <c r="J3304">
        <v>0</v>
      </c>
      <c r="K3304">
        <v>11195</v>
      </c>
      <c r="L3304">
        <v>89</v>
      </c>
      <c r="M3304">
        <v>131</v>
      </c>
      <c r="N3304" t="s">
        <v>42</v>
      </c>
      <c r="O3304" s="3">
        <v>44307</v>
      </c>
      <c r="P3304">
        <v>-1</v>
      </c>
      <c r="T3304" t="s">
        <v>41</v>
      </c>
      <c r="U3304">
        <v>15</v>
      </c>
      <c r="V3304">
        <v>19.6632</v>
      </c>
    </row>
    <row r="3305" spans="1:22" x14ac:dyDescent="0.35">
      <c r="A3305" s="3">
        <v>44175</v>
      </c>
      <c r="B3305" t="s">
        <v>44</v>
      </c>
      <c r="C3305">
        <v>25.1</v>
      </c>
      <c r="D3305">
        <v>25.6</v>
      </c>
      <c r="E3305">
        <v>24.9</v>
      </c>
      <c r="F3305">
        <v>25.4</v>
      </c>
      <c r="G3305">
        <v>25.425000000000001</v>
      </c>
      <c r="H3305">
        <v>0.15</v>
      </c>
      <c r="I3305">
        <v>14449</v>
      </c>
      <c r="J3305">
        <v>0</v>
      </c>
      <c r="K3305">
        <v>38436</v>
      </c>
      <c r="L3305">
        <v>45</v>
      </c>
      <c r="M3305">
        <v>69</v>
      </c>
      <c r="N3305" t="s">
        <v>44</v>
      </c>
      <c r="O3305" s="3">
        <v>44244</v>
      </c>
      <c r="P3305">
        <v>-1</v>
      </c>
      <c r="T3305" t="s">
        <v>40</v>
      </c>
      <c r="U3305">
        <v>34</v>
      </c>
      <c r="V3305">
        <v>21.701799999999999</v>
      </c>
    </row>
    <row r="3306" spans="1:22" x14ac:dyDescent="0.35">
      <c r="A3306" s="3">
        <v>44175</v>
      </c>
      <c r="B3306" t="s">
        <v>43</v>
      </c>
      <c r="C3306">
        <v>25.25</v>
      </c>
      <c r="D3306">
        <v>25.7</v>
      </c>
      <c r="E3306">
        <v>25.08</v>
      </c>
      <c r="F3306">
        <v>25.55</v>
      </c>
      <c r="G3306">
        <v>25.574999999999999</v>
      </c>
      <c r="H3306">
        <v>0.2</v>
      </c>
      <c r="I3306">
        <v>4798</v>
      </c>
      <c r="J3306">
        <v>0</v>
      </c>
      <c r="K3306">
        <v>14768</v>
      </c>
      <c r="L3306">
        <v>65</v>
      </c>
      <c r="M3306">
        <v>97</v>
      </c>
      <c r="N3306" t="s">
        <v>43</v>
      </c>
      <c r="O3306" s="3">
        <v>44272</v>
      </c>
      <c r="P3306">
        <v>-1</v>
      </c>
      <c r="T3306" t="s">
        <v>39</v>
      </c>
      <c r="U3306">
        <v>58</v>
      </c>
      <c r="V3306">
        <v>23.090900000000001</v>
      </c>
    </row>
    <row r="3307" spans="1:22" x14ac:dyDescent="0.35">
      <c r="A3307" s="3">
        <v>44175</v>
      </c>
      <c r="B3307" t="s">
        <v>42</v>
      </c>
      <c r="C3307">
        <v>25.6</v>
      </c>
      <c r="D3307">
        <v>25.95</v>
      </c>
      <c r="E3307">
        <v>25.4</v>
      </c>
      <c r="F3307">
        <v>25.85</v>
      </c>
      <c r="G3307">
        <v>25.824999999999999</v>
      </c>
      <c r="H3307">
        <v>0.125</v>
      </c>
      <c r="I3307">
        <v>1423</v>
      </c>
      <c r="J3307">
        <v>0</v>
      </c>
      <c r="K3307">
        <v>9549</v>
      </c>
      <c r="L3307">
        <v>90</v>
      </c>
      <c r="M3307">
        <v>132</v>
      </c>
      <c r="N3307" t="s">
        <v>42</v>
      </c>
      <c r="O3307" s="3">
        <v>44307</v>
      </c>
      <c r="P3307">
        <v>-1</v>
      </c>
      <c r="T3307" t="s">
        <v>38</v>
      </c>
      <c r="U3307">
        <v>78</v>
      </c>
      <c r="V3307">
        <v>23.654900000000001</v>
      </c>
    </row>
    <row r="3308" spans="1:22" x14ac:dyDescent="0.35">
      <c r="A3308" s="3">
        <v>44175</v>
      </c>
      <c r="B3308" t="s">
        <v>40</v>
      </c>
      <c r="C3308">
        <v>25.6</v>
      </c>
      <c r="D3308">
        <v>25.95</v>
      </c>
      <c r="E3308">
        <v>25.55</v>
      </c>
      <c r="F3308">
        <v>25.95</v>
      </c>
      <c r="G3308">
        <v>25.875</v>
      </c>
      <c r="H3308">
        <v>0.1</v>
      </c>
      <c r="I3308">
        <v>920</v>
      </c>
      <c r="J3308">
        <v>0</v>
      </c>
      <c r="K3308">
        <v>4270</v>
      </c>
      <c r="L3308">
        <v>129</v>
      </c>
      <c r="M3308">
        <v>188</v>
      </c>
      <c r="N3308" t="s">
        <v>40</v>
      </c>
      <c r="O3308" s="3">
        <v>44363</v>
      </c>
      <c r="P3308">
        <v>-1</v>
      </c>
      <c r="T3308" t="s">
        <v>37</v>
      </c>
      <c r="U3308">
        <v>97</v>
      </c>
      <c r="V3308">
        <v>24.252500000000001</v>
      </c>
    </row>
    <row r="3309" spans="1:22" x14ac:dyDescent="0.35">
      <c r="A3309" s="3">
        <v>44175</v>
      </c>
      <c r="B3309" t="s">
        <v>39</v>
      </c>
      <c r="C3309">
        <v>25.77</v>
      </c>
      <c r="D3309">
        <v>26.01</v>
      </c>
      <c r="E3309">
        <v>25.68</v>
      </c>
      <c r="F3309">
        <v>26</v>
      </c>
      <c r="G3309">
        <v>26</v>
      </c>
      <c r="H3309">
        <v>0.2</v>
      </c>
      <c r="I3309">
        <v>54</v>
      </c>
      <c r="J3309">
        <v>0</v>
      </c>
      <c r="K3309">
        <v>226</v>
      </c>
      <c r="L3309">
        <v>153</v>
      </c>
      <c r="M3309">
        <v>223</v>
      </c>
      <c r="N3309" t="s">
        <v>39</v>
      </c>
      <c r="O3309" s="3">
        <v>44398</v>
      </c>
      <c r="P3309">
        <v>-1</v>
      </c>
      <c r="T3309" t="s">
        <v>36</v>
      </c>
      <c r="U3309">
        <v>122</v>
      </c>
      <c r="V3309">
        <v>24.425000000000001</v>
      </c>
    </row>
    <row r="3310" spans="1:22" x14ac:dyDescent="0.35">
      <c r="A3310" s="3">
        <v>44175</v>
      </c>
      <c r="B3310" t="s">
        <v>45</v>
      </c>
      <c r="C3310">
        <v>24.15</v>
      </c>
      <c r="D3310">
        <v>24.85</v>
      </c>
      <c r="E3310">
        <v>23.82</v>
      </c>
      <c r="F3310">
        <v>24.65</v>
      </c>
      <c r="G3310">
        <v>24.675000000000001</v>
      </c>
      <c r="H3310">
        <v>0.3</v>
      </c>
      <c r="I3310">
        <v>71277</v>
      </c>
      <c r="J3310">
        <v>0</v>
      </c>
      <c r="K3310">
        <v>172484</v>
      </c>
      <c r="L3310">
        <v>26</v>
      </c>
      <c r="M3310">
        <v>41</v>
      </c>
      <c r="N3310" t="s">
        <v>45</v>
      </c>
      <c r="O3310" s="3">
        <v>44216</v>
      </c>
      <c r="P3310">
        <v>-1</v>
      </c>
      <c r="T3310" t="s">
        <v>35</v>
      </c>
      <c r="U3310">
        <v>142</v>
      </c>
      <c r="V3310">
        <v>24.25</v>
      </c>
    </row>
    <row r="3311" spans="1:22" x14ac:dyDescent="0.35">
      <c r="A3311" s="3">
        <v>44175</v>
      </c>
      <c r="B3311" t="s">
        <v>41</v>
      </c>
      <c r="C3311">
        <v>25.64</v>
      </c>
      <c r="D3311">
        <v>26</v>
      </c>
      <c r="E3311">
        <v>25.5</v>
      </c>
      <c r="F3311">
        <v>26</v>
      </c>
      <c r="G3311">
        <v>25.925000000000001</v>
      </c>
      <c r="H3311">
        <v>0.15</v>
      </c>
      <c r="I3311">
        <v>1370</v>
      </c>
      <c r="J3311">
        <v>0</v>
      </c>
      <c r="K3311">
        <v>7441</v>
      </c>
      <c r="L3311">
        <v>110</v>
      </c>
      <c r="M3311">
        <v>160</v>
      </c>
      <c r="N3311" t="s">
        <v>41</v>
      </c>
      <c r="O3311" s="3">
        <v>44335</v>
      </c>
      <c r="P3311">
        <v>-1</v>
      </c>
      <c r="T3311" t="s">
        <v>34</v>
      </c>
      <c r="U3311">
        <v>166</v>
      </c>
      <c r="V3311">
        <v>23.75</v>
      </c>
    </row>
    <row r="3312" spans="1:22" x14ac:dyDescent="0.35">
      <c r="A3312" s="3">
        <v>44174</v>
      </c>
      <c r="B3312" t="s">
        <v>40</v>
      </c>
      <c r="C3312">
        <v>25.2</v>
      </c>
      <c r="D3312">
        <v>25.8</v>
      </c>
      <c r="E3312">
        <v>25.12</v>
      </c>
      <c r="F3312">
        <v>25.68</v>
      </c>
      <c r="G3312">
        <v>25.774999999999999</v>
      </c>
      <c r="H3312">
        <v>0.5</v>
      </c>
      <c r="I3312">
        <v>1302</v>
      </c>
      <c r="J3312">
        <v>0</v>
      </c>
      <c r="K3312">
        <v>3757</v>
      </c>
      <c r="L3312">
        <v>130</v>
      </c>
      <c r="M3312">
        <v>189</v>
      </c>
      <c r="N3312" t="s">
        <v>40</v>
      </c>
      <c r="O3312" s="3">
        <v>44363</v>
      </c>
      <c r="P3312">
        <v>-1</v>
      </c>
      <c r="S3312" s="3">
        <v>44315</v>
      </c>
      <c r="T3312" t="s">
        <v>33</v>
      </c>
      <c r="U3312">
        <v>183</v>
      </c>
      <c r="V3312">
        <v>24.425000000000001</v>
      </c>
    </row>
    <row r="3313" spans="1:22" x14ac:dyDescent="0.35">
      <c r="A3313" s="3">
        <v>44174</v>
      </c>
      <c r="B3313" t="s">
        <v>39</v>
      </c>
      <c r="C3313">
        <v>25.25</v>
      </c>
      <c r="D3313">
        <v>25.86</v>
      </c>
      <c r="E3313">
        <v>25.2</v>
      </c>
      <c r="F3313">
        <v>25.86</v>
      </c>
      <c r="G3313">
        <v>25.8</v>
      </c>
      <c r="H3313">
        <v>0.52500000000000002</v>
      </c>
      <c r="I3313">
        <v>115</v>
      </c>
      <c r="J3313">
        <v>0</v>
      </c>
      <c r="K3313">
        <v>232</v>
      </c>
      <c r="L3313">
        <v>154</v>
      </c>
      <c r="M3313">
        <v>224</v>
      </c>
      <c r="N3313" t="s">
        <v>39</v>
      </c>
      <c r="O3313" s="3">
        <v>44398</v>
      </c>
      <c r="P3313">
        <v>-1</v>
      </c>
      <c r="T3313" t="s">
        <v>41</v>
      </c>
      <c r="U3313">
        <v>14</v>
      </c>
      <c r="V3313">
        <v>19.5684</v>
      </c>
    </row>
    <row r="3314" spans="1:22" x14ac:dyDescent="0.35">
      <c r="A3314" s="3">
        <v>44174</v>
      </c>
      <c r="B3314" t="s">
        <v>45</v>
      </c>
      <c r="C3314">
        <v>23.65</v>
      </c>
      <c r="D3314">
        <v>24.6</v>
      </c>
      <c r="E3314">
        <v>23.22</v>
      </c>
      <c r="F3314">
        <v>24.2</v>
      </c>
      <c r="G3314">
        <v>24.375</v>
      </c>
      <c r="H3314">
        <v>0.75</v>
      </c>
      <c r="I3314">
        <v>85460</v>
      </c>
      <c r="J3314">
        <v>0</v>
      </c>
      <c r="K3314">
        <v>162834</v>
      </c>
      <c r="L3314">
        <v>27</v>
      </c>
      <c r="M3314">
        <v>42</v>
      </c>
      <c r="N3314" t="s">
        <v>45</v>
      </c>
      <c r="O3314" s="3">
        <v>44216</v>
      </c>
      <c r="P3314">
        <v>-1</v>
      </c>
      <c r="T3314" t="s">
        <v>40</v>
      </c>
      <c r="U3314">
        <v>33</v>
      </c>
      <c r="V3314">
        <v>21.597999999999999</v>
      </c>
    </row>
    <row r="3315" spans="1:22" x14ac:dyDescent="0.35">
      <c r="A3315" s="3">
        <v>44174</v>
      </c>
      <c r="B3315" t="s">
        <v>41</v>
      </c>
      <c r="C3315">
        <v>25.4</v>
      </c>
      <c r="D3315">
        <v>25.9</v>
      </c>
      <c r="E3315">
        <v>25.18</v>
      </c>
      <c r="F3315">
        <v>25.7</v>
      </c>
      <c r="G3315">
        <v>25.774999999999999</v>
      </c>
      <c r="H3315">
        <v>0.45</v>
      </c>
      <c r="I3315">
        <v>2550</v>
      </c>
      <c r="J3315">
        <v>0</v>
      </c>
      <c r="K3315">
        <v>7385</v>
      </c>
      <c r="L3315">
        <v>111</v>
      </c>
      <c r="M3315">
        <v>161</v>
      </c>
      <c r="N3315" t="s">
        <v>41</v>
      </c>
      <c r="O3315" s="3">
        <v>44335</v>
      </c>
      <c r="P3315">
        <v>-1</v>
      </c>
      <c r="T3315" t="s">
        <v>39</v>
      </c>
      <c r="U3315">
        <v>57</v>
      </c>
      <c r="V3315">
        <v>22.999600000000001</v>
      </c>
    </row>
    <row r="3316" spans="1:22" x14ac:dyDescent="0.35">
      <c r="A3316" s="3">
        <v>44174</v>
      </c>
      <c r="B3316" t="s">
        <v>44</v>
      </c>
      <c r="C3316">
        <v>24.55</v>
      </c>
      <c r="D3316">
        <v>25.47</v>
      </c>
      <c r="E3316">
        <v>24.2</v>
      </c>
      <c r="F3316">
        <v>25.13</v>
      </c>
      <c r="G3316">
        <v>25.274999999999999</v>
      </c>
      <c r="H3316">
        <v>0.7</v>
      </c>
      <c r="I3316">
        <v>13909</v>
      </c>
      <c r="J3316">
        <v>0</v>
      </c>
      <c r="K3316">
        <v>36265</v>
      </c>
      <c r="L3316">
        <v>46</v>
      </c>
      <c r="M3316">
        <v>70</v>
      </c>
      <c r="N3316" t="s">
        <v>44</v>
      </c>
      <c r="O3316" s="3">
        <v>44244</v>
      </c>
      <c r="P3316">
        <v>-1</v>
      </c>
      <c r="T3316" t="s">
        <v>38</v>
      </c>
      <c r="U3316">
        <v>77</v>
      </c>
      <c r="V3316">
        <v>23.55</v>
      </c>
    </row>
    <row r="3317" spans="1:22" x14ac:dyDescent="0.35">
      <c r="A3317" s="3">
        <v>44174</v>
      </c>
      <c r="B3317" t="s">
        <v>43</v>
      </c>
      <c r="C3317">
        <v>24.75</v>
      </c>
      <c r="D3317">
        <v>25.5</v>
      </c>
      <c r="E3317">
        <v>24.5</v>
      </c>
      <c r="F3317">
        <v>25.28</v>
      </c>
      <c r="G3317">
        <v>25.375</v>
      </c>
      <c r="H3317">
        <v>0.65</v>
      </c>
      <c r="I3317">
        <v>5072</v>
      </c>
      <c r="J3317">
        <v>0</v>
      </c>
      <c r="K3317">
        <v>14726</v>
      </c>
      <c r="L3317">
        <v>66</v>
      </c>
      <c r="M3317">
        <v>98</v>
      </c>
      <c r="N3317" t="s">
        <v>43</v>
      </c>
      <c r="O3317" s="3">
        <v>44272</v>
      </c>
      <c r="P3317">
        <v>-1</v>
      </c>
      <c r="T3317" t="s">
        <v>37</v>
      </c>
      <c r="U3317">
        <v>96</v>
      </c>
      <c r="V3317">
        <v>24.175000000000001</v>
      </c>
    </row>
    <row r="3318" spans="1:22" x14ac:dyDescent="0.35">
      <c r="A3318" s="3">
        <v>44174</v>
      </c>
      <c r="B3318" t="s">
        <v>42</v>
      </c>
      <c r="C3318">
        <v>25.15</v>
      </c>
      <c r="D3318">
        <v>25.79</v>
      </c>
      <c r="E3318">
        <v>24.97</v>
      </c>
      <c r="F3318">
        <v>25.6</v>
      </c>
      <c r="G3318">
        <v>25.7</v>
      </c>
      <c r="H3318">
        <v>0.55000000000000004</v>
      </c>
      <c r="I3318">
        <v>2356</v>
      </c>
      <c r="J3318">
        <v>0</v>
      </c>
      <c r="K3318">
        <v>9332</v>
      </c>
      <c r="L3318">
        <v>91</v>
      </c>
      <c r="M3318">
        <v>133</v>
      </c>
      <c r="N3318" t="s">
        <v>42</v>
      </c>
      <c r="O3318" s="3">
        <v>44307</v>
      </c>
      <c r="P3318">
        <v>-1</v>
      </c>
      <c r="T3318" t="s">
        <v>36</v>
      </c>
      <c r="U3318">
        <v>121</v>
      </c>
      <c r="V3318">
        <v>24.398399999999999</v>
      </c>
    </row>
    <row r="3319" spans="1:22" x14ac:dyDescent="0.35">
      <c r="A3319" s="3">
        <v>44173</v>
      </c>
      <c r="B3319" t="s">
        <v>44</v>
      </c>
      <c r="C3319">
        <v>25.12</v>
      </c>
      <c r="D3319">
        <v>25.36</v>
      </c>
      <c r="E3319">
        <v>24.52</v>
      </c>
      <c r="F3319">
        <v>24.55</v>
      </c>
      <c r="G3319">
        <v>24.574999999999999</v>
      </c>
      <c r="H3319">
        <v>-0.5</v>
      </c>
      <c r="I3319">
        <v>10767</v>
      </c>
      <c r="J3319">
        <v>0</v>
      </c>
      <c r="K3319">
        <v>33793</v>
      </c>
      <c r="L3319">
        <v>47</v>
      </c>
      <c r="M3319">
        <v>71</v>
      </c>
      <c r="N3319" t="s">
        <v>44</v>
      </c>
      <c r="O3319" s="3">
        <v>44244</v>
      </c>
      <c r="P3319">
        <v>-1</v>
      </c>
      <c r="T3319" t="s">
        <v>35</v>
      </c>
      <c r="U3319">
        <v>141</v>
      </c>
      <c r="V3319">
        <v>24.2303</v>
      </c>
    </row>
    <row r="3320" spans="1:22" x14ac:dyDescent="0.35">
      <c r="A3320" s="3">
        <v>44173</v>
      </c>
      <c r="B3320" t="s">
        <v>43</v>
      </c>
      <c r="C3320">
        <v>25.15</v>
      </c>
      <c r="D3320">
        <v>25.4</v>
      </c>
      <c r="E3320">
        <v>24.72</v>
      </c>
      <c r="F3320">
        <v>24.75</v>
      </c>
      <c r="G3320">
        <v>24.725000000000001</v>
      </c>
      <c r="H3320">
        <v>-0.4</v>
      </c>
      <c r="I3320">
        <v>5066</v>
      </c>
      <c r="J3320">
        <v>0</v>
      </c>
      <c r="K3320">
        <v>14786</v>
      </c>
      <c r="L3320">
        <v>67</v>
      </c>
      <c r="M3320">
        <v>99</v>
      </c>
      <c r="N3320" t="s">
        <v>43</v>
      </c>
      <c r="O3320" s="3">
        <v>44272</v>
      </c>
      <c r="P3320">
        <v>-1</v>
      </c>
      <c r="T3320" t="s">
        <v>34</v>
      </c>
      <c r="U3320">
        <v>165</v>
      </c>
      <c r="V3320">
        <v>23.725000000000001</v>
      </c>
    </row>
    <row r="3321" spans="1:22" x14ac:dyDescent="0.35">
      <c r="A3321" s="3">
        <v>44173</v>
      </c>
      <c r="B3321" t="s">
        <v>42</v>
      </c>
      <c r="C3321">
        <v>25.6</v>
      </c>
      <c r="D3321">
        <v>25.7</v>
      </c>
      <c r="E3321">
        <v>25.12</v>
      </c>
      <c r="F3321">
        <v>25.16</v>
      </c>
      <c r="G3321">
        <v>25.15</v>
      </c>
      <c r="H3321">
        <v>-0.32500000000000001</v>
      </c>
      <c r="I3321">
        <v>1775</v>
      </c>
      <c r="J3321">
        <v>0</v>
      </c>
      <c r="K3321">
        <v>9083</v>
      </c>
      <c r="L3321">
        <v>92</v>
      </c>
      <c r="M3321">
        <v>134</v>
      </c>
      <c r="N3321" t="s">
        <v>42</v>
      </c>
      <c r="O3321" s="3">
        <v>44307</v>
      </c>
      <c r="P3321">
        <v>-1</v>
      </c>
      <c r="S3321" s="3">
        <v>44316</v>
      </c>
      <c r="T3321" t="s">
        <v>33</v>
      </c>
      <c r="U3321">
        <v>182</v>
      </c>
      <c r="V3321">
        <v>24.6</v>
      </c>
    </row>
    <row r="3322" spans="1:22" x14ac:dyDescent="0.35">
      <c r="A3322" s="3">
        <v>44173</v>
      </c>
      <c r="B3322" t="s">
        <v>40</v>
      </c>
      <c r="C3322">
        <v>25.48</v>
      </c>
      <c r="D3322">
        <v>25.62</v>
      </c>
      <c r="E3322">
        <v>25.15</v>
      </c>
      <c r="F3322">
        <v>25.2</v>
      </c>
      <c r="G3322">
        <v>25.274999999999999</v>
      </c>
      <c r="H3322">
        <v>-0.17499999999999999</v>
      </c>
      <c r="I3322">
        <v>1138</v>
      </c>
      <c r="J3322">
        <v>0</v>
      </c>
      <c r="K3322">
        <v>3340</v>
      </c>
      <c r="L3322">
        <v>131</v>
      </c>
      <c r="M3322">
        <v>190</v>
      </c>
      <c r="N3322" t="s">
        <v>40</v>
      </c>
      <c r="O3322" s="3">
        <v>44363</v>
      </c>
      <c r="P3322">
        <v>-1</v>
      </c>
      <c r="T3322" t="s">
        <v>41</v>
      </c>
      <c r="U3322">
        <v>13</v>
      </c>
      <c r="V3322">
        <v>20.437999999999999</v>
      </c>
    </row>
    <row r="3323" spans="1:22" x14ac:dyDescent="0.35">
      <c r="A3323" s="3">
        <v>44173</v>
      </c>
      <c r="B3323" t="s">
        <v>39</v>
      </c>
      <c r="C3323">
        <v>25.45</v>
      </c>
      <c r="D3323">
        <v>25.6</v>
      </c>
      <c r="E3323">
        <v>25.27</v>
      </c>
      <c r="F3323">
        <v>25.28</v>
      </c>
      <c r="G3323">
        <v>25.274999999999999</v>
      </c>
      <c r="H3323">
        <v>-0.125</v>
      </c>
      <c r="I3323">
        <v>90</v>
      </c>
      <c r="J3323">
        <v>0</v>
      </c>
      <c r="K3323">
        <v>211</v>
      </c>
      <c r="L3323">
        <v>155</v>
      </c>
      <c r="M3323">
        <v>225</v>
      </c>
      <c r="N3323" t="s">
        <v>39</v>
      </c>
      <c r="O3323" s="3">
        <v>44398</v>
      </c>
      <c r="P3323">
        <v>-1</v>
      </c>
      <c r="T3323" t="s">
        <v>40</v>
      </c>
      <c r="U3323">
        <v>32</v>
      </c>
      <c r="V3323">
        <v>22.239100000000001</v>
      </c>
    </row>
    <row r="3324" spans="1:22" x14ac:dyDescent="0.35">
      <c r="A3324" s="3">
        <v>44173</v>
      </c>
      <c r="B3324" t="s">
        <v>45</v>
      </c>
      <c r="C3324">
        <v>24.45</v>
      </c>
      <c r="D3324">
        <v>24.72</v>
      </c>
      <c r="E3324">
        <v>23.59</v>
      </c>
      <c r="F3324">
        <v>23.68</v>
      </c>
      <c r="G3324">
        <v>23.625</v>
      </c>
      <c r="H3324">
        <v>-0.7</v>
      </c>
      <c r="I3324">
        <v>48579</v>
      </c>
      <c r="J3324">
        <v>0</v>
      </c>
      <c r="K3324">
        <v>151398</v>
      </c>
      <c r="L3324">
        <v>28</v>
      </c>
      <c r="M3324">
        <v>43</v>
      </c>
      <c r="N3324" t="s">
        <v>45</v>
      </c>
      <c r="O3324" s="3">
        <v>44216</v>
      </c>
      <c r="P3324">
        <v>-1</v>
      </c>
      <c r="T3324" t="s">
        <v>39</v>
      </c>
      <c r="U3324">
        <v>56</v>
      </c>
      <c r="V3324">
        <v>23.5</v>
      </c>
    </row>
    <row r="3325" spans="1:22" x14ac:dyDescent="0.35">
      <c r="A3325" s="3">
        <v>44173</v>
      </c>
      <c r="B3325" t="s">
        <v>41</v>
      </c>
      <c r="C3325">
        <v>25.65</v>
      </c>
      <c r="D3325">
        <v>25.75</v>
      </c>
      <c r="E3325">
        <v>25.3</v>
      </c>
      <c r="F3325">
        <v>25.33</v>
      </c>
      <c r="G3325">
        <v>25.324999999999999</v>
      </c>
      <c r="H3325">
        <v>-0.22500000000000001</v>
      </c>
      <c r="I3325">
        <v>1430</v>
      </c>
      <c r="J3325">
        <v>0</v>
      </c>
      <c r="K3325">
        <v>7325</v>
      </c>
      <c r="L3325">
        <v>112</v>
      </c>
      <c r="M3325">
        <v>162</v>
      </c>
      <c r="N3325" t="s">
        <v>41</v>
      </c>
      <c r="O3325" s="3">
        <v>44335</v>
      </c>
      <c r="P3325">
        <v>-1</v>
      </c>
      <c r="T3325" t="s">
        <v>38</v>
      </c>
      <c r="U3325">
        <v>76</v>
      </c>
      <c r="V3325">
        <v>23.975999999999999</v>
      </c>
    </row>
    <row r="3326" spans="1:22" x14ac:dyDescent="0.35">
      <c r="A3326" s="3">
        <v>44172</v>
      </c>
      <c r="B3326" t="s">
        <v>40</v>
      </c>
      <c r="C3326">
        <v>25.5</v>
      </c>
      <c r="D3326">
        <v>25.55</v>
      </c>
      <c r="E3326">
        <v>25.37</v>
      </c>
      <c r="F3326">
        <v>25.5</v>
      </c>
      <c r="G3326">
        <v>25.45</v>
      </c>
      <c r="H3326">
        <v>0.125</v>
      </c>
      <c r="I3326">
        <v>654</v>
      </c>
      <c r="J3326">
        <v>0</v>
      </c>
      <c r="K3326">
        <v>3646</v>
      </c>
      <c r="L3326">
        <v>132</v>
      </c>
      <c r="M3326">
        <v>191</v>
      </c>
      <c r="N3326" t="s">
        <v>40</v>
      </c>
      <c r="O3326" s="3">
        <v>44363</v>
      </c>
      <c r="P3326">
        <v>-1</v>
      </c>
      <c r="T3326" t="s">
        <v>37</v>
      </c>
      <c r="U3326">
        <v>95</v>
      </c>
      <c r="V3326">
        <v>24.55</v>
      </c>
    </row>
    <row r="3327" spans="1:22" x14ac:dyDescent="0.35">
      <c r="A3327" s="3">
        <v>44172</v>
      </c>
      <c r="B3327" t="s">
        <v>39</v>
      </c>
      <c r="C3327">
        <v>25.55</v>
      </c>
      <c r="D3327">
        <v>25.55</v>
      </c>
      <c r="E3327">
        <v>25.55</v>
      </c>
      <c r="F3327">
        <v>25.55</v>
      </c>
      <c r="G3327">
        <v>25.4</v>
      </c>
      <c r="H3327">
        <v>-0.1</v>
      </c>
      <c r="I3327">
        <v>13</v>
      </c>
      <c r="J3327">
        <v>0</v>
      </c>
      <c r="K3327">
        <v>197</v>
      </c>
      <c r="L3327">
        <v>156</v>
      </c>
      <c r="M3327">
        <v>226</v>
      </c>
      <c r="N3327" t="s">
        <v>39</v>
      </c>
      <c r="O3327" s="3">
        <v>44398</v>
      </c>
      <c r="P3327">
        <v>-1</v>
      </c>
      <c r="T3327" t="s">
        <v>36</v>
      </c>
      <c r="U3327">
        <v>120</v>
      </c>
      <c r="V3327">
        <v>24.7</v>
      </c>
    </row>
    <row r="3328" spans="1:22" x14ac:dyDescent="0.35">
      <c r="A3328" s="3">
        <v>44172</v>
      </c>
      <c r="B3328" t="s">
        <v>45</v>
      </c>
      <c r="C3328">
        <v>24.2</v>
      </c>
      <c r="D3328">
        <v>24.66</v>
      </c>
      <c r="E3328">
        <v>24.1</v>
      </c>
      <c r="F3328">
        <v>24.54</v>
      </c>
      <c r="G3328">
        <v>24.324999999999999</v>
      </c>
      <c r="H3328">
        <v>0.1</v>
      </c>
      <c r="I3328">
        <v>44389</v>
      </c>
      <c r="J3328">
        <v>0</v>
      </c>
      <c r="K3328">
        <v>145785</v>
      </c>
      <c r="L3328">
        <v>29</v>
      </c>
      <c r="M3328">
        <v>44</v>
      </c>
      <c r="N3328" t="s">
        <v>45</v>
      </c>
      <c r="O3328" s="3">
        <v>44216</v>
      </c>
      <c r="P3328">
        <v>-1</v>
      </c>
      <c r="T3328" t="s">
        <v>35</v>
      </c>
      <c r="U3328">
        <v>140</v>
      </c>
      <c r="V3328">
        <v>24.498799999999999</v>
      </c>
    </row>
    <row r="3329" spans="1:22" x14ac:dyDescent="0.35">
      <c r="A3329" s="3">
        <v>44172</v>
      </c>
      <c r="B3329" t="s">
        <v>41</v>
      </c>
      <c r="C3329">
        <v>25.4</v>
      </c>
      <c r="D3329">
        <v>25.65</v>
      </c>
      <c r="E3329">
        <v>25.4</v>
      </c>
      <c r="F3329">
        <v>25.65</v>
      </c>
      <c r="G3329">
        <v>25.55</v>
      </c>
      <c r="H3329">
        <v>0.17499999999999999</v>
      </c>
      <c r="I3329">
        <v>1485</v>
      </c>
      <c r="J3329">
        <v>0</v>
      </c>
      <c r="K3329">
        <v>7223</v>
      </c>
      <c r="L3329">
        <v>113</v>
      </c>
      <c r="M3329">
        <v>163</v>
      </c>
      <c r="N3329" t="s">
        <v>41</v>
      </c>
      <c r="O3329" s="3">
        <v>44335</v>
      </c>
      <c r="P3329">
        <v>-1</v>
      </c>
      <c r="T3329" t="s">
        <v>34</v>
      </c>
      <c r="U3329">
        <v>164</v>
      </c>
      <c r="V3329">
        <v>23.975000000000001</v>
      </c>
    </row>
    <row r="3330" spans="1:22" x14ac:dyDescent="0.35">
      <c r="A3330" s="3">
        <v>44172</v>
      </c>
      <c r="B3330" t="s">
        <v>44</v>
      </c>
      <c r="C3330">
        <v>24.85</v>
      </c>
      <c r="D3330">
        <v>25.2</v>
      </c>
      <c r="E3330">
        <v>24.8</v>
      </c>
      <c r="F3330">
        <v>25.2</v>
      </c>
      <c r="G3330">
        <v>25.074999999999999</v>
      </c>
      <c r="H3330">
        <v>0.2</v>
      </c>
      <c r="I3330">
        <v>5099</v>
      </c>
      <c r="J3330">
        <v>0</v>
      </c>
      <c r="K3330">
        <v>31766</v>
      </c>
      <c r="L3330">
        <v>48</v>
      </c>
      <c r="M3330">
        <v>72</v>
      </c>
      <c r="N3330" t="s">
        <v>44</v>
      </c>
      <c r="O3330" s="3">
        <v>44244</v>
      </c>
      <c r="P3330">
        <v>-1</v>
      </c>
      <c r="S3330" s="3">
        <v>44319</v>
      </c>
      <c r="T3330" t="s">
        <v>33</v>
      </c>
      <c r="U3330">
        <v>181</v>
      </c>
      <c r="V3330">
        <v>24.55</v>
      </c>
    </row>
    <row r="3331" spans="1:22" x14ac:dyDescent="0.35">
      <c r="A3331" s="3">
        <v>44172</v>
      </c>
      <c r="B3331" t="s">
        <v>43</v>
      </c>
      <c r="C3331">
        <v>24.94</v>
      </c>
      <c r="D3331">
        <v>25.25</v>
      </c>
      <c r="E3331">
        <v>24.92</v>
      </c>
      <c r="F3331">
        <v>25.22</v>
      </c>
      <c r="G3331">
        <v>25.125</v>
      </c>
      <c r="H3331">
        <v>0.15</v>
      </c>
      <c r="I3331">
        <v>2188</v>
      </c>
      <c r="J3331">
        <v>0</v>
      </c>
      <c r="K3331">
        <v>15315</v>
      </c>
      <c r="L3331">
        <v>68</v>
      </c>
      <c r="M3331">
        <v>100</v>
      </c>
      <c r="N3331" t="s">
        <v>43</v>
      </c>
      <c r="O3331" s="3">
        <v>44272</v>
      </c>
      <c r="P3331">
        <v>-1</v>
      </c>
      <c r="T3331" t="s">
        <v>41</v>
      </c>
      <c r="U3331">
        <v>12</v>
      </c>
      <c r="V3331">
        <v>19.732399999999998</v>
      </c>
    </row>
    <row r="3332" spans="1:22" x14ac:dyDescent="0.35">
      <c r="A3332" s="3">
        <v>44172</v>
      </c>
      <c r="B3332" t="s">
        <v>42</v>
      </c>
      <c r="C3332">
        <v>25.31</v>
      </c>
      <c r="D3332">
        <v>25.57</v>
      </c>
      <c r="E3332">
        <v>25.3</v>
      </c>
      <c r="F3332">
        <v>25.55</v>
      </c>
      <c r="G3332">
        <v>25.475000000000001</v>
      </c>
      <c r="H3332">
        <v>0.15</v>
      </c>
      <c r="I3332">
        <v>1384</v>
      </c>
      <c r="J3332">
        <v>0</v>
      </c>
      <c r="K3332">
        <v>8995</v>
      </c>
      <c r="L3332">
        <v>93</v>
      </c>
      <c r="M3332">
        <v>135</v>
      </c>
      <c r="N3332" t="s">
        <v>42</v>
      </c>
      <c r="O3332" s="3">
        <v>44307</v>
      </c>
      <c r="P3332">
        <v>-1</v>
      </c>
      <c r="T3332" t="s">
        <v>40</v>
      </c>
      <c r="U3332">
        <v>31</v>
      </c>
      <c r="V3332">
        <v>21.552199999999999</v>
      </c>
    </row>
    <row r="3333" spans="1:22" x14ac:dyDescent="0.35">
      <c r="A3333" s="3">
        <v>44169</v>
      </c>
      <c r="B3333" t="s">
        <v>44</v>
      </c>
      <c r="C3333">
        <v>24.97</v>
      </c>
      <c r="D3333">
        <v>25</v>
      </c>
      <c r="E3333">
        <v>24.7</v>
      </c>
      <c r="F3333">
        <v>24.91</v>
      </c>
      <c r="G3333">
        <v>24.875</v>
      </c>
      <c r="H3333">
        <v>-0.15</v>
      </c>
      <c r="I3333">
        <v>6542</v>
      </c>
      <c r="J3333">
        <v>0</v>
      </c>
      <c r="K3333">
        <v>30725</v>
      </c>
      <c r="L3333">
        <v>49</v>
      </c>
      <c r="M3333">
        <v>75</v>
      </c>
      <c r="N3333" t="s">
        <v>44</v>
      </c>
      <c r="O3333" s="3">
        <v>44244</v>
      </c>
      <c r="P3333">
        <v>-1</v>
      </c>
      <c r="T3333" t="s">
        <v>39</v>
      </c>
      <c r="U3333">
        <v>55</v>
      </c>
      <c r="V3333">
        <v>22.926600000000001</v>
      </c>
    </row>
    <row r="3334" spans="1:22" x14ac:dyDescent="0.35">
      <c r="A3334" s="3">
        <v>44169</v>
      </c>
      <c r="B3334" t="s">
        <v>43</v>
      </c>
      <c r="C3334">
        <v>25.15</v>
      </c>
      <c r="D3334">
        <v>25.15</v>
      </c>
      <c r="E3334">
        <v>24.87</v>
      </c>
      <c r="F3334">
        <v>25.01</v>
      </c>
      <c r="G3334">
        <v>24.975000000000001</v>
      </c>
      <c r="H3334">
        <v>-0.2</v>
      </c>
      <c r="I3334">
        <v>2389</v>
      </c>
      <c r="J3334">
        <v>0</v>
      </c>
      <c r="K3334">
        <v>14974</v>
      </c>
      <c r="L3334">
        <v>69</v>
      </c>
      <c r="M3334">
        <v>103</v>
      </c>
      <c r="N3334" t="s">
        <v>43</v>
      </c>
      <c r="O3334" s="3">
        <v>44272</v>
      </c>
      <c r="P3334">
        <v>-1</v>
      </c>
      <c r="T3334" t="s">
        <v>38</v>
      </c>
      <c r="U3334">
        <v>75</v>
      </c>
      <c r="V3334">
        <v>23.4848</v>
      </c>
    </row>
    <row r="3335" spans="1:22" x14ac:dyDescent="0.35">
      <c r="A3335" s="3">
        <v>44169</v>
      </c>
      <c r="B3335" t="s">
        <v>42</v>
      </c>
      <c r="C3335">
        <v>25.45</v>
      </c>
      <c r="D3335">
        <v>25.45</v>
      </c>
      <c r="E3335">
        <v>25.22</v>
      </c>
      <c r="F3335">
        <v>25.36</v>
      </c>
      <c r="G3335">
        <v>25.324999999999999</v>
      </c>
      <c r="H3335">
        <v>-0.15</v>
      </c>
      <c r="I3335">
        <v>1730</v>
      </c>
      <c r="J3335">
        <v>0</v>
      </c>
      <c r="K3335">
        <v>8617</v>
      </c>
      <c r="L3335">
        <v>94</v>
      </c>
      <c r="M3335">
        <v>138</v>
      </c>
      <c r="N3335" t="s">
        <v>42</v>
      </c>
      <c r="O3335" s="3">
        <v>44307</v>
      </c>
      <c r="P3335">
        <v>-1</v>
      </c>
      <c r="T3335" t="s">
        <v>37</v>
      </c>
      <c r="U3335">
        <v>94</v>
      </c>
      <c r="V3335">
        <v>24.074400000000001</v>
      </c>
    </row>
    <row r="3336" spans="1:22" x14ac:dyDescent="0.35">
      <c r="A3336" s="3">
        <v>44169</v>
      </c>
      <c r="B3336" t="s">
        <v>40</v>
      </c>
      <c r="C3336">
        <v>25.3</v>
      </c>
      <c r="D3336">
        <v>25.4</v>
      </c>
      <c r="E3336">
        <v>25.24</v>
      </c>
      <c r="F3336">
        <v>25.35</v>
      </c>
      <c r="G3336">
        <v>25.324999999999999</v>
      </c>
      <c r="H3336">
        <v>-0.05</v>
      </c>
      <c r="I3336">
        <v>677</v>
      </c>
      <c r="J3336">
        <v>0</v>
      </c>
      <c r="K3336">
        <v>2989</v>
      </c>
      <c r="L3336">
        <v>133</v>
      </c>
      <c r="M3336">
        <v>194</v>
      </c>
      <c r="N3336" t="s">
        <v>40</v>
      </c>
      <c r="O3336" s="3">
        <v>44363</v>
      </c>
      <c r="P3336">
        <v>-1</v>
      </c>
      <c r="T3336" t="s">
        <v>36</v>
      </c>
      <c r="U3336">
        <v>119</v>
      </c>
      <c r="V3336">
        <v>24.331</v>
      </c>
    </row>
    <row r="3337" spans="1:22" x14ac:dyDescent="0.35">
      <c r="A3337" s="3">
        <v>44169</v>
      </c>
      <c r="B3337" t="s">
        <v>39</v>
      </c>
      <c r="C3337">
        <v>25.45</v>
      </c>
      <c r="D3337">
        <v>25.45</v>
      </c>
      <c r="E3337">
        <v>25.45</v>
      </c>
      <c r="F3337">
        <v>25.45</v>
      </c>
      <c r="G3337">
        <v>25.5</v>
      </c>
      <c r="H3337">
        <v>-0.25</v>
      </c>
      <c r="I3337">
        <v>2</v>
      </c>
      <c r="J3337">
        <v>0</v>
      </c>
      <c r="K3337">
        <v>192</v>
      </c>
      <c r="L3337">
        <v>157</v>
      </c>
      <c r="M3337">
        <v>229</v>
      </c>
      <c r="N3337" t="s">
        <v>39</v>
      </c>
      <c r="O3337" s="3">
        <v>44398</v>
      </c>
      <c r="P3337">
        <v>-1</v>
      </c>
      <c r="T3337" t="s">
        <v>35</v>
      </c>
      <c r="U3337">
        <v>139</v>
      </c>
      <c r="V3337">
        <v>24.182400000000001</v>
      </c>
    </row>
    <row r="3338" spans="1:22" x14ac:dyDescent="0.35">
      <c r="A3338" s="3">
        <v>44169</v>
      </c>
      <c r="B3338" t="s">
        <v>45</v>
      </c>
      <c r="C3338">
        <v>24.4</v>
      </c>
      <c r="D3338">
        <v>24.5</v>
      </c>
      <c r="E3338">
        <v>23.95</v>
      </c>
      <c r="F3338">
        <v>24.27</v>
      </c>
      <c r="G3338">
        <v>24.225000000000001</v>
      </c>
      <c r="H3338">
        <v>-0.25</v>
      </c>
      <c r="I3338">
        <v>44995</v>
      </c>
      <c r="J3338">
        <v>337</v>
      </c>
      <c r="K3338">
        <v>132736</v>
      </c>
      <c r="L3338">
        <v>30</v>
      </c>
      <c r="M3338">
        <v>47</v>
      </c>
      <c r="N3338" t="s">
        <v>45</v>
      </c>
      <c r="O3338" s="3">
        <v>44216</v>
      </c>
      <c r="P3338">
        <v>-1</v>
      </c>
      <c r="T3338" t="s">
        <v>34</v>
      </c>
      <c r="U3338">
        <v>163</v>
      </c>
      <c r="V3338">
        <v>23.75</v>
      </c>
    </row>
    <row r="3339" spans="1:22" x14ac:dyDescent="0.35">
      <c r="A3339" s="3">
        <v>44169</v>
      </c>
      <c r="B3339" t="s">
        <v>41</v>
      </c>
      <c r="C3339">
        <v>25.45</v>
      </c>
      <c r="D3339">
        <v>25.5</v>
      </c>
      <c r="E3339">
        <v>25.3</v>
      </c>
      <c r="F3339">
        <v>25.45</v>
      </c>
      <c r="G3339">
        <v>25.375</v>
      </c>
      <c r="H3339">
        <v>-0.1</v>
      </c>
      <c r="I3339">
        <v>1190</v>
      </c>
      <c r="J3339">
        <v>0</v>
      </c>
      <c r="K3339">
        <v>7125</v>
      </c>
      <c r="L3339">
        <v>114</v>
      </c>
      <c r="M3339">
        <v>166</v>
      </c>
      <c r="N3339" t="s">
        <v>41</v>
      </c>
      <c r="O3339" s="3">
        <v>44335</v>
      </c>
      <c r="P3339">
        <v>-1</v>
      </c>
      <c r="S3339" s="3">
        <v>44320</v>
      </c>
      <c r="T3339" t="s">
        <v>33</v>
      </c>
      <c r="U3339">
        <v>180</v>
      </c>
      <c r="V3339">
        <v>24.725000000000001</v>
      </c>
    </row>
    <row r="3340" spans="1:22" x14ac:dyDescent="0.35">
      <c r="A3340" s="3">
        <v>44168</v>
      </c>
      <c r="B3340" t="s">
        <v>40</v>
      </c>
      <c r="C3340">
        <v>25.22</v>
      </c>
      <c r="D3340">
        <v>25.4</v>
      </c>
      <c r="E3340">
        <v>25.1</v>
      </c>
      <c r="F3340">
        <v>25.32</v>
      </c>
      <c r="G3340">
        <v>25.375</v>
      </c>
      <c r="H3340">
        <v>0.15</v>
      </c>
      <c r="I3340">
        <v>612</v>
      </c>
      <c r="J3340">
        <v>0</v>
      </c>
      <c r="K3340">
        <v>2551</v>
      </c>
      <c r="L3340">
        <v>134</v>
      </c>
      <c r="M3340">
        <v>195</v>
      </c>
      <c r="N3340" t="s">
        <v>40</v>
      </c>
      <c r="O3340" s="3">
        <v>44363</v>
      </c>
      <c r="P3340">
        <v>-1</v>
      </c>
      <c r="T3340" t="s">
        <v>41</v>
      </c>
      <c r="U3340">
        <v>11</v>
      </c>
      <c r="V3340">
        <v>20.549299999999999</v>
      </c>
    </row>
    <row r="3341" spans="1:22" x14ac:dyDescent="0.35">
      <c r="A3341" s="3">
        <v>44168</v>
      </c>
      <c r="B3341" t="s">
        <v>39</v>
      </c>
      <c r="C3341">
        <v>25.4</v>
      </c>
      <c r="D3341">
        <v>25.45</v>
      </c>
      <c r="E3341">
        <v>25.4</v>
      </c>
      <c r="F3341">
        <v>25.45</v>
      </c>
      <c r="G3341">
        <v>25.75</v>
      </c>
      <c r="H3341">
        <v>0.125</v>
      </c>
      <c r="I3341">
        <v>6</v>
      </c>
      <c r="J3341">
        <v>0</v>
      </c>
      <c r="K3341">
        <v>192</v>
      </c>
      <c r="L3341">
        <v>158</v>
      </c>
      <c r="M3341">
        <v>230</v>
      </c>
      <c r="N3341" t="s">
        <v>39</v>
      </c>
      <c r="O3341" s="3">
        <v>44398</v>
      </c>
      <c r="P3341">
        <v>-1</v>
      </c>
      <c r="T3341" t="s">
        <v>40</v>
      </c>
      <c r="U3341">
        <v>30</v>
      </c>
      <c r="V3341">
        <v>22.235700000000001</v>
      </c>
    </row>
    <row r="3342" spans="1:22" x14ac:dyDescent="0.35">
      <c r="A3342" s="3">
        <v>44168</v>
      </c>
      <c r="B3342" t="s">
        <v>45</v>
      </c>
      <c r="C3342">
        <v>24.29</v>
      </c>
      <c r="D3342">
        <v>24.6</v>
      </c>
      <c r="E3342">
        <v>23.97</v>
      </c>
      <c r="F3342">
        <v>24.4</v>
      </c>
      <c r="G3342">
        <v>24.475000000000001</v>
      </c>
      <c r="H3342">
        <v>0.15</v>
      </c>
      <c r="I3342">
        <v>45256</v>
      </c>
      <c r="J3342">
        <v>423</v>
      </c>
      <c r="K3342">
        <v>123639</v>
      </c>
      <c r="L3342">
        <v>31</v>
      </c>
      <c r="M3342">
        <v>48</v>
      </c>
      <c r="N3342" t="s">
        <v>45</v>
      </c>
      <c r="O3342" s="3">
        <v>44216</v>
      </c>
      <c r="P3342">
        <v>-1</v>
      </c>
      <c r="T3342" t="s">
        <v>39</v>
      </c>
      <c r="U3342">
        <v>54</v>
      </c>
      <c r="V3342">
        <v>23.3978</v>
      </c>
    </row>
    <row r="3343" spans="1:22" x14ac:dyDescent="0.35">
      <c r="A3343" s="3">
        <v>44168</v>
      </c>
      <c r="B3343" t="s">
        <v>41</v>
      </c>
      <c r="C3343">
        <v>25.35</v>
      </c>
      <c r="D3343">
        <v>25.55</v>
      </c>
      <c r="E3343">
        <v>25.2</v>
      </c>
      <c r="F3343">
        <v>25.45</v>
      </c>
      <c r="G3343">
        <v>25.475000000000001</v>
      </c>
      <c r="H3343">
        <v>0.1</v>
      </c>
      <c r="I3343">
        <v>1359</v>
      </c>
      <c r="J3343">
        <v>0</v>
      </c>
      <c r="K3343">
        <v>6867</v>
      </c>
      <c r="L3343">
        <v>115</v>
      </c>
      <c r="M3343">
        <v>167</v>
      </c>
      <c r="N3343" t="s">
        <v>41</v>
      </c>
      <c r="O3343" s="3">
        <v>44335</v>
      </c>
      <c r="P3343">
        <v>-1</v>
      </c>
      <c r="T3343" t="s">
        <v>38</v>
      </c>
      <c r="U3343">
        <v>74</v>
      </c>
      <c r="V3343">
        <v>23.9</v>
      </c>
    </row>
    <row r="3344" spans="1:22" x14ac:dyDescent="0.35">
      <c r="A3344" s="3">
        <v>44168</v>
      </c>
      <c r="B3344" t="s">
        <v>43</v>
      </c>
      <c r="C3344">
        <v>25</v>
      </c>
      <c r="D3344">
        <v>25.2</v>
      </c>
      <c r="E3344">
        <v>24.75</v>
      </c>
      <c r="F3344">
        <v>25.1</v>
      </c>
      <c r="G3344">
        <v>25.175000000000001</v>
      </c>
      <c r="H3344">
        <v>0.2</v>
      </c>
      <c r="I3344">
        <v>3219</v>
      </c>
      <c r="J3344">
        <v>0</v>
      </c>
      <c r="K3344">
        <v>14983</v>
      </c>
      <c r="L3344">
        <v>70</v>
      </c>
      <c r="M3344">
        <v>104</v>
      </c>
      <c r="N3344" t="s">
        <v>43</v>
      </c>
      <c r="O3344" s="3">
        <v>44272</v>
      </c>
      <c r="P3344">
        <v>-1</v>
      </c>
      <c r="T3344" t="s">
        <v>37</v>
      </c>
      <c r="U3344">
        <v>93</v>
      </c>
      <c r="V3344">
        <v>24.45</v>
      </c>
    </row>
    <row r="3345" spans="1:22" x14ac:dyDescent="0.35">
      <c r="A3345" s="3">
        <v>44168</v>
      </c>
      <c r="B3345" t="s">
        <v>46</v>
      </c>
      <c r="C3345">
        <v>22.8</v>
      </c>
      <c r="D3345">
        <v>23.31</v>
      </c>
      <c r="E3345">
        <v>22.3</v>
      </c>
      <c r="F3345">
        <v>23</v>
      </c>
      <c r="G3345">
        <v>22.975000000000001</v>
      </c>
      <c r="H3345">
        <v>0.3</v>
      </c>
      <c r="I3345">
        <v>54321</v>
      </c>
      <c r="J3345">
        <v>380</v>
      </c>
      <c r="K3345">
        <v>103334</v>
      </c>
      <c r="L3345">
        <v>9</v>
      </c>
      <c r="M3345">
        <v>13</v>
      </c>
      <c r="N3345" t="s">
        <v>46</v>
      </c>
      <c r="O3345" s="3">
        <v>44181</v>
      </c>
      <c r="P3345">
        <v>-1</v>
      </c>
      <c r="T3345" t="s">
        <v>36</v>
      </c>
      <c r="U3345">
        <v>118</v>
      </c>
      <c r="V3345">
        <v>24.642900000000001</v>
      </c>
    </row>
    <row r="3346" spans="1:22" x14ac:dyDescent="0.35">
      <c r="A3346" s="3">
        <v>44168</v>
      </c>
      <c r="B3346" t="s">
        <v>42</v>
      </c>
      <c r="C3346">
        <v>25.3</v>
      </c>
      <c r="D3346">
        <v>25.55</v>
      </c>
      <c r="E3346">
        <v>25.15</v>
      </c>
      <c r="F3346">
        <v>25.4</v>
      </c>
      <c r="G3346">
        <v>25.475000000000001</v>
      </c>
      <c r="H3346">
        <v>0.125</v>
      </c>
      <c r="I3346">
        <v>1705</v>
      </c>
      <c r="J3346">
        <v>0</v>
      </c>
      <c r="K3346">
        <v>8441</v>
      </c>
      <c r="L3346">
        <v>95</v>
      </c>
      <c r="M3346">
        <v>139</v>
      </c>
      <c r="N3346" t="s">
        <v>42</v>
      </c>
      <c r="O3346" s="3">
        <v>44307</v>
      </c>
      <c r="P3346">
        <v>-1</v>
      </c>
      <c r="T3346" t="s">
        <v>35</v>
      </c>
      <c r="U3346">
        <v>138</v>
      </c>
      <c r="V3346">
        <v>24.45</v>
      </c>
    </row>
    <row r="3347" spans="1:22" x14ac:dyDescent="0.35">
      <c r="A3347" s="3">
        <v>44168</v>
      </c>
      <c r="B3347" t="s">
        <v>44</v>
      </c>
      <c r="C3347">
        <v>24.8</v>
      </c>
      <c r="D3347">
        <v>25.1</v>
      </c>
      <c r="E3347">
        <v>24.57</v>
      </c>
      <c r="F3347">
        <v>24.95</v>
      </c>
      <c r="G3347">
        <v>25.024999999999999</v>
      </c>
      <c r="H3347">
        <v>0.2</v>
      </c>
      <c r="I3347">
        <v>8076</v>
      </c>
      <c r="J3347">
        <v>0</v>
      </c>
      <c r="K3347">
        <v>29177</v>
      </c>
      <c r="L3347">
        <v>50</v>
      </c>
      <c r="M3347">
        <v>76</v>
      </c>
      <c r="N3347" t="s">
        <v>44</v>
      </c>
      <c r="O3347" s="3">
        <v>44244</v>
      </c>
      <c r="P3347">
        <v>-1</v>
      </c>
      <c r="T3347" t="s">
        <v>34</v>
      </c>
      <c r="U3347">
        <v>162</v>
      </c>
      <c r="V3347">
        <v>24</v>
      </c>
    </row>
    <row r="3348" spans="1:22" x14ac:dyDescent="0.35">
      <c r="A3348" s="3">
        <v>44167</v>
      </c>
      <c r="B3348" t="s">
        <v>43</v>
      </c>
      <c r="C3348">
        <v>25.01</v>
      </c>
      <c r="D3348">
        <v>25.2</v>
      </c>
      <c r="E3348">
        <v>24.65</v>
      </c>
      <c r="F3348">
        <v>25</v>
      </c>
      <c r="G3348">
        <v>24.975000000000001</v>
      </c>
      <c r="H3348">
        <v>-0.15</v>
      </c>
      <c r="I3348">
        <v>2554</v>
      </c>
      <c r="J3348">
        <v>0</v>
      </c>
      <c r="K3348">
        <v>15261</v>
      </c>
      <c r="L3348">
        <v>71</v>
      </c>
      <c r="M3348">
        <v>105</v>
      </c>
      <c r="N3348" t="s">
        <v>43</v>
      </c>
      <c r="O3348" s="3">
        <v>44272</v>
      </c>
      <c r="P3348">
        <v>-1</v>
      </c>
      <c r="S3348" s="3">
        <v>44321</v>
      </c>
      <c r="T3348" t="s">
        <v>33</v>
      </c>
      <c r="U3348">
        <v>179</v>
      </c>
      <c r="V3348">
        <v>24.65</v>
      </c>
    </row>
    <row r="3349" spans="1:22" x14ac:dyDescent="0.35">
      <c r="A3349" s="3">
        <v>44167</v>
      </c>
      <c r="B3349" t="s">
        <v>46</v>
      </c>
      <c r="C3349">
        <v>22.65</v>
      </c>
      <c r="D3349">
        <v>23.05</v>
      </c>
      <c r="E3349">
        <v>22.2</v>
      </c>
      <c r="F3349">
        <v>22.75</v>
      </c>
      <c r="G3349">
        <v>22.675000000000001</v>
      </c>
      <c r="H3349">
        <v>-0.15</v>
      </c>
      <c r="I3349">
        <v>59417</v>
      </c>
      <c r="J3349">
        <v>291</v>
      </c>
      <c r="K3349">
        <v>111326</v>
      </c>
      <c r="L3349">
        <v>10</v>
      </c>
      <c r="M3349">
        <v>14</v>
      </c>
      <c r="N3349" t="s">
        <v>46</v>
      </c>
      <c r="O3349" s="3">
        <v>44181</v>
      </c>
      <c r="P3349">
        <v>-1</v>
      </c>
      <c r="T3349" t="s">
        <v>41</v>
      </c>
      <c r="U3349">
        <v>10</v>
      </c>
      <c r="V3349">
        <v>19.978400000000001</v>
      </c>
    </row>
    <row r="3350" spans="1:22" x14ac:dyDescent="0.35">
      <c r="A3350" s="3">
        <v>44167</v>
      </c>
      <c r="B3350" t="s">
        <v>42</v>
      </c>
      <c r="C3350">
        <v>25.35</v>
      </c>
      <c r="D3350">
        <v>25.55</v>
      </c>
      <c r="E3350">
        <v>25.05</v>
      </c>
      <c r="F3350">
        <v>25.32</v>
      </c>
      <c r="G3350">
        <v>25.35</v>
      </c>
      <c r="H3350">
        <v>-0.1</v>
      </c>
      <c r="I3350">
        <v>1709</v>
      </c>
      <c r="J3350">
        <v>0</v>
      </c>
      <c r="K3350">
        <v>8460</v>
      </c>
      <c r="L3350">
        <v>96</v>
      </c>
      <c r="M3350">
        <v>140</v>
      </c>
      <c r="N3350" t="s">
        <v>42</v>
      </c>
      <c r="O3350" s="3">
        <v>44307</v>
      </c>
      <c r="P3350">
        <v>-1</v>
      </c>
      <c r="T3350" t="s">
        <v>40</v>
      </c>
      <c r="U3350">
        <v>29</v>
      </c>
      <c r="V3350">
        <v>21.675799999999999</v>
      </c>
    </row>
    <row r="3351" spans="1:22" x14ac:dyDescent="0.35">
      <c r="A3351" s="3">
        <v>44167</v>
      </c>
      <c r="B3351" t="s">
        <v>44</v>
      </c>
      <c r="C3351">
        <v>24.86</v>
      </c>
      <c r="D3351">
        <v>25.1</v>
      </c>
      <c r="E3351">
        <v>24.45</v>
      </c>
      <c r="F3351">
        <v>24.75</v>
      </c>
      <c r="G3351">
        <v>24.824999999999999</v>
      </c>
      <c r="H3351">
        <v>-0.15</v>
      </c>
      <c r="I3351">
        <v>10868</v>
      </c>
      <c r="J3351">
        <v>0</v>
      </c>
      <c r="K3351">
        <v>27567</v>
      </c>
      <c r="L3351">
        <v>51</v>
      </c>
      <c r="M3351">
        <v>77</v>
      </c>
      <c r="N3351" t="s">
        <v>44</v>
      </c>
      <c r="O3351" s="3">
        <v>44244</v>
      </c>
      <c r="P3351">
        <v>-1</v>
      </c>
      <c r="T3351" t="s">
        <v>39</v>
      </c>
      <c r="U3351">
        <v>53</v>
      </c>
      <c r="V3351">
        <v>23</v>
      </c>
    </row>
    <row r="3352" spans="1:22" x14ac:dyDescent="0.35">
      <c r="A3352" s="3">
        <v>44167</v>
      </c>
      <c r="B3352" t="s">
        <v>40</v>
      </c>
      <c r="C3352">
        <v>25.35</v>
      </c>
      <c r="D3352">
        <v>25.46</v>
      </c>
      <c r="E3352">
        <v>25.06</v>
      </c>
      <c r="F3352">
        <v>25.2</v>
      </c>
      <c r="G3352">
        <v>25.225000000000001</v>
      </c>
      <c r="H3352">
        <v>-0.1</v>
      </c>
      <c r="I3352">
        <v>646</v>
      </c>
      <c r="J3352">
        <v>0</v>
      </c>
      <c r="K3352">
        <v>2599</v>
      </c>
      <c r="L3352">
        <v>135</v>
      </c>
      <c r="M3352">
        <v>196</v>
      </c>
      <c r="N3352" t="s">
        <v>40</v>
      </c>
      <c r="O3352" s="3">
        <v>44363</v>
      </c>
      <c r="P3352">
        <v>-1</v>
      </c>
      <c r="T3352" t="s">
        <v>38</v>
      </c>
      <c r="U3352">
        <v>73</v>
      </c>
      <c r="V3352">
        <v>23.5</v>
      </c>
    </row>
    <row r="3353" spans="1:22" x14ac:dyDescent="0.35">
      <c r="A3353" s="3">
        <v>44167</v>
      </c>
      <c r="B3353" t="s">
        <v>39</v>
      </c>
      <c r="C3353">
        <v>25.55</v>
      </c>
      <c r="D3353">
        <v>25.55</v>
      </c>
      <c r="E3353">
        <v>25.3</v>
      </c>
      <c r="F3353">
        <v>25.5</v>
      </c>
      <c r="G3353">
        <v>25.625</v>
      </c>
      <c r="H3353">
        <v>0.25</v>
      </c>
      <c r="I3353">
        <v>26</v>
      </c>
      <c r="J3353">
        <v>0</v>
      </c>
      <c r="K3353">
        <v>186</v>
      </c>
      <c r="L3353">
        <v>159</v>
      </c>
      <c r="M3353">
        <v>231</v>
      </c>
      <c r="N3353" t="s">
        <v>39</v>
      </c>
      <c r="O3353" s="3">
        <v>44398</v>
      </c>
      <c r="P3353">
        <v>-1</v>
      </c>
      <c r="T3353" t="s">
        <v>37</v>
      </c>
      <c r="U3353">
        <v>92</v>
      </c>
      <c r="V3353">
        <v>24.099599999999999</v>
      </c>
    </row>
    <row r="3354" spans="1:22" x14ac:dyDescent="0.35">
      <c r="A3354" s="3">
        <v>44167</v>
      </c>
      <c r="B3354" t="s">
        <v>45</v>
      </c>
      <c r="C3354">
        <v>24.38</v>
      </c>
      <c r="D3354">
        <v>24.6</v>
      </c>
      <c r="E3354">
        <v>23.85</v>
      </c>
      <c r="F3354">
        <v>24.32</v>
      </c>
      <c r="G3354">
        <v>24.324999999999999</v>
      </c>
      <c r="H3354">
        <v>-0.1</v>
      </c>
      <c r="I3354">
        <v>52287</v>
      </c>
      <c r="J3354">
        <v>262</v>
      </c>
      <c r="K3354">
        <v>114827</v>
      </c>
      <c r="L3354">
        <v>32</v>
      </c>
      <c r="M3354">
        <v>49</v>
      </c>
      <c r="N3354" t="s">
        <v>45</v>
      </c>
      <c r="O3354" s="3">
        <v>44216</v>
      </c>
      <c r="P3354">
        <v>-1</v>
      </c>
      <c r="T3354" t="s">
        <v>36</v>
      </c>
      <c r="U3354">
        <v>117</v>
      </c>
      <c r="V3354">
        <v>24.3</v>
      </c>
    </row>
    <row r="3355" spans="1:22" x14ac:dyDescent="0.35">
      <c r="A3355" s="3">
        <v>44167</v>
      </c>
      <c r="B3355" t="s">
        <v>41</v>
      </c>
      <c r="C3355">
        <v>25.4</v>
      </c>
      <c r="D3355">
        <v>25.57</v>
      </c>
      <c r="E3355">
        <v>25.1</v>
      </c>
      <c r="F3355">
        <v>25.35</v>
      </c>
      <c r="G3355">
        <v>25.375</v>
      </c>
      <c r="H3355">
        <v>-0.1</v>
      </c>
      <c r="I3355">
        <v>962</v>
      </c>
      <c r="J3355">
        <v>0</v>
      </c>
      <c r="K3355">
        <v>6600</v>
      </c>
      <c r="L3355">
        <v>116</v>
      </c>
      <c r="M3355">
        <v>168</v>
      </c>
      <c r="N3355" t="s">
        <v>41</v>
      </c>
      <c r="O3355" s="3">
        <v>44335</v>
      </c>
      <c r="P3355">
        <v>-1</v>
      </c>
      <c r="T3355" t="s">
        <v>35</v>
      </c>
      <c r="U3355">
        <v>137</v>
      </c>
      <c r="V3355">
        <v>24.15</v>
      </c>
    </row>
    <row r="3356" spans="1:22" x14ac:dyDescent="0.35">
      <c r="A3356" s="3">
        <v>44166</v>
      </c>
      <c r="B3356" t="s">
        <v>40</v>
      </c>
      <c r="C3356">
        <v>25.25</v>
      </c>
      <c r="D3356">
        <v>25.35</v>
      </c>
      <c r="E3356">
        <v>25</v>
      </c>
      <c r="F3356">
        <v>25.3</v>
      </c>
      <c r="G3356">
        <v>25.324999999999999</v>
      </c>
      <c r="H3356">
        <v>2.5000000000000001E-2</v>
      </c>
      <c r="I3356">
        <v>791</v>
      </c>
      <c r="J3356">
        <v>0</v>
      </c>
      <c r="K3356">
        <v>2158</v>
      </c>
      <c r="L3356">
        <v>136</v>
      </c>
      <c r="M3356">
        <v>197</v>
      </c>
      <c r="N3356" t="s">
        <v>40</v>
      </c>
      <c r="O3356" s="3">
        <v>44363</v>
      </c>
      <c r="P3356">
        <v>-1</v>
      </c>
      <c r="T3356" t="s">
        <v>34</v>
      </c>
      <c r="U3356">
        <v>161</v>
      </c>
      <c r="V3356">
        <v>23.774999999999999</v>
      </c>
    </row>
    <row r="3357" spans="1:22" x14ac:dyDescent="0.35">
      <c r="A3357" s="3">
        <v>44166</v>
      </c>
      <c r="B3357" t="s">
        <v>39</v>
      </c>
      <c r="C3357">
        <v>26.25</v>
      </c>
      <c r="D3357">
        <v>26.25</v>
      </c>
      <c r="E3357">
        <v>25.27</v>
      </c>
      <c r="F3357">
        <v>25.4</v>
      </c>
      <c r="G3357">
        <v>25.375</v>
      </c>
      <c r="H3357">
        <v>-0.25</v>
      </c>
      <c r="I3357">
        <v>110</v>
      </c>
      <c r="J3357">
        <v>0</v>
      </c>
      <c r="K3357">
        <v>160</v>
      </c>
      <c r="L3357">
        <v>160</v>
      </c>
      <c r="M3357">
        <v>232</v>
      </c>
      <c r="N3357" t="s">
        <v>39</v>
      </c>
      <c r="O3357" s="3">
        <v>44398</v>
      </c>
      <c r="P3357">
        <v>-1</v>
      </c>
      <c r="S3357" s="3">
        <v>44322</v>
      </c>
      <c r="T3357" t="s">
        <v>33</v>
      </c>
      <c r="U3357">
        <v>178</v>
      </c>
      <c r="V3357">
        <v>24.475000000000001</v>
      </c>
    </row>
    <row r="3358" spans="1:22" x14ac:dyDescent="0.35">
      <c r="A3358" s="3">
        <v>44166</v>
      </c>
      <c r="B3358" t="s">
        <v>45</v>
      </c>
      <c r="C3358">
        <v>24.5</v>
      </c>
      <c r="D3358">
        <v>24.65</v>
      </c>
      <c r="E3358">
        <v>23.89</v>
      </c>
      <c r="F3358">
        <v>24.3</v>
      </c>
      <c r="G3358">
        <v>24.425000000000001</v>
      </c>
      <c r="H3358">
        <v>-0.15</v>
      </c>
      <c r="I3358">
        <v>70845</v>
      </c>
      <c r="J3358">
        <v>84</v>
      </c>
      <c r="K3358">
        <v>107787</v>
      </c>
      <c r="L3358">
        <v>33</v>
      </c>
      <c r="M3358">
        <v>50</v>
      </c>
      <c r="N3358" t="s">
        <v>45</v>
      </c>
      <c r="O3358" s="3">
        <v>44216</v>
      </c>
      <c r="P3358">
        <v>-1</v>
      </c>
      <c r="T3358" t="s">
        <v>41</v>
      </c>
      <c r="U3358">
        <v>9</v>
      </c>
      <c r="V3358">
        <v>19.6892</v>
      </c>
    </row>
    <row r="3359" spans="1:22" x14ac:dyDescent="0.35">
      <c r="A3359" s="3">
        <v>44166</v>
      </c>
      <c r="B3359" t="s">
        <v>41</v>
      </c>
      <c r="C3359">
        <v>25.32</v>
      </c>
      <c r="D3359">
        <v>25.47</v>
      </c>
      <c r="E3359">
        <v>25.03</v>
      </c>
      <c r="F3359">
        <v>25.4</v>
      </c>
      <c r="G3359">
        <v>25.475000000000001</v>
      </c>
      <c r="H3359">
        <v>0.1</v>
      </c>
      <c r="I3359">
        <v>1266</v>
      </c>
      <c r="J3359">
        <v>0</v>
      </c>
      <c r="K3359">
        <v>6450</v>
      </c>
      <c r="L3359">
        <v>117</v>
      </c>
      <c r="M3359">
        <v>169</v>
      </c>
      <c r="N3359" t="s">
        <v>41</v>
      </c>
      <c r="O3359" s="3">
        <v>44335</v>
      </c>
      <c r="P3359">
        <v>-1</v>
      </c>
      <c r="T3359" t="s">
        <v>40</v>
      </c>
      <c r="U3359">
        <v>28</v>
      </c>
      <c r="V3359">
        <v>21.622699999999998</v>
      </c>
    </row>
    <row r="3360" spans="1:22" x14ac:dyDescent="0.35">
      <c r="A3360" s="3">
        <v>44166</v>
      </c>
      <c r="B3360" t="s">
        <v>43</v>
      </c>
      <c r="C3360">
        <v>25.03</v>
      </c>
      <c r="D3360">
        <v>25.15</v>
      </c>
      <c r="E3360">
        <v>24.59</v>
      </c>
      <c r="F3360">
        <v>25</v>
      </c>
      <c r="G3360">
        <v>25.125</v>
      </c>
      <c r="H3360">
        <v>0.05</v>
      </c>
      <c r="I3360">
        <v>5559</v>
      </c>
      <c r="J3360">
        <v>0</v>
      </c>
      <c r="K3360">
        <v>15166</v>
      </c>
      <c r="L3360">
        <v>72</v>
      </c>
      <c r="M3360">
        <v>106</v>
      </c>
      <c r="N3360" t="s">
        <v>43</v>
      </c>
      <c r="O3360" s="3">
        <v>44272</v>
      </c>
      <c r="P3360">
        <v>-1</v>
      </c>
      <c r="T3360" t="s">
        <v>39</v>
      </c>
      <c r="U3360">
        <v>52</v>
      </c>
      <c r="V3360">
        <v>22.9619</v>
      </c>
    </row>
    <row r="3361" spans="1:22" x14ac:dyDescent="0.35">
      <c r="A3361" s="3">
        <v>44166</v>
      </c>
      <c r="B3361" t="s">
        <v>46</v>
      </c>
      <c r="C3361">
        <v>22.5</v>
      </c>
      <c r="D3361">
        <v>22.95</v>
      </c>
      <c r="E3361">
        <v>21.85</v>
      </c>
      <c r="F3361">
        <v>22.63</v>
      </c>
      <c r="G3361">
        <v>22.824999999999999</v>
      </c>
      <c r="H3361">
        <v>0.45</v>
      </c>
      <c r="I3361">
        <v>83533</v>
      </c>
      <c r="J3361">
        <v>116</v>
      </c>
      <c r="K3361">
        <v>117095</v>
      </c>
      <c r="L3361">
        <v>11</v>
      </c>
      <c r="M3361">
        <v>15</v>
      </c>
      <c r="N3361" t="s">
        <v>46</v>
      </c>
      <c r="O3361" s="3">
        <v>44181</v>
      </c>
      <c r="P3361">
        <v>-1</v>
      </c>
      <c r="T3361" t="s">
        <v>38</v>
      </c>
      <c r="U3361">
        <v>72</v>
      </c>
      <c r="V3361">
        <v>23.5</v>
      </c>
    </row>
    <row r="3362" spans="1:22" x14ac:dyDescent="0.35">
      <c r="A3362" s="3">
        <v>44166</v>
      </c>
      <c r="B3362" t="s">
        <v>42</v>
      </c>
      <c r="C3362">
        <v>25.25</v>
      </c>
      <c r="D3362">
        <v>25.45</v>
      </c>
      <c r="E3362">
        <v>24.95</v>
      </c>
      <c r="F3362">
        <v>25.3</v>
      </c>
      <c r="G3362">
        <v>25.45</v>
      </c>
      <c r="H3362">
        <v>0.17499999999999999</v>
      </c>
      <c r="I3362">
        <v>2575</v>
      </c>
      <c r="J3362">
        <v>0</v>
      </c>
      <c r="K3362">
        <v>8265</v>
      </c>
      <c r="L3362">
        <v>97</v>
      </c>
      <c r="M3362">
        <v>141</v>
      </c>
      <c r="N3362" t="s">
        <v>42</v>
      </c>
      <c r="O3362" s="3">
        <v>44307</v>
      </c>
      <c r="P3362">
        <v>-1</v>
      </c>
      <c r="T3362" t="s">
        <v>37</v>
      </c>
      <c r="U3362">
        <v>91</v>
      </c>
      <c r="V3362">
        <v>24.072700000000001</v>
      </c>
    </row>
    <row r="3363" spans="1:22" x14ac:dyDescent="0.35">
      <c r="A3363" s="3">
        <v>44166</v>
      </c>
      <c r="B3363" t="s">
        <v>44</v>
      </c>
      <c r="C3363">
        <v>25.02</v>
      </c>
      <c r="D3363">
        <v>25.06</v>
      </c>
      <c r="E3363">
        <v>24.42</v>
      </c>
      <c r="F3363">
        <v>24.86</v>
      </c>
      <c r="G3363">
        <v>24.975000000000001</v>
      </c>
      <c r="H3363">
        <v>-0.05</v>
      </c>
      <c r="I3363">
        <v>15572</v>
      </c>
      <c r="J3363">
        <v>0</v>
      </c>
      <c r="K3363">
        <v>23379</v>
      </c>
      <c r="L3363">
        <v>52</v>
      </c>
      <c r="M3363">
        <v>78</v>
      </c>
      <c r="N3363" t="s">
        <v>44</v>
      </c>
      <c r="O3363" s="3">
        <v>44244</v>
      </c>
      <c r="P3363">
        <v>-1</v>
      </c>
      <c r="T3363" t="s">
        <v>36</v>
      </c>
      <c r="U3363">
        <v>116</v>
      </c>
      <c r="V3363">
        <v>24.25</v>
      </c>
    </row>
    <row r="3364" spans="1:22" x14ac:dyDescent="0.35">
      <c r="A3364" s="3">
        <v>44165</v>
      </c>
      <c r="B3364" t="s">
        <v>43</v>
      </c>
      <c r="C3364">
        <v>25.19</v>
      </c>
      <c r="D3364">
        <v>26.03</v>
      </c>
      <c r="E3364">
        <v>24.95</v>
      </c>
      <c r="F3364">
        <v>25.05</v>
      </c>
      <c r="G3364">
        <v>25.074999999999999</v>
      </c>
      <c r="H3364">
        <v>-0.25</v>
      </c>
      <c r="I3364">
        <v>4176</v>
      </c>
      <c r="J3364">
        <v>0</v>
      </c>
      <c r="K3364">
        <v>14644</v>
      </c>
      <c r="L3364">
        <v>73</v>
      </c>
      <c r="M3364">
        <v>107</v>
      </c>
      <c r="N3364" t="s">
        <v>43</v>
      </c>
      <c r="O3364" s="3">
        <v>44272</v>
      </c>
      <c r="P3364">
        <v>-1</v>
      </c>
      <c r="T3364" t="s">
        <v>35</v>
      </c>
      <c r="U3364">
        <v>136</v>
      </c>
      <c r="V3364">
        <v>24.125</v>
      </c>
    </row>
    <row r="3365" spans="1:22" x14ac:dyDescent="0.35">
      <c r="A3365" s="3">
        <v>44165</v>
      </c>
      <c r="B3365" t="s">
        <v>46</v>
      </c>
      <c r="C3365">
        <v>22.5</v>
      </c>
      <c r="D3365">
        <v>23.8</v>
      </c>
      <c r="E3365">
        <v>22.35</v>
      </c>
      <c r="F3365">
        <v>22.5</v>
      </c>
      <c r="G3365">
        <v>22.375</v>
      </c>
      <c r="H3365">
        <v>-0.45</v>
      </c>
      <c r="I3365">
        <v>66184</v>
      </c>
      <c r="J3365">
        <v>0</v>
      </c>
      <c r="K3365">
        <v>124050</v>
      </c>
      <c r="L3365">
        <v>12</v>
      </c>
      <c r="M3365">
        <v>16</v>
      </c>
      <c r="N3365" t="s">
        <v>46</v>
      </c>
      <c r="O3365" s="3">
        <v>44181</v>
      </c>
      <c r="P3365">
        <v>-1</v>
      </c>
      <c r="T3365" t="s">
        <v>34</v>
      </c>
      <c r="U3365">
        <v>160</v>
      </c>
      <c r="V3365">
        <v>23.725000000000001</v>
      </c>
    </row>
    <row r="3366" spans="1:22" x14ac:dyDescent="0.35">
      <c r="A3366" s="3">
        <v>44165</v>
      </c>
      <c r="B3366" t="s">
        <v>42</v>
      </c>
      <c r="C3366">
        <v>25.3</v>
      </c>
      <c r="D3366">
        <v>26.1</v>
      </c>
      <c r="E3366">
        <v>25.2</v>
      </c>
      <c r="F3366">
        <v>25.28</v>
      </c>
      <c r="G3366">
        <v>25.274999999999999</v>
      </c>
      <c r="H3366">
        <v>-0.125</v>
      </c>
      <c r="I3366">
        <v>4221</v>
      </c>
      <c r="J3366">
        <v>0</v>
      </c>
      <c r="K3366">
        <v>7918</v>
      </c>
      <c r="L3366">
        <v>98</v>
      </c>
      <c r="M3366">
        <v>142</v>
      </c>
      <c r="N3366" t="s">
        <v>42</v>
      </c>
      <c r="O3366" s="3">
        <v>44307</v>
      </c>
      <c r="P3366">
        <v>-1</v>
      </c>
      <c r="S3366" s="3">
        <v>44323</v>
      </c>
      <c r="T3366" t="s">
        <v>33</v>
      </c>
      <c r="U3366">
        <v>177</v>
      </c>
      <c r="V3366">
        <v>24.225000000000001</v>
      </c>
    </row>
    <row r="3367" spans="1:22" x14ac:dyDescent="0.35">
      <c r="A3367" s="3">
        <v>44165</v>
      </c>
      <c r="B3367" t="s">
        <v>44</v>
      </c>
      <c r="C3367">
        <v>25.23</v>
      </c>
      <c r="D3367">
        <v>26.12</v>
      </c>
      <c r="E3367">
        <v>24.93</v>
      </c>
      <c r="F3367">
        <v>25.02</v>
      </c>
      <c r="G3367">
        <v>25.024999999999999</v>
      </c>
      <c r="H3367">
        <v>-0.35</v>
      </c>
      <c r="I3367">
        <v>9765</v>
      </c>
      <c r="J3367">
        <v>0</v>
      </c>
      <c r="K3367">
        <v>20613</v>
      </c>
      <c r="L3367">
        <v>53</v>
      </c>
      <c r="M3367">
        <v>79</v>
      </c>
      <c r="N3367" t="s">
        <v>44</v>
      </c>
      <c r="O3367" s="3">
        <v>44244</v>
      </c>
      <c r="P3367">
        <v>-1</v>
      </c>
      <c r="T3367" t="s">
        <v>41</v>
      </c>
      <c r="U3367">
        <v>8</v>
      </c>
      <c r="V3367">
        <v>18.291699999999999</v>
      </c>
    </row>
    <row r="3368" spans="1:22" x14ac:dyDescent="0.35">
      <c r="A3368" s="3">
        <v>44165</v>
      </c>
      <c r="B3368" t="s">
        <v>40</v>
      </c>
      <c r="C3368">
        <v>25.35</v>
      </c>
      <c r="D3368">
        <v>26</v>
      </c>
      <c r="E3368">
        <v>25.2</v>
      </c>
      <c r="F3368">
        <v>25.24</v>
      </c>
      <c r="G3368">
        <v>25.3</v>
      </c>
      <c r="H3368">
        <v>-0.17499999999999999</v>
      </c>
      <c r="I3368">
        <v>680</v>
      </c>
      <c r="J3368">
        <v>0</v>
      </c>
      <c r="K3368">
        <v>1763</v>
      </c>
      <c r="L3368">
        <v>137</v>
      </c>
      <c r="M3368">
        <v>198</v>
      </c>
      <c r="N3368" t="s">
        <v>40</v>
      </c>
      <c r="O3368" s="3">
        <v>44363</v>
      </c>
      <c r="P3368">
        <v>-1</v>
      </c>
      <c r="T3368" t="s">
        <v>40</v>
      </c>
      <c r="U3368">
        <v>27</v>
      </c>
      <c r="V3368">
        <v>20.542400000000001</v>
      </c>
    </row>
    <row r="3369" spans="1:22" x14ac:dyDescent="0.35">
      <c r="A3369" s="3">
        <v>44165</v>
      </c>
      <c r="B3369" t="s">
        <v>39</v>
      </c>
      <c r="C3369">
        <v>25.75</v>
      </c>
      <c r="D3369">
        <v>25.8</v>
      </c>
      <c r="E3369">
        <v>25.75</v>
      </c>
      <c r="F3369">
        <v>25.79</v>
      </c>
      <c r="G3369">
        <v>25.625</v>
      </c>
      <c r="H3369">
        <v>0.125</v>
      </c>
      <c r="I3369">
        <v>5</v>
      </c>
      <c r="J3369">
        <v>0</v>
      </c>
      <c r="K3369">
        <v>95</v>
      </c>
      <c r="L3369">
        <v>161</v>
      </c>
      <c r="M3369">
        <v>233</v>
      </c>
      <c r="N3369" t="s">
        <v>39</v>
      </c>
      <c r="O3369" s="3">
        <v>44398</v>
      </c>
      <c r="P3369">
        <v>-1</v>
      </c>
      <c r="T3369" t="s">
        <v>39</v>
      </c>
      <c r="U3369">
        <v>51</v>
      </c>
      <c r="V3369">
        <v>22.207999999999998</v>
      </c>
    </row>
    <row r="3370" spans="1:22" x14ac:dyDescent="0.35">
      <c r="A3370" s="3">
        <v>44165</v>
      </c>
      <c r="B3370" t="s">
        <v>45</v>
      </c>
      <c r="C3370">
        <v>24.8</v>
      </c>
      <c r="D3370">
        <v>25.76</v>
      </c>
      <c r="E3370">
        <v>24.45</v>
      </c>
      <c r="F3370">
        <v>24.58</v>
      </c>
      <c r="G3370">
        <v>24.574999999999999</v>
      </c>
      <c r="H3370">
        <v>-0.45</v>
      </c>
      <c r="I3370">
        <v>57348</v>
      </c>
      <c r="J3370">
        <v>0</v>
      </c>
      <c r="K3370">
        <v>93849</v>
      </c>
      <c r="L3370">
        <v>34</v>
      </c>
      <c r="M3370">
        <v>51</v>
      </c>
      <c r="N3370" t="s">
        <v>45</v>
      </c>
      <c r="O3370" s="3">
        <v>44216</v>
      </c>
      <c r="P3370">
        <v>-1</v>
      </c>
      <c r="T3370" t="s">
        <v>38</v>
      </c>
      <c r="U3370">
        <v>71</v>
      </c>
      <c r="V3370">
        <v>22.900500000000001</v>
      </c>
    </row>
    <row r="3371" spans="1:22" x14ac:dyDescent="0.35">
      <c r="A3371" s="3">
        <v>44165</v>
      </c>
      <c r="B3371" t="s">
        <v>41</v>
      </c>
      <c r="C3371">
        <v>25.5</v>
      </c>
      <c r="D3371">
        <v>26.16</v>
      </c>
      <c r="E3371">
        <v>25.25</v>
      </c>
      <c r="F3371">
        <v>25.37</v>
      </c>
      <c r="G3371">
        <v>25.375</v>
      </c>
      <c r="H3371">
        <v>-0.125</v>
      </c>
      <c r="I3371">
        <v>1652</v>
      </c>
      <c r="J3371">
        <v>0</v>
      </c>
      <c r="K3371">
        <v>6516</v>
      </c>
      <c r="L3371">
        <v>118</v>
      </c>
      <c r="M3371">
        <v>170</v>
      </c>
      <c r="N3371" t="s">
        <v>41</v>
      </c>
      <c r="O3371" s="3">
        <v>44335</v>
      </c>
      <c r="P3371">
        <v>-1</v>
      </c>
      <c r="T3371" t="s">
        <v>37</v>
      </c>
      <c r="U3371">
        <v>90</v>
      </c>
      <c r="V3371">
        <v>23.6</v>
      </c>
    </row>
    <row r="3372" spans="1:22" x14ac:dyDescent="0.35">
      <c r="A3372" s="3">
        <v>44162</v>
      </c>
      <c r="B3372" t="s">
        <v>40</v>
      </c>
      <c r="C3372">
        <v>25.4</v>
      </c>
      <c r="D3372">
        <v>25.4</v>
      </c>
      <c r="E3372">
        <v>25.4</v>
      </c>
      <c r="F3372">
        <v>25.4</v>
      </c>
      <c r="G3372">
        <v>25.475000000000001</v>
      </c>
      <c r="H3372">
        <v>0.05</v>
      </c>
      <c r="I3372">
        <v>5</v>
      </c>
      <c r="J3372">
        <v>0</v>
      </c>
      <c r="K3372">
        <v>0</v>
      </c>
      <c r="L3372">
        <v>138</v>
      </c>
      <c r="M3372">
        <v>201</v>
      </c>
      <c r="N3372" t="s">
        <v>40</v>
      </c>
      <c r="O3372" s="3">
        <v>44363</v>
      </c>
      <c r="P3372">
        <v>-1</v>
      </c>
      <c r="T3372" t="s">
        <v>36</v>
      </c>
      <c r="U3372">
        <v>115</v>
      </c>
      <c r="V3372">
        <v>23.851099999999999</v>
      </c>
    </row>
    <row r="3373" spans="1:22" x14ac:dyDescent="0.35">
      <c r="A3373" s="3">
        <v>44162</v>
      </c>
      <c r="B3373" t="s">
        <v>39</v>
      </c>
      <c r="C3373">
        <v>25.56</v>
      </c>
      <c r="D3373">
        <v>25.56</v>
      </c>
      <c r="E3373">
        <v>25.56</v>
      </c>
      <c r="F3373">
        <v>25.56</v>
      </c>
      <c r="G3373">
        <v>25.5</v>
      </c>
      <c r="H3373">
        <v>-0.15</v>
      </c>
      <c r="I3373">
        <v>1</v>
      </c>
      <c r="J3373">
        <v>0</v>
      </c>
      <c r="K3373">
        <v>91</v>
      </c>
      <c r="L3373">
        <v>162</v>
      </c>
      <c r="M3373">
        <v>236</v>
      </c>
      <c r="N3373" t="s">
        <v>39</v>
      </c>
      <c r="O3373" s="3">
        <v>44398</v>
      </c>
      <c r="P3373">
        <v>-1</v>
      </c>
      <c r="T3373" t="s">
        <v>35</v>
      </c>
      <c r="U3373">
        <v>135</v>
      </c>
      <c r="V3373">
        <v>23.725000000000001</v>
      </c>
    </row>
    <row r="3374" spans="1:22" x14ac:dyDescent="0.35">
      <c r="A3374" s="3">
        <v>44162</v>
      </c>
      <c r="B3374" t="s">
        <v>45</v>
      </c>
      <c r="C3374">
        <v>24.85</v>
      </c>
      <c r="D3374">
        <v>25</v>
      </c>
      <c r="E3374">
        <v>24.9</v>
      </c>
      <c r="F3374">
        <v>24.8</v>
      </c>
      <c r="G3374">
        <v>25.024999999999999</v>
      </c>
      <c r="H3374">
        <v>0.2</v>
      </c>
      <c r="I3374">
        <v>1143</v>
      </c>
      <c r="J3374">
        <v>0</v>
      </c>
      <c r="K3374">
        <v>0</v>
      </c>
      <c r="L3374">
        <v>35</v>
      </c>
      <c r="M3374">
        <v>54</v>
      </c>
      <c r="N3374" t="s">
        <v>45</v>
      </c>
      <c r="O3374" s="3">
        <v>44216</v>
      </c>
      <c r="P3374">
        <v>-1</v>
      </c>
      <c r="T3374" t="s">
        <v>34</v>
      </c>
      <c r="U3374">
        <v>159</v>
      </c>
      <c r="V3374">
        <v>23.35</v>
      </c>
    </row>
    <row r="3375" spans="1:22" x14ac:dyDescent="0.35">
      <c r="A3375" s="3">
        <v>44162</v>
      </c>
      <c r="B3375" t="s">
        <v>41</v>
      </c>
      <c r="C3375">
        <v>25.34</v>
      </c>
      <c r="D3375">
        <v>25.4</v>
      </c>
      <c r="E3375">
        <v>25.35</v>
      </c>
      <c r="F3375">
        <v>25.4</v>
      </c>
      <c r="G3375">
        <v>25.5</v>
      </c>
      <c r="H3375">
        <v>7.4999999999999997E-2</v>
      </c>
      <c r="I3375">
        <v>23</v>
      </c>
      <c r="J3375">
        <v>0</v>
      </c>
      <c r="K3375">
        <v>0</v>
      </c>
      <c r="L3375">
        <v>119</v>
      </c>
      <c r="M3375">
        <v>173</v>
      </c>
      <c r="N3375" t="s">
        <v>41</v>
      </c>
      <c r="O3375" s="3">
        <v>44335</v>
      </c>
      <c r="P3375">
        <v>-1</v>
      </c>
      <c r="S3375" s="3">
        <v>44326</v>
      </c>
      <c r="T3375" t="s">
        <v>33</v>
      </c>
      <c r="U3375">
        <v>176</v>
      </c>
      <c r="V3375">
        <v>24.375</v>
      </c>
    </row>
    <row r="3376" spans="1:22" x14ac:dyDescent="0.35">
      <c r="A3376" s="3">
        <v>44162</v>
      </c>
      <c r="B3376" t="s">
        <v>43</v>
      </c>
      <c r="C3376">
        <v>25.25</v>
      </c>
      <c r="D3376">
        <v>25.35</v>
      </c>
      <c r="E3376">
        <v>25.2</v>
      </c>
      <c r="F3376">
        <v>25.28</v>
      </c>
      <c r="G3376">
        <v>25.324999999999999</v>
      </c>
      <c r="H3376">
        <v>0.05</v>
      </c>
      <c r="I3376">
        <v>262</v>
      </c>
      <c r="J3376">
        <v>0</v>
      </c>
      <c r="K3376">
        <v>0</v>
      </c>
      <c r="L3376">
        <v>74</v>
      </c>
      <c r="M3376">
        <v>110</v>
      </c>
      <c r="N3376" t="s">
        <v>43</v>
      </c>
      <c r="O3376" s="3">
        <v>44272</v>
      </c>
      <c r="P3376">
        <v>-1</v>
      </c>
      <c r="T3376" t="s">
        <v>41</v>
      </c>
      <c r="U3376">
        <v>7</v>
      </c>
      <c r="V3376">
        <v>19.4819</v>
      </c>
    </row>
    <row r="3377" spans="1:22" x14ac:dyDescent="0.35">
      <c r="A3377" s="3">
        <v>44162</v>
      </c>
      <c r="B3377" t="s">
        <v>46</v>
      </c>
      <c r="C3377">
        <v>22.7</v>
      </c>
      <c r="D3377">
        <v>22.9</v>
      </c>
      <c r="E3377">
        <v>22.7</v>
      </c>
      <c r="F3377">
        <v>22.85</v>
      </c>
      <c r="G3377">
        <v>22.824999999999999</v>
      </c>
      <c r="H3377">
        <v>0.2</v>
      </c>
      <c r="I3377">
        <v>2067</v>
      </c>
      <c r="J3377">
        <v>0</v>
      </c>
      <c r="K3377">
        <v>0</v>
      </c>
      <c r="L3377">
        <v>13</v>
      </c>
      <c r="M3377">
        <v>19</v>
      </c>
      <c r="N3377" t="s">
        <v>46</v>
      </c>
      <c r="O3377" s="3">
        <v>44181</v>
      </c>
      <c r="P3377">
        <v>-1</v>
      </c>
      <c r="T3377" t="s">
        <v>40</v>
      </c>
      <c r="U3377">
        <v>26</v>
      </c>
      <c r="V3377">
        <v>21.348700000000001</v>
      </c>
    </row>
    <row r="3378" spans="1:22" x14ac:dyDescent="0.35">
      <c r="A3378" s="3">
        <v>44162</v>
      </c>
      <c r="B3378" t="s">
        <v>42</v>
      </c>
      <c r="C3378">
        <v>25.2</v>
      </c>
      <c r="D3378">
        <v>25.3</v>
      </c>
      <c r="E3378">
        <v>25.2</v>
      </c>
      <c r="F3378">
        <v>25.25</v>
      </c>
      <c r="G3378">
        <v>25.4</v>
      </c>
      <c r="H3378">
        <v>0.125</v>
      </c>
      <c r="I3378">
        <v>62</v>
      </c>
      <c r="J3378">
        <v>0</v>
      </c>
      <c r="K3378">
        <v>0</v>
      </c>
      <c r="L3378">
        <v>99</v>
      </c>
      <c r="M3378">
        <v>145</v>
      </c>
      <c r="N3378" t="s">
        <v>42</v>
      </c>
      <c r="O3378" s="3">
        <v>44307</v>
      </c>
      <c r="P3378">
        <v>-1</v>
      </c>
      <c r="T3378" t="s">
        <v>39</v>
      </c>
      <c r="U3378">
        <v>50</v>
      </c>
      <c r="V3378">
        <v>22.7989</v>
      </c>
    </row>
    <row r="3379" spans="1:22" x14ac:dyDescent="0.35">
      <c r="A3379" s="3">
        <v>44162</v>
      </c>
      <c r="B3379" t="s">
        <v>44</v>
      </c>
      <c r="C3379">
        <v>25.37</v>
      </c>
      <c r="D3379">
        <v>25.45</v>
      </c>
      <c r="E3379">
        <v>25.3</v>
      </c>
      <c r="F3379">
        <v>25.32</v>
      </c>
      <c r="G3379">
        <v>25.375</v>
      </c>
      <c r="H3379">
        <v>0.05</v>
      </c>
      <c r="I3379">
        <v>505</v>
      </c>
      <c r="J3379">
        <v>0</v>
      </c>
      <c r="K3379">
        <v>0</v>
      </c>
      <c r="L3379">
        <v>54</v>
      </c>
      <c r="M3379">
        <v>82</v>
      </c>
      <c r="N3379" t="s">
        <v>44</v>
      </c>
      <c r="O3379" s="3">
        <v>44244</v>
      </c>
      <c r="P3379">
        <v>-1</v>
      </c>
      <c r="T3379" t="s">
        <v>38</v>
      </c>
      <c r="U3379">
        <v>70</v>
      </c>
      <c r="V3379">
        <v>23.392199999999999</v>
      </c>
    </row>
    <row r="3380" spans="1:22" x14ac:dyDescent="0.35">
      <c r="A3380" s="3">
        <v>44160</v>
      </c>
      <c r="B3380" t="s">
        <v>43</v>
      </c>
      <c r="C3380">
        <v>25.55</v>
      </c>
      <c r="D3380">
        <v>25.9</v>
      </c>
      <c r="E3380">
        <v>25.2</v>
      </c>
      <c r="F3380">
        <v>25.28</v>
      </c>
      <c r="G3380">
        <v>25.274999999999999</v>
      </c>
      <c r="H3380">
        <v>-0.42499999999999999</v>
      </c>
      <c r="I3380">
        <v>3204</v>
      </c>
      <c r="J3380">
        <v>0</v>
      </c>
      <c r="K3380">
        <v>15012</v>
      </c>
      <c r="L3380">
        <v>75</v>
      </c>
      <c r="M3380">
        <v>112</v>
      </c>
      <c r="N3380" t="s">
        <v>43</v>
      </c>
      <c r="O3380" s="3">
        <v>44272</v>
      </c>
      <c r="P3380">
        <v>-1</v>
      </c>
      <c r="T3380" t="s">
        <v>37</v>
      </c>
      <c r="U3380">
        <v>89</v>
      </c>
      <c r="V3380">
        <v>24.000599999999999</v>
      </c>
    </row>
    <row r="3381" spans="1:22" x14ac:dyDescent="0.35">
      <c r="A3381" s="3">
        <v>44160</v>
      </c>
      <c r="B3381" t="s">
        <v>46</v>
      </c>
      <c r="C3381">
        <v>23.6</v>
      </c>
      <c r="D3381">
        <v>23.95</v>
      </c>
      <c r="E3381">
        <v>22.6</v>
      </c>
      <c r="F3381">
        <v>22.8</v>
      </c>
      <c r="G3381">
        <v>22.625</v>
      </c>
      <c r="H3381">
        <v>-0.97499999999999998</v>
      </c>
      <c r="I3381">
        <v>67614</v>
      </c>
      <c r="J3381">
        <v>14</v>
      </c>
      <c r="K3381">
        <v>139039</v>
      </c>
      <c r="L3381">
        <v>14</v>
      </c>
      <c r="M3381">
        <v>21</v>
      </c>
      <c r="N3381" t="s">
        <v>46</v>
      </c>
      <c r="O3381" s="3">
        <v>44181</v>
      </c>
      <c r="P3381">
        <v>-1</v>
      </c>
      <c r="T3381" t="s">
        <v>36</v>
      </c>
      <c r="U3381">
        <v>114</v>
      </c>
      <c r="V3381">
        <v>24.246700000000001</v>
      </c>
    </row>
    <row r="3382" spans="1:22" x14ac:dyDescent="0.35">
      <c r="A3382" s="3">
        <v>44160</v>
      </c>
      <c r="B3382" t="s">
        <v>42</v>
      </c>
      <c r="C3382">
        <v>25.6</v>
      </c>
      <c r="D3382">
        <v>25.87</v>
      </c>
      <c r="E3382">
        <v>25.24</v>
      </c>
      <c r="F3382">
        <v>25.27</v>
      </c>
      <c r="G3382">
        <v>25.274999999999999</v>
      </c>
      <c r="H3382">
        <v>-0.45</v>
      </c>
      <c r="I3382">
        <v>2830</v>
      </c>
      <c r="J3382">
        <v>0</v>
      </c>
      <c r="K3382">
        <v>8278</v>
      </c>
      <c r="L3382">
        <v>100</v>
      </c>
      <c r="M3382">
        <v>147</v>
      </c>
      <c r="N3382" t="s">
        <v>42</v>
      </c>
      <c r="O3382" s="3">
        <v>44307</v>
      </c>
      <c r="P3382">
        <v>-1</v>
      </c>
      <c r="T3382" t="s">
        <v>35</v>
      </c>
      <c r="U3382">
        <v>134</v>
      </c>
      <c r="V3382">
        <v>24.1</v>
      </c>
    </row>
    <row r="3383" spans="1:22" x14ac:dyDescent="0.35">
      <c r="A3383" s="3">
        <v>44160</v>
      </c>
      <c r="B3383" t="s">
        <v>44</v>
      </c>
      <c r="C3383">
        <v>25.63</v>
      </c>
      <c r="D3383">
        <v>26.05</v>
      </c>
      <c r="E3383">
        <v>25.3</v>
      </c>
      <c r="F3383">
        <v>25.35</v>
      </c>
      <c r="G3383">
        <v>25.324999999999999</v>
      </c>
      <c r="H3383">
        <v>-0.5</v>
      </c>
      <c r="I3383">
        <v>5362</v>
      </c>
      <c r="J3383">
        <v>0</v>
      </c>
      <c r="K3383">
        <v>19117</v>
      </c>
      <c r="L3383">
        <v>55</v>
      </c>
      <c r="M3383">
        <v>84</v>
      </c>
      <c r="N3383" t="s">
        <v>44</v>
      </c>
      <c r="O3383" s="3">
        <v>44244</v>
      </c>
      <c r="P3383">
        <v>-1</v>
      </c>
      <c r="T3383" t="s">
        <v>34</v>
      </c>
      <c r="U3383">
        <v>158</v>
      </c>
      <c r="V3383">
        <v>23.65</v>
      </c>
    </row>
    <row r="3384" spans="1:22" x14ac:dyDescent="0.35">
      <c r="A3384" s="3">
        <v>44160</v>
      </c>
      <c r="B3384" t="s">
        <v>40</v>
      </c>
      <c r="C3384">
        <v>25.69</v>
      </c>
      <c r="D3384">
        <v>25.86</v>
      </c>
      <c r="E3384">
        <v>25.4</v>
      </c>
      <c r="F3384">
        <v>25.45</v>
      </c>
      <c r="G3384">
        <v>25.425000000000001</v>
      </c>
      <c r="H3384">
        <v>-0.45</v>
      </c>
      <c r="I3384">
        <v>515</v>
      </c>
      <c r="J3384">
        <v>0</v>
      </c>
      <c r="K3384">
        <v>1403</v>
      </c>
      <c r="L3384">
        <v>139</v>
      </c>
      <c r="M3384">
        <v>203</v>
      </c>
      <c r="N3384" t="s">
        <v>40</v>
      </c>
      <c r="O3384" s="3">
        <v>44363</v>
      </c>
      <c r="P3384">
        <v>-1</v>
      </c>
      <c r="S3384" s="3">
        <v>44327</v>
      </c>
      <c r="T3384" t="s">
        <v>33</v>
      </c>
      <c r="U3384">
        <v>175</v>
      </c>
      <c r="V3384">
        <v>24.975000000000001</v>
      </c>
    </row>
    <row r="3385" spans="1:22" x14ac:dyDescent="0.35">
      <c r="A3385" s="3">
        <v>44160</v>
      </c>
      <c r="B3385" t="s">
        <v>45</v>
      </c>
      <c r="C3385">
        <v>25.44</v>
      </c>
      <c r="D3385">
        <v>25.9</v>
      </c>
      <c r="E3385">
        <v>24.81</v>
      </c>
      <c r="F3385">
        <v>24.87</v>
      </c>
      <c r="G3385">
        <v>24.824999999999999</v>
      </c>
      <c r="H3385">
        <v>-0.8</v>
      </c>
      <c r="I3385">
        <v>41486</v>
      </c>
      <c r="J3385">
        <v>0</v>
      </c>
      <c r="K3385">
        <v>78398</v>
      </c>
      <c r="L3385">
        <v>36</v>
      </c>
      <c r="M3385">
        <v>56</v>
      </c>
      <c r="N3385" t="s">
        <v>45</v>
      </c>
      <c r="O3385" s="3">
        <v>44216</v>
      </c>
      <c r="P3385">
        <v>-1</v>
      </c>
      <c r="T3385" t="s">
        <v>41</v>
      </c>
      <c r="U3385">
        <v>6</v>
      </c>
      <c r="V3385">
        <v>21.238800000000001</v>
      </c>
    </row>
    <row r="3386" spans="1:22" x14ac:dyDescent="0.35">
      <c r="A3386" s="3">
        <v>44160</v>
      </c>
      <c r="B3386" t="s">
        <v>41</v>
      </c>
      <c r="C3386">
        <v>25.69</v>
      </c>
      <c r="D3386">
        <v>26</v>
      </c>
      <c r="E3386">
        <v>25.35</v>
      </c>
      <c r="F3386">
        <v>25.45</v>
      </c>
      <c r="G3386">
        <v>25.425000000000001</v>
      </c>
      <c r="H3386">
        <v>-0.45</v>
      </c>
      <c r="I3386">
        <v>1092</v>
      </c>
      <c r="J3386">
        <v>0</v>
      </c>
      <c r="K3386">
        <v>6293</v>
      </c>
      <c r="L3386">
        <v>120</v>
      </c>
      <c r="M3386">
        <v>175</v>
      </c>
      <c r="N3386" t="s">
        <v>41</v>
      </c>
      <c r="O3386" s="3">
        <v>44335</v>
      </c>
      <c r="P3386">
        <v>-1</v>
      </c>
      <c r="T3386" t="s">
        <v>40</v>
      </c>
      <c r="U3386">
        <v>25</v>
      </c>
      <c r="V3386">
        <v>22.848700000000001</v>
      </c>
    </row>
    <row r="3387" spans="1:22" x14ac:dyDescent="0.35">
      <c r="A3387" s="3">
        <v>44159</v>
      </c>
      <c r="B3387" t="s">
        <v>40</v>
      </c>
      <c r="C3387">
        <v>25.8</v>
      </c>
      <c r="D3387">
        <v>25.87</v>
      </c>
      <c r="E3387">
        <v>25.55</v>
      </c>
      <c r="F3387">
        <v>25.7</v>
      </c>
      <c r="G3387">
        <v>25.875</v>
      </c>
      <c r="H3387">
        <v>2.5000000000000001E-2</v>
      </c>
      <c r="I3387">
        <v>682</v>
      </c>
      <c r="J3387">
        <v>0</v>
      </c>
      <c r="K3387">
        <v>1555</v>
      </c>
      <c r="L3387">
        <v>140</v>
      </c>
      <c r="M3387">
        <v>204</v>
      </c>
      <c r="N3387" t="s">
        <v>40</v>
      </c>
      <c r="O3387" s="3">
        <v>44363</v>
      </c>
      <c r="P3387">
        <v>-1</v>
      </c>
      <c r="T3387" t="s">
        <v>39</v>
      </c>
      <c r="U3387">
        <v>49</v>
      </c>
      <c r="V3387">
        <v>23.974399999999999</v>
      </c>
    </row>
    <row r="3388" spans="1:22" x14ac:dyDescent="0.35">
      <c r="A3388" s="3">
        <v>44159</v>
      </c>
      <c r="B3388" t="s">
        <v>45</v>
      </c>
      <c r="C3388">
        <v>25.65</v>
      </c>
      <c r="D3388">
        <v>25.72</v>
      </c>
      <c r="E3388">
        <v>25.2</v>
      </c>
      <c r="F3388">
        <v>25.4</v>
      </c>
      <c r="G3388">
        <v>25.625</v>
      </c>
      <c r="H3388">
        <v>-0.1</v>
      </c>
      <c r="I3388">
        <v>44357</v>
      </c>
      <c r="J3388">
        <v>105</v>
      </c>
      <c r="K3388">
        <v>71983</v>
      </c>
      <c r="L3388">
        <v>37</v>
      </c>
      <c r="M3388">
        <v>57</v>
      </c>
      <c r="N3388" t="s">
        <v>45</v>
      </c>
      <c r="O3388" s="3">
        <v>44216</v>
      </c>
      <c r="P3388">
        <v>-1</v>
      </c>
      <c r="T3388" t="s">
        <v>38</v>
      </c>
      <c r="U3388">
        <v>69</v>
      </c>
      <c r="V3388">
        <v>24.35</v>
      </c>
    </row>
    <row r="3389" spans="1:22" x14ac:dyDescent="0.35">
      <c r="A3389" s="3">
        <v>44159</v>
      </c>
      <c r="B3389" t="s">
        <v>41</v>
      </c>
      <c r="C3389">
        <v>25.85</v>
      </c>
      <c r="D3389">
        <v>25.92</v>
      </c>
      <c r="E3389">
        <v>25.58</v>
      </c>
      <c r="F3389">
        <v>25.7</v>
      </c>
      <c r="G3389">
        <v>25.875</v>
      </c>
      <c r="H3389">
        <v>0</v>
      </c>
      <c r="I3389">
        <v>2042</v>
      </c>
      <c r="J3389">
        <v>0</v>
      </c>
      <c r="K3389">
        <v>6219</v>
      </c>
      <c r="L3389">
        <v>121</v>
      </c>
      <c r="M3389">
        <v>176</v>
      </c>
      <c r="N3389" t="s">
        <v>41</v>
      </c>
      <c r="O3389" s="3">
        <v>44335</v>
      </c>
      <c r="P3389">
        <v>-1</v>
      </c>
      <c r="T3389" t="s">
        <v>37</v>
      </c>
      <c r="U3389">
        <v>88</v>
      </c>
      <c r="V3389">
        <v>24.9</v>
      </c>
    </row>
    <row r="3390" spans="1:22" x14ac:dyDescent="0.35">
      <c r="A3390" s="3">
        <v>44159</v>
      </c>
      <c r="B3390" t="s">
        <v>39</v>
      </c>
      <c r="C3390">
        <v>25.85</v>
      </c>
      <c r="D3390">
        <v>25.85</v>
      </c>
      <c r="E3390">
        <v>25.85</v>
      </c>
      <c r="F3390">
        <v>25.85</v>
      </c>
      <c r="G3390">
        <v>25.95</v>
      </c>
      <c r="H3390">
        <v>-0.05</v>
      </c>
      <c r="I3390">
        <v>1</v>
      </c>
      <c r="J3390">
        <v>0</v>
      </c>
      <c r="K3390">
        <v>91</v>
      </c>
      <c r="L3390">
        <v>164</v>
      </c>
      <c r="M3390">
        <v>239</v>
      </c>
      <c r="N3390" t="s">
        <v>39</v>
      </c>
      <c r="O3390" s="3">
        <v>44398</v>
      </c>
      <c r="P3390">
        <v>-1</v>
      </c>
      <c r="T3390" t="s">
        <v>36</v>
      </c>
      <c r="U3390">
        <v>113</v>
      </c>
      <c r="V3390">
        <v>24.9984</v>
      </c>
    </row>
    <row r="3391" spans="1:22" x14ac:dyDescent="0.35">
      <c r="A3391" s="3">
        <v>44159</v>
      </c>
      <c r="B3391" t="s">
        <v>43</v>
      </c>
      <c r="C3391">
        <v>25.8</v>
      </c>
      <c r="D3391">
        <v>25.8</v>
      </c>
      <c r="E3391">
        <v>25.47</v>
      </c>
      <c r="F3391">
        <v>25.55</v>
      </c>
      <c r="G3391">
        <v>25.7</v>
      </c>
      <c r="H3391">
        <v>-2.5000000000000001E-2</v>
      </c>
      <c r="I3391">
        <v>3459</v>
      </c>
      <c r="J3391">
        <v>0</v>
      </c>
      <c r="K3391">
        <v>14515</v>
      </c>
      <c r="L3391">
        <v>76</v>
      </c>
      <c r="M3391">
        <v>113</v>
      </c>
      <c r="N3391" t="s">
        <v>43</v>
      </c>
      <c r="O3391" s="3">
        <v>44272</v>
      </c>
      <c r="P3391">
        <v>-1</v>
      </c>
      <c r="T3391" t="s">
        <v>35</v>
      </c>
      <c r="U3391">
        <v>133</v>
      </c>
      <c r="V3391">
        <v>24.8</v>
      </c>
    </row>
    <row r="3392" spans="1:22" x14ac:dyDescent="0.35">
      <c r="A3392" s="3">
        <v>44159</v>
      </c>
      <c r="B3392" t="s">
        <v>46</v>
      </c>
      <c r="C3392">
        <v>24.1</v>
      </c>
      <c r="D3392">
        <v>24.1</v>
      </c>
      <c r="E3392">
        <v>23.45</v>
      </c>
      <c r="F3392">
        <v>23.6</v>
      </c>
      <c r="G3392">
        <v>23.6</v>
      </c>
      <c r="H3392">
        <v>-0.5</v>
      </c>
      <c r="I3392">
        <v>58507</v>
      </c>
      <c r="J3392">
        <v>394</v>
      </c>
      <c r="K3392">
        <v>144624</v>
      </c>
      <c r="L3392">
        <v>15</v>
      </c>
      <c r="M3392">
        <v>22</v>
      </c>
      <c r="N3392" t="s">
        <v>46</v>
      </c>
      <c r="O3392" s="3">
        <v>44181</v>
      </c>
      <c r="P3392">
        <v>-1</v>
      </c>
      <c r="T3392" t="s">
        <v>34</v>
      </c>
      <c r="U3392">
        <v>157</v>
      </c>
      <c r="V3392">
        <v>24.274999999999999</v>
      </c>
    </row>
    <row r="3393" spans="1:22" x14ac:dyDescent="0.35">
      <c r="A3393" s="3">
        <v>44159</v>
      </c>
      <c r="B3393" t="s">
        <v>42</v>
      </c>
      <c r="C3393">
        <v>25.81</v>
      </c>
      <c r="D3393">
        <v>25.86</v>
      </c>
      <c r="E3393">
        <v>25.54</v>
      </c>
      <c r="F3393">
        <v>25.55</v>
      </c>
      <c r="G3393">
        <v>25.725000000000001</v>
      </c>
      <c r="H3393">
        <v>-0.1</v>
      </c>
      <c r="I3393">
        <v>4124</v>
      </c>
      <c r="J3393">
        <v>0</v>
      </c>
      <c r="K3393">
        <v>8150</v>
      </c>
      <c r="L3393">
        <v>101</v>
      </c>
      <c r="M3393">
        <v>148</v>
      </c>
      <c r="N3393" t="s">
        <v>42</v>
      </c>
      <c r="O3393" s="3">
        <v>44307</v>
      </c>
      <c r="P3393">
        <v>-1</v>
      </c>
      <c r="S3393" s="3">
        <v>44328</v>
      </c>
      <c r="T3393" t="s">
        <v>33</v>
      </c>
      <c r="U3393">
        <v>174</v>
      </c>
      <c r="V3393">
        <v>26.125</v>
      </c>
    </row>
    <row r="3394" spans="1:22" x14ac:dyDescent="0.35">
      <c r="A3394" s="3">
        <v>44159</v>
      </c>
      <c r="B3394" t="s">
        <v>44</v>
      </c>
      <c r="C3394">
        <v>25.88</v>
      </c>
      <c r="D3394">
        <v>25.9</v>
      </c>
      <c r="E3394">
        <v>25.5</v>
      </c>
      <c r="F3394">
        <v>25.7</v>
      </c>
      <c r="G3394">
        <v>25.824999999999999</v>
      </c>
      <c r="H3394">
        <v>-0.05</v>
      </c>
      <c r="I3394">
        <v>6285</v>
      </c>
      <c r="J3394">
        <v>0</v>
      </c>
      <c r="K3394">
        <v>18735</v>
      </c>
      <c r="L3394">
        <v>56</v>
      </c>
      <c r="M3394">
        <v>85</v>
      </c>
      <c r="N3394" t="s">
        <v>44</v>
      </c>
      <c r="O3394" s="3">
        <v>44244</v>
      </c>
      <c r="P3394">
        <v>-1</v>
      </c>
      <c r="T3394" t="s">
        <v>41</v>
      </c>
      <c r="U3394">
        <v>5</v>
      </c>
      <c r="V3394">
        <v>25.9725</v>
      </c>
    </row>
    <row r="3395" spans="1:22" x14ac:dyDescent="0.35">
      <c r="A3395" s="3">
        <v>44158</v>
      </c>
      <c r="B3395" t="s">
        <v>43</v>
      </c>
      <c r="C3395">
        <v>26.05</v>
      </c>
      <c r="D3395">
        <v>26.05</v>
      </c>
      <c r="E3395">
        <v>25.35</v>
      </c>
      <c r="F3395">
        <v>25.75</v>
      </c>
      <c r="G3395">
        <v>25.725000000000001</v>
      </c>
      <c r="H3395">
        <v>-0.2</v>
      </c>
      <c r="I3395">
        <v>3142</v>
      </c>
      <c r="J3395">
        <v>0</v>
      </c>
      <c r="K3395">
        <v>14126</v>
      </c>
      <c r="L3395">
        <v>77</v>
      </c>
      <c r="M3395">
        <v>114</v>
      </c>
      <c r="N3395" t="s">
        <v>43</v>
      </c>
      <c r="O3395" s="3">
        <v>44272</v>
      </c>
      <c r="P3395">
        <v>-1</v>
      </c>
      <c r="T3395" t="s">
        <v>40</v>
      </c>
      <c r="U3395">
        <v>24</v>
      </c>
      <c r="V3395">
        <v>26.433399999999999</v>
      </c>
    </row>
    <row r="3396" spans="1:22" x14ac:dyDescent="0.35">
      <c r="A3396" s="3">
        <v>44158</v>
      </c>
      <c r="B3396" t="s">
        <v>46</v>
      </c>
      <c r="C3396">
        <v>24.75</v>
      </c>
      <c r="D3396">
        <v>24.75</v>
      </c>
      <c r="E3396">
        <v>23.7</v>
      </c>
      <c r="F3396">
        <v>24.15</v>
      </c>
      <c r="G3396">
        <v>24.1</v>
      </c>
      <c r="H3396">
        <v>-0.27500000000000002</v>
      </c>
      <c r="I3396">
        <v>52954</v>
      </c>
      <c r="J3396">
        <v>0</v>
      </c>
      <c r="K3396">
        <v>149344</v>
      </c>
      <c r="L3396">
        <v>16</v>
      </c>
      <c r="M3396">
        <v>23</v>
      </c>
      <c r="N3396" t="s">
        <v>46</v>
      </c>
      <c r="O3396" s="3">
        <v>44181</v>
      </c>
      <c r="P3396">
        <v>-1</v>
      </c>
      <c r="T3396" t="s">
        <v>39</v>
      </c>
      <c r="U3396">
        <v>48</v>
      </c>
      <c r="V3396">
        <v>26.546800000000001</v>
      </c>
    </row>
    <row r="3397" spans="1:22" x14ac:dyDescent="0.35">
      <c r="A3397" s="3">
        <v>44158</v>
      </c>
      <c r="B3397" t="s">
        <v>42</v>
      </c>
      <c r="C3397">
        <v>25.89</v>
      </c>
      <c r="D3397">
        <v>26</v>
      </c>
      <c r="E3397">
        <v>25.46</v>
      </c>
      <c r="F3397">
        <v>25.85</v>
      </c>
      <c r="G3397">
        <v>25.824999999999999</v>
      </c>
      <c r="H3397">
        <v>-0.2</v>
      </c>
      <c r="I3397">
        <v>2623</v>
      </c>
      <c r="J3397">
        <v>0</v>
      </c>
      <c r="K3397">
        <v>7584</v>
      </c>
      <c r="L3397">
        <v>102</v>
      </c>
      <c r="M3397">
        <v>149</v>
      </c>
      <c r="N3397" t="s">
        <v>42</v>
      </c>
      <c r="O3397" s="3">
        <v>44307</v>
      </c>
      <c r="P3397">
        <v>-1</v>
      </c>
      <c r="T3397" t="s">
        <v>38</v>
      </c>
      <c r="U3397">
        <v>68</v>
      </c>
      <c r="V3397">
        <v>26.517199999999999</v>
      </c>
    </row>
    <row r="3398" spans="1:22" x14ac:dyDescent="0.35">
      <c r="A3398" s="3">
        <v>44158</v>
      </c>
      <c r="B3398" t="s">
        <v>44</v>
      </c>
      <c r="C3398">
        <v>26.08</v>
      </c>
      <c r="D3398">
        <v>26.15</v>
      </c>
      <c r="E3398">
        <v>25.42</v>
      </c>
      <c r="F3398">
        <v>25.86</v>
      </c>
      <c r="G3398">
        <v>25.875</v>
      </c>
      <c r="H3398">
        <v>-0.1</v>
      </c>
      <c r="I3398">
        <v>5095</v>
      </c>
      <c r="J3398">
        <v>0</v>
      </c>
      <c r="K3398">
        <v>19484</v>
      </c>
      <c r="L3398">
        <v>57</v>
      </c>
      <c r="M3398">
        <v>86</v>
      </c>
      <c r="N3398" t="s">
        <v>44</v>
      </c>
      <c r="O3398" s="3">
        <v>44244</v>
      </c>
      <c r="P3398">
        <v>-1</v>
      </c>
      <c r="T3398" t="s">
        <v>37</v>
      </c>
      <c r="U3398">
        <v>87</v>
      </c>
      <c r="V3398">
        <v>26.711200000000002</v>
      </c>
    </row>
    <row r="3399" spans="1:22" x14ac:dyDescent="0.35">
      <c r="A3399" s="3">
        <v>44158</v>
      </c>
      <c r="B3399" t="s">
        <v>40</v>
      </c>
      <c r="C3399">
        <v>25.85</v>
      </c>
      <c r="D3399">
        <v>26</v>
      </c>
      <c r="E3399">
        <v>25.55</v>
      </c>
      <c r="F3399">
        <v>25.85</v>
      </c>
      <c r="G3399">
        <v>25.85</v>
      </c>
      <c r="H3399">
        <v>-0.25</v>
      </c>
      <c r="I3399">
        <v>411</v>
      </c>
      <c r="J3399">
        <v>0</v>
      </c>
      <c r="K3399">
        <v>1222</v>
      </c>
      <c r="L3399">
        <v>141</v>
      </c>
      <c r="M3399">
        <v>205</v>
      </c>
      <c r="N3399" t="s">
        <v>40</v>
      </c>
      <c r="O3399" s="3">
        <v>44363</v>
      </c>
      <c r="P3399">
        <v>-1</v>
      </c>
      <c r="T3399" t="s">
        <v>36</v>
      </c>
      <c r="U3399">
        <v>112</v>
      </c>
      <c r="V3399">
        <v>26.553999999999998</v>
      </c>
    </row>
    <row r="3400" spans="1:22" x14ac:dyDescent="0.35">
      <c r="A3400" s="3">
        <v>44158</v>
      </c>
      <c r="B3400" t="s">
        <v>45</v>
      </c>
      <c r="C3400">
        <v>26.2</v>
      </c>
      <c r="D3400">
        <v>26.2</v>
      </c>
      <c r="E3400">
        <v>25.25</v>
      </c>
      <c r="F3400">
        <v>25.7</v>
      </c>
      <c r="G3400">
        <v>25.725000000000001</v>
      </c>
      <c r="H3400">
        <v>-0.1</v>
      </c>
      <c r="I3400">
        <v>36713</v>
      </c>
      <c r="J3400">
        <v>0</v>
      </c>
      <c r="K3400">
        <v>65837</v>
      </c>
      <c r="L3400">
        <v>38</v>
      </c>
      <c r="M3400">
        <v>58</v>
      </c>
      <c r="N3400" t="s">
        <v>45</v>
      </c>
      <c r="O3400" s="3">
        <v>44216</v>
      </c>
      <c r="P3400">
        <v>-1</v>
      </c>
      <c r="T3400" t="s">
        <v>35</v>
      </c>
      <c r="U3400">
        <v>132</v>
      </c>
      <c r="V3400">
        <v>26.155000000000001</v>
      </c>
    </row>
    <row r="3401" spans="1:22" x14ac:dyDescent="0.35">
      <c r="A3401" s="3">
        <v>44158</v>
      </c>
      <c r="B3401" t="s">
        <v>41</v>
      </c>
      <c r="C3401">
        <v>25.85</v>
      </c>
      <c r="D3401">
        <v>26.05</v>
      </c>
      <c r="E3401">
        <v>25.52</v>
      </c>
      <c r="F3401">
        <v>25.89</v>
      </c>
      <c r="G3401">
        <v>25.875</v>
      </c>
      <c r="H3401">
        <v>-0.2</v>
      </c>
      <c r="I3401">
        <v>1563</v>
      </c>
      <c r="J3401">
        <v>0</v>
      </c>
      <c r="K3401">
        <v>5737</v>
      </c>
      <c r="L3401">
        <v>122</v>
      </c>
      <c r="M3401">
        <v>177</v>
      </c>
      <c r="N3401" t="s">
        <v>41</v>
      </c>
      <c r="O3401" s="3">
        <v>44335</v>
      </c>
      <c r="P3401">
        <v>-1</v>
      </c>
      <c r="T3401" t="s">
        <v>34</v>
      </c>
      <c r="U3401">
        <v>156</v>
      </c>
      <c r="V3401">
        <v>25.6</v>
      </c>
    </row>
    <row r="3402" spans="1:22" x14ac:dyDescent="0.35">
      <c r="A3402" s="3">
        <v>44155</v>
      </c>
      <c r="B3402" t="s">
        <v>40</v>
      </c>
      <c r="C3402">
        <v>26.05</v>
      </c>
      <c r="D3402">
        <v>26.15</v>
      </c>
      <c r="E3402">
        <v>25.6</v>
      </c>
      <c r="F3402">
        <v>26.06</v>
      </c>
      <c r="G3402">
        <v>26.1</v>
      </c>
      <c r="H3402">
        <v>0.17499999999999999</v>
      </c>
      <c r="I3402">
        <v>747</v>
      </c>
      <c r="J3402">
        <v>0</v>
      </c>
      <c r="K3402">
        <v>1208</v>
      </c>
      <c r="L3402">
        <v>142</v>
      </c>
      <c r="M3402">
        <v>208</v>
      </c>
      <c r="N3402" t="s">
        <v>40</v>
      </c>
      <c r="O3402" s="3">
        <v>44363</v>
      </c>
      <c r="P3402">
        <v>-1</v>
      </c>
      <c r="S3402" s="3">
        <v>44329</v>
      </c>
      <c r="T3402" t="s">
        <v>33</v>
      </c>
      <c r="U3402">
        <v>173</v>
      </c>
      <c r="V3402">
        <v>25.475000000000001</v>
      </c>
    </row>
    <row r="3403" spans="1:22" x14ac:dyDescent="0.35">
      <c r="A3403" s="3">
        <v>44155</v>
      </c>
      <c r="B3403" t="s">
        <v>39</v>
      </c>
      <c r="C3403">
        <v>25.95</v>
      </c>
      <c r="D3403">
        <v>26.15</v>
      </c>
      <c r="E3403">
        <v>25.95</v>
      </c>
      <c r="F3403">
        <v>25.95</v>
      </c>
      <c r="G3403">
        <v>26.15</v>
      </c>
      <c r="H3403">
        <v>-0.05</v>
      </c>
      <c r="I3403">
        <v>4</v>
      </c>
      <c r="J3403">
        <v>0</v>
      </c>
      <c r="K3403">
        <v>90</v>
      </c>
      <c r="L3403">
        <v>166</v>
      </c>
      <c r="M3403">
        <v>243</v>
      </c>
      <c r="N3403" t="s">
        <v>39</v>
      </c>
      <c r="O3403" s="3">
        <v>44398</v>
      </c>
      <c r="P3403">
        <v>-1</v>
      </c>
      <c r="T3403" t="s">
        <v>41</v>
      </c>
      <c r="U3403">
        <v>4</v>
      </c>
      <c r="V3403">
        <v>22.693200000000001</v>
      </c>
    </row>
    <row r="3404" spans="1:22" x14ac:dyDescent="0.35">
      <c r="A3404" s="3">
        <v>44155</v>
      </c>
      <c r="B3404" t="s">
        <v>45</v>
      </c>
      <c r="C3404">
        <v>26.22</v>
      </c>
      <c r="D3404">
        <v>26.42</v>
      </c>
      <c r="E3404">
        <v>25.55</v>
      </c>
      <c r="F3404">
        <v>25.85</v>
      </c>
      <c r="G3404">
        <v>25.824999999999999</v>
      </c>
      <c r="H3404">
        <v>-0.1</v>
      </c>
      <c r="I3404">
        <v>40987</v>
      </c>
      <c r="J3404">
        <v>0</v>
      </c>
      <c r="K3404">
        <v>60242</v>
      </c>
      <c r="L3404">
        <v>39</v>
      </c>
      <c r="M3404">
        <v>61</v>
      </c>
      <c r="N3404" t="s">
        <v>45</v>
      </c>
      <c r="O3404" s="3">
        <v>44216</v>
      </c>
      <c r="P3404">
        <v>-1</v>
      </c>
      <c r="T3404" t="s">
        <v>40</v>
      </c>
      <c r="U3404">
        <v>23</v>
      </c>
      <c r="V3404">
        <v>24.0809</v>
      </c>
    </row>
    <row r="3405" spans="1:22" x14ac:dyDescent="0.35">
      <c r="A3405" s="3">
        <v>44155</v>
      </c>
      <c r="B3405" t="s">
        <v>41</v>
      </c>
      <c r="C3405">
        <v>26.12</v>
      </c>
      <c r="D3405">
        <v>26.25</v>
      </c>
      <c r="E3405">
        <v>25.6</v>
      </c>
      <c r="F3405">
        <v>26.09</v>
      </c>
      <c r="G3405">
        <v>26.074999999999999</v>
      </c>
      <c r="H3405">
        <v>0.1</v>
      </c>
      <c r="I3405">
        <v>2378</v>
      </c>
      <c r="J3405">
        <v>0</v>
      </c>
      <c r="K3405">
        <v>5586</v>
      </c>
      <c r="L3405">
        <v>123</v>
      </c>
      <c r="M3405">
        <v>180</v>
      </c>
      <c r="N3405" t="s">
        <v>41</v>
      </c>
      <c r="O3405" s="3">
        <v>44335</v>
      </c>
      <c r="P3405">
        <v>-1</v>
      </c>
      <c r="T3405" t="s">
        <v>39</v>
      </c>
      <c r="U3405">
        <v>47</v>
      </c>
      <c r="V3405">
        <v>24.725000000000001</v>
      </c>
    </row>
    <row r="3406" spans="1:22" x14ac:dyDescent="0.35">
      <c r="A3406" s="3">
        <v>44155</v>
      </c>
      <c r="B3406" t="s">
        <v>43</v>
      </c>
      <c r="C3406">
        <v>26.2</v>
      </c>
      <c r="D3406">
        <v>26.25</v>
      </c>
      <c r="E3406">
        <v>25.58</v>
      </c>
      <c r="F3406">
        <v>25.93</v>
      </c>
      <c r="G3406">
        <v>25.925000000000001</v>
      </c>
      <c r="H3406">
        <v>0</v>
      </c>
      <c r="I3406">
        <v>4003</v>
      </c>
      <c r="J3406">
        <v>0</v>
      </c>
      <c r="K3406">
        <v>14182</v>
      </c>
      <c r="L3406">
        <v>78</v>
      </c>
      <c r="M3406">
        <v>117</v>
      </c>
      <c r="N3406" t="s">
        <v>43</v>
      </c>
      <c r="O3406" s="3">
        <v>44272</v>
      </c>
      <c r="P3406">
        <v>-1</v>
      </c>
      <c r="T3406" t="s">
        <v>38</v>
      </c>
      <c r="U3406">
        <v>67</v>
      </c>
      <c r="V3406">
        <v>24.891100000000002</v>
      </c>
    </row>
    <row r="3407" spans="1:22" x14ac:dyDescent="0.35">
      <c r="A3407" s="3">
        <v>44155</v>
      </c>
      <c r="B3407" t="s">
        <v>46</v>
      </c>
      <c r="C3407">
        <v>24.9</v>
      </c>
      <c r="D3407">
        <v>25.15</v>
      </c>
      <c r="E3407">
        <v>23.95</v>
      </c>
      <c r="F3407">
        <v>24.46</v>
      </c>
      <c r="G3407">
        <v>24.375</v>
      </c>
      <c r="H3407">
        <v>-0.1</v>
      </c>
      <c r="I3407">
        <v>57899</v>
      </c>
      <c r="J3407">
        <v>0</v>
      </c>
      <c r="K3407">
        <v>158178</v>
      </c>
      <c r="L3407">
        <v>17</v>
      </c>
      <c r="M3407">
        <v>26</v>
      </c>
      <c r="N3407" t="s">
        <v>46</v>
      </c>
      <c r="O3407" s="3">
        <v>44181</v>
      </c>
      <c r="P3407">
        <v>-1</v>
      </c>
      <c r="T3407" t="s">
        <v>37</v>
      </c>
      <c r="U3407">
        <v>86</v>
      </c>
      <c r="V3407">
        <v>25.211300000000001</v>
      </c>
    </row>
    <row r="3408" spans="1:22" x14ac:dyDescent="0.35">
      <c r="A3408" s="3">
        <v>44155</v>
      </c>
      <c r="B3408" t="s">
        <v>42</v>
      </c>
      <c r="C3408">
        <v>26.17</v>
      </c>
      <c r="D3408">
        <v>26.25</v>
      </c>
      <c r="E3408">
        <v>25.62</v>
      </c>
      <c r="F3408">
        <v>26.01</v>
      </c>
      <c r="G3408">
        <v>26.024999999999999</v>
      </c>
      <c r="H3408">
        <v>0.05</v>
      </c>
      <c r="I3408">
        <v>2575</v>
      </c>
      <c r="J3408">
        <v>0</v>
      </c>
      <c r="K3408">
        <v>7603</v>
      </c>
      <c r="L3408">
        <v>103</v>
      </c>
      <c r="M3408">
        <v>152</v>
      </c>
      <c r="N3408" t="s">
        <v>42</v>
      </c>
      <c r="O3408" s="3">
        <v>44307</v>
      </c>
      <c r="P3408">
        <v>-1</v>
      </c>
      <c r="T3408" t="s">
        <v>36</v>
      </c>
      <c r="U3408">
        <v>111</v>
      </c>
      <c r="V3408">
        <v>25.217400000000001</v>
      </c>
    </row>
    <row r="3409" spans="1:22" x14ac:dyDescent="0.35">
      <c r="A3409" s="3">
        <v>44155</v>
      </c>
      <c r="B3409" t="s">
        <v>44</v>
      </c>
      <c r="C3409">
        <v>26.4</v>
      </c>
      <c r="D3409">
        <v>26.45</v>
      </c>
      <c r="E3409">
        <v>25.68</v>
      </c>
      <c r="F3409">
        <v>26.05</v>
      </c>
      <c r="G3409">
        <v>25.975000000000001</v>
      </c>
      <c r="H3409">
        <v>-0.1</v>
      </c>
      <c r="I3409">
        <v>5735</v>
      </c>
      <c r="J3409">
        <v>0</v>
      </c>
      <c r="K3409">
        <v>19179</v>
      </c>
      <c r="L3409">
        <v>58</v>
      </c>
      <c r="M3409">
        <v>89</v>
      </c>
      <c r="N3409" t="s">
        <v>44</v>
      </c>
      <c r="O3409" s="3">
        <v>44244</v>
      </c>
      <c r="P3409">
        <v>-1</v>
      </c>
      <c r="T3409" t="s">
        <v>35</v>
      </c>
      <c r="U3409">
        <v>131</v>
      </c>
      <c r="V3409">
        <v>25.04</v>
      </c>
    </row>
    <row r="3410" spans="1:22" x14ac:dyDescent="0.35">
      <c r="A3410" s="3">
        <v>44154</v>
      </c>
      <c r="B3410" t="s">
        <v>43</v>
      </c>
      <c r="C3410">
        <v>26.06</v>
      </c>
      <c r="D3410">
        <v>26.25</v>
      </c>
      <c r="E3410">
        <v>25.66</v>
      </c>
      <c r="F3410">
        <v>26.09</v>
      </c>
      <c r="G3410">
        <v>25.925000000000001</v>
      </c>
      <c r="H3410">
        <v>-0.2</v>
      </c>
      <c r="I3410">
        <v>3082</v>
      </c>
      <c r="J3410">
        <v>0</v>
      </c>
      <c r="K3410">
        <v>14015</v>
      </c>
      <c r="L3410">
        <v>79</v>
      </c>
      <c r="M3410">
        <v>118</v>
      </c>
      <c r="N3410" t="s">
        <v>43</v>
      </c>
      <c r="O3410" s="3">
        <v>44272</v>
      </c>
      <c r="P3410">
        <v>-1</v>
      </c>
      <c r="T3410" t="s">
        <v>34</v>
      </c>
      <c r="U3410">
        <v>155</v>
      </c>
      <c r="V3410">
        <v>24.5</v>
      </c>
    </row>
    <row r="3411" spans="1:22" x14ac:dyDescent="0.35">
      <c r="A3411" s="3">
        <v>44154</v>
      </c>
      <c r="B3411" t="s">
        <v>46</v>
      </c>
      <c r="C3411">
        <v>24.95</v>
      </c>
      <c r="D3411">
        <v>25.2</v>
      </c>
      <c r="E3411">
        <v>24.09</v>
      </c>
      <c r="F3411">
        <v>24.9</v>
      </c>
      <c r="G3411">
        <v>24.475000000000001</v>
      </c>
      <c r="H3411">
        <v>-0.4</v>
      </c>
      <c r="I3411">
        <v>61736</v>
      </c>
      <c r="J3411">
        <v>189</v>
      </c>
      <c r="K3411">
        <v>174080</v>
      </c>
      <c r="L3411">
        <v>18</v>
      </c>
      <c r="M3411">
        <v>27</v>
      </c>
      <c r="N3411" t="s">
        <v>46</v>
      </c>
      <c r="O3411" s="3">
        <v>44181</v>
      </c>
      <c r="P3411">
        <v>-1</v>
      </c>
      <c r="S3411" s="3">
        <v>44330</v>
      </c>
      <c r="T3411" t="s">
        <v>33</v>
      </c>
      <c r="U3411">
        <v>172</v>
      </c>
      <c r="V3411">
        <v>24.425000000000001</v>
      </c>
    </row>
    <row r="3412" spans="1:22" x14ac:dyDescent="0.35">
      <c r="A3412" s="3">
        <v>44154</v>
      </c>
      <c r="B3412" t="s">
        <v>42</v>
      </c>
      <c r="C3412">
        <v>26.1</v>
      </c>
      <c r="D3412">
        <v>26.25</v>
      </c>
      <c r="E3412">
        <v>25.77</v>
      </c>
      <c r="F3412">
        <v>26.1</v>
      </c>
      <c r="G3412">
        <v>25.975000000000001</v>
      </c>
      <c r="H3412">
        <v>-0.15</v>
      </c>
      <c r="I3412">
        <v>2275</v>
      </c>
      <c r="J3412">
        <v>0</v>
      </c>
      <c r="K3412">
        <v>7914</v>
      </c>
      <c r="L3412">
        <v>104</v>
      </c>
      <c r="M3412">
        <v>153</v>
      </c>
      <c r="N3412" t="s">
        <v>42</v>
      </c>
      <c r="O3412" s="3">
        <v>44307</v>
      </c>
      <c r="P3412">
        <v>-1</v>
      </c>
      <c r="T3412" t="s">
        <v>41</v>
      </c>
      <c r="U3412">
        <v>3</v>
      </c>
      <c r="V3412">
        <v>19.1312</v>
      </c>
    </row>
    <row r="3413" spans="1:22" x14ac:dyDescent="0.35">
      <c r="A3413" s="3">
        <v>44154</v>
      </c>
      <c r="B3413" t="s">
        <v>44</v>
      </c>
      <c r="C3413">
        <v>26.17</v>
      </c>
      <c r="D3413">
        <v>26.4</v>
      </c>
      <c r="E3413">
        <v>25.72</v>
      </c>
      <c r="F3413">
        <v>26.3</v>
      </c>
      <c r="G3413">
        <v>26.074999999999999</v>
      </c>
      <c r="H3413">
        <v>-0.15</v>
      </c>
      <c r="I3413">
        <v>6293</v>
      </c>
      <c r="J3413">
        <v>0</v>
      </c>
      <c r="K3413">
        <v>20056</v>
      </c>
      <c r="L3413">
        <v>59</v>
      </c>
      <c r="M3413">
        <v>90</v>
      </c>
      <c r="N3413" t="s">
        <v>44</v>
      </c>
      <c r="O3413" s="3">
        <v>44244</v>
      </c>
      <c r="P3413">
        <v>-1</v>
      </c>
      <c r="T3413" t="s">
        <v>40</v>
      </c>
      <c r="U3413">
        <v>22</v>
      </c>
      <c r="V3413">
        <v>21.366800000000001</v>
      </c>
    </row>
    <row r="3414" spans="1:22" x14ac:dyDescent="0.35">
      <c r="A3414" s="3">
        <v>44154</v>
      </c>
      <c r="B3414" t="s">
        <v>40</v>
      </c>
      <c r="C3414">
        <v>26.16</v>
      </c>
      <c r="D3414">
        <v>26.35</v>
      </c>
      <c r="E3414">
        <v>25.8</v>
      </c>
      <c r="F3414">
        <v>26.04</v>
      </c>
      <c r="G3414">
        <v>25.925000000000001</v>
      </c>
      <c r="H3414">
        <v>-0.35</v>
      </c>
      <c r="I3414">
        <v>756</v>
      </c>
      <c r="J3414">
        <v>0</v>
      </c>
      <c r="K3414">
        <v>1218</v>
      </c>
      <c r="L3414">
        <v>143</v>
      </c>
      <c r="M3414">
        <v>209</v>
      </c>
      <c r="N3414" t="s">
        <v>40</v>
      </c>
      <c r="O3414" s="3">
        <v>44363</v>
      </c>
      <c r="P3414">
        <v>-1</v>
      </c>
      <c r="T3414" t="s">
        <v>39</v>
      </c>
      <c r="U3414">
        <v>46</v>
      </c>
      <c r="V3414">
        <v>22.805299999999999</v>
      </c>
    </row>
    <row r="3415" spans="1:22" x14ac:dyDescent="0.35">
      <c r="A3415" s="3">
        <v>44154</v>
      </c>
      <c r="B3415" t="s">
        <v>39</v>
      </c>
      <c r="C3415">
        <v>25.85</v>
      </c>
      <c r="D3415">
        <v>26.23</v>
      </c>
      <c r="E3415">
        <v>25.85</v>
      </c>
      <c r="F3415">
        <v>26.2</v>
      </c>
      <c r="G3415">
        <v>26.2</v>
      </c>
      <c r="H3415">
        <v>1.05</v>
      </c>
      <c r="I3415">
        <v>28</v>
      </c>
      <c r="J3415">
        <v>0</v>
      </c>
      <c r="K3415">
        <v>86</v>
      </c>
      <c r="L3415">
        <v>167</v>
      </c>
      <c r="M3415">
        <v>244</v>
      </c>
      <c r="N3415" t="s">
        <v>39</v>
      </c>
      <c r="O3415" s="3">
        <v>44398</v>
      </c>
      <c r="P3415">
        <v>-1</v>
      </c>
      <c r="T3415" t="s">
        <v>38</v>
      </c>
      <c r="U3415">
        <v>66</v>
      </c>
      <c r="V3415">
        <v>23.334099999999999</v>
      </c>
    </row>
    <row r="3416" spans="1:22" x14ac:dyDescent="0.35">
      <c r="A3416" s="3">
        <v>44154</v>
      </c>
      <c r="B3416" t="s">
        <v>45</v>
      </c>
      <c r="C3416">
        <v>26.08</v>
      </c>
      <c r="D3416">
        <v>26.36</v>
      </c>
      <c r="E3416">
        <v>25.55</v>
      </c>
      <c r="F3416">
        <v>26.2</v>
      </c>
      <c r="G3416">
        <v>25.925000000000001</v>
      </c>
      <c r="H3416">
        <v>-0.25</v>
      </c>
      <c r="I3416">
        <v>38512</v>
      </c>
      <c r="J3416">
        <v>11</v>
      </c>
      <c r="K3416">
        <v>60153</v>
      </c>
      <c r="L3416">
        <v>40</v>
      </c>
      <c r="M3416">
        <v>62</v>
      </c>
      <c r="N3416" t="s">
        <v>45</v>
      </c>
      <c r="O3416" s="3">
        <v>44216</v>
      </c>
      <c r="P3416">
        <v>-1</v>
      </c>
      <c r="T3416" t="s">
        <v>37</v>
      </c>
      <c r="U3416">
        <v>85</v>
      </c>
      <c r="V3416">
        <v>23.813800000000001</v>
      </c>
    </row>
    <row r="3417" spans="1:22" x14ac:dyDescent="0.35">
      <c r="A3417" s="3">
        <v>44154</v>
      </c>
      <c r="B3417" t="s">
        <v>41</v>
      </c>
      <c r="C3417">
        <v>26.06</v>
      </c>
      <c r="D3417">
        <v>26.25</v>
      </c>
      <c r="E3417">
        <v>25.79</v>
      </c>
      <c r="F3417">
        <v>26.1</v>
      </c>
      <c r="G3417">
        <v>25.975000000000001</v>
      </c>
      <c r="H3417">
        <v>-0.2</v>
      </c>
      <c r="I3417">
        <v>1936</v>
      </c>
      <c r="J3417">
        <v>0</v>
      </c>
      <c r="K3417">
        <v>5254</v>
      </c>
      <c r="L3417">
        <v>124</v>
      </c>
      <c r="M3417">
        <v>181</v>
      </c>
      <c r="N3417" t="s">
        <v>41</v>
      </c>
      <c r="O3417" s="3">
        <v>44335</v>
      </c>
      <c r="P3417">
        <v>-1</v>
      </c>
      <c r="T3417" t="s">
        <v>36</v>
      </c>
      <c r="U3417">
        <v>110</v>
      </c>
      <c r="V3417">
        <v>24.042400000000001</v>
      </c>
    </row>
    <row r="3418" spans="1:22" x14ac:dyDescent="0.35">
      <c r="A3418" s="3">
        <v>44153</v>
      </c>
      <c r="B3418" t="s">
        <v>40</v>
      </c>
      <c r="C3418">
        <v>25.66</v>
      </c>
      <c r="D3418">
        <v>26.3</v>
      </c>
      <c r="E3418">
        <v>25.53</v>
      </c>
      <c r="F3418">
        <v>26.25</v>
      </c>
      <c r="G3418">
        <v>26.274999999999999</v>
      </c>
      <c r="H3418">
        <v>0.75</v>
      </c>
      <c r="I3418">
        <v>696</v>
      </c>
      <c r="J3418">
        <v>0</v>
      </c>
      <c r="K3418">
        <v>668</v>
      </c>
      <c r="L3418">
        <v>144</v>
      </c>
      <c r="M3418">
        <v>210</v>
      </c>
      <c r="N3418" t="s">
        <v>40</v>
      </c>
      <c r="O3418" s="3">
        <v>44363</v>
      </c>
      <c r="P3418">
        <v>-1</v>
      </c>
      <c r="T3418" t="s">
        <v>35</v>
      </c>
      <c r="U3418">
        <v>130</v>
      </c>
      <c r="V3418">
        <v>23.8489</v>
      </c>
    </row>
    <row r="3419" spans="1:22" x14ac:dyDescent="0.35">
      <c r="A3419" s="3">
        <v>44153</v>
      </c>
      <c r="B3419" t="s">
        <v>47</v>
      </c>
      <c r="C3419">
        <v>23.1</v>
      </c>
      <c r="D3419">
        <v>23.6</v>
      </c>
      <c r="E3419">
        <v>21.6</v>
      </c>
      <c r="F3419">
        <v>21.95</v>
      </c>
      <c r="G3419">
        <v>22.41</v>
      </c>
      <c r="H3419">
        <v>-0.56499999999999995</v>
      </c>
      <c r="I3419">
        <v>2311</v>
      </c>
      <c r="J3419">
        <v>0</v>
      </c>
      <c r="K3419">
        <v>19691</v>
      </c>
      <c r="L3419">
        <v>0</v>
      </c>
      <c r="M3419">
        <v>0</v>
      </c>
      <c r="N3419" t="s">
        <v>47</v>
      </c>
      <c r="O3419" s="3">
        <v>44153</v>
      </c>
      <c r="P3419">
        <v>-1</v>
      </c>
      <c r="T3419" t="s">
        <v>34</v>
      </c>
      <c r="U3419">
        <v>154</v>
      </c>
      <c r="V3419">
        <v>23.5</v>
      </c>
    </row>
    <row r="3420" spans="1:22" x14ac:dyDescent="0.35">
      <c r="A3420" s="3">
        <v>44153</v>
      </c>
      <c r="B3420" t="s">
        <v>45</v>
      </c>
      <c r="C3420">
        <v>25.35</v>
      </c>
      <c r="D3420">
        <v>26.25</v>
      </c>
      <c r="E3420">
        <v>25</v>
      </c>
      <c r="F3420">
        <v>26.15</v>
      </c>
      <c r="G3420">
        <v>26.175000000000001</v>
      </c>
      <c r="H3420">
        <v>0.95</v>
      </c>
      <c r="I3420">
        <v>42003</v>
      </c>
      <c r="J3420">
        <v>0</v>
      </c>
      <c r="K3420">
        <v>46756</v>
      </c>
      <c r="L3420">
        <v>41</v>
      </c>
      <c r="M3420">
        <v>63</v>
      </c>
      <c r="N3420" t="s">
        <v>45</v>
      </c>
      <c r="O3420" s="3">
        <v>44216</v>
      </c>
      <c r="P3420">
        <v>-1</v>
      </c>
      <c r="S3420" s="3">
        <v>44333</v>
      </c>
      <c r="T3420" t="s">
        <v>33</v>
      </c>
      <c r="U3420">
        <v>171</v>
      </c>
      <c r="V3420">
        <v>25</v>
      </c>
    </row>
    <row r="3421" spans="1:22" x14ac:dyDescent="0.35">
      <c r="A3421" s="3">
        <v>44153</v>
      </c>
      <c r="B3421" t="s">
        <v>41</v>
      </c>
      <c r="C3421">
        <v>25.5</v>
      </c>
      <c r="D3421">
        <v>26.2</v>
      </c>
      <c r="E3421">
        <v>25.4</v>
      </c>
      <c r="F3421">
        <v>26.17</v>
      </c>
      <c r="G3421">
        <v>26.175000000000001</v>
      </c>
      <c r="H3421">
        <v>0.75</v>
      </c>
      <c r="I3421">
        <v>2027</v>
      </c>
      <c r="J3421">
        <v>0</v>
      </c>
      <c r="K3421">
        <v>5088</v>
      </c>
      <c r="L3421">
        <v>125</v>
      </c>
      <c r="M3421">
        <v>182</v>
      </c>
      <c r="N3421" t="s">
        <v>41</v>
      </c>
      <c r="O3421" s="3">
        <v>44335</v>
      </c>
      <c r="P3421">
        <v>-1</v>
      </c>
      <c r="T3421" t="s">
        <v>41</v>
      </c>
      <c r="U3421">
        <v>2</v>
      </c>
      <c r="V3421">
        <v>19.906300000000002</v>
      </c>
    </row>
    <row r="3422" spans="1:22" x14ac:dyDescent="0.35">
      <c r="A3422" s="3">
        <v>44153</v>
      </c>
      <c r="B3422" t="s">
        <v>43</v>
      </c>
      <c r="C3422">
        <v>25.51</v>
      </c>
      <c r="D3422">
        <v>26.2</v>
      </c>
      <c r="E3422">
        <v>25.26</v>
      </c>
      <c r="F3422">
        <v>26.15</v>
      </c>
      <c r="G3422">
        <v>26.125</v>
      </c>
      <c r="H3422">
        <v>0.75</v>
      </c>
      <c r="I3422">
        <v>3628</v>
      </c>
      <c r="J3422">
        <v>0</v>
      </c>
      <c r="K3422">
        <v>13457</v>
      </c>
      <c r="L3422">
        <v>80</v>
      </c>
      <c r="M3422">
        <v>119</v>
      </c>
      <c r="N3422" t="s">
        <v>43</v>
      </c>
      <c r="O3422" s="3">
        <v>44272</v>
      </c>
      <c r="P3422">
        <v>-1</v>
      </c>
      <c r="T3422" t="s">
        <v>40</v>
      </c>
      <c r="U3422">
        <v>21</v>
      </c>
      <c r="V3422">
        <v>22.1144</v>
      </c>
    </row>
    <row r="3423" spans="1:22" x14ac:dyDescent="0.35">
      <c r="A3423" s="3">
        <v>44153</v>
      </c>
      <c r="B3423" t="s">
        <v>46</v>
      </c>
      <c r="C3423">
        <v>24.15</v>
      </c>
      <c r="D3423">
        <v>25.1</v>
      </c>
      <c r="E3423">
        <v>23.55</v>
      </c>
      <c r="F3423">
        <v>25</v>
      </c>
      <c r="G3423">
        <v>24.875</v>
      </c>
      <c r="H3423">
        <v>0.85</v>
      </c>
      <c r="I3423">
        <v>70060</v>
      </c>
      <c r="J3423">
        <v>0</v>
      </c>
      <c r="K3423">
        <v>168441</v>
      </c>
      <c r="L3423">
        <v>19</v>
      </c>
      <c r="M3423">
        <v>28</v>
      </c>
      <c r="N3423" t="s">
        <v>46</v>
      </c>
      <c r="O3423" s="3">
        <v>44181</v>
      </c>
      <c r="P3423">
        <v>-1</v>
      </c>
      <c r="T3423" t="s">
        <v>39</v>
      </c>
      <c r="U3423">
        <v>45</v>
      </c>
      <c r="V3423">
        <v>23.437100000000001</v>
      </c>
    </row>
    <row r="3424" spans="1:22" x14ac:dyDescent="0.35">
      <c r="A3424" s="3">
        <v>44153</v>
      </c>
      <c r="B3424" t="s">
        <v>42</v>
      </c>
      <c r="C3424">
        <v>25.6</v>
      </c>
      <c r="D3424">
        <v>26.2</v>
      </c>
      <c r="E3424">
        <v>25.38</v>
      </c>
      <c r="F3424">
        <v>26.15</v>
      </c>
      <c r="G3424">
        <v>26.125</v>
      </c>
      <c r="H3424">
        <v>0.7</v>
      </c>
      <c r="I3424">
        <v>2655</v>
      </c>
      <c r="J3424">
        <v>0</v>
      </c>
      <c r="K3424">
        <v>7935</v>
      </c>
      <c r="L3424">
        <v>105</v>
      </c>
      <c r="M3424">
        <v>154</v>
      </c>
      <c r="N3424" t="s">
        <v>42</v>
      </c>
      <c r="O3424" s="3">
        <v>44307</v>
      </c>
      <c r="P3424">
        <v>-1</v>
      </c>
      <c r="T3424" t="s">
        <v>38</v>
      </c>
      <c r="U3424">
        <v>65</v>
      </c>
      <c r="V3424">
        <v>23.892399999999999</v>
      </c>
    </row>
    <row r="3425" spans="1:22" x14ac:dyDescent="0.35">
      <c r="A3425" s="3">
        <v>44153</v>
      </c>
      <c r="B3425" t="s">
        <v>44</v>
      </c>
      <c r="C3425">
        <v>25.54</v>
      </c>
      <c r="D3425">
        <v>26.3</v>
      </c>
      <c r="E3425">
        <v>25.26</v>
      </c>
      <c r="F3425">
        <v>26.25</v>
      </c>
      <c r="G3425">
        <v>26.225000000000001</v>
      </c>
      <c r="H3425">
        <v>0.85</v>
      </c>
      <c r="I3425">
        <v>8330</v>
      </c>
      <c r="J3425">
        <v>0</v>
      </c>
      <c r="K3425">
        <v>19229</v>
      </c>
      <c r="L3425">
        <v>60</v>
      </c>
      <c r="M3425">
        <v>91</v>
      </c>
      <c r="N3425" t="s">
        <v>44</v>
      </c>
      <c r="O3425" s="3">
        <v>44244</v>
      </c>
      <c r="P3425">
        <v>-1</v>
      </c>
      <c r="T3425" t="s">
        <v>37</v>
      </c>
      <c r="U3425">
        <v>84</v>
      </c>
      <c r="V3425">
        <v>24.4148</v>
      </c>
    </row>
    <row r="3426" spans="1:22" x14ac:dyDescent="0.35">
      <c r="A3426" s="3">
        <v>44152</v>
      </c>
      <c r="B3426" t="s">
        <v>39</v>
      </c>
      <c r="C3426">
        <v>25.85</v>
      </c>
      <c r="D3426">
        <v>25.92</v>
      </c>
      <c r="E3426">
        <v>25.71</v>
      </c>
      <c r="F3426">
        <v>25.71</v>
      </c>
      <c r="G3426">
        <v>25.4</v>
      </c>
      <c r="H3426">
        <v>0.75</v>
      </c>
      <c r="I3426">
        <v>6</v>
      </c>
      <c r="J3426">
        <v>0</v>
      </c>
      <c r="K3426">
        <v>62</v>
      </c>
      <c r="L3426">
        <v>169</v>
      </c>
      <c r="M3426">
        <v>246</v>
      </c>
      <c r="N3426" t="s">
        <v>39</v>
      </c>
      <c r="O3426" s="3">
        <v>44398</v>
      </c>
      <c r="P3426">
        <v>-1</v>
      </c>
      <c r="T3426" t="s">
        <v>36</v>
      </c>
      <c r="U3426">
        <v>109</v>
      </c>
      <c r="V3426">
        <v>24.631799999999998</v>
      </c>
    </row>
    <row r="3427" spans="1:22" x14ac:dyDescent="0.35">
      <c r="A3427" s="3">
        <v>44152</v>
      </c>
      <c r="B3427" t="s">
        <v>43</v>
      </c>
      <c r="C3427">
        <v>25.42</v>
      </c>
      <c r="D3427">
        <v>26</v>
      </c>
      <c r="E3427">
        <v>25.35</v>
      </c>
      <c r="F3427">
        <v>25.55</v>
      </c>
      <c r="G3427">
        <v>25.375</v>
      </c>
      <c r="H3427">
        <v>-0.15</v>
      </c>
      <c r="I3427">
        <v>3207</v>
      </c>
      <c r="J3427">
        <v>0</v>
      </c>
      <c r="K3427">
        <v>13127</v>
      </c>
      <c r="L3427">
        <v>81</v>
      </c>
      <c r="M3427">
        <v>120</v>
      </c>
      <c r="N3427" t="s">
        <v>43</v>
      </c>
      <c r="O3427" s="3">
        <v>44272</v>
      </c>
      <c r="P3427">
        <v>-1</v>
      </c>
      <c r="T3427" t="s">
        <v>35</v>
      </c>
      <c r="U3427">
        <v>129</v>
      </c>
      <c r="V3427">
        <v>24.5075</v>
      </c>
    </row>
    <row r="3428" spans="1:22" x14ac:dyDescent="0.35">
      <c r="A3428" s="3">
        <v>44152</v>
      </c>
      <c r="B3428" t="s">
        <v>46</v>
      </c>
      <c r="C3428">
        <v>24.45</v>
      </c>
      <c r="D3428">
        <v>25.1</v>
      </c>
      <c r="E3428">
        <v>24</v>
      </c>
      <c r="F3428">
        <v>24.2</v>
      </c>
      <c r="G3428">
        <v>24.024999999999999</v>
      </c>
      <c r="H3428">
        <v>-0.5</v>
      </c>
      <c r="I3428">
        <v>71498</v>
      </c>
      <c r="J3428">
        <v>0</v>
      </c>
      <c r="K3428">
        <v>172339</v>
      </c>
      <c r="L3428">
        <v>20</v>
      </c>
      <c r="M3428">
        <v>29</v>
      </c>
      <c r="N3428" t="s">
        <v>46</v>
      </c>
      <c r="O3428" s="3">
        <v>44181</v>
      </c>
      <c r="P3428">
        <v>-1</v>
      </c>
      <c r="T3428" t="s">
        <v>34</v>
      </c>
      <c r="U3428">
        <v>153</v>
      </c>
      <c r="V3428">
        <v>24.25</v>
      </c>
    </row>
    <row r="3429" spans="1:22" x14ac:dyDescent="0.35">
      <c r="A3429" s="3">
        <v>44152</v>
      </c>
      <c r="B3429" t="s">
        <v>42</v>
      </c>
      <c r="C3429">
        <v>25.7</v>
      </c>
      <c r="D3429">
        <v>26.1</v>
      </c>
      <c r="E3429">
        <v>25.44</v>
      </c>
      <c r="F3429">
        <v>25.55</v>
      </c>
      <c r="G3429">
        <v>25.425000000000001</v>
      </c>
      <c r="H3429">
        <v>-0.22500000000000001</v>
      </c>
      <c r="I3429">
        <v>2171</v>
      </c>
      <c r="J3429">
        <v>0</v>
      </c>
      <c r="K3429">
        <v>8012</v>
      </c>
      <c r="L3429">
        <v>106</v>
      </c>
      <c r="M3429">
        <v>155</v>
      </c>
      <c r="N3429" t="s">
        <v>42</v>
      </c>
      <c r="O3429" s="3">
        <v>44307</v>
      </c>
      <c r="P3429">
        <v>-1</v>
      </c>
      <c r="S3429" s="3">
        <v>44334</v>
      </c>
      <c r="T3429" t="s">
        <v>33</v>
      </c>
      <c r="U3429">
        <v>170</v>
      </c>
      <c r="V3429">
        <v>25.25</v>
      </c>
    </row>
    <row r="3430" spans="1:22" x14ac:dyDescent="0.35">
      <c r="A3430" s="3">
        <v>44152</v>
      </c>
      <c r="B3430" t="s">
        <v>44</v>
      </c>
      <c r="C3430">
        <v>25.46</v>
      </c>
      <c r="D3430">
        <v>26.05</v>
      </c>
      <c r="E3430">
        <v>25.35</v>
      </c>
      <c r="F3430">
        <v>25.45</v>
      </c>
      <c r="G3430">
        <v>25.375</v>
      </c>
      <c r="H3430">
        <v>-0.2</v>
      </c>
      <c r="I3430">
        <v>5903</v>
      </c>
      <c r="J3430">
        <v>0</v>
      </c>
      <c r="K3430">
        <v>18292</v>
      </c>
      <c r="L3430">
        <v>61</v>
      </c>
      <c r="M3430">
        <v>92</v>
      </c>
      <c r="N3430" t="s">
        <v>44</v>
      </c>
      <c r="O3430" s="3">
        <v>44244</v>
      </c>
      <c r="P3430">
        <v>-1</v>
      </c>
      <c r="T3430" t="s">
        <v>41</v>
      </c>
      <c r="U3430">
        <v>1</v>
      </c>
      <c r="V3430">
        <v>21.143799999999999</v>
      </c>
    </row>
    <row r="3431" spans="1:22" x14ac:dyDescent="0.35">
      <c r="A3431" s="3">
        <v>44152</v>
      </c>
      <c r="B3431" t="s">
        <v>40</v>
      </c>
      <c r="C3431">
        <v>25.7</v>
      </c>
      <c r="D3431">
        <v>25.92</v>
      </c>
      <c r="E3431">
        <v>25.43</v>
      </c>
      <c r="F3431">
        <v>25.57</v>
      </c>
      <c r="G3431">
        <v>25.524999999999999</v>
      </c>
      <c r="H3431">
        <v>0</v>
      </c>
      <c r="I3431">
        <v>361</v>
      </c>
      <c r="J3431">
        <v>0</v>
      </c>
      <c r="K3431">
        <v>443</v>
      </c>
      <c r="L3431">
        <v>145</v>
      </c>
      <c r="M3431">
        <v>211</v>
      </c>
      <c r="N3431" t="s">
        <v>40</v>
      </c>
      <c r="O3431" s="3">
        <v>44363</v>
      </c>
      <c r="P3431">
        <v>-1</v>
      </c>
      <c r="T3431" t="s">
        <v>40</v>
      </c>
      <c r="U3431">
        <v>20</v>
      </c>
      <c r="V3431">
        <v>22.3794</v>
      </c>
    </row>
    <row r="3432" spans="1:22" x14ac:dyDescent="0.35">
      <c r="A3432" s="3">
        <v>44152</v>
      </c>
      <c r="B3432" t="s">
        <v>47</v>
      </c>
      <c r="C3432">
        <v>22.85</v>
      </c>
      <c r="D3432">
        <v>24.21</v>
      </c>
      <c r="E3432">
        <v>22.75</v>
      </c>
      <c r="F3432">
        <v>23.3</v>
      </c>
      <c r="G3432">
        <v>22.975000000000001</v>
      </c>
      <c r="H3432">
        <v>0.05</v>
      </c>
      <c r="I3432">
        <v>60084</v>
      </c>
      <c r="J3432">
        <v>0</v>
      </c>
      <c r="K3432">
        <v>21928</v>
      </c>
      <c r="L3432">
        <v>1</v>
      </c>
      <c r="M3432">
        <v>1</v>
      </c>
      <c r="N3432" t="s">
        <v>47</v>
      </c>
      <c r="O3432" s="3">
        <v>44153</v>
      </c>
      <c r="P3432">
        <v>-1</v>
      </c>
      <c r="T3432" t="s">
        <v>39</v>
      </c>
      <c r="U3432">
        <v>44</v>
      </c>
      <c r="V3432">
        <v>23.877600000000001</v>
      </c>
    </row>
    <row r="3433" spans="1:22" x14ac:dyDescent="0.35">
      <c r="A3433" s="3">
        <v>44152</v>
      </c>
      <c r="B3433" t="s">
        <v>45</v>
      </c>
      <c r="C3433">
        <v>25.38</v>
      </c>
      <c r="D3433">
        <v>26</v>
      </c>
      <c r="E3433">
        <v>25.1</v>
      </c>
      <c r="F3433">
        <v>25.3</v>
      </c>
      <c r="G3433">
        <v>25.225000000000001</v>
      </c>
      <c r="H3433">
        <v>-0.3</v>
      </c>
      <c r="I3433">
        <v>17949</v>
      </c>
      <c r="J3433">
        <v>0</v>
      </c>
      <c r="K3433">
        <v>44202</v>
      </c>
      <c r="L3433">
        <v>42</v>
      </c>
      <c r="M3433">
        <v>64</v>
      </c>
      <c r="N3433" t="s">
        <v>45</v>
      </c>
      <c r="O3433" s="3">
        <v>44216</v>
      </c>
      <c r="P3433">
        <v>-1</v>
      </c>
      <c r="T3433" t="s">
        <v>38</v>
      </c>
      <c r="U3433">
        <v>64</v>
      </c>
      <c r="V3433">
        <v>24.504300000000001</v>
      </c>
    </row>
    <row r="3434" spans="1:22" x14ac:dyDescent="0.35">
      <c r="A3434" s="3">
        <v>44152</v>
      </c>
      <c r="B3434" t="s">
        <v>41</v>
      </c>
      <c r="C3434">
        <v>25.75</v>
      </c>
      <c r="D3434">
        <v>26.1</v>
      </c>
      <c r="E3434">
        <v>25.43</v>
      </c>
      <c r="F3434">
        <v>25.5</v>
      </c>
      <c r="G3434">
        <v>25.425000000000001</v>
      </c>
      <c r="H3434">
        <v>-0.25</v>
      </c>
      <c r="I3434">
        <v>1665</v>
      </c>
      <c r="J3434">
        <v>0</v>
      </c>
      <c r="K3434">
        <v>4524</v>
      </c>
      <c r="L3434">
        <v>126</v>
      </c>
      <c r="M3434">
        <v>183</v>
      </c>
      <c r="N3434" t="s">
        <v>41</v>
      </c>
      <c r="O3434" s="3">
        <v>44335</v>
      </c>
      <c r="P3434">
        <v>-1</v>
      </c>
      <c r="T3434" t="s">
        <v>37</v>
      </c>
      <c r="U3434">
        <v>83</v>
      </c>
      <c r="V3434">
        <v>24.985299999999999</v>
      </c>
    </row>
    <row r="3435" spans="1:22" x14ac:dyDescent="0.35">
      <c r="A3435" s="3">
        <v>44151</v>
      </c>
      <c r="B3435" t="s">
        <v>40</v>
      </c>
      <c r="C3435">
        <v>25.15</v>
      </c>
      <c r="D3435">
        <v>25.65</v>
      </c>
      <c r="E3435">
        <v>25.15</v>
      </c>
      <c r="F3435">
        <v>25.45</v>
      </c>
      <c r="G3435">
        <v>25.524999999999999</v>
      </c>
      <c r="H3435">
        <v>0.2</v>
      </c>
      <c r="I3435">
        <v>124</v>
      </c>
      <c r="J3435">
        <v>0</v>
      </c>
      <c r="K3435">
        <v>257</v>
      </c>
      <c r="L3435">
        <v>146</v>
      </c>
      <c r="M3435">
        <v>212</v>
      </c>
      <c r="N3435" t="s">
        <v>40</v>
      </c>
      <c r="O3435" s="3">
        <v>44363</v>
      </c>
      <c r="P3435">
        <v>-1</v>
      </c>
      <c r="T3435" t="s">
        <v>36</v>
      </c>
      <c r="U3435">
        <v>108</v>
      </c>
      <c r="V3435">
        <v>25.18</v>
      </c>
    </row>
    <row r="3436" spans="1:22" x14ac:dyDescent="0.35">
      <c r="A3436" s="3">
        <v>44151</v>
      </c>
      <c r="B3436" t="s">
        <v>47</v>
      </c>
      <c r="C3436">
        <v>23.35</v>
      </c>
      <c r="D3436">
        <v>24.11</v>
      </c>
      <c r="E3436">
        <v>22.69</v>
      </c>
      <c r="F3436">
        <v>22.8</v>
      </c>
      <c r="G3436">
        <v>22.925000000000001</v>
      </c>
      <c r="H3436">
        <v>-0.4</v>
      </c>
      <c r="I3436">
        <v>60277</v>
      </c>
      <c r="J3436">
        <v>0</v>
      </c>
      <c r="K3436">
        <v>33858</v>
      </c>
      <c r="L3436">
        <v>2</v>
      </c>
      <c r="M3436">
        <v>2</v>
      </c>
      <c r="N3436" t="s">
        <v>47</v>
      </c>
      <c r="O3436" s="3">
        <v>44153</v>
      </c>
      <c r="P3436">
        <v>-1</v>
      </c>
      <c r="T3436" t="s">
        <v>35</v>
      </c>
      <c r="U3436">
        <v>128</v>
      </c>
      <c r="V3436">
        <v>25.03</v>
      </c>
    </row>
    <row r="3437" spans="1:22" x14ac:dyDescent="0.35">
      <c r="A3437" s="3">
        <v>44151</v>
      </c>
      <c r="B3437" t="s">
        <v>45</v>
      </c>
      <c r="C3437">
        <v>25.59</v>
      </c>
      <c r="D3437">
        <v>26.1</v>
      </c>
      <c r="E3437">
        <v>25.2</v>
      </c>
      <c r="F3437">
        <v>25.38</v>
      </c>
      <c r="G3437">
        <v>25.524999999999999</v>
      </c>
      <c r="H3437">
        <v>-0.2</v>
      </c>
      <c r="I3437">
        <v>15405</v>
      </c>
      <c r="J3437">
        <v>0</v>
      </c>
      <c r="K3437">
        <v>41338</v>
      </c>
      <c r="L3437">
        <v>43</v>
      </c>
      <c r="M3437">
        <v>65</v>
      </c>
      <c r="N3437" t="s">
        <v>45</v>
      </c>
      <c r="O3437" s="3">
        <v>44216</v>
      </c>
      <c r="P3437">
        <v>-1</v>
      </c>
      <c r="T3437" t="s">
        <v>34</v>
      </c>
      <c r="U3437">
        <v>152</v>
      </c>
      <c r="V3437">
        <v>24.7</v>
      </c>
    </row>
    <row r="3438" spans="1:22" x14ac:dyDescent="0.35">
      <c r="A3438" s="3">
        <v>44151</v>
      </c>
      <c r="B3438" t="s">
        <v>41</v>
      </c>
      <c r="C3438">
        <v>25.3</v>
      </c>
      <c r="D3438">
        <v>25.8</v>
      </c>
      <c r="E3438">
        <v>25.15</v>
      </c>
      <c r="F3438">
        <v>25.57</v>
      </c>
      <c r="G3438">
        <v>25.675000000000001</v>
      </c>
      <c r="H3438">
        <v>0.25</v>
      </c>
      <c r="I3438">
        <v>1412</v>
      </c>
      <c r="J3438">
        <v>0</v>
      </c>
      <c r="K3438">
        <v>4643</v>
      </c>
      <c r="L3438">
        <v>127</v>
      </c>
      <c r="M3438">
        <v>184</v>
      </c>
      <c r="N3438" t="s">
        <v>41</v>
      </c>
      <c r="O3438" s="3">
        <v>44335</v>
      </c>
      <c r="P3438">
        <v>-1</v>
      </c>
      <c r="S3438" s="3">
        <v>44335</v>
      </c>
      <c r="T3438" t="s">
        <v>33</v>
      </c>
      <c r="U3438">
        <v>169</v>
      </c>
      <c r="V3438">
        <v>25.6</v>
      </c>
    </row>
    <row r="3439" spans="1:22" x14ac:dyDescent="0.35">
      <c r="A3439" s="3">
        <v>44151</v>
      </c>
      <c r="B3439" t="s">
        <v>39</v>
      </c>
      <c r="C3439">
        <v>25.6</v>
      </c>
      <c r="D3439">
        <v>25.6</v>
      </c>
      <c r="E3439">
        <v>25.1</v>
      </c>
      <c r="F3439">
        <v>25.45</v>
      </c>
      <c r="G3439">
        <v>24.65</v>
      </c>
      <c r="H3439">
        <v>-0.35</v>
      </c>
      <c r="I3439">
        <v>7</v>
      </c>
      <c r="J3439">
        <v>0</v>
      </c>
      <c r="K3439">
        <v>57</v>
      </c>
      <c r="L3439">
        <v>170</v>
      </c>
      <c r="M3439">
        <v>247</v>
      </c>
      <c r="N3439" t="s">
        <v>39</v>
      </c>
      <c r="O3439" s="3">
        <v>44398</v>
      </c>
      <c r="P3439">
        <v>-1</v>
      </c>
      <c r="T3439" t="s">
        <v>41</v>
      </c>
      <c r="U3439">
        <v>0</v>
      </c>
      <c r="V3439">
        <v>25.21</v>
      </c>
    </row>
    <row r="3440" spans="1:22" x14ac:dyDescent="0.35">
      <c r="A3440" s="3">
        <v>44151</v>
      </c>
      <c r="B3440" t="s">
        <v>43</v>
      </c>
      <c r="C3440">
        <v>25.35</v>
      </c>
      <c r="D3440">
        <v>25.75</v>
      </c>
      <c r="E3440">
        <v>25.15</v>
      </c>
      <c r="F3440">
        <v>25.45</v>
      </c>
      <c r="G3440">
        <v>25.524999999999999</v>
      </c>
      <c r="H3440">
        <v>0</v>
      </c>
      <c r="I3440">
        <v>3155</v>
      </c>
      <c r="J3440">
        <v>0</v>
      </c>
      <c r="K3440">
        <v>12668</v>
      </c>
      <c r="L3440">
        <v>82</v>
      </c>
      <c r="M3440">
        <v>121</v>
      </c>
      <c r="N3440" t="s">
        <v>43</v>
      </c>
      <c r="O3440" s="3">
        <v>44272</v>
      </c>
      <c r="P3440">
        <v>-1</v>
      </c>
      <c r="T3440" t="s">
        <v>40</v>
      </c>
      <c r="U3440">
        <v>19</v>
      </c>
      <c r="V3440">
        <v>23.386099999999999</v>
      </c>
    </row>
    <row r="3441" spans="1:22" x14ac:dyDescent="0.35">
      <c r="A3441" s="3">
        <v>44151</v>
      </c>
      <c r="B3441" t="s">
        <v>46</v>
      </c>
      <c r="C3441">
        <v>24.65</v>
      </c>
      <c r="D3441">
        <v>25.35</v>
      </c>
      <c r="E3441">
        <v>24.25</v>
      </c>
      <c r="F3441">
        <v>24.45</v>
      </c>
      <c r="G3441">
        <v>24.524999999999999</v>
      </c>
      <c r="H3441">
        <v>-0.55000000000000004</v>
      </c>
      <c r="I3441">
        <v>72760</v>
      </c>
      <c r="J3441">
        <v>300</v>
      </c>
      <c r="K3441">
        <v>161518</v>
      </c>
      <c r="L3441">
        <v>21</v>
      </c>
      <c r="M3441">
        <v>30</v>
      </c>
      <c r="N3441" t="s">
        <v>46</v>
      </c>
      <c r="O3441" s="3">
        <v>44181</v>
      </c>
      <c r="P3441">
        <v>-1</v>
      </c>
      <c r="T3441" t="s">
        <v>39</v>
      </c>
      <c r="U3441">
        <v>43</v>
      </c>
      <c r="V3441">
        <v>24.380099999999999</v>
      </c>
    </row>
    <row r="3442" spans="1:22" x14ac:dyDescent="0.35">
      <c r="A3442" s="3">
        <v>44151</v>
      </c>
      <c r="B3442" t="s">
        <v>42</v>
      </c>
      <c r="C3442">
        <v>25.4</v>
      </c>
      <c r="D3442">
        <v>25.8</v>
      </c>
      <c r="E3442">
        <v>25.2</v>
      </c>
      <c r="F3442">
        <v>25.55</v>
      </c>
      <c r="G3442">
        <v>25.65</v>
      </c>
      <c r="H3442">
        <v>0.125</v>
      </c>
      <c r="I3442">
        <v>2063</v>
      </c>
      <c r="J3442">
        <v>0</v>
      </c>
      <c r="K3442">
        <v>8277</v>
      </c>
      <c r="L3442">
        <v>107</v>
      </c>
      <c r="M3442">
        <v>156</v>
      </c>
      <c r="N3442" t="s">
        <v>42</v>
      </c>
      <c r="O3442" s="3">
        <v>44307</v>
      </c>
      <c r="P3442">
        <v>-1</v>
      </c>
      <c r="T3442" t="s">
        <v>38</v>
      </c>
      <c r="U3442">
        <v>63</v>
      </c>
      <c r="V3442">
        <v>24.819800000000001</v>
      </c>
    </row>
    <row r="3443" spans="1:22" x14ac:dyDescent="0.35">
      <c r="A3443" s="3">
        <v>44151</v>
      </c>
      <c r="B3443" t="s">
        <v>44</v>
      </c>
      <c r="C3443">
        <v>25.59</v>
      </c>
      <c r="D3443">
        <v>25.9</v>
      </c>
      <c r="E3443">
        <v>25.28</v>
      </c>
      <c r="F3443">
        <v>25.5</v>
      </c>
      <c r="G3443">
        <v>25.574999999999999</v>
      </c>
      <c r="H3443">
        <v>-0.1</v>
      </c>
      <c r="I3443">
        <v>5213</v>
      </c>
      <c r="J3443">
        <v>0</v>
      </c>
      <c r="K3443">
        <v>17805</v>
      </c>
      <c r="L3443">
        <v>62</v>
      </c>
      <c r="M3443">
        <v>93</v>
      </c>
      <c r="N3443" t="s">
        <v>44</v>
      </c>
      <c r="O3443" s="3">
        <v>44244</v>
      </c>
      <c r="P3443">
        <v>-1</v>
      </c>
      <c r="T3443" t="s">
        <v>37</v>
      </c>
      <c r="U3443">
        <v>82</v>
      </c>
      <c r="V3443">
        <v>25.25</v>
      </c>
    </row>
    <row r="3444" spans="1:22" x14ac:dyDescent="0.35">
      <c r="A3444" s="3">
        <v>44148</v>
      </c>
      <c r="B3444" t="s">
        <v>39</v>
      </c>
      <c r="C3444">
        <v>25.31</v>
      </c>
      <c r="D3444">
        <v>25.5</v>
      </c>
      <c r="E3444">
        <v>25.1</v>
      </c>
      <c r="F3444">
        <v>25.1</v>
      </c>
      <c r="G3444">
        <v>25</v>
      </c>
      <c r="H3444">
        <v>-0.97499999999999998</v>
      </c>
      <c r="I3444">
        <v>20</v>
      </c>
      <c r="J3444">
        <v>0</v>
      </c>
      <c r="K3444">
        <v>52</v>
      </c>
      <c r="L3444">
        <v>171</v>
      </c>
      <c r="M3444">
        <v>250</v>
      </c>
      <c r="N3444" t="s">
        <v>39</v>
      </c>
      <c r="O3444" s="3">
        <v>44398</v>
      </c>
      <c r="P3444">
        <v>-1</v>
      </c>
      <c r="T3444" t="s">
        <v>36</v>
      </c>
      <c r="U3444">
        <v>107</v>
      </c>
      <c r="V3444">
        <v>25.358000000000001</v>
      </c>
    </row>
    <row r="3445" spans="1:22" x14ac:dyDescent="0.35">
      <c r="A3445" s="3">
        <v>44148</v>
      </c>
      <c r="B3445" t="s">
        <v>43</v>
      </c>
      <c r="C3445">
        <v>26.05</v>
      </c>
      <c r="D3445">
        <v>26.2</v>
      </c>
      <c r="E3445">
        <v>25.15</v>
      </c>
      <c r="F3445">
        <v>25.5</v>
      </c>
      <c r="G3445">
        <v>25.524999999999999</v>
      </c>
      <c r="H3445">
        <v>-0.55000000000000004</v>
      </c>
      <c r="I3445">
        <v>3792</v>
      </c>
      <c r="J3445">
        <v>0</v>
      </c>
      <c r="K3445">
        <v>12320</v>
      </c>
      <c r="L3445">
        <v>83</v>
      </c>
      <c r="M3445">
        <v>124</v>
      </c>
      <c r="N3445" t="s">
        <v>43</v>
      </c>
      <c r="O3445" s="3">
        <v>44272</v>
      </c>
      <c r="P3445">
        <v>-1</v>
      </c>
      <c r="T3445" t="s">
        <v>35</v>
      </c>
      <c r="U3445">
        <v>127</v>
      </c>
      <c r="V3445">
        <v>25.167400000000001</v>
      </c>
    </row>
    <row r="3446" spans="1:22" x14ac:dyDescent="0.35">
      <c r="A3446" s="3">
        <v>44148</v>
      </c>
      <c r="B3446" t="s">
        <v>46</v>
      </c>
      <c r="C3446">
        <v>26.58</v>
      </c>
      <c r="D3446">
        <v>27</v>
      </c>
      <c r="E3446">
        <v>24.6</v>
      </c>
      <c r="F3446">
        <v>25</v>
      </c>
      <c r="G3446">
        <v>25.074999999999999</v>
      </c>
      <c r="H3446">
        <v>-1.5</v>
      </c>
      <c r="I3446">
        <v>65697</v>
      </c>
      <c r="J3446">
        <v>1305</v>
      </c>
      <c r="K3446">
        <v>150485</v>
      </c>
      <c r="L3446">
        <v>22</v>
      </c>
      <c r="M3446">
        <v>33</v>
      </c>
      <c r="N3446" t="s">
        <v>46</v>
      </c>
      <c r="O3446" s="3">
        <v>44181</v>
      </c>
      <c r="P3446">
        <v>-1</v>
      </c>
      <c r="T3446" t="s">
        <v>34</v>
      </c>
      <c r="U3446">
        <v>151</v>
      </c>
      <c r="V3446">
        <v>24.8</v>
      </c>
    </row>
    <row r="3447" spans="1:22" x14ac:dyDescent="0.35">
      <c r="A3447" s="3">
        <v>44148</v>
      </c>
      <c r="B3447" t="s">
        <v>42</v>
      </c>
      <c r="C3447">
        <v>26.15</v>
      </c>
      <c r="D3447">
        <v>26.25</v>
      </c>
      <c r="E3447">
        <v>25.3</v>
      </c>
      <c r="F3447">
        <v>25.44</v>
      </c>
      <c r="G3447">
        <v>25.524999999999999</v>
      </c>
      <c r="H3447">
        <v>-0.6</v>
      </c>
      <c r="I3447">
        <v>2219</v>
      </c>
      <c r="J3447">
        <v>0</v>
      </c>
      <c r="K3447">
        <v>8030</v>
      </c>
      <c r="L3447">
        <v>108</v>
      </c>
      <c r="M3447">
        <v>159</v>
      </c>
      <c r="N3447" t="s">
        <v>42</v>
      </c>
      <c r="O3447" s="3">
        <v>44307</v>
      </c>
      <c r="P3447">
        <v>-1</v>
      </c>
      <c r="S3447" s="3">
        <v>44336</v>
      </c>
      <c r="T3447" t="s">
        <v>33</v>
      </c>
      <c r="U3447">
        <v>168</v>
      </c>
      <c r="V3447">
        <v>25.024999999999999</v>
      </c>
    </row>
    <row r="3448" spans="1:22" x14ac:dyDescent="0.35">
      <c r="A3448" s="3">
        <v>44148</v>
      </c>
      <c r="B3448" t="s">
        <v>44</v>
      </c>
      <c r="C3448">
        <v>26.3</v>
      </c>
      <c r="D3448">
        <v>26.47</v>
      </c>
      <c r="E3448">
        <v>25.35</v>
      </c>
      <c r="F3448">
        <v>25.65</v>
      </c>
      <c r="G3448">
        <v>25.675000000000001</v>
      </c>
      <c r="H3448">
        <v>-0.6</v>
      </c>
      <c r="I3448">
        <v>5672</v>
      </c>
      <c r="J3448">
        <v>0</v>
      </c>
      <c r="K3448">
        <v>17768</v>
      </c>
      <c r="L3448">
        <v>63</v>
      </c>
      <c r="M3448">
        <v>96</v>
      </c>
      <c r="N3448" t="s">
        <v>44</v>
      </c>
      <c r="O3448" s="3">
        <v>44244</v>
      </c>
      <c r="P3448">
        <v>-1</v>
      </c>
      <c r="T3448" t="s">
        <v>40</v>
      </c>
      <c r="U3448">
        <v>18</v>
      </c>
      <c r="V3448">
        <v>22.103100000000001</v>
      </c>
    </row>
    <row r="3449" spans="1:22" x14ac:dyDescent="0.35">
      <c r="A3449" s="3">
        <v>44148</v>
      </c>
      <c r="B3449" t="s">
        <v>40</v>
      </c>
      <c r="C3449">
        <v>25.95</v>
      </c>
      <c r="D3449">
        <v>25.95</v>
      </c>
      <c r="E3449">
        <v>25.15</v>
      </c>
      <c r="F3449">
        <v>25.32</v>
      </c>
      <c r="G3449">
        <v>25.324999999999999</v>
      </c>
      <c r="H3449">
        <v>-0.52500000000000002</v>
      </c>
      <c r="I3449">
        <v>92</v>
      </c>
      <c r="J3449">
        <v>0</v>
      </c>
      <c r="K3449">
        <v>143</v>
      </c>
      <c r="L3449">
        <v>147</v>
      </c>
      <c r="M3449">
        <v>215</v>
      </c>
      <c r="N3449" t="s">
        <v>40</v>
      </c>
      <c r="O3449" s="3">
        <v>44363</v>
      </c>
      <c r="P3449">
        <v>-1</v>
      </c>
      <c r="T3449" t="s">
        <v>39</v>
      </c>
      <c r="U3449">
        <v>42</v>
      </c>
      <c r="V3449">
        <v>23.634599999999999</v>
      </c>
    </row>
    <row r="3450" spans="1:22" x14ac:dyDescent="0.35">
      <c r="A3450" s="3">
        <v>44148</v>
      </c>
      <c r="B3450" t="s">
        <v>47</v>
      </c>
      <c r="C3450">
        <v>25.9</v>
      </c>
      <c r="D3450">
        <v>26.5</v>
      </c>
      <c r="E3450">
        <v>23.25</v>
      </c>
      <c r="F3450">
        <v>23.35</v>
      </c>
      <c r="G3450">
        <v>23.324999999999999</v>
      </c>
      <c r="H3450">
        <v>-2.5499999999999998</v>
      </c>
      <c r="I3450">
        <v>65667</v>
      </c>
      <c r="J3450">
        <v>230</v>
      </c>
      <c r="K3450">
        <v>40713</v>
      </c>
      <c r="L3450">
        <v>3</v>
      </c>
      <c r="M3450">
        <v>5</v>
      </c>
      <c r="N3450" t="s">
        <v>47</v>
      </c>
      <c r="O3450" s="3">
        <v>44153</v>
      </c>
      <c r="P3450">
        <v>-1</v>
      </c>
      <c r="T3450" t="s">
        <v>38</v>
      </c>
      <c r="U3450">
        <v>62</v>
      </c>
      <c r="V3450">
        <v>24.158000000000001</v>
      </c>
    </row>
    <row r="3451" spans="1:22" x14ac:dyDescent="0.35">
      <c r="A3451" s="3">
        <v>44148</v>
      </c>
      <c r="B3451" t="s">
        <v>45</v>
      </c>
      <c r="C3451">
        <v>26.6</v>
      </c>
      <c r="D3451">
        <v>26.88</v>
      </c>
      <c r="E3451">
        <v>25.32</v>
      </c>
      <c r="F3451">
        <v>25.64</v>
      </c>
      <c r="G3451">
        <v>25.725000000000001</v>
      </c>
      <c r="H3451">
        <v>-0.95</v>
      </c>
      <c r="I3451">
        <v>16854</v>
      </c>
      <c r="J3451">
        <v>0</v>
      </c>
      <c r="K3451">
        <v>39542</v>
      </c>
      <c r="L3451">
        <v>44</v>
      </c>
      <c r="M3451">
        <v>68</v>
      </c>
      <c r="N3451" t="s">
        <v>45</v>
      </c>
      <c r="O3451" s="3">
        <v>44216</v>
      </c>
      <c r="P3451">
        <v>-1</v>
      </c>
      <c r="T3451" t="s">
        <v>37</v>
      </c>
      <c r="U3451">
        <v>81</v>
      </c>
      <c r="V3451">
        <v>24.649100000000001</v>
      </c>
    </row>
    <row r="3452" spans="1:22" x14ac:dyDescent="0.35">
      <c r="A3452" s="3">
        <v>44148</v>
      </c>
      <c r="B3452" t="s">
        <v>41</v>
      </c>
      <c r="C3452">
        <v>26.2</v>
      </c>
      <c r="D3452">
        <v>26.2</v>
      </c>
      <c r="E3452">
        <v>25.25</v>
      </c>
      <c r="F3452">
        <v>25.4</v>
      </c>
      <c r="G3452">
        <v>25.425000000000001</v>
      </c>
      <c r="H3452">
        <v>-0.65</v>
      </c>
      <c r="I3452">
        <v>1008</v>
      </c>
      <c r="J3452">
        <v>0</v>
      </c>
      <c r="K3452">
        <v>4086</v>
      </c>
      <c r="L3452">
        <v>128</v>
      </c>
      <c r="M3452">
        <v>187</v>
      </c>
      <c r="N3452" t="s">
        <v>41</v>
      </c>
      <c r="O3452" s="3">
        <v>44335</v>
      </c>
      <c r="P3452">
        <v>-1</v>
      </c>
      <c r="T3452" t="s">
        <v>36</v>
      </c>
      <c r="U3452">
        <v>106</v>
      </c>
      <c r="V3452">
        <v>24.800899999999999</v>
      </c>
    </row>
    <row r="3453" spans="1:22" x14ac:dyDescent="0.35">
      <c r="A3453" s="3">
        <v>44147</v>
      </c>
      <c r="B3453" t="s">
        <v>40</v>
      </c>
      <c r="C3453">
        <v>25.55</v>
      </c>
      <c r="D3453">
        <v>25.9</v>
      </c>
      <c r="E3453">
        <v>25.15</v>
      </c>
      <c r="F3453">
        <v>25.75</v>
      </c>
      <c r="G3453">
        <v>25.85</v>
      </c>
      <c r="H3453">
        <v>0.47499999999999998</v>
      </c>
      <c r="I3453">
        <v>109</v>
      </c>
      <c r="J3453">
        <v>0</v>
      </c>
      <c r="K3453">
        <v>127</v>
      </c>
      <c r="L3453">
        <v>148</v>
      </c>
      <c r="M3453">
        <v>216</v>
      </c>
      <c r="N3453" t="s">
        <v>40</v>
      </c>
      <c r="O3453" s="3">
        <v>44363</v>
      </c>
      <c r="P3453">
        <v>-1</v>
      </c>
      <c r="T3453" t="s">
        <v>35</v>
      </c>
      <c r="U3453">
        <v>126</v>
      </c>
      <c r="V3453">
        <v>24.707699999999999</v>
      </c>
    </row>
    <row r="3454" spans="1:22" x14ac:dyDescent="0.35">
      <c r="A3454" s="3">
        <v>44147</v>
      </c>
      <c r="B3454" t="s">
        <v>47</v>
      </c>
      <c r="C3454">
        <v>24.1</v>
      </c>
      <c r="D3454">
        <v>26.9</v>
      </c>
      <c r="E3454">
        <v>23.8</v>
      </c>
      <c r="F3454">
        <v>25.76</v>
      </c>
      <c r="G3454">
        <v>25.875</v>
      </c>
      <c r="H3454">
        <v>2.0499999999999998</v>
      </c>
      <c r="I3454">
        <v>81862</v>
      </c>
      <c r="J3454">
        <v>0</v>
      </c>
      <c r="K3454">
        <v>43976</v>
      </c>
      <c r="L3454">
        <v>4</v>
      </c>
      <c r="M3454">
        <v>6</v>
      </c>
      <c r="N3454" t="s">
        <v>47</v>
      </c>
      <c r="O3454" s="3">
        <v>44153</v>
      </c>
      <c r="P3454">
        <v>-1</v>
      </c>
      <c r="T3454" t="s">
        <v>34</v>
      </c>
      <c r="U3454">
        <v>150</v>
      </c>
      <c r="V3454">
        <v>24.45</v>
      </c>
    </row>
    <row r="3455" spans="1:22" x14ac:dyDescent="0.35">
      <c r="A3455" s="3">
        <v>44147</v>
      </c>
      <c r="B3455" t="s">
        <v>45</v>
      </c>
      <c r="C3455">
        <v>25.38</v>
      </c>
      <c r="D3455">
        <v>27.1</v>
      </c>
      <c r="E3455">
        <v>25.38</v>
      </c>
      <c r="F3455">
        <v>26.54</v>
      </c>
      <c r="G3455">
        <v>26.675000000000001</v>
      </c>
      <c r="H3455">
        <v>1.25</v>
      </c>
      <c r="I3455">
        <v>17499</v>
      </c>
      <c r="J3455">
        <v>0</v>
      </c>
      <c r="K3455">
        <v>37802</v>
      </c>
      <c r="L3455">
        <v>45</v>
      </c>
      <c r="M3455">
        <v>69</v>
      </c>
      <c r="N3455" t="s">
        <v>45</v>
      </c>
      <c r="O3455" s="3">
        <v>44216</v>
      </c>
      <c r="P3455">
        <v>-1</v>
      </c>
      <c r="S3455" s="3">
        <v>44337</v>
      </c>
      <c r="T3455" t="s">
        <v>33</v>
      </c>
      <c r="U3455">
        <v>167</v>
      </c>
      <c r="V3455">
        <v>24.95</v>
      </c>
    </row>
    <row r="3456" spans="1:22" x14ac:dyDescent="0.35">
      <c r="A3456" s="3">
        <v>44147</v>
      </c>
      <c r="B3456" t="s">
        <v>41</v>
      </c>
      <c r="C3456">
        <v>25.5</v>
      </c>
      <c r="D3456">
        <v>26.15</v>
      </c>
      <c r="E3456">
        <v>25.25</v>
      </c>
      <c r="F3456">
        <v>25.91</v>
      </c>
      <c r="G3456">
        <v>26.074999999999999</v>
      </c>
      <c r="H3456">
        <v>0.6</v>
      </c>
      <c r="I3456">
        <v>1220</v>
      </c>
      <c r="J3456">
        <v>0</v>
      </c>
      <c r="K3456">
        <v>3810</v>
      </c>
      <c r="L3456">
        <v>129</v>
      </c>
      <c r="M3456">
        <v>188</v>
      </c>
      <c r="N3456" t="s">
        <v>41</v>
      </c>
      <c r="O3456" s="3">
        <v>44335</v>
      </c>
      <c r="P3456">
        <v>-1</v>
      </c>
      <c r="T3456" t="s">
        <v>40</v>
      </c>
      <c r="U3456">
        <v>17</v>
      </c>
      <c r="V3456">
        <v>21.845300000000002</v>
      </c>
    </row>
    <row r="3457" spans="1:22" x14ac:dyDescent="0.35">
      <c r="A3457" s="3">
        <v>44147</v>
      </c>
      <c r="B3457" t="s">
        <v>39</v>
      </c>
      <c r="C3457">
        <v>25.6</v>
      </c>
      <c r="D3457">
        <v>25.65</v>
      </c>
      <c r="E3457">
        <v>25.6</v>
      </c>
      <c r="F3457">
        <v>25.65</v>
      </c>
      <c r="G3457">
        <v>25.975000000000001</v>
      </c>
      <c r="H3457">
        <v>1.45</v>
      </c>
      <c r="I3457">
        <v>2</v>
      </c>
      <c r="J3457">
        <v>0</v>
      </c>
      <c r="K3457">
        <v>37</v>
      </c>
      <c r="L3457">
        <v>172</v>
      </c>
      <c r="M3457">
        <v>251</v>
      </c>
      <c r="N3457" t="s">
        <v>39</v>
      </c>
      <c r="O3457" s="3">
        <v>44398</v>
      </c>
      <c r="P3457">
        <v>-1</v>
      </c>
      <c r="T3457" t="s">
        <v>39</v>
      </c>
      <c r="U3457">
        <v>41</v>
      </c>
      <c r="V3457">
        <v>23.28</v>
      </c>
    </row>
    <row r="3458" spans="1:22" x14ac:dyDescent="0.35">
      <c r="A3458" s="3">
        <v>44147</v>
      </c>
      <c r="B3458" t="s">
        <v>43</v>
      </c>
      <c r="C3458">
        <v>25.43</v>
      </c>
      <c r="D3458">
        <v>26.27</v>
      </c>
      <c r="E3458">
        <v>25.25</v>
      </c>
      <c r="F3458">
        <v>25.99</v>
      </c>
      <c r="G3458">
        <v>26.074999999999999</v>
      </c>
      <c r="H3458">
        <v>0.65</v>
      </c>
      <c r="I3458">
        <v>4059</v>
      </c>
      <c r="J3458">
        <v>0</v>
      </c>
      <c r="K3458">
        <v>11603</v>
      </c>
      <c r="L3458">
        <v>84</v>
      </c>
      <c r="M3458">
        <v>125</v>
      </c>
      <c r="N3458" t="s">
        <v>43</v>
      </c>
      <c r="O3458" s="3">
        <v>44272</v>
      </c>
      <c r="P3458">
        <v>-1</v>
      </c>
      <c r="T3458" t="s">
        <v>38</v>
      </c>
      <c r="U3458">
        <v>61</v>
      </c>
      <c r="V3458">
        <v>23.828199999999999</v>
      </c>
    </row>
    <row r="3459" spans="1:22" x14ac:dyDescent="0.35">
      <c r="A3459" s="3">
        <v>44147</v>
      </c>
      <c r="B3459" t="s">
        <v>46</v>
      </c>
      <c r="C3459">
        <v>24.75</v>
      </c>
      <c r="D3459">
        <v>27.02</v>
      </c>
      <c r="E3459">
        <v>24.75</v>
      </c>
      <c r="F3459">
        <v>26.43</v>
      </c>
      <c r="G3459">
        <v>26.574999999999999</v>
      </c>
      <c r="H3459">
        <v>1.6</v>
      </c>
      <c r="I3459">
        <v>89518</v>
      </c>
      <c r="J3459">
        <v>0</v>
      </c>
      <c r="K3459">
        <v>148555</v>
      </c>
      <c r="L3459">
        <v>23</v>
      </c>
      <c r="M3459">
        <v>34</v>
      </c>
      <c r="N3459" t="s">
        <v>46</v>
      </c>
      <c r="O3459" s="3">
        <v>44181</v>
      </c>
      <c r="P3459">
        <v>-1</v>
      </c>
      <c r="T3459" t="s">
        <v>37</v>
      </c>
      <c r="U3459">
        <v>80</v>
      </c>
      <c r="V3459">
        <v>24.357399999999998</v>
      </c>
    </row>
    <row r="3460" spans="1:22" x14ac:dyDescent="0.35">
      <c r="A3460" s="3">
        <v>44147</v>
      </c>
      <c r="B3460" t="s">
        <v>42</v>
      </c>
      <c r="C3460">
        <v>25.47</v>
      </c>
      <c r="D3460">
        <v>26.2</v>
      </c>
      <c r="E3460">
        <v>25.22</v>
      </c>
      <c r="F3460">
        <v>26.05</v>
      </c>
      <c r="G3460">
        <v>26.125</v>
      </c>
      <c r="H3460">
        <v>0.65</v>
      </c>
      <c r="I3460">
        <v>3684</v>
      </c>
      <c r="J3460">
        <v>0</v>
      </c>
      <c r="K3460">
        <v>7916</v>
      </c>
      <c r="L3460">
        <v>109</v>
      </c>
      <c r="M3460">
        <v>160</v>
      </c>
      <c r="N3460" t="s">
        <v>42</v>
      </c>
      <c r="O3460" s="3">
        <v>44307</v>
      </c>
      <c r="P3460">
        <v>-1</v>
      </c>
      <c r="T3460" t="s">
        <v>36</v>
      </c>
      <c r="U3460">
        <v>105</v>
      </c>
      <c r="V3460">
        <v>24.65</v>
      </c>
    </row>
    <row r="3461" spans="1:22" x14ac:dyDescent="0.35">
      <c r="A3461" s="3">
        <v>44147</v>
      </c>
      <c r="B3461" t="s">
        <v>44</v>
      </c>
      <c r="C3461">
        <v>25.46</v>
      </c>
      <c r="D3461">
        <v>26.58</v>
      </c>
      <c r="E3461">
        <v>25.4</v>
      </c>
      <c r="F3461">
        <v>26.25</v>
      </c>
      <c r="G3461">
        <v>26.274999999999999</v>
      </c>
      <c r="H3461">
        <v>0.8</v>
      </c>
      <c r="I3461">
        <v>7041</v>
      </c>
      <c r="J3461">
        <v>0</v>
      </c>
      <c r="K3461">
        <v>17240</v>
      </c>
      <c r="L3461">
        <v>64</v>
      </c>
      <c r="M3461">
        <v>97</v>
      </c>
      <c r="N3461" t="s">
        <v>44</v>
      </c>
      <c r="O3461" s="3">
        <v>44244</v>
      </c>
      <c r="P3461">
        <v>-1</v>
      </c>
      <c r="T3461" t="s">
        <v>35</v>
      </c>
      <c r="U3461">
        <v>125</v>
      </c>
      <c r="V3461">
        <v>24.6</v>
      </c>
    </row>
    <row r="3462" spans="1:22" x14ac:dyDescent="0.35">
      <c r="A3462" s="3">
        <v>44146</v>
      </c>
      <c r="B3462" t="s">
        <v>39</v>
      </c>
      <c r="C3462">
        <v>25</v>
      </c>
      <c r="D3462">
        <v>25</v>
      </c>
      <c r="E3462">
        <v>24.95</v>
      </c>
      <c r="F3462">
        <v>24.95</v>
      </c>
      <c r="G3462">
        <v>24.524999999999999</v>
      </c>
      <c r="H3462">
        <v>0.22500000000000001</v>
      </c>
      <c r="I3462">
        <v>6</v>
      </c>
      <c r="J3462">
        <v>0</v>
      </c>
      <c r="K3462">
        <v>36</v>
      </c>
      <c r="L3462">
        <v>173</v>
      </c>
      <c r="M3462">
        <v>252</v>
      </c>
      <c r="N3462" t="s">
        <v>39</v>
      </c>
      <c r="O3462" s="3">
        <v>44398</v>
      </c>
      <c r="P3462">
        <v>-1</v>
      </c>
      <c r="T3462" t="s">
        <v>34</v>
      </c>
      <c r="U3462">
        <v>149</v>
      </c>
      <c r="V3462">
        <v>24.35</v>
      </c>
    </row>
    <row r="3463" spans="1:22" x14ac:dyDescent="0.35">
      <c r="A3463" s="3">
        <v>44146</v>
      </c>
      <c r="B3463" t="s">
        <v>43</v>
      </c>
      <c r="C3463">
        <v>25.48</v>
      </c>
      <c r="D3463">
        <v>25.67</v>
      </c>
      <c r="E3463">
        <v>25.12</v>
      </c>
      <c r="F3463">
        <v>25.4</v>
      </c>
      <c r="G3463">
        <v>25.425000000000001</v>
      </c>
      <c r="H3463">
        <v>-0.1</v>
      </c>
      <c r="I3463">
        <v>3314</v>
      </c>
      <c r="J3463">
        <v>0</v>
      </c>
      <c r="K3463">
        <v>11551</v>
      </c>
      <c r="L3463">
        <v>85</v>
      </c>
      <c r="M3463">
        <v>126</v>
      </c>
      <c r="N3463" t="s">
        <v>43</v>
      </c>
      <c r="O3463" s="3">
        <v>44272</v>
      </c>
      <c r="P3463">
        <v>-1</v>
      </c>
      <c r="S3463" s="3">
        <v>44340</v>
      </c>
      <c r="T3463" t="s">
        <v>33</v>
      </c>
      <c r="U3463">
        <v>166</v>
      </c>
      <c r="V3463">
        <v>24.55</v>
      </c>
    </row>
    <row r="3464" spans="1:22" x14ac:dyDescent="0.35">
      <c r="A3464" s="3">
        <v>44146</v>
      </c>
      <c r="B3464" t="s">
        <v>46</v>
      </c>
      <c r="C3464">
        <v>25.48</v>
      </c>
      <c r="D3464">
        <v>25.75</v>
      </c>
      <c r="E3464">
        <v>24.5</v>
      </c>
      <c r="F3464">
        <v>24.9</v>
      </c>
      <c r="G3464">
        <v>24.975000000000001</v>
      </c>
      <c r="H3464">
        <v>-0.45</v>
      </c>
      <c r="I3464">
        <v>62110</v>
      </c>
      <c r="J3464">
        <v>578</v>
      </c>
      <c r="K3464">
        <v>141220</v>
      </c>
      <c r="L3464">
        <v>24</v>
      </c>
      <c r="M3464">
        <v>35</v>
      </c>
      <c r="N3464" t="s">
        <v>46</v>
      </c>
      <c r="O3464" s="3">
        <v>44181</v>
      </c>
      <c r="P3464">
        <v>-1</v>
      </c>
      <c r="T3464" t="s">
        <v>32</v>
      </c>
      <c r="U3464">
        <v>186</v>
      </c>
      <c r="V3464">
        <v>24.524999999999999</v>
      </c>
    </row>
    <row r="3465" spans="1:22" x14ac:dyDescent="0.35">
      <c r="A3465" s="3">
        <v>44146</v>
      </c>
      <c r="B3465" t="s">
        <v>42</v>
      </c>
      <c r="C3465">
        <v>25.4</v>
      </c>
      <c r="D3465">
        <v>25.7</v>
      </c>
      <c r="E3465">
        <v>25.16</v>
      </c>
      <c r="F3465">
        <v>25.46</v>
      </c>
      <c r="G3465">
        <v>25.475000000000001</v>
      </c>
      <c r="H3465">
        <v>0</v>
      </c>
      <c r="I3465">
        <v>1923</v>
      </c>
      <c r="J3465">
        <v>0</v>
      </c>
      <c r="K3465">
        <v>8210</v>
      </c>
      <c r="L3465">
        <v>110</v>
      </c>
      <c r="M3465">
        <v>161</v>
      </c>
      <c r="N3465" t="s">
        <v>42</v>
      </c>
      <c r="O3465" s="3">
        <v>44307</v>
      </c>
      <c r="P3465">
        <v>-1</v>
      </c>
      <c r="T3465" t="s">
        <v>40</v>
      </c>
      <c r="U3465">
        <v>16</v>
      </c>
      <c r="V3465">
        <v>20.756900000000002</v>
      </c>
    </row>
    <row r="3466" spans="1:22" x14ac:dyDescent="0.35">
      <c r="A3466" s="3">
        <v>44146</v>
      </c>
      <c r="B3466" t="s">
        <v>44</v>
      </c>
      <c r="C3466">
        <v>25.6</v>
      </c>
      <c r="D3466">
        <v>25.8</v>
      </c>
      <c r="E3466">
        <v>25.19</v>
      </c>
      <c r="F3466">
        <v>25.5</v>
      </c>
      <c r="G3466">
        <v>25.475000000000001</v>
      </c>
      <c r="H3466">
        <v>-0.15</v>
      </c>
      <c r="I3466">
        <v>6017</v>
      </c>
      <c r="J3466">
        <v>0</v>
      </c>
      <c r="K3466">
        <v>17034</v>
      </c>
      <c r="L3466">
        <v>65</v>
      </c>
      <c r="M3466">
        <v>98</v>
      </c>
      <c r="N3466" t="s">
        <v>44</v>
      </c>
      <c r="O3466" s="3">
        <v>44244</v>
      </c>
      <c r="P3466">
        <v>-1</v>
      </c>
      <c r="T3466" t="s">
        <v>39</v>
      </c>
      <c r="U3466">
        <v>40</v>
      </c>
      <c r="V3466">
        <v>22.4758</v>
      </c>
    </row>
    <row r="3467" spans="1:22" x14ac:dyDescent="0.35">
      <c r="A3467" s="3">
        <v>44146</v>
      </c>
      <c r="B3467" t="s">
        <v>40</v>
      </c>
      <c r="C3467">
        <v>24.95</v>
      </c>
      <c r="D3467">
        <v>25.35</v>
      </c>
      <c r="E3467">
        <v>24.9</v>
      </c>
      <c r="F3467">
        <v>25.32</v>
      </c>
      <c r="G3467">
        <v>25.375</v>
      </c>
      <c r="H3467">
        <v>0.22500000000000001</v>
      </c>
      <c r="I3467">
        <v>66</v>
      </c>
      <c r="J3467">
        <v>0</v>
      </c>
      <c r="K3467">
        <v>126</v>
      </c>
      <c r="L3467">
        <v>149</v>
      </c>
      <c r="M3467">
        <v>217</v>
      </c>
      <c r="N3467" t="s">
        <v>40</v>
      </c>
      <c r="O3467" s="3">
        <v>44363</v>
      </c>
      <c r="P3467">
        <v>-1</v>
      </c>
      <c r="T3467" t="s">
        <v>38</v>
      </c>
      <c r="U3467">
        <v>60</v>
      </c>
      <c r="V3467">
        <v>23.1084</v>
      </c>
    </row>
    <row r="3468" spans="1:22" x14ac:dyDescent="0.35">
      <c r="A3468" s="3">
        <v>44146</v>
      </c>
      <c r="B3468" t="s">
        <v>47</v>
      </c>
      <c r="C3468">
        <v>24.7</v>
      </c>
      <c r="D3468">
        <v>24.96</v>
      </c>
      <c r="E3468">
        <v>23.18</v>
      </c>
      <c r="F3468">
        <v>24.15</v>
      </c>
      <c r="G3468">
        <v>23.824999999999999</v>
      </c>
      <c r="H3468">
        <v>-0.85</v>
      </c>
      <c r="I3468">
        <v>62948</v>
      </c>
      <c r="J3468">
        <v>192</v>
      </c>
      <c r="K3468">
        <v>52329</v>
      </c>
      <c r="L3468">
        <v>5</v>
      </c>
      <c r="M3468">
        <v>7</v>
      </c>
      <c r="N3468" t="s">
        <v>47</v>
      </c>
      <c r="O3468" s="3">
        <v>44153</v>
      </c>
      <c r="P3468">
        <v>-1</v>
      </c>
      <c r="T3468" t="s">
        <v>37</v>
      </c>
      <c r="U3468">
        <v>79</v>
      </c>
      <c r="V3468">
        <v>23.7</v>
      </c>
    </row>
    <row r="3469" spans="1:22" x14ac:dyDescent="0.35">
      <c r="A3469" s="3">
        <v>44146</v>
      </c>
      <c r="B3469" t="s">
        <v>45</v>
      </c>
      <c r="C3469">
        <v>25.8</v>
      </c>
      <c r="D3469">
        <v>26.11</v>
      </c>
      <c r="E3469">
        <v>25.09</v>
      </c>
      <c r="F3469">
        <v>25.4</v>
      </c>
      <c r="G3469">
        <v>25.425000000000001</v>
      </c>
      <c r="H3469">
        <v>-0.45</v>
      </c>
      <c r="I3469">
        <v>13657</v>
      </c>
      <c r="J3469">
        <v>0</v>
      </c>
      <c r="K3469">
        <v>35596</v>
      </c>
      <c r="L3469">
        <v>46</v>
      </c>
      <c r="M3469">
        <v>70</v>
      </c>
      <c r="N3469" t="s">
        <v>45</v>
      </c>
      <c r="O3469" s="3">
        <v>44216</v>
      </c>
      <c r="P3469">
        <v>-1</v>
      </c>
      <c r="T3469" t="s">
        <v>36</v>
      </c>
      <c r="U3469">
        <v>104</v>
      </c>
      <c r="V3469">
        <v>24</v>
      </c>
    </row>
    <row r="3470" spans="1:22" x14ac:dyDescent="0.35">
      <c r="A3470" s="3">
        <v>44146</v>
      </c>
      <c r="B3470" t="s">
        <v>41</v>
      </c>
      <c r="C3470">
        <v>25.31</v>
      </c>
      <c r="D3470">
        <v>25.65</v>
      </c>
      <c r="E3470">
        <v>25.07</v>
      </c>
      <c r="F3470">
        <v>25.47</v>
      </c>
      <c r="G3470">
        <v>25.475000000000001</v>
      </c>
      <c r="H3470">
        <v>7.4999999999999997E-2</v>
      </c>
      <c r="I3470">
        <v>880</v>
      </c>
      <c r="J3470">
        <v>0</v>
      </c>
      <c r="K3470">
        <v>3509</v>
      </c>
      <c r="L3470">
        <v>130</v>
      </c>
      <c r="M3470">
        <v>189</v>
      </c>
      <c r="N3470" t="s">
        <v>41</v>
      </c>
      <c r="O3470" s="3">
        <v>44335</v>
      </c>
      <c r="P3470">
        <v>-1</v>
      </c>
      <c r="T3470" t="s">
        <v>35</v>
      </c>
      <c r="U3470">
        <v>124</v>
      </c>
      <c r="V3470">
        <v>24.0047</v>
      </c>
    </row>
    <row r="3471" spans="1:22" x14ac:dyDescent="0.35">
      <c r="A3471" s="3">
        <v>44145</v>
      </c>
      <c r="B3471" t="s">
        <v>40</v>
      </c>
      <c r="C3471">
        <v>25.25</v>
      </c>
      <c r="D3471">
        <v>25.36</v>
      </c>
      <c r="E3471">
        <v>24.75</v>
      </c>
      <c r="F3471">
        <v>25.14</v>
      </c>
      <c r="G3471">
        <v>25.15</v>
      </c>
      <c r="H3471">
        <v>0.17499999999999999</v>
      </c>
      <c r="I3471">
        <v>54</v>
      </c>
      <c r="J3471">
        <v>0</v>
      </c>
      <c r="K3471">
        <v>105</v>
      </c>
      <c r="L3471">
        <v>150</v>
      </c>
      <c r="M3471">
        <v>218</v>
      </c>
      <c r="N3471" t="s">
        <v>40</v>
      </c>
      <c r="O3471" s="3">
        <v>44363</v>
      </c>
      <c r="P3471">
        <v>-1</v>
      </c>
      <c r="T3471" t="s">
        <v>34</v>
      </c>
      <c r="U3471">
        <v>148</v>
      </c>
      <c r="V3471">
        <v>23.774999999999999</v>
      </c>
    </row>
    <row r="3472" spans="1:22" x14ac:dyDescent="0.35">
      <c r="A3472" s="3">
        <v>44145</v>
      </c>
      <c r="B3472" t="s">
        <v>47</v>
      </c>
      <c r="C3472">
        <v>25.2</v>
      </c>
      <c r="D3472">
        <v>26.15</v>
      </c>
      <c r="E3472">
        <v>24.07</v>
      </c>
      <c r="F3472">
        <v>24.7</v>
      </c>
      <c r="G3472">
        <v>24.675000000000001</v>
      </c>
      <c r="H3472">
        <v>-0.9</v>
      </c>
      <c r="I3472">
        <v>92806</v>
      </c>
      <c r="J3472">
        <v>0</v>
      </c>
      <c r="K3472">
        <v>60451</v>
      </c>
      <c r="L3472">
        <v>6</v>
      </c>
      <c r="M3472">
        <v>8</v>
      </c>
      <c r="N3472" t="s">
        <v>47</v>
      </c>
      <c r="O3472" s="3">
        <v>44153</v>
      </c>
      <c r="P3472">
        <v>-1</v>
      </c>
      <c r="S3472" s="3">
        <v>44341</v>
      </c>
      <c r="T3472" t="s">
        <v>33</v>
      </c>
      <c r="U3472">
        <v>165</v>
      </c>
      <c r="V3472">
        <v>24.675000000000001</v>
      </c>
    </row>
    <row r="3473" spans="1:22" x14ac:dyDescent="0.35">
      <c r="A3473" s="3">
        <v>44145</v>
      </c>
      <c r="B3473" t="s">
        <v>45</v>
      </c>
      <c r="C3473">
        <v>26.1</v>
      </c>
      <c r="D3473">
        <v>26.7</v>
      </c>
      <c r="E3473">
        <v>25.45</v>
      </c>
      <c r="F3473">
        <v>25.9</v>
      </c>
      <c r="G3473">
        <v>25.875</v>
      </c>
      <c r="H3473">
        <v>-0.4</v>
      </c>
      <c r="I3473">
        <v>16292</v>
      </c>
      <c r="J3473">
        <v>0</v>
      </c>
      <c r="K3473">
        <v>33239</v>
      </c>
      <c r="L3473">
        <v>47</v>
      </c>
      <c r="M3473">
        <v>71</v>
      </c>
      <c r="N3473" t="s">
        <v>45</v>
      </c>
      <c r="O3473" s="3">
        <v>44216</v>
      </c>
      <c r="P3473">
        <v>-1</v>
      </c>
      <c r="T3473" t="s">
        <v>32</v>
      </c>
      <c r="U3473">
        <v>185</v>
      </c>
      <c r="V3473">
        <v>24.45</v>
      </c>
    </row>
    <row r="3474" spans="1:22" x14ac:dyDescent="0.35">
      <c r="A3474" s="3">
        <v>44145</v>
      </c>
      <c r="B3474" t="s">
        <v>41</v>
      </c>
      <c r="C3474">
        <v>25.12</v>
      </c>
      <c r="D3474">
        <v>25.57</v>
      </c>
      <c r="E3474">
        <v>24.95</v>
      </c>
      <c r="F3474">
        <v>25.4</v>
      </c>
      <c r="G3474">
        <v>25.4</v>
      </c>
      <c r="H3474">
        <v>0.2</v>
      </c>
      <c r="I3474">
        <v>955</v>
      </c>
      <c r="J3474">
        <v>0</v>
      </c>
      <c r="K3474">
        <v>3357</v>
      </c>
      <c r="L3474">
        <v>131</v>
      </c>
      <c r="M3474">
        <v>190</v>
      </c>
      <c r="N3474" t="s">
        <v>41</v>
      </c>
      <c r="O3474" s="3">
        <v>44335</v>
      </c>
      <c r="P3474">
        <v>-1</v>
      </c>
      <c r="T3474" t="s">
        <v>40</v>
      </c>
      <c r="U3474">
        <v>15</v>
      </c>
      <c r="V3474">
        <v>20.7012</v>
      </c>
    </row>
    <row r="3475" spans="1:22" x14ac:dyDescent="0.35">
      <c r="A3475" s="3">
        <v>44145</v>
      </c>
      <c r="B3475" t="s">
        <v>39</v>
      </c>
      <c r="C3475">
        <v>24.95</v>
      </c>
      <c r="D3475">
        <v>24.95</v>
      </c>
      <c r="E3475">
        <v>24.95</v>
      </c>
      <c r="F3475">
        <v>24.95</v>
      </c>
      <c r="G3475">
        <v>24.3</v>
      </c>
      <c r="H3475">
        <v>-0.15</v>
      </c>
      <c r="I3475">
        <v>1</v>
      </c>
      <c r="J3475">
        <v>0</v>
      </c>
      <c r="K3475">
        <v>33</v>
      </c>
      <c r="L3475">
        <v>174</v>
      </c>
      <c r="M3475">
        <v>253</v>
      </c>
      <c r="N3475" t="s">
        <v>39</v>
      </c>
      <c r="O3475" s="3">
        <v>44398</v>
      </c>
      <c r="P3475">
        <v>-1</v>
      </c>
      <c r="T3475" t="s">
        <v>39</v>
      </c>
      <c r="U3475">
        <v>39</v>
      </c>
      <c r="V3475">
        <v>22.649899999999999</v>
      </c>
    </row>
    <row r="3476" spans="1:22" x14ac:dyDescent="0.35">
      <c r="A3476" s="3">
        <v>44145</v>
      </c>
      <c r="B3476" t="s">
        <v>43</v>
      </c>
      <c r="C3476">
        <v>25.32</v>
      </c>
      <c r="D3476">
        <v>25.89</v>
      </c>
      <c r="E3476">
        <v>25.1</v>
      </c>
      <c r="F3476">
        <v>25.5</v>
      </c>
      <c r="G3476">
        <v>25.524999999999999</v>
      </c>
      <c r="H3476">
        <v>7.4999999999999997E-2</v>
      </c>
      <c r="I3476">
        <v>3995</v>
      </c>
      <c r="J3476">
        <v>0</v>
      </c>
      <c r="K3476">
        <v>11527</v>
      </c>
      <c r="L3476">
        <v>86</v>
      </c>
      <c r="M3476">
        <v>127</v>
      </c>
      <c r="N3476" t="s">
        <v>43</v>
      </c>
      <c r="O3476" s="3">
        <v>44272</v>
      </c>
      <c r="P3476">
        <v>-1</v>
      </c>
      <c r="T3476" t="s">
        <v>38</v>
      </c>
      <c r="U3476">
        <v>59</v>
      </c>
      <c r="V3476">
        <v>23.3</v>
      </c>
    </row>
    <row r="3477" spans="1:22" x14ac:dyDescent="0.35">
      <c r="A3477" s="3">
        <v>44145</v>
      </c>
      <c r="B3477" t="s">
        <v>46</v>
      </c>
      <c r="C3477">
        <v>25.95</v>
      </c>
      <c r="D3477">
        <v>26.7</v>
      </c>
      <c r="E3477">
        <v>25.07</v>
      </c>
      <c r="F3477">
        <v>25.53</v>
      </c>
      <c r="G3477">
        <v>25.425000000000001</v>
      </c>
      <c r="H3477">
        <v>-0.85</v>
      </c>
      <c r="I3477">
        <v>81384</v>
      </c>
      <c r="J3477">
        <v>0</v>
      </c>
      <c r="K3477">
        <v>135198</v>
      </c>
      <c r="L3477">
        <v>25</v>
      </c>
      <c r="M3477">
        <v>36</v>
      </c>
      <c r="N3477" t="s">
        <v>46</v>
      </c>
      <c r="O3477" s="3">
        <v>44181</v>
      </c>
      <c r="P3477">
        <v>-1</v>
      </c>
      <c r="T3477" t="s">
        <v>37</v>
      </c>
      <c r="U3477">
        <v>78</v>
      </c>
      <c r="V3477">
        <v>23.897400000000001</v>
      </c>
    </row>
    <row r="3478" spans="1:22" x14ac:dyDescent="0.35">
      <c r="A3478" s="3">
        <v>44145</v>
      </c>
      <c r="B3478" t="s">
        <v>42</v>
      </c>
      <c r="C3478">
        <v>25.32</v>
      </c>
      <c r="D3478">
        <v>25.8</v>
      </c>
      <c r="E3478">
        <v>25.1</v>
      </c>
      <c r="F3478">
        <v>25.45</v>
      </c>
      <c r="G3478">
        <v>25.475000000000001</v>
      </c>
      <c r="H3478">
        <v>0.05</v>
      </c>
      <c r="I3478">
        <v>3144</v>
      </c>
      <c r="J3478">
        <v>0</v>
      </c>
      <c r="K3478">
        <v>8265</v>
      </c>
      <c r="L3478">
        <v>111</v>
      </c>
      <c r="M3478">
        <v>162</v>
      </c>
      <c r="N3478" t="s">
        <v>42</v>
      </c>
      <c r="O3478" s="3">
        <v>44307</v>
      </c>
      <c r="P3478">
        <v>-1</v>
      </c>
      <c r="T3478" t="s">
        <v>36</v>
      </c>
      <c r="U3478">
        <v>103</v>
      </c>
      <c r="V3478">
        <v>24.2</v>
      </c>
    </row>
    <row r="3479" spans="1:22" x14ac:dyDescent="0.35">
      <c r="A3479" s="3">
        <v>44145</v>
      </c>
      <c r="B3479" t="s">
        <v>44</v>
      </c>
      <c r="C3479">
        <v>25.5</v>
      </c>
      <c r="D3479">
        <v>26.07</v>
      </c>
      <c r="E3479">
        <v>25.25</v>
      </c>
      <c r="F3479">
        <v>25.65</v>
      </c>
      <c r="G3479">
        <v>25.625</v>
      </c>
      <c r="H3479">
        <v>-0.05</v>
      </c>
      <c r="I3479">
        <v>7858</v>
      </c>
      <c r="J3479">
        <v>0</v>
      </c>
      <c r="K3479">
        <v>16429</v>
      </c>
      <c r="L3479">
        <v>66</v>
      </c>
      <c r="M3479">
        <v>99</v>
      </c>
      <c r="N3479" t="s">
        <v>44</v>
      </c>
      <c r="O3479" s="3">
        <v>44244</v>
      </c>
      <c r="P3479">
        <v>-1</v>
      </c>
      <c r="T3479" t="s">
        <v>35</v>
      </c>
      <c r="U3479">
        <v>123</v>
      </c>
      <c r="V3479">
        <v>24.2</v>
      </c>
    </row>
    <row r="3480" spans="1:22" x14ac:dyDescent="0.35">
      <c r="A3480" s="3">
        <v>44144</v>
      </c>
      <c r="B3480" t="s">
        <v>39</v>
      </c>
      <c r="C3480">
        <v>25.6</v>
      </c>
      <c r="D3480">
        <v>25.6</v>
      </c>
      <c r="E3480">
        <v>24.6</v>
      </c>
      <c r="F3480">
        <v>24.6</v>
      </c>
      <c r="G3480">
        <v>24.45</v>
      </c>
      <c r="H3480">
        <v>-2.4750000000000001</v>
      </c>
      <c r="I3480">
        <v>7</v>
      </c>
      <c r="J3480">
        <v>0</v>
      </c>
      <c r="K3480">
        <v>32</v>
      </c>
      <c r="L3480">
        <v>175</v>
      </c>
      <c r="M3480">
        <v>254</v>
      </c>
      <c r="N3480" t="s">
        <v>39</v>
      </c>
      <c r="O3480" s="3">
        <v>44398</v>
      </c>
      <c r="P3480">
        <v>-1</v>
      </c>
      <c r="T3480" t="s">
        <v>34</v>
      </c>
      <c r="U3480">
        <v>147</v>
      </c>
      <c r="V3480">
        <v>24.05</v>
      </c>
    </row>
    <row r="3481" spans="1:22" x14ac:dyDescent="0.35">
      <c r="A3481" s="3">
        <v>44144</v>
      </c>
      <c r="B3481" t="s">
        <v>43</v>
      </c>
      <c r="C3481">
        <v>26.65</v>
      </c>
      <c r="D3481">
        <v>26.7</v>
      </c>
      <c r="E3481">
        <v>24.6</v>
      </c>
      <c r="F3481">
        <v>25.45</v>
      </c>
      <c r="G3481">
        <v>25.45</v>
      </c>
      <c r="H3481">
        <v>-1.375</v>
      </c>
      <c r="I3481">
        <v>6276</v>
      </c>
      <c r="J3481">
        <v>0</v>
      </c>
      <c r="K3481">
        <v>11468</v>
      </c>
      <c r="L3481">
        <v>87</v>
      </c>
      <c r="M3481">
        <v>128</v>
      </c>
      <c r="N3481" t="s">
        <v>43</v>
      </c>
      <c r="O3481" s="3">
        <v>44272</v>
      </c>
      <c r="P3481">
        <v>-1</v>
      </c>
      <c r="S3481" s="3">
        <v>44342</v>
      </c>
      <c r="T3481" t="s">
        <v>33</v>
      </c>
      <c r="U3481">
        <v>164</v>
      </c>
      <c r="V3481">
        <v>24.25</v>
      </c>
    </row>
    <row r="3482" spans="1:22" x14ac:dyDescent="0.35">
      <c r="A3482" s="3">
        <v>44144</v>
      </c>
      <c r="B3482" t="s">
        <v>46</v>
      </c>
      <c r="C3482">
        <v>27</v>
      </c>
      <c r="D3482">
        <v>27</v>
      </c>
      <c r="E3482">
        <v>24.15</v>
      </c>
      <c r="F3482">
        <v>26.05</v>
      </c>
      <c r="G3482">
        <v>26.274999999999999</v>
      </c>
      <c r="H3482">
        <v>-0.9</v>
      </c>
      <c r="I3482">
        <v>122073</v>
      </c>
      <c r="J3482">
        <v>930</v>
      </c>
      <c r="K3482">
        <v>134216</v>
      </c>
      <c r="L3482">
        <v>26</v>
      </c>
      <c r="M3482">
        <v>37</v>
      </c>
      <c r="N3482" t="s">
        <v>46</v>
      </c>
      <c r="O3482" s="3">
        <v>44181</v>
      </c>
      <c r="P3482">
        <v>-1</v>
      </c>
      <c r="T3482" t="s">
        <v>32</v>
      </c>
      <c r="U3482">
        <v>184</v>
      </c>
      <c r="V3482">
        <v>24.25</v>
      </c>
    </row>
    <row r="3483" spans="1:22" x14ac:dyDescent="0.35">
      <c r="A3483" s="3">
        <v>44144</v>
      </c>
      <c r="B3483" t="s">
        <v>42</v>
      </c>
      <c r="C3483">
        <v>26.64</v>
      </c>
      <c r="D3483">
        <v>26.75</v>
      </c>
      <c r="E3483">
        <v>24.7</v>
      </c>
      <c r="F3483">
        <v>25.47</v>
      </c>
      <c r="G3483">
        <v>25.425000000000001</v>
      </c>
      <c r="H3483">
        <v>-1.45</v>
      </c>
      <c r="I3483">
        <v>4001</v>
      </c>
      <c r="J3483">
        <v>0</v>
      </c>
      <c r="K3483">
        <v>8341</v>
      </c>
      <c r="L3483">
        <v>112</v>
      </c>
      <c r="M3483">
        <v>163</v>
      </c>
      <c r="N3483" t="s">
        <v>42</v>
      </c>
      <c r="O3483" s="3">
        <v>44307</v>
      </c>
      <c r="P3483">
        <v>-1</v>
      </c>
      <c r="T3483" t="s">
        <v>40</v>
      </c>
      <c r="U3483">
        <v>14</v>
      </c>
      <c r="V3483">
        <v>19.623200000000001</v>
      </c>
    </row>
    <row r="3484" spans="1:22" x14ac:dyDescent="0.35">
      <c r="A3484" s="3">
        <v>44144</v>
      </c>
      <c r="B3484" t="s">
        <v>44</v>
      </c>
      <c r="C3484">
        <v>26.94</v>
      </c>
      <c r="D3484">
        <v>27</v>
      </c>
      <c r="E3484">
        <v>24.75</v>
      </c>
      <c r="F3484">
        <v>25.65</v>
      </c>
      <c r="G3484">
        <v>25.675000000000001</v>
      </c>
      <c r="H3484">
        <v>-1.625</v>
      </c>
      <c r="I3484">
        <v>16719</v>
      </c>
      <c r="J3484">
        <v>0</v>
      </c>
      <c r="K3484">
        <v>16853</v>
      </c>
      <c r="L3484">
        <v>67</v>
      </c>
      <c r="M3484">
        <v>100</v>
      </c>
      <c r="N3484" t="s">
        <v>44</v>
      </c>
      <c r="O3484" s="3">
        <v>44244</v>
      </c>
      <c r="P3484">
        <v>-1</v>
      </c>
      <c r="T3484" t="s">
        <v>39</v>
      </c>
      <c r="U3484">
        <v>38</v>
      </c>
      <c r="V3484">
        <v>21.672699999999999</v>
      </c>
    </row>
    <row r="3485" spans="1:22" x14ac:dyDescent="0.35">
      <c r="A3485" s="3">
        <v>44144</v>
      </c>
      <c r="B3485" t="s">
        <v>47</v>
      </c>
      <c r="C3485">
        <v>25.4</v>
      </c>
      <c r="D3485">
        <v>25.63</v>
      </c>
      <c r="E3485">
        <v>22.45</v>
      </c>
      <c r="F3485">
        <v>25.35</v>
      </c>
      <c r="G3485">
        <v>25.574999999999999</v>
      </c>
      <c r="H3485">
        <v>0.1</v>
      </c>
      <c r="I3485">
        <v>115926</v>
      </c>
      <c r="J3485">
        <v>808</v>
      </c>
      <c r="K3485">
        <v>74412</v>
      </c>
      <c r="L3485">
        <v>7</v>
      </c>
      <c r="M3485">
        <v>9</v>
      </c>
      <c r="N3485" t="s">
        <v>47</v>
      </c>
      <c r="O3485" s="3">
        <v>44153</v>
      </c>
      <c r="P3485">
        <v>-1</v>
      </c>
      <c r="T3485" t="s">
        <v>38</v>
      </c>
      <c r="U3485">
        <v>58</v>
      </c>
      <c r="V3485">
        <v>22.5426</v>
      </c>
    </row>
    <row r="3486" spans="1:22" x14ac:dyDescent="0.35">
      <c r="A3486" s="3">
        <v>44144</v>
      </c>
      <c r="B3486" t="s">
        <v>45</v>
      </c>
      <c r="C3486">
        <v>27.3</v>
      </c>
      <c r="D3486">
        <v>27.4</v>
      </c>
      <c r="E3486">
        <v>24.66</v>
      </c>
      <c r="F3486">
        <v>26.18</v>
      </c>
      <c r="G3486">
        <v>26.274999999999999</v>
      </c>
      <c r="H3486">
        <v>-1.425</v>
      </c>
      <c r="I3486">
        <v>32457</v>
      </c>
      <c r="J3486">
        <v>0</v>
      </c>
      <c r="K3486">
        <v>32030</v>
      </c>
      <c r="L3486">
        <v>48</v>
      </c>
      <c r="M3486">
        <v>72</v>
      </c>
      <c r="N3486" t="s">
        <v>45</v>
      </c>
      <c r="O3486" s="3">
        <v>44216</v>
      </c>
      <c r="P3486">
        <v>-1</v>
      </c>
      <c r="T3486" t="s">
        <v>37</v>
      </c>
      <c r="U3486">
        <v>77</v>
      </c>
      <c r="V3486">
        <v>23.2715</v>
      </c>
    </row>
    <row r="3487" spans="1:22" x14ac:dyDescent="0.35">
      <c r="A3487" s="3">
        <v>44144</v>
      </c>
      <c r="B3487" t="s">
        <v>41</v>
      </c>
      <c r="C3487">
        <v>26.2</v>
      </c>
      <c r="D3487">
        <v>26.2</v>
      </c>
      <c r="E3487">
        <v>24.49</v>
      </c>
      <c r="F3487">
        <v>25.25</v>
      </c>
      <c r="G3487">
        <v>25.2</v>
      </c>
      <c r="H3487">
        <v>-1.2250000000000001</v>
      </c>
      <c r="I3487">
        <v>1398</v>
      </c>
      <c r="J3487">
        <v>0</v>
      </c>
      <c r="K3487">
        <v>3336</v>
      </c>
      <c r="L3487">
        <v>132</v>
      </c>
      <c r="M3487">
        <v>191</v>
      </c>
      <c r="N3487" t="s">
        <v>41</v>
      </c>
      <c r="O3487" s="3">
        <v>44335</v>
      </c>
      <c r="P3487">
        <v>-1</v>
      </c>
      <c r="T3487" t="s">
        <v>36</v>
      </c>
      <c r="U3487">
        <v>102</v>
      </c>
      <c r="V3487">
        <v>23.65</v>
      </c>
    </row>
    <row r="3488" spans="1:22" x14ac:dyDescent="0.35">
      <c r="A3488" s="3">
        <v>44144</v>
      </c>
      <c r="B3488" t="s">
        <v>40</v>
      </c>
      <c r="C3488">
        <v>25.65</v>
      </c>
      <c r="D3488">
        <v>25.95</v>
      </c>
      <c r="E3488">
        <v>24.4</v>
      </c>
      <c r="F3488">
        <v>24.94</v>
      </c>
      <c r="G3488">
        <v>24.975000000000001</v>
      </c>
      <c r="H3488">
        <v>-1.2</v>
      </c>
      <c r="I3488">
        <v>127</v>
      </c>
      <c r="J3488">
        <v>0</v>
      </c>
      <c r="K3488">
        <v>100</v>
      </c>
      <c r="L3488">
        <v>151</v>
      </c>
      <c r="M3488">
        <v>219</v>
      </c>
      <c r="N3488" t="s">
        <v>40</v>
      </c>
      <c r="O3488" s="3">
        <v>44363</v>
      </c>
      <c r="P3488">
        <v>-1</v>
      </c>
      <c r="T3488" t="s">
        <v>35</v>
      </c>
      <c r="U3488">
        <v>122</v>
      </c>
      <c r="V3488">
        <v>23.7</v>
      </c>
    </row>
    <row r="3489" spans="1:22" x14ac:dyDescent="0.35">
      <c r="A3489" s="3">
        <v>44141</v>
      </c>
      <c r="B3489" t="s">
        <v>47</v>
      </c>
      <c r="C3489">
        <v>27.7</v>
      </c>
      <c r="D3489">
        <v>28.9</v>
      </c>
      <c r="E3489">
        <v>25.2</v>
      </c>
      <c r="F3489">
        <v>25.35</v>
      </c>
      <c r="G3489">
        <v>25.475000000000001</v>
      </c>
      <c r="H3489">
        <v>-2.2999999999999998</v>
      </c>
      <c r="I3489">
        <v>96504</v>
      </c>
      <c r="J3489">
        <v>545</v>
      </c>
      <c r="K3489">
        <v>81333</v>
      </c>
      <c r="L3489">
        <v>8</v>
      </c>
      <c r="M3489">
        <v>12</v>
      </c>
      <c r="N3489" t="s">
        <v>47</v>
      </c>
      <c r="O3489" s="3">
        <v>44153</v>
      </c>
      <c r="P3489">
        <v>-1</v>
      </c>
      <c r="T3489" t="s">
        <v>34</v>
      </c>
      <c r="U3489">
        <v>146</v>
      </c>
      <c r="V3489">
        <v>23.5032</v>
      </c>
    </row>
    <row r="3490" spans="1:22" x14ac:dyDescent="0.35">
      <c r="A3490" s="3">
        <v>44141</v>
      </c>
      <c r="B3490" t="s">
        <v>45</v>
      </c>
      <c r="C3490">
        <v>28.52</v>
      </c>
      <c r="D3490">
        <v>29.1</v>
      </c>
      <c r="E3490">
        <v>27.35</v>
      </c>
      <c r="F3490">
        <v>27.49</v>
      </c>
      <c r="G3490">
        <v>27.7</v>
      </c>
      <c r="H3490">
        <v>-0.82499999999999996</v>
      </c>
      <c r="I3490">
        <v>20013</v>
      </c>
      <c r="J3490">
        <v>0</v>
      </c>
      <c r="K3490">
        <v>26056</v>
      </c>
      <c r="L3490">
        <v>49</v>
      </c>
      <c r="M3490">
        <v>75</v>
      </c>
      <c r="N3490" t="s">
        <v>45</v>
      </c>
      <c r="O3490" s="3">
        <v>44216</v>
      </c>
      <c r="P3490">
        <v>-1</v>
      </c>
      <c r="S3490" s="3">
        <v>44343</v>
      </c>
      <c r="T3490" t="s">
        <v>33</v>
      </c>
      <c r="U3490">
        <v>163</v>
      </c>
      <c r="V3490">
        <v>23.9</v>
      </c>
    </row>
    <row r="3491" spans="1:22" x14ac:dyDescent="0.35">
      <c r="A3491" s="3">
        <v>44141</v>
      </c>
      <c r="B3491" t="s">
        <v>41</v>
      </c>
      <c r="C3491">
        <v>26.96</v>
      </c>
      <c r="D3491">
        <v>27.3</v>
      </c>
      <c r="E3491">
        <v>26.2</v>
      </c>
      <c r="F3491">
        <v>26.29</v>
      </c>
      <c r="G3491">
        <v>26.425000000000001</v>
      </c>
      <c r="H3491">
        <v>-0.55000000000000004</v>
      </c>
      <c r="I3491">
        <v>1133</v>
      </c>
      <c r="J3491">
        <v>0</v>
      </c>
      <c r="K3491">
        <v>3429</v>
      </c>
      <c r="L3491">
        <v>133</v>
      </c>
      <c r="M3491">
        <v>194</v>
      </c>
      <c r="N3491" t="s">
        <v>41</v>
      </c>
      <c r="O3491" s="3">
        <v>44335</v>
      </c>
      <c r="P3491">
        <v>-1</v>
      </c>
      <c r="T3491" t="s">
        <v>32</v>
      </c>
      <c r="U3491">
        <v>183</v>
      </c>
      <c r="V3491">
        <v>23.9</v>
      </c>
    </row>
    <row r="3492" spans="1:22" x14ac:dyDescent="0.35">
      <c r="A3492" s="3">
        <v>44141</v>
      </c>
      <c r="B3492" t="s">
        <v>40</v>
      </c>
      <c r="C3492">
        <v>26.6</v>
      </c>
      <c r="D3492">
        <v>26.9</v>
      </c>
      <c r="E3492">
        <v>26.05</v>
      </c>
      <c r="F3492">
        <v>26.15</v>
      </c>
      <c r="G3492">
        <v>26.175000000000001</v>
      </c>
      <c r="H3492">
        <v>-0.55000000000000004</v>
      </c>
      <c r="I3492">
        <v>14</v>
      </c>
      <c r="J3492">
        <v>0</v>
      </c>
      <c r="K3492">
        <v>83</v>
      </c>
      <c r="L3492">
        <v>152</v>
      </c>
      <c r="M3492">
        <v>222</v>
      </c>
      <c r="N3492" t="s">
        <v>40</v>
      </c>
      <c r="O3492" s="3">
        <v>44363</v>
      </c>
      <c r="P3492">
        <v>-1</v>
      </c>
      <c r="T3492" t="s">
        <v>40</v>
      </c>
      <c r="U3492">
        <v>13</v>
      </c>
      <c r="V3492">
        <v>18.5669</v>
      </c>
    </row>
    <row r="3493" spans="1:22" x14ac:dyDescent="0.35">
      <c r="A3493" s="3">
        <v>44141</v>
      </c>
      <c r="B3493" t="s">
        <v>43</v>
      </c>
      <c r="C3493">
        <v>27.22</v>
      </c>
      <c r="D3493">
        <v>27.67</v>
      </c>
      <c r="E3493">
        <v>26.55</v>
      </c>
      <c r="F3493">
        <v>26.72</v>
      </c>
      <c r="G3493">
        <v>26.824999999999999</v>
      </c>
      <c r="H3493">
        <v>-0.45</v>
      </c>
      <c r="I3493">
        <v>5905</v>
      </c>
      <c r="J3493">
        <v>0</v>
      </c>
      <c r="K3493">
        <v>11189</v>
      </c>
      <c r="L3493">
        <v>88</v>
      </c>
      <c r="M3493">
        <v>131</v>
      </c>
      <c r="N3493" t="s">
        <v>43</v>
      </c>
      <c r="O3493" s="3">
        <v>44272</v>
      </c>
      <c r="P3493">
        <v>-1</v>
      </c>
      <c r="T3493" t="s">
        <v>39</v>
      </c>
      <c r="U3493">
        <v>37</v>
      </c>
      <c r="V3493">
        <v>20.648800000000001</v>
      </c>
    </row>
    <row r="3494" spans="1:22" x14ac:dyDescent="0.35">
      <c r="A3494" s="3">
        <v>44141</v>
      </c>
      <c r="B3494" t="s">
        <v>46</v>
      </c>
      <c r="C3494">
        <v>28.6</v>
      </c>
      <c r="D3494">
        <v>29.5</v>
      </c>
      <c r="E3494">
        <v>27</v>
      </c>
      <c r="F3494">
        <v>27.1</v>
      </c>
      <c r="G3494">
        <v>27.175000000000001</v>
      </c>
      <c r="H3494">
        <v>-1.6</v>
      </c>
      <c r="I3494">
        <v>92411</v>
      </c>
      <c r="J3494">
        <v>817</v>
      </c>
      <c r="K3494">
        <v>127584</v>
      </c>
      <c r="L3494">
        <v>27</v>
      </c>
      <c r="M3494">
        <v>40</v>
      </c>
      <c r="N3494" t="s">
        <v>46</v>
      </c>
      <c r="O3494" s="3">
        <v>44181</v>
      </c>
      <c r="P3494">
        <v>-1</v>
      </c>
      <c r="T3494" t="s">
        <v>38</v>
      </c>
      <c r="U3494">
        <v>57</v>
      </c>
      <c r="V3494">
        <v>21.733899999999998</v>
      </c>
    </row>
    <row r="3495" spans="1:22" x14ac:dyDescent="0.35">
      <c r="A3495" s="3">
        <v>44141</v>
      </c>
      <c r="B3495" t="s">
        <v>42</v>
      </c>
      <c r="C3495">
        <v>27.39</v>
      </c>
      <c r="D3495">
        <v>27.75</v>
      </c>
      <c r="E3495">
        <v>26.55</v>
      </c>
      <c r="F3495">
        <v>26.75</v>
      </c>
      <c r="G3495">
        <v>26.875</v>
      </c>
      <c r="H3495">
        <v>-0.55000000000000004</v>
      </c>
      <c r="I3495">
        <v>4021</v>
      </c>
      <c r="J3495">
        <v>0</v>
      </c>
      <c r="K3495">
        <v>8413</v>
      </c>
      <c r="L3495">
        <v>113</v>
      </c>
      <c r="M3495">
        <v>166</v>
      </c>
      <c r="N3495" t="s">
        <v>42</v>
      </c>
      <c r="O3495" s="3">
        <v>44307</v>
      </c>
      <c r="P3495">
        <v>-1</v>
      </c>
      <c r="T3495" t="s">
        <v>37</v>
      </c>
      <c r="U3495">
        <v>76</v>
      </c>
      <c r="V3495">
        <v>22.58</v>
      </c>
    </row>
    <row r="3496" spans="1:22" x14ac:dyDescent="0.35">
      <c r="A3496" s="3">
        <v>44141</v>
      </c>
      <c r="B3496" t="s">
        <v>44</v>
      </c>
      <c r="C3496">
        <v>27.59</v>
      </c>
      <c r="D3496">
        <v>28.11</v>
      </c>
      <c r="E3496">
        <v>26.85</v>
      </c>
      <c r="F3496">
        <v>27.1</v>
      </c>
      <c r="G3496">
        <v>27.3</v>
      </c>
      <c r="H3496">
        <v>-0.375</v>
      </c>
      <c r="I3496">
        <v>12671</v>
      </c>
      <c r="J3496">
        <v>0</v>
      </c>
      <c r="K3496">
        <v>17100</v>
      </c>
      <c r="L3496">
        <v>68</v>
      </c>
      <c r="M3496">
        <v>103</v>
      </c>
      <c r="N3496" t="s">
        <v>44</v>
      </c>
      <c r="O3496" s="3">
        <v>44244</v>
      </c>
      <c r="P3496">
        <v>-1</v>
      </c>
      <c r="T3496" t="s">
        <v>36</v>
      </c>
      <c r="U3496">
        <v>101</v>
      </c>
      <c r="V3496">
        <v>23.0852</v>
      </c>
    </row>
    <row r="3497" spans="1:22" x14ac:dyDescent="0.35">
      <c r="A3497" s="3">
        <v>44140</v>
      </c>
      <c r="B3497" t="s">
        <v>43</v>
      </c>
      <c r="C3497">
        <v>27.1</v>
      </c>
      <c r="D3497">
        <v>27.4</v>
      </c>
      <c r="E3497">
        <v>26.65</v>
      </c>
      <c r="F3497">
        <v>27.2</v>
      </c>
      <c r="G3497">
        <v>27.274999999999999</v>
      </c>
      <c r="H3497">
        <v>0.1</v>
      </c>
      <c r="I3497">
        <v>4717</v>
      </c>
      <c r="J3497">
        <v>0</v>
      </c>
      <c r="K3497">
        <v>10453</v>
      </c>
      <c r="L3497">
        <v>89</v>
      </c>
      <c r="M3497">
        <v>132</v>
      </c>
      <c r="N3497" t="s">
        <v>43</v>
      </c>
      <c r="O3497" s="3">
        <v>44272</v>
      </c>
      <c r="P3497">
        <v>-1</v>
      </c>
      <c r="T3497" t="s">
        <v>35</v>
      </c>
      <c r="U3497">
        <v>121</v>
      </c>
      <c r="V3497">
        <v>23.225899999999999</v>
      </c>
    </row>
    <row r="3498" spans="1:22" x14ac:dyDescent="0.35">
      <c r="A3498" s="3">
        <v>44140</v>
      </c>
      <c r="B3498" t="s">
        <v>46</v>
      </c>
      <c r="C3498">
        <v>29.05</v>
      </c>
      <c r="D3498">
        <v>29.52</v>
      </c>
      <c r="E3498">
        <v>27.9</v>
      </c>
      <c r="F3498">
        <v>28.72</v>
      </c>
      <c r="G3498">
        <v>28.774999999999999</v>
      </c>
      <c r="H3498">
        <v>-0.4</v>
      </c>
      <c r="I3498">
        <v>71313</v>
      </c>
      <c r="J3498">
        <v>55</v>
      </c>
      <c r="K3498">
        <v>122157</v>
      </c>
      <c r="L3498">
        <v>28</v>
      </c>
      <c r="M3498">
        <v>41</v>
      </c>
      <c r="N3498" t="s">
        <v>46</v>
      </c>
      <c r="O3498" s="3">
        <v>44181</v>
      </c>
      <c r="P3498">
        <v>-1</v>
      </c>
      <c r="T3498" t="s">
        <v>34</v>
      </c>
      <c r="U3498">
        <v>145</v>
      </c>
      <c r="V3498">
        <v>23.118300000000001</v>
      </c>
    </row>
    <row r="3499" spans="1:22" x14ac:dyDescent="0.35">
      <c r="A3499" s="3">
        <v>44140</v>
      </c>
      <c r="B3499" t="s">
        <v>42</v>
      </c>
      <c r="C3499">
        <v>27.38</v>
      </c>
      <c r="D3499">
        <v>27.58</v>
      </c>
      <c r="E3499">
        <v>26.9</v>
      </c>
      <c r="F3499">
        <v>27.34</v>
      </c>
      <c r="G3499">
        <v>27.425000000000001</v>
      </c>
      <c r="H3499">
        <v>0</v>
      </c>
      <c r="I3499">
        <v>2686</v>
      </c>
      <c r="J3499">
        <v>0</v>
      </c>
      <c r="K3499">
        <v>8340</v>
      </c>
      <c r="L3499">
        <v>114</v>
      </c>
      <c r="M3499">
        <v>167</v>
      </c>
      <c r="N3499" t="s">
        <v>42</v>
      </c>
      <c r="O3499" s="3">
        <v>44307</v>
      </c>
      <c r="P3499">
        <v>-1</v>
      </c>
      <c r="S3499" s="3">
        <v>44344</v>
      </c>
      <c r="T3499" t="s">
        <v>33</v>
      </c>
      <c r="U3499">
        <v>162</v>
      </c>
      <c r="V3499">
        <v>24</v>
      </c>
    </row>
    <row r="3500" spans="1:22" x14ac:dyDescent="0.35">
      <c r="A3500" s="3">
        <v>44140</v>
      </c>
      <c r="B3500" t="s">
        <v>44</v>
      </c>
      <c r="C3500">
        <v>27.45</v>
      </c>
      <c r="D3500">
        <v>27.73</v>
      </c>
      <c r="E3500">
        <v>26.95</v>
      </c>
      <c r="F3500">
        <v>27.55</v>
      </c>
      <c r="G3500">
        <v>27.675000000000001</v>
      </c>
      <c r="H3500">
        <v>0.2</v>
      </c>
      <c r="I3500">
        <v>8699</v>
      </c>
      <c r="J3500">
        <v>0</v>
      </c>
      <c r="K3500">
        <v>15955</v>
      </c>
      <c r="L3500">
        <v>69</v>
      </c>
      <c r="M3500">
        <v>104</v>
      </c>
      <c r="N3500" t="s">
        <v>44</v>
      </c>
      <c r="O3500" s="3">
        <v>44244</v>
      </c>
      <c r="P3500">
        <v>-1</v>
      </c>
      <c r="T3500" t="s">
        <v>32</v>
      </c>
      <c r="U3500">
        <v>182</v>
      </c>
      <c r="V3500">
        <v>23.824999999999999</v>
      </c>
    </row>
    <row r="3501" spans="1:22" x14ac:dyDescent="0.35">
      <c r="A3501" s="3">
        <v>44140</v>
      </c>
      <c r="B3501" t="s">
        <v>47</v>
      </c>
      <c r="C3501">
        <v>28.6</v>
      </c>
      <c r="D3501">
        <v>29</v>
      </c>
      <c r="E3501">
        <v>27.14</v>
      </c>
      <c r="F3501">
        <v>27.73</v>
      </c>
      <c r="G3501">
        <v>27.774999999999999</v>
      </c>
      <c r="H3501">
        <v>-0.6</v>
      </c>
      <c r="I3501">
        <v>67854</v>
      </c>
      <c r="J3501">
        <v>45</v>
      </c>
      <c r="K3501">
        <v>92374</v>
      </c>
      <c r="L3501">
        <v>9</v>
      </c>
      <c r="M3501">
        <v>13</v>
      </c>
      <c r="N3501" t="s">
        <v>47</v>
      </c>
      <c r="O3501" s="3">
        <v>44153</v>
      </c>
      <c r="P3501">
        <v>-1</v>
      </c>
      <c r="T3501" t="s">
        <v>40</v>
      </c>
      <c r="U3501">
        <v>12</v>
      </c>
      <c r="V3501">
        <v>19.1343</v>
      </c>
    </row>
    <row r="3502" spans="1:22" x14ac:dyDescent="0.35">
      <c r="A3502" s="3">
        <v>44140</v>
      </c>
      <c r="B3502" t="s">
        <v>39</v>
      </c>
      <c r="C3502">
        <v>26.15</v>
      </c>
      <c r="D3502">
        <v>26.15</v>
      </c>
      <c r="E3502">
        <v>26.15</v>
      </c>
      <c r="F3502">
        <v>26.15</v>
      </c>
      <c r="G3502">
        <v>26.725000000000001</v>
      </c>
      <c r="H3502">
        <v>0.1</v>
      </c>
      <c r="I3502">
        <v>2</v>
      </c>
      <c r="J3502">
        <v>0</v>
      </c>
      <c r="K3502">
        <v>25</v>
      </c>
      <c r="L3502">
        <v>177</v>
      </c>
      <c r="M3502">
        <v>258</v>
      </c>
      <c r="N3502" t="s">
        <v>39</v>
      </c>
      <c r="O3502" s="3">
        <v>44398</v>
      </c>
      <c r="P3502">
        <v>-1</v>
      </c>
      <c r="T3502" t="s">
        <v>39</v>
      </c>
      <c r="U3502">
        <v>36</v>
      </c>
      <c r="V3502">
        <v>20.850899999999999</v>
      </c>
    </row>
    <row r="3503" spans="1:22" x14ac:dyDescent="0.35">
      <c r="A3503" s="3">
        <v>44140</v>
      </c>
      <c r="B3503" t="s">
        <v>45</v>
      </c>
      <c r="C3503">
        <v>28.36</v>
      </c>
      <c r="D3503">
        <v>28.75</v>
      </c>
      <c r="E3503">
        <v>27.75</v>
      </c>
      <c r="F3503">
        <v>28.5</v>
      </c>
      <c r="G3503">
        <v>28.524999999999999</v>
      </c>
      <c r="H3503">
        <v>0.1</v>
      </c>
      <c r="I3503">
        <v>13587</v>
      </c>
      <c r="J3503">
        <v>0</v>
      </c>
      <c r="K3503">
        <v>25150</v>
      </c>
      <c r="L3503">
        <v>50</v>
      </c>
      <c r="M3503">
        <v>76</v>
      </c>
      <c r="N3503" t="s">
        <v>45</v>
      </c>
      <c r="O3503" s="3">
        <v>44216</v>
      </c>
      <c r="P3503">
        <v>-1</v>
      </c>
      <c r="T3503" t="s">
        <v>38</v>
      </c>
      <c r="U3503">
        <v>56</v>
      </c>
      <c r="V3503">
        <v>21.825099999999999</v>
      </c>
    </row>
    <row r="3504" spans="1:22" x14ac:dyDescent="0.35">
      <c r="A3504" s="3">
        <v>44140</v>
      </c>
      <c r="B3504" t="s">
        <v>41</v>
      </c>
      <c r="C3504">
        <v>26.98</v>
      </c>
      <c r="D3504">
        <v>27.15</v>
      </c>
      <c r="E3504">
        <v>26.6</v>
      </c>
      <c r="F3504">
        <v>26.9</v>
      </c>
      <c r="G3504">
        <v>26.975000000000001</v>
      </c>
      <c r="H3504">
        <v>-7.4999999999999997E-2</v>
      </c>
      <c r="I3504">
        <v>785</v>
      </c>
      <c r="J3504">
        <v>0</v>
      </c>
      <c r="K3504">
        <v>3614</v>
      </c>
      <c r="L3504">
        <v>134</v>
      </c>
      <c r="M3504">
        <v>195</v>
      </c>
      <c r="N3504" t="s">
        <v>41</v>
      </c>
      <c r="O3504" s="3">
        <v>44335</v>
      </c>
      <c r="P3504">
        <v>-1</v>
      </c>
      <c r="T3504" t="s">
        <v>37</v>
      </c>
      <c r="U3504">
        <v>75</v>
      </c>
      <c r="V3504">
        <v>22.662600000000001</v>
      </c>
    </row>
    <row r="3505" spans="1:22" x14ac:dyDescent="0.35">
      <c r="A3505" s="3">
        <v>44140</v>
      </c>
      <c r="B3505" t="s">
        <v>40</v>
      </c>
      <c r="C3505">
        <v>26.55</v>
      </c>
      <c r="D3505">
        <v>26.7</v>
      </c>
      <c r="E3505">
        <v>26.25</v>
      </c>
      <c r="F3505">
        <v>26.57</v>
      </c>
      <c r="G3505">
        <v>26.725000000000001</v>
      </c>
      <c r="H3505">
        <v>0.1</v>
      </c>
      <c r="I3505">
        <v>17</v>
      </c>
      <c r="J3505">
        <v>0</v>
      </c>
      <c r="K3505">
        <v>94</v>
      </c>
      <c r="L3505">
        <v>153</v>
      </c>
      <c r="M3505">
        <v>223</v>
      </c>
      <c r="N3505" t="s">
        <v>40</v>
      </c>
      <c r="O3505" s="3">
        <v>44363</v>
      </c>
      <c r="P3505">
        <v>-1</v>
      </c>
      <c r="T3505" t="s">
        <v>36</v>
      </c>
      <c r="U3505">
        <v>100</v>
      </c>
      <c r="V3505">
        <v>23.266100000000002</v>
      </c>
    </row>
    <row r="3506" spans="1:22" x14ac:dyDescent="0.35">
      <c r="A3506" s="3">
        <v>44139</v>
      </c>
      <c r="B3506" t="s">
        <v>47</v>
      </c>
      <c r="C3506">
        <v>31.2</v>
      </c>
      <c r="D3506">
        <v>33.1</v>
      </c>
      <c r="E3506">
        <v>28.21</v>
      </c>
      <c r="F3506">
        <v>28.55</v>
      </c>
      <c r="G3506">
        <v>28.375</v>
      </c>
      <c r="H3506">
        <v>-3.05</v>
      </c>
      <c r="I3506">
        <v>130128</v>
      </c>
      <c r="J3506">
        <v>663</v>
      </c>
      <c r="K3506">
        <v>101547</v>
      </c>
      <c r="L3506">
        <v>10</v>
      </c>
      <c r="M3506">
        <v>14</v>
      </c>
      <c r="N3506" t="s">
        <v>47</v>
      </c>
      <c r="O3506" s="3">
        <v>44153</v>
      </c>
      <c r="P3506">
        <v>-1</v>
      </c>
      <c r="T3506" t="s">
        <v>35</v>
      </c>
      <c r="U3506">
        <v>120</v>
      </c>
      <c r="V3506">
        <v>23.4</v>
      </c>
    </row>
    <row r="3507" spans="1:22" x14ac:dyDescent="0.35">
      <c r="A3507" s="3">
        <v>44139</v>
      </c>
      <c r="B3507" t="s">
        <v>39</v>
      </c>
      <c r="C3507">
        <v>26.3</v>
      </c>
      <c r="D3507">
        <v>26.35</v>
      </c>
      <c r="E3507">
        <v>26.14</v>
      </c>
      <c r="F3507">
        <v>26.14</v>
      </c>
      <c r="G3507">
        <v>26.625</v>
      </c>
      <c r="H3507">
        <v>-0.67500000000000004</v>
      </c>
      <c r="I3507">
        <v>8</v>
      </c>
      <c r="J3507">
        <v>0</v>
      </c>
      <c r="K3507">
        <v>23</v>
      </c>
      <c r="L3507">
        <v>178</v>
      </c>
      <c r="M3507">
        <v>259</v>
      </c>
      <c r="N3507" t="s">
        <v>39</v>
      </c>
      <c r="O3507" s="3">
        <v>44398</v>
      </c>
      <c r="P3507">
        <v>-1</v>
      </c>
      <c r="T3507" t="s">
        <v>34</v>
      </c>
      <c r="U3507">
        <v>144</v>
      </c>
      <c r="V3507">
        <v>23.305299999999999</v>
      </c>
    </row>
    <row r="3508" spans="1:22" x14ac:dyDescent="0.35">
      <c r="A3508" s="3">
        <v>44139</v>
      </c>
      <c r="B3508" t="s">
        <v>45</v>
      </c>
      <c r="C3508">
        <v>29.55</v>
      </c>
      <c r="D3508">
        <v>30.3</v>
      </c>
      <c r="E3508">
        <v>27.75</v>
      </c>
      <c r="F3508">
        <v>28.35</v>
      </c>
      <c r="G3508">
        <v>28.425000000000001</v>
      </c>
      <c r="H3508">
        <v>-1.2</v>
      </c>
      <c r="I3508">
        <v>17743</v>
      </c>
      <c r="J3508">
        <v>0</v>
      </c>
      <c r="K3508">
        <v>25588</v>
      </c>
      <c r="L3508">
        <v>51</v>
      </c>
      <c r="M3508">
        <v>77</v>
      </c>
      <c r="N3508" t="s">
        <v>45</v>
      </c>
      <c r="O3508" s="3">
        <v>44216</v>
      </c>
      <c r="P3508">
        <v>-1</v>
      </c>
      <c r="S3508" s="3">
        <v>44348</v>
      </c>
      <c r="T3508" t="s">
        <v>33</v>
      </c>
      <c r="U3508">
        <v>161</v>
      </c>
      <c r="V3508">
        <v>24.2</v>
      </c>
    </row>
    <row r="3509" spans="1:22" x14ac:dyDescent="0.35">
      <c r="A3509" s="3">
        <v>44139</v>
      </c>
      <c r="B3509" t="s">
        <v>41</v>
      </c>
      <c r="C3509">
        <v>27.35</v>
      </c>
      <c r="D3509">
        <v>28.07</v>
      </c>
      <c r="E3509">
        <v>26.3</v>
      </c>
      <c r="F3509">
        <v>26.92</v>
      </c>
      <c r="G3509">
        <v>27.05</v>
      </c>
      <c r="H3509">
        <v>-0.5</v>
      </c>
      <c r="I3509">
        <v>1409</v>
      </c>
      <c r="J3509">
        <v>0</v>
      </c>
      <c r="K3509">
        <v>3586</v>
      </c>
      <c r="L3509">
        <v>135</v>
      </c>
      <c r="M3509">
        <v>196</v>
      </c>
      <c r="N3509" t="s">
        <v>41</v>
      </c>
      <c r="O3509" s="3">
        <v>44335</v>
      </c>
      <c r="P3509">
        <v>-1</v>
      </c>
      <c r="T3509" t="s">
        <v>32</v>
      </c>
      <c r="U3509">
        <v>181</v>
      </c>
      <c r="V3509">
        <v>24.1</v>
      </c>
    </row>
    <row r="3510" spans="1:22" x14ac:dyDescent="0.35">
      <c r="A3510" s="3">
        <v>44139</v>
      </c>
      <c r="B3510" t="s">
        <v>40</v>
      </c>
      <c r="C3510">
        <v>26.75</v>
      </c>
      <c r="D3510">
        <v>27.55</v>
      </c>
      <c r="E3510">
        <v>26.1</v>
      </c>
      <c r="F3510">
        <v>26.45</v>
      </c>
      <c r="G3510">
        <v>26.625</v>
      </c>
      <c r="H3510">
        <v>-0.45</v>
      </c>
      <c r="I3510">
        <v>38</v>
      </c>
      <c r="J3510">
        <v>0</v>
      </c>
      <c r="K3510">
        <v>100</v>
      </c>
      <c r="L3510">
        <v>154</v>
      </c>
      <c r="M3510">
        <v>224</v>
      </c>
      <c r="N3510" t="s">
        <v>40</v>
      </c>
      <c r="O3510" s="3">
        <v>44363</v>
      </c>
      <c r="P3510">
        <v>-1</v>
      </c>
      <c r="T3510" t="s">
        <v>40</v>
      </c>
      <c r="U3510">
        <v>11</v>
      </c>
      <c r="V3510">
        <v>19.555099999999999</v>
      </c>
    </row>
    <row r="3511" spans="1:22" x14ac:dyDescent="0.35">
      <c r="A3511" s="3">
        <v>44139</v>
      </c>
      <c r="B3511" t="s">
        <v>43</v>
      </c>
      <c r="C3511">
        <v>27.65</v>
      </c>
      <c r="D3511">
        <v>28.45</v>
      </c>
      <c r="E3511">
        <v>26.22</v>
      </c>
      <c r="F3511">
        <v>27.1</v>
      </c>
      <c r="G3511">
        <v>27.175000000000001</v>
      </c>
      <c r="H3511">
        <v>-0.65</v>
      </c>
      <c r="I3511">
        <v>5552</v>
      </c>
      <c r="J3511">
        <v>0</v>
      </c>
      <c r="K3511">
        <v>10297</v>
      </c>
      <c r="L3511">
        <v>90</v>
      </c>
      <c r="M3511">
        <v>133</v>
      </c>
      <c r="N3511" t="s">
        <v>43</v>
      </c>
      <c r="O3511" s="3">
        <v>44272</v>
      </c>
      <c r="P3511">
        <v>-1</v>
      </c>
      <c r="T3511" t="s">
        <v>39</v>
      </c>
      <c r="U3511">
        <v>35</v>
      </c>
      <c r="V3511">
        <v>21.370899999999999</v>
      </c>
    </row>
    <row r="3512" spans="1:22" x14ac:dyDescent="0.35">
      <c r="A3512" s="3">
        <v>44139</v>
      </c>
      <c r="B3512" t="s">
        <v>46</v>
      </c>
      <c r="C3512">
        <v>31.55</v>
      </c>
      <c r="D3512">
        <v>32.35</v>
      </c>
      <c r="E3512">
        <v>28.8</v>
      </c>
      <c r="F3512">
        <v>28.95</v>
      </c>
      <c r="G3512">
        <v>29.175000000000001</v>
      </c>
      <c r="H3512">
        <v>-2.4</v>
      </c>
      <c r="I3512">
        <v>98930</v>
      </c>
      <c r="J3512">
        <v>663</v>
      </c>
      <c r="K3512">
        <v>116838</v>
      </c>
      <c r="L3512">
        <v>29</v>
      </c>
      <c r="M3512">
        <v>42</v>
      </c>
      <c r="N3512" t="s">
        <v>46</v>
      </c>
      <c r="O3512" s="3">
        <v>44181</v>
      </c>
      <c r="P3512">
        <v>-1</v>
      </c>
      <c r="T3512" t="s">
        <v>38</v>
      </c>
      <c r="U3512">
        <v>55</v>
      </c>
      <c r="V3512">
        <v>22.171700000000001</v>
      </c>
    </row>
    <row r="3513" spans="1:22" x14ac:dyDescent="0.35">
      <c r="A3513" s="3">
        <v>44139</v>
      </c>
      <c r="B3513" t="s">
        <v>42</v>
      </c>
      <c r="C3513">
        <v>27.7</v>
      </c>
      <c r="D3513">
        <v>28.48</v>
      </c>
      <c r="E3513">
        <v>26.56</v>
      </c>
      <c r="F3513">
        <v>27.4</v>
      </c>
      <c r="G3513">
        <v>27.425000000000001</v>
      </c>
      <c r="H3513">
        <v>-0.45</v>
      </c>
      <c r="I3513">
        <v>2724</v>
      </c>
      <c r="J3513">
        <v>0</v>
      </c>
      <c r="K3513">
        <v>8018</v>
      </c>
      <c r="L3513">
        <v>115</v>
      </c>
      <c r="M3513">
        <v>168</v>
      </c>
      <c r="N3513" t="s">
        <v>42</v>
      </c>
      <c r="O3513" s="3">
        <v>44307</v>
      </c>
      <c r="P3513">
        <v>-1</v>
      </c>
      <c r="T3513" t="s">
        <v>37</v>
      </c>
      <c r="U3513">
        <v>74</v>
      </c>
      <c r="V3513">
        <v>22.855599999999999</v>
      </c>
    </row>
    <row r="3514" spans="1:22" x14ac:dyDescent="0.35">
      <c r="A3514" s="3">
        <v>44139</v>
      </c>
      <c r="B3514" t="s">
        <v>44</v>
      </c>
      <c r="C3514">
        <v>28.1</v>
      </c>
      <c r="D3514">
        <v>29.01</v>
      </c>
      <c r="E3514">
        <v>26.6</v>
      </c>
      <c r="F3514">
        <v>27.45</v>
      </c>
      <c r="G3514">
        <v>27.475000000000001</v>
      </c>
      <c r="H3514">
        <v>-0.85</v>
      </c>
      <c r="I3514">
        <v>11822</v>
      </c>
      <c r="J3514">
        <v>0</v>
      </c>
      <c r="K3514">
        <v>15750</v>
      </c>
      <c r="L3514">
        <v>70</v>
      </c>
      <c r="M3514">
        <v>105</v>
      </c>
      <c r="N3514" t="s">
        <v>44</v>
      </c>
      <c r="O3514" s="3">
        <v>44244</v>
      </c>
      <c r="P3514">
        <v>-1</v>
      </c>
      <c r="T3514" t="s">
        <v>36</v>
      </c>
      <c r="U3514">
        <v>99</v>
      </c>
      <c r="V3514">
        <v>23.3414</v>
      </c>
    </row>
    <row r="3515" spans="1:22" x14ac:dyDescent="0.35">
      <c r="A3515" s="3">
        <v>44138</v>
      </c>
      <c r="B3515" t="s">
        <v>43</v>
      </c>
      <c r="C3515">
        <v>28.41</v>
      </c>
      <c r="D3515">
        <v>28.41</v>
      </c>
      <c r="E3515">
        <v>27.72</v>
      </c>
      <c r="F3515">
        <v>27.8</v>
      </c>
      <c r="G3515">
        <v>27.824999999999999</v>
      </c>
      <c r="H3515">
        <v>-0.7</v>
      </c>
      <c r="I3515">
        <v>3266</v>
      </c>
      <c r="J3515">
        <v>0</v>
      </c>
      <c r="K3515">
        <v>10666</v>
      </c>
      <c r="L3515">
        <v>91</v>
      </c>
      <c r="M3515">
        <v>134</v>
      </c>
      <c r="N3515" t="s">
        <v>43</v>
      </c>
      <c r="O3515" s="3">
        <v>44272</v>
      </c>
      <c r="P3515">
        <v>-1</v>
      </c>
      <c r="T3515" t="s">
        <v>35</v>
      </c>
      <c r="U3515">
        <v>119</v>
      </c>
      <c r="V3515">
        <v>23.45</v>
      </c>
    </row>
    <row r="3516" spans="1:22" x14ac:dyDescent="0.35">
      <c r="A3516" s="3">
        <v>44138</v>
      </c>
      <c r="B3516" t="s">
        <v>46</v>
      </c>
      <c r="C3516">
        <v>33.01</v>
      </c>
      <c r="D3516">
        <v>33.01</v>
      </c>
      <c r="E3516">
        <v>31.15</v>
      </c>
      <c r="F3516">
        <v>31.35</v>
      </c>
      <c r="G3516">
        <v>31.574999999999999</v>
      </c>
      <c r="H3516">
        <v>-1.6</v>
      </c>
      <c r="I3516">
        <v>55396</v>
      </c>
      <c r="J3516">
        <v>0</v>
      </c>
      <c r="K3516">
        <v>108661</v>
      </c>
      <c r="L3516">
        <v>30</v>
      </c>
      <c r="M3516">
        <v>43</v>
      </c>
      <c r="N3516" t="s">
        <v>46</v>
      </c>
      <c r="O3516" s="3">
        <v>44181</v>
      </c>
      <c r="P3516">
        <v>-1</v>
      </c>
      <c r="T3516" t="s">
        <v>34</v>
      </c>
      <c r="U3516">
        <v>143</v>
      </c>
      <c r="V3516">
        <v>23.447500000000002</v>
      </c>
    </row>
    <row r="3517" spans="1:22" x14ac:dyDescent="0.35">
      <c r="A3517" s="3">
        <v>44138</v>
      </c>
      <c r="B3517" t="s">
        <v>42</v>
      </c>
      <c r="C3517">
        <v>28.3</v>
      </c>
      <c r="D3517">
        <v>28.3</v>
      </c>
      <c r="E3517">
        <v>27.81</v>
      </c>
      <c r="F3517">
        <v>27.9</v>
      </c>
      <c r="G3517">
        <v>27.875</v>
      </c>
      <c r="H3517">
        <v>-0.6</v>
      </c>
      <c r="I3517">
        <v>2464</v>
      </c>
      <c r="J3517">
        <v>0</v>
      </c>
      <c r="K3517">
        <v>7773</v>
      </c>
      <c r="L3517">
        <v>116</v>
      </c>
      <c r="M3517">
        <v>169</v>
      </c>
      <c r="N3517" t="s">
        <v>42</v>
      </c>
      <c r="O3517" s="3">
        <v>44307</v>
      </c>
      <c r="P3517">
        <v>-1</v>
      </c>
      <c r="S3517" s="3">
        <v>44349</v>
      </c>
      <c r="T3517" t="s">
        <v>33</v>
      </c>
      <c r="U3517">
        <v>160</v>
      </c>
      <c r="V3517">
        <v>24.25</v>
      </c>
    </row>
    <row r="3518" spans="1:22" x14ac:dyDescent="0.35">
      <c r="A3518" s="3">
        <v>44138</v>
      </c>
      <c r="B3518" t="s">
        <v>44</v>
      </c>
      <c r="C3518">
        <v>29.02</v>
      </c>
      <c r="D3518">
        <v>29.05</v>
      </c>
      <c r="E3518">
        <v>28.15</v>
      </c>
      <c r="F3518">
        <v>28.3</v>
      </c>
      <c r="G3518">
        <v>28.324999999999999</v>
      </c>
      <c r="H3518">
        <v>-0.85</v>
      </c>
      <c r="I3518">
        <v>6838</v>
      </c>
      <c r="J3518">
        <v>0</v>
      </c>
      <c r="K3518">
        <v>16223</v>
      </c>
      <c r="L3518">
        <v>71</v>
      </c>
      <c r="M3518">
        <v>106</v>
      </c>
      <c r="N3518" t="s">
        <v>44</v>
      </c>
      <c r="O3518" s="3">
        <v>44244</v>
      </c>
      <c r="P3518">
        <v>-1</v>
      </c>
      <c r="T3518" t="s">
        <v>32</v>
      </c>
      <c r="U3518">
        <v>180</v>
      </c>
      <c r="V3518">
        <v>24.45</v>
      </c>
    </row>
    <row r="3519" spans="1:22" x14ac:dyDescent="0.35">
      <c r="A3519" s="3">
        <v>44138</v>
      </c>
      <c r="B3519" t="s">
        <v>47</v>
      </c>
      <c r="C3519">
        <v>33.15</v>
      </c>
      <c r="D3519">
        <v>33.200000000000003</v>
      </c>
      <c r="E3519">
        <v>30.99</v>
      </c>
      <c r="F3519">
        <v>31.25</v>
      </c>
      <c r="G3519">
        <v>31.425000000000001</v>
      </c>
      <c r="H3519">
        <v>-1.95</v>
      </c>
      <c r="I3519">
        <v>74045</v>
      </c>
      <c r="J3519">
        <v>0</v>
      </c>
      <c r="K3519">
        <v>110494</v>
      </c>
      <c r="L3519">
        <v>11</v>
      </c>
      <c r="M3519">
        <v>15</v>
      </c>
      <c r="N3519" t="s">
        <v>47</v>
      </c>
      <c r="O3519" s="3">
        <v>44153</v>
      </c>
      <c r="P3519">
        <v>-1</v>
      </c>
      <c r="T3519" t="s">
        <v>40</v>
      </c>
      <c r="U3519">
        <v>10</v>
      </c>
      <c r="V3519">
        <v>18.924800000000001</v>
      </c>
    </row>
    <row r="3520" spans="1:22" x14ac:dyDescent="0.35">
      <c r="A3520" s="3">
        <v>44138</v>
      </c>
      <c r="B3520" t="s">
        <v>39</v>
      </c>
      <c r="C3520">
        <v>27.15</v>
      </c>
      <c r="D3520">
        <v>27.15</v>
      </c>
      <c r="E3520">
        <v>27.15</v>
      </c>
      <c r="F3520">
        <v>27.15</v>
      </c>
      <c r="G3520">
        <v>27.3</v>
      </c>
      <c r="H3520">
        <v>1.575</v>
      </c>
      <c r="I3520">
        <v>5</v>
      </c>
      <c r="J3520">
        <v>0</v>
      </c>
      <c r="K3520">
        <v>17</v>
      </c>
      <c r="L3520">
        <v>179</v>
      </c>
      <c r="M3520">
        <v>260</v>
      </c>
      <c r="N3520" t="s">
        <v>39</v>
      </c>
      <c r="O3520" s="3">
        <v>44398</v>
      </c>
      <c r="P3520">
        <v>-1</v>
      </c>
      <c r="T3520" t="s">
        <v>39</v>
      </c>
      <c r="U3520">
        <v>34</v>
      </c>
      <c r="V3520">
        <v>21.0457</v>
      </c>
    </row>
    <row r="3521" spans="1:22" x14ac:dyDescent="0.35">
      <c r="A3521" s="3">
        <v>44138</v>
      </c>
      <c r="B3521" t="s">
        <v>45</v>
      </c>
      <c r="C3521">
        <v>30.7</v>
      </c>
      <c r="D3521">
        <v>30.7</v>
      </c>
      <c r="E3521">
        <v>29.47</v>
      </c>
      <c r="F3521">
        <v>29.55</v>
      </c>
      <c r="G3521">
        <v>29.625</v>
      </c>
      <c r="H3521">
        <v>-1.2</v>
      </c>
      <c r="I3521">
        <v>8365</v>
      </c>
      <c r="J3521">
        <v>0</v>
      </c>
      <c r="K3521">
        <v>25426</v>
      </c>
      <c r="L3521">
        <v>52</v>
      </c>
      <c r="M3521">
        <v>78</v>
      </c>
      <c r="N3521" t="s">
        <v>45</v>
      </c>
      <c r="O3521" s="3">
        <v>44216</v>
      </c>
      <c r="P3521">
        <v>-1</v>
      </c>
      <c r="T3521" t="s">
        <v>38</v>
      </c>
      <c r="U3521">
        <v>54</v>
      </c>
      <c r="V3521">
        <v>22.090900000000001</v>
      </c>
    </row>
    <row r="3522" spans="1:22" x14ac:dyDescent="0.35">
      <c r="A3522" s="3">
        <v>44138</v>
      </c>
      <c r="B3522" t="s">
        <v>41</v>
      </c>
      <c r="C3522">
        <v>27.95</v>
      </c>
      <c r="D3522">
        <v>28</v>
      </c>
      <c r="E3522">
        <v>27.5</v>
      </c>
      <c r="F3522">
        <v>27.55</v>
      </c>
      <c r="G3522">
        <v>27.55</v>
      </c>
      <c r="H3522">
        <v>-0.625</v>
      </c>
      <c r="I3522">
        <v>1018</v>
      </c>
      <c r="J3522">
        <v>0</v>
      </c>
      <c r="K3522">
        <v>3347</v>
      </c>
      <c r="L3522">
        <v>136</v>
      </c>
      <c r="M3522">
        <v>197</v>
      </c>
      <c r="N3522" t="s">
        <v>41</v>
      </c>
      <c r="O3522" s="3">
        <v>44335</v>
      </c>
      <c r="P3522">
        <v>-1</v>
      </c>
      <c r="T3522" t="s">
        <v>37</v>
      </c>
      <c r="U3522">
        <v>73</v>
      </c>
      <c r="V3522">
        <v>22.916499999999999</v>
      </c>
    </row>
    <row r="3523" spans="1:22" x14ac:dyDescent="0.35">
      <c r="A3523" s="3">
        <v>44138</v>
      </c>
      <c r="B3523" t="s">
        <v>40</v>
      </c>
      <c r="C3523">
        <v>27.26</v>
      </c>
      <c r="D3523">
        <v>27.4</v>
      </c>
      <c r="E3523">
        <v>27.1</v>
      </c>
      <c r="F3523">
        <v>27.2</v>
      </c>
      <c r="G3523">
        <v>27.074999999999999</v>
      </c>
      <c r="H3523">
        <v>-0.55000000000000004</v>
      </c>
      <c r="I3523">
        <v>33</v>
      </c>
      <c r="J3523">
        <v>0</v>
      </c>
      <c r="K3523">
        <v>96</v>
      </c>
      <c r="L3523">
        <v>155</v>
      </c>
      <c r="M3523">
        <v>225</v>
      </c>
      <c r="N3523" t="s">
        <v>40</v>
      </c>
      <c r="O3523" s="3">
        <v>44363</v>
      </c>
      <c r="P3523">
        <v>-1</v>
      </c>
      <c r="T3523" t="s">
        <v>36</v>
      </c>
      <c r="U3523">
        <v>98</v>
      </c>
      <c r="V3523">
        <v>23.45</v>
      </c>
    </row>
    <row r="3524" spans="1:22" x14ac:dyDescent="0.35">
      <c r="A3524" s="3">
        <v>44137</v>
      </c>
      <c r="B3524" t="s">
        <v>47</v>
      </c>
      <c r="C3524">
        <v>34.5</v>
      </c>
      <c r="D3524">
        <v>35.25</v>
      </c>
      <c r="E3524">
        <v>32.549999999999997</v>
      </c>
      <c r="F3524">
        <v>33.15</v>
      </c>
      <c r="G3524">
        <v>33.375</v>
      </c>
      <c r="H3524">
        <v>-0.72499999999999998</v>
      </c>
      <c r="I3524">
        <v>74047</v>
      </c>
      <c r="J3524">
        <v>0</v>
      </c>
      <c r="K3524">
        <v>115064</v>
      </c>
      <c r="L3524">
        <v>12</v>
      </c>
      <c r="M3524">
        <v>16</v>
      </c>
      <c r="N3524" t="s">
        <v>47</v>
      </c>
      <c r="O3524" s="3">
        <v>44153</v>
      </c>
      <c r="P3524">
        <v>-1</v>
      </c>
      <c r="T3524" t="s">
        <v>35</v>
      </c>
      <c r="U3524">
        <v>118</v>
      </c>
      <c r="V3524">
        <v>23.596399999999999</v>
      </c>
    </row>
    <row r="3525" spans="1:22" x14ac:dyDescent="0.35">
      <c r="A3525" s="3">
        <v>44137</v>
      </c>
      <c r="B3525" t="s">
        <v>45</v>
      </c>
      <c r="C3525">
        <v>31.75</v>
      </c>
      <c r="D3525">
        <v>32.25</v>
      </c>
      <c r="E3525">
        <v>30.45</v>
      </c>
      <c r="F3525">
        <v>30.7</v>
      </c>
      <c r="G3525">
        <v>30.824999999999999</v>
      </c>
      <c r="H3525">
        <v>-1</v>
      </c>
      <c r="I3525">
        <v>9451</v>
      </c>
      <c r="J3525">
        <v>0</v>
      </c>
      <c r="K3525">
        <v>24160</v>
      </c>
      <c r="L3525">
        <v>53</v>
      </c>
      <c r="M3525">
        <v>79</v>
      </c>
      <c r="N3525" t="s">
        <v>45</v>
      </c>
      <c r="O3525" s="3">
        <v>44216</v>
      </c>
      <c r="P3525">
        <v>-1</v>
      </c>
      <c r="T3525" t="s">
        <v>34</v>
      </c>
      <c r="U3525">
        <v>142</v>
      </c>
      <c r="V3525">
        <v>23.5778</v>
      </c>
    </row>
    <row r="3526" spans="1:22" x14ac:dyDescent="0.35">
      <c r="A3526" s="3">
        <v>44137</v>
      </c>
      <c r="B3526" t="s">
        <v>41</v>
      </c>
      <c r="C3526">
        <v>28.45</v>
      </c>
      <c r="D3526">
        <v>28.85</v>
      </c>
      <c r="E3526">
        <v>27.9</v>
      </c>
      <c r="F3526">
        <v>28.05</v>
      </c>
      <c r="G3526">
        <v>28.175000000000001</v>
      </c>
      <c r="H3526">
        <v>-0.55000000000000004</v>
      </c>
      <c r="I3526">
        <v>1078</v>
      </c>
      <c r="J3526">
        <v>0</v>
      </c>
      <c r="K3526">
        <v>3121</v>
      </c>
      <c r="L3526">
        <v>137</v>
      </c>
      <c r="M3526">
        <v>198</v>
      </c>
      <c r="N3526" t="s">
        <v>41</v>
      </c>
      <c r="O3526" s="3">
        <v>44335</v>
      </c>
      <c r="P3526">
        <v>-1</v>
      </c>
      <c r="S3526" s="3">
        <v>44350</v>
      </c>
      <c r="T3526" t="s">
        <v>33</v>
      </c>
      <c r="U3526">
        <v>159</v>
      </c>
      <c r="V3526">
        <v>24.45</v>
      </c>
    </row>
    <row r="3527" spans="1:22" x14ac:dyDescent="0.35">
      <c r="A3527" s="3">
        <v>44137</v>
      </c>
      <c r="B3527" t="s">
        <v>40</v>
      </c>
      <c r="C3527">
        <v>27.5</v>
      </c>
      <c r="D3527">
        <v>28.25</v>
      </c>
      <c r="E3527">
        <v>27.44</v>
      </c>
      <c r="F3527">
        <v>27.52</v>
      </c>
      <c r="G3527">
        <v>27.625</v>
      </c>
      <c r="H3527">
        <v>-0.32500000000000001</v>
      </c>
      <c r="I3527">
        <v>15</v>
      </c>
      <c r="J3527">
        <v>0</v>
      </c>
      <c r="K3527">
        <v>81</v>
      </c>
      <c r="L3527">
        <v>156</v>
      </c>
      <c r="M3527">
        <v>226</v>
      </c>
      <c r="N3527" t="s">
        <v>40</v>
      </c>
      <c r="O3527" s="3">
        <v>44363</v>
      </c>
      <c r="P3527">
        <v>-1</v>
      </c>
      <c r="T3527" t="s">
        <v>32</v>
      </c>
      <c r="U3527">
        <v>179</v>
      </c>
      <c r="V3527">
        <v>24.55</v>
      </c>
    </row>
    <row r="3528" spans="1:22" x14ac:dyDescent="0.35">
      <c r="A3528" s="3">
        <v>44137</v>
      </c>
      <c r="B3528" t="s">
        <v>43</v>
      </c>
      <c r="C3528">
        <v>29.34</v>
      </c>
      <c r="D3528">
        <v>29.65</v>
      </c>
      <c r="E3528">
        <v>28.22</v>
      </c>
      <c r="F3528">
        <v>28.43</v>
      </c>
      <c r="G3528">
        <v>28.524999999999999</v>
      </c>
      <c r="H3528">
        <v>-0.8</v>
      </c>
      <c r="I3528">
        <v>3339</v>
      </c>
      <c r="J3528">
        <v>0</v>
      </c>
      <c r="K3528">
        <v>10494</v>
      </c>
      <c r="L3528">
        <v>92</v>
      </c>
      <c r="M3528">
        <v>135</v>
      </c>
      <c r="N3528" t="s">
        <v>43</v>
      </c>
      <c r="O3528" s="3">
        <v>44272</v>
      </c>
      <c r="P3528">
        <v>-1</v>
      </c>
      <c r="T3528" t="s">
        <v>40</v>
      </c>
      <c r="U3528">
        <v>9</v>
      </c>
      <c r="V3528">
        <v>19.2865</v>
      </c>
    </row>
    <row r="3529" spans="1:22" x14ac:dyDescent="0.35">
      <c r="A3529" s="3">
        <v>44137</v>
      </c>
      <c r="B3529" t="s">
        <v>46</v>
      </c>
      <c r="C3529">
        <v>34</v>
      </c>
      <c r="D3529">
        <v>34.53</v>
      </c>
      <c r="E3529">
        <v>32.200000000000003</v>
      </c>
      <c r="F3529">
        <v>32.950000000000003</v>
      </c>
      <c r="G3529">
        <v>33.174999999999997</v>
      </c>
      <c r="H3529">
        <v>-0.9</v>
      </c>
      <c r="I3529">
        <v>58397</v>
      </c>
      <c r="J3529">
        <v>0</v>
      </c>
      <c r="K3529">
        <v>101024</v>
      </c>
      <c r="L3529">
        <v>31</v>
      </c>
      <c r="M3529">
        <v>44</v>
      </c>
      <c r="N3529" t="s">
        <v>46</v>
      </c>
      <c r="O3529" s="3">
        <v>44181</v>
      </c>
      <c r="P3529">
        <v>-1</v>
      </c>
      <c r="T3529" t="s">
        <v>39</v>
      </c>
      <c r="U3529">
        <v>33</v>
      </c>
      <c r="V3529">
        <v>21.386900000000001</v>
      </c>
    </row>
    <row r="3530" spans="1:22" x14ac:dyDescent="0.35">
      <c r="A3530" s="3">
        <v>44137</v>
      </c>
      <c r="B3530" t="s">
        <v>42</v>
      </c>
      <c r="C3530">
        <v>29.2</v>
      </c>
      <c r="D3530">
        <v>29.45</v>
      </c>
      <c r="E3530">
        <v>28.2</v>
      </c>
      <c r="F3530">
        <v>28.37</v>
      </c>
      <c r="G3530">
        <v>28.475000000000001</v>
      </c>
      <c r="H3530">
        <v>-0.67500000000000004</v>
      </c>
      <c r="I3530">
        <v>1806</v>
      </c>
      <c r="J3530">
        <v>0</v>
      </c>
      <c r="K3530">
        <v>7690</v>
      </c>
      <c r="L3530">
        <v>117</v>
      </c>
      <c r="M3530">
        <v>170</v>
      </c>
      <c r="N3530" t="s">
        <v>42</v>
      </c>
      <c r="O3530" s="3">
        <v>44307</v>
      </c>
      <c r="P3530">
        <v>-1</v>
      </c>
      <c r="T3530" t="s">
        <v>38</v>
      </c>
      <c r="U3530">
        <v>53</v>
      </c>
      <c r="V3530">
        <v>22.402100000000001</v>
      </c>
    </row>
    <row r="3531" spans="1:22" x14ac:dyDescent="0.35">
      <c r="A3531" s="3">
        <v>44137</v>
      </c>
      <c r="B3531" t="s">
        <v>44</v>
      </c>
      <c r="C3531">
        <v>30.05</v>
      </c>
      <c r="D3531">
        <v>30.55</v>
      </c>
      <c r="E3531">
        <v>28.9</v>
      </c>
      <c r="F3531">
        <v>29.05</v>
      </c>
      <c r="G3531">
        <v>29.175000000000001</v>
      </c>
      <c r="H3531">
        <v>-1</v>
      </c>
      <c r="I3531">
        <v>6390</v>
      </c>
      <c r="J3531">
        <v>0</v>
      </c>
      <c r="K3531">
        <v>15669</v>
      </c>
      <c r="L3531">
        <v>72</v>
      </c>
      <c r="M3531">
        <v>107</v>
      </c>
      <c r="N3531" t="s">
        <v>44</v>
      </c>
      <c r="O3531" s="3">
        <v>44244</v>
      </c>
      <c r="P3531">
        <v>-1</v>
      </c>
      <c r="T3531" t="s">
        <v>37</v>
      </c>
      <c r="U3531">
        <v>72</v>
      </c>
      <c r="V3531">
        <v>23.15</v>
      </c>
    </row>
    <row r="3532" spans="1:22" x14ac:dyDescent="0.35">
      <c r="A3532" s="3">
        <v>44134</v>
      </c>
      <c r="B3532" t="s">
        <v>43</v>
      </c>
      <c r="C3532">
        <v>29.48</v>
      </c>
      <c r="D3532">
        <v>30.05</v>
      </c>
      <c r="E3532">
        <v>29</v>
      </c>
      <c r="F3532">
        <v>29.1</v>
      </c>
      <c r="G3532">
        <v>29.324999999999999</v>
      </c>
      <c r="H3532">
        <v>0.35</v>
      </c>
      <c r="I3532">
        <v>5205</v>
      </c>
      <c r="J3532">
        <v>0</v>
      </c>
      <c r="K3532">
        <v>10541</v>
      </c>
      <c r="L3532">
        <v>93</v>
      </c>
      <c r="M3532">
        <v>138</v>
      </c>
      <c r="N3532" t="s">
        <v>43</v>
      </c>
      <c r="O3532" s="3">
        <v>44272</v>
      </c>
      <c r="P3532">
        <v>-1</v>
      </c>
      <c r="T3532" t="s">
        <v>36</v>
      </c>
      <c r="U3532">
        <v>97</v>
      </c>
      <c r="V3532">
        <v>23.6694</v>
      </c>
    </row>
    <row r="3533" spans="1:22" x14ac:dyDescent="0.35">
      <c r="A3533" s="3">
        <v>44134</v>
      </c>
      <c r="B3533" t="s">
        <v>46</v>
      </c>
      <c r="C3533">
        <v>33.5</v>
      </c>
      <c r="D3533">
        <v>34.799999999999997</v>
      </c>
      <c r="E3533">
        <v>32.75</v>
      </c>
      <c r="F3533">
        <v>33.5</v>
      </c>
      <c r="G3533">
        <v>34.075000000000003</v>
      </c>
      <c r="H3533">
        <v>1.5</v>
      </c>
      <c r="I3533">
        <v>59819</v>
      </c>
      <c r="J3533">
        <v>0</v>
      </c>
      <c r="K3533">
        <v>92202</v>
      </c>
      <c r="L3533">
        <v>32</v>
      </c>
      <c r="M3533">
        <v>47</v>
      </c>
      <c r="N3533" t="s">
        <v>46</v>
      </c>
      <c r="O3533" s="3">
        <v>44181</v>
      </c>
      <c r="P3533">
        <v>-1</v>
      </c>
      <c r="T3533" t="s">
        <v>35</v>
      </c>
      <c r="U3533">
        <v>117</v>
      </c>
      <c r="V3533">
        <v>23.802600000000002</v>
      </c>
    </row>
    <row r="3534" spans="1:22" x14ac:dyDescent="0.35">
      <c r="A3534" s="3">
        <v>44134</v>
      </c>
      <c r="B3534" t="s">
        <v>42</v>
      </c>
      <c r="C3534">
        <v>29.15</v>
      </c>
      <c r="D3534">
        <v>29.8</v>
      </c>
      <c r="E3534">
        <v>28.85</v>
      </c>
      <c r="F3534">
        <v>28.91</v>
      </c>
      <c r="G3534">
        <v>29.15</v>
      </c>
      <c r="H3534">
        <v>0.47499999999999998</v>
      </c>
      <c r="I3534">
        <v>3062</v>
      </c>
      <c r="J3534">
        <v>0</v>
      </c>
      <c r="K3534">
        <v>7520</v>
      </c>
      <c r="L3534">
        <v>118</v>
      </c>
      <c r="M3534">
        <v>173</v>
      </c>
      <c r="N3534" t="s">
        <v>42</v>
      </c>
      <c r="O3534" s="3">
        <v>44307</v>
      </c>
      <c r="P3534">
        <v>-1</v>
      </c>
      <c r="T3534" t="s">
        <v>34</v>
      </c>
      <c r="U3534">
        <v>141</v>
      </c>
      <c r="V3534">
        <v>23.8</v>
      </c>
    </row>
    <row r="3535" spans="1:22" x14ac:dyDescent="0.35">
      <c r="A3535" s="3">
        <v>44134</v>
      </c>
      <c r="B3535" t="s">
        <v>44</v>
      </c>
      <c r="C3535">
        <v>30.05</v>
      </c>
      <c r="D3535">
        <v>30.75</v>
      </c>
      <c r="E3535">
        <v>29.67</v>
      </c>
      <c r="F3535">
        <v>29.9</v>
      </c>
      <c r="G3535">
        <v>30.175000000000001</v>
      </c>
      <c r="H3535">
        <v>0.65</v>
      </c>
      <c r="I3535">
        <v>8355</v>
      </c>
      <c r="J3535">
        <v>0</v>
      </c>
      <c r="K3535">
        <v>15920</v>
      </c>
      <c r="L3535">
        <v>73</v>
      </c>
      <c r="M3535">
        <v>110</v>
      </c>
      <c r="N3535" t="s">
        <v>44</v>
      </c>
      <c r="O3535" s="3">
        <v>44244</v>
      </c>
      <c r="P3535">
        <v>-1</v>
      </c>
      <c r="S3535" s="3">
        <v>44351</v>
      </c>
      <c r="T3535" t="s">
        <v>33</v>
      </c>
      <c r="U3535">
        <v>158</v>
      </c>
      <c r="V3535">
        <v>23.975000000000001</v>
      </c>
    </row>
    <row r="3536" spans="1:22" x14ac:dyDescent="0.35">
      <c r="A3536" s="3">
        <v>44134</v>
      </c>
      <c r="B3536" t="s">
        <v>47</v>
      </c>
      <c r="C3536">
        <v>34.450000000000003</v>
      </c>
      <c r="D3536">
        <v>36.5</v>
      </c>
      <c r="E3536">
        <v>33.33</v>
      </c>
      <c r="F3536">
        <v>33.909999999999997</v>
      </c>
      <c r="G3536">
        <v>34.1</v>
      </c>
      <c r="H3536">
        <v>0.97499999999999998</v>
      </c>
      <c r="I3536">
        <v>91275</v>
      </c>
      <c r="J3536">
        <v>0</v>
      </c>
      <c r="K3536">
        <v>123409</v>
      </c>
      <c r="L3536">
        <v>13</v>
      </c>
      <c r="M3536">
        <v>19</v>
      </c>
      <c r="N3536" t="s">
        <v>47</v>
      </c>
      <c r="O3536" s="3">
        <v>44153</v>
      </c>
      <c r="P3536">
        <v>-1</v>
      </c>
      <c r="T3536" t="s">
        <v>32</v>
      </c>
      <c r="U3536">
        <v>178</v>
      </c>
      <c r="V3536">
        <v>24.175000000000001</v>
      </c>
    </row>
    <row r="3537" spans="1:22" x14ac:dyDescent="0.35">
      <c r="A3537" s="3">
        <v>44134</v>
      </c>
      <c r="B3537" t="s">
        <v>45</v>
      </c>
      <c r="C3537">
        <v>31.4</v>
      </c>
      <c r="D3537">
        <v>32.35</v>
      </c>
      <c r="E3537">
        <v>30.93</v>
      </c>
      <c r="F3537">
        <v>31.45</v>
      </c>
      <c r="G3537">
        <v>31.824999999999999</v>
      </c>
      <c r="H3537">
        <v>1.05</v>
      </c>
      <c r="I3537">
        <v>11404</v>
      </c>
      <c r="J3537">
        <v>0</v>
      </c>
      <c r="K3537">
        <v>23313</v>
      </c>
      <c r="L3537">
        <v>54</v>
      </c>
      <c r="M3537">
        <v>82</v>
      </c>
      <c r="N3537" t="s">
        <v>45</v>
      </c>
      <c r="O3537" s="3">
        <v>44216</v>
      </c>
      <c r="P3537">
        <v>-1</v>
      </c>
      <c r="T3537" t="s">
        <v>40</v>
      </c>
      <c r="U3537">
        <v>8</v>
      </c>
      <c r="V3537">
        <v>18.124600000000001</v>
      </c>
    </row>
    <row r="3538" spans="1:22" x14ac:dyDescent="0.35">
      <c r="A3538" s="3">
        <v>44134</v>
      </c>
      <c r="B3538" t="s">
        <v>41</v>
      </c>
      <c r="C3538">
        <v>28.61</v>
      </c>
      <c r="D3538">
        <v>29.15</v>
      </c>
      <c r="E3538">
        <v>28.39</v>
      </c>
      <c r="F3538">
        <v>28.43</v>
      </c>
      <c r="G3538">
        <v>28.725000000000001</v>
      </c>
      <c r="H3538">
        <v>0.52500000000000002</v>
      </c>
      <c r="I3538">
        <v>1068</v>
      </c>
      <c r="J3538">
        <v>0</v>
      </c>
      <c r="K3538">
        <v>3096</v>
      </c>
      <c r="L3538">
        <v>138</v>
      </c>
      <c r="M3538">
        <v>201</v>
      </c>
      <c r="N3538" t="s">
        <v>41</v>
      </c>
      <c r="O3538" s="3">
        <v>44335</v>
      </c>
      <c r="P3538">
        <v>-1</v>
      </c>
      <c r="T3538" t="s">
        <v>39</v>
      </c>
      <c r="U3538">
        <v>32</v>
      </c>
      <c r="V3538">
        <v>20.338899999999999</v>
      </c>
    </row>
    <row r="3539" spans="1:22" x14ac:dyDescent="0.35">
      <c r="A3539" s="3">
        <v>44134</v>
      </c>
      <c r="B3539" t="s">
        <v>40</v>
      </c>
      <c r="C3539">
        <v>28.1</v>
      </c>
      <c r="D3539">
        <v>28.15</v>
      </c>
      <c r="E3539">
        <v>28.1</v>
      </c>
      <c r="F3539">
        <v>28.1</v>
      </c>
      <c r="G3539">
        <v>27.95</v>
      </c>
      <c r="H3539">
        <v>0.4</v>
      </c>
      <c r="I3539">
        <v>1</v>
      </c>
      <c r="J3539">
        <v>0</v>
      </c>
      <c r="K3539">
        <v>77</v>
      </c>
      <c r="L3539">
        <v>157</v>
      </c>
      <c r="M3539">
        <v>229</v>
      </c>
      <c r="N3539" t="s">
        <v>40</v>
      </c>
      <c r="O3539" s="3">
        <v>44363</v>
      </c>
      <c r="P3539">
        <v>-1</v>
      </c>
      <c r="T3539" t="s">
        <v>38</v>
      </c>
      <c r="U3539">
        <v>52</v>
      </c>
      <c r="V3539">
        <v>21.532699999999998</v>
      </c>
    </row>
    <row r="3540" spans="1:22" x14ac:dyDescent="0.35">
      <c r="A3540" s="3">
        <v>44133</v>
      </c>
      <c r="B3540" t="s">
        <v>47</v>
      </c>
      <c r="C3540">
        <v>35.700000000000003</v>
      </c>
      <c r="D3540">
        <v>36.15</v>
      </c>
      <c r="E3540">
        <v>32.159999999999997</v>
      </c>
      <c r="F3540">
        <v>34.369999999999997</v>
      </c>
      <c r="G3540">
        <v>33.125</v>
      </c>
      <c r="H3540">
        <v>-2.875</v>
      </c>
      <c r="I3540">
        <v>105241</v>
      </c>
      <c r="J3540">
        <v>175</v>
      </c>
      <c r="K3540">
        <v>128466</v>
      </c>
      <c r="L3540">
        <v>14</v>
      </c>
      <c r="M3540">
        <v>20</v>
      </c>
      <c r="N3540" t="s">
        <v>47</v>
      </c>
      <c r="O3540" s="3">
        <v>44153</v>
      </c>
      <c r="P3540">
        <v>-1</v>
      </c>
      <c r="T3540" t="s">
        <v>37</v>
      </c>
      <c r="U3540">
        <v>71</v>
      </c>
      <c r="V3540">
        <v>22.4</v>
      </c>
    </row>
    <row r="3541" spans="1:22" x14ac:dyDescent="0.35">
      <c r="A3541" s="3">
        <v>44133</v>
      </c>
      <c r="B3541" t="s">
        <v>39</v>
      </c>
      <c r="C3541">
        <v>27.77</v>
      </c>
      <c r="D3541">
        <v>27.77</v>
      </c>
      <c r="E3541">
        <v>27.77</v>
      </c>
      <c r="F3541">
        <v>27.77</v>
      </c>
      <c r="G3541">
        <v>27.2</v>
      </c>
      <c r="H3541">
        <v>-0.22500000000000001</v>
      </c>
      <c r="I3541">
        <v>3</v>
      </c>
      <c r="J3541">
        <v>0</v>
      </c>
      <c r="K3541">
        <v>12</v>
      </c>
      <c r="L3541">
        <v>182</v>
      </c>
      <c r="M3541">
        <v>265</v>
      </c>
      <c r="N3541" t="s">
        <v>39</v>
      </c>
      <c r="O3541" s="3">
        <v>44398</v>
      </c>
      <c r="P3541">
        <v>-1</v>
      </c>
      <c r="T3541" t="s">
        <v>36</v>
      </c>
      <c r="U3541">
        <v>96</v>
      </c>
      <c r="V3541">
        <v>23.029299999999999</v>
      </c>
    </row>
    <row r="3542" spans="1:22" x14ac:dyDescent="0.35">
      <c r="A3542" s="3">
        <v>44133</v>
      </c>
      <c r="B3542" t="s">
        <v>45</v>
      </c>
      <c r="C3542">
        <v>31.95</v>
      </c>
      <c r="D3542">
        <v>32.409999999999997</v>
      </c>
      <c r="E3542">
        <v>30.2</v>
      </c>
      <c r="F3542">
        <v>31.41</v>
      </c>
      <c r="G3542">
        <v>30.774999999999999</v>
      </c>
      <c r="H3542">
        <v>-1.6</v>
      </c>
      <c r="I3542">
        <v>13551</v>
      </c>
      <c r="J3542">
        <v>0</v>
      </c>
      <c r="K3542">
        <v>23160</v>
      </c>
      <c r="L3542">
        <v>55</v>
      </c>
      <c r="M3542">
        <v>83</v>
      </c>
      <c r="N3542" t="s">
        <v>45</v>
      </c>
      <c r="O3542" s="3">
        <v>44216</v>
      </c>
      <c r="P3542">
        <v>-1</v>
      </c>
      <c r="T3542" t="s">
        <v>35</v>
      </c>
      <c r="U3542">
        <v>116</v>
      </c>
      <c r="V3542">
        <v>23.225899999999999</v>
      </c>
    </row>
    <row r="3543" spans="1:22" x14ac:dyDescent="0.35">
      <c r="A3543" s="3">
        <v>44133</v>
      </c>
      <c r="B3543" t="s">
        <v>41</v>
      </c>
      <c r="C3543">
        <v>29</v>
      </c>
      <c r="D3543">
        <v>29.15</v>
      </c>
      <c r="E3543">
        <v>27.85</v>
      </c>
      <c r="F3543">
        <v>28.55</v>
      </c>
      <c r="G3543">
        <v>28.2</v>
      </c>
      <c r="H3543">
        <v>-0.85</v>
      </c>
      <c r="I3543">
        <v>1082</v>
      </c>
      <c r="J3543">
        <v>0</v>
      </c>
      <c r="K3543">
        <v>2902</v>
      </c>
      <c r="L3543">
        <v>139</v>
      </c>
      <c r="M3543">
        <v>202</v>
      </c>
      <c r="N3543" t="s">
        <v>41</v>
      </c>
      <c r="O3543" s="3">
        <v>44335</v>
      </c>
      <c r="P3543">
        <v>-1</v>
      </c>
      <c r="T3543" t="s">
        <v>34</v>
      </c>
      <c r="U3543">
        <v>140</v>
      </c>
      <c r="V3543">
        <v>23.2012</v>
      </c>
    </row>
    <row r="3544" spans="1:22" x14ac:dyDescent="0.35">
      <c r="A3544" s="3">
        <v>44133</v>
      </c>
      <c r="B3544" t="s">
        <v>40</v>
      </c>
      <c r="C3544">
        <v>27.97</v>
      </c>
      <c r="D3544">
        <v>27.97</v>
      </c>
      <c r="E3544">
        <v>27.85</v>
      </c>
      <c r="F3544">
        <v>27.97</v>
      </c>
      <c r="G3544">
        <v>27.55</v>
      </c>
      <c r="H3544">
        <v>-0.85</v>
      </c>
      <c r="I3544">
        <v>3</v>
      </c>
      <c r="J3544">
        <v>0</v>
      </c>
      <c r="K3544">
        <v>76</v>
      </c>
      <c r="L3544">
        <v>158</v>
      </c>
      <c r="M3544">
        <v>230</v>
      </c>
      <c r="N3544" t="s">
        <v>40</v>
      </c>
      <c r="O3544" s="3">
        <v>44363</v>
      </c>
      <c r="P3544">
        <v>-1</v>
      </c>
      <c r="S3544" s="3">
        <v>44354</v>
      </c>
      <c r="T3544" t="s">
        <v>33</v>
      </c>
      <c r="U3544">
        <v>157</v>
      </c>
      <c r="V3544">
        <v>23.824999999999999</v>
      </c>
    </row>
    <row r="3545" spans="1:22" x14ac:dyDescent="0.35">
      <c r="A3545" s="3">
        <v>44133</v>
      </c>
      <c r="B3545" t="s">
        <v>43</v>
      </c>
      <c r="C3545">
        <v>30.25</v>
      </c>
      <c r="D3545">
        <v>30.27</v>
      </c>
      <c r="E3545">
        <v>28.52</v>
      </c>
      <c r="F3545">
        <v>29.36</v>
      </c>
      <c r="G3545">
        <v>28.975000000000001</v>
      </c>
      <c r="H3545">
        <v>-1.1499999999999999</v>
      </c>
      <c r="I3545">
        <v>3831</v>
      </c>
      <c r="J3545">
        <v>0</v>
      </c>
      <c r="K3545">
        <v>9688</v>
      </c>
      <c r="L3545">
        <v>94</v>
      </c>
      <c r="M3545">
        <v>139</v>
      </c>
      <c r="N3545" t="s">
        <v>43</v>
      </c>
      <c r="O3545" s="3">
        <v>44272</v>
      </c>
      <c r="P3545">
        <v>-1</v>
      </c>
      <c r="T3545" t="s">
        <v>32</v>
      </c>
      <c r="U3545">
        <v>177</v>
      </c>
      <c r="V3545">
        <v>24.1</v>
      </c>
    </row>
    <row r="3546" spans="1:22" x14ac:dyDescent="0.35">
      <c r="A3546" s="3">
        <v>44133</v>
      </c>
      <c r="B3546" t="s">
        <v>46</v>
      </c>
      <c r="C3546">
        <v>34.1</v>
      </c>
      <c r="D3546">
        <v>34.5</v>
      </c>
      <c r="E3546">
        <v>31.77</v>
      </c>
      <c r="F3546">
        <v>33.4</v>
      </c>
      <c r="G3546">
        <v>32.575000000000003</v>
      </c>
      <c r="H3546">
        <v>-2.15</v>
      </c>
      <c r="I3546">
        <v>61320</v>
      </c>
      <c r="J3546">
        <v>75</v>
      </c>
      <c r="K3546">
        <v>83668</v>
      </c>
      <c r="L3546">
        <v>33</v>
      </c>
      <c r="M3546">
        <v>48</v>
      </c>
      <c r="N3546" t="s">
        <v>46</v>
      </c>
      <c r="O3546" s="3">
        <v>44181</v>
      </c>
      <c r="P3546">
        <v>-1</v>
      </c>
      <c r="T3546" t="s">
        <v>40</v>
      </c>
      <c r="U3546">
        <v>7</v>
      </c>
      <c r="V3546">
        <v>17.635899999999999</v>
      </c>
    </row>
    <row r="3547" spans="1:22" x14ac:dyDescent="0.35">
      <c r="A3547" s="3">
        <v>44133</v>
      </c>
      <c r="B3547" t="s">
        <v>42</v>
      </c>
      <c r="C3547">
        <v>29.55</v>
      </c>
      <c r="D3547">
        <v>29.77</v>
      </c>
      <c r="E3547">
        <v>28.32</v>
      </c>
      <c r="F3547">
        <v>29.05</v>
      </c>
      <c r="G3547">
        <v>28.675000000000001</v>
      </c>
      <c r="H3547">
        <v>-1</v>
      </c>
      <c r="I3547">
        <v>2548</v>
      </c>
      <c r="J3547">
        <v>0</v>
      </c>
      <c r="K3547">
        <v>7001</v>
      </c>
      <c r="L3547">
        <v>119</v>
      </c>
      <c r="M3547">
        <v>174</v>
      </c>
      <c r="N3547" t="s">
        <v>42</v>
      </c>
      <c r="O3547" s="3">
        <v>44307</v>
      </c>
      <c r="P3547">
        <v>-1</v>
      </c>
      <c r="T3547" t="s">
        <v>39</v>
      </c>
      <c r="U3547">
        <v>31</v>
      </c>
      <c r="V3547">
        <v>20.002099999999999</v>
      </c>
    </row>
    <row r="3548" spans="1:22" x14ac:dyDescent="0.35">
      <c r="A3548" s="3">
        <v>44133</v>
      </c>
      <c r="B3548" t="s">
        <v>44</v>
      </c>
      <c r="C3548">
        <v>30.6</v>
      </c>
      <c r="D3548">
        <v>30.9</v>
      </c>
      <c r="E3548">
        <v>29</v>
      </c>
      <c r="F3548">
        <v>30</v>
      </c>
      <c r="G3548">
        <v>29.524999999999999</v>
      </c>
      <c r="H3548">
        <v>-1.25</v>
      </c>
      <c r="I3548">
        <v>8549</v>
      </c>
      <c r="J3548">
        <v>0</v>
      </c>
      <c r="K3548">
        <v>15201</v>
      </c>
      <c r="L3548">
        <v>74</v>
      </c>
      <c r="M3548">
        <v>111</v>
      </c>
      <c r="N3548" t="s">
        <v>44</v>
      </c>
      <c r="O3548" s="3">
        <v>44244</v>
      </c>
      <c r="P3548">
        <v>-1</v>
      </c>
      <c r="T3548" t="s">
        <v>38</v>
      </c>
      <c r="U3548">
        <v>51</v>
      </c>
      <c r="V3548">
        <v>21.305299999999999</v>
      </c>
    </row>
    <row r="3549" spans="1:22" x14ac:dyDescent="0.35">
      <c r="A3549" s="3">
        <v>44132</v>
      </c>
      <c r="B3549" t="s">
        <v>43</v>
      </c>
      <c r="C3549">
        <v>28.8</v>
      </c>
      <c r="D3549">
        <v>30.55</v>
      </c>
      <c r="E3549">
        <v>28.7</v>
      </c>
      <c r="F3549">
        <v>30.02</v>
      </c>
      <c r="G3549">
        <v>30.125</v>
      </c>
      <c r="H3549">
        <v>1.65</v>
      </c>
      <c r="I3549">
        <v>6525</v>
      </c>
      <c r="J3549">
        <v>0</v>
      </c>
      <c r="K3549">
        <v>9716</v>
      </c>
      <c r="L3549">
        <v>95</v>
      </c>
      <c r="M3549">
        <v>140</v>
      </c>
      <c r="N3549" t="s">
        <v>43</v>
      </c>
      <c r="O3549" s="3">
        <v>44272</v>
      </c>
      <c r="P3549">
        <v>-1</v>
      </c>
      <c r="T3549" t="s">
        <v>37</v>
      </c>
      <c r="U3549">
        <v>70</v>
      </c>
      <c r="V3549">
        <v>22.250599999999999</v>
      </c>
    </row>
    <row r="3550" spans="1:22" x14ac:dyDescent="0.35">
      <c r="A3550" s="3">
        <v>44132</v>
      </c>
      <c r="B3550" t="s">
        <v>46</v>
      </c>
      <c r="C3550">
        <v>31.15</v>
      </c>
      <c r="D3550">
        <v>34.72</v>
      </c>
      <c r="E3550">
        <v>31.15</v>
      </c>
      <c r="F3550">
        <v>34.049999999999997</v>
      </c>
      <c r="G3550">
        <v>34.725000000000001</v>
      </c>
      <c r="H3550">
        <v>3.8</v>
      </c>
      <c r="I3550">
        <v>78906</v>
      </c>
      <c r="J3550">
        <v>13</v>
      </c>
      <c r="K3550">
        <v>78219</v>
      </c>
      <c r="L3550">
        <v>34</v>
      </c>
      <c r="M3550">
        <v>49</v>
      </c>
      <c r="N3550" t="s">
        <v>46</v>
      </c>
      <c r="O3550" s="3">
        <v>44181</v>
      </c>
      <c r="P3550">
        <v>-1</v>
      </c>
      <c r="T3550" t="s">
        <v>36</v>
      </c>
      <c r="U3550">
        <v>95</v>
      </c>
      <c r="V3550">
        <v>22.85</v>
      </c>
    </row>
    <row r="3551" spans="1:22" x14ac:dyDescent="0.35">
      <c r="A3551" s="3">
        <v>44132</v>
      </c>
      <c r="B3551" t="s">
        <v>42</v>
      </c>
      <c r="C3551">
        <v>28.5</v>
      </c>
      <c r="D3551">
        <v>30.22</v>
      </c>
      <c r="E3551">
        <v>28.45</v>
      </c>
      <c r="F3551">
        <v>29.6</v>
      </c>
      <c r="G3551">
        <v>29.675000000000001</v>
      </c>
      <c r="H3551">
        <v>1.4</v>
      </c>
      <c r="I3551">
        <v>4303</v>
      </c>
      <c r="J3551">
        <v>0</v>
      </c>
      <c r="K3551">
        <v>6874</v>
      </c>
      <c r="L3551">
        <v>120</v>
      </c>
      <c r="M3551">
        <v>175</v>
      </c>
      <c r="N3551" t="s">
        <v>42</v>
      </c>
      <c r="O3551" s="3">
        <v>44307</v>
      </c>
      <c r="P3551">
        <v>-1</v>
      </c>
      <c r="T3551" t="s">
        <v>35</v>
      </c>
      <c r="U3551">
        <v>115</v>
      </c>
      <c r="V3551">
        <v>23.0854</v>
      </c>
    </row>
    <row r="3552" spans="1:22" x14ac:dyDescent="0.35">
      <c r="A3552" s="3">
        <v>44132</v>
      </c>
      <c r="B3552" t="s">
        <v>44</v>
      </c>
      <c r="C3552">
        <v>29.2</v>
      </c>
      <c r="D3552">
        <v>31.18</v>
      </c>
      <c r="E3552">
        <v>29.15</v>
      </c>
      <c r="F3552">
        <v>30.65</v>
      </c>
      <c r="G3552">
        <v>30.774999999999999</v>
      </c>
      <c r="H3552">
        <v>1.875</v>
      </c>
      <c r="I3552">
        <v>9281</v>
      </c>
      <c r="J3552">
        <v>0</v>
      </c>
      <c r="K3552">
        <v>15757</v>
      </c>
      <c r="L3552">
        <v>75</v>
      </c>
      <c r="M3552">
        <v>112</v>
      </c>
      <c r="N3552" t="s">
        <v>44</v>
      </c>
      <c r="O3552" s="3">
        <v>44244</v>
      </c>
      <c r="P3552">
        <v>-1</v>
      </c>
      <c r="T3552" t="s">
        <v>34</v>
      </c>
      <c r="U3552">
        <v>139</v>
      </c>
      <c r="V3552">
        <v>23.113299999999999</v>
      </c>
    </row>
    <row r="3553" spans="1:22" x14ac:dyDescent="0.35">
      <c r="A3553" s="3">
        <v>44132</v>
      </c>
      <c r="B3553" t="s">
        <v>47</v>
      </c>
      <c r="C3553">
        <v>31.8</v>
      </c>
      <c r="D3553">
        <v>36.200000000000003</v>
      </c>
      <c r="E3553">
        <v>31.75</v>
      </c>
      <c r="F3553">
        <v>35.6</v>
      </c>
      <c r="G3553">
        <v>36</v>
      </c>
      <c r="H3553">
        <v>4.6749999999999998</v>
      </c>
      <c r="I3553">
        <v>149289</v>
      </c>
      <c r="J3553">
        <v>39</v>
      </c>
      <c r="K3553">
        <v>138259</v>
      </c>
      <c r="L3553">
        <v>15</v>
      </c>
      <c r="M3553">
        <v>21</v>
      </c>
      <c r="N3553" t="s">
        <v>47</v>
      </c>
      <c r="O3553" s="3">
        <v>44153</v>
      </c>
      <c r="P3553">
        <v>-1</v>
      </c>
      <c r="S3553" s="3">
        <v>44355</v>
      </c>
      <c r="T3553" t="s">
        <v>33</v>
      </c>
      <c r="U3553">
        <v>156</v>
      </c>
      <c r="V3553">
        <v>23.8</v>
      </c>
    </row>
    <row r="3554" spans="1:22" x14ac:dyDescent="0.35">
      <c r="A3554" s="3">
        <v>44132</v>
      </c>
      <c r="B3554" t="s">
        <v>39</v>
      </c>
      <c r="C3554">
        <v>28.27</v>
      </c>
      <c r="D3554">
        <v>28.27</v>
      </c>
      <c r="E3554">
        <v>28.05</v>
      </c>
      <c r="F3554">
        <v>28.05</v>
      </c>
      <c r="G3554">
        <v>27.425000000000001</v>
      </c>
      <c r="H3554">
        <v>0.2</v>
      </c>
      <c r="I3554">
        <v>4</v>
      </c>
      <c r="J3554">
        <v>0</v>
      </c>
      <c r="K3554">
        <v>9</v>
      </c>
      <c r="L3554">
        <v>183</v>
      </c>
      <c r="M3554">
        <v>266</v>
      </c>
      <c r="N3554" t="s">
        <v>39</v>
      </c>
      <c r="O3554" s="3">
        <v>44398</v>
      </c>
      <c r="P3554">
        <v>-1</v>
      </c>
      <c r="T3554" t="s">
        <v>32</v>
      </c>
      <c r="U3554">
        <v>176</v>
      </c>
      <c r="V3554">
        <v>24.05</v>
      </c>
    </row>
    <row r="3555" spans="1:22" x14ac:dyDescent="0.35">
      <c r="A3555" s="3">
        <v>44132</v>
      </c>
      <c r="B3555" t="s">
        <v>45</v>
      </c>
      <c r="C3555">
        <v>29.84</v>
      </c>
      <c r="D3555">
        <v>32.409999999999997</v>
      </c>
      <c r="E3555">
        <v>29.8</v>
      </c>
      <c r="F3555">
        <v>32</v>
      </c>
      <c r="G3555">
        <v>32.375</v>
      </c>
      <c r="H3555">
        <v>2.75</v>
      </c>
      <c r="I3555">
        <v>17605</v>
      </c>
      <c r="J3555">
        <v>0</v>
      </c>
      <c r="K3555">
        <v>23012</v>
      </c>
      <c r="L3555">
        <v>56</v>
      </c>
      <c r="M3555">
        <v>84</v>
      </c>
      <c r="N3555" t="s">
        <v>45</v>
      </c>
      <c r="O3555" s="3">
        <v>44216</v>
      </c>
      <c r="P3555">
        <v>-1</v>
      </c>
      <c r="T3555" t="s">
        <v>40</v>
      </c>
      <c r="U3555">
        <v>6</v>
      </c>
      <c r="V3555">
        <v>17.901199999999999</v>
      </c>
    </row>
    <row r="3556" spans="1:22" x14ac:dyDescent="0.35">
      <c r="A3556" s="3">
        <v>44132</v>
      </c>
      <c r="B3556" t="s">
        <v>41</v>
      </c>
      <c r="C3556">
        <v>28.15</v>
      </c>
      <c r="D3556">
        <v>29.66</v>
      </c>
      <c r="E3556">
        <v>28.14</v>
      </c>
      <c r="F3556">
        <v>28.92</v>
      </c>
      <c r="G3556">
        <v>29.05</v>
      </c>
      <c r="H3556">
        <v>1.125</v>
      </c>
      <c r="I3556">
        <v>1584</v>
      </c>
      <c r="J3556">
        <v>0</v>
      </c>
      <c r="K3556">
        <v>2855</v>
      </c>
      <c r="L3556">
        <v>140</v>
      </c>
      <c r="M3556">
        <v>203</v>
      </c>
      <c r="N3556" t="s">
        <v>41</v>
      </c>
      <c r="O3556" s="3">
        <v>44335</v>
      </c>
      <c r="P3556">
        <v>-1</v>
      </c>
      <c r="T3556" t="s">
        <v>39</v>
      </c>
      <c r="U3556">
        <v>30</v>
      </c>
      <c r="V3556">
        <v>20.2319</v>
      </c>
    </row>
    <row r="3557" spans="1:22" x14ac:dyDescent="0.35">
      <c r="A3557" s="3">
        <v>44132</v>
      </c>
      <c r="B3557" t="s">
        <v>40</v>
      </c>
      <c r="C3557">
        <v>27.85</v>
      </c>
      <c r="D3557">
        <v>28.95</v>
      </c>
      <c r="E3557">
        <v>27.8</v>
      </c>
      <c r="F3557">
        <v>28.35</v>
      </c>
      <c r="G3557">
        <v>28.4</v>
      </c>
      <c r="H3557">
        <v>1.175</v>
      </c>
      <c r="I3557">
        <v>59</v>
      </c>
      <c r="J3557">
        <v>0</v>
      </c>
      <c r="K3557">
        <v>76</v>
      </c>
      <c r="L3557">
        <v>159</v>
      </c>
      <c r="M3557">
        <v>231</v>
      </c>
      <c r="N3557" t="s">
        <v>40</v>
      </c>
      <c r="O3557" s="3">
        <v>44363</v>
      </c>
      <c r="P3557">
        <v>-1</v>
      </c>
      <c r="T3557" t="s">
        <v>38</v>
      </c>
      <c r="U3557">
        <v>50</v>
      </c>
      <c r="V3557">
        <v>21.4</v>
      </c>
    </row>
    <row r="3558" spans="1:22" x14ac:dyDescent="0.35">
      <c r="A3558" s="3">
        <v>44131</v>
      </c>
      <c r="B3558" t="s">
        <v>47</v>
      </c>
      <c r="C3558">
        <v>31.45</v>
      </c>
      <c r="D3558">
        <v>32.049999999999997</v>
      </c>
      <c r="E3558">
        <v>30.65</v>
      </c>
      <c r="F3558">
        <v>31.75</v>
      </c>
      <c r="G3558">
        <v>31.324999999999999</v>
      </c>
      <c r="H3558">
        <v>0</v>
      </c>
      <c r="I3558">
        <v>84334</v>
      </c>
      <c r="J3558">
        <v>541</v>
      </c>
      <c r="K3558">
        <v>138909</v>
      </c>
      <c r="L3558">
        <v>16</v>
      </c>
      <c r="M3558">
        <v>22</v>
      </c>
      <c r="N3558" t="s">
        <v>47</v>
      </c>
      <c r="O3558" s="3">
        <v>44153</v>
      </c>
      <c r="P3558">
        <v>-1</v>
      </c>
      <c r="T3558" t="s">
        <v>37</v>
      </c>
      <c r="U3558">
        <v>69</v>
      </c>
      <c r="V3558">
        <v>22.25</v>
      </c>
    </row>
    <row r="3559" spans="1:22" x14ac:dyDescent="0.35">
      <c r="A3559" s="3">
        <v>44131</v>
      </c>
      <c r="B3559" t="s">
        <v>45</v>
      </c>
      <c r="C3559">
        <v>29.65</v>
      </c>
      <c r="D3559">
        <v>29.87</v>
      </c>
      <c r="E3559">
        <v>28.9</v>
      </c>
      <c r="F3559">
        <v>29.85</v>
      </c>
      <c r="G3559">
        <v>29.625</v>
      </c>
      <c r="H3559">
        <v>0.35</v>
      </c>
      <c r="I3559">
        <v>9258</v>
      </c>
      <c r="J3559">
        <v>0</v>
      </c>
      <c r="K3559">
        <v>21529</v>
      </c>
      <c r="L3559">
        <v>57</v>
      </c>
      <c r="M3559">
        <v>85</v>
      </c>
      <c r="N3559" t="s">
        <v>45</v>
      </c>
      <c r="O3559" s="3">
        <v>44216</v>
      </c>
      <c r="P3559">
        <v>-1</v>
      </c>
      <c r="T3559" t="s">
        <v>36</v>
      </c>
      <c r="U3559">
        <v>94</v>
      </c>
      <c r="V3559">
        <v>22.8491</v>
      </c>
    </row>
    <row r="3560" spans="1:22" x14ac:dyDescent="0.35">
      <c r="A3560" s="3">
        <v>44131</v>
      </c>
      <c r="B3560" t="s">
        <v>41</v>
      </c>
      <c r="C3560">
        <v>28.75</v>
      </c>
      <c r="D3560">
        <v>28.75</v>
      </c>
      <c r="E3560">
        <v>27.78</v>
      </c>
      <c r="F3560">
        <v>28.01</v>
      </c>
      <c r="G3560">
        <v>27.925000000000001</v>
      </c>
      <c r="H3560">
        <v>-2.5000000000000001E-2</v>
      </c>
      <c r="I3560">
        <v>698</v>
      </c>
      <c r="J3560">
        <v>0</v>
      </c>
      <c r="K3560">
        <v>2464</v>
      </c>
      <c r="L3560">
        <v>141</v>
      </c>
      <c r="M3560">
        <v>204</v>
      </c>
      <c r="N3560" t="s">
        <v>41</v>
      </c>
      <c r="O3560" s="3">
        <v>44335</v>
      </c>
      <c r="P3560">
        <v>-1</v>
      </c>
      <c r="T3560" t="s">
        <v>35</v>
      </c>
      <c r="U3560">
        <v>114</v>
      </c>
      <c r="V3560">
        <v>23.003399999999999</v>
      </c>
    </row>
    <row r="3561" spans="1:22" x14ac:dyDescent="0.35">
      <c r="A3561" s="3">
        <v>44131</v>
      </c>
      <c r="B3561" t="s">
        <v>40</v>
      </c>
      <c r="C3561">
        <v>27.34</v>
      </c>
      <c r="D3561">
        <v>27.95</v>
      </c>
      <c r="E3561">
        <v>27.3</v>
      </c>
      <c r="F3561">
        <v>27.3</v>
      </c>
      <c r="G3561">
        <v>27.225000000000001</v>
      </c>
      <c r="H3561">
        <v>-0.17499999999999999</v>
      </c>
      <c r="I3561">
        <v>49</v>
      </c>
      <c r="J3561">
        <v>0</v>
      </c>
      <c r="K3561">
        <v>51</v>
      </c>
      <c r="L3561">
        <v>160</v>
      </c>
      <c r="M3561">
        <v>232</v>
      </c>
      <c r="N3561" t="s">
        <v>40</v>
      </c>
      <c r="O3561" s="3">
        <v>44363</v>
      </c>
      <c r="P3561">
        <v>-1</v>
      </c>
      <c r="T3561" t="s">
        <v>34</v>
      </c>
      <c r="U3561">
        <v>138</v>
      </c>
      <c r="V3561">
        <v>23.053899999999999</v>
      </c>
    </row>
    <row r="3562" spans="1:22" x14ac:dyDescent="0.35">
      <c r="A3562" s="3">
        <v>44131</v>
      </c>
      <c r="B3562" t="s">
        <v>43</v>
      </c>
      <c r="C3562">
        <v>28.6</v>
      </c>
      <c r="D3562">
        <v>28.95</v>
      </c>
      <c r="E3562">
        <v>28.22</v>
      </c>
      <c r="F3562">
        <v>28.73</v>
      </c>
      <c r="G3562">
        <v>28.475000000000001</v>
      </c>
      <c r="H3562">
        <v>-0.05</v>
      </c>
      <c r="I3562">
        <v>3486</v>
      </c>
      <c r="J3562">
        <v>0</v>
      </c>
      <c r="K3562">
        <v>9559</v>
      </c>
      <c r="L3562">
        <v>96</v>
      </c>
      <c r="M3562">
        <v>141</v>
      </c>
      <c r="N3562" t="s">
        <v>43</v>
      </c>
      <c r="O3562" s="3">
        <v>44272</v>
      </c>
      <c r="P3562">
        <v>-1</v>
      </c>
      <c r="S3562" s="3">
        <v>44356</v>
      </c>
      <c r="T3562" t="s">
        <v>33</v>
      </c>
      <c r="U3562">
        <v>155</v>
      </c>
      <c r="V3562">
        <v>24.074999999999999</v>
      </c>
    </row>
    <row r="3563" spans="1:22" x14ac:dyDescent="0.35">
      <c r="A3563" s="3">
        <v>44131</v>
      </c>
      <c r="B3563" t="s">
        <v>46</v>
      </c>
      <c r="C3563">
        <v>30.3</v>
      </c>
      <c r="D3563">
        <v>31.19</v>
      </c>
      <c r="E3563">
        <v>29.8</v>
      </c>
      <c r="F3563">
        <v>31.12</v>
      </c>
      <c r="G3563">
        <v>30.925000000000001</v>
      </c>
      <c r="H3563">
        <v>0.55000000000000004</v>
      </c>
      <c r="I3563">
        <v>50308</v>
      </c>
      <c r="J3563">
        <v>46</v>
      </c>
      <c r="K3563">
        <v>70393</v>
      </c>
      <c r="L3563">
        <v>35</v>
      </c>
      <c r="M3563">
        <v>50</v>
      </c>
      <c r="N3563" t="s">
        <v>46</v>
      </c>
      <c r="O3563" s="3">
        <v>44181</v>
      </c>
      <c r="P3563">
        <v>-1</v>
      </c>
      <c r="T3563" t="s">
        <v>32</v>
      </c>
      <c r="U3563">
        <v>175</v>
      </c>
      <c r="V3563">
        <v>24.3</v>
      </c>
    </row>
    <row r="3564" spans="1:22" x14ac:dyDescent="0.35">
      <c r="A3564" s="3">
        <v>44131</v>
      </c>
      <c r="B3564" t="s">
        <v>42</v>
      </c>
      <c r="C3564">
        <v>29</v>
      </c>
      <c r="D3564">
        <v>29</v>
      </c>
      <c r="E3564">
        <v>28.05</v>
      </c>
      <c r="F3564">
        <v>28.47</v>
      </c>
      <c r="G3564">
        <v>28.274999999999999</v>
      </c>
      <c r="H3564">
        <v>0</v>
      </c>
      <c r="I3564">
        <v>1638</v>
      </c>
      <c r="J3564">
        <v>0</v>
      </c>
      <c r="K3564">
        <v>5689</v>
      </c>
      <c r="L3564">
        <v>121</v>
      </c>
      <c r="M3564">
        <v>176</v>
      </c>
      <c r="N3564" t="s">
        <v>42</v>
      </c>
      <c r="O3564" s="3">
        <v>44307</v>
      </c>
      <c r="P3564">
        <v>-1</v>
      </c>
      <c r="T3564" t="s">
        <v>40</v>
      </c>
      <c r="U3564">
        <v>5</v>
      </c>
      <c r="V3564">
        <v>18.3797</v>
      </c>
    </row>
    <row r="3565" spans="1:22" x14ac:dyDescent="0.35">
      <c r="A3565" s="3">
        <v>44131</v>
      </c>
      <c r="B3565" t="s">
        <v>44</v>
      </c>
      <c r="C3565">
        <v>28.79</v>
      </c>
      <c r="D3565">
        <v>29.36</v>
      </c>
      <c r="E3565">
        <v>28.49</v>
      </c>
      <c r="F3565">
        <v>29.17</v>
      </c>
      <c r="G3565">
        <v>28.9</v>
      </c>
      <c r="H3565">
        <v>7.4999999999999997E-2</v>
      </c>
      <c r="I3565">
        <v>5607</v>
      </c>
      <c r="J3565">
        <v>0</v>
      </c>
      <c r="K3565">
        <v>15177</v>
      </c>
      <c r="L3565">
        <v>76</v>
      </c>
      <c r="M3565">
        <v>113</v>
      </c>
      <c r="N3565" t="s">
        <v>44</v>
      </c>
      <c r="O3565" s="3">
        <v>44244</v>
      </c>
      <c r="P3565">
        <v>-1</v>
      </c>
      <c r="T3565" t="s">
        <v>39</v>
      </c>
      <c r="U3565">
        <v>29</v>
      </c>
      <c r="V3565">
        <v>20.498100000000001</v>
      </c>
    </row>
    <row r="3566" spans="1:22" x14ac:dyDescent="0.35">
      <c r="A3566" s="3">
        <v>44130</v>
      </c>
      <c r="B3566" t="s">
        <v>39</v>
      </c>
      <c r="C3566">
        <v>26.93</v>
      </c>
      <c r="D3566">
        <v>26.93</v>
      </c>
      <c r="E3566">
        <v>26.93</v>
      </c>
      <c r="F3566">
        <v>26.93</v>
      </c>
      <c r="G3566">
        <v>26.725000000000001</v>
      </c>
      <c r="H3566">
        <v>0</v>
      </c>
      <c r="I3566">
        <v>5</v>
      </c>
      <c r="J3566">
        <v>0</v>
      </c>
      <c r="K3566">
        <v>5</v>
      </c>
      <c r="L3566">
        <v>185</v>
      </c>
      <c r="M3566">
        <v>268</v>
      </c>
      <c r="N3566" t="s">
        <v>39</v>
      </c>
      <c r="O3566" s="3">
        <v>44398</v>
      </c>
      <c r="P3566">
        <v>-1</v>
      </c>
      <c r="T3566" t="s">
        <v>38</v>
      </c>
      <c r="U3566">
        <v>49</v>
      </c>
      <c r="V3566">
        <v>21.748699999999999</v>
      </c>
    </row>
    <row r="3567" spans="1:22" x14ac:dyDescent="0.35">
      <c r="A3567" s="3">
        <v>44130</v>
      </c>
      <c r="B3567" t="s">
        <v>43</v>
      </c>
      <c r="C3567">
        <v>27.58</v>
      </c>
      <c r="D3567">
        <v>28.9</v>
      </c>
      <c r="E3567">
        <v>27.45</v>
      </c>
      <c r="F3567">
        <v>28.4</v>
      </c>
      <c r="G3567">
        <v>28.524999999999999</v>
      </c>
      <c r="H3567">
        <v>1.1000000000000001</v>
      </c>
      <c r="I3567">
        <v>4087</v>
      </c>
      <c r="J3567">
        <v>0</v>
      </c>
      <c r="K3567">
        <v>9805</v>
      </c>
      <c r="L3567">
        <v>97</v>
      </c>
      <c r="M3567">
        <v>142</v>
      </c>
      <c r="N3567" t="s">
        <v>43</v>
      </c>
      <c r="O3567" s="3">
        <v>44272</v>
      </c>
      <c r="P3567">
        <v>-1</v>
      </c>
      <c r="T3567" t="s">
        <v>37</v>
      </c>
      <c r="U3567">
        <v>68</v>
      </c>
      <c r="V3567">
        <v>22.578499999999998</v>
      </c>
    </row>
    <row r="3568" spans="1:22" x14ac:dyDescent="0.35">
      <c r="A3568" s="3">
        <v>44130</v>
      </c>
      <c r="B3568" t="s">
        <v>46</v>
      </c>
      <c r="C3568">
        <v>28.75</v>
      </c>
      <c r="D3568">
        <v>30.8</v>
      </c>
      <c r="E3568">
        <v>28.7</v>
      </c>
      <c r="F3568">
        <v>30.3</v>
      </c>
      <c r="G3568">
        <v>30.375</v>
      </c>
      <c r="H3568">
        <v>1.75</v>
      </c>
      <c r="I3568">
        <v>48316</v>
      </c>
      <c r="J3568">
        <v>0</v>
      </c>
      <c r="K3568">
        <v>63663</v>
      </c>
      <c r="L3568">
        <v>36</v>
      </c>
      <c r="M3568">
        <v>51</v>
      </c>
      <c r="N3568" t="s">
        <v>46</v>
      </c>
      <c r="O3568" s="3">
        <v>44181</v>
      </c>
      <c r="P3568">
        <v>-1</v>
      </c>
      <c r="T3568" t="s">
        <v>36</v>
      </c>
      <c r="U3568">
        <v>93</v>
      </c>
      <c r="V3568">
        <v>23.128799999999998</v>
      </c>
    </row>
    <row r="3569" spans="1:22" x14ac:dyDescent="0.35">
      <c r="A3569" s="3">
        <v>44130</v>
      </c>
      <c r="B3569" t="s">
        <v>42</v>
      </c>
      <c r="C3569">
        <v>27.47</v>
      </c>
      <c r="D3569">
        <v>28.63</v>
      </c>
      <c r="E3569">
        <v>27.32</v>
      </c>
      <c r="F3569">
        <v>28.25</v>
      </c>
      <c r="G3569">
        <v>28.274999999999999</v>
      </c>
      <c r="H3569">
        <v>0.92500000000000004</v>
      </c>
      <c r="I3569">
        <v>2933</v>
      </c>
      <c r="J3569">
        <v>0</v>
      </c>
      <c r="K3569">
        <v>5405</v>
      </c>
      <c r="L3569">
        <v>122</v>
      </c>
      <c r="M3569">
        <v>177</v>
      </c>
      <c r="N3569" t="s">
        <v>42</v>
      </c>
      <c r="O3569" s="3">
        <v>44307</v>
      </c>
      <c r="P3569">
        <v>-1</v>
      </c>
      <c r="T3569" t="s">
        <v>35</v>
      </c>
      <c r="U3569">
        <v>113</v>
      </c>
      <c r="V3569">
        <v>23.202100000000002</v>
      </c>
    </row>
    <row r="3570" spans="1:22" x14ac:dyDescent="0.35">
      <c r="A3570" s="3">
        <v>44130</v>
      </c>
      <c r="B3570" t="s">
        <v>44</v>
      </c>
      <c r="C3570">
        <v>27.7</v>
      </c>
      <c r="D3570">
        <v>29.22</v>
      </c>
      <c r="E3570">
        <v>27.69</v>
      </c>
      <c r="F3570">
        <v>28.7</v>
      </c>
      <c r="G3570">
        <v>28.824999999999999</v>
      </c>
      <c r="H3570">
        <v>1.2</v>
      </c>
      <c r="I3570">
        <v>5198</v>
      </c>
      <c r="J3570">
        <v>0</v>
      </c>
      <c r="K3570">
        <v>15083</v>
      </c>
      <c r="L3570">
        <v>77</v>
      </c>
      <c r="M3570">
        <v>114</v>
      </c>
      <c r="N3570" t="s">
        <v>44</v>
      </c>
      <c r="O3570" s="3">
        <v>44244</v>
      </c>
      <c r="P3570">
        <v>-1</v>
      </c>
      <c r="T3570" t="s">
        <v>34</v>
      </c>
      <c r="U3570">
        <v>137</v>
      </c>
      <c r="V3570">
        <v>23.2714</v>
      </c>
    </row>
    <row r="3571" spans="1:22" x14ac:dyDescent="0.35">
      <c r="A3571" s="3">
        <v>44130</v>
      </c>
      <c r="B3571" t="s">
        <v>47</v>
      </c>
      <c r="C3571">
        <v>28.95</v>
      </c>
      <c r="D3571">
        <v>31.85</v>
      </c>
      <c r="E3571">
        <v>28.95</v>
      </c>
      <c r="F3571">
        <v>31.4</v>
      </c>
      <c r="G3571">
        <v>31.324999999999999</v>
      </c>
      <c r="H3571">
        <v>2.5499999999999998</v>
      </c>
      <c r="I3571">
        <v>96264</v>
      </c>
      <c r="J3571">
        <v>0</v>
      </c>
      <c r="K3571">
        <v>144271</v>
      </c>
      <c r="L3571">
        <v>17</v>
      </c>
      <c r="M3571">
        <v>23</v>
      </c>
      <c r="N3571" t="s">
        <v>47</v>
      </c>
      <c r="O3571" s="3">
        <v>44153</v>
      </c>
      <c r="P3571">
        <v>-1</v>
      </c>
      <c r="S3571" s="3">
        <v>44357</v>
      </c>
      <c r="T3571" t="s">
        <v>33</v>
      </c>
      <c r="U3571">
        <v>154</v>
      </c>
      <c r="V3571">
        <v>23.25</v>
      </c>
    </row>
    <row r="3572" spans="1:22" x14ac:dyDescent="0.35">
      <c r="A3572" s="3">
        <v>44130</v>
      </c>
      <c r="B3572" t="s">
        <v>45</v>
      </c>
      <c r="C3572">
        <v>28</v>
      </c>
      <c r="D3572">
        <v>29.67</v>
      </c>
      <c r="E3572">
        <v>27.95</v>
      </c>
      <c r="F3572">
        <v>29.17</v>
      </c>
      <c r="G3572">
        <v>29.274999999999999</v>
      </c>
      <c r="H3572">
        <v>1.35</v>
      </c>
      <c r="I3572">
        <v>11620</v>
      </c>
      <c r="J3572">
        <v>0</v>
      </c>
      <c r="K3572">
        <v>21196</v>
      </c>
      <c r="L3572">
        <v>58</v>
      </c>
      <c r="M3572">
        <v>86</v>
      </c>
      <c r="N3572" t="s">
        <v>45</v>
      </c>
      <c r="O3572" s="3">
        <v>44216</v>
      </c>
      <c r="P3572">
        <v>-1</v>
      </c>
      <c r="T3572" t="s">
        <v>32</v>
      </c>
      <c r="U3572">
        <v>174</v>
      </c>
      <c r="V3572">
        <v>23.6</v>
      </c>
    </row>
    <row r="3573" spans="1:22" x14ac:dyDescent="0.35">
      <c r="A3573" s="3">
        <v>44130</v>
      </c>
      <c r="B3573" t="s">
        <v>41</v>
      </c>
      <c r="C3573">
        <v>27.3</v>
      </c>
      <c r="D3573">
        <v>28.25</v>
      </c>
      <c r="E3573">
        <v>27.12</v>
      </c>
      <c r="F3573">
        <v>27.85</v>
      </c>
      <c r="G3573">
        <v>27.95</v>
      </c>
      <c r="H3573">
        <v>0.875</v>
      </c>
      <c r="I3573">
        <v>1610</v>
      </c>
      <c r="J3573">
        <v>0</v>
      </c>
      <c r="K3573">
        <v>2327</v>
      </c>
      <c r="L3573">
        <v>142</v>
      </c>
      <c r="M3573">
        <v>205</v>
      </c>
      <c r="N3573" t="s">
        <v>41</v>
      </c>
      <c r="O3573" s="3">
        <v>44335</v>
      </c>
      <c r="P3573">
        <v>-1</v>
      </c>
      <c r="T3573" t="s">
        <v>40</v>
      </c>
      <c r="U3573">
        <v>4</v>
      </c>
      <c r="V3573">
        <v>16.903099999999998</v>
      </c>
    </row>
    <row r="3574" spans="1:22" x14ac:dyDescent="0.35">
      <c r="A3574" s="3">
        <v>44130</v>
      </c>
      <c r="B3574" t="s">
        <v>40</v>
      </c>
      <c r="C3574">
        <v>27.2</v>
      </c>
      <c r="D3574">
        <v>28</v>
      </c>
      <c r="E3574">
        <v>26.4</v>
      </c>
      <c r="F3574">
        <v>27.36</v>
      </c>
      <c r="G3574">
        <v>27.4</v>
      </c>
      <c r="H3574">
        <v>0.77500000000000002</v>
      </c>
      <c r="I3574">
        <v>24</v>
      </c>
      <c r="J3574">
        <v>0</v>
      </c>
      <c r="K3574">
        <v>29</v>
      </c>
      <c r="L3574">
        <v>161</v>
      </c>
      <c r="M3574">
        <v>233</v>
      </c>
      <c r="N3574" t="s">
        <v>40</v>
      </c>
      <c r="O3574" s="3">
        <v>44363</v>
      </c>
      <c r="P3574">
        <v>-1</v>
      </c>
      <c r="T3574" t="s">
        <v>39</v>
      </c>
      <c r="U3574">
        <v>28</v>
      </c>
      <c r="V3574">
        <v>19.443000000000001</v>
      </c>
    </row>
    <row r="3575" spans="1:22" x14ac:dyDescent="0.35">
      <c r="A3575" s="3">
        <v>44127</v>
      </c>
      <c r="B3575" t="s">
        <v>47</v>
      </c>
      <c r="C3575">
        <v>28.8</v>
      </c>
      <c r="D3575">
        <v>29.32</v>
      </c>
      <c r="E3575">
        <v>28.44</v>
      </c>
      <c r="F3575">
        <v>28.8</v>
      </c>
      <c r="G3575">
        <v>28.774999999999999</v>
      </c>
      <c r="H3575">
        <v>-0.05</v>
      </c>
      <c r="I3575">
        <v>48557</v>
      </c>
      <c r="J3575">
        <v>180</v>
      </c>
      <c r="K3575">
        <v>145006</v>
      </c>
      <c r="L3575">
        <v>18</v>
      </c>
      <c r="M3575">
        <v>26</v>
      </c>
      <c r="N3575" t="s">
        <v>47</v>
      </c>
      <c r="O3575" s="3">
        <v>44153</v>
      </c>
      <c r="P3575">
        <v>-1</v>
      </c>
      <c r="T3575" t="s">
        <v>38</v>
      </c>
      <c r="U3575">
        <v>48</v>
      </c>
      <c r="V3575">
        <v>20.720300000000002</v>
      </c>
    </row>
    <row r="3576" spans="1:22" x14ac:dyDescent="0.35">
      <c r="A3576" s="3">
        <v>44127</v>
      </c>
      <c r="B3576" t="s">
        <v>45</v>
      </c>
      <c r="C3576">
        <v>27.8</v>
      </c>
      <c r="D3576">
        <v>28.05</v>
      </c>
      <c r="E3576">
        <v>27.6</v>
      </c>
      <c r="F3576">
        <v>27.89</v>
      </c>
      <c r="G3576">
        <v>27.925000000000001</v>
      </c>
      <c r="H3576">
        <v>0</v>
      </c>
      <c r="I3576">
        <v>6734</v>
      </c>
      <c r="J3576">
        <v>0</v>
      </c>
      <c r="K3576">
        <v>21767</v>
      </c>
      <c r="L3576">
        <v>59</v>
      </c>
      <c r="M3576">
        <v>89</v>
      </c>
      <c r="N3576" t="s">
        <v>45</v>
      </c>
      <c r="O3576" s="3">
        <v>44216</v>
      </c>
      <c r="P3576">
        <v>-1</v>
      </c>
      <c r="T3576" t="s">
        <v>37</v>
      </c>
      <c r="U3576">
        <v>67</v>
      </c>
      <c r="V3576">
        <v>21.607800000000001</v>
      </c>
    </row>
    <row r="3577" spans="1:22" x14ac:dyDescent="0.35">
      <c r="A3577" s="3">
        <v>44127</v>
      </c>
      <c r="B3577" t="s">
        <v>41</v>
      </c>
      <c r="C3577">
        <v>26.95</v>
      </c>
      <c r="D3577">
        <v>27.1</v>
      </c>
      <c r="E3577">
        <v>26.7</v>
      </c>
      <c r="F3577">
        <v>27.01</v>
      </c>
      <c r="G3577">
        <v>27.074999999999999</v>
      </c>
      <c r="H3577">
        <v>0.1</v>
      </c>
      <c r="I3577">
        <v>692</v>
      </c>
      <c r="J3577">
        <v>0</v>
      </c>
      <c r="K3577">
        <v>1560</v>
      </c>
      <c r="L3577">
        <v>143</v>
      </c>
      <c r="M3577">
        <v>208</v>
      </c>
      <c r="N3577" t="s">
        <v>41</v>
      </c>
      <c r="O3577" s="3">
        <v>44335</v>
      </c>
      <c r="P3577">
        <v>-1</v>
      </c>
      <c r="T3577" t="s">
        <v>36</v>
      </c>
      <c r="U3577">
        <v>92</v>
      </c>
      <c r="V3577">
        <v>22.1541</v>
      </c>
    </row>
    <row r="3578" spans="1:22" x14ac:dyDescent="0.35">
      <c r="A3578" s="3">
        <v>44127</v>
      </c>
      <c r="B3578" t="s">
        <v>40</v>
      </c>
      <c r="C3578">
        <v>26.66</v>
      </c>
      <c r="D3578">
        <v>26.66</v>
      </c>
      <c r="E3578">
        <v>26.65</v>
      </c>
      <c r="F3578">
        <v>26.65</v>
      </c>
      <c r="G3578">
        <v>26.625</v>
      </c>
      <c r="H3578">
        <v>0.05</v>
      </c>
      <c r="I3578">
        <v>7</v>
      </c>
      <c r="J3578">
        <v>0</v>
      </c>
      <c r="K3578">
        <v>40</v>
      </c>
      <c r="L3578">
        <v>162</v>
      </c>
      <c r="M3578">
        <v>236</v>
      </c>
      <c r="N3578" t="s">
        <v>40</v>
      </c>
      <c r="O3578" s="3">
        <v>44363</v>
      </c>
      <c r="P3578">
        <v>-1</v>
      </c>
      <c r="T3578" t="s">
        <v>35</v>
      </c>
      <c r="U3578">
        <v>112</v>
      </c>
      <c r="V3578">
        <v>22.357900000000001</v>
      </c>
    </row>
    <row r="3579" spans="1:22" x14ac:dyDescent="0.35">
      <c r="A3579" s="3">
        <v>44127</v>
      </c>
      <c r="B3579" t="s">
        <v>43</v>
      </c>
      <c r="C3579">
        <v>27.3</v>
      </c>
      <c r="D3579">
        <v>27.45</v>
      </c>
      <c r="E3579">
        <v>27.02</v>
      </c>
      <c r="F3579">
        <v>27.4</v>
      </c>
      <c r="G3579">
        <v>27.425000000000001</v>
      </c>
      <c r="H3579">
        <v>0.1</v>
      </c>
      <c r="I3579">
        <v>3101</v>
      </c>
      <c r="J3579">
        <v>0</v>
      </c>
      <c r="K3579">
        <v>9818</v>
      </c>
      <c r="L3579">
        <v>98</v>
      </c>
      <c r="M3579">
        <v>145</v>
      </c>
      <c r="N3579" t="s">
        <v>43</v>
      </c>
      <c r="O3579" s="3">
        <v>44272</v>
      </c>
      <c r="P3579">
        <v>-1</v>
      </c>
      <c r="T3579" t="s">
        <v>34</v>
      </c>
      <c r="U3579">
        <v>136</v>
      </c>
      <c r="V3579">
        <v>22.45</v>
      </c>
    </row>
    <row r="3580" spans="1:22" x14ac:dyDescent="0.35">
      <c r="A3580" s="3">
        <v>44127</v>
      </c>
      <c r="B3580" t="s">
        <v>46</v>
      </c>
      <c r="C3580">
        <v>28.3</v>
      </c>
      <c r="D3580">
        <v>28.8</v>
      </c>
      <c r="E3580">
        <v>28.1</v>
      </c>
      <c r="F3580">
        <v>28.59</v>
      </c>
      <c r="G3580">
        <v>28.625</v>
      </c>
      <c r="H3580">
        <v>0.1</v>
      </c>
      <c r="I3580">
        <v>33300</v>
      </c>
      <c r="J3580">
        <v>20</v>
      </c>
      <c r="K3580">
        <v>58407</v>
      </c>
      <c r="L3580">
        <v>37</v>
      </c>
      <c r="M3580">
        <v>54</v>
      </c>
      <c r="N3580" t="s">
        <v>46</v>
      </c>
      <c r="O3580" s="3">
        <v>44181</v>
      </c>
      <c r="P3580">
        <v>-1</v>
      </c>
      <c r="S3580" s="3">
        <v>44358</v>
      </c>
      <c r="T3580" t="s">
        <v>33</v>
      </c>
      <c r="U3580">
        <v>153</v>
      </c>
      <c r="V3580">
        <v>23.1</v>
      </c>
    </row>
    <row r="3581" spans="1:22" x14ac:dyDescent="0.35">
      <c r="A3581" s="3">
        <v>44127</v>
      </c>
      <c r="B3581" t="s">
        <v>42</v>
      </c>
      <c r="C3581">
        <v>27.17</v>
      </c>
      <c r="D3581">
        <v>27.35</v>
      </c>
      <c r="E3581">
        <v>26.95</v>
      </c>
      <c r="F3581">
        <v>27.35</v>
      </c>
      <c r="G3581">
        <v>27.35</v>
      </c>
      <c r="H3581">
        <v>0.125</v>
      </c>
      <c r="I3581">
        <v>2034</v>
      </c>
      <c r="J3581">
        <v>0</v>
      </c>
      <c r="K3581">
        <v>4609</v>
      </c>
      <c r="L3581">
        <v>123</v>
      </c>
      <c r="M3581">
        <v>180</v>
      </c>
      <c r="N3581" t="s">
        <v>42</v>
      </c>
      <c r="O3581" s="3">
        <v>44307</v>
      </c>
      <c r="P3581">
        <v>-1</v>
      </c>
      <c r="T3581" t="s">
        <v>32</v>
      </c>
      <c r="U3581">
        <v>173</v>
      </c>
      <c r="V3581">
        <v>23.274999999999999</v>
      </c>
    </row>
    <row r="3582" spans="1:22" x14ac:dyDescent="0.35">
      <c r="A3582" s="3">
        <v>44127</v>
      </c>
      <c r="B3582" t="s">
        <v>44</v>
      </c>
      <c r="C3582">
        <v>27.55</v>
      </c>
      <c r="D3582">
        <v>27.77</v>
      </c>
      <c r="E3582">
        <v>27.33</v>
      </c>
      <c r="F3582">
        <v>27.6</v>
      </c>
      <c r="G3582">
        <v>27.625</v>
      </c>
      <c r="H3582">
        <v>0</v>
      </c>
      <c r="I3582">
        <v>4086</v>
      </c>
      <c r="J3582">
        <v>0</v>
      </c>
      <c r="K3582">
        <v>14328</v>
      </c>
      <c r="L3582">
        <v>78</v>
      </c>
      <c r="M3582">
        <v>117</v>
      </c>
      <c r="N3582" t="s">
        <v>44</v>
      </c>
      <c r="O3582" s="3">
        <v>44244</v>
      </c>
      <c r="P3582">
        <v>-1</v>
      </c>
      <c r="T3582" t="s">
        <v>40</v>
      </c>
      <c r="U3582">
        <v>3</v>
      </c>
      <c r="V3582">
        <v>16.5505</v>
      </c>
    </row>
    <row r="3583" spans="1:22" x14ac:dyDescent="0.35">
      <c r="A3583" s="3">
        <v>44126</v>
      </c>
      <c r="B3583" t="s">
        <v>43</v>
      </c>
      <c r="C3583">
        <v>27.6</v>
      </c>
      <c r="D3583">
        <v>27.85</v>
      </c>
      <c r="E3583">
        <v>27.15</v>
      </c>
      <c r="F3583">
        <v>27.32</v>
      </c>
      <c r="G3583">
        <v>27.324999999999999</v>
      </c>
      <c r="H3583">
        <v>-0.2</v>
      </c>
      <c r="I3583">
        <v>1796</v>
      </c>
      <c r="J3583">
        <v>0</v>
      </c>
      <c r="K3583">
        <v>9737</v>
      </c>
      <c r="L3583">
        <v>99</v>
      </c>
      <c r="M3583">
        <v>146</v>
      </c>
      <c r="N3583" t="s">
        <v>43</v>
      </c>
      <c r="O3583" s="3">
        <v>44272</v>
      </c>
      <c r="P3583">
        <v>-1</v>
      </c>
      <c r="T3583" t="s">
        <v>39</v>
      </c>
      <c r="U3583">
        <v>27</v>
      </c>
      <c r="V3583">
        <v>18.850100000000001</v>
      </c>
    </row>
    <row r="3584" spans="1:22" x14ac:dyDescent="0.35">
      <c r="A3584" s="3">
        <v>44126</v>
      </c>
      <c r="B3584" t="s">
        <v>46</v>
      </c>
      <c r="C3584">
        <v>28.8</v>
      </c>
      <c r="D3584">
        <v>29.2</v>
      </c>
      <c r="E3584">
        <v>28.1</v>
      </c>
      <c r="F3584">
        <v>28.43</v>
      </c>
      <c r="G3584">
        <v>28.524999999999999</v>
      </c>
      <c r="H3584">
        <v>-0.3</v>
      </c>
      <c r="I3584">
        <v>33590</v>
      </c>
      <c r="J3584">
        <v>0</v>
      </c>
      <c r="K3584">
        <v>53771</v>
      </c>
      <c r="L3584">
        <v>38</v>
      </c>
      <c r="M3584">
        <v>55</v>
      </c>
      <c r="N3584" t="s">
        <v>46</v>
      </c>
      <c r="O3584" s="3">
        <v>44181</v>
      </c>
      <c r="P3584">
        <v>-1</v>
      </c>
      <c r="T3584" t="s">
        <v>38</v>
      </c>
      <c r="U3584">
        <v>47</v>
      </c>
      <c r="V3584">
        <v>20.338799999999999</v>
      </c>
    </row>
    <row r="3585" spans="1:22" x14ac:dyDescent="0.35">
      <c r="A3585" s="3">
        <v>44126</v>
      </c>
      <c r="B3585" t="s">
        <v>42</v>
      </c>
      <c r="C3585">
        <v>27.6</v>
      </c>
      <c r="D3585">
        <v>27.65</v>
      </c>
      <c r="E3585">
        <v>27.02</v>
      </c>
      <c r="F3585">
        <v>27.25</v>
      </c>
      <c r="G3585">
        <v>27.225000000000001</v>
      </c>
      <c r="H3585">
        <v>-0.2</v>
      </c>
      <c r="I3585">
        <v>1213</v>
      </c>
      <c r="J3585">
        <v>0</v>
      </c>
      <c r="K3585">
        <v>4014</v>
      </c>
      <c r="L3585">
        <v>124</v>
      </c>
      <c r="M3585">
        <v>181</v>
      </c>
      <c r="N3585" t="s">
        <v>42</v>
      </c>
      <c r="O3585" s="3">
        <v>44307</v>
      </c>
      <c r="P3585">
        <v>-1</v>
      </c>
      <c r="T3585" t="s">
        <v>37</v>
      </c>
      <c r="U3585">
        <v>66</v>
      </c>
      <c r="V3585">
        <v>21.393599999999999</v>
      </c>
    </row>
    <row r="3586" spans="1:22" x14ac:dyDescent="0.35">
      <c r="A3586" s="3">
        <v>44126</v>
      </c>
      <c r="B3586" t="s">
        <v>44</v>
      </c>
      <c r="C3586">
        <v>27.85</v>
      </c>
      <c r="D3586">
        <v>28.15</v>
      </c>
      <c r="E3586">
        <v>27.42</v>
      </c>
      <c r="F3586">
        <v>27.6</v>
      </c>
      <c r="G3586">
        <v>27.625</v>
      </c>
      <c r="H3586">
        <v>-0.25</v>
      </c>
      <c r="I3586">
        <v>2951</v>
      </c>
      <c r="J3586">
        <v>0</v>
      </c>
      <c r="K3586">
        <v>14248</v>
      </c>
      <c r="L3586">
        <v>79</v>
      </c>
      <c r="M3586">
        <v>118</v>
      </c>
      <c r="N3586" t="s">
        <v>44</v>
      </c>
      <c r="O3586" s="3">
        <v>44244</v>
      </c>
      <c r="P3586">
        <v>-1</v>
      </c>
      <c r="T3586" t="s">
        <v>36</v>
      </c>
      <c r="U3586">
        <v>91</v>
      </c>
      <c r="V3586">
        <v>21.9937</v>
      </c>
    </row>
    <row r="3587" spans="1:22" x14ac:dyDescent="0.35">
      <c r="A3587" s="3">
        <v>44126</v>
      </c>
      <c r="B3587" t="s">
        <v>47</v>
      </c>
      <c r="C3587">
        <v>29.3</v>
      </c>
      <c r="D3587">
        <v>29.85</v>
      </c>
      <c r="E3587">
        <v>28.35</v>
      </c>
      <c r="F3587">
        <v>28.85</v>
      </c>
      <c r="G3587">
        <v>28.824999999999999</v>
      </c>
      <c r="H3587">
        <v>-0.4</v>
      </c>
      <c r="I3587">
        <v>53453</v>
      </c>
      <c r="J3587">
        <v>0</v>
      </c>
      <c r="K3587">
        <v>151396</v>
      </c>
      <c r="L3587">
        <v>19</v>
      </c>
      <c r="M3587">
        <v>27</v>
      </c>
      <c r="N3587" t="s">
        <v>47</v>
      </c>
      <c r="O3587" s="3">
        <v>44153</v>
      </c>
      <c r="P3587">
        <v>-1</v>
      </c>
      <c r="T3587" t="s">
        <v>35</v>
      </c>
      <c r="U3587">
        <v>111</v>
      </c>
      <c r="V3587">
        <v>22.166899999999998</v>
      </c>
    </row>
    <row r="3588" spans="1:22" x14ac:dyDescent="0.35">
      <c r="A3588" s="3">
        <v>44126</v>
      </c>
      <c r="B3588" t="s">
        <v>45</v>
      </c>
      <c r="C3588">
        <v>28.2</v>
      </c>
      <c r="D3588">
        <v>28.5</v>
      </c>
      <c r="E3588">
        <v>27.64</v>
      </c>
      <c r="F3588">
        <v>27.87</v>
      </c>
      <c r="G3588">
        <v>27.925000000000001</v>
      </c>
      <c r="H3588">
        <v>-0.3</v>
      </c>
      <c r="I3588">
        <v>6496</v>
      </c>
      <c r="J3588">
        <v>0</v>
      </c>
      <c r="K3588">
        <v>21483</v>
      </c>
      <c r="L3588">
        <v>60</v>
      </c>
      <c r="M3588">
        <v>90</v>
      </c>
      <c r="N3588" t="s">
        <v>45</v>
      </c>
      <c r="O3588" s="3">
        <v>44216</v>
      </c>
      <c r="P3588">
        <v>-1</v>
      </c>
      <c r="T3588" t="s">
        <v>34</v>
      </c>
      <c r="U3588">
        <v>135</v>
      </c>
      <c r="V3588">
        <v>22.244399999999999</v>
      </c>
    </row>
    <row r="3589" spans="1:22" x14ac:dyDescent="0.35">
      <c r="A3589" s="3">
        <v>44126</v>
      </c>
      <c r="B3589" t="s">
        <v>41</v>
      </c>
      <c r="C3589">
        <v>27.35</v>
      </c>
      <c r="D3589">
        <v>27.35</v>
      </c>
      <c r="E3589">
        <v>26.77</v>
      </c>
      <c r="F3589">
        <v>26.9</v>
      </c>
      <c r="G3589">
        <v>26.975000000000001</v>
      </c>
      <c r="H3589">
        <v>-0.15</v>
      </c>
      <c r="I3589">
        <v>629</v>
      </c>
      <c r="J3589">
        <v>0</v>
      </c>
      <c r="K3589">
        <v>1328</v>
      </c>
      <c r="L3589">
        <v>144</v>
      </c>
      <c r="M3589">
        <v>209</v>
      </c>
      <c r="N3589" t="s">
        <v>41</v>
      </c>
      <c r="O3589" s="3">
        <v>44335</v>
      </c>
      <c r="P3589">
        <v>-1</v>
      </c>
      <c r="S3589" s="3">
        <v>44361</v>
      </c>
      <c r="T3589" t="s">
        <v>33</v>
      </c>
      <c r="U3589">
        <v>152</v>
      </c>
      <c r="V3589">
        <v>23.4</v>
      </c>
    </row>
    <row r="3590" spans="1:22" x14ac:dyDescent="0.35">
      <c r="A3590" s="3">
        <v>44126</v>
      </c>
      <c r="B3590" t="s">
        <v>40</v>
      </c>
      <c r="C3590">
        <v>27.25</v>
      </c>
      <c r="D3590">
        <v>27.25</v>
      </c>
      <c r="E3590">
        <v>26.84</v>
      </c>
      <c r="F3590">
        <v>26.92</v>
      </c>
      <c r="G3590">
        <v>26.574999999999999</v>
      </c>
      <c r="H3590">
        <v>-0.3</v>
      </c>
      <c r="I3590">
        <v>34</v>
      </c>
      <c r="J3590">
        <v>0</v>
      </c>
      <c r="K3590">
        <v>40</v>
      </c>
      <c r="L3590">
        <v>163</v>
      </c>
      <c r="M3590">
        <v>237</v>
      </c>
      <c r="N3590" t="s">
        <v>40</v>
      </c>
      <c r="O3590" s="3">
        <v>44363</v>
      </c>
      <c r="P3590">
        <v>-1</v>
      </c>
      <c r="T3590" t="s">
        <v>32</v>
      </c>
      <c r="U3590">
        <v>172</v>
      </c>
      <c r="V3590">
        <v>23.524999999999999</v>
      </c>
    </row>
    <row r="3591" spans="1:22" x14ac:dyDescent="0.35">
      <c r="A3591" s="3">
        <v>44125</v>
      </c>
      <c r="B3591" t="s">
        <v>47</v>
      </c>
      <c r="C3591">
        <v>29.9</v>
      </c>
      <c r="D3591">
        <v>30.45</v>
      </c>
      <c r="E3591">
        <v>29.07</v>
      </c>
      <c r="F3591">
        <v>29.2</v>
      </c>
      <c r="G3591">
        <v>29.225000000000001</v>
      </c>
      <c r="H3591">
        <v>-0.75</v>
      </c>
      <c r="I3591">
        <v>61205</v>
      </c>
      <c r="J3591">
        <v>309</v>
      </c>
      <c r="K3591">
        <v>160860</v>
      </c>
      <c r="L3591">
        <v>20</v>
      </c>
      <c r="M3591">
        <v>28</v>
      </c>
      <c r="N3591" t="s">
        <v>47</v>
      </c>
      <c r="O3591" s="3">
        <v>44153</v>
      </c>
      <c r="P3591">
        <v>-1</v>
      </c>
      <c r="T3591" t="s">
        <v>40</v>
      </c>
      <c r="U3591">
        <v>2</v>
      </c>
      <c r="V3591">
        <v>16.4514</v>
      </c>
    </row>
    <row r="3592" spans="1:22" x14ac:dyDescent="0.35">
      <c r="A3592" s="3">
        <v>44125</v>
      </c>
      <c r="B3592" t="s">
        <v>48</v>
      </c>
      <c r="C3592">
        <v>29.2</v>
      </c>
      <c r="D3592">
        <v>30.3</v>
      </c>
      <c r="E3592">
        <v>28.6</v>
      </c>
      <c r="F3592">
        <v>30</v>
      </c>
      <c r="G3592">
        <v>29.07</v>
      </c>
      <c r="H3592">
        <v>-0.20499999999999999</v>
      </c>
      <c r="I3592">
        <v>884</v>
      </c>
      <c r="J3592">
        <v>0</v>
      </c>
      <c r="K3592">
        <v>21144</v>
      </c>
      <c r="L3592">
        <v>0</v>
      </c>
      <c r="M3592">
        <v>0</v>
      </c>
      <c r="N3592" t="s">
        <v>48</v>
      </c>
      <c r="O3592" s="3">
        <v>44125</v>
      </c>
      <c r="P3592">
        <v>-1</v>
      </c>
      <c r="T3592" t="s">
        <v>39</v>
      </c>
      <c r="U3592">
        <v>26</v>
      </c>
      <c r="V3592">
        <v>19.075900000000001</v>
      </c>
    </row>
    <row r="3593" spans="1:22" x14ac:dyDescent="0.35">
      <c r="A3593" s="3">
        <v>44125</v>
      </c>
      <c r="B3593" t="s">
        <v>45</v>
      </c>
      <c r="C3593">
        <v>28.53</v>
      </c>
      <c r="D3593">
        <v>28.95</v>
      </c>
      <c r="E3593">
        <v>27.95</v>
      </c>
      <c r="F3593">
        <v>28.15</v>
      </c>
      <c r="G3593">
        <v>28.225000000000001</v>
      </c>
      <c r="H3593">
        <v>-0.47499999999999998</v>
      </c>
      <c r="I3593">
        <v>7698</v>
      </c>
      <c r="J3593">
        <v>0</v>
      </c>
      <c r="K3593">
        <v>21138</v>
      </c>
      <c r="L3593">
        <v>61</v>
      </c>
      <c r="M3593">
        <v>91</v>
      </c>
      <c r="N3593" t="s">
        <v>45</v>
      </c>
      <c r="O3593" s="3">
        <v>44216</v>
      </c>
      <c r="P3593">
        <v>-1</v>
      </c>
      <c r="T3593" t="s">
        <v>38</v>
      </c>
      <c r="U3593">
        <v>46</v>
      </c>
      <c r="V3593">
        <v>20.5</v>
      </c>
    </row>
    <row r="3594" spans="1:22" x14ac:dyDescent="0.35">
      <c r="A3594" s="3">
        <v>44125</v>
      </c>
      <c r="B3594" t="s">
        <v>41</v>
      </c>
      <c r="C3594">
        <v>27.25</v>
      </c>
      <c r="D3594">
        <v>27.6</v>
      </c>
      <c r="E3594">
        <v>26.85</v>
      </c>
      <c r="F3594">
        <v>27.1</v>
      </c>
      <c r="G3594">
        <v>27.125</v>
      </c>
      <c r="H3594">
        <v>-0.4</v>
      </c>
      <c r="I3594">
        <v>835</v>
      </c>
      <c r="J3594">
        <v>0</v>
      </c>
      <c r="K3594">
        <v>1166</v>
      </c>
      <c r="L3594">
        <v>145</v>
      </c>
      <c r="M3594">
        <v>210</v>
      </c>
      <c r="N3594" t="s">
        <v>41</v>
      </c>
      <c r="O3594" s="3">
        <v>44335</v>
      </c>
      <c r="P3594">
        <v>-1</v>
      </c>
      <c r="T3594" t="s">
        <v>37</v>
      </c>
      <c r="U3594">
        <v>65</v>
      </c>
      <c r="V3594">
        <v>21.488299999999999</v>
      </c>
    </row>
    <row r="3595" spans="1:22" x14ac:dyDescent="0.35">
      <c r="A3595" s="3">
        <v>44125</v>
      </c>
      <c r="B3595" t="s">
        <v>43</v>
      </c>
      <c r="C3595">
        <v>27.82</v>
      </c>
      <c r="D3595">
        <v>28.1</v>
      </c>
      <c r="E3595">
        <v>27.32</v>
      </c>
      <c r="F3595">
        <v>27.5</v>
      </c>
      <c r="G3595">
        <v>27.524999999999999</v>
      </c>
      <c r="H3595">
        <v>-0.4</v>
      </c>
      <c r="I3595">
        <v>2814</v>
      </c>
      <c r="J3595">
        <v>0</v>
      </c>
      <c r="K3595">
        <v>10152</v>
      </c>
      <c r="L3595">
        <v>100</v>
      </c>
      <c r="M3595">
        <v>147</v>
      </c>
      <c r="N3595" t="s">
        <v>43</v>
      </c>
      <c r="O3595" s="3">
        <v>44272</v>
      </c>
      <c r="P3595">
        <v>-1</v>
      </c>
      <c r="T3595" t="s">
        <v>36</v>
      </c>
      <c r="U3595">
        <v>90</v>
      </c>
      <c r="V3595">
        <v>22.101099999999999</v>
      </c>
    </row>
    <row r="3596" spans="1:22" x14ac:dyDescent="0.35">
      <c r="A3596" s="3">
        <v>44125</v>
      </c>
      <c r="B3596" t="s">
        <v>46</v>
      </c>
      <c r="C3596">
        <v>29.2</v>
      </c>
      <c r="D3596">
        <v>29.65</v>
      </c>
      <c r="E3596">
        <v>28.5</v>
      </c>
      <c r="F3596">
        <v>28.7</v>
      </c>
      <c r="G3596">
        <v>28.824999999999999</v>
      </c>
      <c r="H3596">
        <v>-0.52500000000000002</v>
      </c>
      <c r="I3596">
        <v>41376</v>
      </c>
      <c r="J3596">
        <v>0</v>
      </c>
      <c r="K3596">
        <v>47511</v>
      </c>
      <c r="L3596">
        <v>39</v>
      </c>
      <c r="M3596">
        <v>56</v>
      </c>
      <c r="N3596" t="s">
        <v>46</v>
      </c>
      <c r="O3596" s="3">
        <v>44181</v>
      </c>
      <c r="P3596">
        <v>-1</v>
      </c>
      <c r="T3596" t="s">
        <v>35</v>
      </c>
      <c r="U3596">
        <v>110</v>
      </c>
      <c r="V3596">
        <v>22.250399999999999</v>
      </c>
    </row>
    <row r="3597" spans="1:22" x14ac:dyDescent="0.35">
      <c r="A3597" s="3">
        <v>44125</v>
      </c>
      <c r="B3597" t="s">
        <v>42</v>
      </c>
      <c r="C3597">
        <v>27.47</v>
      </c>
      <c r="D3597">
        <v>27.8</v>
      </c>
      <c r="E3597">
        <v>27.13</v>
      </c>
      <c r="F3597">
        <v>27.4</v>
      </c>
      <c r="G3597">
        <v>27.425000000000001</v>
      </c>
      <c r="H3597">
        <v>-0.25</v>
      </c>
      <c r="I3597">
        <v>2069</v>
      </c>
      <c r="J3597">
        <v>0</v>
      </c>
      <c r="K3597">
        <v>3730</v>
      </c>
      <c r="L3597">
        <v>125</v>
      </c>
      <c r="M3597">
        <v>182</v>
      </c>
      <c r="N3597" t="s">
        <v>42</v>
      </c>
      <c r="O3597" s="3">
        <v>44307</v>
      </c>
      <c r="P3597">
        <v>-1</v>
      </c>
      <c r="T3597" t="s">
        <v>34</v>
      </c>
      <c r="U3597">
        <v>134</v>
      </c>
      <c r="V3597">
        <v>22.35</v>
      </c>
    </row>
    <row r="3598" spans="1:22" x14ac:dyDescent="0.35">
      <c r="A3598" s="3">
        <v>44125</v>
      </c>
      <c r="B3598" t="s">
        <v>44</v>
      </c>
      <c r="C3598">
        <v>28.25</v>
      </c>
      <c r="D3598">
        <v>28.55</v>
      </c>
      <c r="E3598">
        <v>27.65</v>
      </c>
      <c r="F3598">
        <v>27.85</v>
      </c>
      <c r="G3598">
        <v>27.875</v>
      </c>
      <c r="H3598">
        <v>-0.5</v>
      </c>
      <c r="I3598">
        <v>3279</v>
      </c>
      <c r="J3598">
        <v>0</v>
      </c>
      <c r="K3598">
        <v>14480</v>
      </c>
      <c r="L3598">
        <v>80</v>
      </c>
      <c r="M3598">
        <v>119</v>
      </c>
      <c r="N3598" t="s">
        <v>44</v>
      </c>
      <c r="O3598" s="3">
        <v>44244</v>
      </c>
      <c r="P3598">
        <v>-1</v>
      </c>
      <c r="S3598" s="3">
        <v>44362</v>
      </c>
      <c r="T3598" t="s">
        <v>33</v>
      </c>
      <c r="U3598">
        <v>151</v>
      </c>
      <c r="V3598">
        <v>23.505199999999999</v>
      </c>
    </row>
    <row r="3599" spans="1:22" x14ac:dyDescent="0.35">
      <c r="A3599" s="3">
        <v>44124</v>
      </c>
      <c r="B3599" t="s">
        <v>43</v>
      </c>
      <c r="C3599">
        <v>27.87</v>
      </c>
      <c r="D3599">
        <v>28</v>
      </c>
      <c r="E3599">
        <v>27.4</v>
      </c>
      <c r="F3599">
        <v>27.95</v>
      </c>
      <c r="G3599">
        <v>27.925000000000001</v>
      </c>
      <c r="H3599">
        <v>-0.05</v>
      </c>
      <c r="I3599">
        <v>2760</v>
      </c>
      <c r="J3599">
        <v>0</v>
      </c>
      <c r="K3599">
        <v>10142</v>
      </c>
      <c r="L3599">
        <v>101</v>
      </c>
      <c r="M3599">
        <v>148</v>
      </c>
      <c r="N3599" t="s">
        <v>43</v>
      </c>
      <c r="O3599" s="3">
        <v>44272</v>
      </c>
      <c r="P3599">
        <v>-1</v>
      </c>
      <c r="T3599" t="s">
        <v>32</v>
      </c>
      <c r="U3599">
        <v>171</v>
      </c>
      <c r="V3599">
        <v>23.7</v>
      </c>
    </row>
    <row r="3600" spans="1:22" x14ac:dyDescent="0.35">
      <c r="A3600" s="3">
        <v>44124</v>
      </c>
      <c r="B3600" t="s">
        <v>46</v>
      </c>
      <c r="C3600">
        <v>29.1</v>
      </c>
      <c r="D3600">
        <v>29.38</v>
      </c>
      <c r="E3600">
        <v>28.75</v>
      </c>
      <c r="F3600">
        <v>29.3</v>
      </c>
      <c r="G3600">
        <v>29.35</v>
      </c>
      <c r="H3600">
        <v>0.17499999999999999</v>
      </c>
      <c r="I3600">
        <v>16905</v>
      </c>
      <c r="J3600">
        <v>0</v>
      </c>
      <c r="K3600">
        <v>40734</v>
      </c>
      <c r="L3600">
        <v>40</v>
      </c>
      <c r="M3600">
        <v>57</v>
      </c>
      <c r="N3600" t="s">
        <v>46</v>
      </c>
      <c r="O3600" s="3">
        <v>44181</v>
      </c>
      <c r="P3600">
        <v>-1</v>
      </c>
      <c r="T3600" t="s">
        <v>40</v>
      </c>
      <c r="U3600">
        <v>1</v>
      </c>
      <c r="V3600">
        <v>17.101400000000002</v>
      </c>
    </row>
    <row r="3601" spans="1:22" x14ac:dyDescent="0.35">
      <c r="A3601" s="3">
        <v>44124</v>
      </c>
      <c r="B3601" t="s">
        <v>42</v>
      </c>
      <c r="C3601">
        <v>27.75</v>
      </c>
      <c r="D3601">
        <v>27.82</v>
      </c>
      <c r="E3601">
        <v>27.28</v>
      </c>
      <c r="F3601">
        <v>27.7</v>
      </c>
      <c r="G3601">
        <v>27.675000000000001</v>
      </c>
      <c r="H3601">
        <v>-0.15</v>
      </c>
      <c r="I3601">
        <v>1320</v>
      </c>
      <c r="J3601">
        <v>0</v>
      </c>
      <c r="K3601">
        <v>3442</v>
      </c>
      <c r="L3601">
        <v>126</v>
      </c>
      <c r="M3601">
        <v>183</v>
      </c>
      <c r="N3601" t="s">
        <v>42</v>
      </c>
      <c r="O3601" s="3">
        <v>44307</v>
      </c>
      <c r="P3601">
        <v>-1</v>
      </c>
      <c r="T3601" t="s">
        <v>39</v>
      </c>
      <c r="U3601">
        <v>25</v>
      </c>
      <c r="V3601">
        <v>19.564499999999999</v>
      </c>
    </row>
    <row r="3602" spans="1:22" x14ac:dyDescent="0.35">
      <c r="A3602" s="3">
        <v>44124</v>
      </c>
      <c r="B3602" t="s">
        <v>44</v>
      </c>
      <c r="C3602">
        <v>28.25</v>
      </c>
      <c r="D3602">
        <v>28.43</v>
      </c>
      <c r="E3602">
        <v>27.77</v>
      </c>
      <c r="F3602">
        <v>28.36</v>
      </c>
      <c r="G3602">
        <v>28.375</v>
      </c>
      <c r="H3602">
        <v>-2.5000000000000001E-2</v>
      </c>
      <c r="I3602">
        <v>4420</v>
      </c>
      <c r="J3602">
        <v>0</v>
      </c>
      <c r="K3602">
        <v>14724</v>
      </c>
      <c r="L3602">
        <v>81</v>
      </c>
      <c r="M3602">
        <v>120</v>
      </c>
      <c r="N3602" t="s">
        <v>44</v>
      </c>
      <c r="O3602" s="3">
        <v>44244</v>
      </c>
      <c r="P3602">
        <v>-1</v>
      </c>
      <c r="T3602" t="s">
        <v>38</v>
      </c>
      <c r="U3602">
        <v>45</v>
      </c>
      <c r="V3602">
        <v>20.865400000000001</v>
      </c>
    </row>
    <row r="3603" spans="1:22" x14ac:dyDescent="0.35">
      <c r="A3603" s="3">
        <v>44124</v>
      </c>
      <c r="B3603" t="s">
        <v>47</v>
      </c>
      <c r="C3603">
        <v>29.9</v>
      </c>
      <c r="D3603">
        <v>30.2</v>
      </c>
      <c r="E3603">
        <v>29.45</v>
      </c>
      <c r="F3603">
        <v>30</v>
      </c>
      <c r="G3603">
        <v>29.975000000000001</v>
      </c>
      <c r="H3603">
        <v>-0.25</v>
      </c>
      <c r="I3603">
        <v>61446</v>
      </c>
      <c r="J3603">
        <v>371</v>
      </c>
      <c r="K3603">
        <v>166841</v>
      </c>
      <c r="L3603">
        <v>21</v>
      </c>
      <c r="M3603">
        <v>29</v>
      </c>
      <c r="N3603" t="s">
        <v>47</v>
      </c>
      <c r="O3603" s="3">
        <v>44153</v>
      </c>
      <c r="P3603">
        <v>-1</v>
      </c>
      <c r="T3603" t="s">
        <v>37</v>
      </c>
      <c r="U3603">
        <v>64</v>
      </c>
      <c r="V3603">
        <v>21.802</v>
      </c>
    </row>
    <row r="3604" spans="1:22" x14ac:dyDescent="0.35">
      <c r="A3604" s="3">
        <v>44124</v>
      </c>
      <c r="B3604" t="s">
        <v>48</v>
      </c>
      <c r="C3604">
        <v>28.85</v>
      </c>
      <c r="D3604">
        <v>29.8</v>
      </c>
      <c r="E3604">
        <v>28.15</v>
      </c>
      <c r="F3604">
        <v>29.6</v>
      </c>
      <c r="G3604">
        <v>29.274999999999999</v>
      </c>
      <c r="H3604">
        <v>0.1</v>
      </c>
      <c r="I3604">
        <v>51168</v>
      </c>
      <c r="J3604">
        <v>15</v>
      </c>
      <c r="K3604">
        <v>22690</v>
      </c>
      <c r="L3604">
        <v>1</v>
      </c>
      <c r="M3604">
        <v>1</v>
      </c>
      <c r="N3604" t="s">
        <v>48</v>
      </c>
      <c r="O3604" s="3">
        <v>44125</v>
      </c>
      <c r="P3604">
        <v>-1</v>
      </c>
      <c r="T3604" t="s">
        <v>36</v>
      </c>
      <c r="U3604">
        <v>89</v>
      </c>
      <c r="V3604">
        <v>22.309000000000001</v>
      </c>
    </row>
    <row r="3605" spans="1:22" x14ac:dyDescent="0.35">
      <c r="A3605" s="3">
        <v>44124</v>
      </c>
      <c r="B3605" t="s">
        <v>45</v>
      </c>
      <c r="C3605">
        <v>28.48</v>
      </c>
      <c r="D3605">
        <v>28.77</v>
      </c>
      <c r="E3605">
        <v>28.1</v>
      </c>
      <c r="F3605">
        <v>28.7</v>
      </c>
      <c r="G3605">
        <v>28.7</v>
      </c>
      <c r="H3605">
        <v>0.125</v>
      </c>
      <c r="I3605">
        <v>7149</v>
      </c>
      <c r="J3605">
        <v>0</v>
      </c>
      <c r="K3605">
        <v>20288</v>
      </c>
      <c r="L3605">
        <v>62</v>
      </c>
      <c r="M3605">
        <v>92</v>
      </c>
      <c r="N3605" t="s">
        <v>45</v>
      </c>
      <c r="O3605" s="3">
        <v>44216</v>
      </c>
      <c r="P3605">
        <v>-1</v>
      </c>
      <c r="T3605" t="s">
        <v>35</v>
      </c>
      <c r="U3605">
        <v>109</v>
      </c>
      <c r="V3605">
        <v>22.408799999999999</v>
      </c>
    </row>
    <row r="3606" spans="1:22" x14ac:dyDescent="0.35">
      <c r="A3606" s="3">
        <v>44124</v>
      </c>
      <c r="B3606" t="s">
        <v>41</v>
      </c>
      <c r="C3606">
        <v>27.52</v>
      </c>
      <c r="D3606">
        <v>27.57</v>
      </c>
      <c r="E3606">
        <v>27.15</v>
      </c>
      <c r="F3606">
        <v>27.5</v>
      </c>
      <c r="G3606">
        <v>27.524999999999999</v>
      </c>
      <c r="H3606">
        <v>0</v>
      </c>
      <c r="I3606">
        <v>244</v>
      </c>
      <c r="J3606">
        <v>0</v>
      </c>
      <c r="K3606">
        <v>850</v>
      </c>
      <c r="L3606">
        <v>146</v>
      </c>
      <c r="M3606">
        <v>211</v>
      </c>
      <c r="N3606" t="s">
        <v>41</v>
      </c>
      <c r="O3606" s="3">
        <v>44335</v>
      </c>
      <c r="P3606">
        <v>-1</v>
      </c>
      <c r="T3606" t="s">
        <v>34</v>
      </c>
      <c r="U3606">
        <v>133</v>
      </c>
      <c r="V3606">
        <v>22.423500000000001</v>
      </c>
    </row>
    <row r="3607" spans="1:22" x14ac:dyDescent="0.35">
      <c r="A3607" s="3">
        <v>44123</v>
      </c>
      <c r="B3607" t="s">
        <v>47</v>
      </c>
      <c r="C3607">
        <v>29</v>
      </c>
      <c r="D3607">
        <v>30.3</v>
      </c>
      <c r="E3607">
        <v>28.4</v>
      </c>
      <c r="F3607">
        <v>29.9</v>
      </c>
      <c r="G3607">
        <v>30.225000000000001</v>
      </c>
      <c r="H3607">
        <v>1.2</v>
      </c>
      <c r="I3607">
        <v>61668</v>
      </c>
      <c r="J3607">
        <v>0</v>
      </c>
      <c r="K3607">
        <v>158782</v>
      </c>
      <c r="L3607">
        <v>22</v>
      </c>
      <c r="M3607">
        <v>30</v>
      </c>
      <c r="N3607" t="s">
        <v>47</v>
      </c>
      <c r="O3607" s="3">
        <v>44153</v>
      </c>
      <c r="P3607">
        <v>-1</v>
      </c>
      <c r="S3607" s="3">
        <v>44363</v>
      </c>
      <c r="T3607" t="s">
        <v>33</v>
      </c>
      <c r="U3607">
        <v>150</v>
      </c>
      <c r="V3607">
        <v>23.74</v>
      </c>
    </row>
    <row r="3608" spans="1:22" x14ac:dyDescent="0.35">
      <c r="A3608" s="3">
        <v>44123</v>
      </c>
      <c r="B3608" t="s">
        <v>48</v>
      </c>
      <c r="C3608">
        <v>27.75</v>
      </c>
      <c r="D3608">
        <v>29.35</v>
      </c>
      <c r="E3608">
        <v>27.13</v>
      </c>
      <c r="F3608">
        <v>28.85</v>
      </c>
      <c r="G3608">
        <v>29.175000000000001</v>
      </c>
      <c r="H3608">
        <v>1.3</v>
      </c>
      <c r="I3608">
        <v>47245</v>
      </c>
      <c r="J3608">
        <v>0</v>
      </c>
      <c r="K3608">
        <v>37794</v>
      </c>
      <c r="L3608">
        <v>2</v>
      </c>
      <c r="M3608">
        <v>2</v>
      </c>
      <c r="N3608" t="s">
        <v>48</v>
      </c>
      <c r="O3608" s="3">
        <v>44125</v>
      </c>
      <c r="P3608">
        <v>-1</v>
      </c>
      <c r="T3608" t="s">
        <v>32</v>
      </c>
      <c r="U3608">
        <v>170</v>
      </c>
      <c r="V3608">
        <v>23.9</v>
      </c>
    </row>
    <row r="3609" spans="1:22" x14ac:dyDescent="0.35">
      <c r="A3609" s="3">
        <v>44123</v>
      </c>
      <c r="B3609" t="s">
        <v>45</v>
      </c>
      <c r="C3609">
        <v>27.9</v>
      </c>
      <c r="D3609">
        <v>28.72</v>
      </c>
      <c r="E3609">
        <v>27.5</v>
      </c>
      <c r="F3609">
        <v>28.47</v>
      </c>
      <c r="G3609">
        <v>28.574999999999999</v>
      </c>
      <c r="H3609">
        <v>0.6</v>
      </c>
      <c r="I3609">
        <v>5469</v>
      </c>
      <c r="J3609">
        <v>0</v>
      </c>
      <c r="K3609">
        <v>19430</v>
      </c>
      <c r="L3609">
        <v>63</v>
      </c>
      <c r="M3609">
        <v>93</v>
      </c>
      <c r="N3609" t="s">
        <v>45</v>
      </c>
      <c r="O3609" s="3">
        <v>44216</v>
      </c>
      <c r="P3609">
        <v>-1</v>
      </c>
      <c r="T3609" t="s">
        <v>40</v>
      </c>
      <c r="U3609">
        <v>0</v>
      </c>
      <c r="V3609">
        <v>16.38</v>
      </c>
    </row>
    <row r="3610" spans="1:22" x14ac:dyDescent="0.35">
      <c r="A3610" s="3">
        <v>44123</v>
      </c>
      <c r="B3610" t="s">
        <v>41</v>
      </c>
      <c r="C3610">
        <v>26.9</v>
      </c>
      <c r="D3610">
        <v>27.7</v>
      </c>
      <c r="E3610">
        <v>26.8</v>
      </c>
      <c r="F3610">
        <v>27.52</v>
      </c>
      <c r="G3610">
        <v>27.524999999999999</v>
      </c>
      <c r="H3610">
        <v>0.47499999999999998</v>
      </c>
      <c r="I3610">
        <v>103</v>
      </c>
      <c r="J3610">
        <v>0</v>
      </c>
      <c r="K3610">
        <v>765</v>
      </c>
      <c r="L3610">
        <v>147</v>
      </c>
      <c r="M3610">
        <v>212</v>
      </c>
      <c r="N3610" t="s">
        <v>41</v>
      </c>
      <c r="O3610" s="3">
        <v>44335</v>
      </c>
      <c r="P3610">
        <v>-1</v>
      </c>
      <c r="T3610" t="s">
        <v>39</v>
      </c>
      <c r="U3610">
        <v>24</v>
      </c>
      <c r="V3610">
        <v>19.623000000000001</v>
      </c>
    </row>
    <row r="3611" spans="1:22" x14ac:dyDescent="0.35">
      <c r="A3611" s="3">
        <v>44123</v>
      </c>
      <c r="B3611" t="s">
        <v>40</v>
      </c>
      <c r="C3611">
        <v>27.22</v>
      </c>
      <c r="D3611">
        <v>27.22</v>
      </c>
      <c r="E3611">
        <v>27.14</v>
      </c>
      <c r="F3611">
        <v>27.14</v>
      </c>
      <c r="G3611">
        <v>26.65</v>
      </c>
      <c r="H3611">
        <v>0.05</v>
      </c>
      <c r="I3611">
        <v>4</v>
      </c>
      <c r="J3611">
        <v>0</v>
      </c>
      <c r="K3611">
        <v>9</v>
      </c>
      <c r="L3611">
        <v>166</v>
      </c>
      <c r="M3611">
        <v>240</v>
      </c>
      <c r="N3611" t="s">
        <v>40</v>
      </c>
      <c r="O3611" s="3">
        <v>44363</v>
      </c>
      <c r="P3611">
        <v>-1</v>
      </c>
      <c r="T3611" t="s">
        <v>38</v>
      </c>
      <c r="U3611">
        <v>44</v>
      </c>
      <c r="V3611">
        <v>21.049800000000001</v>
      </c>
    </row>
    <row r="3612" spans="1:22" x14ac:dyDescent="0.35">
      <c r="A3612" s="3">
        <v>44123</v>
      </c>
      <c r="B3612" t="s">
        <v>43</v>
      </c>
      <c r="C3612">
        <v>27.55</v>
      </c>
      <c r="D3612">
        <v>28.22</v>
      </c>
      <c r="E3612">
        <v>27.31</v>
      </c>
      <c r="F3612">
        <v>27.87</v>
      </c>
      <c r="G3612">
        <v>27.975000000000001</v>
      </c>
      <c r="H3612">
        <v>0.35</v>
      </c>
      <c r="I3612">
        <v>4306</v>
      </c>
      <c r="J3612">
        <v>0</v>
      </c>
      <c r="K3612">
        <v>10562</v>
      </c>
      <c r="L3612">
        <v>102</v>
      </c>
      <c r="M3612">
        <v>149</v>
      </c>
      <c r="N3612" t="s">
        <v>43</v>
      </c>
      <c r="O3612" s="3">
        <v>44272</v>
      </c>
      <c r="P3612">
        <v>-1</v>
      </c>
      <c r="T3612" t="s">
        <v>37</v>
      </c>
      <c r="U3612">
        <v>63</v>
      </c>
      <c r="V3612">
        <v>21.989699999999999</v>
      </c>
    </row>
    <row r="3613" spans="1:22" x14ac:dyDescent="0.35">
      <c r="A3613" s="3">
        <v>44123</v>
      </c>
      <c r="B3613" t="s">
        <v>46</v>
      </c>
      <c r="C3613">
        <v>28.23</v>
      </c>
      <c r="D3613">
        <v>29.35</v>
      </c>
      <c r="E3613">
        <v>27.7</v>
      </c>
      <c r="F3613">
        <v>29.01</v>
      </c>
      <c r="G3613">
        <v>29.175000000000001</v>
      </c>
      <c r="H3613">
        <v>0.85</v>
      </c>
      <c r="I3613">
        <v>14072</v>
      </c>
      <c r="J3613">
        <v>0</v>
      </c>
      <c r="K3613">
        <v>39122</v>
      </c>
      <c r="L3613">
        <v>41</v>
      </c>
      <c r="M3613">
        <v>58</v>
      </c>
      <c r="N3613" t="s">
        <v>46</v>
      </c>
      <c r="O3613" s="3">
        <v>44181</v>
      </c>
      <c r="P3613">
        <v>-1</v>
      </c>
      <c r="T3613" t="s">
        <v>36</v>
      </c>
      <c r="U3613">
        <v>88</v>
      </c>
      <c r="V3613">
        <v>22.477499999999999</v>
      </c>
    </row>
    <row r="3614" spans="1:22" x14ac:dyDescent="0.35">
      <c r="A3614" s="3">
        <v>44123</v>
      </c>
      <c r="B3614" t="s">
        <v>42</v>
      </c>
      <c r="C3614">
        <v>27.21</v>
      </c>
      <c r="D3614">
        <v>28.07</v>
      </c>
      <c r="E3614">
        <v>27.16</v>
      </c>
      <c r="F3614">
        <v>27.76</v>
      </c>
      <c r="G3614">
        <v>27.824999999999999</v>
      </c>
      <c r="H3614">
        <v>0.4</v>
      </c>
      <c r="I3614">
        <v>1139</v>
      </c>
      <c r="J3614">
        <v>0</v>
      </c>
      <c r="K3614">
        <v>3565</v>
      </c>
      <c r="L3614">
        <v>127</v>
      </c>
      <c r="M3614">
        <v>184</v>
      </c>
      <c r="N3614" t="s">
        <v>42</v>
      </c>
      <c r="O3614" s="3">
        <v>44307</v>
      </c>
      <c r="P3614">
        <v>-1</v>
      </c>
      <c r="T3614" t="s">
        <v>35</v>
      </c>
      <c r="U3614">
        <v>108</v>
      </c>
      <c r="V3614">
        <v>22.584299999999999</v>
      </c>
    </row>
    <row r="3615" spans="1:22" x14ac:dyDescent="0.35">
      <c r="A3615" s="3">
        <v>44123</v>
      </c>
      <c r="B3615" t="s">
        <v>44</v>
      </c>
      <c r="C3615">
        <v>27.8</v>
      </c>
      <c r="D3615">
        <v>28.57</v>
      </c>
      <c r="E3615">
        <v>27.5</v>
      </c>
      <c r="F3615">
        <v>28.3</v>
      </c>
      <c r="G3615">
        <v>28.4</v>
      </c>
      <c r="H3615">
        <v>0.47499999999999998</v>
      </c>
      <c r="I3615">
        <v>3303</v>
      </c>
      <c r="J3615">
        <v>0</v>
      </c>
      <c r="K3615">
        <v>14648</v>
      </c>
      <c r="L3615">
        <v>82</v>
      </c>
      <c r="M3615">
        <v>121</v>
      </c>
      <c r="N3615" t="s">
        <v>44</v>
      </c>
      <c r="O3615" s="3">
        <v>44244</v>
      </c>
      <c r="P3615">
        <v>-1</v>
      </c>
      <c r="T3615" t="s">
        <v>34</v>
      </c>
      <c r="U3615">
        <v>132</v>
      </c>
      <c r="V3615">
        <v>22.55</v>
      </c>
    </row>
    <row r="3616" spans="1:22" x14ac:dyDescent="0.35">
      <c r="A3616" s="3">
        <v>44120</v>
      </c>
      <c r="B3616" t="s">
        <v>43</v>
      </c>
      <c r="C3616">
        <v>27.4</v>
      </c>
      <c r="D3616">
        <v>27.67</v>
      </c>
      <c r="E3616">
        <v>27</v>
      </c>
      <c r="F3616">
        <v>27.65</v>
      </c>
      <c r="G3616">
        <v>27.625</v>
      </c>
      <c r="H3616">
        <v>0.3</v>
      </c>
      <c r="I3616">
        <v>2123</v>
      </c>
      <c r="J3616">
        <v>0</v>
      </c>
      <c r="K3616">
        <v>9946</v>
      </c>
      <c r="L3616">
        <v>103</v>
      </c>
      <c r="M3616">
        <v>152</v>
      </c>
      <c r="N3616" t="s">
        <v>43</v>
      </c>
      <c r="O3616" s="3">
        <v>44272</v>
      </c>
      <c r="P3616">
        <v>-1</v>
      </c>
      <c r="S3616" s="3">
        <v>44364</v>
      </c>
      <c r="T3616" t="s">
        <v>33</v>
      </c>
      <c r="U3616">
        <v>149</v>
      </c>
      <c r="V3616">
        <v>23.55</v>
      </c>
    </row>
    <row r="3617" spans="1:22" x14ac:dyDescent="0.35">
      <c r="A3617" s="3">
        <v>44120</v>
      </c>
      <c r="B3617" t="s">
        <v>46</v>
      </c>
      <c r="C3617">
        <v>28.01</v>
      </c>
      <c r="D3617">
        <v>28.35</v>
      </c>
      <c r="E3617">
        <v>27.3</v>
      </c>
      <c r="F3617">
        <v>28.35</v>
      </c>
      <c r="G3617">
        <v>28.324999999999999</v>
      </c>
      <c r="H3617">
        <v>0.375</v>
      </c>
      <c r="I3617">
        <v>11089</v>
      </c>
      <c r="J3617">
        <v>0</v>
      </c>
      <c r="K3617">
        <v>38312</v>
      </c>
      <c r="L3617">
        <v>42</v>
      </c>
      <c r="M3617">
        <v>61</v>
      </c>
      <c r="N3617" t="s">
        <v>46</v>
      </c>
      <c r="O3617" s="3">
        <v>44181</v>
      </c>
      <c r="P3617">
        <v>-1</v>
      </c>
      <c r="T3617" t="s">
        <v>32</v>
      </c>
      <c r="U3617">
        <v>169</v>
      </c>
      <c r="V3617">
        <v>23.675000000000001</v>
      </c>
    </row>
    <row r="3618" spans="1:22" x14ac:dyDescent="0.35">
      <c r="A3618" s="3">
        <v>44120</v>
      </c>
      <c r="B3618" t="s">
        <v>42</v>
      </c>
      <c r="C3618">
        <v>27.15</v>
      </c>
      <c r="D3618">
        <v>27.45</v>
      </c>
      <c r="E3618">
        <v>26.87</v>
      </c>
      <c r="F3618">
        <v>27.4</v>
      </c>
      <c r="G3618">
        <v>27.425000000000001</v>
      </c>
      <c r="H3618">
        <v>0.3</v>
      </c>
      <c r="I3618">
        <v>841</v>
      </c>
      <c r="J3618">
        <v>0</v>
      </c>
      <c r="K3618">
        <v>3313</v>
      </c>
      <c r="L3618">
        <v>128</v>
      </c>
      <c r="M3618">
        <v>187</v>
      </c>
      <c r="N3618" t="s">
        <v>42</v>
      </c>
      <c r="O3618" s="3">
        <v>44307</v>
      </c>
      <c r="P3618">
        <v>-1</v>
      </c>
      <c r="T3618" t="s">
        <v>39</v>
      </c>
      <c r="U3618">
        <v>23</v>
      </c>
      <c r="V3618">
        <v>19.514600000000002</v>
      </c>
    </row>
    <row r="3619" spans="1:22" x14ac:dyDescent="0.35">
      <c r="A3619" s="3">
        <v>44120</v>
      </c>
      <c r="B3619" t="s">
        <v>44</v>
      </c>
      <c r="C3619">
        <v>27.63</v>
      </c>
      <c r="D3619">
        <v>27.95</v>
      </c>
      <c r="E3619">
        <v>27.14</v>
      </c>
      <c r="F3619">
        <v>27.94</v>
      </c>
      <c r="G3619">
        <v>27.925000000000001</v>
      </c>
      <c r="H3619">
        <v>0.35</v>
      </c>
      <c r="I3619">
        <v>2508</v>
      </c>
      <c r="J3619">
        <v>0</v>
      </c>
      <c r="K3619">
        <v>14663</v>
      </c>
      <c r="L3619">
        <v>83</v>
      </c>
      <c r="M3619">
        <v>124</v>
      </c>
      <c r="N3619" t="s">
        <v>44</v>
      </c>
      <c r="O3619" s="3">
        <v>44244</v>
      </c>
      <c r="P3619">
        <v>-1</v>
      </c>
      <c r="T3619" t="s">
        <v>38</v>
      </c>
      <c r="U3619">
        <v>43</v>
      </c>
      <c r="V3619">
        <v>20.906199999999998</v>
      </c>
    </row>
    <row r="3620" spans="1:22" x14ac:dyDescent="0.35">
      <c r="A3620" s="3">
        <v>44120</v>
      </c>
      <c r="B3620" t="s">
        <v>47</v>
      </c>
      <c r="C3620">
        <v>28.8</v>
      </c>
      <c r="D3620">
        <v>29.05</v>
      </c>
      <c r="E3620">
        <v>28.1</v>
      </c>
      <c r="F3620">
        <v>29.02</v>
      </c>
      <c r="G3620">
        <v>29.024999999999999</v>
      </c>
      <c r="H3620">
        <v>0.15</v>
      </c>
      <c r="I3620">
        <v>36441</v>
      </c>
      <c r="J3620">
        <v>0</v>
      </c>
      <c r="K3620">
        <v>153145</v>
      </c>
      <c r="L3620">
        <v>23</v>
      </c>
      <c r="M3620">
        <v>33</v>
      </c>
      <c r="N3620" t="s">
        <v>47</v>
      </c>
      <c r="O3620" s="3">
        <v>44153</v>
      </c>
      <c r="P3620">
        <v>-1</v>
      </c>
      <c r="T3620" t="s">
        <v>37</v>
      </c>
      <c r="U3620">
        <v>62</v>
      </c>
      <c r="V3620">
        <v>21.807400000000001</v>
      </c>
    </row>
    <row r="3621" spans="1:22" x14ac:dyDescent="0.35">
      <c r="A3621" s="3">
        <v>44120</v>
      </c>
      <c r="B3621" t="s">
        <v>48</v>
      </c>
      <c r="C3621">
        <v>27.59</v>
      </c>
      <c r="D3621">
        <v>28</v>
      </c>
      <c r="E3621">
        <v>27.07</v>
      </c>
      <c r="F3621">
        <v>27.9</v>
      </c>
      <c r="G3621">
        <v>27.875</v>
      </c>
      <c r="H3621">
        <v>0.3</v>
      </c>
      <c r="I3621">
        <v>43163</v>
      </c>
      <c r="J3621">
        <v>0</v>
      </c>
      <c r="K3621">
        <v>45907</v>
      </c>
      <c r="L3621">
        <v>3</v>
      </c>
      <c r="M3621">
        <v>5</v>
      </c>
      <c r="N3621" t="s">
        <v>48</v>
      </c>
      <c r="O3621" s="3">
        <v>44125</v>
      </c>
      <c r="P3621">
        <v>-1</v>
      </c>
      <c r="T3621" t="s">
        <v>36</v>
      </c>
      <c r="U3621">
        <v>87</v>
      </c>
      <c r="V3621">
        <v>22.319600000000001</v>
      </c>
    </row>
    <row r="3622" spans="1:22" x14ac:dyDescent="0.35">
      <c r="A3622" s="3">
        <v>44120</v>
      </c>
      <c r="B3622" t="s">
        <v>45</v>
      </c>
      <c r="C3622">
        <v>27.7</v>
      </c>
      <c r="D3622">
        <v>28</v>
      </c>
      <c r="E3622">
        <v>26.95</v>
      </c>
      <c r="F3622">
        <v>27.97</v>
      </c>
      <c r="G3622">
        <v>27.975000000000001</v>
      </c>
      <c r="H3622">
        <v>0.27500000000000002</v>
      </c>
      <c r="I3622">
        <v>5885</v>
      </c>
      <c r="J3622">
        <v>0</v>
      </c>
      <c r="K3622">
        <v>18787</v>
      </c>
      <c r="L3622">
        <v>64</v>
      </c>
      <c r="M3622">
        <v>96</v>
      </c>
      <c r="N3622" t="s">
        <v>45</v>
      </c>
      <c r="O3622" s="3">
        <v>44216</v>
      </c>
      <c r="P3622">
        <v>-1</v>
      </c>
      <c r="T3622" t="s">
        <v>35</v>
      </c>
      <c r="U3622">
        <v>107</v>
      </c>
      <c r="V3622">
        <v>22.385400000000001</v>
      </c>
    </row>
    <row r="3623" spans="1:22" x14ac:dyDescent="0.35">
      <c r="A3623" s="3">
        <v>44120</v>
      </c>
      <c r="B3623" t="s">
        <v>41</v>
      </c>
      <c r="C3623">
        <v>26.75</v>
      </c>
      <c r="D3623">
        <v>27.07</v>
      </c>
      <c r="E3623">
        <v>26.58</v>
      </c>
      <c r="F3623">
        <v>27.05</v>
      </c>
      <c r="G3623">
        <v>27.05</v>
      </c>
      <c r="H3623">
        <v>0.27500000000000002</v>
      </c>
      <c r="I3623">
        <v>49</v>
      </c>
      <c r="J3623">
        <v>0</v>
      </c>
      <c r="K3623">
        <v>739</v>
      </c>
      <c r="L3623">
        <v>148</v>
      </c>
      <c r="M3623">
        <v>215</v>
      </c>
      <c r="N3623" t="s">
        <v>41</v>
      </c>
      <c r="O3623" s="3">
        <v>44335</v>
      </c>
      <c r="P3623">
        <v>-1</v>
      </c>
      <c r="T3623" t="s">
        <v>34</v>
      </c>
      <c r="U3623">
        <v>131</v>
      </c>
      <c r="V3623">
        <v>22.4</v>
      </c>
    </row>
    <row r="3624" spans="1:22" x14ac:dyDescent="0.35">
      <c r="A3624" s="3">
        <v>44119</v>
      </c>
      <c r="B3624" t="s">
        <v>47</v>
      </c>
      <c r="C3624">
        <v>28.3</v>
      </c>
      <c r="D3624">
        <v>29.75</v>
      </c>
      <c r="E3624">
        <v>28.2</v>
      </c>
      <c r="F3624">
        <v>28.85</v>
      </c>
      <c r="G3624">
        <v>28.875</v>
      </c>
      <c r="H3624">
        <v>0.67500000000000004</v>
      </c>
      <c r="I3624">
        <v>50715</v>
      </c>
      <c r="J3624">
        <v>294</v>
      </c>
      <c r="K3624">
        <v>145441</v>
      </c>
      <c r="L3624">
        <v>24</v>
      </c>
      <c r="M3624">
        <v>34</v>
      </c>
      <c r="N3624" t="s">
        <v>47</v>
      </c>
      <c r="O3624" s="3">
        <v>44153</v>
      </c>
      <c r="P3624">
        <v>-1</v>
      </c>
      <c r="S3624" s="3">
        <v>44365</v>
      </c>
      <c r="T3624" t="s">
        <v>33</v>
      </c>
      <c r="U3624">
        <v>148</v>
      </c>
      <c r="V3624">
        <v>24.2667</v>
      </c>
    </row>
    <row r="3625" spans="1:22" x14ac:dyDescent="0.35">
      <c r="A3625" s="3">
        <v>44119</v>
      </c>
      <c r="B3625" t="s">
        <v>48</v>
      </c>
      <c r="C3625">
        <v>27.2</v>
      </c>
      <c r="D3625">
        <v>29.53</v>
      </c>
      <c r="E3625">
        <v>27.09</v>
      </c>
      <c r="F3625">
        <v>27.6</v>
      </c>
      <c r="G3625">
        <v>27.574999999999999</v>
      </c>
      <c r="H3625">
        <v>0.5</v>
      </c>
      <c r="I3625">
        <v>57347</v>
      </c>
      <c r="J3625">
        <v>56</v>
      </c>
      <c r="K3625">
        <v>51381</v>
      </c>
      <c r="L3625">
        <v>4</v>
      </c>
      <c r="M3625">
        <v>6</v>
      </c>
      <c r="N3625" t="s">
        <v>48</v>
      </c>
      <c r="O3625" s="3">
        <v>44125</v>
      </c>
      <c r="P3625">
        <v>-1</v>
      </c>
      <c r="T3625" t="s">
        <v>32</v>
      </c>
      <c r="U3625">
        <v>168</v>
      </c>
      <c r="V3625">
        <v>24.274999999999999</v>
      </c>
    </row>
    <row r="3626" spans="1:22" x14ac:dyDescent="0.35">
      <c r="A3626" s="3">
        <v>44119</v>
      </c>
      <c r="B3626" t="s">
        <v>45</v>
      </c>
      <c r="C3626">
        <v>27.4</v>
      </c>
      <c r="D3626">
        <v>28.4</v>
      </c>
      <c r="E3626">
        <v>27.4</v>
      </c>
      <c r="F3626">
        <v>27.8</v>
      </c>
      <c r="G3626">
        <v>27.7</v>
      </c>
      <c r="H3626">
        <v>0.3</v>
      </c>
      <c r="I3626">
        <v>5850</v>
      </c>
      <c r="J3626">
        <v>0</v>
      </c>
      <c r="K3626">
        <v>17668</v>
      </c>
      <c r="L3626">
        <v>65</v>
      </c>
      <c r="M3626">
        <v>97</v>
      </c>
      <c r="N3626" t="s">
        <v>45</v>
      </c>
      <c r="O3626" s="3">
        <v>44216</v>
      </c>
      <c r="P3626">
        <v>-1</v>
      </c>
      <c r="T3626" t="s">
        <v>39</v>
      </c>
      <c r="U3626">
        <v>22</v>
      </c>
      <c r="V3626">
        <v>21.338999999999999</v>
      </c>
    </row>
    <row r="3627" spans="1:22" x14ac:dyDescent="0.35">
      <c r="A3627" s="3">
        <v>44119</v>
      </c>
      <c r="B3627" t="s">
        <v>41</v>
      </c>
      <c r="C3627">
        <v>27</v>
      </c>
      <c r="D3627">
        <v>27.1</v>
      </c>
      <c r="E3627">
        <v>26.66</v>
      </c>
      <c r="F3627">
        <v>26.66</v>
      </c>
      <c r="G3627">
        <v>26.774999999999999</v>
      </c>
      <c r="H3627">
        <v>0.1</v>
      </c>
      <c r="I3627">
        <v>55</v>
      </c>
      <c r="J3627">
        <v>0</v>
      </c>
      <c r="K3627">
        <v>726</v>
      </c>
      <c r="L3627">
        <v>149</v>
      </c>
      <c r="M3627">
        <v>216</v>
      </c>
      <c r="N3627" t="s">
        <v>41</v>
      </c>
      <c r="O3627" s="3">
        <v>44335</v>
      </c>
      <c r="P3627">
        <v>-1</v>
      </c>
      <c r="T3627" t="s">
        <v>38</v>
      </c>
      <c r="U3627">
        <v>42</v>
      </c>
      <c r="V3627">
        <v>22.260100000000001</v>
      </c>
    </row>
    <row r="3628" spans="1:22" x14ac:dyDescent="0.35">
      <c r="A3628" s="3">
        <v>44119</v>
      </c>
      <c r="B3628" t="s">
        <v>43</v>
      </c>
      <c r="C3628">
        <v>27.23</v>
      </c>
      <c r="D3628">
        <v>27.95</v>
      </c>
      <c r="E3628">
        <v>27.15</v>
      </c>
      <c r="F3628">
        <v>27.35</v>
      </c>
      <c r="G3628">
        <v>27.324999999999999</v>
      </c>
      <c r="H3628">
        <v>0.1</v>
      </c>
      <c r="I3628">
        <v>1951</v>
      </c>
      <c r="J3628">
        <v>0</v>
      </c>
      <c r="K3628">
        <v>10045</v>
      </c>
      <c r="L3628">
        <v>104</v>
      </c>
      <c r="M3628">
        <v>153</v>
      </c>
      <c r="N3628" t="s">
        <v>43</v>
      </c>
      <c r="O3628" s="3">
        <v>44272</v>
      </c>
      <c r="P3628">
        <v>-1</v>
      </c>
      <c r="T3628" t="s">
        <v>37</v>
      </c>
      <c r="U3628">
        <v>61</v>
      </c>
      <c r="V3628">
        <v>22.915800000000001</v>
      </c>
    </row>
    <row r="3629" spans="1:22" x14ac:dyDescent="0.35">
      <c r="A3629" s="3">
        <v>44119</v>
      </c>
      <c r="B3629" t="s">
        <v>46</v>
      </c>
      <c r="C3629">
        <v>27.52</v>
      </c>
      <c r="D3629">
        <v>28.82</v>
      </c>
      <c r="E3629">
        <v>27.52</v>
      </c>
      <c r="F3629">
        <v>28</v>
      </c>
      <c r="G3629">
        <v>27.95</v>
      </c>
      <c r="H3629">
        <v>0.45</v>
      </c>
      <c r="I3629">
        <v>12786</v>
      </c>
      <c r="J3629">
        <v>0</v>
      </c>
      <c r="K3629">
        <v>37335</v>
      </c>
      <c r="L3629">
        <v>43</v>
      </c>
      <c r="M3629">
        <v>62</v>
      </c>
      <c r="N3629" t="s">
        <v>46</v>
      </c>
      <c r="O3629" s="3">
        <v>44181</v>
      </c>
      <c r="P3629">
        <v>-1</v>
      </c>
      <c r="T3629" t="s">
        <v>36</v>
      </c>
      <c r="U3629">
        <v>86</v>
      </c>
      <c r="V3629">
        <v>23.181999999999999</v>
      </c>
    </row>
    <row r="3630" spans="1:22" x14ac:dyDescent="0.35">
      <c r="A3630" s="3">
        <v>44119</v>
      </c>
      <c r="B3630" t="s">
        <v>42</v>
      </c>
      <c r="C3630">
        <v>27.3</v>
      </c>
      <c r="D3630">
        <v>27.6</v>
      </c>
      <c r="E3630">
        <v>27</v>
      </c>
      <c r="F3630">
        <v>27.15</v>
      </c>
      <c r="G3630">
        <v>27.125</v>
      </c>
      <c r="H3630">
        <v>0.125</v>
      </c>
      <c r="I3630">
        <v>856</v>
      </c>
      <c r="J3630">
        <v>0</v>
      </c>
      <c r="K3630">
        <v>3175</v>
      </c>
      <c r="L3630">
        <v>129</v>
      </c>
      <c r="M3630">
        <v>188</v>
      </c>
      <c r="N3630" t="s">
        <v>42</v>
      </c>
      <c r="O3630" s="3">
        <v>44307</v>
      </c>
      <c r="P3630">
        <v>-1</v>
      </c>
      <c r="T3630" t="s">
        <v>35</v>
      </c>
      <c r="U3630">
        <v>106</v>
      </c>
      <c r="V3630">
        <v>23.2239</v>
      </c>
    </row>
    <row r="3631" spans="1:22" x14ac:dyDescent="0.35">
      <c r="A3631" s="3">
        <v>44119</v>
      </c>
      <c r="B3631" t="s">
        <v>44</v>
      </c>
      <c r="C3631">
        <v>27.5</v>
      </c>
      <c r="D3631">
        <v>28.3</v>
      </c>
      <c r="E3631">
        <v>27.45</v>
      </c>
      <c r="F3631">
        <v>27.64</v>
      </c>
      <c r="G3631">
        <v>27.574999999999999</v>
      </c>
      <c r="H3631">
        <v>0.1</v>
      </c>
      <c r="I3631">
        <v>2801</v>
      </c>
      <c r="J3631">
        <v>0</v>
      </c>
      <c r="K3631">
        <v>14534</v>
      </c>
      <c r="L3631">
        <v>84</v>
      </c>
      <c r="M3631">
        <v>125</v>
      </c>
      <c r="N3631" t="s">
        <v>44</v>
      </c>
      <c r="O3631" s="3">
        <v>44244</v>
      </c>
      <c r="P3631">
        <v>-1</v>
      </c>
      <c r="T3631" t="s">
        <v>34</v>
      </c>
      <c r="U3631">
        <v>130</v>
      </c>
      <c r="V3631">
        <v>23.169799999999999</v>
      </c>
    </row>
    <row r="3632" spans="1:22" x14ac:dyDescent="0.35">
      <c r="A3632" s="3">
        <v>44118</v>
      </c>
      <c r="B3632" t="s">
        <v>43</v>
      </c>
      <c r="C3632">
        <v>27.3</v>
      </c>
      <c r="D3632">
        <v>27.45</v>
      </c>
      <c r="E3632">
        <v>26.96</v>
      </c>
      <c r="F3632">
        <v>27.24</v>
      </c>
      <c r="G3632">
        <v>27.225000000000001</v>
      </c>
      <c r="H3632">
        <v>-0.15</v>
      </c>
      <c r="I3632">
        <v>2090</v>
      </c>
      <c r="J3632">
        <v>0</v>
      </c>
      <c r="K3632">
        <v>10172</v>
      </c>
      <c r="L3632">
        <v>105</v>
      </c>
      <c r="M3632">
        <v>154</v>
      </c>
      <c r="N3632" t="s">
        <v>43</v>
      </c>
      <c r="O3632" s="3">
        <v>44272</v>
      </c>
      <c r="P3632">
        <v>-1</v>
      </c>
      <c r="S3632" s="3">
        <v>44368</v>
      </c>
      <c r="T3632" t="s">
        <v>33</v>
      </c>
      <c r="U3632">
        <v>147</v>
      </c>
      <c r="V3632">
        <v>23.804500000000001</v>
      </c>
    </row>
    <row r="3633" spans="1:22" x14ac:dyDescent="0.35">
      <c r="A3633" s="3">
        <v>44118</v>
      </c>
      <c r="B3633" t="s">
        <v>46</v>
      </c>
      <c r="C3633">
        <v>27.7</v>
      </c>
      <c r="D3633">
        <v>28.1</v>
      </c>
      <c r="E3633">
        <v>27.27</v>
      </c>
      <c r="F3633">
        <v>27.55</v>
      </c>
      <c r="G3633">
        <v>27.5</v>
      </c>
      <c r="H3633">
        <v>-0.22500000000000001</v>
      </c>
      <c r="I3633">
        <v>17978</v>
      </c>
      <c r="J3633">
        <v>0</v>
      </c>
      <c r="K3633">
        <v>35576</v>
      </c>
      <c r="L3633">
        <v>44</v>
      </c>
      <c r="M3633">
        <v>63</v>
      </c>
      <c r="N3633" t="s">
        <v>46</v>
      </c>
      <c r="O3633" s="3">
        <v>44181</v>
      </c>
      <c r="P3633">
        <v>-1</v>
      </c>
      <c r="T3633" t="s">
        <v>32</v>
      </c>
      <c r="U3633">
        <v>167</v>
      </c>
      <c r="V3633">
        <v>23.9</v>
      </c>
    </row>
    <row r="3634" spans="1:22" x14ac:dyDescent="0.35">
      <c r="A3634" s="3">
        <v>44118</v>
      </c>
      <c r="B3634" t="s">
        <v>42</v>
      </c>
      <c r="C3634">
        <v>27.05</v>
      </c>
      <c r="D3634">
        <v>27.15</v>
      </c>
      <c r="E3634">
        <v>26.67</v>
      </c>
      <c r="F3634">
        <v>27</v>
      </c>
      <c r="G3634">
        <v>27</v>
      </c>
      <c r="H3634">
        <v>-7.4999999999999997E-2</v>
      </c>
      <c r="I3634">
        <v>1099</v>
      </c>
      <c r="J3634">
        <v>0</v>
      </c>
      <c r="K3634">
        <v>3095</v>
      </c>
      <c r="L3634">
        <v>130</v>
      </c>
      <c r="M3634">
        <v>189</v>
      </c>
      <c r="N3634" t="s">
        <v>42</v>
      </c>
      <c r="O3634" s="3">
        <v>44307</v>
      </c>
      <c r="P3634">
        <v>-1</v>
      </c>
      <c r="T3634" t="s">
        <v>31</v>
      </c>
      <c r="U3634">
        <v>185</v>
      </c>
      <c r="V3634">
        <v>24.2</v>
      </c>
    </row>
    <row r="3635" spans="1:22" x14ac:dyDescent="0.35">
      <c r="A3635" s="3">
        <v>44118</v>
      </c>
      <c r="B3635" t="s">
        <v>44</v>
      </c>
      <c r="C3635">
        <v>27.58</v>
      </c>
      <c r="D3635">
        <v>27.7</v>
      </c>
      <c r="E3635">
        <v>27.17</v>
      </c>
      <c r="F3635">
        <v>27.48</v>
      </c>
      <c r="G3635">
        <v>27.475000000000001</v>
      </c>
      <c r="H3635">
        <v>-0.1</v>
      </c>
      <c r="I3635">
        <v>3062</v>
      </c>
      <c r="J3635">
        <v>0</v>
      </c>
      <c r="K3635">
        <v>14658</v>
      </c>
      <c r="L3635">
        <v>85</v>
      </c>
      <c r="M3635">
        <v>126</v>
      </c>
      <c r="N3635" t="s">
        <v>44</v>
      </c>
      <c r="O3635" s="3">
        <v>44244</v>
      </c>
      <c r="P3635">
        <v>-1</v>
      </c>
      <c r="T3635" t="s">
        <v>39</v>
      </c>
      <c r="U3635">
        <v>21</v>
      </c>
      <c r="V3635">
        <v>19.915900000000001</v>
      </c>
    </row>
    <row r="3636" spans="1:22" x14ac:dyDescent="0.35">
      <c r="A3636" s="3">
        <v>44118</v>
      </c>
      <c r="B3636" t="s">
        <v>48</v>
      </c>
      <c r="C3636">
        <v>26.9</v>
      </c>
      <c r="D3636">
        <v>27.68</v>
      </c>
      <c r="E3636">
        <v>26.3</v>
      </c>
      <c r="F3636">
        <v>27.15</v>
      </c>
      <c r="G3636">
        <v>27.074999999999999</v>
      </c>
      <c r="H3636">
        <v>0.3</v>
      </c>
      <c r="I3636">
        <v>61846</v>
      </c>
      <c r="J3636">
        <v>154</v>
      </c>
      <c r="K3636">
        <v>58993</v>
      </c>
      <c r="L3636">
        <v>5</v>
      </c>
      <c r="M3636">
        <v>7</v>
      </c>
      <c r="N3636" t="s">
        <v>48</v>
      </c>
      <c r="O3636" s="3">
        <v>44125</v>
      </c>
      <c r="P3636">
        <v>-1</v>
      </c>
      <c r="T3636" t="s">
        <v>38</v>
      </c>
      <c r="U3636">
        <v>41</v>
      </c>
      <c r="V3636">
        <v>21.189699999999998</v>
      </c>
    </row>
    <row r="3637" spans="1:22" x14ac:dyDescent="0.35">
      <c r="A3637" s="3">
        <v>44118</v>
      </c>
      <c r="B3637" t="s">
        <v>45</v>
      </c>
      <c r="C3637">
        <v>27.55</v>
      </c>
      <c r="D3637">
        <v>27.75</v>
      </c>
      <c r="E3637">
        <v>27.1</v>
      </c>
      <c r="F3637">
        <v>27.4</v>
      </c>
      <c r="G3637">
        <v>27.4</v>
      </c>
      <c r="H3637">
        <v>-0.125</v>
      </c>
      <c r="I3637">
        <v>5346</v>
      </c>
      <c r="J3637">
        <v>0</v>
      </c>
      <c r="K3637">
        <v>17772</v>
      </c>
      <c r="L3637">
        <v>66</v>
      </c>
      <c r="M3637">
        <v>98</v>
      </c>
      <c r="N3637" t="s">
        <v>45</v>
      </c>
      <c r="O3637" s="3">
        <v>44216</v>
      </c>
      <c r="P3637">
        <v>-1</v>
      </c>
      <c r="T3637" t="s">
        <v>37</v>
      </c>
      <c r="U3637">
        <v>60</v>
      </c>
      <c r="V3637">
        <v>22.0825</v>
      </c>
    </row>
    <row r="3638" spans="1:22" x14ac:dyDescent="0.35">
      <c r="A3638" s="3">
        <v>44118</v>
      </c>
      <c r="B3638" t="s">
        <v>41</v>
      </c>
      <c r="C3638">
        <v>26.7</v>
      </c>
      <c r="D3638">
        <v>26.75</v>
      </c>
      <c r="E3638">
        <v>26.39</v>
      </c>
      <c r="F3638">
        <v>26.67</v>
      </c>
      <c r="G3638">
        <v>26.675000000000001</v>
      </c>
      <c r="H3638">
        <v>-2.5000000000000001E-2</v>
      </c>
      <c r="I3638">
        <v>134</v>
      </c>
      <c r="J3638">
        <v>0</v>
      </c>
      <c r="K3638">
        <v>726</v>
      </c>
      <c r="L3638">
        <v>150</v>
      </c>
      <c r="M3638">
        <v>217</v>
      </c>
      <c r="N3638" t="s">
        <v>41</v>
      </c>
      <c r="O3638" s="3">
        <v>44335</v>
      </c>
      <c r="P3638">
        <v>-1</v>
      </c>
      <c r="T3638" t="s">
        <v>36</v>
      </c>
      <c r="U3638">
        <v>85</v>
      </c>
      <c r="V3638">
        <v>22.571100000000001</v>
      </c>
    </row>
    <row r="3639" spans="1:22" x14ac:dyDescent="0.35">
      <c r="A3639" s="3">
        <v>44118</v>
      </c>
      <c r="B3639" t="s">
        <v>47</v>
      </c>
      <c r="C3639">
        <v>28.55</v>
      </c>
      <c r="D3639">
        <v>28.9</v>
      </c>
      <c r="E3639">
        <v>27.95</v>
      </c>
      <c r="F3639">
        <v>28.25</v>
      </c>
      <c r="G3639">
        <v>28.2</v>
      </c>
      <c r="H3639">
        <v>-0.375</v>
      </c>
      <c r="I3639">
        <v>52130</v>
      </c>
      <c r="J3639">
        <v>622</v>
      </c>
      <c r="K3639">
        <v>139218</v>
      </c>
      <c r="L3639">
        <v>25</v>
      </c>
      <c r="M3639">
        <v>35</v>
      </c>
      <c r="N3639" t="s">
        <v>47</v>
      </c>
      <c r="O3639" s="3">
        <v>44153</v>
      </c>
      <c r="P3639">
        <v>-1</v>
      </c>
      <c r="T3639" t="s">
        <v>35</v>
      </c>
      <c r="U3639">
        <v>105</v>
      </c>
      <c r="V3639">
        <v>22.662500000000001</v>
      </c>
    </row>
    <row r="3640" spans="1:22" x14ac:dyDescent="0.35">
      <c r="A3640" s="3">
        <v>44117</v>
      </c>
      <c r="B3640" t="s">
        <v>48</v>
      </c>
      <c r="C3640">
        <v>26.15</v>
      </c>
      <c r="D3640">
        <v>27.71</v>
      </c>
      <c r="E3640">
        <v>26.15</v>
      </c>
      <c r="F3640">
        <v>26.88</v>
      </c>
      <c r="G3640">
        <v>26.774999999999999</v>
      </c>
      <c r="H3640">
        <v>0.45</v>
      </c>
      <c r="I3640">
        <v>49484</v>
      </c>
      <c r="J3640">
        <v>0</v>
      </c>
      <c r="K3640">
        <v>66993</v>
      </c>
      <c r="L3640">
        <v>6</v>
      </c>
      <c r="M3640">
        <v>8</v>
      </c>
      <c r="N3640" t="s">
        <v>48</v>
      </c>
      <c r="O3640" s="3">
        <v>44125</v>
      </c>
      <c r="P3640">
        <v>-1</v>
      </c>
      <c r="T3640" t="s">
        <v>34</v>
      </c>
      <c r="U3640">
        <v>129</v>
      </c>
      <c r="V3640">
        <v>22.670999999999999</v>
      </c>
    </row>
    <row r="3641" spans="1:22" x14ac:dyDescent="0.35">
      <c r="A3641" s="3">
        <v>44117</v>
      </c>
      <c r="B3641" t="s">
        <v>45</v>
      </c>
      <c r="C3641">
        <v>27.58</v>
      </c>
      <c r="D3641">
        <v>28.17</v>
      </c>
      <c r="E3641">
        <v>27.45</v>
      </c>
      <c r="F3641">
        <v>27.6</v>
      </c>
      <c r="G3641">
        <v>27.524999999999999</v>
      </c>
      <c r="H3641">
        <v>-0.1</v>
      </c>
      <c r="I3641">
        <v>6039</v>
      </c>
      <c r="J3641">
        <v>0</v>
      </c>
      <c r="K3641">
        <v>18238</v>
      </c>
      <c r="L3641">
        <v>67</v>
      </c>
      <c r="M3641">
        <v>99</v>
      </c>
      <c r="N3641" t="s">
        <v>45</v>
      </c>
      <c r="O3641" s="3">
        <v>44216</v>
      </c>
      <c r="P3641">
        <v>-1</v>
      </c>
      <c r="S3641" s="3">
        <v>44369</v>
      </c>
      <c r="T3641" t="s">
        <v>33</v>
      </c>
      <c r="U3641">
        <v>146</v>
      </c>
      <c r="V3641">
        <v>23.55</v>
      </c>
    </row>
    <row r="3642" spans="1:22" x14ac:dyDescent="0.35">
      <c r="A3642" s="3">
        <v>44117</v>
      </c>
      <c r="B3642" t="s">
        <v>41</v>
      </c>
      <c r="C3642">
        <v>26.66</v>
      </c>
      <c r="D3642">
        <v>27.15</v>
      </c>
      <c r="E3642">
        <v>26.65</v>
      </c>
      <c r="F3642">
        <v>26.67</v>
      </c>
      <c r="G3642">
        <v>26.7</v>
      </c>
      <c r="H3642">
        <v>0.05</v>
      </c>
      <c r="I3642">
        <v>105</v>
      </c>
      <c r="J3642">
        <v>0</v>
      </c>
      <c r="K3642">
        <v>650</v>
      </c>
      <c r="L3642">
        <v>151</v>
      </c>
      <c r="M3642">
        <v>218</v>
      </c>
      <c r="N3642" t="s">
        <v>41</v>
      </c>
      <c r="O3642" s="3">
        <v>44335</v>
      </c>
      <c r="P3642">
        <v>-1</v>
      </c>
      <c r="T3642" t="s">
        <v>32</v>
      </c>
      <c r="U3642">
        <v>166</v>
      </c>
      <c r="V3642">
        <v>23.7</v>
      </c>
    </row>
    <row r="3643" spans="1:22" x14ac:dyDescent="0.35">
      <c r="A3643" s="3">
        <v>44117</v>
      </c>
      <c r="B3643" t="s">
        <v>47</v>
      </c>
      <c r="C3643">
        <v>28.55</v>
      </c>
      <c r="D3643">
        <v>29.28</v>
      </c>
      <c r="E3643">
        <v>28.45</v>
      </c>
      <c r="F3643">
        <v>28.58</v>
      </c>
      <c r="G3643">
        <v>28.574999999999999</v>
      </c>
      <c r="H3643">
        <v>0</v>
      </c>
      <c r="I3643">
        <v>41690</v>
      </c>
      <c r="J3643">
        <v>0</v>
      </c>
      <c r="K3643">
        <v>131637</v>
      </c>
      <c r="L3643">
        <v>26</v>
      </c>
      <c r="M3643">
        <v>36</v>
      </c>
      <c r="N3643" t="s">
        <v>47</v>
      </c>
      <c r="O3643" s="3">
        <v>44153</v>
      </c>
      <c r="P3643">
        <v>-1</v>
      </c>
      <c r="T3643" t="s">
        <v>31</v>
      </c>
      <c r="U3643">
        <v>184</v>
      </c>
      <c r="V3643">
        <v>23.9</v>
      </c>
    </row>
    <row r="3644" spans="1:22" x14ac:dyDescent="0.35">
      <c r="A3644" s="3">
        <v>44117</v>
      </c>
      <c r="B3644" t="s">
        <v>43</v>
      </c>
      <c r="C3644">
        <v>27.4</v>
      </c>
      <c r="D3644">
        <v>27.81</v>
      </c>
      <c r="E3644">
        <v>27.27</v>
      </c>
      <c r="F3644">
        <v>27.4</v>
      </c>
      <c r="G3644">
        <v>27.375</v>
      </c>
      <c r="H3644">
        <v>0.05</v>
      </c>
      <c r="I3644">
        <v>1555</v>
      </c>
      <c r="J3644">
        <v>0</v>
      </c>
      <c r="K3644">
        <v>10253</v>
      </c>
      <c r="L3644">
        <v>106</v>
      </c>
      <c r="M3644">
        <v>155</v>
      </c>
      <c r="N3644" t="s">
        <v>43</v>
      </c>
      <c r="O3644" s="3">
        <v>44272</v>
      </c>
      <c r="P3644">
        <v>-1</v>
      </c>
      <c r="T3644" t="s">
        <v>39</v>
      </c>
      <c r="U3644">
        <v>20</v>
      </c>
      <c r="V3644">
        <v>18.826499999999999</v>
      </c>
    </row>
    <row r="3645" spans="1:22" x14ac:dyDescent="0.35">
      <c r="A3645" s="3">
        <v>44117</v>
      </c>
      <c r="B3645" t="s">
        <v>46</v>
      </c>
      <c r="C3645">
        <v>27.7</v>
      </c>
      <c r="D3645">
        <v>28.35</v>
      </c>
      <c r="E3645">
        <v>27.65</v>
      </c>
      <c r="F3645">
        <v>27.8</v>
      </c>
      <c r="G3645">
        <v>27.725000000000001</v>
      </c>
      <c r="H3645">
        <v>0.05</v>
      </c>
      <c r="I3645">
        <v>12881</v>
      </c>
      <c r="J3645">
        <v>0</v>
      </c>
      <c r="K3645">
        <v>35042</v>
      </c>
      <c r="L3645">
        <v>45</v>
      </c>
      <c r="M3645">
        <v>64</v>
      </c>
      <c r="N3645" t="s">
        <v>46</v>
      </c>
      <c r="O3645" s="3">
        <v>44181</v>
      </c>
      <c r="P3645">
        <v>-1</v>
      </c>
      <c r="T3645" t="s">
        <v>38</v>
      </c>
      <c r="U3645">
        <v>40</v>
      </c>
      <c r="V3645">
        <v>20.529900000000001</v>
      </c>
    </row>
    <row r="3646" spans="1:22" x14ac:dyDescent="0.35">
      <c r="A3646" s="3">
        <v>44117</v>
      </c>
      <c r="B3646" t="s">
        <v>42</v>
      </c>
      <c r="C3646">
        <v>27.05</v>
      </c>
      <c r="D3646">
        <v>27.57</v>
      </c>
      <c r="E3646">
        <v>27</v>
      </c>
      <c r="F3646">
        <v>27.15</v>
      </c>
      <c r="G3646">
        <v>27.074999999999999</v>
      </c>
      <c r="H3646">
        <v>7.4999999999999997E-2</v>
      </c>
      <c r="I3646">
        <v>832</v>
      </c>
      <c r="J3646">
        <v>0</v>
      </c>
      <c r="K3646">
        <v>2950</v>
      </c>
      <c r="L3646">
        <v>131</v>
      </c>
      <c r="M3646">
        <v>190</v>
      </c>
      <c r="N3646" t="s">
        <v>42</v>
      </c>
      <c r="O3646" s="3">
        <v>44307</v>
      </c>
      <c r="P3646">
        <v>-1</v>
      </c>
      <c r="T3646" t="s">
        <v>37</v>
      </c>
      <c r="U3646">
        <v>59</v>
      </c>
      <c r="V3646">
        <v>21.6</v>
      </c>
    </row>
    <row r="3647" spans="1:22" x14ac:dyDescent="0.35">
      <c r="A3647" s="3">
        <v>44117</v>
      </c>
      <c r="B3647" t="s">
        <v>44</v>
      </c>
      <c r="C3647">
        <v>27.58</v>
      </c>
      <c r="D3647">
        <v>28.07</v>
      </c>
      <c r="E3647">
        <v>27.43</v>
      </c>
      <c r="F3647">
        <v>27.6</v>
      </c>
      <c r="G3647">
        <v>27.574999999999999</v>
      </c>
      <c r="H3647">
        <v>0</v>
      </c>
      <c r="I3647">
        <v>2769</v>
      </c>
      <c r="J3647">
        <v>0</v>
      </c>
      <c r="K3647">
        <v>14610</v>
      </c>
      <c r="L3647">
        <v>86</v>
      </c>
      <c r="M3647">
        <v>127</v>
      </c>
      <c r="N3647" t="s">
        <v>44</v>
      </c>
      <c r="O3647" s="3">
        <v>44244</v>
      </c>
      <c r="P3647">
        <v>-1</v>
      </c>
      <c r="T3647" t="s">
        <v>36</v>
      </c>
      <c r="U3647">
        <v>84</v>
      </c>
      <c r="V3647">
        <v>22.247399999999999</v>
      </c>
    </row>
    <row r="3648" spans="1:22" x14ac:dyDescent="0.35">
      <c r="A3648" s="3">
        <v>44116</v>
      </c>
      <c r="B3648" t="s">
        <v>43</v>
      </c>
      <c r="C3648">
        <v>27.61</v>
      </c>
      <c r="D3648">
        <v>27.7</v>
      </c>
      <c r="E3648">
        <v>27.2</v>
      </c>
      <c r="F3648">
        <v>27.3</v>
      </c>
      <c r="G3648">
        <v>27.324999999999999</v>
      </c>
      <c r="H3648">
        <v>-0.3</v>
      </c>
      <c r="I3648">
        <v>1118</v>
      </c>
      <c r="J3648">
        <v>0</v>
      </c>
      <c r="K3648">
        <v>10101</v>
      </c>
      <c r="L3648">
        <v>107</v>
      </c>
      <c r="M3648">
        <v>156</v>
      </c>
      <c r="N3648" t="s">
        <v>43</v>
      </c>
      <c r="O3648" s="3">
        <v>44272</v>
      </c>
      <c r="P3648">
        <v>-1</v>
      </c>
      <c r="T3648" t="s">
        <v>35</v>
      </c>
      <c r="U3648">
        <v>104</v>
      </c>
      <c r="V3648">
        <v>22.4008</v>
      </c>
    </row>
    <row r="3649" spans="1:22" x14ac:dyDescent="0.35">
      <c r="A3649" s="3">
        <v>44116</v>
      </c>
      <c r="B3649" t="s">
        <v>46</v>
      </c>
      <c r="C3649">
        <v>28.06</v>
      </c>
      <c r="D3649">
        <v>28.25</v>
      </c>
      <c r="E3649">
        <v>27.6</v>
      </c>
      <c r="F3649">
        <v>27.65</v>
      </c>
      <c r="G3649">
        <v>27.675000000000001</v>
      </c>
      <c r="H3649">
        <v>-0.35</v>
      </c>
      <c r="I3649">
        <v>10051</v>
      </c>
      <c r="J3649">
        <v>0</v>
      </c>
      <c r="K3649">
        <v>34973</v>
      </c>
      <c r="L3649">
        <v>46</v>
      </c>
      <c r="M3649">
        <v>65</v>
      </c>
      <c r="N3649" t="s">
        <v>46</v>
      </c>
      <c r="O3649" s="3">
        <v>44181</v>
      </c>
      <c r="P3649">
        <v>-1</v>
      </c>
      <c r="T3649" t="s">
        <v>34</v>
      </c>
      <c r="U3649">
        <v>128</v>
      </c>
      <c r="V3649">
        <v>22.45</v>
      </c>
    </row>
    <row r="3650" spans="1:22" x14ac:dyDescent="0.35">
      <c r="A3650" s="3">
        <v>44116</v>
      </c>
      <c r="B3650" t="s">
        <v>42</v>
      </c>
      <c r="C3650">
        <v>27.32</v>
      </c>
      <c r="D3650">
        <v>27.32</v>
      </c>
      <c r="E3650">
        <v>26.8</v>
      </c>
      <c r="F3650">
        <v>26.95</v>
      </c>
      <c r="G3650">
        <v>27</v>
      </c>
      <c r="H3650">
        <v>-0.27500000000000002</v>
      </c>
      <c r="I3650">
        <v>591</v>
      </c>
      <c r="J3650">
        <v>0</v>
      </c>
      <c r="K3650">
        <v>2803</v>
      </c>
      <c r="L3650">
        <v>132</v>
      </c>
      <c r="M3650">
        <v>191</v>
      </c>
      <c r="N3650" t="s">
        <v>42</v>
      </c>
      <c r="O3650" s="3">
        <v>44307</v>
      </c>
      <c r="P3650">
        <v>-1</v>
      </c>
      <c r="S3650" s="3">
        <v>44370</v>
      </c>
      <c r="T3650" t="s">
        <v>33</v>
      </c>
      <c r="U3650">
        <v>145</v>
      </c>
      <c r="V3650">
        <v>23.35</v>
      </c>
    </row>
    <row r="3651" spans="1:22" x14ac:dyDescent="0.35">
      <c r="A3651" s="3">
        <v>44116</v>
      </c>
      <c r="B3651" t="s">
        <v>44</v>
      </c>
      <c r="C3651">
        <v>27.9</v>
      </c>
      <c r="D3651">
        <v>28.05</v>
      </c>
      <c r="E3651">
        <v>27.49</v>
      </c>
      <c r="F3651">
        <v>27.55</v>
      </c>
      <c r="G3651">
        <v>27.574999999999999</v>
      </c>
      <c r="H3651">
        <v>-0.35</v>
      </c>
      <c r="I3651">
        <v>2150</v>
      </c>
      <c r="J3651">
        <v>0</v>
      </c>
      <c r="K3651">
        <v>14221</v>
      </c>
      <c r="L3651">
        <v>87</v>
      </c>
      <c r="M3651">
        <v>128</v>
      </c>
      <c r="N3651" t="s">
        <v>44</v>
      </c>
      <c r="O3651" s="3">
        <v>44244</v>
      </c>
      <c r="P3651">
        <v>-1</v>
      </c>
      <c r="T3651" t="s">
        <v>32</v>
      </c>
      <c r="U3651">
        <v>165</v>
      </c>
      <c r="V3651">
        <v>23.55</v>
      </c>
    </row>
    <row r="3652" spans="1:22" x14ac:dyDescent="0.35">
      <c r="A3652" s="3">
        <v>44116</v>
      </c>
      <c r="B3652" t="s">
        <v>48</v>
      </c>
      <c r="C3652">
        <v>26.85</v>
      </c>
      <c r="D3652">
        <v>27.25</v>
      </c>
      <c r="E3652">
        <v>26.15</v>
      </c>
      <c r="F3652">
        <v>26.2</v>
      </c>
      <c r="G3652">
        <v>26.324999999999999</v>
      </c>
      <c r="H3652">
        <v>-0.55000000000000004</v>
      </c>
      <c r="I3652">
        <v>46414</v>
      </c>
      <c r="J3652">
        <v>1027</v>
      </c>
      <c r="K3652">
        <v>74727</v>
      </c>
      <c r="L3652">
        <v>7</v>
      </c>
      <c r="M3652">
        <v>9</v>
      </c>
      <c r="N3652" t="s">
        <v>48</v>
      </c>
      <c r="O3652" s="3">
        <v>44125</v>
      </c>
      <c r="P3652">
        <v>-1</v>
      </c>
      <c r="T3652" t="s">
        <v>31</v>
      </c>
      <c r="U3652">
        <v>183</v>
      </c>
      <c r="V3652">
        <v>23.7</v>
      </c>
    </row>
    <row r="3653" spans="1:22" x14ac:dyDescent="0.35">
      <c r="A3653" s="3">
        <v>44116</v>
      </c>
      <c r="B3653" t="s">
        <v>45</v>
      </c>
      <c r="C3653">
        <v>27.95</v>
      </c>
      <c r="D3653">
        <v>28.1</v>
      </c>
      <c r="E3653">
        <v>27.47</v>
      </c>
      <c r="F3653">
        <v>27.6</v>
      </c>
      <c r="G3653">
        <v>27.625</v>
      </c>
      <c r="H3653">
        <v>-0.32500000000000001</v>
      </c>
      <c r="I3653">
        <v>3082</v>
      </c>
      <c r="J3653">
        <v>0</v>
      </c>
      <c r="K3653">
        <v>18878</v>
      </c>
      <c r="L3653">
        <v>68</v>
      </c>
      <c r="M3653">
        <v>100</v>
      </c>
      <c r="N3653" t="s">
        <v>45</v>
      </c>
      <c r="O3653" s="3">
        <v>44216</v>
      </c>
      <c r="P3653">
        <v>-1</v>
      </c>
      <c r="T3653" t="s">
        <v>39</v>
      </c>
      <c r="U3653">
        <v>19</v>
      </c>
      <c r="V3653">
        <v>18.441299999999998</v>
      </c>
    </row>
    <row r="3654" spans="1:22" x14ac:dyDescent="0.35">
      <c r="A3654" s="3">
        <v>44116</v>
      </c>
      <c r="B3654" t="s">
        <v>41</v>
      </c>
      <c r="C3654">
        <v>26.5</v>
      </c>
      <c r="D3654">
        <v>26.85</v>
      </c>
      <c r="E3654">
        <v>26.45</v>
      </c>
      <c r="F3654">
        <v>26.65</v>
      </c>
      <c r="G3654">
        <v>26.65</v>
      </c>
      <c r="H3654">
        <v>-0.17499999999999999</v>
      </c>
      <c r="I3654">
        <v>65</v>
      </c>
      <c r="J3654">
        <v>0</v>
      </c>
      <c r="K3654">
        <v>615</v>
      </c>
      <c r="L3654">
        <v>152</v>
      </c>
      <c r="M3654">
        <v>219</v>
      </c>
      <c r="N3654" t="s">
        <v>41</v>
      </c>
      <c r="O3654" s="3">
        <v>44335</v>
      </c>
      <c r="P3654">
        <v>-1</v>
      </c>
      <c r="T3654" t="s">
        <v>38</v>
      </c>
      <c r="U3654">
        <v>39</v>
      </c>
      <c r="V3654">
        <v>20.191800000000001</v>
      </c>
    </row>
    <row r="3655" spans="1:22" x14ac:dyDescent="0.35">
      <c r="A3655" s="3">
        <v>44116</v>
      </c>
      <c r="B3655" t="s">
        <v>47</v>
      </c>
      <c r="C3655">
        <v>29.05</v>
      </c>
      <c r="D3655">
        <v>29.35</v>
      </c>
      <c r="E3655">
        <v>28.38</v>
      </c>
      <c r="F3655">
        <v>28.45</v>
      </c>
      <c r="G3655">
        <v>28.574999999999999</v>
      </c>
      <c r="H3655">
        <v>-0.45</v>
      </c>
      <c r="I3655">
        <v>48624</v>
      </c>
      <c r="J3655">
        <v>2650</v>
      </c>
      <c r="K3655">
        <v>126095</v>
      </c>
      <c r="L3655">
        <v>27</v>
      </c>
      <c r="M3655">
        <v>37</v>
      </c>
      <c r="N3655" t="s">
        <v>47</v>
      </c>
      <c r="O3655" s="3">
        <v>44153</v>
      </c>
      <c r="P3655">
        <v>-1</v>
      </c>
      <c r="T3655" t="s">
        <v>37</v>
      </c>
      <c r="U3655">
        <v>58</v>
      </c>
      <c r="V3655">
        <v>21.268999999999998</v>
      </c>
    </row>
    <row r="3656" spans="1:22" x14ac:dyDescent="0.35">
      <c r="A3656" s="3">
        <v>44113</v>
      </c>
      <c r="B3656" t="s">
        <v>48</v>
      </c>
      <c r="C3656">
        <v>28.05</v>
      </c>
      <c r="D3656">
        <v>28.05</v>
      </c>
      <c r="E3656">
        <v>26.61</v>
      </c>
      <c r="F3656">
        <v>26.8</v>
      </c>
      <c r="G3656">
        <v>26.875</v>
      </c>
      <c r="H3656">
        <v>-1.25</v>
      </c>
      <c r="I3656">
        <v>52025</v>
      </c>
      <c r="J3656">
        <v>124</v>
      </c>
      <c r="K3656">
        <v>82631</v>
      </c>
      <c r="L3656">
        <v>8</v>
      </c>
      <c r="M3656">
        <v>12</v>
      </c>
      <c r="N3656" t="s">
        <v>48</v>
      </c>
      <c r="O3656" s="3">
        <v>44125</v>
      </c>
      <c r="P3656">
        <v>-1</v>
      </c>
      <c r="T3656" t="s">
        <v>36</v>
      </c>
      <c r="U3656">
        <v>83</v>
      </c>
      <c r="V3656">
        <v>21.95</v>
      </c>
    </row>
    <row r="3657" spans="1:22" x14ac:dyDescent="0.35">
      <c r="A3657" s="3">
        <v>44113</v>
      </c>
      <c r="B3657" t="s">
        <v>45</v>
      </c>
      <c r="C3657">
        <v>28.9</v>
      </c>
      <c r="D3657">
        <v>29</v>
      </c>
      <c r="E3657">
        <v>27.72</v>
      </c>
      <c r="F3657">
        <v>27.91</v>
      </c>
      <c r="G3657">
        <v>27.95</v>
      </c>
      <c r="H3657">
        <v>-0.97499999999999998</v>
      </c>
      <c r="I3657">
        <v>7104</v>
      </c>
      <c r="J3657">
        <v>0</v>
      </c>
      <c r="K3657">
        <v>19140</v>
      </c>
      <c r="L3657">
        <v>69</v>
      </c>
      <c r="M3657">
        <v>103</v>
      </c>
      <c r="N3657" t="s">
        <v>45</v>
      </c>
      <c r="O3657" s="3">
        <v>44216</v>
      </c>
      <c r="P3657">
        <v>-1</v>
      </c>
      <c r="T3657" t="s">
        <v>35</v>
      </c>
      <c r="U3657">
        <v>103</v>
      </c>
      <c r="V3657">
        <v>22.2</v>
      </c>
    </row>
    <row r="3658" spans="1:22" x14ac:dyDescent="0.35">
      <c r="A3658" s="3">
        <v>44113</v>
      </c>
      <c r="B3658" t="s">
        <v>41</v>
      </c>
      <c r="C3658">
        <v>27.35</v>
      </c>
      <c r="D3658">
        <v>27.4</v>
      </c>
      <c r="E3658">
        <v>26.75</v>
      </c>
      <c r="F3658">
        <v>26.82</v>
      </c>
      <c r="G3658">
        <v>26.824999999999999</v>
      </c>
      <c r="H3658">
        <v>-0.65</v>
      </c>
      <c r="I3658">
        <v>243</v>
      </c>
      <c r="J3658">
        <v>0</v>
      </c>
      <c r="K3658">
        <v>600</v>
      </c>
      <c r="L3658">
        <v>153</v>
      </c>
      <c r="M3658">
        <v>222</v>
      </c>
      <c r="N3658" t="s">
        <v>41</v>
      </c>
      <c r="O3658" s="3">
        <v>44335</v>
      </c>
      <c r="P3658">
        <v>-1</v>
      </c>
      <c r="T3658" t="s">
        <v>34</v>
      </c>
      <c r="U3658">
        <v>127</v>
      </c>
      <c r="V3658">
        <v>22.25</v>
      </c>
    </row>
    <row r="3659" spans="1:22" x14ac:dyDescent="0.35">
      <c r="A3659" s="3">
        <v>44113</v>
      </c>
      <c r="B3659" t="s">
        <v>47</v>
      </c>
      <c r="C3659">
        <v>30.3</v>
      </c>
      <c r="D3659">
        <v>30.36</v>
      </c>
      <c r="E3659">
        <v>29</v>
      </c>
      <c r="F3659">
        <v>29.05</v>
      </c>
      <c r="G3659">
        <v>29.024999999999999</v>
      </c>
      <c r="H3659">
        <v>-1.4</v>
      </c>
      <c r="I3659">
        <v>53616</v>
      </c>
      <c r="J3659">
        <v>266</v>
      </c>
      <c r="K3659">
        <v>116223</v>
      </c>
      <c r="L3659">
        <v>28</v>
      </c>
      <c r="M3659">
        <v>40</v>
      </c>
      <c r="N3659" t="s">
        <v>47</v>
      </c>
      <c r="O3659" s="3">
        <v>44153</v>
      </c>
      <c r="P3659">
        <v>-1</v>
      </c>
      <c r="S3659" s="3">
        <v>44371</v>
      </c>
      <c r="T3659" t="s">
        <v>33</v>
      </c>
      <c r="U3659">
        <v>144</v>
      </c>
      <c r="V3659">
        <v>23.2087</v>
      </c>
    </row>
    <row r="3660" spans="1:22" x14ac:dyDescent="0.35">
      <c r="A3660" s="3">
        <v>44113</v>
      </c>
      <c r="B3660" t="s">
        <v>43</v>
      </c>
      <c r="C3660">
        <v>28.3</v>
      </c>
      <c r="D3660">
        <v>28.37</v>
      </c>
      <c r="E3660">
        <v>27.4</v>
      </c>
      <c r="F3660">
        <v>27.58</v>
      </c>
      <c r="G3660">
        <v>27.625</v>
      </c>
      <c r="H3660">
        <v>-0.7</v>
      </c>
      <c r="I3660">
        <v>3265</v>
      </c>
      <c r="J3660">
        <v>0</v>
      </c>
      <c r="K3660">
        <v>10024</v>
      </c>
      <c r="L3660">
        <v>108</v>
      </c>
      <c r="M3660">
        <v>159</v>
      </c>
      <c r="N3660" t="s">
        <v>43</v>
      </c>
      <c r="O3660" s="3">
        <v>44272</v>
      </c>
      <c r="P3660">
        <v>-1</v>
      </c>
      <c r="T3660" t="s">
        <v>32</v>
      </c>
      <c r="U3660">
        <v>164</v>
      </c>
      <c r="V3660">
        <v>23.425000000000001</v>
      </c>
    </row>
    <row r="3661" spans="1:22" x14ac:dyDescent="0.35">
      <c r="A3661" s="3">
        <v>44113</v>
      </c>
      <c r="B3661" t="s">
        <v>46</v>
      </c>
      <c r="C3661">
        <v>29.15</v>
      </c>
      <c r="D3661">
        <v>29.35</v>
      </c>
      <c r="E3661">
        <v>27.95</v>
      </c>
      <c r="F3661">
        <v>27.95</v>
      </c>
      <c r="G3661">
        <v>28.024999999999999</v>
      </c>
      <c r="H3661">
        <v>-1.25</v>
      </c>
      <c r="I3661">
        <v>12246</v>
      </c>
      <c r="J3661">
        <v>0</v>
      </c>
      <c r="K3661">
        <v>34306</v>
      </c>
      <c r="L3661">
        <v>47</v>
      </c>
      <c r="M3661">
        <v>68</v>
      </c>
      <c r="N3661" t="s">
        <v>46</v>
      </c>
      <c r="O3661" s="3">
        <v>44181</v>
      </c>
      <c r="P3661">
        <v>-1</v>
      </c>
      <c r="T3661" t="s">
        <v>31</v>
      </c>
      <c r="U3661">
        <v>182</v>
      </c>
      <c r="V3661">
        <v>23.475000000000001</v>
      </c>
    </row>
    <row r="3662" spans="1:22" x14ac:dyDescent="0.35">
      <c r="A3662" s="3">
        <v>44113</v>
      </c>
      <c r="B3662" t="s">
        <v>42</v>
      </c>
      <c r="C3662">
        <v>27.85</v>
      </c>
      <c r="D3662">
        <v>27.89</v>
      </c>
      <c r="E3662">
        <v>27.1</v>
      </c>
      <c r="F3662">
        <v>27.25</v>
      </c>
      <c r="G3662">
        <v>27.274999999999999</v>
      </c>
      <c r="H3662">
        <v>-0.6</v>
      </c>
      <c r="I3662">
        <v>1151</v>
      </c>
      <c r="J3662">
        <v>0</v>
      </c>
      <c r="K3662">
        <v>2784</v>
      </c>
      <c r="L3662">
        <v>133</v>
      </c>
      <c r="M3662">
        <v>194</v>
      </c>
      <c r="N3662" t="s">
        <v>42</v>
      </c>
      <c r="O3662" s="3">
        <v>44307</v>
      </c>
      <c r="P3662">
        <v>-1</v>
      </c>
      <c r="T3662" t="s">
        <v>39</v>
      </c>
      <c r="U3662">
        <v>18</v>
      </c>
      <c r="V3662">
        <v>18.167000000000002</v>
      </c>
    </row>
    <row r="3663" spans="1:22" x14ac:dyDescent="0.35">
      <c r="A3663" s="3">
        <v>44113</v>
      </c>
      <c r="B3663" t="s">
        <v>44</v>
      </c>
      <c r="C3663">
        <v>28.7</v>
      </c>
      <c r="D3663">
        <v>28.8</v>
      </c>
      <c r="E3663">
        <v>27.7</v>
      </c>
      <c r="F3663">
        <v>27.87</v>
      </c>
      <c r="G3663">
        <v>27.925000000000001</v>
      </c>
      <c r="H3663">
        <v>-0.8</v>
      </c>
      <c r="I3663">
        <v>4357</v>
      </c>
      <c r="J3663">
        <v>0</v>
      </c>
      <c r="K3663">
        <v>14151</v>
      </c>
      <c r="L3663">
        <v>88</v>
      </c>
      <c r="M3663">
        <v>131</v>
      </c>
      <c r="N3663" t="s">
        <v>44</v>
      </c>
      <c r="O3663" s="3">
        <v>44244</v>
      </c>
      <c r="P3663">
        <v>-1</v>
      </c>
      <c r="T3663" t="s">
        <v>38</v>
      </c>
      <c r="U3663">
        <v>38</v>
      </c>
      <c r="V3663">
        <v>19.853000000000002</v>
      </c>
    </row>
    <row r="3664" spans="1:22" x14ac:dyDescent="0.35">
      <c r="A3664" s="3">
        <v>44112</v>
      </c>
      <c r="B3664" t="s">
        <v>43</v>
      </c>
      <c r="C3664">
        <v>28.84</v>
      </c>
      <c r="D3664">
        <v>28.84</v>
      </c>
      <c r="E3664">
        <v>28.3</v>
      </c>
      <c r="F3664">
        <v>28.35</v>
      </c>
      <c r="G3664">
        <v>28.324999999999999</v>
      </c>
      <c r="H3664">
        <v>-0.5</v>
      </c>
      <c r="I3664">
        <v>2058</v>
      </c>
      <c r="J3664">
        <v>0</v>
      </c>
      <c r="K3664">
        <v>10198</v>
      </c>
      <c r="L3664">
        <v>109</v>
      </c>
      <c r="M3664">
        <v>160</v>
      </c>
      <c r="N3664" t="s">
        <v>43</v>
      </c>
      <c r="O3664" s="3">
        <v>44272</v>
      </c>
      <c r="P3664">
        <v>-1</v>
      </c>
      <c r="T3664" t="s">
        <v>37</v>
      </c>
      <c r="U3664">
        <v>57</v>
      </c>
      <c r="V3664">
        <v>20.95</v>
      </c>
    </row>
    <row r="3665" spans="1:22" x14ac:dyDescent="0.35">
      <c r="A3665" s="3">
        <v>44112</v>
      </c>
      <c r="B3665" t="s">
        <v>46</v>
      </c>
      <c r="C3665">
        <v>30.24</v>
      </c>
      <c r="D3665">
        <v>30.25</v>
      </c>
      <c r="E3665">
        <v>29.15</v>
      </c>
      <c r="F3665">
        <v>29.21</v>
      </c>
      <c r="G3665">
        <v>29.274999999999999</v>
      </c>
      <c r="H3665">
        <v>-0.95</v>
      </c>
      <c r="I3665">
        <v>6756</v>
      </c>
      <c r="J3665">
        <v>0</v>
      </c>
      <c r="K3665">
        <v>33826</v>
      </c>
      <c r="L3665">
        <v>48</v>
      </c>
      <c r="M3665">
        <v>69</v>
      </c>
      <c r="N3665" t="s">
        <v>46</v>
      </c>
      <c r="O3665" s="3">
        <v>44181</v>
      </c>
      <c r="P3665">
        <v>-1</v>
      </c>
      <c r="T3665" t="s">
        <v>36</v>
      </c>
      <c r="U3665">
        <v>82</v>
      </c>
      <c r="V3665">
        <v>21.7</v>
      </c>
    </row>
    <row r="3666" spans="1:22" x14ac:dyDescent="0.35">
      <c r="A3666" s="3">
        <v>44112</v>
      </c>
      <c r="B3666" t="s">
        <v>42</v>
      </c>
      <c r="C3666">
        <v>28.31</v>
      </c>
      <c r="D3666">
        <v>28.31</v>
      </c>
      <c r="E3666">
        <v>27.82</v>
      </c>
      <c r="F3666">
        <v>27.89</v>
      </c>
      <c r="G3666">
        <v>27.875</v>
      </c>
      <c r="H3666">
        <v>-0.42499999999999999</v>
      </c>
      <c r="I3666">
        <v>722</v>
      </c>
      <c r="J3666">
        <v>0</v>
      </c>
      <c r="K3666">
        <v>2629</v>
      </c>
      <c r="L3666">
        <v>134</v>
      </c>
      <c r="M3666">
        <v>195</v>
      </c>
      <c r="N3666" t="s">
        <v>42</v>
      </c>
      <c r="O3666" s="3">
        <v>44307</v>
      </c>
      <c r="P3666">
        <v>-1</v>
      </c>
      <c r="T3666" t="s">
        <v>35</v>
      </c>
      <c r="U3666">
        <v>102</v>
      </c>
      <c r="V3666">
        <v>21.95</v>
      </c>
    </row>
    <row r="3667" spans="1:22" x14ac:dyDescent="0.35">
      <c r="A3667" s="3">
        <v>44112</v>
      </c>
      <c r="B3667" t="s">
        <v>44</v>
      </c>
      <c r="C3667">
        <v>29.25</v>
      </c>
      <c r="D3667">
        <v>29.27</v>
      </c>
      <c r="E3667">
        <v>28.65</v>
      </c>
      <c r="F3667">
        <v>28.77</v>
      </c>
      <c r="G3667">
        <v>28.725000000000001</v>
      </c>
      <c r="H3667">
        <v>-0.5</v>
      </c>
      <c r="I3667">
        <v>2758</v>
      </c>
      <c r="J3667">
        <v>0</v>
      </c>
      <c r="K3667">
        <v>13232</v>
      </c>
      <c r="L3667">
        <v>89</v>
      </c>
      <c r="M3667">
        <v>132</v>
      </c>
      <c r="N3667" t="s">
        <v>44</v>
      </c>
      <c r="O3667" s="3">
        <v>44244</v>
      </c>
      <c r="P3667">
        <v>-1</v>
      </c>
      <c r="T3667" t="s">
        <v>34</v>
      </c>
      <c r="U3667">
        <v>126</v>
      </c>
      <c r="V3667">
        <v>22.08</v>
      </c>
    </row>
    <row r="3668" spans="1:22" x14ac:dyDescent="0.35">
      <c r="A3668" s="3">
        <v>44112</v>
      </c>
      <c r="B3668" t="s">
        <v>48</v>
      </c>
      <c r="C3668">
        <v>30</v>
      </c>
      <c r="D3668">
        <v>30.15</v>
      </c>
      <c r="E3668">
        <v>27.95</v>
      </c>
      <c r="F3668">
        <v>28</v>
      </c>
      <c r="G3668">
        <v>28.125</v>
      </c>
      <c r="H3668">
        <v>-1.9</v>
      </c>
      <c r="I3668">
        <v>48819</v>
      </c>
      <c r="J3668">
        <v>623</v>
      </c>
      <c r="K3668">
        <v>88752</v>
      </c>
      <c r="L3668">
        <v>9</v>
      </c>
      <c r="M3668">
        <v>13</v>
      </c>
      <c r="N3668" t="s">
        <v>48</v>
      </c>
      <c r="O3668" s="3">
        <v>44125</v>
      </c>
      <c r="P3668">
        <v>-1</v>
      </c>
      <c r="S3668" s="3">
        <v>44372</v>
      </c>
      <c r="T3668" t="s">
        <v>33</v>
      </c>
      <c r="U3668">
        <v>143</v>
      </c>
      <c r="V3668">
        <v>23.155000000000001</v>
      </c>
    </row>
    <row r="3669" spans="1:22" x14ac:dyDescent="0.35">
      <c r="A3669" s="3">
        <v>44112</v>
      </c>
      <c r="B3669" t="s">
        <v>45</v>
      </c>
      <c r="C3669">
        <v>29.75</v>
      </c>
      <c r="D3669">
        <v>29.75</v>
      </c>
      <c r="E3669">
        <v>28.89</v>
      </c>
      <c r="F3669">
        <v>28.99</v>
      </c>
      <c r="G3669">
        <v>28.925000000000001</v>
      </c>
      <c r="H3669">
        <v>-0.8</v>
      </c>
      <c r="I3669">
        <v>3356</v>
      </c>
      <c r="J3669">
        <v>0</v>
      </c>
      <c r="K3669">
        <v>18011</v>
      </c>
      <c r="L3669">
        <v>70</v>
      </c>
      <c r="M3669">
        <v>104</v>
      </c>
      <c r="N3669" t="s">
        <v>45</v>
      </c>
      <c r="O3669" s="3">
        <v>44216</v>
      </c>
      <c r="P3669">
        <v>-1</v>
      </c>
      <c r="T3669" t="s">
        <v>32</v>
      </c>
      <c r="U3669">
        <v>163</v>
      </c>
      <c r="V3669">
        <v>23.45</v>
      </c>
    </row>
    <row r="3670" spans="1:22" x14ac:dyDescent="0.35">
      <c r="A3670" s="3">
        <v>44112</v>
      </c>
      <c r="B3670" t="s">
        <v>41</v>
      </c>
      <c r="C3670">
        <v>27.65</v>
      </c>
      <c r="D3670">
        <v>27.81</v>
      </c>
      <c r="E3670">
        <v>27.45</v>
      </c>
      <c r="F3670">
        <v>27.5</v>
      </c>
      <c r="G3670">
        <v>27.475000000000001</v>
      </c>
      <c r="H3670">
        <v>-0.375</v>
      </c>
      <c r="I3670">
        <v>79</v>
      </c>
      <c r="J3670">
        <v>0</v>
      </c>
      <c r="K3670">
        <v>502</v>
      </c>
      <c r="L3670">
        <v>154</v>
      </c>
      <c r="M3670">
        <v>223</v>
      </c>
      <c r="N3670" t="s">
        <v>41</v>
      </c>
      <c r="O3670" s="3">
        <v>44335</v>
      </c>
      <c r="P3670">
        <v>-1</v>
      </c>
      <c r="T3670" t="s">
        <v>31</v>
      </c>
      <c r="U3670">
        <v>181</v>
      </c>
      <c r="V3670">
        <v>23.5</v>
      </c>
    </row>
    <row r="3671" spans="1:22" x14ac:dyDescent="0.35">
      <c r="A3671" s="3">
        <v>44112</v>
      </c>
      <c r="B3671" t="s">
        <v>47</v>
      </c>
      <c r="C3671">
        <v>31.67</v>
      </c>
      <c r="D3671">
        <v>31.8</v>
      </c>
      <c r="E3671">
        <v>30.2</v>
      </c>
      <c r="F3671">
        <v>30.27</v>
      </c>
      <c r="G3671">
        <v>30.425000000000001</v>
      </c>
      <c r="H3671">
        <v>-1.3</v>
      </c>
      <c r="I3671">
        <v>47078</v>
      </c>
      <c r="J3671">
        <v>1110</v>
      </c>
      <c r="K3671">
        <v>110451</v>
      </c>
      <c r="L3671">
        <v>29</v>
      </c>
      <c r="M3671">
        <v>41</v>
      </c>
      <c r="N3671" t="s">
        <v>47</v>
      </c>
      <c r="O3671" s="3">
        <v>44153</v>
      </c>
      <c r="P3671">
        <v>-1</v>
      </c>
      <c r="T3671" t="s">
        <v>39</v>
      </c>
      <c r="U3671">
        <v>17</v>
      </c>
      <c r="V3671">
        <v>17.701699999999999</v>
      </c>
    </row>
    <row r="3672" spans="1:22" x14ac:dyDescent="0.35">
      <c r="A3672" s="3">
        <v>44111</v>
      </c>
      <c r="B3672" t="s">
        <v>48</v>
      </c>
      <c r="C3672">
        <v>31.55</v>
      </c>
      <c r="D3672">
        <v>31.62</v>
      </c>
      <c r="E3672">
        <v>29.68</v>
      </c>
      <c r="F3672">
        <v>30</v>
      </c>
      <c r="G3672">
        <v>30.024999999999999</v>
      </c>
      <c r="H3672">
        <v>-1.2</v>
      </c>
      <c r="I3672">
        <v>42387</v>
      </c>
      <c r="J3672">
        <v>0</v>
      </c>
      <c r="K3672">
        <v>88534</v>
      </c>
      <c r="L3672">
        <v>10</v>
      </c>
      <c r="M3672">
        <v>14</v>
      </c>
      <c r="N3672" t="s">
        <v>48</v>
      </c>
      <c r="O3672" s="3">
        <v>44125</v>
      </c>
      <c r="P3672">
        <v>-1</v>
      </c>
      <c r="T3672" t="s">
        <v>38</v>
      </c>
      <c r="U3672">
        <v>37</v>
      </c>
      <c r="V3672">
        <v>19.6252</v>
      </c>
    </row>
    <row r="3673" spans="1:22" x14ac:dyDescent="0.35">
      <c r="A3673" s="3">
        <v>44111</v>
      </c>
      <c r="B3673" t="s">
        <v>45</v>
      </c>
      <c r="C3673">
        <v>30.19</v>
      </c>
      <c r="D3673">
        <v>30.19</v>
      </c>
      <c r="E3673">
        <v>29.42</v>
      </c>
      <c r="F3673">
        <v>29.75</v>
      </c>
      <c r="G3673">
        <v>29.725000000000001</v>
      </c>
      <c r="H3673">
        <v>-0.25</v>
      </c>
      <c r="I3673">
        <v>3446</v>
      </c>
      <c r="J3673">
        <v>0</v>
      </c>
      <c r="K3673">
        <v>17914</v>
      </c>
      <c r="L3673">
        <v>71</v>
      </c>
      <c r="M3673">
        <v>105</v>
      </c>
      <c r="N3673" t="s">
        <v>45</v>
      </c>
      <c r="O3673" s="3">
        <v>44216</v>
      </c>
      <c r="P3673">
        <v>-1</v>
      </c>
      <c r="T3673" t="s">
        <v>37</v>
      </c>
      <c r="U3673">
        <v>56</v>
      </c>
      <c r="V3673">
        <v>20.849799999999998</v>
      </c>
    </row>
    <row r="3674" spans="1:22" x14ac:dyDescent="0.35">
      <c r="A3674" s="3">
        <v>44111</v>
      </c>
      <c r="B3674" t="s">
        <v>41</v>
      </c>
      <c r="C3674">
        <v>27.75</v>
      </c>
      <c r="D3674">
        <v>27.95</v>
      </c>
      <c r="E3674">
        <v>27.64</v>
      </c>
      <c r="F3674">
        <v>27.75</v>
      </c>
      <c r="G3674">
        <v>27.85</v>
      </c>
      <c r="H3674">
        <v>-0.15</v>
      </c>
      <c r="I3674">
        <v>21</v>
      </c>
      <c r="J3674">
        <v>0</v>
      </c>
      <c r="K3674">
        <v>477</v>
      </c>
      <c r="L3674">
        <v>155</v>
      </c>
      <c r="M3674">
        <v>224</v>
      </c>
      <c r="N3674" t="s">
        <v>41</v>
      </c>
      <c r="O3674" s="3">
        <v>44335</v>
      </c>
      <c r="P3674">
        <v>-1</v>
      </c>
      <c r="T3674" t="s">
        <v>36</v>
      </c>
      <c r="U3674">
        <v>81</v>
      </c>
      <c r="V3674">
        <v>21.727599999999999</v>
      </c>
    </row>
    <row r="3675" spans="1:22" x14ac:dyDescent="0.35">
      <c r="A3675" s="3">
        <v>44111</v>
      </c>
      <c r="B3675" t="s">
        <v>47</v>
      </c>
      <c r="C3675">
        <v>32.47</v>
      </c>
      <c r="D3675">
        <v>32.520000000000003</v>
      </c>
      <c r="E3675">
        <v>31.37</v>
      </c>
      <c r="F3675">
        <v>31.7</v>
      </c>
      <c r="G3675">
        <v>31.725000000000001</v>
      </c>
      <c r="H3675">
        <v>-0.5</v>
      </c>
      <c r="I3675">
        <v>35069</v>
      </c>
      <c r="J3675">
        <v>0</v>
      </c>
      <c r="K3675">
        <v>102738</v>
      </c>
      <c r="L3675">
        <v>30</v>
      </c>
      <c r="M3675">
        <v>42</v>
      </c>
      <c r="N3675" t="s">
        <v>47</v>
      </c>
      <c r="O3675" s="3">
        <v>44153</v>
      </c>
      <c r="P3675">
        <v>-1</v>
      </c>
      <c r="T3675" t="s">
        <v>35</v>
      </c>
      <c r="U3675">
        <v>101</v>
      </c>
      <c r="V3675">
        <v>22</v>
      </c>
    </row>
    <row r="3676" spans="1:22" x14ac:dyDescent="0.35">
      <c r="A3676" s="3">
        <v>44111</v>
      </c>
      <c r="B3676" t="s">
        <v>43</v>
      </c>
      <c r="C3676">
        <v>29.1</v>
      </c>
      <c r="D3676">
        <v>29.2</v>
      </c>
      <c r="E3676">
        <v>28.47</v>
      </c>
      <c r="F3676">
        <v>28.85</v>
      </c>
      <c r="G3676">
        <v>28.824999999999999</v>
      </c>
      <c r="H3676">
        <v>-0.2</v>
      </c>
      <c r="I3676">
        <v>1256</v>
      </c>
      <c r="J3676">
        <v>0</v>
      </c>
      <c r="K3676">
        <v>10161</v>
      </c>
      <c r="L3676">
        <v>110</v>
      </c>
      <c r="M3676">
        <v>161</v>
      </c>
      <c r="N3676" t="s">
        <v>43</v>
      </c>
      <c r="O3676" s="3">
        <v>44272</v>
      </c>
      <c r="P3676">
        <v>-1</v>
      </c>
      <c r="T3676" t="s">
        <v>34</v>
      </c>
      <c r="U3676">
        <v>125</v>
      </c>
      <c r="V3676">
        <v>22.066800000000001</v>
      </c>
    </row>
    <row r="3677" spans="1:22" x14ac:dyDescent="0.35">
      <c r="A3677" s="3">
        <v>44111</v>
      </c>
      <c r="B3677" t="s">
        <v>46</v>
      </c>
      <c r="C3677">
        <v>30.95</v>
      </c>
      <c r="D3677">
        <v>31.1</v>
      </c>
      <c r="E3677">
        <v>29.98</v>
      </c>
      <c r="F3677">
        <v>30.3</v>
      </c>
      <c r="G3677">
        <v>30.225000000000001</v>
      </c>
      <c r="H3677">
        <v>-0.6</v>
      </c>
      <c r="I3677">
        <v>8493</v>
      </c>
      <c r="J3677">
        <v>0</v>
      </c>
      <c r="K3677">
        <v>33767</v>
      </c>
      <c r="L3677">
        <v>49</v>
      </c>
      <c r="M3677">
        <v>70</v>
      </c>
      <c r="N3677" t="s">
        <v>46</v>
      </c>
      <c r="O3677" s="3">
        <v>44181</v>
      </c>
      <c r="P3677">
        <v>-1</v>
      </c>
      <c r="S3677" s="3">
        <v>44375</v>
      </c>
      <c r="T3677" t="s">
        <v>33</v>
      </c>
      <c r="U3677">
        <v>142</v>
      </c>
      <c r="V3677">
        <v>23.074999999999999</v>
      </c>
    </row>
    <row r="3678" spans="1:22" x14ac:dyDescent="0.35">
      <c r="A3678" s="3">
        <v>44111</v>
      </c>
      <c r="B3678" t="s">
        <v>42</v>
      </c>
      <c r="C3678">
        <v>28.47</v>
      </c>
      <c r="D3678">
        <v>28.47</v>
      </c>
      <c r="E3678">
        <v>27.95</v>
      </c>
      <c r="F3678">
        <v>28.35</v>
      </c>
      <c r="G3678">
        <v>28.3</v>
      </c>
      <c r="H3678">
        <v>-0.125</v>
      </c>
      <c r="I3678">
        <v>729</v>
      </c>
      <c r="J3678">
        <v>0</v>
      </c>
      <c r="K3678">
        <v>2486</v>
      </c>
      <c r="L3678">
        <v>135</v>
      </c>
      <c r="M3678">
        <v>196</v>
      </c>
      <c r="N3678" t="s">
        <v>42</v>
      </c>
      <c r="O3678" s="3">
        <v>44307</v>
      </c>
      <c r="P3678">
        <v>-1</v>
      </c>
      <c r="T3678" t="s">
        <v>32</v>
      </c>
      <c r="U3678">
        <v>162</v>
      </c>
      <c r="V3678">
        <v>23.35</v>
      </c>
    </row>
    <row r="3679" spans="1:22" x14ac:dyDescent="0.35">
      <c r="A3679" s="3">
        <v>44111</v>
      </c>
      <c r="B3679" t="s">
        <v>44</v>
      </c>
      <c r="C3679">
        <v>29.57</v>
      </c>
      <c r="D3679">
        <v>29.57</v>
      </c>
      <c r="E3679">
        <v>28.9</v>
      </c>
      <c r="F3679">
        <v>29.3</v>
      </c>
      <c r="G3679">
        <v>29.225000000000001</v>
      </c>
      <c r="H3679">
        <v>-0.22500000000000001</v>
      </c>
      <c r="I3679">
        <v>1928</v>
      </c>
      <c r="J3679">
        <v>0</v>
      </c>
      <c r="K3679">
        <v>12964</v>
      </c>
      <c r="L3679">
        <v>90</v>
      </c>
      <c r="M3679">
        <v>133</v>
      </c>
      <c r="N3679" t="s">
        <v>44</v>
      </c>
      <c r="O3679" s="3">
        <v>44244</v>
      </c>
      <c r="P3679">
        <v>-1</v>
      </c>
      <c r="T3679" t="s">
        <v>31</v>
      </c>
      <c r="U3679">
        <v>180</v>
      </c>
      <c r="V3679">
        <v>23.4</v>
      </c>
    </row>
    <row r="3680" spans="1:22" x14ac:dyDescent="0.35">
      <c r="A3680" s="3">
        <v>44111</v>
      </c>
      <c r="B3680" t="s">
        <v>40</v>
      </c>
      <c r="C3680">
        <v>28.6</v>
      </c>
      <c r="D3680">
        <v>28.6</v>
      </c>
      <c r="E3680">
        <v>28.2</v>
      </c>
      <c r="F3680">
        <v>28.6</v>
      </c>
      <c r="G3680">
        <v>26.375</v>
      </c>
      <c r="H3680">
        <v>0.35</v>
      </c>
      <c r="I3680">
        <v>1</v>
      </c>
      <c r="J3680">
        <v>0</v>
      </c>
      <c r="K3680">
        <v>7</v>
      </c>
      <c r="L3680">
        <v>174</v>
      </c>
      <c r="M3680">
        <v>252</v>
      </c>
      <c r="N3680" t="s">
        <v>40</v>
      </c>
      <c r="O3680" s="3">
        <v>44363</v>
      </c>
      <c r="P3680">
        <v>-1</v>
      </c>
      <c r="T3680" t="s">
        <v>39</v>
      </c>
      <c r="U3680">
        <v>16</v>
      </c>
      <c r="V3680">
        <v>17.721299999999999</v>
      </c>
    </row>
    <row r="3681" spans="1:22" x14ac:dyDescent="0.35">
      <c r="A3681" s="3">
        <v>44110</v>
      </c>
      <c r="B3681" t="s">
        <v>43</v>
      </c>
      <c r="C3681">
        <v>28.9</v>
      </c>
      <c r="D3681">
        <v>29.26</v>
      </c>
      <c r="E3681">
        <v>28.53</v>
      </c>
      <c r="F3681">
        <v>29.15</v>
      </c>
      <c r="G3681">
        <v>29.024999999999999</v>
      </c>
      <c r="H3681">
        <v>0.1</v>
      </c>
      <c r="I3681">
        <v>1834</v>
      </c>
      <c r="J3681">
        <v>0</v>
      </c>
      <c r="K3681">
        <v>9961</v>
      </c>
      <c r="L3681">
        <v>111</v>
      </c>
      <c r="M3681">
        <v>162</v>
      </c>
      <c r="N3681" t="s">
        <v>43</v>
      </c>
      <c r="O3681" s="3">
        <v>44272</v>
      </c>
      <c r="P3681">
        <v>-1</v>
      </c>
      <c r="T3681" t="s">
        <v>38</v>
      </c>
      <c r="U3681">
        <v>36</v>
      </c>
      <c r="V3681">
        <v>19.515999999999998</v>
      </c>
    </row>
    <row r="3682" spans="1:22" x14ac:dyDescent="0.35">
      <c r="A3682" s="3">
        <v>44110</v>
      </c>
      <c r="B3682" t="s">
        <v>46</v>
      </c>
      <c r="C3682">
        <v>30.77</v>
      </c>
      <c r="D3682">
        <v>31.11</v>
      </c>
      <c r="E3682">
        <v>30</v>
      </c>
      <c r="F3682">
        <v>31.1</v>
      </c>
      <c r="G3682">
        <v>30.824999999999999</v>
      </c>
      <c r="H3682">
        <v>0.05</v>
      </c>
      <c r="I3682">
        <v>10538</v>
      </c>
      <c r="J3682">
        <v>0</v>
      </c>
      <c r="K3682">
        <v>33111</v>
      </c>
      <c r="L3682">
        <v>50</v>
      </c>
      <c r="M3682">
        <v>71</v>
      </c>
      <c r="N3682" t="s">
        <v>46</v>
      </c>
      <c r="O3682" s="3">
        <v>44181</v>
      </c>
      <c r="P3682">
        <v>-1</v>
      </c>
      <c r="T3682" t="s">
        <v>37</v>
      </c>
      <c r="U3682">
        <v>55</v>
      </c>
      <c r="V3682">
        <v>20.75</v>
      </c>
    </row>
    <row r="3683" spans="1:22" x14ac:dyDescent="0.35">
      <c r="A3683" s="3">
        <v>44110</v>
      </c>
      <c r="B3683" t="s">
        <v>42</v>
      </c>
      <c r="C3683">
        <v>28.35</v>
      </c>
      <c r="D3683">
        <v>28.75</v>
      </c>
      <c r="E3683">
        <v>28.05</v>
      </c>
      <c r="F3683">
        <v>28.55</v>
      </c>
      <c r="G3683">
        <v>28.425000000000001</v>
      </c>
      <c r="H3683">
        <v>0.05</v>
      </c>
      <c r="I3683">
        <v>827</v>
      </c>
      <c r="J3683">
        <v>0</v>
      </c>
      <c r="K3683">
        <v>2350</v>
      </c>
      <c r="L3683">
        <v>136</v>
      </c>
      <c r="M3683">
        <v>197</v>
      </c>
      <c r="N3683" t="s">
        <v>42</v>
      </c>
      <c r="O3683" s="3">
        <v>44307</v>
      </c>
      <c r="P3683">
        <v>-1</v>
      </c>
      <c r="T3683" t="s">
        <v>36</v>
      </c>
      <c r="U3683">
        <v>80</v>
      </c>
      <c r="V3683">
        <v>21.599</v>
      </c>
    </row>
    <row r="3684" spans="1:22" x14ac:dyDescent="0.35">
      <c r="A3684" s="3">
        <v>44110</v>
      </c>
      <c r="B3684" t="s">
        <v>44</v>
      </c>
      <c r="C3684">
        <v>29.3</v>
      </c>
      <c r="D3684">
        <v>29.72</v>
      </c>
      <c r="E3684">
        <v>28.9</v>
      </c>
      <c r="F3684">
        <v>29.62</v>
      </c>
      <c r="G3684">
        <v>29.45</v>
      </c>
      <c r="H3684">
        <v>7.4999999999999997E-2</v>
      </c>
      <c r="I3684">
        <v>3155</v>
      </c>
      <c r="J3684">
        <v>0</v>
      </c>
      <c r="K3684">
        <v>12977</v>
      </c>
      <c r="L3684">
        <v>91</v>
      </c>
      <c r="M3684">
        <v>134</v>
      </c>
      <c r="N3684" t="s">
        <v>44</v>
      </c>
      <c r="O3684" s="3">
        <v>44244</v>
      </c>
      <c r="P3684">
        <v>-1</v>
      </c>
      <c r="T3684" t="s">
        <v>35</v>
      </c>
      <c r="U3684">
        <v>100</v>
      </c>
      <c r="V3684">
        <v>21.9496</v>
      </c>
    </row>
    <row r="3685" spans="1:22" x14ac:dyDescent="0.35">
      <c r="A3685" s="3">
        <v>44110</v>
      </c>
      <c r="B3685" t="s">
        <v>48</v>
      </c>
      <c r="C3685">
        <v>30.85</v>
      </c>
      <c r="D3685">
        <v>31.7</v>
      </c>
      <c r="E3685">
        <v>29.8</v>
      </c>
      <c r="F3685">
        <v>31.55</v>
      </c>
      <c r="G3685">
        <v>31.225000000000001</v>
      </c>
      <c r="H3685">
        <v>0.4</v>
      </c>
      <c r="I3685">
        <v>58960</v>
      </c>
      <c r="J3685">
        <v>0</v>
      </c>
      <c r="K3685">
        <v>92816</v>
      </c>
      <c r="L3685">
        <v>11</v>
      </c>
      <c r="M3685">
        <v>15</v>
      </c>
      <c r="N3685" t="s">
        <v>48</v>
      </c>
      <c r="O3685" s="3">
        <v>44125</v>
      </c>
      <c r="P3685">
        <v>-1</v>
      </c>
      <c r="T3685" t="s">
        <v>34</v>
      </c>
      <c r="U3685">
        <v>124</v>
      </c>
      <c r="V3685">
        <v>22.0184</v>
      </c>
    </row>
    <row r="3686" spans="1:22" x14ac:dyDescent="0.35">
      <c r="A3686" s="3">
        <v>44110</v>
      </c>
      <c r="B3686" t="s">
        <v>45</v>
      </c>
      <c r="C3686">
        <v>29.8</v>
      </c>
      <c r="D3686">
        <v>30.22</v>
      </c>
      <c r="E3686">
        <v>29.35</v>
      </c>
      <c r="F3686">
        <v>30.2</v>
      </c>
      <c r="G3686">
        <v>29.975000000000001</v>
      </c>
      <c r="H3686">
        <v>0.125</v>
      </c>
      <c r="I3686">
        <v>4088</v>
      </c>
      <c r="J3686">
        <v>0</v>
      </c>
      <c r="K3686">
        <v>17790</v>
      </c>
      <c r="L3686">
        <v>72</v>
      </c>
      <c r="M3686">
        <v>106</v>
      </c>
      <c r="N3686" t="s">
        <v>45</v>
      </c>
      <c r="O3686" s="3">
        <v>44216</v>
      </c>
      <c r="P3686">
        <v>-1</v>
      </c>
      <c r="S3686" s="3">
        <v>44376</v>
      </c>
      <c r="T3686" t="s">
        <v>33</v>
      </c>
      <c r="U3686">
        <v>141</v>
      </c>
      <c r="V3686">
        <v>23.307500000000001</v>
      </c>
    </row>
    <row r="3687" spans="1:22" x14ac:dyDescent="0.35">
      <c r="A3687" s="3">
        <v>44110</v>
      </c>
      <c r="B3687" t="s">
        <v>41</v>
      </c>
      <c r="C3687">
        <v>27.77</v>
      </c>
      <c r="D3687">
        <v>28.2</v>
      </c>
      <c r="E3687">
        <v>27.7</v>
      </c>
      <c r="F3687">
        <v>27.95</v>
      </c>
      <c r="G3687">
        <v>28</v>
      </c>
      <c r="H3687">
        <v>0.05</v>
      </c>
      <c r="I3687">
        <v>7</v>
      </c>
      <c r="J3687">
        <v>0</v>
      </c>
      <c r="K3687">
        <v>470</v>
      </c>
      <c r="L3687">
        <v>156</v>
      </c>
      <c r="M3687">
        <v>225</v>
      </c>
      <c r="N3687" t="s">
        <v>41</v>
      </c>
      <c r="O3687" s="3">
        <v>44335</v>
      </c>
      <c r="P3687">
        <v>-1</v>
      </c>
      <c r="T3687" t="s">
        <v>32</v>
      </c>
      <c r="U3687">
        <v>161</v>
      </c>
      <c r="V3687">
        <v>23.6</v>
      </c>
    </row>
    <row r="3688" spans="1:22" x14ac:dyDescent="0.35">
      <c r="A3688" s="3">
        <v>44110</v>
      </c>
      <c r="B3688" t="s">
        <v>47</v>
      </c>
      <c r="C3688">
        <v>32.200000000000003</v>
      </c>
      <c r="D3688">
        <v>32.71</v>
      </c>
      <c r="E3688">
        <v>31.35</v>
      </c>
      <c r="F3688">
        <v>32.549999999999997</v>
      </c>
      <c r="G3688">
        <v>32.225000000000001</v>
      </c>
      <c r="H3688">
        <v>0</v>
      </c>
      <c r="I3688">
        <v>46981</v>
      </c>
      <c r="J3688">
        <v>0</v>
      </c>
      <c r="K3688">
        <v>98268</v>
      </c>
      <c r="L3688">
        <v>31</v>
      </c>
      <c r="M3688">
        <v>43</v>
      </c>
      <c r="N3688" t="s">
        <v>47</v>
      </c>
      <c r="O3688" s="3">
        <v>44153</v>
      </c>
      <c r="P3688">
        <v>-1</v>
      </c>
      <c r="T3688" t="s">
        <v>31</v>
      </c>
      <c r="U3688">
        <v>179</v>
      </c>
      <c r="V3688">
        <v>23.7</v>
      </c>
    </row>
    <row r="3689" spans="1:22" x14ac:dyDescent="0.35">
      <c r="A3689" s="3">
        <v>44109</v>
      </c>
      <c r="B3689" t="s">
        <v>48</v>
      </c>
      <c r="C3689">
        <v>31.65</v>
      </c>
      <c r="D3689">
        <v>32.04</v>
      </c>
      <c r="E3689">
        <v>30.6</v>
      </c>
      <c r="F3689">
        <v>30.86</v>
      </c>
      <c r="G3689">
        <v>30.824999999999999</v>
      </c>
      <c r="H3689">
        <v>-1.25</v>
      </c>
      <c r="I3689">
        <v>44497</v>
      </c>
      <c r="J3689">
        <v>152</v>
      </c>
      <c r="K3689">
        <v>98129</v>
      </c>
      <c r="L3689">
        <v>12</v>
      </c>
      <c r="M3689">
        <v>16</v>
      </c>
      <c r="N3689" t="s">
        <v>48</v>
      </c>
      <c r="O3689" s="3">
        <v>44125</v>
      </c>
      <c r="P3689">
        <v>-1</v>
      </c>
      <c r="T3689" t="s">
        <v>39</v>
      </c>
      <c r="U3689">
        <v>15</v>
      </c>
      <c r="V3689">
        <v>18.127800000000001</v>
      </c>
    </row>
    <row r="3690" spans="1:22" x14ac:dyDescent="0.35">
      <c r="A3690" s="3">
        <v>44109</v>
      </c>
      <c r="B3690" t="s">
        <v>45</v>
      </c>
      <c r="C3690">
        <v>30.41</v>
      </c>
      <c r="D3690">
        <v>30.45</v>
      </c>
      <c r="E3690">
        <v>29.7</v>
      </c>
      <c r="F3690">
        <v>29.85</v>
      </c>
      <c r="G3690">
        <v>29.85</v>
      </c>
      <c r="H3690">
        <v>-0.72499999999999998</v>
      </c>
      <c r="I3690">
        <v>2688</v>
      </c>
      <c r="J3690">
        <v>0</v>
      </c>
      <c r="K3690">
        <v>18079</v>
      </c>
      <c r="L3690">
        <v>73</v>
      </c>
      <c r="M3690">
        <v>107</v>
      </c>
      <c r="N3690" t="s">
        <v>45</v>
      </c>
      <c r="O3690" s="3">
        <v>44216</v>
      </c>
      <c r="P3690">
        <v>-1</v>
      </c>
      <c r="T3690" t="s">
        <v>38</v>
      </c>
      <c r="U3690">
        <v>35</v>
      </c>
      <c r="V3690">
        <v>19.952999999999999</v>
      </c>
    </row>
    <row r="3691" spans="1:22" x14ac:dyDescent="0.35">
      <c r="A3691" s="3">
        <v>44109</v>
      </c>
      <c r="B3691" t="s">
        <v>41</v>
      </c>
      <c r="C3691">
        <v>28.05</v>
      </c>
      <c r="D3691">
        <v>28.2</v>
      </c>
      <c r="E3691">
        <v>27.91</v>
      </c>
      <c r="F3691">
        <v>27.91</v>
      </c>
      <c r="G3691">
        <v>27.95</v>
      </c>
      <c r="H3691">
        <v>-0.47499999999999998</v>
      </c>
      <c r="I3691">
        <v>10</v>
      </c>
      <c r="J3691">
        <v>0</v>
      </c>
      <c r="K3691">
        <v>465</v>
      </c>
      <c r="L3691">
        <v>157</v>
      </c>
      <c r="M3691">
        <v>226</v>
      </c>
      <c r="N3691" t="s">
        <v>41</v>
      </c>
      <c r="O3691" s="3">
        <v>44335</v>
      </c>
      <c r="P3691">
        <v>-1</v>
      </c>
      <c r="T3691" t="s">
        <v>37</v>
      </c>
      <c r="U3691">
        <v>54</v>
      </c>
      <c r="V3691">
        <v>21.100999999999999</v>
      </c>
    </row>
    <row r="3692" spans="1:22" x14ac:dyDescent="0.35">
      <c r="A3692" s="3">
        <v>44109</v>
      </c>
      <c r="B3692" t="s">
        <v>40</v>
      </c>
      <c r="C3692">
        <v>27.65</v>
      </c>
      <c r="D3692">
        <v>27.65</v>
      </c>
      <c r="E3692">
        <v>27.65</v>
      </c>
      <c r="F3692">
        <v>27.65</v>
      </c>
      <c r="G3692">
        <v>27.55</v>
      </c>
      <c r="H3692">
        <v>7.4999999999999997E-2</v>
      </c>
      <c r="I3692">
        <v>6</v>
      </c>
      <c r="J3692">
        <v>0</v>
      </c>
      <c r="K3692">
        <v>6</v>
      </c>
      <c r="L3692">
        <v>176</v>
      </c>
      <c r="M3692">
        <v>254</v>
      </c>
      <c r="N3692" t="s">
        <v>40</v>
      </c>
      <c r="O3692" s="3">
        <v>44363</v>
      </c>
      <c r="P3692">
        <v>-1</v>
      </c>
      <c r="T3692" t="s">
        <v>36</v>
      </c>
      <c r="U3692">
        <v>79</v>
      </c>
      <c r="V3692">
        <v>21.889900000000001</v>
      </c>
    </row>
    <row r="3693" spans="1:22" x14ac:dyDescent="0.35">
      <c r="A3693" s="3">
        <v>44109</v>
      </c>
      <c r="B3693" t="s">
        <v>47</v>
      </c>
      <c r="C3693">
        <v>32.950000000000003</v>
      </c>
      <c r="D3693">
        <v>33</v>
      </c>
      <c r="E3693">
        <v>31.84</v>
      </c>
      <c r="F3693">
        <v>32.229999999999997</v>
      </c>
      <c r="G3693">
        <v>32.225000000000001</v>
      </c>
      <c r="H3693">
        <v>-0.95</v>
      </c>
      <c r="I3693">
        <v>34356</v>
      </c>
      <c r="J3693">
        <v>164</v>
      </c>
      <c r="K3693">
        <v>92686</v>
      </c>
      <c r="L3693">
        <v>32</v>
      </c>
      <c r="M3693">
        <v>44</v>
      </c>
      <c r="N3693" t="s">
        <v>47</v>
      </c>
      <c r="O3693" s="3">
        <v>44153</v>
      </c>
      <c r="P3693">
        <v>-1</v>
      </c>
      <c r="T3693" t="s">
        <v>35</v>
      </c>
      <c r="U3693">
        <v>99</v>
      </c>
      <c r="V3693">
        <v>22.2</v>
      </c>
    </row>
    <row r="3694" spans="1:22" x14ac:dyDescent="0.35">
      <c r="A3694" s="3">
        <v>44109</v>
      </c>
      <c r="B3694" t="s">
        <v>43</v>
      </c>
      <c r="C3694">
        <v>29.41</v>
      </c>
      <c r="D3694">
        <v>29.41</v>
      </c>
      <c r="E3694">
        <v>28.82</v>
      </c>
      <c r="F3694">
        <v>28.9</v>
      </c>
      <c r="G3694">
        <v>28.925000000000001</v>
      </c>
      <c r="H3694">
        <v>-0.6</v>
      </c>
      <c r="I3694">
        <v>1040</v>
      </c>
      <c r="J3694">
        <v>0</v>
      </c>
      <c r="K3694">
        <v>9856</v>
      </c>
      <c r="L3694">
        <v>112</v>
      </c>
      <c r="M3694">
        <v>163</v>
      </c>
      <c r="N3694" t="s">
        <v>43</v>
      </c>
      <c r="O3694" s="3">
        <v>44272</v>
      </c>
      <c r="P3694">
        <v>-1</v>
      </c>
      <c r="T3694" t="s">
        <v>34</v>
      </c>
      <c r="U3694">
        <v>123</v>
      </c>
      <c r="V3694">
        <v>22.290900000000001</v>
      </c>
    </row>
    <row r="3695" spans="1:22" x14ac:dyDescent="0.35">
      <c r="A3695" s="3">
        <v>44109</v>
      </c>
      <c r="B3695" t="s">
        <v>46</v>
      </c>
      <c r="C3695">
        <v>31.51</v>
      </c>
      <c r="D3695">
        <v>31.7</v>
      </c>
      <c r="E3695">
        <v>30.54</v>
      </c>
      <c r="F3695">
        <v>30.75</v>
      </c>
      <c r="G3695">
        <v>30.774999999999999</v>
      </c>
      <c r="H3695">
        <v>-0.9</v>
      </c>
      <c r="I3695">
        <v>7229</v>
      </c>
      <c r="J3695">
        <v>0</v>
      </c>
      <c r="K3695">
        <v>32312</v>
      </c>
      <c r="L3695">
        <v>51</v>
      </c>
      <c r="M3695">
        <v>72</v>
      </c>
      <c r="N3695" t="s">
        <v>46</v>
      </c>
      <c r="O3695" s="3">
        <v>44181</v>
      </c>
      <c r="P3695">
        <v>-1</v>
      </c>
      <c r="S3695" s="3">
        <v>44377</v>
      </c>
      <c r="T3695" t="s">
        <v>33</v>
      </c>
      <c r="U3695">
        <v>140</v>
      </c>
      <c r="V3695">
        <v>23.3794</v>
      </c>
    </row>
    <row r="3696" spans="1:22" x14ac:dyDescent="0.35">
      <c r="A3696" s="3">
        <v>44109</v>
      </c>
      <c r="B3696" t="s">
        <v>42</v>
      </c>
      <c r="C3696">
        <v>28.7</v>
      </c>
      <c r="D3696">
        <v>28.8</v>
      </c>
      <c r="E3696">
        <v>28.32</v>
      </c>
      <c r="F3696">
        <v>28.35</v>
      </c>
      <c r="G3696">
        <v>28.375</v>
      </c>
      <c r="H3696">
        <v>-0.55000000000000004</v>
      </c>
      <c r="I3696">
        <v>567</v>
      </c>
      <c r="J3696">
        <v>0</v>
      </c>
      <c r="K3696">
        <v>2222</v>
      </c>
      <c r="L3696">
        <v>137</v>
      </c>
      <c r="M3696">
        <v>198</v>
      </c>
      <c r="N3696" t="s">
        <v>42</v>
      </c>
      <c r="O3696" s="3">
        <v>44307</v>
      </c>
      <c r="P3696">
        <v>-1</v>
      </c>
      <c r="T3696" t="s">
        <v>32</v>
      </c>
      <c r="U3696">
        <v>160</v>
      </c>
      <c r="V3696">
        <v>23.6</v>
      </c>
    </row>
    <row r="3697" spans="1:22" x14ac:dyDescent="0.35">
      <c r="A3697" s="3">
        <v>44109</v>
      </c>
      <c r="B3697" t="s">
        <v>44</v>
      </c>
      <c r="C3697">
        <v>29.92</v>
      </c>
      <c r="D3697">
        <v>29.95</v>
      </c>
      <c r="E3697">
        <v>29.22</v>
      </c>
      <c r="F3697">
        <v>29.33</v>
      </c>
      <c r="G3697">
        <v>29.375</v>
      </c>
      <c r="H3697">
        <v>-0.7</v>
      </c>
      <c r="I3697">
        <v>2535</v>
      </c>
      <c r="J3697">
        <v>0</v>
      </c>
      <c r="K3697">
        <v>12857</v>
      </c>
      <c r="L3697">
        <v>92</v>
      </c>
      <c r="M3697">
        <v>135</v>
      </c>
      <c r="N3697" t="s">
        <v>44</v>
      </c>
      <c r="O3697" s="3">
        <v>44244</v>
      </c>
      <c r="P3697">
        <v>-1</v>
      </c>
      <c r="T3697" t="s">
        <v>31</v>
      </c>
      <c r="U3697">
        <v>178</v>
      </c>
      <c r="V3697">
        <v>23.8</v>
      </c>
    </row>
    <row r="3698" spans="1:22" x14ac:dyDescent="0.35">
      <c r="A3698" s="3">
        <v>44106</v>
      </c>
      <c r="B3698" t="s">
        <v>43</v>
      </c>
      <c r="C3698">
        <v>29.12</v>
      </c>
      <c r="D3698">
        <v>30.61</v>
      </c>
      <c r="E3698">
        <v>29.12</v>
      </c>
      <c r="F3698">
        <v>29.5</v>
      </c>
      <c r="G3698">
        <v>29.524999999999999</v>
      </c>
      <c r="H3698">
        <v>0.4</v>
      </c>
      <c r="I3698">
        <v>1236</v>
      </c>
      <c r="J3698">
        <v>0</v>
      </c>
      <c r="K3698">
        <v>9742</v>
      </c>
      <c r="L3698">
        <v>113</v>
      </c>
      <c r="M3698">
        <v>166</v>
      </c>
      <c r="N3698" t="s">
        <v>43</v>
      </c>
      <c r="O3698" s="3">
        <v>44272</v>
      </c>
      <c r="P3698">
        <v>-1</v>
      </c>
      <c r="T3698" t="s">
        <v>39</v>
      </c>
      <c r="U3698">
        <v>14</v>
      </c>
      <c r="V3698">
        <v>17.903300000000002</v>
      </c>
    </row>
    <row r="3699" spans="1:22" x14ac:dyDescent="0.35">
      <c r="A3699" s="3">
        <v>44106</v>
      </c>
      <c r="B3699" t="s">
        <v>46</v>
      </c>
      <c r="C3699">
        <v>31.1</v>
      </c>
      <c r="D3699">
        <v>33.15</v>
      </c>
      <c r="E3699">
        <v>31.04</v>
      </c>
      <c r="F3699">
        <v>31.55</v>
      </c>
      <c r="G3699">
        <v>31.675000000000001</v>
      </c>
      <c r="H3699">
        <v>0.6</v>
      </c>
      <c r="I3699">
        <v>9870</v>
      </c>
      <c r="J3699">
        <v>0</v>
      </c>
      <c r="K3699">
        <v>31954</v>
      </c>
      <c r="L3699">
        <v>52</v>
      </c>
      <c r="M3699">
        <v>75</v>
      </c>
      <c r="N3699" t="s">
        <v>46</v>
      </c>
      <c r="O3699" s="3">
        <v>44181</v>
      </c>
      <c r="P3699">
        <v>-1</v>
      </c>
      <c r="T3699" t="s">
        <v>38</v>
      </c>
      <c r="U3699">
        <v>34</v>
      </c>
      <c r="V3699">
        <v>19.748699999999999</v>
      </c>
    </row>
    <row r="3700" spans="1:22" x14ac:dyDescent="0.35">
      <c r="A3700" s="3">
        <v>44106</v>
      </c>
      <c r="B3700" t="s">
        <v>42</v>
      </c>
      <c r="C3700">
        <v>28.55</v>
      </c>
      <c r="D3700">
        <v>29.91</v>
      </c>
      <c r="E3700">
        <v>28.55</v>
      </c>
      <c r="F3700">
        <v>28.9</v>
      </c>
      <c r="G3700">
        <v>28.925000000000001</v>
      </c>
      <c r="H3700">
        <v>0.35</v>
      </c>
      <c r="I3700">
        <v>726</v>
      </c>
      <c r="J3700">
        <v>0</v>
      </c>
      <c r="K3700">
        <v>2075</v>
      </c>
      <c r="L3700">
        <v>138</v>
      </c>
      <c r="M3700">
        <v>201</v>
      </c>
      <c r="N3700" t="s">
        <v>42</v>
      </c>
      <c r="O3700" s="3">
        <v>44307</v>
      </c>
      <c r="P3700">
        <v>-1</v>
      </c>
      <c r="T3700" t="s">
        <v>37</v>
      </c>
      <c r="U3700">
        <v>53</v>
      </c>
      <c r="V3700">
        <v>21.013999999999999</v>
      </c>
    </row>
    <row r="3701" spans="1:22" x14ac:dyDescent="0.35">
      <c r="A3701" s="3">
        <v>44106</v>
      </c>
      <c r="B3701" t="s">
        <v>44</v>
      </c>
      <c r="C3701">
        <v>29.65</v>
      </c>
      <c r="D3701">
        <v>31.31</v>
      </c>
      <c r="E3701">
        <v>29.65</v>
      </c>
      <c r="F3701">
        <v>30.04</v>
      </c>
      <c r="G3701">
        <v>30.074999999999999</v>
      </c>
      <c r="H3701">
        <v>0.4</v>
      </c>
      <c r="I3701">
        <v>2309</v>
      </c>
      <c r="J3701">
        <v>0</v>
      </c>
      <c r="K3701">
        <v>12892</v>
      </c>
      <c r="L3701">
        <v>93</v>
      </c>
      <c r="M3701">
        <v>138</v>
      </c>
      <c r="N3701" t="s">
        <v>44</v>
      </c>
      <c r="O3701" s="3">
        <v>44244</v>
      </c>
      <c r="P3701">
        <v>-1</v>
      </c>
      <c r="T3701" t="s">
        <v>36</v>
      </c>
      <c r="U3701">
        <v>78</v>
      </c>
      <c r="V3701">
        <v>21.854399999999998</v>
      </c>
    </row>
    <row r="3702" spans="1:22" x14ac:dyDescent="0.35">
      <c r="A3702" s="3">
        <v>44106</v>
      </c>
      <c r="B3702" t="s">
        <v>48</v>
      </c>
      <c r="C3702">
        <v>30.6</v>
      </c>
      <c r="D3702">
        <v>34.299999999999997</v>
      </c>
      <c r="E3702">
        <v>30.53</v>
      </c>
      <c r="F3702">
        <v>31.95</v>
      </c>
      <c r="G3702">
        <v>32.075000000000003</v>
      </c>
      <c r="H3702">
        <v>1.4</v>
      </c>
      <c r="I3702">
        <v>65412</v>
      </c>
      <c r="J3702">
        <v>0</v>
      </c>
      <c r="K3702">
        <v>102495</v>
      </c>
      <c r="L3702">
        <v>13</v>
      </c>
      <c r="M3702">
        <v>19</v>
      </c>
      <c r="N3702" t="s">
        <v>48</v>
      </c>
      <c r="O3702" s="3">
        <v>44125</v>
      </c>
      <c r="P3702">
        <v>-1</v>
      </c>
      <c r="T3702" t="s">
        <v>35</v>
      </c>
      <c r="U3702">
        <v>98</v>
      </c>
      <c r="V3702">
        <v>22.259</v>
      </c>
    </row>
    <row r="3703" spans="1:22" x14ac:dyDescent="0.35">
      <c r="A3703" s="3">
        <v>44106</v>
      </c>
      <c r="B3703" t="s">
        <v>45</v>
      </c>
      <c r="C3703">
        <v>30.2</v>
      </c>
      <c r="D3703">
        <v>31.85</v>
      </c>
      <c r="E3703">
        <v>30.12</v>
      </c>
      <c r="F3703">
        <v>30.55</v>
      </c>
      <c r="G3703">
        <v>30.574999999999999</v>
      </c>
      <c r="H3703">
        <v>0.42499999999999999</v>
      </c>
      <c r="I3703">
        <v>4926</v>
      </c>
      <c r="J3703">
        <v>0</v>
      </c>
      <c r="K3703">
        <v>18107</v>
      </c>
      <c r="L3703">
        <v>74</v>
      </c>
      <c r="M3703">
        <v>110</v>
      </c>
      <c r="N3703" t="s">
        <v>45</v>
      </c>
      <c r="O3703" s="3">
        <v>44216</v>
      </c>
      <c r="P3703">
        <v>-1</v>
      </c>
      <c r="T3703" t="s">
        <v>34</v>
      </c>
      <c r="U3703">
        <v>122</v>
      </c>
      <c r="V3703">
        <v>22.378499999999999</v>
      </c>
    </row>
    <row r="3704" spans="1:22" x14ac:dyDescent="0.35">
      <c r="A3704" s="3">
        <v>44106</v>
      </c>
      <c r="B3704" t="s">
        <v>41</v>
      </c>
      <c r="C3704">
        <v>28.5</v>
      </c>
      <c r="D3704">
        <v>29.2</v>
      </c>
      <c r="E3704">
        <v>28.15</v>
      </c>
      <c r="F3704">
        <v>28.45</v>
      </c>
      <c r="G3704">
        <v>28.425000000000001</v>
      </c>
      <c r="H3704">
        <v>0.4</v>
      </c>
      <c r="I3704">
        <v>53</v>
      </c>
      <c r="J3704">
        <v>0</v>
      </c>
      <c r="K3704">
        <v>468</v>
      </c>
      <c r="L3704">
        <v>158</v>
      </c>
      <c r="M3704">
        <v>229</v>
      </c>
      <c r="N3704" t="s">
        <v>41</v>
      </c>
      <c r="O3704" s="3">
        <v>44335</v>
      </c>
      <c r="P3704">
        <v>-1</v>
      </c>
      <c r="S3704" s="3">
        <v>44378</v>
      </c>
      <c r="T3704" t="s">
        <v>33</v>
      </c>
      <c r="U3704">
        <v>139</v>
      </c>
      <c r="V3704">
        <v>23.3</v>
      </c>
    </row>
    <row r="3705" spans="1:22" x14ac:dyDescent="0.35">
      <c r="A3705" s="3">
        <v>44106</v>
      </c>
      <c r="B3705" t="s">
        <v>47</v>
      </c>
      <c r="C3705">
        <v>32.5</v>
      </c>
      <c r="D3705">
        <v>35.26</v>
      </c>
      <c r="E3705">
        <v>32.4</v>
      </c>
      <c r="F3705">
        <v>32.950000000000003</v>
      </c>
      <c r="G3705">
        <v>33.174999999999997</v>
      </c>
      <c r="H3705">
        <v>0.7</v>
      </c>
      <c r="I3705">
        <v>45393</v>
      </c>
      <c r="J3705">
        <v>161</v>
      </c>
      <c r="K3705">
        <v>87166</v>
      </c>
      <c r="L3705">
        <v>33</v>
      </c>
      <c r="M3705">
        <v>47</v>
      </c>
      <c r="N3705" t="s">
        <v>47</v>
      </c>
      <c r="O3705" s="3">
        <v>44153</v>
      </c>
      <c r="P3705">
        <v>-1</v>
      </c>
      <c r="T3705" t="s">
        <v>32</v>
      </c>
      <c r="U3705">
        <v>159</v>
      </c>
      <c r="V3705">
        <v>23.524999999999999</v>
      </c>
    </row>
    <row r="3706" spans="1:22" x14ac:dyDescent="0.35">
      <c r="A3706" s="3">
        <v>44105</v>
      </c>
      <c r="B3706" t="s">
        <v>48</v>
      </c>
      <c r="C3706">
        <v>30.4</v>
      </c>
      <c r="D3706">
        <v>31</v>
      </c>
      <c r="E3706">
        <v>29.58</v>
      </c>
      <c r="F3706">
        <v>30.7</v>
      </c>
      <c r="G3706">
        <v>30.675000000000001</v>
      </c>
      <c r="H3706">
        <v>0.3</v>
      </c>
      <c r="I3706">
        <v>54201</v>
      </c>
      <c r="J3706">
        <v>0</v>
      </c>
      <c r="K3706">
        <v>112129</v>
      </c>
      <c r="L3706">
        <v>14</v>
      </c>
      <c r="M3706">
        <v>20</v>
      </c>
      <c r="N3706" t="s">
        <v>48</v>
      </c>
      <c r="O3706" s="3">
        <v>44125</v>
      </c>
      <c r="P3706">
        <v>-1</v>
      </c>
      <c r="T3706" t="s">
        <v>31</v>
      </c>
      <c r="U3706">
        <v>177</v>
      </c>
      <c r="V3706">
        <v>23.65</v>
      </c>
    </row>
    <row r="3707" spans="1:22" x14ac:dyDescent="0.35">
      <c r="A3707" s="3">
        <v>44105</v>
      </c>
      <c r="B3707" t="s">
        <v>45</v>
      </c>
      <c r="C3707">
        <v>29.78</v>
      </c>
      <c r="D3707">
        <v>30.26</v>
      </c>
      <c r="E3707">
        <v>29.5</v>
      </c>
      <c r="F3707">
        <v>30.15</v>
      </c>
      <c r="G3707">
        <v>30.15</v>
      </c>
      <c r="H3707">
        <v>0.27500000000000002</v>
      </c>
      <c r="I3707">
        <v>2825</v>
      </c>
      <c r="J3707">
        <v>0</v>
      </c>
      <c r="K3707">
        <v>18122</v>
      </c>
      <c r="L3707">
        <v>75</v>
      </c>
      <c r="M3707">
        <v>111</v>
      </c>
      <c r="N3707" t="s">
        <v>45</v>
      </c>
      <c r="O3707" s="3">
        <v>44216</v>
      </c>
      <c r="P3707">
        <v>-1</v>
      </c>
      <c r="T3707" t="s">
        <v>39</v>
      </c>
      <c r="U3707">
        <v>13</v>
      </c>
      <c r="V3707">
        <v>17.473500000000001</v>
      </c>
    </row>
    <row r="3708" spans="1:22" x14ac:dyDescent="0.35">
      <c r="A3708" s="3">
        <v>44105</v>
      </c>
      <c r="B3708" t="s">
        <v>41</v>
      </c>
      <c r="C3708">
        <v>27.78</v>
      </c>
      <c r="D3708">
        <v>28</v>
      </c>
      <c r="E3708">
        <v>27.78</v>
      </c>
      <c r="F3708">
        <v>28</v>
      </c>
      <c r="G3708">
        <v>28.024999999999999</v>
      </c>
      <c r="H3708">
        <v>0.25</v>
      </c>
      <c r="I3708">
        <v>168</v>
      </c>
      <c r="J3708">
        <v>0</v>
      </c>
      <c r="K3708">
        <v>453</v>
      </c>
      <c r="L3708">
        <v>159</v>
      </c>
      <c r="M3708">
        <v>230</v>
      </c>
      <c r="N3708" t="s">
        <v>41</v>
      </c>
      <c r="O3708" s="3">
        <v>44335</v>
      </c>
      <c r="P3708">
        <v>-1</v>
      </c>
      <c r="T3708" t="s">
        <v>38</v>
      </c>
      <c r="U3708">
        <v>33</v>
      </c>
      <c r="V3708">
        <v>19.544699999999999</v>
      </c>
    </row>
    <row r="3709" spans="1:22" x14ac:dyDescent="0.35">
      <c r="A3709" s="3">
        <v>44105</v>
      </c>
      <c r="B3709" t="s">
        <v>47</v>
      </c>
      <c r="C3709">
        <v>32.799999999999997</v>
      </c>
      <c r="D3709">
        <v>33.1</v>
      </c>
      <c r="E3709">
        <v>32.15</v>
      </c>
      <c r="F3709">
        <v>32.49</v>
      </c>
      <c r="G3709">
        <v>32.475000000000001</v>
      </c>
      <c r="H3709">
        <v>-0.4</v>
      </c>
      <c r="I3709">
        <v>43412</v>
      </c>
      <c r="J3709">
        <v>0</v>
      </c>
      <c r="K3709">
        <v>82819</v>
      </c>
      <c r="L3709">
        <v>34</v>
      </c>
      <c r="M3709">
        <v>48</v>
      </c>
      <c r="N3709" t="s">
        <v>47</v>
      </c>
      <c r="O3709" s="3">
        <v>44153</v>
      </c>
      <c r="P3709">
        <v>-1</v>
      </c>
      <c r="T3709" t="s">
        <v>37</v>
      </c>
      <c r="U3709">
        <v>52</v>
      </c>
      <c r="V3709">
        <v>20.83</v>
      </c>
    </row>
    <row r="3710" spans="1:22" x14ac:dyDescent="0.35">
      <c r="A3710" s="3">
        <v>44105</v>
      </c>
      <c r="B3710" t="s">
        <v>43</v>
      </c>
      <c r="C3710">
        <v>28.88</v>
      </c>
      <c r="D3710">
        <v>29.19</v>
      </c>
      <c r="E3710">
        <v>28.65</v>
      </c>
      <c r="F3710">
        <v>29.15</v>
      </c>
      <c r="G3710">
        <v>29.125</v>
      </c>
      <c r="H3710">
        <v>0.2</v>
      </c>
      <c r="I3710">
        <v>1166</v>
      </c>
      <c r="J3710">
        <v>0</v>
      </c>
      <c r="K3710">
        <v>9570</v>
      </c>
      <c r="L3710">
        <v>114</v>
      </c>
      <c r="M3710">
        <v>167</v>
      </c>
      <c r="N3710" t="s">
        <v>43</v>
      </c>
      <c r="O3710" s="3">
        <v>44272</v>
      </c>
      <c r="P3710">
        <v>-1</v>
      </c>
      <c r="T3710" t="s">
        <v>36</v>
      </c>
      <c r="U3710">
        <v>77</v>
      </c>
      <c r="V3710">
        <v>21.7</v>
      </c>
    </row>
    <row r="3711" spans="1:22" x14ac:dyDescent="0.35">
      <c r="A3711" s="3">
        <v>44105</v>
      </c>
      <c r="B3711" t="s">
        <v>46</v>
      </c>
      <c r="C3711">
        <v>30.8</v>
      </c>
      <c r="D3711">
        <v>31.3</v>
      </c>
      <c r="E3711">
        <v>30.37</v>
      </c>
      <c r="F3711">
        <v>31.07</v>
      </c>
      <c r="G3711">
        <v>31.074999999999999</v>
      </c>
      <c r="H3711">
        <v>0.15</v>
      </c>
      <c r="I3711">
        <v>7176</v>
      </c>
      <c r="J3711">
        <v>0</v>
      </c>
      <c r="K3711">
        <v>31382</v>
      </c>
      <c r="L3711">
        <v>53</v>
      </c>
      <c r="M3711">
        <v>76</v>
      </c>
      <c r="N3711" t="s">
        <v>46</v>
      </c>
      <c r="O3711" s="3">
        <v>44181</v>
      </c>
      <c r="P3711">
        <v>-1</v>
      </c>
      <c r="T3711" t="s">
        <v>35</v>
      </c>
      <c r="U3711">
        <v>97</v>
      </c>
      <c r="V3711">
        <v>22.1465</v>
      </c>
    </row>
    <row r="3712" spans="1:22" x14ac:dyDescent="0.35">
      <c r="A3712" s="3">
        <v>44105</v>
      </c>
      <c r="B3712" t="s">
        <v>42</v>
      </c>
      <c r="C3712">
        <v>28.14</v>
      </c>
      <c r="D3712">
        <v>28.62</v>
      </c>
      <c r="E3712">
        <v>28.1</v>
      </c>
      <c r="F3712">
        <v>28.55</v>
      </c>
      <c r="G3712">
        <v>28.574999999999999</v>
      </c>
      <c r="H3712">
        <v>0.2</v>
      </c>
      <c r="I3712">
        <v>547</v>
      </c>
      <c r="J3712">
        <v>0</v>
      </c>
      <c r="K3712">
        <v>1924</v>
      </c>
      <c r="L3712">
        <v>139</v>
      </c>
      <c r="M3712">
        <v>202</v>
      </c>
      <c r="N3712" t="s">
        <v>42</v>
      </c>
      <c r="O3712" s="3">
        <v>44307</v>
      </c>
      <c r="P3712">
        <v>-1</v>
      </c>
      <c r="T3712" t="s">
        <v>34</v>
      </c>
      <c r="U3712">
        <v>121</v>
      </c>
      <c r="V3712">
        <v>22.297599999999999</v>
      </c>
    </row>
    <row r="3713" spans="1:22" x14ac:dyDescent="0.35">
      <c r="A3713" s="3">
        <v>44105</v>
      </c>
      <c r="B3713" t="s">
        <v>44</v>
      </c>
      <c r="C3713">
        <v>29.25</v>
      </c>
      <c r="D3713">
        <v>29.77</v>
      </c>
      <c r="E3713">
        <v>29.07</v>
      </c>
      <c r="F3713">
        <v>29.75</v>
      </c>
      <c r="G3713">
        <v>29.675000000000001</v>
      </c>
      <c r="H3713">
        <v>0.27500000000000002</v>
      </c>
      <c r="I3713">
        <v>2048</v>
      </c>
      <c r="J3713">
        <v>0</v>
      </c>
      <c r="K3713">
        <v>12692</v>
      </c>
      <c r="L3713">
        <v>94</v>
      </c>
      <c r="M3713">
        <v>139</v>
      </c>
      <c r="N3713" t="s">
        <v>44</v>
      </c>
      <c r="O3713" s="3">
        <v>44244</v>
      </c>
      <c r="P3713">
        <v>-1</v>
      </c>
      <c r="S3713" s="3">
        <v>44379</v>
      </c>
      <c r="T3713" t="s">
        <v>33</v>
      </c>
      <c r="U3713">
        <v>138</v>
      </c>
      <c r="V3713">
        <v>23.26</v>
      </c>
    </row>
    <row r="3714" spans="1:22" x14ac:dyDescent="0.35">
      <c r="A3714" s="3">
        <v>44104</v>
      </c>
      <c r="B3714" t="s">
        <v>43</v>
      </c>
      <c r="C3714">
        <v>28.75</v>
      </c>
      <c r="D3714">
        <v>29</v>
      </c>
      <c r="E3714">
        <v>28.55</v>
      </c>
      <c r="F3714">
        <v>28.9</v>
      </c>
      <c r="G3714">
        <v>28.925000000000001</v>
      </c>
      <c r="H3714">
        <v>0.3</v>
      </c>
      <c r="I3714">
        <v>1408</v>
      </c>
      <c r="J3714">
        <v>0</v>
      </c>
      <c r="K3714">
        <v>9476</v>
      </c>
      <c r="L3714">
        <v>115</v>
      </c>
      <c r="M3714">
        <v>168</v>
      </c>
      <c r="N3714" t="s">
        <v>43</v>
      </c>
      <c r="O3714" s="3">
        <v>44272</v>
      </c>
      <c r="P3714">
        <v>-1</v>
      </c>
      <c r="T3714" t="s">
        <v>32</v>
      </c>
      <c r="U3714">
        <v>158</v>
      </c>
      <c r="V3714">
        <v>23.5</v>
      </c>
    </row>
    <row r="3715" spans="1:22" x14ac:dyDescent="0.35">
      <c r="A3715" s="3">
        <v>44104</v>
      </c>
      <c r="B3715" t="s">
        <v>46</v>
      </c>
      <c r="C3715">
        <v>30.44</v>
      </c>
      <c r="D3715">
        <v>31</v>
      </c>
      <c r="E3715">
        <v>30.22</v>
      </c>
      <c r="F3715">
        <v>30.85</v>
      </c>
      <c r="G3715">
        <v>30.925000000000001</v>
      </c>
      <c r="H3715">
        <v>0.45</v>
      </c>
      <c r="I3715">
        <v>6973</v>
      </c>
      <c r="J3715">
        <v>0</v>
      </c>
      <c r="K3715">
        <v>31036</v>
      </c>
      <c r="L3715">
        <v>54</v>
      </c>
      <c r="M3715">
        <v>77</v>
      </c>
      <c r="N3715" t="s">
        <v>46</v>
      </c>
      <c r="O3715" s="3">
        <v>44181</v>
      </c>
      <c r="P3715">
        <v>-1</v>
      </c>
      <c r="T3715" t="s">
        <v>31</v>
      </c>
      <c r="U3715">
        <v>176</v>
      </c>
      <c r="V3715">
        <v>23.524999999999999</v>
      </c>
    </row>
    <row r="3716" spans="1:22" x14ac:dyDescent="0.35">
      <c r="A3716" s="3">
        <v>44104</v>
      </c>
      <c r="B3716" t="s">
        <v>42</v>
      </c>
      <c r="C3716">
        <v>28</v>
      </c>
      <c r="D3716">
        <v>28.4</v>
      </c>
      <c r="E3716">
        <v>28</v>
      </c>
      <c r="F3716">
        <v>28.35</v>
      </c>
      <c r="G3716">
        <v>28.375</v>
      </c>
      <c r="H3716">
        <v>0.3</v>
      </c>
      <c r="I3716">
        <v>474</v>
      </c>
      <c r="J3716">
        <v>0</v>
      </c>
      <c r="K3716">
        <v>1854</v>
      </c>
      <c r="L3716">
        <v>140</v>
      </c>
      <c r="M3716">
        <v>203</v>
      </c>
      <c r="N3716" t="s">
        <v>42</v>
      </c>
      <c r="O3716" s="3">
        <v>44307</v>
      </c>
      <c r="P3716">
        <v>-1</v>
      </c>
      <c r="T3716" t="s">
        <v>39</v>
      </c>
      <c r="U3716">
        <v>12</v>
      </c>
      <c r="V3716">
        <v>17.470600000000001</v>
      </c>
    </row>
    <row r="3717" spans="1:22" x14ac:dyDescent="0.35">
      <c r="A3717" s="3">
        <v>44104</v>
      </c>
      <c r="B3717" t="s">
        <v>44</v>
      </c>
      <c r="C3717">
        <v>29.12</v>
      </c>
      <c r="D3717">
        <v>29.45</v>
      </c>
      <c r="E3717">
        <v>28.98</v>
      </c>
      <c r="F3717">
        <v>29.4</v>
      </c>
      <c r="G3717">
        <v>29.4</v>
      </c>
      <c r="H3717">
        <v>0.3</v>
      </c>
      <c r="I3717">
        <v>1862</v>
      </c>
      <c r="J3717">
        <v>0</v>
      </c>
      <c r="K3717">
        <v>12466</v>
      </c>
      <c r="L3717">
        <v>95</v>
      </c>
      <c r="M3717">
        <v>140</v>
      </c>
      <c r="N3717" t="s">
        <v>44</v>
      </c>
      <c r="O3717" s="3">
        <v>44244</v>
      </c>
      <c r="P3717">
        <v>-1</v>
      </c>
      <c r="T3717" t="s">
        <v>38</v>
      </c>
      <c r="U3717">
        <v>32</v>
      </c>
      <c r="V3717">
        <v>19.4999</v>
      </c>
    </row>
    <row r="3718" spans="1:22" x14ac:dyDescent="0.35">
      <c r="A3718" s="3">
        <v>44104</v>
      </c>
      <c r="B3718" t="s">
        <v>48</v>
      </c>
      <c r="C3718">
        <v>30</v>
      </c>
      <c r="D3718">
        <v>31.1</v>
      </c>
      <c r="E3718">
        <v>29.45</v>
      </c>
      <c r="F3718">
        <v>30.5</v>
      </c>
      <c r="G3718">
        <v>30.375</v>
      </c>
      <c r="H3718">
        <v>0.6</v>
      </c>
      <c r="I3718">
        <v>54857</v>
      </c>
      <c r="J3718">
        <v>239</v>
      </c>
      <c r="K3718">
        <v>116107</v>
      </c>
      <c r="L3718">
        <v>15</v>
      </c>
      <c r="M3718">
        <v>21</v>
      </c>
      <c r="N3718" t="s">
        <v>48</v>
      </c>
      <c r="O3718" s="3">
        <v>44125</v>
      </c>
      <c r="P3718">
        <v>-1</v>
      </c>
      <c r="T3718" t="s">
        <v>37</v>
      </c>
      <c r="U3718">
        <v>51</v>
      </c>
      <c r="V3718">
        <v>20.7956</v>
      </c>
    </row>
    <row r="3719" spans="1:22" x14ac:dyDescent="0.35">
      <c r="A3719" s="3">
        <v>44104</v>
      </c>
      <c r="B3719" t="s">
        <v>45</v>
      </c>
      <c r="C3719">
        <v>29.6</v>
      </c>
      <c r="D3719">
        <v>30.01</v>
      </c>
      <c r="E3719">
        <v>29.45</v>
      </c>
      <c r="F3719">
        <v>29.87</v>
      </c>
      <c r="G3719">
        <v>29.875</v>
      </c>
      <c r="H3719">
        <v>0.25</v>
      </c>
      <c r="I3719">
        <v>2915</v>
      </c>
      <c r="J3719">
        <v>0</v>
      </c>
      <c r="K3719">
        <v>17883</v>
      </c>
      <c r="L3719">
        <v>76</v>
      </c>
      <c r="M3719">
        <v>112</v>
      </c>
      <c r="N3719" t="s">
        <v>45</v>
      </c>
      <c r="O3719" s="3">
        <v>44216</v>
      </c>
      <c r="P3719">
        <v>-1</v>
      </c>
      <c r="T3719" t="s">
        <v>36</v>
      </c>
      <c r="U3719">
        <v>76</v>
      </c>
      <c r="V3719">
        <v>21.65</v>
      </c>
    </row>
    <row r="3720" spans="1:22" x14ac:dyDescent="0.35">
      <c r="A3720" s="3">
        <v>44104</v>
      </c>
      <c r="B3720" t="s">
        <v>41</v>
      </c>
      <c r="C3720">
        <v>27.71</v>
      </c>
      <c r="D3720">
        <v>27.9</v>
      </c>
      <c r="E3720">
        <v>27.65</v>
      </c>
      <c r="F3720">
        <v>27.9</v>
      </c>
      <c r="G3720">
        <v>27.774999999999999</v>
      </c>
      <c r="H3720">
        <v>0.125</v>
      </c>
      <c r="I3720">
        <v>13</v>
      </c>
      <c r="J3720">
        <v>0</v>
      </c>
      <c r="K3720">
        <v>476</v>
      </c>
      <c r="L3720">
        <v>160</v>
      </c>
      <c r="M3720">
        <v>231</v>
      </c>
      <c r="N3720" t="s">
        <v>41</v>
      </c>
      <c r="O3720" s="3">
        <v>44335</v>
      </c>
      <c r="P3720">
        <v>-1</v>
      </c>
      <c r="T3720" t="s">
        <v>35</v>
      </c>
      <c r="U3720">
        <v>96</v>
      </c>
      <c r="V3720">
        <v>22.096499999999999</v>
      </c>
    </row>
    <row r="3721" spans="1:22" x14ac:dyDescent="0.35">
      <c r="A3721" s="3">
        <v>44104</v>
      </c>
      <c r="B3721" t="s">
        <v>47</v>
      </c>
      <c r="C3721">
        <v>32.25</v>
      </c>
      <c r="D3721">
        <v>32.96</v>
      </c>
      <c r="E3721">
        <v>31.8</v>
      </c>
      <c r="F3721">
        <v>32.9</v>
      </c>
      <c r="G3721">
        <v>32.875</v>
      </c>
      <c r="H3721">
        <v>0.8</v>
      </c>
      <c r="I3721">
        <v>38722</v>
      </c>
      <c r="J3721">
        <v>159</v>
      </c>
      <c r="K3721">
        <v>76357</v>
      </c>
      <c r="L3721">
        <v>35</v>
      </c>
      <c r="M3721">
        <v>49</v>
      </c>
      <c r="N3721" t="s">
        <v>47</v>
      </c>
      <c r="O3721" s="3">
        <v>44153</v>
      </c>
      <c r="P3721">
        <v>-1</v>
      </c>
      <c r="T3721" t="s">
        <v>34</v>
      </c>
      <c r="U3721">
        <v>120</v>
      </c>
      <c r="V3721">
        <v>22.2592</v>
      </c>
    </row>
    <row r="3722" spans="1:22" x14ac:dyDescent="0.35">
      <c r="A3722" s="3">
        <v>44103</v>
      </c>
      <c r="B3722" t="s">
        <v>48</v>
      </c>
      <c r="C3722">
        <v>30.95</v>
      </c>
      <c r="D3722">
        <v>31.35</v>
      </c>
      <c r="E3722">
        <v>29.7</v>
      </c>
      <c r="F3722">
        <v>29.95</v>
      </c>
      <c r="G3722">
        <v>29.774999999999999</v>
      </c>
      <c r="H3722">
        <v>-1.05</v>
      </c>
      <c r="I3722">
        <v>61558</v>
      </c>
      <c r="J3722">
        <v>0</v>
      </c>
      <c r="K3722">
        <v>119459</v>
      </c>
      <c r="L3722">
        <v>16</v>
      </c>
      <c r="M3722">
        <v>22</v>
      </c>
      <c r="N3722" t="s">
        <v>48</v>
      </c>
      <c r="O3722" s="3">
        <v>44125</v>
      </c>
      <c r="P3722">
        <v>-1</v>
      </c>
      <c r="S3722" s="3">
        <v>44383</v>
      </c>
      <c r="T3722" t="s">
        <v>33</v>
      </c>
      <c r="U3722">
        <v>137</v>
      </c>
      <c r="V3722">
        <v>23.416699999999999</v>
      </c>
    </row>
    <row r="3723" spans="1:22" x14ac:dyDescent="0.35">
      <c r="A3723" s="3">
        <v>44103</v>
      </c>
      <c r="B3723" t="s">
        <v>45</v>
      </c>
      <c r="C3723">
        <v>29.95</v>
      </c>
      <c r="D3723">
        <v>30.15</v>
      </c>
      <c r="E3723">
        <v>29.45</v>
      </c>
      <c r="F3723">
        <v>29.65</v>
      </c>
      <c r="G3723">
        <v>29.625</v>
      </c>
      <c r="H3723">
        <v>-0.3</v>
      </c>
      <c r="I3723">
        <v>2894</v>
      </c>
      <c r="J3723">
        <v>0</v>
      </c>
      <c r="K3723">
        <v>17825</v>
      </c>
      <c r="L3723">
        <v>77</v>
      </c>
      <c r="M3723">
        <v>113</v>
      </c>
      <c r="N3723" t="s">
        <v>45</v>
      </c>
      <c r="O3723" s="3">
        <v>44216</v>
      </c>
      <c r="P3723">
        <v>-1</v>
      </c>
      <c r="T3723" t="s">
        <v>32</v>
      </c>
      <c r="U3723">
        <v>157</v>
      </c>
      <c r="V3723">
        <v>23.65</v>
      </c>
    </row>
    <row r="3724" spans="1:22" x14ac:dyDescent="0.35">
      <c r="A3724" s="3">
        <v>44103</v>
      </c>
      <c r="B3724" t="s">
        <v>41</v>
      </c>
      <c r="C3724">
        <v>27.87</v>
      </c>
      <c r="D3724">
        <v>27.87</v>
      </c>
      <c r="E3724">
        <v>27.6</v>
      </c>
      <c r="F3724">
        <v>27.6</v>
      </c>
      <c r="G3724">
        <v>27.65</v>
      </c>
      <c r="H3724">
        <v>-0.4</v>
      </c>
      <c r="I3724">
        <v>6</v>
      </c>
      <c r="J3724">
        <v>0</v>
      </c>
      <c r="K3724">
        <v>471</v>
      </c>
      <c r="L3724">
        <v>161</v>
      </c>
      <c r="M3724">
        <v>232</v>
      </c>
      <c r="N3724" t="s">
        <v>41</v>
      </c>
      <c r="O3724" s="3">
        <v>44335</v>
      </c>
      <c r="P3724">
        <v>-1</v>
      </c>
      <c r="T3724" t="s">
        <v>31</v>
      </c>
      <c r="U3724">
        <v>175</v>
      </c>
      <c r="V3724">
        <v>23.824999999999999</v>
      </c>
    </row>
    <row r="3725" spans="1:22" x14ac:dyDescent="0.35">
      <c r="A3725" s="3">
        <v>44103</v>
      </c>
      <c r="B3725" t="s">
        <v>47</v>
      </c>
      <c r="C3725">
        <v>33</v>
      </c>
      <c r="D3725">
        <v>33.270000000000003</v>
      </c>
      <c r="E3725">
        <v>32.049999999999997</v>
      </c>
      <c r="F3725">
        <v>32.15</v>
      </c>
      <c r="G3725">
        <v>32.075000000000003</v>
      </c>
      <c r="H3725">
        <v>-0.9</v>
      </c>
      <c r="I3725">
        <v>29540</v>
      </c>
      <c r="J3725">
        <v>0</v>
      </c>
      <c r="K3725">
        <v>71047</v>
      </c>
      <c r="L3725">
        <v>36</v>
      </c>
      <c r="M3725">
        <v>50</v>
      </c>
      <c r="N3725" t="s">
        <v>47</v>
      </c>
      <c r="O3725" s="3">
        <v>44153</v>
      </c>
      <c r="P3725">
        <v>-1</v>
      </c>
      <c r="T3725" t="s">
        <v>39</v>
      </c>
      <c r="U3725">
        <v>11</v>
      </c>
      <c r="V3725">
        <v>17.998699999999999</v>
      </c>
    </row>
    <row r="3726" spans="1:22" x14ac:dyDescent="0.35">
      <c r="A3726" s="3">
        <v>44103</v>
      </c>
      <c r="B3726" t="s">
        <v>43</v>
      </c>
      <c r="C3726">
        <v>28.9</v>
      </c>
      <c r="D3726">
        <v>29.13</v>
      </c>
      <c r="E3726">
        <v>28.55</v>
      </c>
      <c r="F3726">
        <v>28.75</v>
      </c>
      <c r="G3726">
        <v>28.625</v>
      </c>
      <c r="H3726">
        <v>-0.4</v>
      </c>
      <c r="I3726">
        <v>1153</v>
      </c>
      <c r="J3726">
        <v>0</v>
      </c>
      <c r="K3726">
        <v>9125</v>
      </c>
      <c r="L3726">
        <v>116</v>
      </c>
      <c r="M3726">
        <v>169</v>
      </c>
      <c r="N3726" t="s">
        <v>43</v>
      </c>
      <c r="O3726" s="3">
        <v>44272</v>
      </c>
      <c r="P3726">
        <v>-1</v>
      </c>
      <c r="T3726" t="s">
        <v>38</v>
      </c>
      <c r="U3726">
        <v>31</v>
      </c>
      <c r="V3726">
        <v>19.851299999999998</v>
      </c>
    </row>
    <row r="3727" spans="1:22" x14ac:dyDescent="0.35">
      <c r="A3727" s="3">
        <v>44103</v>
      </c>
      <c r="B3727" t="s">
        <v>46</v>
      </c>
      <c r="C3727">
        <v>31</v>
      </c>
      <c r="D3727">
        <v>31.21</v>
      </c>
      <c r="E3727">
        <v>30.37</v>
      </c>
      <c r="F3727">
        <v>30.52</v>
      </c>
      <c r="G3727">
        <v>30.475000000000001</v>
      </c>
      <c r="H3727">
        <v>-0.47499999999999998</v>
      </c>
      <c r="I3727">
        <v>6648</v>
      </c>
      <c r="J3727">
        <v>0</v>
      </c>
      <c r="K3727">
        <v>29812</v>
      </c>
      <c r="L3727">
        <v>55</v>
      </c>
      <c r="M3727">
        <v>78</v>
      </c>
      <c r="N3727" t="s">
        <v>46</v>
      </c>
      <c r="O3727" s="3">
        <v>44181</v>
      </c>
      <c r="P3727">
        <v>-1</v>
      </c>
      <c r="T3727" t="s">
        <v>37</v>
      </c>
      <c r="U3727">
        <v>50</v>
      </c>
      <c r="V3727">
        <v>21.0533</v>
      </c>
    </row>
    <row r="3728" spans="1:22" x14ac:dyDescent="0.35">
      <c r="A3728" s="3">
        <v>44103</v>
      </c>
      <c r="B3728" t="s">
        <v>42</v>
      </c>
      <c r="C3728">
        <v>28.3</v>
      </c>
      <c r="D3728">
        <v>28.52</v>
      </c>
      <c r="E3728">
        <v>28.03</v>
      </c>
      <c r="F3728">
        <v>28.1</v>
      </c>
      <c r="G3728">
        <v>28.074999999999999</v>
      </c>
      <c r="H3728">
        <v>-0.35</v>
      </c>
      <c r="I3728">
        <v>494</v>
      </c>
      <c r="J3728">
        <v>0</v>
      </c>
      <c r="K3728">
        <v>1757</v>
      </c>
      <c r="L3728">
        <v>141</v>
      </c>
      <c r="M3728">
        <v>204</v>
      </c>
      <c r="N3728" t="s">
        <v>42</v>
      </c>
      <c r="O3728" s="3">
        <v>44307</v>
      </c>
      <c r="P3728">
        <v>-1</v>
      </c>
      <c r="T3728" t="s">
        <v>36</v>
      </c>
      <c r="U3728">
        <v>75</v>
      </c>
      <c r="V3728">
        <v>21.824999999999999</v>
      </c>
    </row>
    <row r="3729" spans="1:22" x14ac:dyDescent="0.35">
      <c r="A3729" s="3">
        <v>44103</v>
      </c>
      <c r="B3729" t="s">
        <v>44</v>
      </c>
      <c r="C3729">
        <v>29.4</v>
      </c>
      <c r="D3729">
        <v>29.55</v>
      </c>
      <c r="E3729">
        <v>29.02</v>
      </c>
      <c r="F3729">
        <v>29.14</v>
      </c>
      <c r="G3729">
        <v>29.1</v>
      </c>
      <c r="H3729">
        <v>-0.27500000000000002</v>
      </c>
      <c r="I3729">
        <v>2447</v>
      </c>
      <c r="J3729">
        <v>0</v>
      </c>
      <c r="K3729">
        <v>12293</v>
      </c>
      <c r="L3729">
        <v>96</v>
      </c>
      <c r="M3729">
        <v>141</v>
      </c>
      <c r="N3729" t="s">
        <v>44</v>
      </c>
      <c r="O3729" s="3">
        <v>44244</v>
      </c>
      <c r="P3729">
        <v>-1</v>
      </c>
      <c r="T3729" t="s">
        <v>35</v>
      </c>
      <c r="U3729">
        <v>95</v>
      </c>
      <c r="V3729">
        <v>22.232500000000002</v>
      </c>
    </row>
    <row r="3730" spans="1:22" x14ac:dyDescent="0.35">
      <c r="A3730" s="3">
        <v>44102</v>
      </c>
      <c r="B3730" t="s">
        <v>43</v>
      </c>
      <c r="C3730">
        <v>29.09</v>
      </c>
      <c r="D3730">
        <v>29.25</v>
      </c>
      <c r="E3730">
        <v>28.92</v>
      </c>
      <c r="F3730">
        <v>29.05</v>
      </c>
      <c r="G3730">
        <v>29.024999999999999</v>
      </c>
      <c r="H3730">
        <v>-0.2</v>
      </c>
      <c r="I3730">
        <v>1072</v>
      </c>
      <c r="J3730">
        <v>0</v>
      </c>
      <c r="K3730">
        <v>9137</v>
      </c>
      <c r="L3730">
        <v>117</v>
      </c>
      <c r="M3730">
        <v>170</v>
      </c>
      <c r="N3730" t="s">
        <v>43</v>
      </c>
      <c r="O3730" s="3">
        <v>44272</v>
      </c>
      <c r="P3730">
        <v>-1</v>
      </c>
      <c r="T3730" t="s">
        <v>34</v>
      </c>
      <c r="U3730">
        <v>119</v>
      </c>
      <c r="V3730">
        <v>22.409199999999998</v>
      </c>
    </row>
    <row r="3731" spans="1:22" x14ac:dyDescent="0.35">
      <c r="A3731" s="3">
        <v>44102</v>
      </c>
      <c r="B3731" t="s">
        <v>46</v>
      </c>
      <c r="C3731">
        <v>31.26</v>
      </c>
      <c r="D3731">
        <v>31.35</v>
      </c>
      <c r="E3731">
        <v>30.87</v>
      </c>
      <c r="F3731">
        <v>31</v>
      </c>
      <c r="G3731">
        <v>30.95</v>
      </c>
      <c r="H3731">
        <v>-0.375</v>
      </c>
      <c r="I3731">
        <v>7141</v>
      </c>
      <c r="J3731">
        <v>0</v>
      </c>
      <c r="K3731">
        <v>29421</v>
      </c>
      <c r="L3731">
        <v>56</v>
      </c>
      <c r="M3731">
        <v>79</v>
      </c>
      <c r="N3731" t="s">
        <v>46</v>
      </c>
      <c r="O3731" s="3">
        <v>44181</v>
      </c>
      <c r="P3731">
        <v>-1</v>
      </c>
      <c r="S3731" s="3">
        <v>44384</v>
      </c>
      <c r="T3731" t="s">
        <v>33</v>
      </c>
      <c r="U3731">
        <v>136</v>
      </c>
      <c r="V3731">
        <v>23.477799999999998</v>
      </c>
    </row>
    <row r="3732" spans="1:22" x14ac:dyDescent="0.35">
      <c r="A3732" s="3">
        <v>44102</v>
      </c>
      <c r="B3732" t="s">
        <v>42</v>
      </c>
      <c r="C3732">
        <v>28.55</v>
      </c>
      <c r="D3732">
        <v>28.75</v>
      </c>
      <c r="E3732">
        <v>28.35</v>
      </c>
      <c r="F3732">
        <v>28.4</v>
      </c>
      <c r="G3732">
        <v>28.425000000000001</v>
      </c>
      <c r="H3732">
        <v>-0.27500000000000002</v>
      </c>
      <c r="I3732">
        <v>553</v>
      </c>
      <c r="J3732">
        <v>0</v>
      </c>
      <c r="K3732">
        <v>1800</v>
      </c>
      <c r="L3732">
        <v>142</v>
      </c>
      <c r="M3732">
        <v>205</v>
      </c>
      <c r="N3732" t="s">
        <v>42</v>
      </c>
      <c r="O3732" s="3">
        <v>44307</v>
      </c>
      <c r="P3732">
        <v>-1</v>
      </c>
      <c r="T3732" t="s">
        <v>32</v>
      </c>
      <c r="U3732">
        <v>156</v>
      </c>
      <c r="V3732">
        <v>23.774999999999999</v>
      </c>
    </row>
    <row r="3733" spans="1:22" x14ac:dyDescent="0.35">
      <c r="A3733" s="3">
        <v>44102</v>
      </c>
      <c r="B3733" t="s">
        <v>44</v>
      </c>
      <c r="C3733">
        <v>29.52</v>
      </c>
      <c r="D3733">
        <v>29.6</v>
      </c>
      <c r="E3733">
        <v>29.3</v>
      </c>
      <c r="F3733">
        <v>29.45</v>
      </c>
      <c r="G3733">
        <v>29.375</v>
      </c>
      <c r="H3733">
        <v>-0.27500000000000002</v>
      </c>
      <c r="I3733">
        <v>1546</v>
      </c>
      <c r="J3733">
        <v>0</v>
      </c>
      <c r="K3733">
        <v>12671</v>
      </c>
      <c r="L3733">
        <v>97</v>
      </c>
      <c r="M3733">
        <v>142</v>
      </c>
      <c r="N3733" t="s">
        <v>44</v>
      </c>
      <c r="O3733" s="3">
        <v>44244</v>
      </c>
      <c r="P3733">
        <v>-1</v>
      </c>
      <c r="T3733" t="s">
        <v>31</v>
      </c>
      <c r="U3733">
        <v>174</v>
      </c>
      <c r="V3733">
        <v>23.875</v>
      </c>
    </row>
    <row r="3734" spans="1:22" x14ac:dyDescent="0.35">
      <c r="A3734" s="3">
        <v>44102</v>
      </c>
      <c r="B3734" t="s">
        <v>48</v>
      </c>
      <c r="C3734">
        <v>31.16</v>
      </c>
      <c r="D3734">
        <v>31.4</v>
      </c>
      <c r="E3734">
        <v>30.7</v>
      </c>
      <c r="F3734">
        <v>31</v>
      </c>
      <c r="G3734">
        <v>30.824999999999999</v>
      </c>
      <c r="H3734">
        <v>-0.4</v>
      </c>
      <c r="I3734">
        <v>40862</v>
      </c>
      <c r="J3734">
        <v>661</v>
      </c>
      <c r="K3734">
        <v>121149</v>
      </c>
      <c r="L3734">
        <v>17</v>
      </c>
      <c r="M3734">
        <v>23</v>
      </c>
      <c r="N3734" t="s">
        <v>48</v>
      </c>
      <c r="O3734" s="3">
        <v>44125</v>
      </c>
      <c r="P3734">
        <v>-1</v>
      </c>
      <c r="T3734" t="s">
        <v>39</v>
      </c>
      <c r="U3734">
        <v>10</v>
      </c>
      <c r="V3734">
        <v>18.048500000000001</v>
      </c>
    </row>
    <row r="3735" spans="1:22" x14ac:dyDescent="0.35">
      <c r="A3735" s="3">
        <v>44102</v>
      </c>
      <c r="B3735" t="s">
        <v>45</v>
      </c>
      <c r="C3735">
        <v>30.2</v>
      </c>
      <c r="D3735">
        <v>30.21</v>
      </c>
      <c r="E3735">
        <v>29.85</v>
      </c>
      <c r="F3735">
        <v>29.99</v>
      </c>
      <c r="G3735">
        <v>29.925000000000001</v>
      </c>
      <c r="H3735">
        <v>-0.4</v>
      </c>
      <c r="I3735">
        <v>2201</v>
      </c>
      <c r="J3735">
        <v>0</v>
      </c>
      <c r="K3735">
        <v>17922</v>
      </c>
      <c r="L3735">
        <v>78</v>
      </c>
      <c r="M3735">
        <v>114</v>
      </c>
      <c r="N3735" t="s">
        <v>45</v>
      </c>
      <c r="O3735" s="3">
        <v>44216</v>
      </c>
      <c r="P3735">
        <v>-1</v>
      </c>
      <c r="T3735" t="s">
        <v>38</v>
      </c>
      <c r="U3735">
        <v>30</v>
      </c>
      <c r="V3735">
        <v>19.945499999999999</v>
      </c>
    </row>
    <row r="3736" spans="1:22" x14ac:dyDescent="0.35">
      <c r="A3736" s="3">
        <v>44102</v>
      </c>
      <c r="B3736" t="s">
        <v>41</v>
      </c>
      <c r="C3736">
        <v>28.13</v>
      </c>
      <c r="D3736">
        <v>28.2</v>
      </c>
      <c r="E3736">
        <v>28.05</v>
      </c>
      <c r="F3736">
        <v>28.05</v>
      </c>
      <c r="G3736">
        <v>28.05</v>
      </c>
      <c r="H3736">
        <v>-0.27500000000000002</v>
      </c>
      <c r="I3736">
        <v>19</v>
      </c>
      <c r="J3736">
        <v>0</v>
      </c>
      <c r="K3736">
        <v>467</v>
      </c>
      <c r="L3736">
        <v>162</v>
      </c>
      <c r="M3736">
        <v>233</v>
      </c>
      <c r="N3736" t="s">
        <v>41</v>
      </c>
      <c r="O3736" s="3">
        <v>44335</v>
      </c>
      <c r="P3736">
        <v>-1</v>
      </c>
      <c r="T3736" t="s">
        <v>37</v>
      </c>
      <c r="U3736">
        <v>49</v>
      </c>
      <c r="V3736">
        <v>21.173100000000002</v>
      </c>
    </row>
    <row r="3737" spans="1:22" x14ac:dyDescent="0.35">
      <c r="A3737" s="3">
        <v>44102</v>
      </c>
      <c r="B3737" t="s">
        <v>47</v>
      </c>
      <c r="C3737">
        <v>32.89</v>
      </c>
      <c r="D3737">
        <v>33.200000000000003</v>
      </c>
      <c r="E3737">
        <v>32.35</v>
      </c>
      <c r="F3737">
        <v>33.03</v>
      </c>
      <c r="G3737">
        <v>32.975000000000001</v>
      </c>
      <c r="H3737">
        <v>0.05</v>
      </c>
      <c r="I3737">
        <v>27248</v>
      </c>
      <c r="J3737">
        <v>310</v>
      </c>
      <c r="K3737">
        <v>68184</v>
      </c>
      <c r="L3737">
        <v>37</v>
      </c>
      <c r="M3737">
        <v>51</v>
      </c>
      <c r="N3737" t="s">
        <v>47</v>
      </c>
      <c r="O3737" s="3">
        <v>44153</v>
      </c>
      <c r="P3737">
        <v>-1</v>
      </c>
      <c r="T3737" t="s">
        <v>36</v>
      </c>
      <c r="U3737">
        <v>74</v>
      </c>
      <c r="V3737">
        <v>21.9514</v>
      </c>
    </row>
    <row r="3738" spans="1:22" x14ac:dyDescent="0.35">
      <c r="A3738" s="3">
        <v>44099</v>
      </c>
      <c r="B3738" t="s">
        <v>48</v>
      </c>
      <c r="C3738">
        <v>32.25</v>
      </c>
      <c r="D3738">
        <v>32.659999999999997</v>
      </c>
      <c r="E3738">
        <v>31</v>
      </c>
      <c r="F3738">
        <v>31.27</v>
      </c>
      <c r="G3738">
        <v>31.225000000000001</v>
      </c>
      <c r="H3738">
        <v>-1</v>
      </c>
      <c r="I3738">
        <v>50521</v>
      </c>
      <c r="J3738">
        <v>0</v>
      </c>
      <c r="K3738">
        <v>122829</v>
      </c>
      <c r="L3738">
        <v>18</v>
      </c>
      <c r="M3738">
        <v>26</v>
      </c>
      <c r="N3738" t="s">
        <v>48</v>
      </c>
      <c r="O3738" s="3">
        <v>44125</v>
      </c>
      <c r="P3738">
        <v>-1</v>
      </c>
      <c r="T3738" t="s">
        <v>35</v>
      </c>
      <c r="U3738">
        <v>94</v>
      </c>
      <c r="V3738">
        <v>22.3034</v>
      </c>
    </row>
    <row r="3739" spans="1:22" x14ac:dyDescent="0.35">
      <c r="A3739" s="3">
        <v>44099</v>
      </c>
      <c r="B3739" t="s">
        <v>45</v>
      </c>
      <c r="C3739">
        <v>30.95</v>
      </c>
      <c r="D3739">
        <v>31.25</v>
      </c>
      <c r="E3739">
        <v>30.3</v>
      </c>
      <c r="F3739">
        <v>30.35</v>
      </c>
      <c r="G3739">
        <v>30.324999999999999</v>
      </c>
      <c r="H3739">
        <v>-0.7</v>
      </c>
      <c r="I3739">
        <v>3946</v>
      </c>
      <c r="J3739">
        <v>0</v>
      </c>
      <c r="K3739">
        <v>17702</v>
      </c>
      <c r="L3739">
        <v>79</v>
      </c>
      <c r="M3739">
        <v>117</v>
      </c>
      <c r="N3739" t="s">
        <v>45</v>
      </c>
      <c r="O3739" s="3">
        <v>44216</v>
      </c>
      <c r="P3739">
        <v>-1</v>
      </c>
      <c r="T3739" t="s">
        <v>34</v>
      </c>
      <c r="U3739">
        <v>118</v>
      </c>
      <c r="V3739">
        <v>22.451899999999998</v>
      </c>
    </row>
    <row r="3740" spans="1:22" x14ac:dyDescent="0.35">
      <c r="A3740" s="3">
        <v>44099</v>
      </c>
      <c r="B3740" t="s">
        <v>41</v>
      </c>
      <c r="C3740">
        <v>28.82</v>
      </c>
      <c r="D3740">
        <v>28.9</v>
      </c>
      <c r="E3740">
        <v>28.22</v>
      </c>
      <c r="F3740">
        <v>28.25</v>
      </c>
      <c r="G3740">
        <v>28.324999999999999</v>
      </c>
      <c r="H3740">
        <v>-0.42499999999999999</v>
      </c>
      <c r="I3740">
        <v>273</v>
      </c>
      <c r="J3740">
        <v>0</v>
      </c>
      <c r="K3740">
        <v>455</v>
      </c>
      <c r="L3740">
        <v>163</v>
      </c>
      <c r="M3740">
        <v>236</v>
      </c>
      <c r="N3740" t="s">
        <v>41</v>
      </c>
      <c r="O3740" s="3">
        <v>44335</v>
      </c>
      <c r="P3740">
        <v>-1</v>
      </c>
      <c r="S3740" s="3">
        <v>44385</v>
      </c>
      <c r="T3740" t="s">
        <v>33</v>
      </c>
      <c r="U3740">
        <v>135</v>
      </c>
      <c r="V3740">
        <v>23.861799999999999</v>
      </c>
    </row>
    <row r="3741" spans="1:22" x14ac:dyDescent="0.35">
      <c r="A3741" s="3">
        <v>44099</v>
      </c>
      <c r="B3741" t="s">
        <v>47</v>
      </c>
      <c r="C3741">
        <v>33.57</v>
      </c>
      <c r="D3741">
        <v>34</v>
      </c>
      <c r="E3741">
        <v>32.799999999999997</v>
      </c>
      <c r="F3741">
        <v>32.9</v>
      </c>
      <c r="G3741">
        <v>32.924999999999997</v>
      </c>
      <c r="H3741">
        <v>-0.75</v>
      </c>
      <c r="I3741">
        <v>32580</v>
      </c>
      <c r="J3741">
        <v>0</v>
      </c>
      <c r="K3741">
        <v>63867</v>
      </c>
      <c r="L3741">
        <v>38</v>
      </c>
      <c r="M3741">
        <v>54</v>
      </c>
      <c r="N3741" t="s">
        <v>47</v>
      </c>
      <c r="O3741" s="3">
        <v>44153</v>
      </c>
      <c r="P3741">
        <v>-1</v>
      </c>
      <c r="T3741" t="s">
        <v>32</v>
      </c>
      <c r="U3741">
        <v>155</v>
      </c>
      <c r="V3741">
        <v>24.125</v>
      </c>
    </row>
    <row r="3742" spans="1:22" x14ac:dyDescent="0.35">
      <c r="A3742" s="3">
        <v>44099</v>
      </c>
      <c r="B3742" t="s">
        <v>43</v>
      </c>
      <c r="C3742">
        <v>29.6</v>
      </c>
      <c r="D3742">
        <v>30</v>
      </c>
      <c r="E3742">
        <v>29.15</v>
      </c>
      <c r="F3742">
        <v>29.25</v>
      </c>
      <c r="G3742">
        <v>29.225000000000001</v>
      </c>
      <c r="H3742">
        <v>-0.52500000000000002</v>
      </c>
      <c r="I3742">
        <v>2524</v>
      </c>
      <c r="J3742">
        <v>0</v>
      </c>
      <c r="K3742">
        <v>8908</v>
      </c>
      <c r="L3742">
        <v>118</v>
      </c>
      <c r="M3742">
        <v>173</v>
      </c>
      <c r="N3742" t="s">
        <v>43</v>
      </c>
      <c r="O3742" s="3">
        <v>44272</v>
      </c>
      <c r="P3742">
        <v>-1</v>
      </c>
      <c r="T3742" t="s">
        <v>31</v>
      </c>
      <c r="U3742">
        <v>173</v>
      </c>
      <c r="V3742">
        <v>24.3</v>
      </c>
    </row>
    <row r="3743" spans="1:22" x14ac:dyDescent="0.35">
      <c r="A3743" s="3">
        <v>44099</v>
      </c>
      <c r="B3743" t="s">
        <v>46</v>
      </c>
      <c r="C3743">
        <v>31.95</v>
      </c>
      <c r="D3743">
        <v>32.28</v>
      </c>
      <c r="E3743">
        <v>31.3</v>
      </c>
      <c r="F3743">
        <v>31.3</v>
      </c>
      <c r="G3743">
        <v>31.324999999999999</v>
      </c>
      <c r="H3743">
        <v>-0.7</v>
      </c>
      <c r="I3743">
        <v>8407</v>
      </c>
      <c r="J3743">
        <v>0</v>
      </c>
      <c r="K3743">
        <v>28692</v>
      </c>
      <c r="L3743">
        <v>57</v>
      </c>
      <c r="M3743">
        <v>82</v>
      </c>
      <c r="N3743" t="s">
        <v>46</v>
      </c>
      <c r="O3743" s="3">
        <v>44181</v>
      </c>
      <c r="P3743">
        <v>-1</v>
      </c>
      <c r="T3743" t="s">
        <v>39</v>
      </c>
      <c r="U3743">
        <v>9</v>
      </c>
      <c r="V3743">
        <v>19.545000000000002</v>
      </c>
    </row>
    <row r="3744" spans="1:22" x14ac:dyDescent="0.35">
      <c r="A3744" s="3">
        <v>44099</v>
      </c>
      <c r="B3744" t="s">
        <v>42</v>
      </c>
      <c r="C3744">
        <v>29.03</v>
      </c>
      <c r="D3744">
        <v>29.4</v>
      </c>
      <c r="E3744">
        <v>28.67</v>
      </c>
      <c r="F3744">
        <v>28.7</v>
      </c>
      <c r="G3744">
        <v>28.7</v>
      </c>
      <c r="H3744">
        <v>-0.47499999999999998</v>
      </c>
      <c r="I3744">
        <v>805</v>
      </c>
      <c r="J3744">
        <v>0</v>
      </c>
      <c r="K3744">
        <v>1597</v>
      </c>
      <c r="L3744">
        <v>143</v>
      </c>
      <c r="M3744">
        <v>208</v>
      </c>
      <c r="N3744" t="s">
        <v>42</v>
      </c>
      <c r="O3744" s="3">
        <v>44307</v>
      </c>
      <c r="P3744">
        <v>-1</v>
      </c>
      <c r="T3744" t="s">
        <v>38</v>
      </c>
      <c r="U3744">
        <v>29</v>
      </c>
      <c r="V3744">
        <v>20.998799999999999</v>
      </c>
    </row>
    <row r="3745" spans="1:22" x14ac:dyDescent="0.35">
      <c r="A3745" s="3">
        <v>44099</v>
      </c>
      <c r="B3745" t="s">
        <v>44</v>
      </c>
      <c r="C3745">
        <v>30</v>
      </c>
      <c r="D3745">
        <v>30.46</v>
      </c>
      <c r="E3745">
        <v>29.55</v>
      </c>
      <c r="F3745">
        <v>29.65</v>
      </c>
      <c r="G3745">
        <v>29.65</v>
      </c>
      <c r="H3745">
        <v>-0.6</v>
      </c>
      <c r="I3745">
        <v>2969</v>
      </c>
      <c r="J3745">
        <v>0</v>
      </c>
      <c r="K3745">
        <v>12313</v>
      </c>
      <c r="L3745">
        <v>98</v>
      </c>
      <c r="M3745">
        <v>145</v>
      </c>
      <c r="N3745" t="s">
        <v>44</v>
      </c>
      <c r="O3745" s="3">
        <v>44244</v>
      </c>
      <c r="P3745">
        <v>-1</v>
      </c>
      <c r="T3745" t="s">
        <v>37</v>
      </c>
      <c r="U3745">
        <v>48</v>
      </c>
      <c r="V3745">
        <v>21.998999999999999</v>
      </c>
    </row>
    <row r="3746" spans="1:22" x14ac:dyDescent="0.35">
      <c r="A3746" s="3">
        <v>44098</v>
      </c>
      <c r="B3746" t="s">
        <v>43</v>
      </c>
      <c r="C3746">
        <v>29.92</v>
      </c>
      <c r="D3746">
        <v>30.4</v>
      </c>
      <c r="E3746">
        <v>29.52</v>
      </c>
      <c r="F3746">
        <v>29.75</v>
      </c>
      <c r="G3746">
        <v>29.75</v>
      </c>
      <c r="H3746">
        <v>-0.22500000000000001</v>
      </c>
      <c r="I3746">
        <v>1422</v>
      </c>
      <c r="J3746">
        <v>0</v>
      </c>
      <c r="K3746">
        <v>8378</v>
      </c>
      <c r="L3746">
        <v>119</v>
      </c>
      <c r="M3746">
        <v>174</v>
      </c>
      <c r="N3746" t="s">
        <v>43</v>
      </c>
      <c r="O3746" s="3">
        <v>44272</v>
      </c>
      <c r="P3746">
        <v>-1</v>
      </c>
      <c r="T3746" t="s">
        <v>36</v>
      </c>
      <c r="U3746">
        <v>73</v>
      </c>
      <c r="V3746">
        <v>22.553899999999999</v>
      </c>
    </row>
    <row r="3747" spans="1:22" x14ac:dyDescent="0.35">
      <c r="A3747" s="3">
        <v>44098</v>
      </c>
      <c r="B3747" t="s">
        <v>46</v>
      </c>
      <c r="C3747">
        <v>32.020000000000003</v>
      </c>
      <c r="D3747">
        <v>32.65</v>
      </c>
      <c r="E3747">
        <v>31.53</v>
      </c>
      <c r="F3747">
        <v>31.96</v>
      </c>
      <c r="G3747">
        <v>32.024999999999999</v>
      </c>
      <c r="H3747">
        <v>0.15</v>
      </c>
      <c r="I3747">
        <v>10988</v>
      </c>
      <c r="J3747">
        <v>0</v>
      </c>
      <c r="K3747">
        <v>28071</v>
      </c>
      <c r="L3747">
        <v>58</v>
      </c>
      <c r="M3747">
        <v>83</v>
      </c>
      <c r="N3747" t="s">
        <v>46</v>
      </c>
      <c r="O3747" s="3">
        <v>44181</v>
      </c>
      <c r="P3747">
        <v>-1</v>
      </c>
      <c r="T3747" t="s">
        <v>35</v>
      </c>
      <c r="U3747">
        <v>93</v>
      </c>
      <c r="V3747">
        <v>22.789100000000001</v>
      </c>
    </row>
    <row r="3748" spans="1:22" x14ac:dyDescent="0.35">
      <c r="A3748" s="3">
        <v>44098</v>
      </c>
      <c r="B3748" t="s">
        <v>42</v>
      </c>
      <c r="C3748">
        <v>29.51</v>
      </c>
      <c r="D3748">
        <v>29.8</v>
      </c>
      <c r="E3748">
        <v>29</v>
      </c>
      <c r="F3748">
        <v>29.1</v>
      </c>
      <c r="G3748">
        <v>29.175000000000001</v>
      </c>
      <c r="H3748">
        <v>-0.22500000000000001</v>
      </c>
      <c r="I3748">
        <v>625</v>
      </c>
      <c r="J3748">
        <v>0</v>
      </c>
      <c r="K3748">
        <v>1296</v>
      </c>
      <c r="L3748">
        <v>144</v>
      </c>
      <c r="M3748">
        <v>209</v>
      </c>
      <c r="N3748" t="s">
        <v>42</v>
      </c>
      <c r="O3748" s="3">
        <v>44307</v>
      </c>
      <c r="P3748">
        <v>-1</v>
      </c>
      <c r="T3748" t="s">
        <v>34</v>
      </c>
      <c r="U3748">
        <v>117</v>
      </c>
      <c r="V3748">
        <v>22.848600000000001</v>
      </c>
    </row>
    <row r="3749" spans="1:22" x14ac:dyDescent="0.35">
      <c r="A3749" s="3">
        <v>44098</v>
      </c>
      <c r="B3749" t="s">
        <v>44</v>
      </c>
      <c r="C3749">
        <v>30.36</v>
      </c>
      <c r="D3749">
        <v>30.82</v>
      </c>
      <c r="E3749">
        <v>29.95</v>
      </c>
      <c r="F3749">
        <v>30.17</v>
      </c>
      <c r="G3749">
        <v>30.25</v>
      </c>
      <c r="H3749">
        <v>-0.125</v>
      </c>
      <c r="I3749">
        <v>3057</v>
      </c>
      <c r="J3749">
        <v>0</v>
      </c>
      <c r="K3749">
        <v>11918</v>
      </c>
      <c r="L3749">
        <v>99</v>
      </c>
      <c r="M3749">
        <v>146</v>
      </c>
      <c r="N3749" t="s">
        <v>44</v>
      </c>
      <c r="O3749" s="3">
        <v>44244</v>
      </c>
      <c r="P3749">
        <v>-1</v>
      </c>
      <c r="S3749" s="3">
        <v>44386</v>
      </c>
      <c r="T3749" t="s">
        <v>33</v>
      </c>
      <c r="U3749">
        <v>134</v>
      </c>
      <c r="V3749">
        <v>23.540700000000001</v>
      </c>
    </row>
    <row r="3750" spans="1:22" x14ac:dyDescent="0.35">
      <c r="A3750" s="3">
        <v>44098</v>
      </c>
      <c r="B3750" t="s">
        <v>48</v>
      </c>
      <c r="C3750">
        <v>32.549999999999997</v>
      </c>
      <c r="D3750">
        <v>33.28</v>
      </c>
      <c r="E3750">
        <v>31.63</v>
      </c>
      <c r="F3750">
        <v>32.25</v>
      </c>
      <c r="G3750">
        <v>32.225000000000001</v>
      </c>
      <c r="H3750">
        <v>-0.25</v>
      </c>
      <c r="I3750">
        <v>64922</v>
      </c>
      <c r="J3750">
        <v>0</v>
      </c>
      <c r="K3750">
        <v>128341</v>
      </c>
      <c r="L3750">
        <v>19</v>
      </c>
      <c r="M3750">
        <v>27</v>
      </c>
      <c r="N3750" t="s">
        <v>48</v>
      </c>
      <c r="O3750" s="3">
        <v>44125</v>
      </c>
      <c r="P3750">
        <v>-1</v>
      </c>
      <c r="T3750" t="s">
        <v>32</v>
      </c>
      <c r="U3750">
        <v>154</v>
      </c>
      <c r="V3750">
        <v>23.774999999999999</v>
      </c>
    </row>
    <row r="3751" spans="1:22" x14ac:dyDescent="0.35">
      <c r="A3751" s="3">
        <v>44098</v>
      </c>
      <c r="B3751" t="s">
        <v>45</v>
      </c>
      <c r="C3751">
        <v>31.07</v>
      </c>
      <c r="D3751">
        <v>31.57</v>
      </c>
      <c r="E3751">
        <v>30.6</v>
      </c>
      <c r="F3751">
        <v>30.96</v>
      </c>
      <c r="G3751">
        <v>31.024999999999999</v>
      </c>
      <c r="H3751">
        <v>-0.05</v>
      </c>
      <c r="I3751">
        <v>4564</v>
      </c>
      <c r="J3751">
        <v>0</v>
      </c>
      <c r="K3751">
        <v>17037</v>
      </c>
      <c r="L3751">
        <v>80</v>
      </c>
      <c r="M3751">
        <v>118</v>
      </c>
      <c r="N3751" t="s">
        <v>45</v>
      </c>
      <c r="O3751" s="3">
        <v>44216</v>
      </c>
      <c r="P3751">
        <v>-1</v>
      </c>
      <c r="T3751" t="s">
        <v>31</v>
      </c>
      <c r="U3751">
        <v>172</v>
      </c>
      <c r="V3751">
        <v>23.875</v>
      </c>
    </row>
    <row r="3752" spans="1:22" x14ac:dyDescent="0.35">
      <c r="A3752" s="3">
        <v>44098</v>
      </c>
      <c r="B3752" t="s">
        <v>41</v>
      </c>
      <c r="C3752">
        <v>28.97</v>
      </c>
      <c r="D3752">
        <v>29.1</v>
      </c>
      <c r="E3752">
        <v>28.65</v>
      </c>
      <c r="F3752">
        <v>28.7</v>
      </c>
      <c r="G3752">
        <v>28.75</v>
      </c>
      <c r="H3752">
        <v>-0.22500000000000001</v>
      </c>
      <c r="I3752">
        <v>107</v>
      </c>
      <c r="J3752">
        <v>0</v>
      </c>
      <c r="K3752">
        <v>235</v>
      </c>
      <c r="L3752">
        <v>164</v>
      </c>
      <c r="M3752">
        <v>237</v>
      </c>
      <c r="N3752" t="s">
        <v>41</v>
      </c>
      <c r="O3752" s="3">
        <v>44335</v>
      </c>
      <c r="P3752">
        <v>-1</v>
      </c>
      <c r="T3752" t="s">
        <v>39</v>
      </c>
      <c r="U3752">
        <v>8</v>
      </c>
      <c r="V3752">
        <v>17.796199999999999</v>
      </c>
    </row>
    <row r="3753" spans="1:22" x14ac:dyDescent="0.35">
      <c r="A3753" s="3">
        <v>44098</v>
      </c>
      <c r="B3753" t="s">
        <v>47</v>
      </c>
      <c r="C3753">
        <v>33.4</v>
      </c>
      <c r="D3753">
        <v>34.17</v>
      </c>
      <c r="E3753">
        <v>32.9</v>
      </c>
      <c r="F3753">
        <v>33.6</v>
      </c>
      <c r="G3753">
        <v>33.674999999999997</v>
      </c>
      <c r="H3753">
        <v>0.35</v>
      </c>
      <c r="I3753">
        <v>38840</v>
      </c>
      <c r="J3753">
        <v>0</v>
      </c>
      <c r="K3753">
        <v>60414</v>
      </c>
      <c r="L3753">
        <v>39</v>
      </c>
      <c r="M3753">
        <v>55</v>
      </c>
      <c r="N3753" t="s">
        <v>47</v>
      </c>
      <c r="O3753" s="3">
        <v>44153</v>
      </c>
      <c r="P3753">
        <v>-1</v>
      </c>
      <c r="T3753" t="s">
        <v>38</v>
      </c>
      <c r="U3753">
        <v>28</v>
      </c>
      <c r="V3753">
        <v>19.8444</v>
      </c>
    </row>
    <row r="3754" spans="1:22" x14ac:dyDescent="0.35">
      <c r="A3754" s="3">
        <v>44097</v>
      </c>
      <c r="B3754" t="s">
        <v>48</v>
      </c>
      <c r="C3754">
        <v>31.35</v>
      </c>
      <c r="D3754">
        <v>33.06</v>
      </c>
      <c r="E3754">
        <v>30.74</v>
      </c>
      <c r="F3754">
        <v>32.549999999999997</v>
      </c>
      <c r="G3754">
        <v>32.475000000000001</v>
      </c>
      <c r="H3754">
        <v>1.1000000000000001</v>
      </c>
      <c r="I3754">
        <v>66240</v>
      </c>
      <c r="J3754">
        <v>0</v>
      </c>
      <c r="K3754">
        <v>133889</v>
      </c>
      <c r="L3754">
        <v>20</v>
      </c>
      <c r="M3754">
        <v>28</v>
      </c>
      <c r="N3754" t="s">
        <v>48</v>
      </c>
      <c r="O3754" s="3">
        <v>44125</v>
      </c>
      <c r="P3754">
        <v>-1</v>
      </c>
      <c r="T3754" t="s">
        <v>37</v>
      </c>
      <c r="U3754">
        <v>47</v>
      </c>
      <c r="V3754">
        <v>21.08</v>
      </c>
    </row>
    <row r="3755" spans="1:22" x14ac:dyDescent="0.35">
      <c r="A3755" s="3">
        <v>44097</v>
      </c>
      <c r="B3755" t="s">
        <v>45</v>
      </c>
      <c r="C3755">
        <v>30.55</v>
      </c>
      <c r="D3755">
        <v>31.33</v>
      </c>
      <c r="E3755">
        <v>30.4</v>
      </c>
      <c r="F3755">
        <v>31.07</v>
      </c>
      <c r="G3755">
        <v>31.074999999999999</v>
      </c>
      <c r="H3755">
        <v>0.5</v>
      </c>
      <c r="I3755">
        <v>4792</v>
      </c>
      <c r="J3755">
        <v>0</v>
      </c>
      <c r="K3755">
        <v>17163</v>
      </c>
      <c r="L3755">
        <v>81</v>
      </c>
      <c r="M3755">
        <v>119</v>
      </c>
      <c r="N3755" t="s">
        <v>45</v>
      </c>
      <c r="O3755" s="3">
        <v>44216</v>
      </c>
      <c r="P3755">
        <v>-1</v>
      </c>
      <c r="T3755" t="s">
        <v>36</v>
      </c>
      <c r="U3755">
        <v>72</v>
      </c>
      <c r="V3755">
        <v>21.950199999999999</v>
      </c>
    </row>
    <row r="3756" spans="1:22" x14ac:dyDescent="0.35">
      <c r="A3756" s="3">
        <v>44097</v>
      </c>
      <c r="B3756" t="s">
        <v>41</v>
      </c>
      <c r="C3756">
        <v>28.8</v>
      </c>
      <c r="D3756">
        <v>29.05</v>
      </c>
      <c r="E3756">
        <v>28.47</v>
      </c>
      <c r="F3756">
        <v>28.99</v>
      </c>
      <c r="G3756">
        <v>28.975000000000001</v>
      </c>
      <c r="H3756">
        <v>0.47499999999999998</v>
      </c>
      <c r="I3756">
        <v>18</v>
      </c>
      <c r="J3756">
        <v>0</v>
      </c>
      <c r="K3756">
        <v>219</v>
      </c>
      <c r="L3756">
        <v>165</v>
      </c>
      <c r="M3756">
        <v>238</v>
      </c>
      <c r="N3756" t="s">
        <v>41</v>
      </c>
      <c r="O3756" s="3">
        <v>44335</v>
      </c>
      <c r="P3756">
        <v>-1</v>
      </c>
      <c r="T3756" t="s">
        <v>35</v>
      </c>
      <c r="U3756">
        <v>92</v>
      </c>
      <c r="V3756">
        <v>22.358799999999999</v>
      </c>
    </row>
    <row r="3757" spans="1:22" x14ac:dyDescent="0.35">
      <c r="A3757" s="3">
        <v>44097</v>
      </c>
      <c r="B3757" t="s">
        <v>47</v>
      </c>
      <c r="C3757">
        <v>32.1</v>
      </c>
      <c r="D3757">
        <v>33.54</v>
      </c>
      <c r="E3757">
        <v>31.73</v>
      </c>
      <c r="F3757">
        <v>33.270000000000003</v>
      </c>
      <c r="G3757">
        <v>33.325000000000003</v>
      </c>
      <c r="H3757">
        <v>1.1499999999999999</v>
      </c>
      <c r="I3757">
        <v>40873</v>
      </c>
      <c r="J3757">
        <v>0</v>
      </c>
      <c r="K3757">
        <v>57702</v>
      </c>
      <c r="L3757">
        <v>40</v>
      </c>
      <c r="M3757">
        <v>56</v>
      </c>
      <c r="N3757" t="s">
        <v>47</v>
      </c>
      <c r="O3757" s="3">
        <v>44153</v>
      </c>
      <c r="P3757">
        <v>-1</v>
      </c>
      <c r="T3757" t="s">
        <v>34</v>
      </c>
      <c r="U3757">
        <v>116</v>
      </c>
      <c r="V3757">
        <v>22.5762</v>
      </c>
    </row>
    <row r="3758" spans="1:22" x14ac:dyDescent="0.35">
      <c r="A3758" s="3">
        <v>44097</v>
      </c>
      <c r="B3758" t="s">
        <v>43</v>
      </c>
      <c r="C3758">
        <v>29.52</v>
      </c>
      <c r="D3758">
        <v>30.16</v>
      </c>
      <c r="E3758">
        <v>29.4</v>
      </c>
      <c r="F3758">
        <v>29.95</v>
      </c>
      <c r="G3758">
        <v>29.975000000000001</v>
      </c>
      <c r="H3758">
        <v>0.4</v>
      </c>
      <c r="I3758">
        <v>1722</v>
      </c>
      <c r="J3758">
        <v>0</v>
      </c>
      <c r="K3758">
        <v>8343</v>
      </c>
      <c r="L3758">
        <v>120</v>
      </c>
      <c r="M3758">
        <v>175</v>
      </c>
      <c r="N3758" t="s">
        <v>43</v>
      </c>
      <c r="O3758" s="3">
        <v>44272</v>
      </c>
      <c r="P3758">
        <v>-1</v>
      </c>
      <c r="S3758" s="3">
        <v>44389</v>
      </c>
      <c r="T3758" t="s">
        <v>33</v>
      </c>
      <c r="U3758">
        <v>133</v>
      </c>
      <c r="V3758">
        <v>23.65</v>
      </c>
    </row>
    <row r="3759" spans="1:22" x14ac:dyDescent="0.35">
      <c r="A3759" s="3">
        <v>44097</v>
      </c>
      <c r="B3759" t="s">
        <v>46</v>
      </c>
      <c r="C3759">
        <v>31.2</v>
      </c>
      <c r="D3759">
        <v>32.14</v>
      </c>
      <c r="E3759">
        <v>30.97</v>
      </c>
      <c r="F3759">
        <v>32</v>
      </c>
      <c r="G3759">
        <v>31.875</v>
      </c>
      <c r="H3759">
        <v>0.65</v>
      </c>
      <c r="I3759">
        <v>9251</v>
      </c>
      <c r="J3759">
        <v>0</v>
      </c>
      <c r="K3759">
        <v>28632</v>
      </c>
      <c r="L3759">
        <v>59</v>
      </c>
      <c r="M3759">
        <v>84</v>
      </c>
      <c r="N3759" t="s">
        <v>46</v>
      </c>
      <c r="O3759" s="3">
        <v>44181</v>
      </c>
      <c r="P3759">
        <v>-1</v>
      </c>
      <c r="T3759" t="s">
        <v>32</v>
      </c>
      <c r="U3759">
        <v>153</v>
      </c>
      <c r="V3759">
        <v>23.85</v>
      </c>
    </row>
    <row r="3760" spans="1:22" x14ac:dyDescent="0.35">
      <c r="A3760" s="3">
        <v>44097</v>
      </c>
      <c r="B3760" t="s">
        <v>42</v>
      </c>
      <c r="C3760">
        <v>29.1</v>
      </c>
      <c r="D3760">
        <v>29.5</v>
      </c>
      <c r="E3760">
        <v>28.9</v>
      </c>
      <c r="F3760">
        <v>29.42</v>
      </c>
      <c r="G3760">
        <v>29.4</v>
      </c>
      <c r="H3760">
        <v>0.375</v>
      </c>
      <c r="I3760">
        <v>614</v>
      </c>
      <c r="J3760">
        <v>0</v>
      </c>
      <c r="K3760">
        <v>1219</v>
      </c>
      <c r="L3760">
        <v>145</v>
      </c>
      <c r="M3760">
        <v>210</v>
      </c>
      <c r="N3760" t="s">
        <v>42</v>
      </c>
      <c r="O3760" s="3">
        <v>44307</v>
      </c>
      <c r="P3760">
        <v>-1</v>
      </c>
      <c r="T3760" t="s">
        <v>31</v>
      </c>
      <c r="U3760">
        <v>171</v>
      </c>
      <c r="V3760">
        <v>24.024999999999999</v>
      </c>
    </row>
    <row r="3761" spans="1:22" x14ac:dyDescent="0.35">
      <c r="A3761" s="3">
        <v>44097</v>
      </c>
      <c r="B3761" t="s">
        <v>44</v>
      </c>
      <c r="C3761">
        <v>29.86</v>
      </c>
      <c r="D3761">
        <v>30.57</v>
      </c>
      <c r="E3761">
        <v>29.74</v>
      </c>
      <c r="F3761">
        <v>30.4</v>
      </c>
      <c r="G3761">
        <v>30.375</v>
      </c>
      <c r="H3761">
        <v>0.5</v>
      </c>
      <c r="I3761">
        <v>2330</v>
      </c>
      <c r="J3761">
        <v>0</v>
      </c>
      <c r="K3761">
        <v>11617</v>
      </c>
      <c r="L3761">
        <v>100</v>
      </c>
      <c r="M3761">
        <v>147</v>
      </c>
      <c r="N3761" t="s">
        <v>44</v>
      </c>
      <c r="O3761" s="3">
        <v>44244</v>
      </c>
      <c r="P3761">
        <v>-1</v>
      </c>
      <c r="T3761" t="s">
        <v>39</v>
      </c>
      <c r="U3761">
        <v>7</v>
      </c>
      <c r="V3761">
        <v>17.371300000000002</v>
      </c>
    </row>
    <row r="3762" spans="1:22" x14ac:dyDescent="0.35">
      <c r="A3762" s="3">
        <v>44096</v>
      </c>
      <c r="B3762" t="s">
        <v>43</v>
      </c>
      <c r="C3762">
        <v>29.15</v>
      </c>
      <c r="D3762">
        <v>29.68</v>
      </c>
      <c r="E3762">
        <v>29.1</v>
      </c>
      <c r="F3762">
        <v>29.53</v>
      </c>
      <c r="G3762">
        <v>29.574999999999999</v>
      </c>
      <c r="H3762">
        <v>0.4</v>
      </c>
      <c r="I3762">
        <v>1930</v>
      </c>
      <c r="J3762">
        <v>0</v>
      </c>
      <c r="K3762">
        <v>7914</v>
      </c>
      <c r="L3762">
        <v>121</v>
      </c>
      <c r="M3762">
        <v>176</v>
      </c>
      <c r="N3762" t="s">
        <v>43</v>
      </c>
      <c r="O3762" s="3">
        <v>44272</v>
      </c>
      <c r="P3762">
        <v>-1</v>
      </c>
      <c r="T3762" t="s">
        <v>38</v>
      </c>
      <c r="U3762">
        <v>27</v>
      </c>
      <c r="V3762">
        <v>19.839500000000001</v>
      </c>
    </row>
    <row r="3763" spans="1:22" x14ac:dyDescent="0.35">
      <c r="A3763" s="3">
        <v>44096</v>
      </c>
      <c r="B3763" t="s">
        <v>46</v>
      </c>
      <c r="C3763">
        <v>30.85</v>
      </c>
      <c r="D3763">
        <v>31.7</v>
      </c>
      <c r="E3763">
        <v>30.68</v>
      </c>
      <c r="F3763">
        <v>31.25</v>
      </c>
      <c r="G3763">
        <v>31.225000000000001</v>
      </c>
      <c r="H3763">
        <v>0.27500000000000002</v>
      </c>
      <c r="I3763">
        <v>10456</v>
      </c>
      <c r="J3763">
        <v>0</v>
      </c>
      <c r="K3763">
        <v>27674</v>
      </c>
      <c r="L3763">
        <v>60</v>
      </c>
      <c r="M3763">
        <v>85</v>
      </c>
      <c r="N3763" t="s">
        <v>46</v>
      </c>
      <c r="O3763" s="3">
        <v>44181</v>
      </c>
      <c r="P3763">
        <v>-1</v>
      </c>
      <c r="T3763" t="s">
        <v>37</v>
      </c>
      <c r="U3763">
        <v>46</v>
      </c>
      <c r="V3763">
        <v>21.249199999999998</v>
      </c>
    </row>
    <row r="3764" spans="1:22" x14ac:dyDescent="0.35">
      <c r="A3764" s="3">
        <v>44096</v>
      </c>
      <c r="B3764" t="s">
        <v>42</v>
      </c>
      <c r="C3764">
        <v>28.67</v>
      </c>
      <c r="D3764">
        <v>29.05</v>
      </c>
      <c r="E3764">
        <v>28.6</v>
      </c>
      <c r="F3764">
        <v>29</v>
      </c>
      <c r="G3764">
        <v>29.024999999999999</v>
      </c>
      <c r="H3764">
        <v>0.375</v>
      </c>
      <c r="I3764">
        <v>773</v>
      </c>
      <c r="J3764">
        <v>0</v>
      </c>
      <c r="K3764">
        <v>1128</v>
      </c>
      <c r="L3764">
        <v>146</v>
      </c>
      <c r="M3764">
        <v>211</v>
      </c>
      <c r="N3764" t="s">
        <v>42</v>
      </c>
      <c r="O3764" s="3">
        <v>44307</v>
      </c>
      <c r="P3764">
        <v>-1</v>
      </c>
      <c r="T3764" t="s">
        <v>36</v>
      </c>
      <c r="U3764">
        <v>71</v>
      </c>
      <c r="V3764">
        <v>22.2</v>
      </c>
    </row>
    <row r="3765" spans="1:22" x14ac:dyDescent="0.35">
      <c r="A3765" s="3">
        <v>44096</v>
      </c>
      <c r="B3765" t="s">
        <v>44</v>
      </c>
      <c r="C3765">
        <v>29.5</v>
      </c>
      <c r="D3765">
        <v>30.15</v>
      </c>
      <c r="E3765">
        <v>29.44</v>
      </c>
      <c r="F3765">
        <v>29.9</v>
      </c>
      <c r="G3765">
        <v>29.875</v>
      </c>
      <c r="H3765">
        <v>0.35</v>
      </c>
      <c r="I3765">
        <v>4265</v>
      </c>
      <c r="J3765">
        <v>0</v>
      </c>
      <c r="K3765">
        <v>11568</v>
      </c>
      <c r="L3765">
        <v>101</v>
      </c>
      <c r="M3765">
        <v>148</v>
      </c>
      <c r="N3765" t="s">
        <v>44</v>
      </c>
      <c r="O3765" s="3">
        <v>44244</v>
      </c>
      <c r="P3765">
        <v>-1</v>
      </c>
      <c r="T3765" t="s">
        <v>35</v>
      </c>
      <c r="U3765">
        <v>91</v>
      </c>
      <c r="V3765">
        <v>22.5717</v>
      </c>
    </row>
    <row r="3766" spans="1:22" x14ac:dyDescent="0.35">
      <c r="A3766" s="3">
        <v>44096</v>
      </c>
      <c r="B3766" t="s">
        <v>48</v>
      </c>
      <c r="C3766">
        <v>31.25</v>
      </c>
      <c r="D3766">
        <v>32.15</v>
      </c>
      <c r="E3766">
        <v>30.9</v>
      </c>
      <c r="F3766">
        <v>31.42</v>
      </c>
      <c r="G3766">
        <v>31.375</v>
      </c>
      <c r="H3766">
        <v>0.15</v>
      </c>
      <c r="I3766">
        <v>56159</v>
      </c>
      <c r="J3766">
        <v>0</v>
      </c>
      <c r="K3766">
        <v>135963</v>
      </c>
      <c r="L3766">
        <v>21</v>
      </c>
      <c r="M3766">
        <v>29</v>
      </c>
      <c r="N3766" t="s">
        <v>48</v>
      </c>
      <c r="O3766" s="3">
        <v>44125</v>
      </c>
      <c r="P3766">
        <v>-1</v>
      </c>
      <c r="T3766" t="s">
        <v>34</v>
      </c>
      <c r="U3766">
        <v>115</v>
      </c>
      <c r="V3766">
        <v>22.695799999999998</v>
      </c>
    </row>
    <row r="3767" spans="1:22" x14ac:dyDescent="0.35">
      <c r="A3767" s="3">
        <v>44096</v>
      </c>
      <c r="B3767" t="s">
        <v>45</v>
      </c>
      <c r="C3767">
        <v>30.17</v>
      </c>
      <c r="D3767">
        <v>31.02</v>
      </c>
      <c r="E3767">
        <v>30.16</v>
      </c>
      <c r="F3767">
        <v>30.65</v>
      </c>
      <c r="G3767">
        <v>30.574999999999999</v>
      </c>
      <c r="H3767">
        <v>0.3</v>
      </c>
      <c r="I3767">
        <v>5326</v>
      </c>
      <c r="J3767">
        <v>0</v>
      </c>
      <c r="K3767">
        <v>17258</v>
      </c>
      <c r="L3767">
        <v>82</v>
      </c>
      <c r="M3767">
        <v>120</v>
      </c>
      <c r="N3767" t="s">
        <v>45</v>
      </c>
      <c r="O3767" s="3">
        <v>44216</v>
      </c>
      <c r="P3767">
        <v>-1</v>
      </c>
      <c r="S3767" s="3">
        <v>44390</v>
      </c>
      <c r="T3767" t="s">
        <v>33</v>
      </c>
      <c r="U3767">
        <v>132</v>
      </c>
      <c r="V3767">
        <v>23.7974</v>
      </c>
    </row>
    <row r="3768" spans="1:22" x14ac:dyDescent="0.35">
      <c r="A3768" s="3">
        <v>44096</v>
      </c>
      <c r="B3768" t="s">
        <v>41</v>
      </c>
      <c r="C3768">
        <v>28.55</v>
      </c>
      <c r="D3768">
        <v>28.55</v>
      </c>
      <c r="E3768">
        <v>28.45</v>
      </c>
      <c r="F3768">
        <v>28.55</v>
      </c>
      <c r="G3768">
        <v>28.5</v>
      </c>
      <c r="H3768">
        <v>0.47499999999999998</v>
      </c>
      <c r="I3768">
        <v>3</v>
      </c>
      <c r="J3768">
        <v>0</v>
      </c>
      <c r="K3768">
        <v>205</v>
      </c>
      <c r="L3768">
        <v>166</v>
      </c>
      <c r="M3768">
        <v>239</v>
      </c>
      <c r="N3768" t="s">
        <v>41</v>
      </c>
      <c r="O3768" s="3">
        <v>44335</v>
      </c>
      <c r="P3768">
        <v>-1</v>
      </c>
      <c r="T3768" t="s">
        <v>32</v>
      </c>
      <c r="U3768">
        <v>152</v>
      </c>
      <c r="V3768">
        <v>24.05</v>
      </c>
    </row>
    <row r="3769" spans="1:22" x14ac:dyDescent="0.35">
      <c r="A3769" s="3">
        <v>44096</v>
      </c>
      <c r="B3769" t="s">
        <v>47</v>
      </c>
      <c r="C3769">
        <v>31.7</v>
      </c>
      <c r="D3769">
        <v>32.75</v>
      </c>
      <c r="E3769">
        <v>31.45</v>
      </c>
      <c r="F3769">
        <v>32.159999999999997</v>
      </c>
      <c r="G3769">
        <v>32.174999999999997</v>
      </c>
      <c r="H3769">
        <v>0.5</v>
      </c>
      <c r="I3769">
        <v>31251</v>
      </c>
      <c r="J3769">
        <v>0</v>
      </c>
      <c r="K3769">
        <v>53890</v>
      </c>
      <c r="L3769">
        <v>41</v>
      </c>
      <c r="M3769">
        <v>57</v>
      </c>
      <c r="N3769" t="s">
        <v>47</v>
      </c>
      <c r="O3769" s="3">
        <v>44153</v>
      </c>
      <c r="P3769">
        <v>-1</v>
      </c>
      <c r="T3769" t="s">
        <v>31</v>
      </c>
      <c r="U3769">
        <v>170</v>
      </c>
      <c r="V3769">
        <v>24.375</v>
      </c>
    </row>
    <row r="3770" spans="1:22" x14ac:dyDescent="0.35">
      <c r="A3770" s="3">
        <v>44095</v>
      </c>
      <c r="B3770" t="s">
        <v>48</v>
      </c>
      <c r="C3770">
        <v>30.15</v>
      </c>
      <c r="D3770">
        <v>33</v>
      </c>
      <c r="E3770">
        <v>29.8</v>
      </c>
      <c r="F3770">
        <v>31.3</v>
      </c>
      <c r="G3770">
        <v>31.225000000000001</v>
      </c>
      <c r="H3770">
        <v>1.1499999999999999</v>
      </c>
      <c r="I3770">
        <v>82016</v>
      </c>
      <c r="J3770">
        <v>0</v>
      </c>
      <c r="K3770">
        <v>142073</v>
      </c>
      <c r="L3770">
        <v>22</v>
      </c>
      <c r="M3770">
        <v>30</v>
      </c>
      <c r="N3770" t="s">
        <v>48</v>
      </c>
      <c r="O3770" s="3">
        <v>44125</v>
      </c>
      <c r="P3770">
        <v>-1</v>
      </c>
      <c r="T3770" t="s">
        <v>39</v>
      </c>
      <c r="U3770">
        <v>6</v>
      </c>
      <c r="V3770">
        <v>17.734200000000001</v>
      </c>
    </row>
    <row r="3771" spans="1:22" x14ac:dyDescent="0.35">
      <c r="A3771" s="3">
        <v>44095</v>
      </c>
      <c r="B3771" t="s">
        <v>45</v>
      </c>
      <c r="C3771">
        <v>29.84</v>
      </c>
      <c r="D3771">
        <v>30.95</v>
      </c>
      <c r="E3771">
        <v>29.72</v>
      </c>
      <c r="F3771">
        <v>30.3</v>
      </c>
      <c r="G3771">
        <v>30.274999999999999</v>
      </c>
      <c r="H3771">
        <v>0.5</v>
      </c>
      <c r="I3771">
        <v>6973</v>
      </c>
      <c r="J3771">
        <v>0</v>
      </c>
      <c r="K3771">
        <v>16775</v>
      </c>
      <c r="L3771">
        <v>83</v>
      </c>
      <c r="M3771">
        <v>121</v>
      </c>
      <c r="N3771" t="s">
        <v>45</v>
      </c>
      <c r="O3771" s="3">
        <v>44216</v>
      </c>
      <c r="P3771">
        <v>-1</v>
      </c>
      <c r="T3771" t="s">
        <v>38</v>
      </c>
      <c r="U3771">
        <v>26</v>
      </c>
      <c r="V3771">
        <v>20.015699999999999</v>
      </c>
    </row>
    <row r="3772" spans="1:22" x14ac:dyDescent="0.35">
      <c r="A3772" s="3">
        <v>44095</v>
      </c>
      <c r="B3772" t="s">
        <v>41</v>
      </c>
      <c r="C3772">
        <v>28.3</v>
      </c>
      <c r="D3772">
        <v>28.65</v>
      </c>
      <c r="E3772">
        <v>28.15</v>
      </c>
      <c r="F3772">
        <v>28.5</v>
      </c>
      <c r="G3772">
        <v>28.024999999999999</v>
      </c>
      <c r="H3772">
        <v>0.27500000000000002</v>
      </c>
      <c r="I3772">
        <v>21</v>
      </c>
      <c r="J3772">
        <v>0</v>
      </c>
      <c r="K3772">
        <v>203</v>
      </c>
      <c r="L3772">
        <v>167</v>
      </c>
      <c r="M3772">
        <v>240</v>
      </c>
      <c r="N3772" t="s">
        <v>41</v>
      </c>
      <c r="O3772" s="3">
        <v>44335</v>
      </c>
      <c r="P3772">
        <v>-1</v>
      </c>
      <c r="T3772" t="s">
        <v>37</v>
      </c>
      <c r="U3772">
        <v>45</v>
      </c>
      <c r="V3772">
        <v>21.4009</v>
      </c>
    </row>
    <row r="3773" spans="1:22" x14ac:dyDescent="0.35">
      <c r="A3773" s="3">
        <v>44095</v>
      </c>
      <c r="B3773" t="s">
        <v>47</v>
      </c>
      <c r="C3773">
        <v>30.9</v>
      </c>
      <c r="D3773">
        <v>32.799999999999997</v>
      </c>
      <c r="E3773">
        <v>30.6</v>
      </c>
      <c r="F3773">
        <v>31.65</v>
      </c>
      <c r="G3773">
        <v>31.675000000000001</v>
      </c>
      <c r="H3773">
        <v>1</v>
      </c>
      <c r="I3773">
        <v>37978</v>
      </c>
      <c r="J3773">
        <v>0</v>
      </c>
      <c r="K3773">
        <v>50288</v>
      </c>
      <c r="L3773">
        <v>42</v>
      </c>
      <c r="M3773">
        <v>58</v>
      </c>
      <c r="N3773" t="s">
        <v>47</v>
      </c>
      <c r="O3773" s="3">
        <v>44153</v>
      </c>
      <c r="P3773">
        <v>-1</v>
      </c>
      <c r="T3773" t="s">
        <v>36</v>
      </c>
      <c r="U3773">
        <v>70</v>
      </c>
      <c r="V3773">
        <v>22.351800000000001</v>
      </c>
    </row>
    <row r="3774" spans="1:22" x14ac:dyDescent="0.35">
      <c r="A3774" s="3">
        <v>44095</v>
      </c>
      <c r="B3774" t="s">
        <v>43</v>
      </c>
      <c r="C3774">
        <v>29.1</v>
      </c>
      <c r="D3774">
        <v>29.72</v>
      </c>
      <c r="E3774">
        <v>28.87</v>
      </c>
      <c r="F3774">
        <v>29.15</v>
      </c>
      <c r="G3774">
        <v>29.175000000000001</v>
      </c>
      <c r="H3774">
        <v>0.2</v>
      </c>
      <c r="I3774">
        <v>2629</v>
      </c>
      <c r="J3774">
        <v>0</v>
      </c>
      <c r="K3774">
        <v>7539</v>
      </c>
      <c r="L3774">
        <v>122</v>
      </c>
      <c r="M3774">
        <v>177</v>
      </c>
      <c r="N3774" t="s">
        <v>43</v>
      </c>
      <c r="O3774" s="3">
        <v>44272</v>
      </c>
      <c r="P3774">
        <v>-1</v>
      </c>
      <c r="T3774" t="s">
        <v>35</v>
      </c>
      <c r="U3774">
        <v>90</v>
      </c>
      <c r="V3774">
        <v>22.757100000000001</v>
      </c>
    </row>
    <row r="3775" spans="1:22" x14ac:dyDescent="0.35">
      <c r="A3775" s="3">
        <v>44095</v>
      </c>
      <c r="B3775" t="s">
        <v>46</v>
      </c>
      <c r="C3775">
        <v>30.3</v>
      </c>
      <c r="D3775">
        <v>31.47</v>
      </c>
      <c r="E3775">
        <v>30.05</v>
      </c>
      <c r="F3775">
        <v>30.9</v>
      </c>
      <c r="G3775">
        <v>30.95</v>
      </c>
      <c r="H3775">
        <v>0.92500000000000004</v>
      </c>
      <c r="I3775">
        <v>14202</v>
      </c>
      <c r="J3775">
        <v>0</v>
      </c>
      <c r="K3775">
        <v>27127</v>
      </c>
      <c r="L3775">
        <v>61</v>
      </c>
      <c r="M3775">
        <v>86</v>
      </c>
      <c r="N3775" t="s">
        <v>46</v>
      </c>
      <c r="O3775" s="3">
        <v>44181</v>
      </c>
      <c r="P3775">
        <v>-1</v>
      </c>
      <c r="T3775" t="s">
        <v>34</v>
      </c>
      <c r="U3775">
        <v>114</v>
      </c>
      <c r="V3775">
        <v>22.9054</v>
      </c>
    </row>
    <row r="3776" spans="1:22" x14ac:dyDescent="0.35">
      <c r="A3776" s="3">
        <v>44095</v>
      </c>
      <c r="B3776" t="s">
        <v>42</v>
      </c>
      <c r="C3776">
        <v>28.53</v>
      </c>
      <c r="D3776">
        <v>29.13</v>
      </c>
      <c r="E3776">
        <v>28.37</v>
      </c>
      <c r="F3776">
        <v>28.6</v>
      </c>
      <c r="G3776">
        <v>28.65</v>
      </c>
      <c r="H3776">
        <v>0.3</v>
      </c>
      <c r="I3776">
        <v>762</v>
      </c>
      <c r="J3776">
        <v>0</v>
      </c>
      <c r="K3776">
        <v>926</v>
      </c>
      <c r="L3776">
        <v>147</v>
      </c>
      <c r="M3776">
        <v>212</v>
      </c>
      <c r="N3776" t="s">
        <v>42</v>
      </c>
      <c r="O3776" s="3">
        <v>44307</v>
      </c>
      <c r="P3776">
        <v>-1</v>
      </c>
      <c r="S3776" s="3">
        <v>44391</v>
      </c>
      <c r="T3776" t="s">
        <v>33</v>
      </c>
      <c r="U3776">
        <v>131</v>
      </c>
      <c r="V3776">
        <v>23.877800000000001</v>
      </c>
    </row>
    <row r="3777" spans="1:22" x14ac:dyDescent="0.35">
      <c r="A3777" s="3">
        <v>44095</v>
      </c>
      <c r="B3777" t="s">
        <v>44</v>
      </c>
      <c r="C3777">
        <v>29.4</v>
      </c>
      <c r="D3777">
        <v>30.25</v>
      </c>
      <c r="E3777">
        <v>29.21</v>
      </c>
      <c r="F3777">
        <v>29.51</v>
      </c>
      <c r="G3777">
        <v>29.524999999999999</v>
      </c>
      <c r="H3777">
        <v>0.22500000000000001</v>
      </c>
      <c r="I3777">
        <v>5354</v>
      </c>
      <c r="J3777">
        <v>0</v>
      </c>
      <c r="K3777">
        <v>10578</v>
      </c>
      <c r="L3777">
        <v>102</v>
      </c>
      <c r="M3777">
        <v>149</v>
      </c>
      <c r="N3777" t="s">
        <v>44</v>
      </c>
      <c r="O3777" s="3">
        <v>44244</v>
      </c>
      <c r="P3777">
        <v>-1</v>
      </c>
      <c r="T3777" t="s">
        <v>32</v>
      </c>
      <c r="U3777">
        <v>151</v>
      </c>
      <c r="V3777">
        <v>24.1</v>
      </c>
    </row>
    <row r="3778" spans="1:22" x14ac:dyDescent="0.35">
      <c r="A3778" s="3">
        <v>44092</v>
      </c>
      <c r="B3778" t="s">
        <v>43</v>
      </c>
      <c r="C3778">
        <v>28.6</v>
      </c>
      <c r="D3778">
        <v>29</v>
      </c>
      <c r="E3778">
        <v>28.35</v>
      </c>
      <c r="F3778">
        <v>29</v>
      </c>
      <c r="G3778">
        <v>28.975000000000001</v>
      </c>
      <c r="H3778">
        <v>0.3</v>
      </c>
      <c r="I3778">
        <v>1554</v>
      </c>
      <c r="J3778">
        <v>0</v>
      </c>
      <c r="K3778">
        <v>7351</v>
      </c>
      <c r="L3778">
        <v>123</v>
      </c>
      <c r="M3778">
        <v>180</v>
      </c>
      <c r="N3778" t="s">
        <v>43</v>
      </c>
      <c r="O3778" s="3">
        <v>44272</v>
      </c>
      <c r="P3778">
        <v>-1</v>
      </c>
      <c r="T3778" t="s">
        <v>31</v>
      </c>
      <c r="U3778">
        <v>169</v>
      </c>
      <c r="V3778">
        <v>24.3</v>
      </c>
    </row>
    <row r="3779" spans="1:22" x14ac:dyDescent="0.35">
      <c r="A3779" s="3">
        <v>44092</v>
      </c>
      <c r="B3779" t="s">
        <v>46</v>
      </c>
      <c r="C3779">
        <v>30</v>
      </c>
      <c r="D3779">
        <v>30.68</v>
      </c>
      <c r="E3779">
        <v>29.75</v>
      </c>
      <c r="F3779">
        <v>30.15</v>
      </c>
      <c r="G3779">
        <v>30.024999999999999</v>
      </c>
      <c r="H3779">
        <v>-0.125</v>
      </c>
      <c r="I3779">
        <v>11245</v>
      </c>
      <c r="J3779">
        <v>0</v>
      </c>
      <c r="K3779">
        <v>27464</v>
      </c>
      <c r="L3779">
        <v>62</v>
      </c>
      <c r="M3779">
        <v>89</v>
      </c>
      <c r="N3779" t="s">
        <v>46</v>
      </c>
      <c r="O3779" s="3">
        <v>44181</v>
      </c>
      <c r="P3779">
        <v>-1</v>
      </c>
      <c r="T3779" t="s">
        <v>39</v>
      </c>
      <c r="U3779">
        <v>5</v>
      </c>
      <c r="V3779">
        <v>17.047000000000001</v>
      </c>
    </row>
    <row r="3780" spans="1:22" x14ac:dyDescent="0.35">
      <c r="A3780" s="3">
        <v>44092</v>
      </c>
      <c r="B3780" t="s">
        <v>42</v>
      </c>
      <c r="C3780">
        <v>28</v>
      </c>
      <c r="D3780">
        <v>28.5</v>
      </c>
      <c r="E3780">
        <v>27.85</v>
      </c>
      <c r="F3780">
        <v>28.35</v>
      </c>
      <c r="G3780">
        <v>28.35</v>
      </c>
      <c r="H3780">
        <v>0.22500000000000001</v>
      </c>
      <c r="I3780">
        <v>599</v>
      </c>
      <c r="J3780">
        <v>0</v>
      </c>
      <c r="K3780">
        <v>825</v>
      </c>
      <c r="L3780">
        <v>148</v>
      </c>
      <c r="M3780">
        <v>215</v>
      </c>
      <c r="N3780" t="s">
        <v>42</v>
      </c>
      <c r="O3780" s="3">
        <v>44307</v>
      </c>
      <c r="P3780">
        <v>-1</v>
      </c>
      <c r="T3780" t="s">
        <v>38</v>
      </c>
      <c r="U3780">
        <v>25</v>
      </c>
      <c r="V3780">
        <v>19.602900000000002</v>
      </c>
    </row>
    <row r="3781" spans="1:22" x14ac:dyDescent="0.35">
      <c r="A3781" s="3">
        <v>44092</v>
      </c>
      <c r="B3781" t="s">
        <v>44</v>
      </c>
      <c r="C3781">
        <v>28.85</v>
      </c>
      <c r="D3781">
        <v>29.46</v>
      </c>
      <c r="E3781">
        <v>28.72</v>
      </c>
      <c r="F3781">
        <v>29.29</v>
      </c>
      <c r="G3781">
        <v>29.3</v>
      </c>
      <c r="H3781">
        <v>0.27500000000000002</v>
      </c>
      <c r="I3781">
        <v>3315</v>
      </c>
      <c r="J3781">
        <v>0</v>
      </c>
      <c r="K3781">
        <v>10447</v>
      </c>
      <c r="L3781">
        <v>103</v>
      </c>
      <c r="M3781">
        <v>152</v>
      </c>
      <c r="N3781" t="s">
        <v>44</v>
      </c>
      <c r="O3781" s="3">
        <v>44244</v>
      </c>
      <c r="P3781">
        <v>-1</v>
      </c>
      <c r="T3781" t="s">
        <v>37</v>
      </c>
      <c r="U3781">
        <v>44</v>
      </c>
      <c r="V3781">
        <v>21.150700000000001</v>
      </c>
    </row>
    <row r="3782" spans="1:22" x14ac:dyDescent="0.35">
      <c r="A3782" s="3">
        <v>44092</v>
      </c>
      <c r="B3782" t="s">
        <v>48</v>
      </c>
      <c r="C3782">
        <v>29.95</v>
      </c>
      <c r="D3782">
        <v>30.85</v>
      </c>
      <c r="E3782">
        <v>29.18</v>
      </c>
      <c r="F3782">
        <v>30.1</v>
      </c>
      <c r="G3782">
        <v>30.074999999999999</v>
      </c>
      <c r="H3782">
        <v>0.25</v>
      </c>
      <c r="I3782">
        <v>75616</v>
      </c>
      <c r="J3782">
        <v>297</v>
      </c>
      <c r="K3782">
        <v>148896</v>
      </c>
      <c r="L3782">
        <v>23</v>
      </c>
      <c r="M3782">
        <v>33</v>
      </c>
      <c r="N3782" t="s">
        <v>48</v>
      </c>
      <c r="O3782" s="3">
        <v>44125</v>
      </c>
      <c r="P3782">
        <v>-1</v>
      </c>
      <c r="T3782" t="s">
        <v>36</v>
      </c>
      <c r="U3782">
        <v>69</v>
      </c>
      <c r="V3782">
        <v>22.25</v>
      </c>
    </row>
    <row r="3783" spans="1:22" x14ac:dyDescent="0.35">
      <c r="A3783" s="3">
        <v>44092</v>
      </c>
      <c r="B3783" t="s">
        <v>45</v>
      </c>
      <c r="C3783">
        <v>29.45</v>
      </c>
      <c r="D3783">
        <v>30.12</v>
      </c>
      <c r="E3783">
        <v>29.32</v>
      </c>
      <c r="F3783">
        <v>29.8</v>
      </c>
      <c r="G3783">
        <v>29.774999999999999</v>
      </c>
      <c r="H3783">
        <v>0.1</v>
      </c>
      <c r="I3783">
        <v>5609</v>
      </c>
      <c r="J3783">
        <v>0</v>
      </c>
      <c r="K3783">
        <v>17098</v>
      </c>
      <c r="L3783">
        <v>84</v>
      </c>
      <c r="M3783">
        <v>124</v>
      </c>
      <c r="N3783" t="s">
        <v>45</v>
      </c>
      <c r="O3783" s="3">
        <v>44216</v>
      </c>
      <c r="P3783">
        <v>-1</v>
      </c>
      <c r="T3783" t="s">
        <v>35</v>
      </c>
      <c r="U3783">
        <v>89</v>
      </c>
      <c r="V3783">
        <v>22.696100000000001</v>
      </c>
    </row>
    <row r="3784" spans="1:22" x14ac:dyDescent="0.35">
      <c r="A3784" s="3">
        <v>44092</v>
      </c>
      <c r="B3784" t="s">
        <v>41</v>
      </c>
      <c r="C3784">
        <v>27.48</v>
      </c>
      <c r="D3784">
        <v>27.9</v>
      </c>
      <c r="E3784">
        <v>27.48</v>
      </c>
      <c r="F3784">
        <v>27.8</v>
      </c>
      <c r="G3784">
        <v>27.75</v>
      </c>
      <c r="H3784">
        <v>0.32500000000000001</v>
      </c>
      <c r="I3784">
        <v>27</v>
      </c>
      <c r="J3784">
        <v>0</v>
      </c>
      <c r="K3784">
        <v>194</v>
      </c>
      <c r="L3784">
        <v>168</v>
      </c>
      <c r="M3784">
        <v>243</v>
      </c>
      <c r="N3784" t="s">
        <v>41</v>
      </c>
      <c r="O3784" s="3">
        <v>44335</v>
      </c>
      <c r="P3784">
        <v>-1</v>
      </c>
      <c r="T3784" t="s">
        <v>34</v>
      </c>
      <c r="U3784">
        <v>113</v>
      </c>
      <c r="V3784">
        <v>22.897400000000001</v>
      </c>
    </row>
    <row r="3785" spans="1:22" x14ac:dyDescent="0.35">
      <c r="A3785" s="3">
        <v>44092</v>
      </c>
      <c r="B3785" t="s">
        <v>47</v>
      </c>
      <c r="C3785">
        <v>30.52</v>
      </c>
      <c r="D3785">
        <v>31.32</v>
      </c>
      <c r="E3785">
        <v>30.06</v>
      </c>
      <c r="F3785">
        <v>30.76</v>
      </c>
      <c r="G3785">
        <v>30.675000000000001</v>
      </c>
      <c r="H3785">
        <v>0.1</v>
      </c>
      <c r="I3785">
        <v>41936</v>
      </c>
      <c r="J3785">
        <v>25</v>
      </c>
      <c r="K3785">
        <v>46969</v>
      </c>
      <c r="L3785">
        <v>43</v>
      </c>
      <c r="M3785">
        <v>61</v>
      </c>
      <c r="N3785" t="s">
        <v>47</v>
      </c>
      <c r="O3785" s="3">
        <v>44153</v>
      </c>
      <c r="P3785">
        <v>-1</v>
      </c>
      <c r="S3785" s="3">
        <v>44392</v>
      </c>
      <c r="T3785" t="s">
        <v>33</v>
      </c>
      <c r="U3785">
        <v>130</v>
      </c>
      <c r="V3785">
        <v>23.77</v>
      </c>
    </row>
    <row r="3786" spans="1:22" x14ac:dyDescent="0.35">
      <c r="A3786" s="3">
        <v>44091</v>
      </c>
      <c r="B3786" t="s">
        <v>48</v>
      </c>
      <c r="C3786">
        <v>30.4</v>
      </c>
      <c r="D3786">
        <v>32.01</v>
      </c>
      <c r="E3786">
        <v>29.75</v>
      </c>
      <c r="F3786">
        <v>29.95</v>
      </c>
      <c r="G3786">
        <v>29.824999999999999</v>
      </c>
      <c r="H3786">
        <v>-0.7</v>
      </c>
      <c r="I3786">
        <v>75007</v>
      </c>
      <c r="J3786">
        <v>388</v>
      </c>
      <c r="K3786">
        <v>152028</v>
      </c>
      <c r="L3786">
        <v>24</v>
      </c>
      <c r="M3786">
        <v>34</v>
      </c>
      <c r="N3786" t="s">
        <v>48</v>
      </c>
      <c r="O3786" s="3">
        <v>44125</v>
      </c>
      <c r="P3786">
        <v>-1</v>
      </c>
      <c r="T3786" t="s">
        <v>32</v>
      </c>
      <c r="U3786">
        <v>150</v>
      </c>
      <c r="V3786">
        <v>24.15</v>
      </c>
    </row>
    <row r="3787" spans="1:22" x14ac:dyDescent="0.35">
      <c r="A3787" s="3">
        <v>44091</v>
      </c>
      <c r="B3787" t="s">
        <v>45</v>
      </c>
      <c r="C3787">
        <v>29.2</v>
      </c>
      <c r="D3787">
        <v>29.95</v>
      </c>
      <c r="E3787">
        <v>29.14</v>
      </c>
      <c r="F3787">
        <v>29.6</v>
      </c>
      <c r="G3787">
        <v>29.675000000000001</v>
      </c>
      <c r="H3787">
        <v>0.375</v>
      </c>
      <c r="I3787">
        <v>9925</v>
      </c>
      <c r="J3787">
        <v>0</v>
      </c>
      <c r="K3787">
        <v>16542</v>
      </c>
      <c r="L3787">
        <v>85</v>
      </c>
      <c r="M3787">
        <v>125</v>
      </c>
      <c r="N3787" t="s">
        <v>45</v>
      </c>
      <c r="O3787" s="3">
        <v>44216</v>
      </c>
      <c r="P3787">
        <v>-1</v>
      </c>
      <c r="T3787" t="s">
        <v>31</v>
      </c>
      <c r="U3787">
        <v>168</v>
      </c>
      <c r="V3787">
        <v>24.274999999999999</v>
      </c>
    </row>
    <row r="3788" spans="1:22" x14ac:dyDescent="0.35">
      <c r="A3788" s="3">
        <v>44091</v>
      </c>
      <c r="B3788" t="s">
        <v>41</v>
      </c>
      <c r="C3788">
        <v>27.6</v>
      </c>
      <c r="D3788">
        <v>27.65</v>
      </c>
      <c r="E3788">
        <v>27.22</v>
      </c>
      <c r="F3788">
        <v>27.55</v>
      </c>
      <c r="G3788">
        <v>27.425000000000001</v>
      </c>
      <c r="H3788">
        <v>0.375</v>
      </c>
      <c r="I3788">
        <v>95</v>
      </c>
      <c r="J3788">
        <v>0</v>
      </c>
      <c r="K3788">
        <v>209</v>
      </c>
      <c r="L3788">
        <v>169</v>
      </c>
      <c r="M3788">
        <v>244</v>
      </c>
      <c r="N3788" t="s">
        <v>41</v>
      </c>
      <c r="O3788" s="3">
        <v>44335</v>
      </c>
      <c r="P3788">
        <v>-1</v>
      </c>
      <c r="T3788" t="s">
        <v>39</v>
      </c>
      <c r="U3788">
        <v>4</v>
      </c>
      <c r="V3788">
        <v>17.510000000000002</v>
      </c>
    </row>
    <row r="3789" spans="1:22" x14ac:dyDescent="0.35">
      <c r="A3789" s="3">
        <v>44091</v>
      </c>
      <c r="B3789" t="s">
        <v>47</v>
      </c>
      <c r="C3789">
        <v>30.7</v>
      </c>
      <c r="D3789">
        <v>31.84</v>
      </c>
      <c r="E3789">
        <v>30.45</v>
      </c>
      <c r="F3789">
        <v>30.52</v>
      </c>
      <c r="G3789">
        <v>30.574999999999999</v>
      </c>
      <c r="H3789">
        <v>-0.2</v>
      </c>
      <c r="I3789">
        <v>40396</v>
      </c>
      <c r="J3789">
        <v>16</v>
      </c>
      <c r="K3789">
        <v>43359</v>
      </c>
      <c r="L3789">
        <v>44</v>
      </c>
      <c r="M3789">
        <v>62</v>
      </c>
      <c r="N3789" t="s">
        <v>47</v>
      </c>
      <c r="O3789" s="3">
        <v>44153</v>
      </c>
      <c r="P3789">
        <v>-1</v>
      </c>
      <c r="T3789" t="s">
        <v>38</v>
      </c>
      <c r="U3789">
        <v>24</v>
      </c>
      <c r="V3789">
        <v>19.814900000000002</v>
      </c>
    </row>
    <row r="3790" spans="1:22" x14ac:dyDescent="0.35">
      <c r="A3790" s="3">
        <v>44091</v>
      </c>
      <c r="B3790" t="s">
        <v>43</v>
      </c>
      <c r="C3790">
        <v>28.15</v>
      </c>
      <c r="D3790">
        <v>28.8</v>
      </c>
      <c r="E3790">
        <v>28.15</v>
      </c>
      <c r="F3790">
        <v>28.6</v>
      </c>
      <c r="G3790">
        <v>28.675000000000001</v>
      </c>
      <c r="H3790">
        <v>0.52500000000000002</v>
      </c>
      <c r="I3790">
        <v>2067</v>
      </c>
      <c r="J3790">
        <v>0</v>
      </c>
      <c r="K3790">
        <v>7166</v>
      </c>
      <c r="L3790">
        <v>124</v>
      </c>
      <c r="M3790">
        <v>181</v>
      </c>
      <c r="N3790" t="s">
        <v>43</v>
      </c>
      <c r="O3790" s="3">
        <v>44272</v>
      </c>
      <c r="P3790">
        <v>-1</v>
      </c>
      <c r="T3790" t="s">
        <v>37</v>
      </c>
      <c r="U3790">
        <v>43</v>
      </c>
      <c r="V3790">
        <v>21.215699999999998</v>
      </c>
    </row>
    <row r="3791" spans="1:22" x14ac:dyDescent="0.35">
      <c r="A3791" s="3">
        <v>44091</v>
      </c>
      <c r="B3791" t="s">
        <v>46</v>
      </c>
      <c r="C3791">
        <v>29.89</v>
      </c>
      <c r="D3791">
        <v>30.77</v>
      </c>
      <c r="E3791">
        <v>29.74</v>
      </c>
      <c r="F3791">
        <v>30</v>
      </c>
      <c r="G3791">
        <v>30.15</v>
      </c>
      <c r="H3791">
        <v>0.17499999999999999</v>
      </c>
      <c r="I3791">
        <v>14654</v>
      </c>
      <c r="J3791">
        <v>0</v>
      </c>
      <c r="K3791">
        <v>26696</v>
      </c>
      <c r="L3791">
        <v>63</v>
      </c>
      <c r="M3791">
        <v>90</v>
      </c>
      <c r="N3791" t="s">
        <v>46</v>
      </c>
      <c r="O3791" s="3">
        <v>44181</v>
      </c>
      <c r="P3791">
        <v>-1</v>
      </c>
      <c r="T3791" t="s">
        <v>36</v>
      </c>
      <c r="U3791">
        <v>68</v>
      </c>
      <c r="V3791">
        <v>22.201899999999998</v>
      </c>
    </row>
    <row r="3792" spans="1:22" x14ac:dyDescent="0.35">
      <c r="A3792" s="3">
        <v>44091</v>
      </c>
      <c r="B3792" t="s">
        <v>42</v>
      </c>
      <c r="C3792">
        <v>27.65</v>
      </c>
      <c r="D3792">
        <v>28.29</v>
      </c>
      <c r="E3792">
        <v>27.65</v>
      </c>
      <c r="F3792">
        <v>28.02</v>
      </c>
      <c r="G3792">
        <v>28.125</v>
      </c>
      <c r="H3792">
        <v>0.5</v>
      </c>
      <c r="I3792">
        <v>819</v>
      </c>
      <c r="J3792">
        <v>0</v>
      </c>
      <c r="K3792">
        <v>703</v>
      </c>
      <c r="L3792">
        <v>149</v>
      </c>
      <c r="M3792">
        <v>216</v>
      </c>
      <c r="N3792" t="s">
        <v>42</v>
      </c>
      <c r="O3792" s="3">
        <v>44307</v>
      </c>
      <c r="P3792">
        <v>-1</v>
      </c>
      <c r="T3792" t="s">
        <v>35</v>
      </c>
      <c r="U3792">
        <v>88</v>
      </c>
      <c r="V3792">
        <v>22.6617</v>
      </c>
    </row>
    <row r="3793" spans="1:22" x14ac:dyDescent="0.35">
      <c r="A3793" s="3">
        <v>44091</v>
      </c>
      <c r="B3793" t="s">
        <v>44</v>
      </c>
      <c r="C3793">
        <v>28.48</v>
      </c>
      <c r="D3793">
        <v>29.2</v>
      </c>
      <c r="E3793">
        <v>28.48</v>
      </c>
      <c r="F3793">
        <v>28.92</v>
      </c>
      <c r="G3793">
        <v>29.024999999999999</v>
      </c>
      <c r="H3793">
        <v>0.47499999999999998</v>
      </c>
      <c r="I3793">
        <v>4143</v>
      </c>
      <c r="J3793">
        <v>0</v>
      </c>
      <c r="K3793">
        <v>10508</v>
      </c>
      <c r="L3793">
        <v>104</v>
      </c>
      <c r="M3793">
        <v>153</v>
      </c>
      <c r="N3793" t="s">
        <v>44</v>
      </c>
      <c r="O3793" s="3">
        <v>44244</v>
      </c>
      <c r="P3793">
        <v>-1</v>
      </c>
      <c r="T3793" t="s">
        <v>34</v>
      </c>
      <c r="U3793">
        <v>112</v>
      </c>
      <c r="V3793">
        <v>22.824100000000001</v>
      </c>
    </row>
    <row r="3794" spans="1:22" x14ac:dyDescent="0.35">
      <c r="A3794" s="3">
        <v>44090</v>
      </c>
      <c r="B3794" t="s">
        <v>43</v>
      </c>
      <c r="C3794">
        <v>27.79</v>
      </c>
      <c r="D3794">
        <v>28.2</v>
      </c>
      <c r="E3794">
        <v>27.67</v>
      </c>
      <c r="F3794">
        <v>28.15</v>
      </c>
      <c r="G3794">
        <v>28.15</v>
      </c>
      <c r="H3794">
        <v>0.35</v>
      </c>
      <c r="I3794">
        <v>1255</v>
      </c>
      <c r="J3794">
        <v>0</v>
      </c>
      <c r="K3794">
        <v>7130</v>
      </c>
      <c r="L3794">
        <v>125</v>
      </c>
      <c r="M3794">
        <v>182</v>
      </c>
      <c r="N3794" t="s">
        <v>43</v>
      </c>
      <c r="O3794" s="3">
        <v>44272</v>
      </c>
      <c r="P3794">
        <v>-1</v>
      </c>
      <c r="S3794" s="3">
        <v>44393</v>
      </c>
      <c r="T3794" t="s">
        <v>33</v>
      </c>
      <c r="U3794">
        <v>129</v>
      </c>
      <c r="V3794">
        <v>24.074999999999999</v>
      </c>
    </row>
    <row r="3795" spans="1:22" x14ac:dyDescent="0.35">
      <c r="A3795" s="3">
        <v>44090</v>
      </c>
      <c r="B3795" t="s">
        <v>46</v>
      </c>
      <c r="C3795">
        <v>29.45</v>
      </c>
      <c r="D3795">
        <v>30</v>
      </c>
      <c r="E3795">
        <v>29.13</v>
      </c>
      <c r="F3795">
        <v>29.85</v>
      </c>
      <c r="G3795">
        <v>29.975000000000001</v>
      </c>
      <c r="H3795">
        <v>0.55000000000000004</v>
      </c>
      <c r="I3795">
        <v>9988</v>
      </c>
      <c r="J3795">
        <v>0</v>
      </c>
      <c r="K3795">
        <v>26832</v>
      </c>
      <c r="L3795">
        <v>64</v>
      </c>
      <c r="M3795">
        <v>91</v>
      </c>
      <c r="N3795" t="s">
        <v>46</v>
      </c>
      <c r="O3795" s="3">
        <v>44181</v>
      </c>
      <c r="P3795">
        <v>-1</v>
      </c>
      <c r="T3795" t="s">
        <v>32</v>
      </c>
      <c r="U3795">
        <v>149</v>
      </c>
      <c r="V3795">
        <v>24.2</v>
      </c>
    </row>
    <row r="3796" spans="1:22" x14ac:dyDescent="0.35">
      <c r="A3796" s="3">
        <v>44090</v>
      </c>
      <c r="B3796" t="s">
        <v>42</v>
      </c>
      <c r="C3796">
        <v>27.28</v>
      </c>
      <c r="D3796">
        <v>27.65</v>
      </c>
      <c r="E3796">
        <v>27.12</v>
      </c>
      <c r="F3796">
        <v>27.55</v>
      </c>
      <c r="G3796">
        <v>27.625</v>
      </c>
      <c r="H3796">
        <v>0.42499999999999999</v>
      </c>
      <c r="I3796">
        <v>413</v>
      </c>
      <c r="J3796">
        <v>0</v>
      </c>
      <c r="K3796">
        <v>426</v>
      </c>
      <c r="L3796">
        <v>150</v>
      </c>
      <c r="M3796">
        <v>217</v>
      </c>
      <c r="N3796" t="s">
        <v>42</v>
      </c>
      <c r="O3796" s="3">
        <v>44307</v>
      </c>
      <c r="P3796">
        <v>-1</v>
      </c>
      <c r="T3796" t="s">
        <v>31</v>
      </c>
      <c r="U3796">
        <v>167</v>
      </c>
      <c r="V3796">
        <v>24.45</v>
      </c>
    </row>
    <row r="3797" spans="1:22" x14ac:dyDescent="0.35">
      <c r="A3797" s="3">
        <v>44090</v>
      </c>
      <c r="B3797" t="s">
        <v>44</v>
      </c>
      <c r="C3797">
        <v>28.12</v>
      </c>
      <c r="D3797">
        <v>28.6</v>
      </c>
      <c r="E3797">
        <v>27.97</v>
      </c>
      <c r="F3797">
        <v>28.4</v>
      </c>
      <c r="G3797">
        <v>28.55</v>
      </c>
      <c r="H3797">
        <v>0.42499999999999999</v>
      </c>
      <c r="I3797">
        <v>4357</v>
      </c>
      <c r="J3797">
        <v>0</v>
      </c>
      <c r="K3797">
        <v>10245</v>
      </c>
      <c r="L3797">
        <v>105</v>
      </c>
      <c r="M3797">
        <v>154</v>
      </c>
      <c r="N3797" t="s">
        <v>44</v>
      </c>
      <c r="O3797" s="3">
        <v>44244</v>
      </c>
      <c r="P3797">
        <v>-1</v>
      </c>
      <c r="T3797" t="s">
        <v>39</v>
      </c>
      <c r="U3797">
        <v>3</v>
      </c>
      <c r="V3797">
        <v>18.622800000000002</v>
      </c>
    </row>
    <row r="3798" spans="1:22" x14ac:dyDescent="0.35">
      <c r="A3798" s="3">
        <v>44090</v>
      </c>
      <c r="B3798" t="s">
        <v>49</v>
      </c>
      <c r="C3798">
        <v>25.5</v>
      </c>
      <c r="D3798">
        <v>25.8</v>
      </c>
      <c r="E3798">
        <v>25.1</v>
      </c>
      <c r="F3798">
        <v>25.4</v>
      </c>
      <c r="G3798">
        <v>26.12</v>
      </c>
      <c r="H3798">
        <v>0.745</v>
      </c>
      <c r="I3798">
        <v>743</v>
      </c>
      <c r="J3798">
        <v>0</v>
      </c>
      <c r="K3798">
        <v>12991</v>
      </c>
      <c r="L3798">
        <v>0</v>
      </c>
      <c r="M3798">
        <v>0</v>
      </c>
      <c r="N3798" t="s">
        <v>49</v>
      </c>
      <c r="O3798" s="3">
        <v>44090</v>
      </c>
      <c r="P3798">
        <v>-1</v>
      </c>
      <c r="T3798" t="s">
        <v>38</v>
      </c>
      <c r="U3798">
        <v>23</v>
      </c>
      <c r="V3798">
        <v>20.633900000000001</v>
      </c>
    </row>
    <row r="3799" spans="1:22" x14ac:dyDescent="0.35">
      <c r="A3799" s="3">
        <v>44090</v>
      </c>
      <c r="B3799" t="s">
        <v>48</v>
      </c>
      <c r="C3799">
        <v>30.45</v>
      </c>
      <c r="D3799">
        <v>30.83</v>
      </c>
      <c r="E3799">
        <v>29.95</v>
      </c>
      <c r="F3799">
        <v>30.35</v>
      </c>
      <c r="G3799">
        <v>30.524999999999999</v>
      </c>
      <c r="H3799">
        <v>0.1</v>
      </c>
      <c r="I3799">
        <v>72573</v>
      </c>
      <c r="J3799">
        <v>0</v>
      </c>
      <c r="K3799">
        <v>155365</v>
      </c>
      <c r="L3799">
        <v>25</v>
      </c>
      <c r="M3799">
        <v>35</v>
      </c>
      <c r="N3799" t="s">
        <v>48</v>
      </c>
      <c r="O3799" s="3">
        <v>44125</v>
      </c>
      <c r="P3799">
        <v>-1</v>
      </c>
      <c r="T3799" t="s">
        <v>37</v>
      </c>
      <c r="U3799">
        <v>42</v>
      </c>
      <c r="V3799">
        <v>21.746500000000001</v>
      </c>
    </row>
    <row r="3800" spans="1:22" x14ac:dyDescent="0.35">
      <c r="A3800" s="3">
        <v>44090</v>
      </c>
      <c r="B3800" t="s">
        <v>45</v>
      </c>
      <c r="C3800">
        <v>28.55</v>
      </c>
      <c r="D3800">
        <v>29.35</v>
      </c>
      <c r="E3800">
        <v>28.47</v>
      </c>
      <c r="F3800">
        <v>29.15</v>
      </c>
      <c r="G3800">
        <v>29.3</v>
      </c>
      <c r="H3800">
        <v>0.72499999999999998</v>
      </c>
      <c r="I3800">
        <v>6799</v>
      </c>
      <c r="J3800">
        <v>0</v>
      </c>
      <c r="K3800">
        <v>14890</v>
      </c>
      <c r="L3800">
        <v>86</v>
      </c>
      <c r="M3800">
        <v>126</v>
      </c>
      <c r="N3800" t="s">
        <v>45</v>
      </c>
      <c r="O3800" s="3">
        <v>44216</v>
      </c>
      <c r="P3800">
        <v>-1</v>
      </c>
      <c r="T3800" t="s">
        <v>36</v>
      </c>
      <c r="U3800">
        <v>67</v>
      </c>
      <c r="V3800">
        <v>22.5793</v>
      </c>
    </row>
    <row r="3801" spans="1:22" x14ac:dyDescent="0.35">
      <c r="A3801" s="3">
        <v>44090</v>
      </c>
      <c r="B3801" t="s">
        <v>41</v>
      </c>
      <c r="C3801">
        <v>26.8</v>
      </c>
      <c r="D3801">
        <v>27.25</v>
      </c>
      <c r="E3801">
        <v>26.79</v>
      </c>
      <c r="F3801">
        <v>27.25</v>
      </c>
      <c r="G3801">
        <v>27.05</v>
      </c>
      <c r="H3801">
        <v>0.75</v>
      </c>
      <c r="I3801">
        <v>45</v>
      </c>
      <c r="J3801">
        <v>0</v>
      </c>
      <c r="K3801">
        <v>117</v>
      </c>
      <c r="L3801">
        <v>170</v>
      </c>
      <c r="M3801">
        <v>245</v>
      </c>
      <c r="N3801" t="s">
        <v>41</v>
      </c>
      <c r="O3801" s="3">
        <v>44335</v>
      </c>
      <c r="P3801">
        <v>-1</v>
      </c>
      <c r="T3801" t="s">
        <v>35</v>
      </c>
      <c r="U3801">
        <v>87</v>
      </c>
      <c r="V3801">
        <v>23.017800000000001</v>
      </c>
    </row>
    <row r="3802" spans="1:22" x14ac:dyDescent="0.35">
      <c r="A3802" s="3">
        <v>44090</v>
      </c>
      <c r="B3802" t="s">
        <v>47</v>
      </c>
      <c r="C3802">
        <v>30.3</v>
      </c>
      <c r="D3802">
        <v>30.81</v>
      </c>
      <c r="E3802">
        <v>30</v>
      </c>
      <c r="F3802">
        <v>30.56</v>
      </c>
      <c r="G3802">
        <v>30.774999999999999</v>
      </c>
      <c r="H3802">
        <v>0.45</v>
      </c>
      <c r="I3802">
        <v>38728</v>
      </c>
      <c r="J3802">
        <v>0</v>
      </c>
      <c r="K3802">
        <v>40688</v>
      </c>
      <c r="L3802">
        <v>45</v>
      </c>
      <c r="M3802">
        <v>63</v>
      </c>
      <c r="N3802" t="s">
        <v>47</v>
      </c>
      <c r="O3802" s="3">
        <v>44153</v>
      </c>
      <c r="P3802">
        <v>-1</v>
      </c>
      <c r="T3802" t="s">
        <v>34</v>
      </c>
      <c r="U3802">
        <v>111</v>
      </c>
      <c r="V3802">
        <v>23.122599999999998</v>
      </c>
    </row>
    <row r="3803" spans="1:22" x14ac:dyDescent="0.35">
      <c r="A3803" s="3">
        <v>44089</v>
      </c>
      <c r="B3803" t="s">
        <v>49</v>
      </c>
      <c r="C3803">
        <v>25.8</v>
      </c>
      <c r="D3803">
        <v>26.15</v>
      </c>
      <c r="E3803">
        <v>24.88</v>
      </c>
      <c r="F3803">
        <v>25.45</v>
      </c>
      <c r="G3803">
        <v>25.375</v>
      </c>
      <c r="H3803">
        <v>-0.35</v>
      </c>
      <c r="I3803">
        <v>47216</v>
      </c>
      <c r="J3803">
        <v>0</v>
      </c>
      <c r="K3803">
        <v>16098</v>
      </c>
      <c r="L3803">
        <v>1</v>
      </c>
      <c r="M3803">
        <v>1</v>
      </c>
      <c r="N3803" t="s">
        <v>49</v>
      </c>
      <c r="O3803" s="3">
        <v>44090</v>
      </c>
      <c r="P3803">
        <v>-1</v>
      </c>
      <c r="S3803" s="3">
        <v>44396</v>
      </c>
      <c r="T3803" t="s">
        <v>33</v>
      </c>
      <c r="U3803">
        <v>128</v>
      </c>
      <c r="V3803">
        <v>24.7182</v>
      </c>
    </row>
    <row r="3804" spans="1:22" x14ac:dyDescent="0.35">
      <c r="A3804" s="3">
        <v>44089</v>
      </c>
      <c r="B3804" t="s">
        <v>48</v>
      </c>
      <c r="C3804">
        <v>31.2</v>
      </c>
      <c r="D3804">
        <v>31.46</v>
      </c>
      <c r="E3804">
        <v>30.4</v>
      </c>
      <c r="F3804">
        <v>30.4</v>
      </c>
      <c r="G3804">
        <v>30.425000000000001</v>
      </c>
      <c r="H3804">
        <v>-0.95</v>
      </c>
      <c r="I3804">
        <v>67036</v>
      </c>
      <c r="J3804">
        <v>0</v>
      </c>
      <c r="K3804">
        <v>153786</v>
      </c>
      <c r="L3804">
        <v>26</v>
      </c>
      <c r="M3804">
        <v>36</v>
      </c>
      <c r="N3804" t="s">
        <v>48</v>
      </c>
      <c r="O3804" s="3">
        <v>44125</v>
      </c>
      <c r="P3804">
        <v>-1</v>
      </c>
      <c r="T3804" t="s">
        <v>32</v>
      </c>
      <c r="U3804">
        <v>148</v>
      </c>
      <c r="V3804">
        <v>24.9</v>
      </c>
    </row>
    <row r="3805" spans="1:22" x14ac:dyDescent="0.35">
      <c r="A3805" s="3">
        <v>44089</v>
      </c>
      <c r="B3805" t="s">
        <v>45</v>
      </c>
      <c r="C3805">
        <v>28.36</v>
      </c>
      <c r="D3805">
        <v>28.82</v>
      </c>
      <c r="E3805">
        <v>28.05</v>
      </c>
      <c r="F3805">
        <v>28.6</v>
      </c>
      <c r="G3805">
        <v>28.574999999999999</v>
      </c>
      <c r="H3805">
        <v>0.35</v>
      </c>
      <c r="I3805">
        <v>6200</v>
      </c>
      <c r="J3805">
        <v>0</v>
      </c>
      <c r="K3805">
        <v>14487</v>
      </c>
      <c r="L3805">
        <v>87</v>
      </c>
      <c r="M3805">
        <v>127</v>
      </c>
      <c r="N3805" t="s">
        <v>45</v>
      </c>
      <c r="O3805" s="3">
        <v>44216</v>
      </c>
      <c r="P3805">
        <v>-1</v>
      </c>
      <c r="T3805" t="s">
        <v>31</v>
      </c>
      <c r="U3805">
        <v>166</v>
      </c>
      <c r="V3805">
        <v>24.9</v>
      </c>
    </row>
    <row r="3806" spans="1:22" x14ac:dyDescent="0.35">
      <c r="A3806" s="3">
        <v>44089</v>
      </c>
      <c r="B3806" t="s">
        <v>41</v>
      </c>
      <c r="C3806">
        <v>26.95</v>
      </c>
      <c r="D3806">
        <v>27.05</v>
      </c>
      <c r="E3806">
        <v>26.9</v>
      </c>
      <c r="F3806">
        <v>26.95</v>
      </c>
      <c r="G3806">
        <v>26.3</v>
      </c>
      <c r="H3806">
        <v>7.4999999999999997E-2</v>
      </c>
      <c r="I3806">
        <v>8</v>
      </c>
      <c r="J3806">
        <v>0</v>
      </c>
      <c r="K3806">
        <v>77</v>
      </c>
      <c r="L3806">
        <v>171</v>
      </c>
      <c r="M3806">
        <v>246</v>
      </c>
      <c r="N3806" t="s">
        <v>41</v>
      </c>
      <c r="O3806" s="3">
        <v>44335</v>
      </c>
      <c r="P3806">
        <v>-1</v>
      </c>
      <c r="T3806" t="s">
        <v>39</v>
      </c>
      <c r="U3806">
        <v>2</v>
      </c>
      <c r="V3806">
        <v>22.738</v>
      </c>
    </row>
    <row r="3807" spans="1:22" x14ac:dyDescent="0.35">
      <c r="A3807" s="3">
        <v>44089</v>
      </c>
      <c r="B3807" t="s">
        <v>47</v>
      </c>
      <c r="C3807">
        <v>30.19</v>
      </c>
      <c r="D3807">
        <v>30.57</v>
      </c>
      <c r="E3807">
        <v>29.77</v>
      </c>
      <c r="F3807">
        <v>30.3</v>
      </c>
      <c r="G3807">
        <v>30.324999999999999</v>
      </c>
      <c r="H3807">
        <v>0.17499999999999999</v>
      </c>
      <c r="I3807">
        <v>22453</v>
      </c>
      <c r="J3807">
        <v>0</v>
      </c>
      <c r="K3807">
        <v>36955</v>
      </c>
      <c r="L3807">
        <v>46</v>
      </c>
      <c r="M3807">
        <v>64</v>
      </c>
      <c r="N3807" t="s">
        <v>47</v>
      </c>
      <c r="O3807" s="3">
        <v>44153</v>
      </c>
      <c r="P3807">
        <v>-1</v>
      </c>
      <c r="T3807" t="s">
        <v>38</v>
      </c>
      <c r="U3807">
        <v>22</v>
      </c>
      <c r="V3807">
        <v>23.6675</v>
      </c>
    </row>
    <row r="3808" spans="1:22" x14ac:dyDescent="0.35">
      <c r="A3808" s="3">
        <v>44089</v>
      </c>
      <c r="B3808" t="s">
        <v>43</v>
      </c>
      <c r="C3808">
        <v>27.72</v>
      </c>
      <c r="D3808">
        <v>27.97</v>
      </c>
      <c r="E3808">
        <v>27.25</v>
      </c>
      <c r="F3808">
        <v>27.8</v>
      </c>
      <c r="G3808">
        <v>27.8</v>
      </c>
      <c r="H3808">
        <v>0.05</v>
      </c>
      <c r="I3808">
        <v>1779</v>
      </c>
      <c r="J3808">
        <v>0</v>
      </c>
      <c r="K3808">
        <v>6846</v>
      </c>
      <c r="L3808">
        <v>126</v>
      </c>
      <c r="M3808">
        <v>183</v>
      </c>
      <c r="N3808" t="s">
        <v>43</v>
      </c>
      <c r="O3808" s="3">
        <v>44272</v>
      </c>
      <c r="P3808">
        <v>-1</v>
      </c>
      <c r="T3808" t="s">
        <v>37</v>
      </c>
      <c r="U3808">
        <v>41</v>
      </c>
      <c r="V3808">
        <v>23.965</v>
      </c>
    </row>
    <row r="3809" spans="1:22" x14ac:dyDescent="0.35">
      <c r="A3809" s="3">
        <v>44089</v>
      </c>
      <c r="B3809" t="s">
        <v>46</v>
      </c>
      <c r="C3809">
        <v>29.2</v>
      </c>
      <c r="D3809">
        <v>29.6</v>
      </c>
      <c r="E3809">
        <v>28.9</v>
      </c>
      <c r="F3809">
        <v>29.45</v>
      </c>
      <c r="G3809">
        <v>29.425000000000001</v>
      </c>
      <c r="H3809">
        <v>0.4</v>
      </c>
      <c r="I3809">
        <v>10593</v>
      </c>
      <c r="J3809">
        <v>0</v>
      </c>
      <c r="K3809">
        <v>25572</v>
      </c>
      <c r="L3809">
        <v>65</v>
      </c>
      <c r="M3809">
        <v>92</v>
      </c>
      <c r="N3809" t="s">
        <v>46</v>
      </c>
      <c r="O3809" s="3">
        <v>44181</v>
      </c>
      <c r="P3809">
        <v>-1</v>
      </c>
      <c r="T3809" t="s">
        <v>36</v>
      </c>
      <c r="U3809">
        <v>66</v>
      </c>
      <c r="V3809">
        <v>23.999600000000001</v>
      </c>
    </row>
    <row r="3810" spans="1:22" x14ac:dyDescent="0.35">
      <c r="A3810" s="3">
        <v>44089</v>
      </c>
      <c r="B3810" t="s">
        <v>42</v>
      </c>
      <c r="C3810">
        <v>27.1</v>
      </c>
      <c r="D3810">
        <v>27.4</v>
      </c>
      <c r="E3810">
        <v>26.8</v>
      </c>
      <c r="F3810">
        <v>27.32</v>
      </c>
      <c r="G3810">
        <v>27.2</v>
      </c>
      <c r="H3810">
        <v>0.125</v>
      </c>
      <c r="I3810">
        <v>499</v>
      </c>
      <c r="J3810">
        <v>0</v>
      </c>
      <c r="K3810">
        <v>297</v>
      </c>
      <c r="L3810">
        <v>151</v>
      </c>
      <c r="M3810">
        <v>218</v>
      </c>
      <c r="N3810" t="s">
        <v>42</v>
      </c>
      <c r="O3810" s="3">
        <v>44307</v>
      </c>
      <c r="P3810">
        <v>-1</v>
      </c>
      <c r="T3810" t="s">
        <v>35</v>
      </c>
      <c r="U3810">
        <v>86</v>
      </c>
      <c r="V3810">
        <v>24.068899999999999</v>
      </c>
    </row>
    <row r="3811" spans="1:22" x14ac:dyDescent="0.35">
      <c r="A3811" s="3">
        <v>44089</v>
      </c>
      <c r="B3811" t="s">
        <v>44</v>
      </c>
      <c r="C3811">
        <v>28.11</v>
      </c>
      <c r="D3811">
        <v>28.37</v>
      </c>
      <c r="E3811">
        <v>27.65</v>
      </c>
      <c r="F3811">
        <v>28.14</v>
      </c>
      <c r="G3811">
        <v>28.125</v>
      </c>
      <c r="H3811">
        <v>0.1</v>
      </c>
      <c r="I3811">
        <v>2313</v>
      </c>
      <c r="J3811">
        <v>0</v>
      </c>
      <c r="K3811">
        <v>9719</v>
      </c>
      <c r="L3811">
        <v>106</v>
      </c>
      <c r="M3811">
        <v>155</v>
      </c>
      <c r="N3811" t="s">
        <v>44</v>
      </c>
      <c r="O3811" s="3">
        <v>44244</v>
      </c>
      <c r="P3811">
        <v>-1</v>
      </c>
      <c r="T3811" t="s">
        <v>34</v>
      </c>
      <c r="U3811">
        <v>110</v>
      </c>
      <c r="V3811">
        <v>23.925799999999999</v>
      </c>
    </row>
    <row r="3812" spans="1:22" x14ac:dyDescent="0.35">
      <c r="A3812" s="3">
        <v>44088</v>
      </c>
      <c r="B3812" t="s">
        <v>43</v>
      </c>
      <c r="C3812">
        <v>27.76</v>
      </c>
      <c r="D3812">
        <v>27.85</v>
      </c>
      <c r="E3812">
        <v>27.4</v>
      </c>
      <c r="F3812">
        <v>27.78</v>
      </c>
      <c r="G3812">
        <v>27.75</v>
      </c>
      <c r="H3812">
        <v>0</v>
      </c>
      <c r="I3812">
        <v>1519</v>
      </c>
      <c r="J3812">
        <v>0</v>
      </c>
      <c r="K3812">
        <v>6499</v>
      </c>
      <c r="L3812">
        <v>127</v>
      </c>
      <c r="M3812">
        <v>184</v>
      </c>
      <c r="N3812" t="s">
        <v>43</v>
      </c>
      <c r="O3812" s="3">
        <v>44272</v>
      </c>
      <c r="P3812">
        <v>-1</v>
      </c>
      <c r="S3812" s="3">
        <v>44397</v>
      </c>
      <c r="T3812" t="s">
        <v>33</v>
      </c>
      <c r="U3812">
        <v>127</v>
      </c>
      <c r="V3812">
        <v>24.549499999999998</v>
      </c>
    </row>
    <row r="3813" spans="1:22" x14ac:dyDescent="0.35">
      <c r="A3813" s="3">
        <v>44088</v>
      </c>
      <c r="B3813" t="s">
        <v>46</v>
      </c>
      <c r="C3813">
        <v>29.25</v>
      </c>
      <c r="D3813">
        <v>29.52</v>
      </c>
      <c r="E3813">
        <v>28.65</v>
      </c>
      <c r="F3813">
        <v>29.22</v>
      </c>
      <c r="G3813">
        <v>29.024999999999999</v>
      </c>
      <c r="H3813">
        <v>-0.4</v>
      </c>
      <c r="I3813">
        <v>12221</v>
      </c>
      <c r="J3813">
        <v>0</v>
      </c>
      <c r="K3813">
        <v>24377</v>
      </c>
      <c r="L3813">
        <v>66</v>
      </c>
      <c r="M3813">
        <v>93</v>
      </c>
      <c r="N3813" t="s">
        <v>46</v>
      </c>
      <c r="O3813" s="3">
        <v>44181</v>
      </c>
      <c r="P3813">
        <v>-1</v>
      </c>
      <c r="T3813" t="s">
        <v>32</v>
      </c>
      <c r="U3813">
        <v>147</v>
      </c>
      <c r="V3813">
        <v>24.8</v>
      </c>
    </row>
    <row r="3814" spans="1:22" x14ac:dyDescent="0.35">
      <c r="A3814" s="3">
        <v>44088</v>
      </c>
      <c r="B3814" t="s">
        <v>42</v>
      </c>
      <c r="C3814">
        <v>27.15</v>
      </c>
      <c r="D3814">
        <v>27.18</v>
      </c>
      <c r="E3814">
        <v>26.76</v>
      </c>
      <c r="F3814">
        <v>27.05</v>
      </c>
      <c r="G3814">
        <v>27.074999999999999</v>
      </c>
      <c r="H3814">
        <v>7.4999999999999997E-2</v>
      </c>
      <c r="I3814">
        <v>231</v>
      </c>
      <c r="J3814">
        <v>0</v>
      </c>
      <c r="K3814">
        <v>187</v>
      </c>
      <c r="L3814">
        <v>152</v>
      </c>
      <c r="M3814">
        <v>219</v>
      </c>
      <c r="N3814" t="s">
        <v>42</v>
      </c>
      <c r="O3814" s="3">
        <v>44307</v>
      </c>
      <c r="P3814">
        <v>-1</v>
      </c>
      <c r="T3814" t="s">
        <v>31</v>
      </c>
      <c r="U3814">
        <v>165</v>
      </c>
      <c r="V3814">
        <v>25</v>
      </c>
    </row>
    <row r="3815" spans="1:22" x14ac:dyDescent="0.35">
      <c r="A3815" s="3">
        <v>44088</v>
      </c>
      <c r="B3815" t="s">
        <v>44</v>
      </c>
      <c r="C3815">
        <v>28.08</v>
      </c>
      <c r="D3815">
        <v>28.17</v>
      </c>
      <c r="E3815">
        <v>27.7</v>
      </c>
      <c r="F3815">
        <v>28.1</v>
      </c>
      <c r="G3815">
        <v>28.024999999999999</v>
      </c>
      <c r="H3815">
        <v>-0.15</v>
      </c>
      <c r="I3815">
        <v>1688</v>
      </c>
      <c r="J3815">
        <v>0</v>
      </c>
      <c r="K3815">
        <v>9576</v>
      </c>
      <c r="L3815">
        <v>107</v>
      </c>
      <c r="M3815">
        <v>156</v>
      </c>
      <c r="N3815" t="s">
        <v>44</v>
      </c>
      <c r="O3815" s="3">
        <v>44244</v>
      </c>
      <c r="P3815">
        <v>-1</v>
      </c>
      <c r="T3815" t="s">
        <v>39</v>
      </c>
      <c r="U3815">
        <v>1</v>
      </c>
      <c r="V3815">
        <v>19.956099999999999</v>
      </c>
    </row>
    <row r="3816" spans="1:22" x14ac:dyDescent="0.35">
      <c r="A3816" s="3">
        <v>44088</v>
      </c>
      <c r="B3816" t="s">
        <v>49</v>
      </c>
      <c r="C3816">
        <v>26.32</v>
      </c>
      <c r="D3816">
        <v>26.35</v>
      </c>
      <c r="E3816">
        <v>24.95</v>
      </c>
      <c r="F3816">
        <v>25.85</v>
      </c>
      <c r="G3816">
        <v>25.725000000000001</v>
      </c>
      <c r="H3816">
        <v>-0.6</v>
      </c>
      <c r="I3816">
        <v>60126</v>
      </c>
      <c r="J3816">
        <v>43</v>
      </c>
      <c r="K3816">
        <v>26839</v>
      </c>
      <c r="L3816">
        <v>2</v>
      </c>
      <c r="M3816">
        <v>2</v>
      </c>
      <c r="N3816" t="s">
        <v>49</v>
      </c>
      <c r="O3816" s="3">
        <v>44090</v>
      </c>
      <c r="P3816">
        <v>-1</v>
      </c>
      <c r="T3816" t="s">
        <v>38</v>
      </c>
      <c r="U3816">
        <v>21</v>
      </c>
      <c r="V3816">
        <v>21.485199999999999</v>
      </c>
    </row>
    <row r="3817" spans="1:22" x14ac:dyDescent="0.35">
      <c r="A3817" s="3">
        <v>44088</v>
      </c>
      <c r="B3817" t="s">
        <v>48</v>
      </c>
      <c r="C3817">
        <v>31.4</v>
      </c>
      <c r="D3817">
        <v>31.65</v>
      </c>
      <c r="E3817">
        <v>30.45</v>
      </c>
      <c r="F3817">
        <v>31.15</v>
      </c>
      <c r="G3817">
        <v>31.375</v>
      </c>
      <c r="H3817">
        <v>-0.5</v>
      </c>
      <c r="I3817">
        <v>78671</v>
      </c>
      <c r="J3817">
        <v>369</v>
      </c>
      <c r="K3817">
        <v>146602</v>
      </c>
      <c r="L3817">
        <v>27</v>
      </c>
      <c r="M3817">
        <v>37</v>
      </c>
      <c r="N3817" t="s">
        <v>48</v>
      </c>
      <c r="O3817" s="3">
        <v>44125</v>
      </c>
      <c r="P3817">
        <v>-1</v>
      </c>
      <c r="T3817" t="s">
        <v>37</v>
      </c>
      <c r="U3817">
        <v>40</v>
      </c>
      <c r="V3817">
        <v>22.600100000000001</v>
      </c>
    </row>
    <row r="3818" spans="1:22" x14ac:dyDescent="0.35">
      <c r="A3818" s="3">
        <v>44088</v>
      </c>
      <c r="B3818" t="s">
        <v>45</v>
      </c>
      <c r="C3818">
        <v>28.28</v>
      </c>
      <c r="D3818">
        <v>28.6</v>
      </c>
      <c r="E3818">
        <v>27.85</v>
      </c>
      <c r="F3818">
        <v>28.4</v>
      </c>
      <c r="G3818">
        <v>28.225000000000001</v>
      </c>
      <c r="H3818">
        <v>-0.22500000000000001</v>
      </c>
      <c r="I3818">
        <v>5041</v>
      </c>
      <c r="J3818">
        <v>0</v>
      </c>
      <c r="K3818">
        <v>14403</v>
      </c>
      <c r="L3818">
        <v>88</v>
      </c>
      <c r="M3818">
        <v>128</v>
      </c>
      <c r="N3818" t="s">
        <v>45</v>
      </c>
      <c r="O3818" s="3">
        <v>44216</v>
      </c>
      <c r="P3818">
        <v>-1</v>
      </c>
      <c r="T3818" t="s">
        <v>36</v>
      </c>
      <c r="U3818">
        <v>65</v>
      </c>
      <c r="V3818">
        <v>23.395700000000001</v>
      </c>
    </row>
    <row r="3819" spans="1:22" x14ac:dyDescent="0.35">
      <c r="A3819" s="3">
        <v>44088</v>
      </c>
      <c r="B3819" t="s">
        <v>41</v>
      </c>
      <c r="C3819">
        <v>26.85</v>
      </c>
      <c r="D3819">
        <v>26.9</v>
      </c>
      <c r="E3819">
        <v>26.69</v>
      </c>
      <c r="F3819">
        <v>26.69</v>
      </c>
      <c r="G3819">
        <v>26.225000000000001</v>
      </c>
      <c r="H3819">
        <v>7.4999999999999997E-2</v>
      </c>
      <c r="I3819">
        <v>20</v>
      </c>
      <c r="J3819">
        <v>0</v>
      </c>
      <c r="K3819">
        <v>72</v>
      </c>
      <c r="L3819">
        <v>172</v>
      </c>
      <c r="M3819">
        <v>247</v>
      </c>
      <c r="N3819" t="s">
        <v>41</v>
      </c>
      <c r="O3819" s="3">
        <v>44335</v>
      </c>
      <c r="P3819">
        <v>-1</v>
      </c>
      <c r="T3819" t="s">
        <v>35</v>
      </c>
      <c r="U3819">
        <v>85</v>
      </c>
      <c r="V3819">
        <v>23.687899999999999</v>
      </c>
    </row>
    <row r="3820" spans="1:22" x14ac:dyDescent="0.35">
      <c r="A3820" s="3">
        <v>44088</v>
      </c>
      <c r="B3820" t="s">
        <v>47</v>
      </c>
      <c r="C3820">
        <v>30.45</v>
      </c>
      <c r="D3820">
        <v>30.45</v>
      </c>
      <c r="E3820">
        <v>29.77</v>
      </c>
      <c r="F3820">
        <v>30.25</v>
      </c>
      <c r="G3820">
        <v>30.15</v>
      </c>
      <c r="H3820">
        <v>-0.42499999999999999</v>
      </c>
      <c r="I3820">
        <v>19068</v>
      </c>
      <c r="J3820">
        <v>0</v>
      </c>
      <c r="K3820">
        <v>33312</v>
      </c>
      <c r="L3820">
        <v>47</v>
      </c>
      <c r="M3820">
        <v>65</v>
      </c>
      <c r="N3820" t="s">
        <v>47</v>
      </c>
      <c r="O3820" s="3">
        <v>44153</v>
      </c>
      <c r="P3820">
        <v>-1</v>
      </c>
      <c r="T3820" t="s">
        <v>34</v>
      </c>
      <c r="U3820">
        <v>109</v>
      </c>
      <c r="V3820">
        <v>23.627199999999998</v>
      </c>
    </row>
    <row r="3821" spans="1:22" x14ac:dyDescent="0.35">
      <c r="A3821" s="3">
        <v>44085</v>
      </c>
      <c r="B3821" t="s">
        <v>49</v>
      </c>
      <c r="C3821">
        <v>28.75</v>
      </c>
      <c r="D3821">
        <v>29.1</v>
      </c>
      <c r="E3821">
        <v>26.25</v>
      </c>
      <c r="F3821">
        <v>26.6</v>
      </c>
      <c r="G3821">
        <v>26.324999999999999</v>
      </c>
      <c r="H3821">
        <v>-2.4500000000000002</v>
      </c>
      <c r="I3821">
        <v>81230</v>
      </c>
      <c r="J3821">
        <v>47</v>
      </c>
      <c r="K3821">
        <v>43347</v>
      </c>
      <c r="L3821">
        <v>3</v>
      </c>
      <c r="M3821">
        <v>5</v>
      </c>
      <c r="N3821" t="s">
        <v>49</v>
      </c>
      <c r="O3821" s="3">
        <v>44090</v>
      </c>
      <c r="P3821">
        <v>-1</v>
      </c>
      <c r="S3821" s="3">
        <v>44398</v>
      </c>
      <c r="T3821" t="s">
        <v>33</v>
      </c>
      <c r="U3821">
        <v>126</v>
      </c>
      <c r="V3821">
        <v>23.95</v>
      </c>
    </row>
    <row r="3822" spans="1:22" x14ac:dyDescent="0.35">
      <c r="A3822" s="3">
        <v>44085</v>
      </c>
      <c r="B3822" t="s">
        <v>48</v>
      </c>
      <c r="C3822">
        <v>32.880000000000003</v>
      </c>
      <c r="D3822">
        <v>33.270000000000003</v>
      </c>
      <c r="E3822">
        <v>31.3</v>
      </c>
      <c r="F3822">
        <v>31.84</v>
      </c>
      <c r="G3822">
        <v>31.875</v>
      </c>
      <c r="H3822">
        <v>-0.8</v>
      </c>
      <c r="I3822">
        <v>69590</v>
      </c>
      <c r="J3822">
        <v>253</v>
      </c>
      <c r="K3822">
        <v>138156</v>
      </c>
      <c r="L3822">
        <v>28</v>
      </c>
      <c r="M3822">
        <v>40</v>
      </c>
      <c r="N3822" t="s">
        <v>48</v>
      </c>
      <c r="O3822" s="3">
        <v>44125</v>
      </c>
      <c r="P3822">
        <v>-1</v>
      </c>
      <c r="T3822" t="s">
        <v>32</v>
      </c>
      <c r="U3822">
        <v>146</v>
      </c>
      <c r="V3822">
        <v>24.324999999999999</v>
      </c>
    </row>
    <row r="3823" spans="1:22" x14ac:dyDescent="0.35">
      <c r="A3823" s="3">
        <v>44085</v>
      </c>
      <c r="B3823" t="s">
        <v>45</v>
      </c>
      <c r="C3823">
        <v>28.52</v>
      </c>
      <c r="D3823">
        <v>28.8</v>
      </c>
      <c r="E3823">
        <v>28.07</v>
      </c>
      <c r="F3823">
        <v>28.35</v>
      </c>
      <c r="G3823">
        <v>28.45</v>
      </c>
      <c r="H3823">
        <v>0.1</v>
      </c>
      <c r="I3823">
        <v>6284</v>
      </c>
      <c r="J3823">
        <v>0</v>
      </c>
      <c r="K3823">
        <v>14958</v>
      </c>
      <c r="L3823">
        <v>89</v>
      </c>
      <c r="M3823">
        <v>131</v>
      </c>
      <c r="N3823" t="s">
        <v>45</v>
      </c>
      <c r="O3823" s="3">
        <v>44216</v>
      </c>
      <c r="P3823">
        <v>-1</v>
      </c>
      <c r="T3823" t="s">
        <v>31</v>
      </c>
      <c r="U3823">
        <v>164</v>
      </c>
      <c r="V3823">
        <v>24.5</v>
      </c>
    </row>
    <row r="3824" spans="1:22" x14ac:dyDescent="0.35">
      <c r="A3824" s="3">
        <v>44085</v>
      </c>
      <c r="B3824" t="s">
        <v>41</v>
      </c>
      <c r="C3824">
        <v>26.43</v>
      </c>
      <c r="D3824">
        <v>26.43</v>
      </c>
      <c r="E3824">
        <v>26.38</v>
      </c>
      <c r="F3824">
        <v>26.38</v>
      </c>
      <c r="G3824">
        <v>26.15</v>
      </c>
      <c r="H3824">
        <v>-0.42499999999999999</v>
      </c>
      <c r="I3824">
        <v>4</v>
      </c>
      <c r="J3824">
        <v>0</v>
      </c>
      <c r="K3824">
        <v>62</v>
      </c>
      <c r="L3824">
        <v>173</v>
      </c>
      <c r="M3824">
        <v>250</v>
      </c>
      <c r="N3824" t="s">
        <v>41</v>
      </c>
      <c r="O3824" s="3">
        <v>44335</v>
      </c>
      <c r="P3824">
        <v>-1</v>
      </c>
      <c r="T3824" t="s">
        <v>39</v>
      </c>
      <c r="U3824">
        <v>0</v>
      </c>
      <c r="V3824">
        <v>18.899999999999999</v>
      </c>
    </row>
    <row r="3825" spans="1:22" x14ac:dyDescent="0.35">
      <c r="A3825" s="3">
        <v>44085</v>
      </c>
      <c r="B3825" t="s">
        <v>47</v>
      </c>
      <c r="C3825">
        <v>31.13</v>
      </c>
      <c r="D3825">
        <v>31.37</v>
      </c>
      <c r="E3825">
        <v>30.22</v>
      </c>
      <c r="F3825">
        <v>30.45</v>
      </c>
      <c r="G3825">
        <v>30.574999999999999</v>
      </c>
      <c r="H3825">
        <v>-0.3</v>
      </c>
      <c r="I3825">
        <v>16344</v>
      </c>
      <c r="J3825">
        <v>0</v>
      </c>
      <c r="K3825">
        <v>33088</v>
      </c>
      <c r="L3825">
        <v>48</v>
      </c>
      <c r="M3825">
        <v>68</v>
      </c>
      <c r="N3825" t="s">
        <v>47</v>
      </c>
      <c r="O3825" s="3">
        <v>44153</v>
      </c>
      <c r="P3825">
        <v>-1</v>
      </c>
      <c r="T3825" t="s">
        <v>38</v>
      </c>
      <c r="U3825">
        <v>20</v>
      </c>
      <c r="V3825">
        <v>20.1082</v>
      </c>
    </row>
    <row r="3826" spans="1:22" x14ac:dyDescent="0.35">
      <c r="A3826" s="3">
        <v>44085</v>
      </c>
      <c r="B3826" t="s">
        <v>43</v>
      </c>
      <c r="C3826">
        <v>27.6</v>
      </c>
      <c r="D3826">
        <v>27.94</v>
      </c>
      <c r="E3826">
        <v>27.35</v>
      </c>
      <c r="F3826">
        <v>27.7</v>
      </c>
      <c r="G3826">
        <v>27.75</v>
      </c>
      <c r="H3826">
        <v>0.17499999999999999</v>
      </c>
      <c r="I3826">
        <v>1530</v>
      </c>
      <c r="J3826">
        <v>0</v>
      </c>
      <c r="K3826">
        <v>6280</v>
      </c>
      <c r="L3826">
        <v>128</v>
      </c>
      <c r="M3826">
        <v>187</v>
      </c>
      <c r="N3826" t="s">
        <v>43</v>
      </c>
      <c r="O3826" s="3">
        <v>44272</v>
      </c>
      <c r="P3826">
        <v>-1</v>
      </c>
      <c r="T3826" t="s">
        <v>37</v>
      </c>
      <c r="U3826">
        <v>39</v>
      </c>
      <c r="V3826">
        <v>21.646799999999999</v>
      </c>
    </row>
    <row r="3827" spans="1:22" x14ac:dyDescent="0.35">
      <c r="A3827" s="3">
        <v>44085</v>
      </c>
      <c r="B3827" t="s">
        <v>46</v>
      </c>
      <c r="C3827">
        <v>29.38</v>
      </c>
      <c r="D3827">
        <v>29.65</v>
      </c>
      <c r="E3827">
        <v>28.8</v>
      </c>
      <c r="F3827">
        <v>29.25</v>
      </c>
      <c r="G3827">
        <v>29.425000000000001</v>
      </c>
      <c r="H3827">
        <v>0.35</v>
      </c>
      <c r="I3827">
        <v>11549</v>
      </c>
      <c r="J3827">
        <v>0</v>
      </c>
      <c r="K3827">
        <v>24756</v>
      </c>
      <c r="L3827">
        <v>67</v>
      </c>
      <c r="M3827">
        <v>96</v>
      </c>
      <c r="N3827" t="s">
        <v>46</v>
      </c>
      <c r="O3827" s="3">
        <v>44181</v>
      </c>
      <c r="P3827">
        <v>-1</v>
      </c>
      <c r="T3827" t="s">
        <v>36</v>
      </c>
      <c r="U3827">
        <v>64</v>
      </c>
      <c r="V3827">
        <v>22.549399999999999</v>
      </c>
    </row>
    <row r="3828" spans="1:22" x14ac:dyDescent="0.35">
      <c r="A3828" s="3">
        <v>44085</v>
      </c>
      <c r="B3828" t="s">
        <v>42</v>
      </c>
      <c r="C3828">
        <v>26.72</v>
      </c>
      <c r="D3828">
        <v>27.17</v>
      </c>
      <c r="E3828">
        <v>26.7</v>
      </c>
      <c r="F3828">
        <v>27</v>
      </c>
      <c r="G3828">
        <v>27</v>
      </c>
      <c r="H3828">
        <v>0.05</v>
      </c>
      <c r="I3828">
        <v>336</v>
      </c>
      <c r="J3828">
        <v>0</v>
      </c>
      <c r="K3828">
        <v>177</v>
      </c>
      <c r="L3828">
        <v>153</v>
      </c>
      <c r="M3828">
        <v>222</v>
      </c>
      <c r="N3828" t="s">
        <v>42</v>
      </c>
      <c r="O3828" s="3">
        <v>44307</v>
      </c>
      <c r="P3828">
        <v>-1</v>
      </c>
      <c r="T3828" t="s">
        <v>35</v>
      </c>
      <c r="U3828">
        <v>84</v>
      </c>
      <c r="V3828">
        <v>22.947199999999999</v>
      </c>
    </row>
    <row r="3829" spans="1:22" x14ac:dyDescent="0.35">
      <c r="A3829" s="3">
        <v>44085</v>
      </c>
      <c r="B3829" t="s">
        <v>44</v>
      </c>
      <c r="C3829">
        <v>28.15</v>
      </c>
      <c r="D3829">
        <v>28.45</v>
      </c>
      <c r="E3829">
        <v>27.79</v>
      </c>
      <c r="F3829">
        <v>28.12</v>
      </c>
      <c r="G3829">
        <v>28.175000000000001</v>
      </c>
      <c r="H3829">
        <v>0.15</v>
      </c>
      <c r="I3829">
        <v>2576</v>
      </c>
      <c r="J3829">
        <v>0</v>
      </c>
      <c r="K3829">
        <v>9546</v>
      </c>
      <c r="L3829">
        <v>108</v>
      </c>
      <c r="M3829">
        <v>159</v>
      </c>
      <c r="N3829" t="s">
        <v>44</v>
      </c>
      <c r="O3829" s="3">
        <v>44244</v>
      </c>
      <c r="P3829">
        <v>-1</v>
      </c>
      <c r="T3829" t="s">
        <v>34</v>
      </c>
      <c r="U3829">
        <v>108</v>
      </c>
      <c r="V3829">
        <v>23.0046</v>
      </c>
    </row>
    <row r="3830" spans="1:22" x14ac:dyDescent="0.35">
      <c r="A3830" s="3">
        <v>44084</v>
      </c>
      <c r="B3830" t="s">
        <v>43</v>
      </c>
      <c r="C3830">
        <v>27.68</v>
      </c>
      <c r="D3830">
        <v>28.25</v>
      </c>
      <c r="E3830">
        <v>27.55</v>
      </c>
      <c r="F3830">
        <v>27.66</v>
      </c>
      <c r="G3830">
        <v>27.574999999999999</v>
      </c>
      <c r="H3830">
        <v>-7.4999999999999997E-2</v>
      </c>
      <c r="I3830">
        <v>1606</v>
      </c>
      <c r="J3830">
        <v>0</v>
      </c>
      <c r="K3830">
        <v>5755</v>
      </c>
      <c r="L3830">
        <v>129</v>
      </c>
      <c r="M3830">
        <v>188</v>
      </c>
      <c r="N3830" t="s">
        <v>43</v>
      </c>
      <c r="O3830" s="3">
        <v>44272</v>
      </c>
      <c r="P3830">
        <v>-1</v>
      </c>
      <c r="S3830" s="3">
        <v>44399</v>
      </c>
      <c r="T3830" t="s">
        <v>33</v>
      </c>
      <c r="U3830">
        <v>125</v>
      </c>
      <c r="V3830">
        <v>23.9</v>
      </c>
    </row>
    <row r="3831" spans="1:22" x14ac:dyDescent="0.35">
      <c r="A3831" s="3">
        <v>44084</v>
      </c>
      <c r="B3831" t="s">
        <v>46</v>
      </c>
      <c r="C3831">
        <v>29.35</v>
      </c>
      <c r="D3831">
        <v>30.22</v>
      </c>
      <c r="E3831">
        <v>29</v>
      </c>
      <c r="F3831">
        <v>29.34</v>
      </c>
      <c r="G3831">
        <v>29.074999999999999</v>
      </c>
      <c r="H3831">
        <v>-0.25</v>
      </c>
      <c r="I3831">
        <v>14603</v>
      </c>
      <c r="J3831">
        <v>0</v>
      </c>
      <c r="K3831">
        <v>22234</v>
      </c>
      <c r="L3831">
        <v>68</v>
      </c>
      <c r="M3831">
        <v>97</v>
      </c>
      <c r="N3831" t="s">
        <v>46</v>
      </c>
      <c r="O3831" s="3">
        <v>44181</v>
      </c>
      <c r="P3831">
        <v>-1</v>
      </c>
      <c r="T3831" t="s">
        <v>32</v>
      </c>
      <c r="U3831">
        <v>145</v>
      </c>
      <c r="V3831">
        <v>24.273299999999999</v>
      </c>
    </row>
    <row r="3832" spans="1:22" x14ac:dyDescent="0.35">
      <c r="A3832" s="3">
        <v>44084</v>
      </c>
      <c r="B3832" t="s">
        <v>42</v>
      </c>
      <c r="C3832">
        <v>26.95</v>
      </c>
      <c r="D3832">
        <v>27.51</v>
      </c>
      <c r="E3832">
        <v>26.9</v>
      </c>
      <c r="F3832">
        <v>26.9</v>
      </c>
      <c r="G3832">
        <v>26.95</v>
      </c>
      <c r="H3832">
        <v>-7.4999999999999997E-2</v>
      </c>
      <c r="I3832">
        <v>647</v>
      </c>
      <c r="J3832">
        <v>0</v>
      </c>
      <c r="K3832">
        <v>149</v>
      </c>
      <c r="L3832">
        <v>154</v>
      </c>
      <c r="M3832">
        <v>223</v>
      </c>
      <c r="N3832" t="s">
        <v>42</v>
      </c>
      <c r="O3832" s="3">
        <v>44307</v>
      </c>
      <c r="P3832">
        <v>-1</v>
      </c>
      <c r="T3832" t="s">
        <v>31</v>
      </c>
      <c r="U3832">
        <v>163</v>
      </c>
      <c r="V3832">
        <v>24.475000000000001</v>
      </c>
    </row>
    <row r="3833" spans="1:22" x14ac:dyDescent="0.35">
      <c r="A3833" s="3">
        <v>44084</v>
      </c>
      <c r="B3833" t="s">
        <v>44</v>
      </c>
      <c r="C3833">
        <v>28.13</v>
      </c>
      <c r="D3833">
        <v>28.82</v>
      </c>
      <c r="E3833">
        <v>28</v>
      </c>
      <c r="F3833">
        <v>28.12</v>
      </c>
      <c r="G3833">
        <v>28.024999999999999</v>
      </c>
      <c r="H3833">
        <v>-7.4999999999999997E-2</v>
      </c>
      <c r="I3833">
        <v>2530</v>
      </c>
      <c r="J3833">
        <v>0</v>
      </c>
      <c r="K3833">
        <v>9376</v>
      </c>
      <c r="L3833">
        <v>109</v>
      </c>
      <c r="M3833">
        <v>160</v>
      </c>
      <c r="N3833" t="s">
        <v>44</v>
      </c>
      <c r="O3833" s="3">
        <v>44244</v>
      </c>
      <c r="P3833">
        <v>-1</v>
      </c>
      <c r="T3833" t="s">
        <v>38</v>
      </c>
      <c r="U3833">
        <v>19</v>
      </c>
      <c r="V3833">
        <v>20.566500000000001</v>
      </c>
    </row>
    <row r="3834" spans="1:22" x14ac:dyDescent="0.35">
      <c r="A3834" s="3">
        <v>44084</v>
      </c>
      <c r="B3834" t="s">
        <v>49</v>
      </c>
      <c r="C3834">
        <v>28.5</v>
      </c>
      <c r="D3834">
        <v>29.62</v>
      </c>
      <c r="E3834">
        <v>27.55</v>
      </c>
      <c r="F3834">
        <v>28.86</v>
      </c>
      <c r="G3834">
        <v>28.774999999999999</v>
      </c>
      <c r="H3834">
        <v>0.4</v>
      </c>
      <c r="I3834">
        <v>89514</v>
      </c>
      <c r="J3834">
        <v>0</v>
      </c>
      <c r="K3834">
        <v>48617</v>
      </c>
      <c r="L3834">
        <v>4</v>
      </c>
      <c r="M3834">
        <v>6</v>
      </c>
      <c r="N3834" t="s">
        <v>49</v>
      </c>
      <c r="O3834" s="3">
        <v>44090</v>
      </c>
      <c r="P3834">
        <v>-1</v>
      </c>
      <c r="T3834" t="s">
        <v>37</v>
      </c>
      <c r="U3834">
        <v>38</v>
      </c>
      <c r="V3834">
        <v>21.85</v>
      </c>
    </row>
    <row r="3835" spans="1:22" x14ac:dyDescent="0.35">
      <c r="A3835" s="3">
        <v>44084</v>
      </c>
      <c r="B3835" t="s">
        <v>48</v>
      </c>
      <c r="C3835">
        <v>33.25</v>
      </c>
      <c r="D3835">
        <v>34.07</v>
      </c>
      <c r="E3835">
        <v>32.479999999999997</v>
      </c>
      <c r="F3835">
        <v>32.85</v>
      </c>
      <c r="G3835">
        <v>32.674999999999997</v>
      </c>
      <c r="H3835">
        <v>-0.55000000000000004</v>
      </c>
      <c r="I3835">
        <v>76600</v>
      </c>
      <c r="J3835">
        <v>0</v>
      </c>
      <c r="K3835">
        <v>133643</v>
      </c>
      <c r="L3835">
        <v>29</v>
      </c>
      <c r="M3835">
        <v>41</v>
      </c>
      <c r="N3835" t="s">
        <v>48</v>
      </c>
      <c r="O3835" s="3">
        <v>44125</v>
      </c>
      <c r="P3835">
        <v>-1</v>
      </c>
      <c r="T3835" t="s">
        <v>36</v>
      </c>
      <c r="U3835">
        <v>63</v>
      </c>
      <c r="V3835">
        <v>22.5382</v>
      </c>
    </row>
    <row r="3836" spans="1:22" x14ac:dyDescent="0.35">
      <c r="A3836" s="3">
        <v>44084</v>
      </c>
      <c r="B3836" t="s">
        <v>45</v>
      </c>
      <c r="C3836">
        <v>28.59</v>
      </c>
      <c r="D3836">
        <v>29.28</v>
      </c>
      <c r="E3836">
        <v>28.35</v>
      </c>
      <c r="F3836">
        <v>28.52</v>
      </c>
      <c r="G3836">
        <v>28.35</v>
      </c>
      <c r="H3836">
        <v>-0.22500000000000001</v>
      </c>
      <c r="I3836">
        <v>6374</v>
      </c>
      <c r="J3836">
        <v>0</v>
      </c>
      <c r="K3836">
        <v>14034</v>
      </c>
      <c r="L3836">
        <v>90</v>
      </c>
      <c r="M3836">
        <v>132</v>
      </c>
      <c r="N3836" t="s">
        <v>45</v>
      </c>
      <c r="O3836" s="3">
        <v>44216</v>
      </c>
      <c r="P3836">
        <v>-1</v>
      </c>
      <c r="T3836" t="s">
        <v>35</v>
      </c>
      <c r="U3836">
        <v>83</v>
      </c>
      <c r="V3836">
        <v>22.8901</v>
      </c>
    </row>
    <row r="3837" spans="1:22" x14ac:dyDescent="0.35">
      <c r="A3837" s="3">
        <v>44084</v>
      </c>
      <c r="B3837" t="s">
        <v>41</v>
      </c>
      <c r="C3837">
        <v>26.75</v>
      </c>
      <c r="D3837">
        <v>26.75</v>
      </c>
      <c r="E3837">
        <v>26.75</v>
      </c>
      <c r="F3837">
        <v>26.75</v>
      </c>
      <c r="G3837">
        <v>26.574999999999999</v>
      </c>
      <c r="H3837">
        <v>0.4</v>
      </c>
      <c r="I3837">
        <v>1</v>
      </c>
      <c r="J3837">
        <v>0</v>
      </c>
      <c r="K3837">
        <v>58</v>
      </c>
      <c r="L3837">
        <v>174</v>
      </c>
      <c r="M3837">
        <v>251</v>
      </c>
      <c r="N3837" t="s">
        <v>41</v>
      </c>
      <c r="O3837" s="3">
        <v>44335</v>
      </c>
      <c r="P3837">
        <v>-1</v>
      </c>
      <c r="T3837" t="s">
        <v>34</v>
      </c>
      <c r="U3837">
        <v>107</v>
      </c>
      <c r="V3837">
        <v>22.908799999999999</v>
      </c>
    </row>
    <row r="3838" spans="1:22" x14ac:dyDescent="0.35">
      <c r="A3838" s="3">
        <v>44084</v>
      </c>
      <c r="B3838" t="s">
        <v>47</v>
      </c>
      <c r="C3838">
        <v>31.35</v>
      </c>
      <c r="D3838">
        <v>32.18</v>
      </c>
      <c r="E3838">
        <v>30.8</v>
      </c>
      <c r="F3838">
        <v>31.06</v>
      </c>
      <c r="G3838">
        <v>30.875</v>
      </c>
      <c r="H3838">
        <v>-0.45</v>
      </c>
      <c r="I3838">
        <v>21092</v>
      </c>
      <c r="J3838">
        <v>0</v>
      </c>
      <c r="K3838">
        <v>31791</v>
      </c>
      <c r="L3838">
        <v>49</v>
      </c>
      <c r="M3838">
        <v>69</v>
      </c>
      <c r="N3838" t="s">
        <v>47</v>
      </c>
      <c r="O3838" s="3">
        <v>44153</v>
      </c>
      <c r="P3838">
        <v>-1</v>
      </c>
      <c r="S3838" s="3">
        <v>44400</v>
      </c>
      <c r="T3838" t="s">
        <v>33</v>
      </c>
      <c r="U3838">
        <v>124</v>
      </c>
      <c r="V3838">
        <v>23.8</v>
      </c>
    </row>
    <row r="3839" spans="1:22" x14ac:dyDescent="0.35">
      <c r="A3839" s="3">
        <v>44083</v>
      </c>
      <c r="B3839" t="s">
        <v>49</v>
      </c>
      <c r="C3839">
        <v>31.05</v>
      </c>
      <c r="D3839">
        <v>32.25</v>
      </c>
      <c r="E3839">
        <v>27.9</v>
      </c>
      <c r="F3839">
        <v>28.5</v>
      </c>
      <c r="G3839">
        <v>28.375</v>
      </c>
      <c r="H3839">
        <v>-1.85</v>
      </c>
      <c r="I3839">
        <v>88215</v>
      </c>
      <c r="J3839">
        <v>0</v>
      </c>
      <c r="K3839">
        <v>59164</v>
      </c>
      <c r="L3839">
        <v>5</v>
      </c>
      <c r="M3839">
        <v>7</v>
      </c>
      <c r="N3839" t="s">
        <v>49</v>
      </c>
      <c r="O3839" s="3">
        <v>44090</v>
      </c>
      <c r="P3839">
        <v>-1</v>
      </c>
      <c r="T3839" t="s">
        <v>32</v>
      </c>
      <c r="U3839">
        <v>144</v>
      </c>
      <c r="V3839">
        <v>24.2</v>
      </c>
    </row>
    <row r="3840" spans="1:22" x14ac:dyDescent="0.35">
      <c r="A3840" s="3">
        <v>44083</v>
      </c>
      <c r="B3840" t="s">
        <v>48</v>
      </c>
      <c r="C3840">
        <v>35.200000000000003</v>
      </c>
      <c r="D3840">
        <v>36</v>
      </c>
      <c r="E3840">
        <v>32.299999999999997</v>
      </c>
      <c r="F3840">
        <v>33.25</v>
      </c>
      <c r="G3840">
        <v>33.225000000000001</v>
      </c>
      <c r="H3840">
        <v>-1.4</v>
      </c>
      <c r="I3840">
        <v>81349</v>
      </c>
      <c r="J3840">
        <v>0</v>
      </c>
      <c r="K3840">
        <v>125605</v>
      </c>
      <c r="L3840">
        <v>30</v>
      </c>
      <c r="M3840">
        <v>42</v>
      </c>
      <c r="N3840" t="s">
        <v>48</v>
      </c>
      <c r="O3840" s="3">
        <v>44125</v>
      </c>
      <c r="P3840">
        <v>-1</v>
      </c>
      <c r="T3840" t="s">
        <v>31</v>
      </c>
      <c r="U3840">
        <v>162</v>
      </c>
      <c r="V3840">
        <v>24.5</v>
      </c>
    </row>
    <row r="3841" spans="1:22" x14ac:dyDescent="0.35">
      <c r="A3841" s="3">
        <v>44083</v>
      </c>
      <c r="B3841" t="s">
        <v>45</v>
      </c>
      <c r="C3841">
        <v>29.27</v>
      </c>
      <c r="D3841">
        <v>29.6</v>
      </c>
      <c r="E3841">
        <v>28.32</v>
      </c>
      <c r="F3841">
        <v>28.67</v>
      </c>
      <c r="G3841">
        <v>28.574999999999999</v>
      </c>
      <c r="H3841">
        <v>-0.1</v>
      </c>
      <c r="I3841">
        <v>4881</v>
      </c>
      <c r="J3841">
        <v>0</v>
      </c>
      <c r="K3841">
        <v>13565</v>
      </c>
      <c r="L3841">
        <v>91</v>
      </c>
      <c r="M3841">
        <v>133</v>
      </c>
      <c r="N3841" t="s">
        <v>45</v>
      </c>
      <c r="O3841" s="3">
        <v>44216</v>
      </c>
      <c r="P3841">
        <v>-1</v>
      </c>
      <c r="T3841" t="s">
        <v>38</v>
      </c>
      <c r="U3841">
        <v>18</v>
      </c>
      <c r="V3841">
        <v>20.3675</v>
      </c>
    </row>
    <row r="3842" spans="1:22" x14ac:dyDescent="0.35">
      <c r="A3842" s="3">
        <v>44083</v>
      </c>
      <c r="B3842" t="s">
        <v>47</v>
      </c>
      <c r="C3842">
        <v>32.6</v>
      </c>
      <c r="D3842">
        <v>32.979999999999997</v>
      </c>
      <c r="E3842">
        <v>30.64</v>
      </c>
      <c r="F3842">
        <v>31.32</v>
      </c>
      <c r="G3842">
        <v>31.324999999999999</v>
      </c>
      <c r="H3842">
        <v>-0.5</v>
      </c>
      <c r="I3842">
        <v>22825</v>
      </c>
      <c r="J3842">
        <v>0</v>
      </c>
      <c r="K3842">
        <v>31104</v>
      </c>
      <c r="L3842">
        <v>50</v>
      </c>
      <c r="M3842">
        <v>70</v>
      </c>
      <c r="N3842" t="s">
        <v>47</v>
      </c>
      <c r="O3842" s="3">
        <v>44153</v>
      </c>
      <c r="P3842">
        <v>-1</v>
      </c>
      <c r="T3842" t="s">
        <v>37</v>
      </c>
      <c r="U3842">
        <v>37</v>
      </c>
      <c r="V3842">
        <v>21.650600000000001</v>
      </c>
    </row>
    <row r="3843" spans="1:22" x14ac:dyDescent="0.35">
      <c r="A3843" s="3">
        <v>44083</v>
      </c>
      <c r="B3843" t="s">
        <v>43</v>
      </c>
      <c r="C3843">
        <v>28.13</v>
      </c>
      <c r="D3843">
        <v>28.46</v>
      </c>
      <c r="E3843">
        <v>27.3</v>
      </c>
      <c r="F3843">
        <v>27.72</v>
      </c>
      <c r="G3843">
        <v>27.65</v>
      </c>
      <c r="H3843">
        <v>-0.125</v>
      </c>
      <c r="I3843">
        <v>2137</v>
      </c>
      <c r="J3843">
        <v>0</v>
      </c>
      <c r="K3843">
        <v>5544</v>
      </c>
      <c r="L3843">
        <v>130</v>
      </c>
      <c r="M3843">
        <v>189</v>
      </c>
      <c r="N3843" t="s">
        <v>43</v>
      </c>
      <c r="O3843" s="3">
        <v>44272</v>
      </c>
      <c r="P3843">
        <v>-1</v>
      </c>
      <c r="T3843" t="s">
        <v>36</v>
      </c>
      <c r="U3843">
        <v>62</v>
      </c>
      <c r="V3843">
        <v>22.410900000000002</v>
      </c>
    </row>
    <row r="3844" spans="1:22" x14ac:dyDescent="0.35">
      <c r="A3844" s="3">
        <v>44083</v>
      </c>
      <c r="B3844" t="s">
        <v>46</v>
      </c>
      <c r="C3844">
        <v>30.05</v>
      </c>
      <c r="D3844">
        <v>30.3</v>
      </c>
      <c r="E3844">
        <v>28.92</v>
      </c>
      <c r="F3844">
        <v>29.4</v>
      </c>
      <c r="G3844">
        <v>29.324999999999999</v>
      </c>
      <c r="H3844">
        <v>-7.4999999999999997E-2</v>
      </c>
      <c r="I3844">
        <v>11370</v>
      </c>
      <c r="J3844">
        <v>0</v>
      </c>
      <c r="K3844">
        <v>21027</v>
      </c>
      <c r="L3844">
        <v>69</v>
      </c>
      <c r="M3844">
        <v>98</v>
      </c>
      <c r="N3844" t="s">
        <v>46</v>
      </c>
      <c r="O3844" s="3">
        <v>44181</v>
      </c>
      <c r="P3844">
        <v>-1</v>
      </c>
      <c r="T3844" t="s">
        <v>35</v>
      </c>
      <c r="U3844">
        <v>82</v>
      </c>
      <c r="V3844">
        <v>22.700299999999999</v>
      </c>
    </row>
    <row r="3845" spans="1:22" x14ac:dyDescent="0.35">
      <c r="A3845" s="3">
        <v>44083</v>
      </c>
      <c r="B3845" t="s">
        <v>42</v>
      </c>
      <c r="C3845">
        <v>27.7</v>
      </c>
      <c r="D3845">
        <v>27.8</v>
      </c>
      <c r="E3845">
        <v>26.65</v>
      </c>
      <c r="F3845">
        <v>27.05</v>
      </c>
      <c r="G3845">
        <v>27.024999999999999</v>
      </c>
      <c r="H3845">
        <v>-0.27500000000000002</v>
      </c>
      <c r="I3845">
        <v>392</v>
      </c>
      <c r="J3845">
        <v>0</v>
      </c>
      <c r="K3845">
        <v>104</v>
      </c>
      <c r="L3845">
        <v>155</v>
      </c>
      <c r="M3845">
        <v>224</v>
      </c>
      <c r="N3845" t="s">
        <v>42</v>
      </c>
      <c r="O3845" s="3">
        <v>44307</v>
      </c>
      <c r="P3845">
        <v>-1</v>
      </c>
      <c r="T3845" t="s">
        <v>34</v>
      </c>
      <c r="U3845">
        <v>106</v>
      </c>
      <c r="V3845">
        <v>22.8018</v>
      </c>
    </row>
    <row r="3846" spans="1:22" x14ac:dyDescent="0.35">
      <c r="A3846" s="3">
        <v>44083</v>
      </c>
      <c r="B3846" t="s">
        <v>44</v>
      </c>
      <c r="C3846">
        <v>28.8</v>
      </c>
      <c r="D3846">
        <v>29.05</v>
      </c>
      <c r="E3846">
        <v>27.9</v>
      </c>
      <c r="F3846">
        <v>28.2</v>
      </c>
      <c r="G3846">
        <v>28.1</v>
      </c>
      <c r="H3846">
        <v>-0.15</v>
      </c>
      <c r="I3846">
        <v>3224</v>
      </c>
      <c r="J3846">
        <v>0</v>
      </c>
      <c r="K3846">
        <v>9323</v>
      </c>
      <c r="L3846">
        <v>110</v>
      </c>
      <c r="M3846">
        <v>161</v>
      </c>
      <c r="N3846" t="s">
        <v>44</v>
      </c>
      <c r="O3846" s="3">
        <v>44244</v>
      </c>
      <c r="P3846">
        <v>-1</v>
      </c>
      <c r="S3846" s="3">
        <v>44403</v>
      </c>
      <c r="T3846" t="s">
        <v>33</v>
      </c>
      <c r="U3846">
        <v>123</v>
      </c>
      <c r="V3846">
        <v>23.9284</v>
      </c>
    </row>
    <row r="3847" spans="1:22" x14ac:dyDescent="0.35">
      <c r="A3847" s="3">
        <v>44082</v>
      </c>
      <c r="B3847" t="s">
        <v>43</v>
      </c>
      <c r="C3847">
        <v>28.15</v>
      </c>
      <c r="D3847">
        <v>28.95</v>
      </c>
      <c r="E3847">
        <v>27.75</v>
      </c>
      <c r="F3847">
        <v>27.95</v>
      </c>
      <c r="G3847">
        <v>27.774999999999999</v>
      </c>
      <c r="H3847">
        <v>-0.15</v>
      </c>
      <c r="I3847">
        <v>2356</v>
      </c>
      <c r="J3847">
        <v>0</v>
      </c>
      <c r="K3847">
        <v>5332</v>
      </c>
      <c r="L3847">
        <v>131</v>
      </c>
      <c r="M3847">
        <v>190</v>
      </c>
      <c r="N3847" t="s">
        <v>43</v>
      </c>
      <c r="O3847" s="3">
        <v>44272</v>
      </c>
      <c r="P3847">
        <v>-1</v>
      </c>
      <c r="T3847" t="s">
        <v>32</v>
      </c>
      <c r="U3847">
        <v>143</v>
      </c>
      <c r="V3847">
        <v>24.331299999999999</v>
      </c>
    </row>
    <row r="3848" spans="1:22" x14ac:dyDescent="0.35">
      <c r="A3848" s="3">
        <v>44082</v>
      </c>
      <c r="B3848" t="s">
        <v>46</v>
      </c>
      <c r="C3848">
        <v>30.86</v>
      </c>
      <c r="D3848">
        <v>32.119999999999997</v>
      </c>
      <c r="E3848">
        <v>29.4</v>
      </c>
      <c r="F3848">
        <v>29.64</v>
      </c>
      <c r="G3848">
        <v>29.4</v>
      </c>
      <c r="H3848">
        <v>-1.5249999999999999</v>
      </c>
      <c r="I3848">
        <v>13445</v>
      </c>
      <c r="J3848">
        <v>0</v>
      </c>
      <c r="K3848">
        <v>20653</v>
      </c>
      <c r="L3848">
        <v>70</v>
      </c>
      <c r="M3848">
        <v>99</v>
      </c>
      <c r="N3848" t="s">
        <v>46</v>
      </c>
      <c r="O3848" s="3">
        <v>44181</v>
      </c>
      <c r="P3848">
        <v>-1</v>
      </c>
      <c r="T3848" t="s">
        <v>31</v>
      </c>
      <c r="U3848">
        <v>161</v>
      </c>
      <c r="V3848">
        <v>24.55</v>
      </c>
    </row>
    <row r="3849" spans="1:22" x14ac:dyDescent="0.35">
      <c r="A3849" s="3">
        <v>44082</v>
      </c>
      <c r="B3849" t="s">
        <v>42</v>
      </c>
      <c r="C3849">
        <v>27.26</v>
      </c>
      <c r="D3849">
        <v>28</v>
      </c>
      <c r="E3849">
        <v>26.94</v>
      </c>
      <c r="F3849">
        <v>27.43</v>
      </c>
      <c r="G3849">
        <v>27.3</v>
      </c>
      <c r="H3849">
        <v>0.125</v>
      </c>
      <c r="I3849">
        <v>569</v>
      </c>
      <c r="J3849">
        <v>0</v>
      </c>
      <c r="K3849">
        <v>98</v>
      </c>
      <c r="L3849">
        <v>156</v>
      </c>
      <c r="M3849">
        <v>225</v>
      </c>
      <c r="N3849" t="s">
        <v>42</v>
      </c>
      <c r="O3849" s="3">
        <v>44307</v>
      </c>
      <c r="P3849">
        <v>-1</v>
      </c>
      <c r="T3849" t="s">
        <v>30</v>
      </c>
      <c r="U3849">
        <v>187</v>
      </c>
      <c r="V3849">
        <v>24.55</v>
      </c>
    </row>
    <row r="3850" spans="1:22" x14ac:dyDescent="0.35">
      <c r="A3850" s="3">
        <v>44082</v>
      </c>
      <c r="B3850" t="s">
        <v>41</v>
      </c>
      <c r="C3850">
        <v>27.18</v>
      </c>
      <c r="D3850">
        <v>27.18</v>
      </c>
      <c r="E3850">
        <v>27.01</v>
      </c>
      <c r="F3850">
        <v>27.02</v>
      </c>
      <c r="G3850">
        <v>26.95</v>
      </c>
      <c r="H3850">
        <v>-0.2</v>
      </c>
      <c r="I3850">
        <v>14</v>
      </c>
      <c r="J3850">
        <v>0</v>
      </c>
      <c r="K3850">
        <v>57</v>
      </c>
      <c r="L3850">
        <v>176</v>
      </c>
      <c r="M3850">
        <v>253</v>
      </c>
      <c r="N3850" t="s">
        <v>41</v>
      </c>
      <c r="O3850" s="3">
        <v>44335</v>
      </c>
      <c r="P3850">
        <v>-1</v>
      </c>
      <c r="T3850" t="s">
        <v>38</v>
      </c>
      <c r="U3850">
        <v>17</v>
      </c>
      <c r="V3850">
        <v>20.149699999999999</v>
      </c>
    </row>
    <row r="3851" spans="1:22" x14ac:dyDescent="0.35">
      <c r="A3851" s="3">
        <v>44082</v>
      </c>
      <c r="B3851" t="s">
        <v>44</v>
      </c>
      <c r="C3851">
        <v>29.2</v>
      </c>
      <c r="D3851">
        <v>30.2</v>
      </c>
      <c r="E3851">
        <v>28.25</v>
      </c>
      <c r="F3851">
        <v>28.55</v>
      </c>
      <c r="G3851">
        <v>28.25</v>
      </c>
      <c r="H3851">
        <v>-0.72499999999999998</v>
      </c>
      <c r="I3851">
        <v>5346</v>
      </c>
      <c r="J3851">
        <v>0</v>
      </c>
      <c r="K3851">
        <v>9601</v>
      </c>
      <c r="L3851">
        <v>111</v>
      </c>
      <c r="M3851">
        <v>162</v>
      </c>
      <c r="N3851" t="s">
        <v>44</v>
      </c>
      <c r="O3851" s="3">
        <v>44244</v>
      </c>
      <c r="P3851">
        <v>-1</v>
      </c>
      <c r="T3851" t="s">
        <v>37</v>
      </c>
      <c r="U3851">
        <v>36</v>
      </c>
      <c r="V3851">
        <v>21.694700000000001</v>
      </c>
    </row>
    <row r="3852" spans="1:22" x14ac:dyDescent="0.35">
      <c r="A3852" s="3">
        <v>44082</v>
      </c>
      <c r="B3852" t="s">
        <v>49</v>
      </c>
      <c r="C3852">
        <v>29.95</v>
      </c>
      <c r="D3852">
        <v>34.1</v>
      </c>
      <c r="E3852">
        <v>29.1</v>
      </c>
      <c r="F3852">
        <v>30.1</v>
      </c>
      <c r="G3852">
        <v>30.225000000000001</v>
      </c>
      <c r="H3852">
        <v>0.57499999999999996</v>
      </c>
      <c r="I3852">
        <v>123890</v>
      </c>
      <c r="J3852">
        <v>63</v>
      </c>
      <c r="K3852">
        <v>68755</v>
      </c>
      <c r="L3852">
        <v>6</v>
      </c>
      <c r="M3852">
        <v>8</v>
      </c>
      <c r="N3852" t="s">
        <v>49</v>
      </c>
      <c r="O3852" s="3">
        <v>44090</v>
      </c>
      <c r="P3852">
        <v>-1</v>
      </c>
      <c r="T3852" t="s">
        <v>36</v>
      </c>
      <c r="U3852">
        <v>61</v>
      </c>
      <c r="V3852">
        <v>22.514399999999998</v>
      </c>
    </row>
    <row r="3853" spans="1:22" x14ac:dyDescent="0.35">
      <c r="A3853" s="3">
        <v>44082</v>
      </c>
      <c r="B3853" t="s">
        <v>48</v>
      </c>
      <c r="C3853">
        <v>36.020000000000003</v>
      </c>
      <c r="D3853">
        <v>38.68</v>
      </c>
      <c r="E3853">
        <v>34.43</v>
      </c>
      <c r="F3853">
        <v>34.549999999999997</v>
      </c>
      <c r="G3853">
        <v>34.625</v>
      </c>
      <c r="H3853">
        <v>-1.55</v>
      </c>
      <c r="I3853">
        <v>100670</v>
      </c>
      <c r="J3853">
        <v>137</v>
      </c>
      <c r="K3853">
        <v>120991</v>
      </c>
      <c r="L3853">
        <v>31</v>
      </c>
      <c r="M3853">
        <v>43</v>
      </c>
      <c r="N3853" t="s">
        <v>48</v>
      </c>
      <c r="O3853" s="3">
        <v>44125</v>
      </c>
      <c r="P3853">
        <v>-1</v>
      </c>
      <c r="T3853" t="s">
        <v>35</v>
      </c>
      <c r="U3853">
        <v>81</v>
      </c>
      <c r="V3853">
        <v>22.840299999999999</v>
      </c>
    </row>
    <row r="3854" spans="1:22" x14ac:dyDescent="0.35">
      <c r="A3854" s="3">
        <v>44082</v>
      </c>
      <c r="B3854" t="s">
        <v>45</v>
      </c>
      <c r="C3854">
        <v>30.15</v>
      </c>
      <c r="D3854">
        <v>31.05</v>
      </c>
      <c r="E3854">
        <v>28.65</v>
      </c>
      <c r="F3854">
        <v>29</v>
      </c>
      <c r="G3854">
        <v>28.675000000000001</v>
      </c>
      <c r="H3854">
        <v>-1.25</v>
      </c>
      <c r="I3854">
        <v>6538</v>
      </c>
      <c r="J3854">
        <v>0</v>
      </c>
      <c r="K3854">
        <v>13223</v>
      </c>
      <c r="L3854">
        <v>92</v>
      </c>
      <c r="M3854">
        <v>134</v>
      </c>
      <c r="N3854" t="s">
        <v>45</v>
      </c>
      <c r="O3854" s="3">
        <v>44216</v>
      </c>
      <c r="P3854">
        <v>-1</v>
      </c>
      <c r="T3854" t="s">
        <v>34</v>
      </c>
      <c r="U3854">
        <v>105</v>
      </c>
      <c r="V3854">
        <v>22.933700000000002</v>
      </c>
    </row>
    <row r="3855" spans="1:22" x14ac:dyDescent="0.35">
      <c r="A3855" s="3">
        <v>44082</v>
      </c>
      <c r="B3855" t="s">
        <v>47</v>
      </c>
      <c r="C3855">
        <v>33.200000000000003</v>
      </c>
      <c r="D3855">
        <v>35.17</v>
      </c>
      <c r="E3855">
        <v>31.85</v>
      </c>
      <c r="F3855">
        <v>32</v>
      </c>
      <c r="G3855">
        <v>31.824999999999999</v>
      </c>
      <c r="H3855">
        <v>-1.9750000000000001</v>
      </c>
      <c r="I3855">
        <v>27268</v>
      </c>
      <c r="J3855">
        <v>0</v>
      </c>
      <c r="K3855">
        <v>29204</v>
      </c>
      <c r="L3855">
        <v>51</v>
      </c>
      <c r="M3855">
        <v>71</v>
      </c>
      <c r="N3855" t="s">
        <v>47</v>
      </c>
      <c r="O3855" s="3">
        <v>44153</v>
      </c>
      <c r="P3855">
        <v>-1</v>
      </c>
      <c r="S3855" s="3">
        <v>44404</v>
      </c>
      <c r="T3855" t="s">
        <v>33</v>
      </c>
      <c r="U3855">
        <v>122</v>
      </c>
      <c r="V3855">
        <v>24.251000000000001</v>
      </c>
    </row>
    <row r="3856" spans="1:22" x14ac:dyDescent="0.35">
      <c r="A3856" s="3">
        <v>44078</v>
      </c>
      <c r="B3856" t="s">
        <v>49</v>
      </c>
      <c r="C3856">
        <v>34.549999999999997</v>
      </c>
      <c r="D3856">
        <v>37.35</v>
      </c>
      <c r="E3856">
        <v>29.05</v>
      </c>
      <c r="F3856">
        <v>29.85</v>
      </c>
      <c r="G3856">
        <v>29.65</v>
      </c>
      <c r="H3856">
        <v>-4.2249999999999996</v>
      </c>
      <c r="I3856">
        <v>166814</v>
      </c>
      <c r="J3856">
        <v>810</v>
      </c>
      <c r="K3856">
        <v>79875</v>
      </c>
      <c r="L3856">
        <v>7</v>
      </c>
      <c r="M3856">
        <v>12</v>
      </c>
      <c r="N3856" t="s">
        <v>49</v>
      </c>
      <c r="O3856" s="3">
        <v>44090</v>
      </c>
      <c r="P3856">
        <v>-1</v>
      </c>
      <c r="T3856" t="s">
        <v>32</v>
      </c>
      <c r="U3856">
        <v>142</v>
      </c>
      <c r="V3856">
        <v>24.5611</v>
      </c>
    </row>
    <row r="3857" spans="1:22" x14ac:dyDescent="0.35">
      <c r="A3857" s="3">
        <v>44078</v>
      </c>
      <c r="B3857" t="s">
        <v>48</v>
      </c>
      <c r="C3857">
        <v>38.799999999999997</v>
      </c>
      <c r="D3857">
        <v>41</v>
      </c>
      <c r="E3857">
        <v>35.549999999999997</v>
      </c>
      <c r="F3857">
        <v>36.28</v>
      </c>
      <c r="G3857">
        <v>36.174999999999997</v>
      </c>
      <c r="H3857">
        <v>-2.85</v>
      </c>
      <c r="I3857">
        <v>122203</v>
      </c>
      <c r="J3857">
        <v>1390</v>
      </c>
      <c r="K3857">
        <v>116357</v>
      </c>
      <c r="L3857">
        <v>32</v>
      </c>
      <c r="M3857">
        <v>47</v>
      </c>
      <c r="N3857" t="s">
        <v>48</v>
      </c>
      <c r="O3857" s="3">
        <v>44125</v>
      </c>
      <c r="P3857">
        <v>-1</v>
      </c>
      <c r="T3857" t="s">
        <v>31</v>
      </c>
      <c r="U3857">
        <v>160</v>
      </c>
      <c r="V3857">
        <v>24.824999999999999</v>
      </c>
    </row>
    <row r="3858" spans="1:22" x14ac:dyDescent="0.35">
      <c r="A3858" s="3">
        <v>44078</v>
      </c>
      <c r="B3858" t="s">
        <v>45</v>
      </c>
      <c r="C3858">
        <v>30.9</v>
      </c>
      <c r="D3858">
        <v>31.85</v>
      </c>
      <c r="E3858">
        <v>29.46</v>
      </c>
      <c r="F3858">
        <v>29.93</v>
      </c>
      <c r="G3858">
        <v>29.925000000000001</v>
      </c>
      <c r="H3858">
        <v>-0.95</v>
      </c>
      <c r="I3858">
        <v>7698</v>
      </c>
      <c r="J3858">
        <v>0</v>
      </c>
      <c r="K3858">
        <v>13240</v>
      </c>
      <c r="L3858">
        <v>93</v>
      </c>
      <c r="M3858">
        <v>138</v>
      </c>
      <c r="N3858" t="s">
        <v>45</v>
      </c>
      <c r="O3858" s="3">
        <v>44216</v>
      </c>
      <c r="P3858">
        <v>-1</v>
      </c>
      <c r="T3858" t="s">
        <v>30</v>
      </c>
      <c r="U3858">
        <v>186</v>
      </c>
      <c r="V3858">
        <v>25.05</v>
      </c>
    </row>
    <row r="3859" spans="1:22" x14ac:dyDescent="0.35">
      <c r="A3859" s="3">
        <v>44078</v>
      </c>
      <c r="B3859" t="s">
        <v>47</v>
      </c>
      <c r="C3859">
        <v>35.229999999999997</v>
      </c>
      <c r="D3859">
        <v>36.81</v>
      </c>
      <c r="E3859">
        <v>32.9</v>
      </c>
      <c r="F3859">
        <v>33.85</v>
      </c>
      <c r="G3859">
        <v>33.799999999999997</v>
      </c>
      <c r="H3859">
        <v>-1.35</v>
      </c>
      <c r="I3859">
        <v>26376</v>
      </c>
      <c r="J3859">
        <v>0</v>
      </c>
      <c r="K3859">
        <v>29617</v>
      </c>
      <c r="L3859">
        <v>52</v>
      </c>
      <c r="M3859">
        <v>75</v>
      </c>
      <c r="N3859" t="s">
        <v>47</v>
      </c>
      <c r="O3859" s="3">
        <v>44153</v>
      </c>
      <c r="P3859">
        <v>-1</v>
      </c>
      <c r="T3859" t="s">
        <v>38</v>
      </c>
      <c r="U3859">
        <v>16</v>
      </c>
      <c r="V3859">
        <v>20.714700000000001</v>
      </c>
    </row>
    <row r="3860" spans="1:22" x14ac:dyDescent="0.35">
      <c r="A3860" s="3">
        <v>44078</v>
      </c>
      <c r="B3860" t="s">
        <v>43</v>
      </c>
      <c r="C3860">
        <v>28.77</v>
      </c>
      <c r="D3860">
        <v>29.64</v>
      </c>
      <c r="E3860">
        <v>27.9</v>
      </c>
      <c r="F3860">
        <v>28.02</v>
      </c>
      <c r="G3860">
        <v>27.925000000000001</v>
      </c>
      <c r="H3860">
        <v>-0.77500000000000002</v>
      </c>
      <c r="I3860">
        <v>2227</v>
      </c>
      <c r="J3860">
        <v>0</v>
      </c>
      <c r="K3860">
        <v>5049</v>
      </c>
      <c r="L3860">
        <v>132</v>
      </c>
      <c r="M3860">
        <v>194</v>
      </c>
      <c r="N3860" t="s">
        <v>43</v>
      </c>
      <c r="O3860" s="3">
        <v>44272</v>
      </c>
      <c r="P3860">
        <v>-1</v>
      </c>
      <c r="T3860" t="s">
        <v>37</v>
      </c>
      <c r="U3860">
        <v>35</v>
      </c>
      <c r="V3860">
        <v>22.200500000000002</v>
      </c>
    </row>
    <row r="3861" spans="1:22" x14ac:dyDescent="0.35">
      <c r="A3861" s="3">
        <v>44078</v>
      </c>
      <c r="B3861" t="s">
        <v>46</v>
      </c>
      <c r="C3861">
        <v>31.69</v>
      </c>
      <c r="D3861">
        <v>32.950000000000003</v>
      </c>
      <c r="E3861">
        <v>30.17</v>
      </c>
      <c r="F3861">
        <v>30.86</v>
      </c>
      <c r="G3861">
        <v>30.925000000000001</v>
      </c>
      <c r="H3861">
        <v>-0.65</v>
      </c>
      <c r="I3861">
        <v>15890</v>
      </c>
      <c r="J3861">
        <v>0</v>
      </c>
      <c r="K3861">
        <v>20936</v>
      </c>
      <c r="L3861">
        <v>71</v>
      </c>
      <c r="M3861">
        <v>103</v>
      </c>
      <c r="N3861" t="s">
        <v>46</v>
      </c>
      <c r="O3861" s="3">
        <v>44181</v>
      </c>
      <c r="P3861">
        <v>-1</v>
      </c>
      <c r="T3861" t="s">
        <v>36</v>
      </c>
      <c r="U3861">
        <v>60</v>
      </c>
      <c r="V3861">
        <v>22.9026</v>
      </c>
    </row>
    <row r="3862" spans="1:22" x14ac:dyDescent="0.35">
      <c r="A3862" s="3">
        <v>44078</v>
      </c>
      <c r="B3862" t="s">
        <v>42</v>
      </c>
      <c r="C3862">
        <v>28.11</v>
      </c>
      <c r="D3862">
        <v>28.8</v>
      </c>
      <c r="E3862">
        <v>27.1</v>
      </c>
      <c r="F3862">
        <v>27.19</v>
      </c>
      <c r="G3862">
        <v>27.175000000000001</v>
      </c>
      <c r="H3862">
        <v>-0.72499999999999998</v>
      </c>
      <c r="I3862">
        <v>512</v>
      </c>
      <c r="J3862">
        <v>0</v>
      </c>
      <c r="K3862">
        <v>85</v>
      </c>
      <c r="L3862">
        <v>157</v>
      </c>
      <c r="M3862">
        <v>229</v>
      </c>
      <c r="N3862" t="s">
        <v>42</v>
      </c>
      <c r="O3862" s="3">
        <v>44307</v>
      </c>
      <c r="P3862">
        <v>-1</v>
      </c>
      <c r="T3862" t="s">
        <v>35</v>
      </c>
      <c r="U3862">
        <v>80</v>
      </c>
      <c r="V3862">
        <v>23.1721</v>
      </c>
    </row>
    <row r="3863" spans="1:22" x14ac:dyDescent="0.35">
      <c r="A3863" s="3">
        <v>44078</v>
      </c>
      <c r="B3863" t="s">
        <v>41</v>
      </c>
      <c r="C3863">
        <v>27.95</v>
      </c>
      <c r="D3863">
        <v>28.4</v>
      </c>
      <c r="E3863">
        <v>26.86</v>
      </c>
      <c r="F3863">
        <v>26.86</v>
      </c>
      <c r="G3863">
        <v>27.15</v>
      </c>
      <c r="H3863">
        <v>-0.125</v>
      </c>
      <c r="I3863">
        <v>23</v>
      </c>
      <c r="J3863">
        <v>0</v>
      </c>
      <c r="K3863">
        <v>48</v>
      </c>
      <c r="L3863">
        <v>177</v>
      </c>
      <c r="M3863">
        <v>257</v>
      </c>
      <c r="N3863" t="s">
        <v>41</v>
      </c>
      <c r="O3863" s="3">
        <v>44335</v>
      </c>
      <c r="P3863">
        <v>-1</v>
      </c>
      <c r="T3863" t="s">
        <v>34</v>
      </c>
      <c r="U3863">
        <v>104</v>
      </c>
      <c r="V3863">
        <v>23.241399999999999</v>
      </c>
    </row>
    <row r="3864" spans="1:22" x14ac:dyDescent="0.35">
      <c r="A3864" s="3">
        <v>44078</v>
      </c>
      <c r="B3864" t="s">
        <v>44</v>
      </c>
      <c r="C3864">
        <v>29.9</v>
      </c>
      <c r="D3864">
        <v>31.05</v>
      </c>
      <c r="E3864">
        <v>28.97</v>
      </c>
      <c r="F3864">
        <v>29.15</v>
      </c>
      <c r="G3864">
        <v>28.975000000000001</v>
      </c>
      <c r="H3864">
        <v>-1.175</v>
      </c>
      <c r="I3864">
        <v>5144</v>
      </c>
      <c r="J3864">
        <v>0</v>
      </c>
      <c r="K3864">
        <v>10031</v>
      </c>
      <c r="L3864">
        <v>112</v>
      </c>
      <c r="M3864">
        <v>166</v>
      </c>
      <c r="N3864" t="s">
        <v>44</v>
      </c>
      <c r="O3864" s="3">
        <v>44244</v>
      </c>
      <c r="P3864">
        <v>-1</v>
      </c>
      <c r="S3864" s="3">
        <v>44405</v>
      </c>
      <c r="T3864" t="s">
        <v>33</v>
      </c>
      <c r="U3864">
        <v>121</v>
      </c>
      <c r="V3864">
        <v>24</v>
      </c>
    </row>
    <row r="3865" spans="1:22" x14ac:dyDescent="0.35">
      <c r="A3865" s="3">
        <v>44077</v>
      </c>
      <c r="B3865" t="s">
        <v>43</v>
      </c>
      <c r="C3865">
        <v>28.6</v>
      </c>
      <c r="D3865">
        <v>29.6</v>
      </c>
      <c r="E3865">
        <v>28.3</v>
      </c>
      <c r="F3865">
        <v>28.7</v>
      </c>
      <c r="G3865">
        <v>28.7</v>
      </c>
      <c r="H3865">
        <v>0.17499999999999999</v>
      </c>
      <c r="I3865">
        <v>1778</v>
      </c>
      <c r="J3865">
        <v>0</v>
      </c>
      <c r="K3865">
        <v>5018</v>
      </c>
      <c r="L3865">
        <v>133</v>
      </c>
      <c r="M3865">
        <v>195</v>
      </c>
      <c r="N3865" t="s">
        <v>43</v>
      </c>
      <c r="O3865" s="3">
        <v>44272</v>
      </c>
      <c r="P3865">
        <v>-1</v>
      </c>
      <c r="T3865" t="s">
        <v>32</v>
      </c>
      <c r="U3865">
        <v>141</v>
      </c>
      <c r="V3865">
        <v>24.357099999999999</v>
      </c>
    </row>
    <row r="3866" spans="1:22" x14ac:dyDescent="0.35">
      <c r="A3866" s="3">
        <v>44077</v>
      </c>
      <c r="B3866" t="s">
        <v>46</v>
      </c>
      <c r="C3866">
        <v>30.75</v>
      </c>
      <c r="D3866">
        <v>32.450000000000003</v>
      </c>
      <c r="E3866">
        <v>30.17</v>
      </c>
      <c r="F3866">
        <v>31.42</v>
      </c>
      <c r="G3866">
        <v>31.574999999999999</v>
      </c>
      <c r="H3866">
        <v>0.8</v>
      </c>
      <c r="I3866">
        <v>21902</v>
      </c>
      <c r="J3866">
        <v>0</v>
      </c>
      <c r="K3866">
        <v>21235</v>
      </c>
      <c r="L3866">
        <v>72</v>
      </c>
      <c r="M3866">
        <v>104</v>
      </c>
      <c r="N3866" t="s">
        <v>46</v>
      </c>
      <c r="O3866" s="3">
        <v>44181</v>
      </c>
      <c r="P3866">
        <v>-1</v>
      </c>
      <c r="T3866" t="s">
        <v>31</v>
      </c>
      <c r="U3866">
        <v>159</v>
      </c>
      <c r="V3866">
        <v>24.55</v>
      </c>
    </row>
    <row r="3867" spans="1:22" x14ac:dyDescent="0.35">
      <c r="A3867" s="3">
        <v>44077</v>
      </c>
      <c r="B3867" t="s">
        <v>42</v>
      </c>
      <c r="C3867">
        <v>28</v>
      </c>
      <c r="D3867">
        <v>28.7</v>
      </c>
      <c r="E3867">
        <v>27.5</v>
      </c>
      <c r="F3867">
        <v>27.85</v>
      </c>
      <c r="G3867">
        <v>27.9</v>
      </c>
      <c r="H3867">
        <v>0.05</v>
      </c>
      <c r="I3867">
        <v>111</v>
      </c>
      <c r="J3867">
        <v>0</v>
      </c>
      <c r="K3867">
        <v>67</v>
      </c>
      <c r="L3867">
        <v>158</v>
      </c>
      <c r="M3867">
        <v>230</v>
      </c>
      <c r="N3867" t="s">
        <v>42</v>
      </c>
      <c r="O3867" s="3">
        <v>44307</v>
      </c>
      <c r="P3867">
        <v>-1</v>
      </c>
      <c r="T3867" t="s">
        <v>30</v>
      </c>
      <c r="U3867">
        <v>185</v>
      </c>
      <c r="V3867">
        <v>24.75</v>
      </c>
    </row>
    <row r="3868" spans="1:22" x14ac:dyDescent="0.35">
      <c r="A3868" s="3">
        <v>44077</v>
      </c>
      <c r="B3868" t="s">
        <v>41</v>
      </c>
      <c r="C3868">
        <v>27.32</v>
      </c>
      <c r="D3868">
        <v>28</v>
      </c>
      <c r="E3868">
        <v>27.32</v>
      </c>
      <c r="F3868">
        <v>27.5</v>
      </c>
      <c r="G3868">
        <v>27.274999999999999</v>
      </c>
      <c r="H3868">
        <v>0.5</v>
      </c>
      <c r="I3868">
        <v>13</v>
      </c>
      <c r="J3868">
        <v>0</v>
      </c>
      <c r="K3868">
        <v>28</v>
      </c>
      <c r="L3868">
        <v>178</v>
      </c>
      <c r="M3868">
        <v>258</v>
      </c>
      <c r="N3868" t="s">
        <v>41</v>
      </c>
      <c r="O3868" s="3">
        <v>44335</v>
      </c>
      <c r="P3868">
        <v>-1</v>
      </c>
      <c r="T3868" t="s">
        <v>38</v>
      </c>
      <c r="U3868">
        <v>15</v>
      </c>
      <c r="V3868">
        <v>20.108899999999998</v>
      </c>
    </row>
    <row r="3869" spans="1:22" x14ac:dyDescent="0.35">
      <c r="A3869" s="3">
        <v>44077</v>
      </c>
      <c r="B3869" t="s">
        <v>44</v>
      </c>
      <c r="C3869">
        <v>29.95</v>
      </c>
      <c r="D3869">
        <v>31</v>
      </c>
      <c r="E3869">
        <v>29.55</v>
      </c>
      <c r="F3869">
        <v>30.07</v>
      </c>
      <c r="G3869">
        <v>30.15</v>
      </c>
      <c r="H3869">
        <v>0.17499999999999999</v>
      </c>
      <c r="I3869">
        <v>4355</v>
      </c>
      <c r="J3869">
        <v>0</v>
      </c>
      <c r="K3869">
        <v>10213</v>
      </c>
      <c r="L3869">
        <v>113</v>
      </c>
      <c r="M3869">
        <v>167</v>
      </c>
      <c r="N3869" t="s">
        <v>44</v>
      </c>
      <c r="O3869" s="3">
        <v>44244</v>
      </c>
      <c r="P3869">
        <v>-1</v>
      </c>
      <c r="T3869" t="s">
        <v>37</v>
      </c>
      <c r="U3869">
        <v>34</v>
      </c>
      <c r="V3869">
        <v>21.799900000000001</v>
      </c>
    </row>
    <row r="3870" spans="1:22" x14ac:dyDescent="0.35">
      <c r="A3870" s="3">
        <v>44077</v>
      </c>
      <c r="B3870" t="s">
        <v>49</v>
      </c>
      <c r="C3870">
        <v>28.95</v>
      </c>
      <c r="D3870">
        <v>35.5</v>
      </c>
      <c r="E3870">
        <v>27.83</v>
      </c>
      <c r="F3870">
        <v>34.1</v>
      </c>
      <c r="G3870">
        <v>33.875</v>
      </c>
      <c r="H3870">
        <v>5</v>
      </c>
      <c r="I3870">
        <v>170425</v>
      </c>
      <c r="J3870">
        <v>782</v>
      </c>
      <c r="K3870">
        <v>98718</v>
      </c>
      <c r="L3870">
        <v>8</v>
      </c>
      <c r="M3870">
        <v>13</v>
      </c>
      <c r="N3870" t="s">
        <v>49</v>
      </c>
      <c r="O3870" s="3">
        <v>44090</v>
      </c>
      <c r="P3870">
        <v>-1</v>
      </c>
      <c r="T3870" t="s">
        <v>36</v>
      </c>
      <c r="U3870">
        <v>59</v>
      </c>
      <c r="V3870">
        <v>22.6279</v>
      </c>
    </row>
    <row r="3871" spans="1:22" x14ac:dyDescent="0.35">
      <c r="A3871" s="3">
        <v>44077</v>
      </c>
      <c r="B3871" t="s">
        <v>48</v>
      </c>
      <c r="C3871">
        <v>35.35</v>
      </c>
      <c r="D3871">
        <v>39.5</v>
      </c>
      <c r="E3871">
        <v>34.200000000000003</v>
      </c>
      <c r="F3871">
        <v>38.4</v>
      </c>
      <c r="G3871">
        <v>39.024999999999999</v>
      </c>
      <c r="H3871">
        <v>3.7</v>
      </c>
      <c r="I3871">
        <v>126949</v>
      </c>
      <c r="J3871">
        <v>1077</v>
      </c>
      <c r="K3871">
        <v>119254</v>
      </c>
      <c r="L3871">
        <v>33</v>
      </c>
      <c r="M3871">
        <v>48</v>
      </c>
      <c r="N3871" t="s">
        <v>48</v>
      </c>
      <c r="O3871" s="3">
        <v>44125</v>
      </c>
      <c r="P3871">
        <v>-1</v>
      </c>
      <c r="T3871" t="s">
        <v>35</v>
      </c>
      <c r="U3871">
        <v>79</v>
      </c>
      <c r="V3871">
        <v>22.928899999999999</v>
      </c>
    </row>
    <row r="3872" spans="1:22" x14ac:dyDescent="0.35">
      <c r="A3872" s="3">
        <v>44077</v>
      </c>
      <c r="B3872" t="s">
        <v>45</v>
      </c>
      <c r="C3872">
        <v>30.33</v>
      </c>
      <c r="D3872">
        <v>31.57</v>
      </c>
      <c r="E3872">
        <v>29.87</v>
      </c>
      <c r="F3872">
        <v>30.75</v>
      </c>
      <c r="G3872">
        <v>30.875</v>
      </c>
      <c r="H3872">
        <v>0.45</v>
      </c>
      <c r="I3872">
        <v>7075</v>
      </c>
      <c r="J3872">
        <v>0</v>
      </c>
      <c r="K3872">
        <v>13086</v>
      </c>
      <c r="L3872">
        <v>94</v>
      </c>
      <c r="M3872">
        <v>139</v>
      </c>
      <c r="N3872" t="s">
        <v>45</v>
      </c>
      <c r="O3872" s="3">
        <v>44216</v>
      </c>
      <c r="P3872">
        <v>-1</v>
      </c>
      <c r="T3872" t="s">
        <v>34</v>
      </c>
      <c r="U3872">
        <v>103</v>
      </c>
      <c r="V3872">
        <v>23.014399999999998</v>
      </c>
    </row>
    <row r="3873" spans="1:22" x14ac:dyDescent="0.35">
      <c r="A3873" s="3">
        <v>44077</v>
      </c>
      <c r="B3873" t="s">
        <v>47</v>
      </c>
      <c r="C3873">
        <v>33.6</v>
      </c>
      <c r="D3873">
        <v>36.200000000000003</v>
      </c>
      <c r="E3873">
        <v>32.799999999999997</v>
      </c>
      <c r="F3873">
        <v>35.020000000000003</v>
      </c>
      <c r="G3873">
        <v>35.15</v>
      </c>
      <c r="H3873">
        <v>1.5249999999999999</v>
      </c>
      <c r="I3873">
        <v>32628</v>
      </c>
      <c r="J3873">
        <v>0</v>
      </c>
      <c r="K3873">
        <v>28653</v>
      </c>
      <c r="L3873">
        <v>53</v>
      </c>
      <c r="M3873">
        <v>76</v>
      </c>
      <c r="N3873" t="s">
        <v>47</v>
      </c>
      <c r="O3873" s="3">
        <v>44153</v>
      </c>
      <c r="P3873">
        <v>-1</v>
      </c>
      <c r="S3873" s="3">
        <v>44406</v>
      </c>
      <c r="T3873" t="s">
        <v>33</v>
      </c>
      <c r="U3873">
        <v>120</v>
      </c>
      <c r="V3873">
        <v>23.839700000000001</v>
      </c>
    </row>
    <row r="3874" spans="1:22" x14ac:dyDescent="0.35">
      <c r="A3874" s="3">
        <v>44076</v>
      </c>
      <c r="B3874" t="s">
        <v>49</v>
      </c>
      <c r="C3874">
        <v>28.4</v>
      </c>
      <c r="D3874">
        <v>29.1</v>
      </c>
      <c r="E3874">
        <v>27.84</v>
      </c>
      <c r="F3874">
        <v>28.95</v>
      </c>
      <c r="G3874">
        <v>28.875</v>
      </c>
      <c r="H3874">
        <v>0.55000000000000004</v>
      </c>
      <c r="I3874">
        <v>87953</v>
      </c>
      <c r="J3874">
        <v>1118</v>
      </c>
      <c r="K3874">
        <v>112180</v>
      </c>
      <c r="L3874">
        <v>9</v>
      </c>
      <c r="M3874">
        <v>14</v>
      </c>
      <c r="N3874" t="s">
        <v>49</v>
      </c>
      <c r="O3874" s="3">
        <v>44090</v>
      </c>
      <c r="P3874">
        <v>-1</v>
      </c>
      <c r="T3874" t="s">
        <v>32</v>
      </c>
      <c r="U3874">
        <v>140</v>
      </c>
      <c r="V3874">
        <v>24.206099999999999</v>
      </c>
    </row>
    <row r="3875" spans="1:22" x14ac:dyDescent="0.35">
      <c r="A3875" s="3">
        <v>44076</v>
      </c>
      <c r="B3875" t="s">
        <v>48</v>
      </c>
      <c r="C3875">
        <v>33.54</v>
      </c>
      <c r="D3875">
        <v>35.450000000000003</v>
      </c>
      <c r="E3875">
        <v>33.159999999999997</v>
      </c>
      <c r="F3875">
        <v>35.39</v>
      </c>
      <c r="G3875">
        <v>35.325000000000003</v>
      </c>
      <c r="H3875">
        <v>1.8</v>
      </c>
      <c r="I3875">
        <v>67793</v>
      </c>
      <c r="J3875">
        <v>1242</v>
      </c>
      <c r="K3875">
        <v>113030</v>
      </c>
      <c r="L3875">
        <v>34</v>
      </c>
      <c r="M3875">
        <v>49</v>
      </c>
      <c r="N3875" t="s">
        <v>48</v>
      </c>
      <c r="O3875" s="3">
        <v>44125</v>
      </c>
      <c r="P3875">
        <v>-1</v>
      </c>
      <c r="T3875" t="s">
        <v>31</v>
      </c>
      <c r="U3875">
        <v>158</v>
      </c>
      <c r="V3875">
        <v>24.475000000000001</v>
      </c>
    </row>
    <row r="3876" spans="1:22" x14ac:dyDescent="0.35">
      <c r="A3876" s="3">
        <v>44076</v>
      </c>
      <c r="B3876" t="s">
        <v>45</v>
      </c>
      <c r="C3876">
        <v>29.6</v>
      </c>
      <c r="D3876">
        <v>30.42</v>
      </c>
      <c r="E3876">
        <v>29.37</v>
      </c>
      <c r="F3876">
        <v>30.4</v>
      </c>
      <c r="G3876">
        <v>30.425000000000001</v>
      </c>
      <c r="H3876">
        <v>0.8</v>
      </c>
      <c r="I3876">
        <v>3601</v>
      </c>
      <c r="J3876">
        <v>0</v>
      </c>
      <c r="K3876">
        <v>12693</v>
      </c>
      <c r="L3876">
        <v>95</v>
      </c>
      <c r="M3876">
        <v>140</v>
      </c>
      <c r="N3876" t="s">
        <v>45</v>
      </c>
      <c r="O3876" s="3">
        <v>44216</v>
      </c>
      <c r="P3876">
        <v>-1</v>
      </c>
      <c r="T3876" t="s">
        <v>30</v>
      </c>
      <c r="U3876">
        <v>184</v>
      </c>
      <c r="V3876">
        <v>24.45</v>
      </c>
    </row>
    <row r="3877" spans="1:22" x14ac:dyDescent="0.35">
      <c r="A3877" s="3">
        <v>44076</v>
      </c>
      <c r="B3877" t="s">
        <v>47</v>
      </c>
      <c r="C3877">
        <v>31.81</v>
      </c>
      <c r="D3877">
        <v>33.65</v>
      </c>
      <c r="E3877">
        <v>31.57</v>
      </c>
      <c r="F3877">
        <v>33.64</v>
      </c>
      <c r="G3877">
        <v>33.625</v>
      </c>
      <c r="H3877">
        <v>1.75</v>
      </c>
      <c r="I3877">
        <v>18092</v>
      </c>
      <c r="J3877">
        <v>0</v>
      </c>
      <c r="K3877">
        <v>28861</v>
      </c>
      <c r="L3877">
        <v>54</v>
      </c>
      <c r="M3877">
        <v>77</v>
      </c>
      <c r="N3877" t="s">
        <v>47</v>
      </c>
      <c r="O3877" s="3">
        <v>44153</v>
      </c>
      <c r="P3877">
        <v>-1</v>
      </c>
      <c r="T3877" t="s">
        <v>38</v>
      </c>
      <c r="U3877">
        <v>14</v>
      </c>
      <c r="V3877">
        <v>19.709199999999999</v>
      </c>
    </row>
    <row r="3878" spans="1:22" x14ac:dyDescent="0.35">
      <c r="A3878" s="3">
        <v>44076</v>
      </c>
      <c r="B3878" t="s">
        <v>43</v>
      </c>
      <c r="C3878">
        <v>28.25</v>
      </c>
      <c r="D3878">
        <v>28.8</v>
      </c>
      <c r="E3878">
        <v>28.07</v>
      </c>
      <c r="F3878">
        <v>28.57</v>
      </c>
      <c r="G3878">
        <v>28.524999999999999</v>
      </c>
      <c r="H3878">
        <v>0.25</v>
      </c>
      <c r="I3878">
        <v>1700</v>
      </c>
      <c r="J3878">
        <v>0</v>
      </c>
      <c r="K3878">
        <v>5236</v>
      </c>
      <c r="L3878">
        <v>134</v>
      </c>
      <c r="M3878">
        <v>196</v>
      </c>
      <c r="N3878" t="s">
        <v>43</v>
      </c>
      <c r="O3878" s="3">
        <v>44272</v>
      </c>
      <c r="P3878">
        <v>-1</v>
      </c>
      <c r="T3878" t="s">
        <v>37</v>
      </c>
      <c r="U3878">
        <v>33</v>
      </c>
      <c r="V3878">
        <v>21.548300000000001</v>
      </c>
    </row>
    <row r="3879" spans="1:22" x14ac:dyDescent="0.35">
      <c r="A3879" s="3">
        <v>44076</v>
      </c>
      <c r="B3879" t="s">
        <v>46</v>
      </c>
      <c r="C3879">
        <v>29.84</v>
      </c>
      <c r="D3879">
        <v>30.8</v>
      </c>
      <c r="E3879">
        <v>29.61</v>
      </c>
      <c r="F3879">
        <v>30.78</v>
      </c>
      <c r="G3879">
        <v>30.774999999999999</v>
      </c>
      <c r="H3879">
        <v>0.9</v>
      </c>
      <c r="I3879">
        <v>8771</v>
      </c>
      <c r="J3879">
        <v>0</v>
      </c>
      <c r="K3879">
        <v>22234</v>
      </c>
      <c r="L3879">
        <v>73</v>
      </c>
      <c r="M3879">
        <v>105</v>
      </c>
      <c r="N3879" t="s">
        <v>46</v>
      </c>
      <c r="O3879" s="3">
        <v>44181</v>
      </c>
      <c r="P3879">
        <v>-1</v>
      </c>
      <c r="T3879" t="s">
        <v>36</v>
      </c>
      <c r="U3879">
        <v>58</v>
      </c>
      <c r="V3879">
        <v>22.441299999999998</v>
      </c>
    </row>
    <row r="3880" spans="1:22" x14ac:dyDescent="0.35">
      <c r="A3880" s="3">
        <v>44076</v>
      </c>
      <c r="B3880" t="s">
        <v>42</v>
      </c>
      <c r="C3880">
        <v>27.85</v>
      </c>
      <c r="D3880">
        <v>27.95</v>
      </c>
      <c r="E3880">
        <v>27.7</v>
      </c>
      <c r="F3880">
        <v>27.89</v>
      </c>
      <c r="G3880">
        <v>27.85</v>
      </c>
      <c r="H3880">
        <v>0.3</v>
      </c>
      <c r="I3880">
        <v>10</v>
      </c>
      <c r="J3880">
        <v>0</v>
      </c>
      <c r="K3880">
        <v>54</v>
      </c>
      <c r="L3880">
        <v>159</v>
      </c>
      <c r="M3880">
        <v>231</v>
      </c>
      <c r="N3880" t="s">
        <v>42</v>
      </c>
      <c r="O3880" s="3">
        <v>44307</v>
      </c>
      <c r="P3880">
        <v>-1</v>
      </c>
      <c r="T3880" t="s">
        <v>35</v>
      </c>
      <c r="U3880">
        <v>78</v>
      </c>
      <c r="V3880">
        <v>22.8</v>
      </c>
    </row>
    <row r="3881" spans="1:22" x14ac:dyDescent="0.35">
      <c r="A3881" s="3">
        <v>44076</v>
      </c>
      <c r="B3881" t="s">
        <v>44</v>
      </c>
      <c r="C3881">
        <v>29.3</v>
      </c>
      <c r="D3881">
        <v>30.02</v>
      </c>
      <c r="E3881">
        <v>29.1</v>
      </c>
      <c r="F3881">
        <v>29.95</v>
      </c>
      <c r="G3881">
        <v>29.975000000000001</v>
      </c>
      <c r="H3881">
        <v>0.65</v>
      </c>
      <c r="I3881">
        <v>2785</v>
      </c>
      <c r="J3881">
        <v>0</v>
      </c>
      <c r="K3881">
        <v>10312</v>
      </c>
      <c r="L3881">
        <v>114</v>
      </c>
      <c r="M3881">
        <v>168</v>
      </c>
      <c r="N3881" t="s">
        <v>44</v>
      </c>
      <c r="O3881" s="3">
        <v>44244</v>
      </c>
      <c r="P3881">
        <v>-1</v>
      </c>
      <c r="T3881" t="s">
        <v>34</v>
      </c>
      <c r="U3881">
        <v>102</v>
      </c>
      <c r="V3881">
        <v>22.900400000000001</v>
      </c>
    </row>
    <row r="3882" spans="1:22" x14ac:dyDescent="0.35">
      <c r="A3882" s="3">
        <v>44075</v>
      </c>
      <c r="B3882" t="s">
        <v>43</v>
      </c>
      <c r="C3882">
        <v>28.28</v>
      </c>
      <c r="D3882">
        <v>28.47</v>
      </c>
      <c r="E3882">
        <v>27.97</v>
      </c>
      <c r="F3882">
        <v>28.2</v>
      </c>
      <c r="G3882">
        <v>28.274999999999999</v>
      </c>
      <c r="H3882">
        <v>0.05</v>
      </c>
      <c r="I3882">
        <v>1324</v>
      </c>
      <c r="J3882">
        <v>0</v>
      </c>
      <c r="K3882">
        <v>5031</v>
      </c>
      <c r="L3882">
        <v>135</v>
      </c>
      <c r="M3882">
        <v>197</v>
      </c>
      <c r="N3882" t="s">
        <v>43</v>
      </c>
      <c r="O3882" s="3">
        <v>44272</v>
      </c>
      <c r="P3882">
        <v>-1</v>
      </c>
      <c r="S3882" s="3">
        <v>44407</v>
      </c>
      <c r="T3882" t="s">
        <v>33</v>
      </c>
      <c r="U3882">
        <v>119</v>
      </c>
      <c r="V3882">
        <v>24.198399999999999</v>
      </c>
    </row>
    <row r="3883" spans="1:22" x14ac:dyDescent="0.35">
      <c r="A3883" s="3">
        <v>44075</v>
      </c>
      <c r="B3883" t="s">
        <v>46</v>
      </c>
      <c r="C3883">
        <v>29.72</v>
      </c>
      <c r="D3883">
        <v>30.1</v>
      </c>
      <c r="E3883">
        <v>29.3</v>
      </c>
      <c r="F3883">
        <v>29.8</v>
      </c>
      <c r="G3883">
        <v>29.875</v>
      </c>
      <c r="H3883">
        <v>0.2</v>
      </c>
      <c r="I3883">
        <v>8028</v>
      </c>
      <c r="J3883">
        <v>0</v>
      </c>
      <c r="K3883">
        <v>22418</v>
      </c>
      <c r="L3883">
        <v>74</v>
      </c>
      <c r="M3883">
        <v>106</v>
      </c>
      <c r="N3883" t="s">
        <v>46</v>
      </c>
      <c r="O3883" s="3">
        <v>44181</v>
      </c>
      <c r="P3883">
        <v>-1</v>
      </c>
      <c r="T3883" t="s">
        <v>32</v>
      </c>
      <c r="U3883">
        <v>139</v>
      </c>
      <c r="V3883">
        <v>24.5</v>
      </c>
    </row>
    <row r="3884" spans="1:22" x14ac:dyDescent="0.35">
      <c r="A3884" s="3">
        <v>44075</v>
      </c>
      <c r="B3884" t="s">
        <v>42</v>
      </c>
      <c r="C3884">
        <v>27.37</v>
      </c>
      <c r="D3884">
        <v>27.65</v>
      </c>
      <c r="E3884">
        <v>27.37</v>
      </c>
      <c r="F3884">
        <v>27.39</v>
      </c>
      <c r="G3884">
        <v>27.55</v>
      </c>
      <c r="H3884">
        <v>0.05</v>
      </c>
      <c r="I3884">
        <v>5</v>
      </c>
      <c r="J3884">
        <v>0</v>
      </c>
      <c r="K3884">
        <v>51</v>
      </c>
      <c r="L3884">
        <v>160</v>
      </c>
      <c r="M3884">
        <v>232</v>
      </c>
      <c r="N3884" t="s">
        <v>42</v>
      </c>
      <c r="O3884" s="3">
        <v>44307</v>
      </c>
      <c r="P3884">
        <v>-1</v>
      </c>
      <c r="T3884" t="s">
        <v>31</v>
      </c>
      <c r="U3884">
        <v>157</v>
      </c>
      <c r="V3884">
        <v>24.75</v>
      </c>
    </row>
    <row r="3885" spans="1:22" x14ac:dyDescent="0.35">
      <c r="A3885" s="3">
        <v>44075</v>
      </c>
      <c r="B3885" t="s">
        <v>44</v>
      </c>
      <c r="C3885">
        <v>29.15</v>
      </c>
      <c r="D3885">
        <v>29.44</v>
      </c>
      <c r="E3885">
        <v>28.85</v>
      </c>
      <c r="F3885">
        <v>29.26</v>
      </c>
      <c r="G3885">
        <v>29.324999999999999</v>
      </c>
      <c r="H3885">
        <v>0.2</v>
      </c>
      <c r="I3885">
        <v>2545</v>
      </c>
      <c r="J3885">
        <v>0</v>
      </c>
      <c r="K3885">
        <v>9654</v>
      </c>
      <c r="L3885">
        <v>115</v>
      </c>
      <c r="M3885">
        <v>169</v>
      </c>
      <c r="N3885" t="s">
        <v>44</v>
      </c>
      <c r="O3885" s="3">
        <v>44244</v>
      </c>
      <c r="P3885">
        <v>-1</v>
      </c>
      <c r="T3885" t="s">
        <v>30</v>
      </c>
      <c r="U3885">
        <v>183</v>
      </c>
      <c r="V3885">
        <v>24.75</v>
      </c>
    </row>
    <row r="3886" spans="1:22" x14ac:dyDescent="0.35">
      <c r="A3886" s="3">
        <v>44075</v>
      </c>
      <c r="B3886" t="s">
        <v>49</v>
      </c>
      <c r="C3886">
        <v>28.05</v>
      </c>
      <c r="D3886">
        <v>28.78</v>
      </c>
      <c r="E3886">
        <v>27.25</v>
      </c>
      <c r="F3886">
        <v>28.35</v>
      </c>
      <c r="G3886">
        <v>28.324999999999999</v>
      </c>
      <c r="H3886">
        <v>0.45</v>
      </c>
      <c r="I3886">
        <v>76216</v>
      </c>
      <c r="J3886">
        <v>0</v>
      </c>
      <c r="K3886">
        <v>114428</v>
      </c>
      <c r="L3886">
        <v>10</v>
      </c>
      <c r="M3886">
        <v>15</v>
      </c>
      <c r="N3886" t="s">
        <v>49</v>
      </c>
      <c r="O3886" s="3">
        <v>44090</v>
      </c>
      <c r="P3886">
        <v>-1</v>
      </c>
      <c r="T3886" t="s">
        <v>38</v>
      </c>
      <c r="U3886">
        <v>13</v>
      </c>
      <c r="V3886">
        <v>20.274000000000001</v>
      </c>
    </row>
    <row r="3887" spans="1:22" x14ac:dyDescent="0.35">
      <c r="A3887" s="3">
        <v>44075</v>
      </c>
      <c r="B3887" t="s">
        <v>48</v>
      </c>
      <c r="C3887">
        <v>33.299999999999997</v>
      </c>
      <c r="D3887">
        <v>33.770000000000003</v>
      </c>
      <c r="E3887">
        <v>32.65</v>
      </c>
      <c r="F3887">
        <v>33.51</v>
      </c>
      <c r="G3887">
        <v>33.524999999999999</v>
      </c>
      <c r="H3887">
        <v>0.3</v>
      </c>
      <c r="I3887">
        <v>61602</v>
      </c>
      <c r="J3887">
        <v>0</v>
      </c>
      <c r="K3887">
        <v>102846</v>
      </c>
      <c r="L3887">
        <v>35</v>
      </c>
      <c r="M3887">
        <v>50</v>
      </c>
      <c r="N3887" t="s">
        <v>48</v>
      </c>
      <c r="O3887" s="3">
        <v>44125</v>
      </c>
      <c r="P3887">
        <v>-1</v>
      </c>
      <c r="T3887" t="s">
        <v>37</v>
      </c>
      <c r="U3887">
        <v>32</v>
      </c>
      <c r="V3887">
        <v>22.0749</v>
      </c>
    </row>
    <row r="3888" spans="1:22" x14ac:dyDescent="0.35">
      <c r="A3888" s="3">
        <v>44075</v>
      </c>
      <c r="B3888" t="s">
        <v>45</v>
      </c>
      <c r="C3888">
        <v>29.39</v>
      </c>
      <c r="D3888">
        <v>29.77</v>
      </c>
      <c r="E3888">
        <v>29</v>
      </c>
      <c r="F3888">
        <v>29.55</v>
      </c>
      <c r="G3888">
        <v>29.625</v>
      </c>
      <c r="H3888">
        <v>0.27500000000000002</v>
      </c>
      <c r="I3888">
        <v>3612</v>
      </c>
      <c r="J3888">
        <v>0</v>
      </c>
      <c r="K3888">
        <v>12514</v>
      </c>
      <c r="L3888">
        <v>96</v>
      </c>
      <c r="M3888">
        <v>141</v>
      </c>
      <c r="N3888" t="s">
        <v>45</v>
      </c>
      <c r="O3888" s="3">
        <v>44216</v>
      </c>
      <c r="P3888">
        <v>-1</v>
      </c>
      <c r="T3888" t="s">
        <v>36</v>
      </c>
      <c r="U3888">
        <v>57</v>
      </c>
      <c r="V3888">
        <v>22.95</v>
      </c>
    </row>
    <row r="3889" spans="1:22" x14ac:dyDescent="0.35">
      <c r="A3889" s="3">
        <v>44075</v>
      </c>
      <c r="B3889" t="s">
        <v>41</v>
      </c>
      <c r="C3889">
        <v>27.12</v>
      </c>
      <c r="D3889">
        <v>27.14</v>
      </c>
      <c r="E3889">
        <v>27.12</v>
      </c>
      <c r="F3889">
        <v>27.14</v>
      </c>
      <c r="G3889">
        <v>27</v>
      </c>
      <c r="H3889">
        <v>0.45</v>
      </c>
      <c r="I3889">
        <v>5</v>
      </c>
      <c r="J3889">
        <v>0</v>
      </c>
      <c r="K3889">
        <v>21</v>
      </c>
      <c r="L3889">
        <v>180</v>
      </c>
      <c r="M3889">
        <v>260</v>
      </c>
      <c r="N3889" t="s">
        <v>41</v>
      </c>
      <c r="O3889" s="3">
        <v>44335</v>
      </c>
      <c r="P3889">
        <v>-1</v>
      </c>
      <c r="T3889" t="s">
        <v>35</v>
      </c>
      <c r="U3889">
        <v>77</v>
      </c>
      <c r="V3889">
        <v>23.249600000000001</v>
      </c>
    </row>
    <row r="3890" spans="1:22" x14ac:dyDescent="0.35">
      <c r="A3890" s="3">
        <v>44075</v>
      </c>
      <c r="B3890" t="s">
        <v>47</v>
      </c>
      <c r="C3890">
        <v>31.5</v>
      </c>
      <c r="D3890">
        <v>32</v>
      </c>
      <c r="E3890">
        <v>31.05</v>
      </c>
      <c r="F3890">
        <v>31.8</v>
      </c>
      <c r="G3890">
        <v>31.875</v>
      </c>
      <c r="H3890">
        <v>0.25</v>
      </c>
      <c r="I3890">
        <v>14381</v>
      </c>
      <c r="J3890">
        <v>0</v>
      </c>
      <c r="K3890">
        <v>28507</v>
      </c>
      <c r="L3890">
        <v>55</v>
      </c>
      <c r="M3890">
        <v>78</v>
      </c>
      <c r="N3890" t="s">
        <v>47</v>
      </c>
      <c r="O3890" s="3">
        <v>44153</v>
      </c>
      <c r="P3890">
        <v>-1</v>
      </c>
      <c r="T3890" t="s">
        <v>34</v>
      </c>
      <c r="U3890">
        <v>101</v>
      </c>
      <c r="V3890">
        <v>23.272200000000002</v>
      </c>
    </row>
    <row r="3891" spans="1:22" x14ac:dyDescent="0.35">
      <c r="A3891" s="3">
        <v>44074</v>
      </c>
      <c r="B3891" t="s">
        <v>49</v>
      </c>
      <c r="C3891">
        <v>26.9</v>
      </c>
      <c r="D3891">
        <v>28.3</v>
      </c>
      <c r="E3891">
        <v>26.4</v>
      </c>
      <c r="F3891">
        <v>28.15</v>
      </c>
      <c r="G3891">
        <v>27.875</v>
      </c>
      <c r="H3891">
        <v>0.92500000000000004</v>
      </c>
      <c r="I3891">
        <v>84332</v>
      </c>
      <c r="J3891">
        <v>174</v>
      </c>
      <c r="K3891">
        <v>124350</v>
      </c>
      <c r="L3891">
        <v>11</v>
      </c>
      <c r="M3891">
        <v>16</v>
      </c>
      <c r="N3891" t="s">
        <v>49</v>
      </c>
      <c r="O3891" s="3">
        <v>44090</v>
      </c>
      <c r="P3891">
        <v>-1</v>
      </c>
      <c r="S3891" s="3">
        <v>44410</v>
      </c>
      <c r="T3891" t="s">
        <v>33</v>
      </c>
      <c r="U3891">
        <v>118</v>
      </c>
      <c r="V3891">
        <v>24.6</v>
      </c>
    </row>
    <row r="3892" spans="1:22" x14ac:dyDescent="0.35">
      <c r="A3892" s="3">
        <v>44074</v>
      </c>
      <c r="B3892" t="s">
        <v>48</v>
      </c>
      <c r="C3892">
        <v>31.65</v>
      </c>
      <c r="D3892">
        <v>33.35</v>
      </c>
      <c r="E3892">
        <v>31.32</v>
      </c>
      <c r="F3892">
        <v>33.299999999999997</v>
      </c>
      <c r="G3892">
        <v>33.225000000000001</v>
      </c>
      <c r="H3892">
        <v>1.55</v>
      </c>
      <c r="I3892">
        <v>56638</v>
      </c>
      <c r="J3892">
        <v>126</v>
      </c>
      <c r="K3892">
        <v>94274</v>
      </c>
      <c r="L3892">
        <v>36</v>
      </c>
      <c r="M3892">
        <v>51</v>
      </c>
      <c r="N3892" t="s">
        <v>48</v>
      </c>
      <c r="O3892" s="3">
        <v>44125</v>
      </c>
      <c r="P3892">
        <v>-1</v>
      </c>
      <c r="T3892" t="s">
        <v>32</v>
      </c>
      <c r="U3892">
        <v>138</v>
      </c>
      <c r="V3892">
        <v>24.9</v>
      </c>
    </row>
    <row r="3893" spans="1:22" x14ac:dyDescent="0.35">
      <c r="A3893" s="3">
        <v>44074</v>
      </c>
      <c r="B3893" t="s">
        <v>45</v>
      </c>
      <c r="C3893">
        <v>28.5</v>
      </c>
      <c r="D3893">
        <v>29.49</v>
      </c>
      <c r="E3893">
        <v>28.45</v>
      </c>
      <c r="F3893">
        <v>29.41</v>
      </c>
      <c r="G3893">
        <v>29.35</v>
      </c>
      <c r="H3893">
        <v>0.625</v>
      </c>
      <c r="I3893">
        <v>3716</v>
      </c>
      <c r="J3893">
        <v>0</v>
      </c>
      <c r="K3893">
        <v>12180</v>
      </c>
      <c r="L3893">
        <v>97</v>
      </c>
      <c r="M3893">
        <v>142</v>
      </c>
      <c r="N3893" t="s">
        <v>45</v>
      </c>
      <c r="O3893" s="3">
        <v>44216</v>
      </c>
      <c r="P3893">
        <v>-1</v>
      </c>
      <c r="T3893" t="s">
        <v>31</v>
      </c>
      <c r="U3893">
        <v>156</v>
      </c>
      <c r="V3893">
        <v>25.1</v>
      </c>
    </row>
    <row r="3894" spans="1:22" x14ac:dyDescent="0.35">
      <c r="A3894" s="3">
        <v>44074</v>
      </c>
      <c r="B3894" t="s">
        <v>47</v>
      </c>
      <c r="C3894">
        <v>30.3</v>
      </c>
      <c r="D3894">
        <v>31.7</v>
      </c>
      <c r="E3894">
        <v>30.11</v>
      </c>
      <c r="F3894">
        <v>31.57</v>
      </c>
      <c r="G3894">
        <v>31.625</v>
      </c>
      <c r="H3894">
        <v>1.175</v>
      </c>
      <c r="I3894">
        <v>13262</v>
      </c>
      <c r="J3894">
        <v>0</v>
      </c>
      <c r="K3894">
        <v>29154</v>
      </c>
      <c r="L3894">
        <v>56</v>
      </c>
      <c r="M3894">
        <v>79</v>
      </c>
      <c r="N3894" t="s">
        <v>47</v>
      </c>
      <c r="O3894" s="3">
        <v>44153</v>
      </c>
      <c r="P3894">
        <v>-1</v>
      </c>
      <c r="T3894" t="s">
        <v>30</v>
      </c>
      <c r="U3894">
        <v>182</v>
      </c>
      <c r="V3894">
        <v>24.875</v>
      </c>
    </row>
    <row r="3895" spans="1:22" x14ac:dyDescent="0.35">
      <c r="A3895" s="3">
        <v>44074</v>
      </c>
      <c r="B3895" t="s">
        <v>43</v>
      </c>
      <c r="C3895">
        <v>27.85</v>
      </c>
      <c r="D3895">
        <v>28.37</v>
      </c>
      <c r="E3895">
        <v>27.72</v>
      </c>
      <c r="F3895">
        <v>28.28</v>
      </c>
      <c r="G3895">
        <v>28.225000000000001</v>
      </c>
      <c r="H3895">
        <v>0.35</v>
      </c>
      <c r="I3895">
        <v>1279</v>
      </c>
      <c r="J3895">
        <v>0</v>
      </c>
      <c r="K3895">
        <v>4658</v>
      </c>
      <c r="L3895">
        <v>136</v>
      </c>
      <c r="M3895">
        <v>198</v>
      </c>
      <c r="N3895" t="s">
        <v>43</v>
      </c>
      <c r="O3895" s="3">
        <v>44272</v>
      </c>
      <c r="P3895">
        <v>-1</v>
      </c>
      <c r="T3895" t="s">
        <v>38</v>
      </c>
      <c r="U3895">
        <v>12</v>
      </c>
      <c r="V3895">
        <v>21.1496</v>
      </c>
    </row>
    <row r="3896" spans="1:22" x14ac:dyDescent="0.35">
      <c r="A3896" s="3">
        <v>44074</v>
      </c>
      <c r="B3896" t="s">
        <v>46</v>
      </c>
      <c r="C3896">
        <v>28.85</v>
      </c>
      <c r="D3896">
        <v>29.8</v>
      </c>
      <c r="E3896">
        <v>28.6</v>
      </c>
      <c r="F3896">
        <v>29.76</v>
      </c>
      <c r="G3896">
        <v>29.675000000000001</v>
      </c>
      <c r="H3896">
        <v>0.75</v>
      </c>
      <c r="I3896">
        <v>8866</v>
      </c>
      <c r="J3896">
        <v>0</v>
      </c>
      <c r="K3896">
        <v>22465</v>
      </c>
      <c r="L3896">
        <v>75</v>
      </c>
      <c r="M3896">
        <v>107</v>
      </c>
      <c r="N3896" t="s">
        <v>46</v>
      </c>
      <c r="O3896" s="3">
        <v>44181</v>
      </c>
      <c r="P3896">
        <v>-1</v>
      </c>
      <c r="T3896" t="s">
        <v>37</v>
      </c>
      <c r="U3896">
        <v>31</v>
      </c>
      <c r="V3896">
        <v>22.7197</v>
      </c>
    </row>
    <row r="3897" spans="1:22" x14ac:dyDescent="0.35">
      <c r="A3897" s="3">
        <v>44074</v>
      </c>
      <c r="B3897" t="s">
        <v>42</v>
      </c>
      <c r="C3897">
        <v>27.5</v>
      </c>
      <c r="D3897">
        <v>27.75</v>
      </c>
      <c r="E3897">
        <v>27.5</v>
      </c>
      <c r="F3897">
        <v>27.6</v>
      </c>
      <c r="G3897">
        <v>27.5</v>
      </c>
      <c r="H3897">
        <v>0.2</v>
      </c>
      <c r="I3897">
        <v>20</v>
      </c>
      <c r="J3897">
        <v>0</v>
      </c>
      <c r="K3897">
        <v>50</v>
      </c>
      <c r="L3897">
        <v>161</v>
      </c>
      <c r="M3897">
        <v>233</v>
      </c>
      <c r="N3897" t="s">
        <v>42</v>
      </c>
      <c r="O3897" s="3">
        <v>44307</v>
      </c>
      <c r="P3897">
        <v>-1</v>
      </c>
      <c r="T3897" t="s">
        <v>36</v>
      </c>
      <c r="U3897">
        <v>56</v>
      </c>
      <c r="V3897">
        <v>23.451499999999999</v>
      </c>
    </row>
    <row r="3898" spans="1:22" x14ac:dyDescent="0.35">
      <c r="A3898" s="3">
        <v>44074</v>
      </c>
      <c r="B3898" t="s">
        <v>44</v>
      </c>
      <c r="C3898">
        <v>28.62</v>
      </c>
      <c r="D3898">
        <v>29.27</v>
      </c>
      <c r="E3898">
        <v>28.42</v>
      </c>
      <c r="F3898">
        <v>29.15</v>
      </c>
      <c r="G3898">
        <v>29.125</v>
      </c>
      <c r="H3898">
        <v>0.45</v>
      </c>
      <c r="I3898">
        <v>3222</v>
      </c>
      <c r="J3898">
        <v>0</v>
      </c>
      <c r="K3898">
        <v>9404</v>
      </c>
      <c r="L3898">
        <v>116</v>
      </c>
      <c r="M3898">
        <v>170</v>
      </c>
      <c r="N3898" t="s">
        <v>44</v>
      </c>
      <c r="O3898" s="3">
        <v>44244</v>
      </c>
      <c r="P3898">
        <v>-1</v>
      </c>
      <c r="T3898" t="s">
        <v>35</v>
      </c>
      <c r="U3898">
        <v>76</v>
      </c>
      <c r="V3898">
        <v>23.7</v>
      </c>
    </row>
    <row r="3899" spans="1:22" x14ac:dyDescent="0.35">
      <c r="A3899" s="3">
        <v>44071</v>
      </c>
      <c r="B3899" t="s">
        <v>43</v>
      </c>
      <c r="C3899">
        <v>27.87</v>
      </c>
      <c r="D3899">
        <v>28.34</v>
      </c>
      <c r="E3899">
        <v>27.7</v>
      </c>
      <c r="F3899">
        <v>27.85</v>
      </c>
      <c r="G3899">
        <v>27.875</v>
      </c>
      <c r="H3899">
        <v>-2.5000000000000001E-2</v>
      </c>
      <c r="I3899">
        <v>1040</v>
      </c>
      <c r="J3899">
        <v>0</v>
      </c>
      <c r="K3899">
        <v>4508</v>
      </c>
      <c r="L3899">
        <v>137</v>
      </c>
      <c r="M3899">
        <v>201</v>
      </c>
      <c r="N3899" t="s">
        <v>43</v>
      </c>
      <c r="O3899" s="3">
        <v>44272</v>
      </c>
      <c r="P3899">
        <v>-1</v>
      </c>
      <c r="T3899" t="s">
        <v>34</v>
      </c>
      <c r="U3899">
        <v>100</v>
      </c>
      <c r="V3899">
        <v>23.699100000000001</v>
      </c>
    </row>
    <row r="3900" spans="1:22" x14ac:dyDescent="0.35">
      <c r="A3900" s="3">
        <v>44071</v>
      </c>
      <c r="B3900" t="s">
        <v>46</v>
      </c>
      <c r="C3900">
        <v>28.77</v>
      </c>
      <c r="D3900">
        <v>29.48</v>
      </c>
      <c r="E3900">
        <v>28.58</v>
      </c>
      <c r="F3900">
        <v>28.88</v>
      </c>
      <c r="G3900">
        <v>28.925000000000001</v>
      </c>
      <c r="H3900">
        <v>0.1</v>
      </c>
      <c r="I3900">
        <v>8844</v>
      </c>
      <c r="J3900">
        <v>0</v>
      </c>
      <c r="K3900">
        <v>21469</v>
      </c>
      <c r="L3900">
        <v>76</v>
      </c>
      <c r="M3900">
        <v>110</v>
      </c>
      <c r="N3900" t="s">
        <v>46</v>
      </c>
      <c r="O3900" s="3">
        <v>44181</v>
      </c>
      <c r="P3900">
        <v>-1</v>
      </c>
      <c r="S3900" s="3">
        <v>44411</v>
      </c>
      <c r="T3900" t="s">
        <v>33</v>
      </c>
      <c r="U3900">
        <v>117</v>
      </c>
      <c r="V3900">
        <v>24.15</v>
      </c>
    </row>
    <row r="3901" spans="1:22" x14ac:dyDescent="0.35">
      <c r="A3901" s="3">
        <v>44071</v>
      </c>
      <c r="B3901" t="s">
        <v>42</v>
      </c>
      <c r="C3901">
        <v>27.62</v>
      </c>
      <c r="D3901">
        <v>27.62</v>
      </c>
      <c r="E3901">
        <v>27.1</v>
      </c>
      <c r="F3901">
        <v>27.21</v>
      </c>
      <c r="G3901">
        <v>27.3</v>
      </c>
      <c r="H3901">
        <v>-0.5</v>
      </c>
      <c r="I3901">
        <v>24</v>
      </c>
      <c r="J3901">
        <v>0</v>
      </c>
      <c r="K3901">
        <v>33</v>
      </c>
      <c r="L3901">
        <v>162</v>
      </c>
      <c r="M3901">
        <v>236</v>
      </c>
      <c r="N3901" t="s">
        <v>42</v>
      </c>
      <c r="O3901" s="3">
        <v>44307</v>
      </c>
      <c r="P3901">
        <v>-1</v>
      </c>
      <c r="T3901" t="s">
        <v>32</v>
      </c>
      <c r="U3901">
        <v>137</v>
      </c>
      <c r="V3901">
        <v>24.5</v>
      </c>
    </row>
    <row r="3902" spans="1:22" x14ac:dyDescent="0.35">
      <c r="A3902" s="3">
        <v>44071</v>
      </c>
      <c r="B3902" t="s">
        <v>41</v>
      </c>
      <c r="C3902">
        <v>27.47</v>
      </c>
      <c r="D3902">
        <v>27.47</v>
      </c>
      <c r="E3902">
        <v>27.02</v>
      </c>
      <c r="F3902">
        <v>27.35</v>
      </c>
      <c r="G3902">
        <v>26.824999999999999</v>
      </c>
      <c r="H3902">
        <v>0.05</v>
      </c>
      <c r="I3902">
        <v>20</v>
      </c>
      <c r="J3902">
        <v>0</v>
      </c>
      <c r="K3902">
        <v>16</v>
      </c>
      <c r="L3902">
        <v>182</v>
      </c>
      <c r="M3902">
        <v>264</v>
      </c>
      <c r="N3902" t="s">
        <v>41</v>
      </c>
      <c r="O3902" s="3">
        <v>44335</v>
      </c>
      <c r="P3902">
        <v>-1</v>
      </c>
      <c r="T3902" t="s">
        <v>31</v>
      </c>
      <c r="U3902">
        <v>155</v>
      </c>
      <c r="V3902">
        <v>24.7</v>
      </c>
    </row>
    <row r="3903" spans="1:22" x14ac:dyDescent="0.35">
      <c r="A3903" s="3">
        <v>44071</v>
      </c>
      <c r="B3903" t="s">
        <v>44</v>
      </c>
      <c r="C3903">
        <v>28.52</v>
      </c>
      <c r="D3903">
        <v>29.05</v>
      </c>
      <c r="E3903">
        <v>28.37</v>
      </c>
      <c r="F3903">
        <v>28.65</v>
      </c>
      <c r="G3903">
        <v>28.675000000000001</v>
      </c>
      <c r="H3903">
        <v>0.1</v>
      </c>
      <c r="I3903">
        <v>2304</v>
      </c>
      <c r="J3903">
        <v>0</v>
      </c>
      <c r="K3903">
        <v>8965</v>
      </c>
      <c r="L3903">
        <v>117</v>
      </c>
      <c r="M3903">
        <v>173</v>
      </c>
      <c r="N3903" t="s">
        <v>44</v>
      </c>
      <c r="O3903" s="3">
        <v>44244</v>
      </c>
      <c r="P3903">
        <v>-1</v>
      </c>
      <c r="T3903" t="s">
        <v>30</v>
      </c>
      <c r="U3903">
        <v>181</v>
      </c>
      <c r="V3903">
        <v>25.125</v>
      </c>
    </row>
    <row r="3904" spans="1:22" x14ac:dyDescent="0.35">
      <c r="A3904" s="3">
        <v>44071</v>
      </c>
      <c r="B3904" t="s">
        <v>49</v>
      </c>
      <c r="C3904">
        <v>27.05</v>
      </c>
      <c r="D3904">
        <v>28.65</v>
      </c>
      <c r="E3904">
        <v>26.25</v>
      </c>
      <c r="F3904">
        <v>26.9</v>
      </c>
      <c r="G3904">
        <v>26.95</v>
      </c>
      <c r="H3904">
        <v>-7.4999999999999997E-2</v>
      </c>
      <c r="I3904">
        <v>95025</v>
      </c>
      <c r="J3904">
        <v>0</v>
      </c>
      <c r="K3904">
        <v>132640</v>
      </c>
      <c r="L3904">
        <v>12</v>
      </c>
      <c r="M3904">
        <v>19</v>
      </c>
      <c r="N3904" t="s">
        <v>49</v>
      </c>
      <c r="O3904" s="3">
        <v>44090</v>
      </c>
      <c r="P3904">
        <v>-1</v>
      </c>
      <c r="T3904" t="s">
        <v>38</v>
      </c>
      <c r="U3904">
        <v>11</v>
      </c>
      <c r="V3904">
        <v>19.852499999999999</v>
      </c>
    </row>
    <row r="3905" spans="1:22" x14ac:dyDescent="0.35">
      <c r="A3905" s="3">
        <v>44071</v>
      </c>
      <c r="B3905" t="s">
        <v>48</v>
      </c>
      <c r="C3905">
        <v>31.25</v>
      </c>
      <c r="D3905">
        <v>32.770000000000003</v>
      </c>
      <c r="E3905">
        <v>30.95</v>
      </c>
      <c r="F3905">
        <v>31.63</v>
      </c>
      <c r="G3905">
        <v>31.675000000000001</v>
      </c>
      <c r="H3905">
        <v>0.35</v>
      </c>
      <c r="I3905">
        <v>56693</v>
      </c>
      <c r="J3905">
        <v>0</v>
      </c>
      <c r="K3905">
        <v>88958</v>
      </c>
      <c r="L3905">
        <v>37</v>
      </c>
      <c r="M3905">
        <v>54</v>
      </c>
      <c r="N3905" t="s">
        <v>48</v>
      </c>
      <c r="O3905" s="3">
        <v>44125</v>
      </c>
      <c r="P3905">
        <v>-1</v>
      </c>
      <c r="T3905" t="s">
        <v>37</v>
      </c>
      <c r="U3905">
        <v>30</v>
      </c>
      <c r="V3905">
        <v>21.8428</v>
      </c>
    </row>
    <row r="3906" spans="1:22" x14ac:dyDescent="0.35">
      <c r="A3906" s="3">
        <v>44071</v>
      </c>
      <c r="B3906" t="s">
        <v>45</v>
      </c>
      <c r="C3906">
        <v>28.61</v>
      </c>
      <c r="D3906">
        <v>29.2</v>
      </c>
      <c r="E3906">
        <v>28.43</v>
      </c>
      <c r="F3906">
        <v>28.65</v>
      </c>
      <c r="G3906">
        <v>28.725000000000001</v>
      </c>
      <c r="H3906">
        <v>0.05</v>
      </c>
      <c r="I3906">
        <v>2741</v>
      </c>
      <c r="J3906">
        <v>0</v>
      </c>
      <c r="K3906">
        <v>11877</v>
      </c>
      <c r="L3906">
        <v>98</v>
      </c>
      <c r="M3906">
        <v>145</v>
      </c>
      <c r="N3906" t="s">
        <v>45</v>
      </c>
      <c r="O3906" s="3">
        <v>44216</v>
      </c>
      <c r="P3906">
        <v>-1</v>
      </c>
      <c r="T3906" t="s">
        <v>36</v>
      </c>
      <c r="U3906">
        <v>55</v>
      </c>
      <c r="V3906">
        <v>22.828099999999999</v>
      </c>
    </row>
    <row r="3907" spans="1:22" x14ac:dyDescent="0.35">
      <c r="A3907" s="3">
        <v>44071</v>
      </c>
      <c r="B3907" t="s">
        <v>47</v>
      </c>
      <c r="C3907">
        <v>30.17</v>
      </c>
      <c r="D3907">
        <v>31.12</v>
      </c>
      <c r="E3907">
        <v>29.9</v>
      </c>
      <c r="F3907">
        <v>30.37</v>
      </c>
      <c r="G3907">
        <v>30.45</v>
      </c>
      <c r="H3907">
        <v>0.22500000000000001</v>
      </c>
      <c r="I3907">
        <v>16907</v>
      </c>
      <c r="J3907">
        <v>0</v>
      </c>
      <c r="K3907">
        <v>29019</v>
      </c>
      <c r="L3907">
        <v>57</v>
      </c>
      <c r="M3907">
        <v>82</v>
      </c>
      <c r="N3907" t="s">
        <v>47</v>
      </c>
      <c r="O3907" s="3">
        <v>44153</v>
      </c>
      <c r="P3907">
        <v>-1</v>
      </c>
      <c r="T3907" t="s">
        <v>35</v>
      </c>
      <c r="U3907">
        <v>75</v>
      </c>
      <c r="V3907">
        <v>23.179300000000001</v>
      </c>
    </row>
    <row r="3908" spans="1:22" x14ac:dyDescent="0.35">
      <c r="A3908" s="3">
        <v>44070</v>
      </c>
      <c r="B3908" t="s">
        <v>49</v>
      </c>
      <c r="C3908">
        <v>26.2</v>
      </c>
      <c r="D3908">
        <v>29.4</v>
      </c>
      <c r="E3908">
        <v>25.51</v>
      </c>
      <c r="F3908">
        <v>27.05</v>
      </c>
      <c r="G3908">
        <v>27.024999999999999</v>
      </c>
      <c r="H3908">
        <v>0.95</v>
      </c>
      <c r="I3908">
        <v>131655</v>
      </c>
      <c r="J3908">
        <v>155</v>
      </c>
      <c r="K3908">
        <v>141965</v>
      </c>
      <c r="L3908">
        <v>13</v>
      </c>
      <c r="M3908">
        <v>20</v>
      </c>
      <c r="N3908" t="s">
        <v>49</v>
      </c>
      <c r="O3908" s="3">
        <v>44090</v>
      </c>
      <c r="P3908">
        <v>-1</v>
      </c>
      <c r="T3908" t="s">
        <v>34</v>
      </c>
      <c r="U3908">
        <v>99</v>
      </c>
      <c r="V3908">
        <v>23.241</v>
      </c>
    </row>
    <row r="3909" spans="1:22" x14ac:dyDescent="0.35">
      <c r="A3909" s="3">
        <v>44070</v>
      </c>
      <c r="B3909" t="s">
        <v>48</v>
      </c>
      <c r="C3909">
        <v>30.41</v>
      </c>
      <c r="D3909">
        <v>33.1</v>
      </c>
      <c r="E3909">
        <v>30.07</v>
      </c>
      <c r="F3909">
        <v>31.25</v>
      </c>
      <c r="G3909">
        <v>31.324999999999999</v>
      </c>
      <c r="H3909">
        <v>0.95</v>
      </c>
      <c r="I3909">
        <v>64522</v>
      </c>
      <c r="J3909">
        <v>71</v>
      </c>
      <c r="K3909">
        <v>83785</v>
      </c>
      <c r="L3909">
        <v>38</v>
      </c>
      <c r="M3909">
        <v>55</v>
      </c>
      <c r="N3909" t="s">
        <v>48</v>
      </c>
      <c r="O3909" s="3">
        <v>44125</v>
      </c>
      <c r="P3909">
        <v>-1</v>
      </c>
      <c r="S3909" s="3">
        <v>44412</v>
      </c>
      <c r="T3909" t="s">
        <v>33</v>
      </c>
      <c r="U3909">
        <v>116</v>
      </c>
      <c r="V3909">
        <v>24.152100000000001</v>
      </c>
    </row>
    <row r="3910" spans="1:22" x14ac:dyDescent="0.35">
      <c r="A3910" s="3">
        <v>44070</v>
      </c>
      <c r="B3910" t="s">
        <v>45</v>
      </c>
      <c r="C3910">
        <v>28.66</v>
      </c>
      <c r="D3910">
        <v>29.61</v>
      </c>
      <c r="E3910">
        <v>28.4</v>
      </c>
      <c r="F3910">
        <v>28.62</v>
      </c>
      <c r="G3910">
        <v>28.675000000000001</v>
      </c>
      <c r="H3910">
        <v>2.5000000000000001E-2</v>
      </c>
      <c r="I3910">
        <v>5108</v>
      </c>
      <c r="J3910">
        <v>0</v>
      </c>
      <c r="K3910">
        <v>11764</v>
      </c>
      <c r="L3910">
        <v>99</v>
      </c>
      <c r="M3910">
        <v>146</v>
      </c>
      <c r="N3910" t="s">
        <v>45</v>
      </c>
      <c r="O3910" s="3">
        <v>44216</v>
      </c>
      <c r="P3910">
        <v>-1</v>
      </c>
      <c r="T3910" t="s">
        <v>32</v>
      </c>
      <c r="U3910">
        <v>136</v>
      </c>
      <c r="V3910">
        <v>24.504200000000001</v>
      </c>
    </row>
    <row r="3911" spans="1:22" x14ac:dyDescent="0.35">
      <c r="A3911" s="3">
        <v>44070</v>
      </c>
      <c r="B3911" t="s">
        <v>47</v>
      </c>
      <c r="C3911">
        <v>29.62</v>
      </c>
      <c r="D3911">
        <v>31.6</v>
      </c>
      <c r="E3911">
        <v>29.33</v>
      </c>
      <c r="F3911">
        <v>30.15</v>
      </c>
      <c r="G3911">
        <v>30.225000000000001</v>
      </c>
      <c r="H3911">
        <v>0.6</v>
      </c>
      <c r="I3911">
        <v>16604</v>
      </c>
      <c r="J3911">
        <v>0</v>
      </c>
      <c r="K3911">
        <v>29237</v>
      </c>
      <c r="L3911">
        <v>58</v>
      </c>
      <c r="M3911">
        <v>83</v>
      </c>
      <c r="N3911" t="s">
        <v>47</v>
      </c>
      <c r="O3911" s="3">
        <v>44153</v>
      </c>
      <c r="P3911">
        <v>-1</v>
      </c>
      <c r="T3911" t="s">
        <v>31</v>
      </c>
      <c r="U3911">
        <v>154</v>
      </c>
      <c r="V3911">
        <v>24.675000000000001</v>
      </c>
    </row>
    <row r="3912" spans="1:22" x14ac:dyDescent="0.35">
      <c r="A3912" s="3">
        <v>44070</v>
      </c>
      <c r="B3912" t="s">
        <v>43</v>
      </c>
      <c r="C3912">
        <v>28.02</v>
      </c>
      <c r="D3912">
        <v>28.75</v>
      </c>
      <c r="E3912">
        <v>27.8</v>
      </c>
      <c r="F3912">
        <v>27.9</v>
      </c>
      <c r="G3912">
        <v>27.9</v>
      </c>
      <c r="H3912">
        <v>-0.17499999999999999</v>
      </c>
      <c r="I3912">
        <v>1486</v>
      </c>
      <c r="J3912">
        <v>0</v>
      </c>
      <c r="K3912">
        <v>4263</v>
      </c>
      <c r="L3912">
        <v>138</v>
      </c>
      <c r="M3912">
        <v>202</v>
      </c>
      <c r="N3912" t="s">
        <v>43</v>
      </c>
      <c r="O3912" s="3">
        <v>44272</v>
      </c>
      <c r="P3912">
        <v>-1</v>
      </c>
      <c r="T3912" t="s">
        <v>30</v>
      </c>
      <c r="U3912">
        <v>180</v>
      </c>
      <c r="V3912">
        <v>25.1</v>
      </c>
    </row>
    <row r="3913" spans="1:22" x14ac:dyDescent="0.35">
      <c r="A3913" s="3">
        <v>44070</v>
      </c>
      <c r="B3913" t="s">
        <v>46</v>
      </c>
      <c r="C3913">
        <v>28.52</v>
      </c>
      <c r="D3913">
        <v>29.75</v>
      </c>
      <c r="E3913">
        <v>28.17</v>
      </c>
      <c r="F3913">
        <v>28.77</v>
      </c>
      <c r="G3913">
        <v>28.824999999999999</v>
      </c>
      <c r="H3913">
        <v>0.3</v>
      </c>
      <c r="I3913">
        <v>10374</v>
      </c>
      <c r="J3913">
        <v>0</v>
      </c>
      <c r="K3913">
        <v>21586</v>
      </c>
      <c r="L3913">
        <v>77</v>
      </c>
      <c r="M3913">
        <v>111</v>
      </c>
      <c r="N3913" t="s">
        <v>46</v>
      </c>
      <c r="O3913" s="3">
        <v>44181</v>
      </c>
      <c r="P3913">
        <v>-1</v>
      </c>
      <c r="T3913" t="s">
        <v>38</v>
      </c>
      <c r="U3913">
        <v>10</v>
      </c>
      <c r="V3913">
        <v>19.849399999999999</v>
      </c>
    </row>
    <row r="3914" spans="1:22" x14ac:dyDescent="0.35">
      <c r="A3914" s="3">
        <v>44070</v>
      </c>
      <c r="B3914" t="s">
        <v>42</v>
      </c>
      <c r="C3914">
        <v>27.9</v>
      </c>
      <c r="D3914">
        <v>27.95</v>
      </c>
      <c r="E3914">
        <v>27.7</v>
      </c>
      <c r="F3914">
        <v>27.7</v>
      </c>
      <c r="G3914">
        <v>27.8</v>
      </c>
      <c r="H3914">
        <v>7.4999999999999997E-2</v>
      </c>
      <c r="I3914">
        <v>22</v>
      </c>
      <c r="J3914">
        <v>0</v>
      </c>
      <c r="K3914">
        <v>35</v>
      </c>
      <c r="L3914">
        <v>163</v>
      </c>
      <c r="M3914">
        <v>237</v>
      </c>
      <c r="N3914" t="s">
        <v>42</v>
      </c>
      <c r="O3914" s="3">
        <v>44307</v>
      </c>
      <c r="P3914">
        <v>-1</v>
      </c>
      <c r="T3914" t="s">
        <v>37</v>
      </c>
      <c r="U3914">
        <v>29</v>
      </c>
      <c r="V3914">
        <v>21.7559</v>
      </c>
    </row>
    <row r="3915" spans="1:22" x14ac:dyDescent="0.35">
      <c r="A3915" s="3">
        <v>44070</v>
      </c>
      <c r="B3915" t="s">
        <v>44</v>
      </c>
      <c r="C3915">
        <v>28.65</v>
      </c>
      <c r="D3915">
        <v>29.4</v>
      </c>
      <c r="E3915">
        <v>28.4</v>
      </c>
      <c r="F3915">
        <v>28.55</v>
      </c>
      <c r="G3915">
        <v>28.574999999999999</v>
      </c>
      <c r="H3915">
        <v>-0.05</v>
      </c>
      <c r="I3915">
        <v>3309</v>
      </c>
      <c r="J3915">
        <v>0</v>
      </c>
      <c r="K3915">
        <v>8536</v>
      </c>
      <c r="L3915">
        <v>118</v>
      </c>
      <c r="M3915">
        <v>174</v>
      </c>
      <c r="N3915" t="s">
        <v>44</v>
      </c>
      <c r="O3915" s="3">
        <v>44244</v>
      </c>
      <c r="P3915">
        <v>-1</v>
      </c>
      <c r="T3915" t="s">
        <v>36</v>
      </c>
      <c r="U3915">
        <v>54</v>
      </c>
      <c r="V3915">
        <v>22.7944</v>
      </c>
    </row>
    <row r="3916" spans="1:22" x14ac:dyDescent="0.35">
      <c r="A3916" s="3">
        <v>44069</v>
      </c>
      <c r="B3916" t="s">
        <v>43</v>
      </c>
      <c r="C3916">
        <v>28.1</v>
      </c>
      <c r="D3916">
        <v>28.13</v>
      </c>
      <c r="E3916">
        <v>27.62</v>
      </c>
      <c r="F3916">
        <v>28.1</v>
      </c>
      <c r="G3916">
        <v>28.074999999999999</v>
      </c>
      <c r="H3916">
        <v>0</v>
      </c>
      <c r="I3916">
        <v>1060</v>
      </c>
      <c r="J3916">
        <v>0</v>
      </c>
      <c r="K3916">
        <v>3891</v>
      </c>
      <c r="L3916">
        <v>139</v>
      </c>
      <c r="M3916">
        <v>203</v>
      </c>
      <c r="N3916" t="s">
        <v>43</v>
      </c>
      <c r="O3916" s="3">
        <v>44272</v>
      </c>
      <c r="P3916">
        <v>-1</v>
      </c>
      <c r="T3916" t="s">
        <v>35</v>
      </c>
      <c r="U3916">
        <v>74</v>
      </c>
      <c r="V3916">
        <v>23.1982</v>
      </c>
    </row>
    <row r="3917" spans="1:22" x14ac:dyDescent="0.35">
      <c r="A3917" s="3">
        <v>44069</v>
      </c>
      <c r="B3917" t="s">
        <v>46</v>
      </c>
      <c r="C3917">
        <v>28.07</v>
      </c>
      <c r="D3917">
        <v>28.62</v>
      </c>
      <c r="E3917">
        <v>27.78</v>
      </c>
      <c r="F3917">
        <v>28.49</v>
      </c>
      <c r="G3917">
        <v>28.524999999999999</v>
      </c>
      <c r="H3917">
        <v>0.45</v>
      </c>
      <c r="I3917">
        <v>5640</v>
      </c>
      <c r="J3917">
        <v>0</v>
      </c>
      <c r="K3917">
        <v>20910</v>
      </c>
      <c r="L3917">
        <v>78</v>
      </c>
      <c r="M3917">
        <v>112</v>
      </c>
      <c r="N3917" t="s">
        <v>46</v>
      </c>
      <c r="O3917" s="3">
        <v>44181</v>
      </c>
      <c r="P3917">
        <v>-1</v>
      </c>
      <c r="T3917" t="s">
        <v>34</v>
      </c>
      <c r="U3917">
        <v>98</v>
      </c>
      <c r="V3917">
        <v>23.296800000000001</v>
      </c>
    </row>
    <row r="3918" spans="1:22" x14ac:dyDescent="0.35">
      <c r="A3918" s="3">
        <v>44069</v>
      </c>
      <c r="B3918" t="s">
        <v>42</v>
      </c>
      <c r="C3918">
        <v>27.3</v>
      </c>
      <c r="D3918">
        <v>28</v>
      </c>
      <c r="E3918">
        <v>27.25</v>
      </c>
      <c r="F3918">
        <v>28</v>
      </c>
      <c r="G3918">
        <v>27.725000000000001</v>
      </c>
      <c r="H3918">
        <v>-0.125</v>
      </c>
      <c r="I3918">
        <v>4</v>
      </c>
      <c r="J3918">
        <v>0</v>
      </c>
      <c r="K3918">
        <v>19</v>
      </c>
      <c r="L3918">
        <v>164</v>
      </c>
      <c r="M3918">
        <v>238</v>
      </c>
      <c r="N3918" t="s">
        <v>42</v>
      </c>
      <c r="O3918" s="3">
        <v>44307</v>
      </c>
      <c r="P3918">
        <v>-1</v>
      </c>
      <c r="S3918" s="3">
        <v>44413</v>
      </c>
      <c r="T3918" t="s">
        <v>33</v>
      </c>
      <c r="U3918">
        <v>115</v>
      </c>
      <c r="V3918">
        <v>23.85</v>
      </c>
    </row>
    <row r="3919" spans="1:22" x14ac:dyDescent="0.35">
      <c r="A3919" s="3">
        <v>44069</v>
      </c>
      <c r="B3919" t="s">
        <v>45</v>
      </c>
      <c r="C3919">
        <v>28.35</v>
      </c>
      <c r="D3919">
        <v>28.77</v>
      </c>
      <c r="E3919">
        <v>28.08</v>
      </c>
      <c r="F3919">
        <v>28.66</v>
      </c>
      <c r="G3919">
        <v>28.65</v>
      </c>
      <c r="H3919">
        <v>0.27500000000000002</v>
      </c>
      <c r="I3919">
        <v>4351</v>
      </c>
      <c r="J3919">
        <v>0</v>
      </c>
      <c r="K3919">
        <v>11547</v>
      </c>
      <c r="L3919">
        <v>100</v>
      </c>
      <c r="M3919">
        <v>147</v>
      </c>
      <c r="N3919" t="s">
        <v>45</v>
      </c>
      <c r="O3919" s="3">
        <v>44216</v>
      </c>
      <c r="P3919">
        <v>-1</v>
      </c>
      <c r="T3919" t="s">
        <v>32</v>
      </c>
      <c r="U3919">
        <v>135</v>
      </c>
      <c r="V3919">
        <v>24.196200000000001</v>
      </c>
    </row>
    <row r="3920" spans="1:22" x14ac:dyDescent="0.35">
      <c r="A3920" s="3">
        <v>44069</v>
      </c>
      <c r="B3920" t="s">
        <v>44</v>
      </c>
      <c r="C3920">
        <v>28.45</v>
      </c>
      <c r="D3920">
        <v>28.67</v>
      </c>
      <c r="E3920">
        <v>28.11</v>
      </c>
      <c r="F3920">
        <v>28.66</v>
      </c>
      <c r="G3920">
        <v>28.625</v>
      </c>
      <c r="H3920">
        <v>0.15</v>
      </c>
      <c r="I3920">
        <v>3410</v>
      </c>
      <c r="J3920">
        <v>0</v>
      </c>
      <c r="K3920">
        <v>8332</v>
      </c>
      <c r="L3920">
        <v>119</v>
      </c>
      <c r="M3920">
        <v>175</v>
      </c>
      <c r="N3920" t="s">
        <v>44</v>
      </c>
      <c r="O3920" s="3">
        <v>44244</v>
      </c>
      <c r="P3920">
        <v>-1</v>
      </c>
      <c r="T3920" t="s">
        <v>31</v>
      </c>
      <c r="U3920">
        <v>153</v>
      </c>
      <c r="V3920">
        <v>24.375</v>
      </c>
    </row>
    <row r="3921" spans="1:22" x14ac:dyDescent="0.35">
      <c r="A3921" s="3">
        <v>44069</v>
      </c>
      <c r="B3921" t="s">
        <v>49</v>
      </c>
      <c r="C3921">
        <v>25.5</v>
      </c>
      <c r="D3921">
        <v>26.38</v>
      </c>
      <c r="E3921">
        <v>24.7</v>
      </c>
      <c r="F3921">
        <v>26.15</v>
      </c>
      <c r="G3921">
        <v>26.074999999999999</v>
      </c>
      <c r="H3921">
        <v>0.6</v>
      </c>
      <c r="I3921">
        <v>62151</v>
      </c>
      <c r="J3921">
        <v>0</v>
      </c>
      <c r="K3921">
        <v>150441</v>
      </c>
      <c r="L3921">
        <v>14</v>
      </c>
      <c r="M3921">
        <v>21</v>
      </c>
      <c r="N3921" t="s">
        <v>49</v>
      </c>
      <c r="O3921" s="3">
        <v>44090</v>
      </c>
      <c r="P3921">
        <v>-1</v>
      </c>
      <c r="T3921" t="s">
        <v>30</v>
      </c>
      <c r="U3921">
        <v>179</v>
      </c>
      <c r="V3921">
        <v>24.375</v>
      </c>
    </row>
    <row r="3922" spans="1:22" x14ac:dyDescent="0.35">
      <c r="A3922" s="3">
        <v>44069</v>
      </c>
      <c r="B3922" t="s">
        <v>48</v>
      </c>
      <c r="C3922">
        <v>29.5</v>
      </c>
      <c r="D3922">
        <v>30.42</v>
      </c>
      <c r="E3922">
        <v>29.05</v>
      </c>
      <c r="F3922">
        <v>30.4</v>
      </c>
      <c r="G3922">
        <v>30.375</v>
      </c>
      <c r="H3922">
        <v>0.9</v>
      </c>
      <c r="I3922">
        <v>42823</v>
      </c>
      <c r="J3922">
        <v>0</v>
      </c>
      <c r="K3922">
        <v>78108</v>
      </c>
      <c r="L3922">
        <v>39</v>
      </c>
      <c r="M3922">
        <v>56</v>
      </c>
      <c r="N3922" t="s">
        <v>48</v>
      </c>
      <c r="O3922" s="3">
        <v>44125</v>
      </c>
      <c r="P3922">
        <v>-1</v>
      </c>
      <c r="T3922" t="s">
        <v>38</v>
      </c>
      <c r="U3922">
        <v>9</v>
      </c>
      <c r="V3922">
        <v>19.312899999999999</v>
      </c>
    </row>
    <row r="3923" spans="1:22" x14ac:dyDescent="0.35">
      <c r="A3923" s="3">
        <v>44069</v>
      </c>
      <c r="B3923" t="s">
        <v>41</v>
      </c>
      <c r="C3923">
        <v>27.5</v>
      </c>
      <c r="D3923">
        <v>27.5</v>
      </c>
      <c r="E3923">
        <v>27.5</v>
      </c>
      <c r="F3923">
        <v>27.5</v>
      </c>
      <c r="G3923">
        <v>27.2</v>
      </c>
      <c r="H3923">
        <v>-0.67500000000000004</v>
      </c>
      <c r="I3923">
        <v>2</v>
      </c>
      <c r="J3923">
        <v>0</v>
      </c>
      <c r="K3923">
        <v>2</v>
      </c>
      <c r="L3923">
        <v>184</v>
      </c>
      <c r="M3923">
        <v>266</v>
      </c>
      <c r="N3923" t="s">
        <v>41</v>
      </c>
      <c r="O3923" s="3">
        <v>44335</v>
      </c>
      <c r="P3923">
        <v>-1</v>
      </c>
      <c r="T3923" t="s">
        <v>37</v>
      </c>
      <c r="U3923">
        <v>28</v>
      </c>
      <c r="V3923">
        <v>21.289200000000001</v>
      </c>
    </row>
    <row r="3924" spans="1:22" x14ac:dyDescent="0.35">
      <c r="A3924" s="3">
        <v>44069</v>
      </c>
      <c r="B3924" t="s">
        <v>47</v>
      </c>
      <c r="C3924">
        <v>28.83</v>
      </c>
      <c r="D3924">
        <v>29.69</v>
      </c>
      <c r="E3924">
        <v>28.55</v>
      </c>
      <c r="F3924">
        <v>29.6</v>
      </c>
      <c r="G3924">
        <v>29.625</v>
      </c>
      <c r="H3924">
        <v>0.8</v>
      </c>
      <c r="I3924">
        <v>7954</v>
      </c>
      <c r="J3924">
        <v>0</v>
      </c>
      <c r="K3924">
        <v>29159</v>
      </c>
      <c r="L3924">
        <v>59</v>
      </c>
      <c r="M3924">
        <v>84</v>
      </c>
      <c r="N3924" t="s">
        <v>47</v>
      </c>
      <c r="O3924" s="3">
        <v>44153</v>
      </c>
      <c r="P3924">
        <v>-1</v>
      </c>
      <c r="T3924" t="s">
        <v>36</v>
      </c>
      <c r="U3924">
        <v>53</v>
      </c>
      <c r="V3924">
        <v>22.333300000000001</v>
      </c>
    </row>
    <row r="3925" spans="1:22" x14ac:dyDescent="0.35">
      <c r="A3925" s="3">
        <v>44068</v>
      </c>
      <c r="B3925" t="s">
        <v>49</v>
      </c>
      <c r="C3925">
        <v>25.9</v>
      </c>
      <c r="D3925">
        <v>26.71</v>
      </c>
      <c r="E3925">
        <v>25.35</v>
      </c>
      <c r="F3925">
        <v>25.35</v>
      </c>
      <c r="G3925">
        <v>25.475000000000001</v>
      </c>
      <c r="H3925">
        <v>-0.35</v>
      </c>
      <c r="I3925">
        <v>63672</v>
      </c>
      <c r="J3925">
        <v>0</v>
      </c>
      <c r="K3925">
        <v>157249</v>
      </c>
      <c r="L3925">
        <v>15</v>
      </c>
      <c r="M3925">
        <v>22</v>
      </c>
      <c r="N3925" t="s">
        <v>49</v>
      </c>
      <c r="O3925" s="3">
        <v>44090</v>
      </c>
      <c r="P3925">
        <v>-1</v>
      </c>
      <c r="T3925" t="s">
        <v>35</v>
      </c>
      <c r="U3925">
        <v>73</v>
      </c>
      <c r="V3925">
        <v>22.9</v>
      </c>
    </row>
    <row r="3926" spans="1:22" x14ac:dyDescent="0.35">
      <c r="A3926" s="3">
        <v>44068</v>
      </c>
      <c r="B3926" t="s">
        <v>48</v>
      </c>
      <c r="C3926">
        <v>29.58</v>
      </c>
      <c r="D3926">
        <v>30.43</v>
      </c>
      <c r="E3926">
        <v>29.3</v>
      </c>
      <c r="F3926">
        <v>29.43</v>
      </c>
      <c r="G3926">
        <v>29.475000000000001</v>
      </c>
      <c r="H3926">
        <v>-0.1</v>
      </c>
      <c r="I3926">
        <v>37182</v>
      </c>
      <c r="J3926">
        <v>0</v>
      </c>
      <c r="K3926">
        <v>74747</v>
      </c>
      <c r="L3926">
        <v>40</v>
      </c>
      <c r="M3926">
        <v>57</v>
      </c>
      <c r="N3926" t="s">
        <v>48</v>
      </c>
      <c r="O3926" s="3">
        <v>44125</v>
      </c>
      <c r="P3926">
        <v>-1</v>
      </c>
      <c r="T3926" t="s">
        <v>34</v>
      </c>
      <c r="U3926">
        <v>97</v>
      </c>
      <c r="V3926">
        <v>22.999500000000001</v>
      </c>
    </row>
    <row r="3927" spans="1:22" x14ac:dyDescent="0.35">
      <c r="A3927" s="3">
        <v>44068</v>
      </c>
      <c r="B3927" t="s">
        <v>47</v>
      </c>
      <c r="C3927">
        <v>28.9</v>
      </c>
      <c r="D3927">
        <v>29.58</v>
      </c>
      <c r="E3927">
        <v>28.7</v>
      </c>
      <c r="F3927">
        <v>28.77</v>
      </c>
      <c r="G3927">
        <v>28.824999999999999</v>
      </c>
      <c r="H3927">
        <v>-7.4999999999999997E-2</v>
      </c>
      <c r="I3927">
        <v>8192</v>
      </c>
      <c r="J3927">
        <v>0</v>
      </c>
      <c r="K3927">
        <v>28343</v>
      </c>
      <c r="L3927">
        <v>60</v>
      </c>
      <c r="M3927">
        <v>85</v>
      </c>
      <c r="N3927" t="s">
        <v>47</v>
      </c>
      <c r="O3927" s="3">
        <v>44153</v>
      </c>
      <c r="P3927">
        <v>-1</v>
      </c>
      <c r="S3927" s="3">
        <v>44414</v>
      </c>
      <c r="T3927" t="s">
        <v>33</v>
      </c>
      <c r="U3927">
        <v>114</v>
      </c>
      <c r="V3927">
        <v>23.65</v>
      </c>
    </row>
    <row r="3928" spans="1:22" x14ac:dyDescent="0.35">
      <c r="A3928" s="3">
        <v>44068</v>
      </c>
      <c r="B3928" t="s">
        <v>43</v>
      </c>
      <c r="C3928">
        <v>28.15</v>
      </c>
      <c r="D3928">
        <v>28.47</v>
      </c>
      <c r="E3928">
        <v>27.92</v>
      </c>
      <c r="F3928">
        <v>27.95</v>
      </c>
      <c r="G3928">
        <v>28.074999999999999</v>
      </c>
      <c r="H3928">
        <v>-0.15</v>
      </c>
      <c r="I3928">
        <v>1049</v>
      </c>
      <c r="J3928">
        <v>0</v>
      </c>
      <c r="K3928">
        <v>3618</v>
      </c>
      <c r="L3928">
        <v>140</v>
      </c>
      <c r="M3928">
        <v>204</v>
      </c>
      <c r="N3928" t="s">
        <v>43</v>
      </c>
      <c r="O3928" s="3">
        <v>44272</v>
      </c>
      <c r="P3928">
        <v>-1</v>
      </c>
      <c r="T3928" t="s">
        <v>32</v>
      </c>
      <c r="U3928">
        <v>134</v>
      </c>
      <c r="V3928">
        <v>23.975000000000001</v>
      </c>
    </row>
    <row r="3929" spans="1:22" x14ac:dyDescent="0.35">
      <c r="A3929" s="3">
        <v>44068</v>
      </c>
      <c r="B3929" t="s">
        <v>46</v>
      </c>
      <c r="C3929">
        <v>28.2</v>
      </c>
      <c r="D3929">
        <v>28.72</v>
      </c>
      <c r="E3929">
        <v>27.97</v>
      </c>
      <c r="F3929">
        <v>27.99</v>
      </c>
      <c r="G3929">
        <v>28.074999999999999</v>
      </c>
      <c r="H3929">
        <v>-0.125</v>
      </c>
      <c r="I3929">
        <v>6120</v>
      </c>
      <c r="J3929">
        <v>0</v>
      </c>
      <c r="K3929">
        <v>20497</v>
      </c>
      <c r="L3929">
        <v>79</v>
      </c>
      <c r="M3929">
        <v>113</v>
      </c>
      <c r="N3929" t="s">
        <v>46</v>
      </c>
      <c r="O3929" s="3">
        <v>44181</v>
      </c>
      <c r="P3929">
        <v>-1</v>
      </c>
      <c r="T3929" t="s">
        <v>31</v>
      </c>
      <c r="U3929">
        <v>152</v>
      </c>
      <c r="V3929">
        <v>24.225000000000001</v>
      </c>
    </row>
    <row r="3930" spans="1:22" x14ac:dyDescent="0.35">
      <c r="A3930" s="3">
        <v>44068</v>
      </c>
      <c r="B3930" t="s">
        <v>45</v>
      </c>
      <c r="C3930">
        <v>28.6</v>
      </c>
      <c r="D3930">
        <v>28.98</v>
      </c>
      <c r="E3930">
        <v>28.25</v>
      </c>
      <c r="F3930">
        <v>28.3</v>
      </c>
      <c r="G3930">
        <v>28.375</v>
      </c>
      <c r="H3930">
        <v>-0.15</v>
      </c>
      <c r="I3930">
        <v>4671</v>
      </c>
      <c r="J3930">
        <v>0</v>
      </c>
      <c r="K3930">
        <v>11393</v>
      </c>
      <c r="L3930">
        <v>101</v>
      </c>
      <c r="M3930">
        <v>148</v>
      </c>
      <c r="N3930" t="s">
        <v>45</v>
      </c>
      <c r="O3930" s="3">
        <v>44216</v>
      </c>
      <c r="P3930">
        <v>-1</v>
      </c>
      <c r="T3930" t="s">
        <v>30</v>
      </c>
      <c r="U3930">
        <v>178</v>
      </c>
      <c r="V3930">
        <v>24.175000000000001</v>
      </c>
    </row>
    <row r="3931" spans="1:22" x14ac:dyDescent="0.35">
      <c r="A3931" s="3">
        <v>44068</v>
      </c>
      <c r="B3931" t="s">
        <v>44</v>
      </c>
      <c r="C3931">
        <v>28.6</v>
      </c>
      <c r="D3931">
        <v>29.02</v>
      </c>
      <c r="E3931">
        <v>28.38</v>
      </c>
      <c r="F3931">
        <v>28.4</v>
      </c>
      <c r="G3931">
        <v>28.475000000000001</v>
      </c>
      <c r="H3931">
        <v>-0.17499999999999999</v>
      </c>
      <c r="I3931">
        <v>2822</v>
      </c>
      <c r="J3931">
        <v>0</v>
      </c>
      <c r="K3931">
        <v>7781</v>
      </c>
      <c r="L3931">
        <v>120</v>
      </c>
      <c r="M3931">
        <v>176</v>
      </c>
      <c r="N3931" t="s">
        <v>44</v>
      </c>
      <c r="O3931" s="3">
        <v>44244</v>
      </c>
      <c r="P3931">
        <v>-1</v>
      </c>
      <c r="T3931" t="s">
        <v>38</v>
      </c>
      <c r="U3931">
        <v>8</v>
      </c>
      <c r="V3931">
        <v>18.702400000000001</v>
      </c>
    </row>
    <row r="3932" spans="1:22" x14ac:dyDescent="0.35">
      <c r="A3932" s="3">
        <v>44067</v>
      </c>
      <c r="B3932" t="s">
        <v>43</v>
      </c>
      <c r="C3932">
        <v>28.31</v>
      </c>
      <c r="D3932">
        <v>28.37</v>
      </c>
      <c r="E3932">
        <v>27.9</v>
      </c>
      <c r="F3932">
        <v>28.25</v>
      </c>
      <c r="G3932">
        <v>28.225000000000001</v>
      </c>
      <c r="H3932">
        <v>-0.15</v>
      </c>
      <c r="I3932">
        <v>1344</v>
      </c>
      <c r="J3932">
        <v>0</v>
      </c>
      <c r="K3932">
        <v>3159</v>
      </c>
      <c r="L3932">
        <v>141</v>
      </c>
      <c r="M3932">
        <v>205</v>
      </c>
      <c r="N3932" t="s">
        <v>43</v>
      </c>
      <c r="O3932" s="3">
        <v>44272</v>
      </c>
      <c r="P3932">
        <v>-1</v>
      </c>
      <c r="T3932" t="s">
        <v>37</v>
      </c>
      <c r="U3932">
        <v>27</v>
      </c>
      <c r="V3932">
        <v>20.751000000000001</v>
      </c>
    </row>
    <row r="3933" spans="1:22" x14ac:dyDescent="0.35">
      <c r="A3933" s="3">
        <v>44067</v>
      </c>
      <c r="B3933" t="s">
        <v>46</v>
      </c>
      <c r="C3933">
        <v>28.17</v>
      </c>
      <c r="D3933">
        <v>28.3</v>
      </c>
      <c r="E3933">
        <v>27.67</v>
      </c>
      <c r="F3933">
        <v>28.25</v>
      </c>
      <c r="G3933">
        <v>28.2</v>
      </c>
      <c r="H3933">
        <v>2.5000000000000001E-2</v>
      </c>
      <c r="I3933">
        <v>3826</v>
      </c>
      <c r="J3933">
        <v>0</v>
      </c>
      <c r="K3933">
        <v>20853</v>
      </c>
      <c r="L3933">
        <v>80</v>
      </c>
      <c r="M3933">
        <v>114</v>
      </c>
      <c r="N3933" t="s">
        <v>46</v>
      </c>
      <c r="O3933" s="3">
        <v>44181</v>
      </c>
      <c r="P3933">
        <v>-1</v>
      </c>
      <c r="T3933" t="s">
        <v>36</v>
      </c>
      <c r="U3933">
        <v>52</v>
      </c>
      <c r="V3933">
        <v>21.837399999999999</v>
      </c>
    </row>
    <row r="3934" spans="1:22" x14ac:dyDescent="0.35">
      <c r="A3934" s="3">
        <v>44067</v>
      </c>
      <c r="B3934" t="s">
        <v>45</v>
      </c>
      <c r="C3934">
        <v>28.5</v>
      </c>
      <c r="D3934">
        <v>28.6</v>
      </c>
      <c r="E3934">
        <v>28.1</v>
      </c>
      <c r="F3934">
        <v>28.55</v>
      </c>
      <c r="G3934">
        <v>28.524999999999999</v>
      </c>
      <c r="H3934">
        <v>0</v>
      </c>
      <c r="I3934">
        <v>3725</v>
      </c>
      <c r="J3934">
        <v>0</v>
      </c>
      <c r="K3934">
        <v>11166</v>
      </c>
      <c r="L3934">
        <v>102</v>
      </c>
      <c r="M3934">
        <v>149</v>
      </c>
      <c r="N3934" t="s">
        <v>45</v>
      </c>
      <c r="O3934" s="3">
        <v>44216</v>
      </c>
      <c r="P3934">
        <v>-1</v>
      </c>
      <c r="T3934" t="s">
        <v>35</v>
      </c>
      <c r="U3934">
        <v>72</v>
      </c>
      <c r="V3934">
        <v>22.511900000000001</v>
      </c>
    </row>
    <row r="3935" spans="1:22" x14ac:dyDescent="0.35">
      <c r="A3935" s="3">
        <v>44067</v>
      </c>
      <c r="B3935" t="s">
        <v>44</v>
      </c>
      <c r="C3935">
        <v>28.62</v>
      </c>
      <c r="D3935">
        <v>28.7</v>
      </c>
      <c r="E3935">
        <v>28.2</v>
      </c>
      <c r="F3935">
        <v>28.7</v>
      </c>
      <c r="G3935">
        <v>28.65</v>
      </c>
      <c r="H3935">
        <v>-0.05</v>
      </c>
      <c r="I3935">
        <v>3194</v>
      </c>
      <c r="J3935">
        <v>0</v>
      </c>
      <c r="K3935">
        <v>7212</v>
      </c>
      <c r="L3935">
        <v>121</v>
      </c>
      <c r="M3935">
        <v>177</v>
      </c>
      <c r="N3935" t="s">
        <v>44</v>
      </c>
      <c r="O3935" s="3">
        <v>44244</v>
      </c>
      <c r="P3935">
        <v>-1</v>
      </c>
      <c r="T3935" t="s">
        <v>34</v>
      </c>
      <c r="U3935">
        <v>96</v>
      </c>
      <c r="V3935">
        <v>22.761099999999999</v>
      </c>
    </row>
    <row r="3936" spans="1:22" x14ac:dyDescent="0.35">
      <c r="A3936" s="3">
        <v>44067</v>
      </c>
      <c r="B3936" t="s">
        <v>49</v>
      </c>
      <c r="C3936">
        <v>25.78</v>
      </c>
      <c r="D3936">
        <v>26.15</v>
      </c>
      <c r="E3936">
        <v>25.05</v>
      </c>
      <c r="F3936">
        <v>25.9</v>
      </c>
      <c r="G3936">
        <v>25.824999999999999</v>
      </c>
      <c r="H3936">
        <v>-0.1</v>
      </c>
      <c r="I3936">
        <v>61512</v>
      </c>
      <c r="J3936">
        <v>234</v>
      </c>
      <c r="K3936">
        <v>161960</v>
      </c>
      <c r="L3936">
        <v>16</v>
      </c>
      <c r="M3936">
        <v>23</v>
      </c>
      <c r="N3936" t="s">
        <v>49</v>
      </c>
      <c r="O3936" s="3">
        <v>44090</v>
      </c>
      <c r="P3936">
        <v>-1</v>
      </c>
      <c r="S3936" s="3">
        <v>44417</v>
      </c>
      <c r="T3936" t="s">
        <v>33</v>
      </c>
      <c r="U3936">
        <v>113</v>
      </c>
      <c r="V3936">
        <v>23.749700000000001</v>
      </c>
    </row>
    <row r="3937" spans="1:22" x14ac:dyDescent="0.35">
      <c r="A3937" s="3">
        <v>44067</v>
      </c>
      <c r="B3937" t="s">
        <v>42</v>
      </c>
      <c r="C3937">
        <v>27.9</v>
      </c>
      <c r="D3937">
        <v>27.9</v>
      </c>
      <c r="E3937">
        <v>27.7</v>
      </c>
      <c r="F3937">
        <v>27.9</v>
      </c>
      <c r="G3937">
        <v>27.95</v>
      </c>
      <c r="H3937">
        <v>0.125</v>
      </c>
      <c r="I3937">
        <v>1</v>
      </c>
      <c r="J3937">
        <v>0</v>
      </c>
      <c r="K3937">
        <v>19</v>
      </c>
      <c r="L3937">
        <v>166</v>
      </c>
      <c r="M3937">
        <v>240</v>
      </c>
      <c r="N3937" t="s">
        <v>42</v>
      </c>
      <c r="O3937" s="3">
        <v>44307</v>
      </c>
      <c r="P3937">
        <v>-1</v>
      </c>
      <c r="T3937" t="s">
        <v>32</v>
      </c>
      <c r="U3937">
        <v>133</v>
      </c>
      <c r="V3937">
        <v>24.1083</v>
      </c>
    </row>
    <row r="3938" spans="1:22" x14ac:dyDescent="0.35">
      <c r="A3938" s="3">
        <v>44067</v>
      </c>
      <c r="B3938" t="s">
        <v>48</v>
      </c>
      <c r="C3938">
        <v>29.4</v>
      </c>
      <c r="D3938">
        <v>29.72</v>
      </c>
      <c r="E3938">
        <v>28.8</v>
      </c>
      <c r="F3938">
        <v>29.6</v>
      </c>
      <c r="G3938">
        <v>29.574999999999999</v>
      </c>
      <c r="H3938">
        <v>0</v>
      </c>
      <c r="I3938">
        <v>38603</v>
      </c>
      <c r="J3938">
        <v>43</v>
      </c>
      <c r="K3938">
        <v>69389</v>
      </c>
      <c r="L3938">
        <v>41</v>
      </c>
      <c r="M3938">
        <v>58</v>
      </c>
      <c r="N3938" t="s">
        <v>48</v>
      </c>
      <c r="O3938" s="3">
        <v>44125</v>
      </c>
      <c r="P3938">
        <v>-1</v>
      </c>
      <c r="T3938" t="s">
        <v>31</v>
      </c>
      <c r="U3938">
        <v>151</v>
      </c>
      <c r="V3938">
        <v>24.324999999999999</v>
      </c>
    </row>
    <row r="3939" spans="1:22" x14ac:dyDescent="0.35">
      <c r="A3939" s="3">
        <v>44067</v>
      </c>
      <c r="B3939" t="s">
        <v>47</v>
      </c>
      <c r="C3939">
        <v>28.78</v>
      </c>
      <c r="D3939">
        <v>29.02</v>
      </c>
      <c r="E3939">
        <v>28.3</v>
      </c>
      <c r="F3939">
        <v>28.95</v>
      </c>
      <c r="G3939">
        <v>28.9</v>
      </c>
      <c r="H3939">
        <v>2.5000000000000001E-2</v>
      </c>
      <c r="I3939">
        <v>5483</v>
      </c>
      <c r="J3939">
        <v>0</v>
      </c>
      <c r="K3939">
        <v>28649</v>
      </c>
      <c r="L3939">
        <v>61</v>
      </c>
      <c r="M3939">
        <v>86</v>
      </c>
      <c r="N3939" t="s">
        <v>47</v>
      </c>
      <c r="O3939" s="3">
        <v>44153</v>
      </c>
      <c r="P3939">
        <v>-1</v>
      </c>
      <c r="T3939" t="s">
        <v>30</v>
      </c>
      <c r="U3939">
        <v>177</v>
      </c>
      <c r="V3939">
        <v>24.425000000000001</v>
      </c>
    </row>
    <row r="3940" spans="1:22" x14ac:dyDescent="0.35">
      <c r="A3940" s="3">
        <v>44064</v>
      </c>
      <c r="B3940" t="s">
        <v>49</v>
      </c>
      <c r="C3940">
        <v>25.9</v>
      </c>
      <c r="D3940">
        <v>26.95</v>
      </c>
      <c r="E3940">
        <v>25.6</v>
      </c>
      <c r="F3940">
        <v>26</v>
      </c>
      <c r="G3940">
        <v>25.925000000000001</v>
      </c>
      <c r="H3940">
        <v>0.05</v>
      </c>
      <c r="I3940">
        <v>61933</v>
      </c>
      <c r="J3940">
        <v>893</v>
      </c>
      <c r="K3940">
        <v>168321</v>
      </c>
      <c r="L3940">
        <v>17</v>
      </c>
      <c r="M3940">
        <v>26</v>
      </c>
      <c r="N3940" t="s">
        <v>49</v>
      </c>
      <c r="O3940" s="3">
        <v>44090</v>
      </c>
      <c r="P3940">
        <v>-1</v>
      </c>
      <c r="T3940" t="s">
        <v>38</v>
      </c>
      <c r="U3940">
        <v>7</v>
      </c>
      <c r="V3940">
        <v>18.423100000000002</v>
      </c>
    </row>
    <row r="3941" spans="1:22" x14ac:dyDescent="0.35">
      <c r="A3941" s="3">
        <v>44064</v>
      </c>
      <c r="B3941" t="s">
        <v>42</v>
      </c>
      <c r="C3941">
        <v>27.9</v>
      </c>
      <c r="D3941">
        <v>27.9</v>
      </c>
      <c r="E3941">
        <v>27.65</v>
      </c>
      <c r="F3941">
        <v>27.9</v>
      </c>
      <c r="G3941">
        <v>27.824999999999999</v>
      </c>
      <c r="H3941">
        <v>0.45</v>
      </c>
      <c r="I3941">
        <v>4</v>
      </c>
      <c r="J3941">
        <v>0</v>
      </c>
      <c r="K3941">
        <v>18</v>
      </c>
      <c r="L3941">
        <v>167</v>
      </c>
      <c r="M3941">
        <v>243</v>
      </c>
      <c r="N3941" t="s">
        <v>42</v>
      </c>
      <c r="O3941" s="3">
        <v>44307</v>
      </c>
      <c r="P3941">
        <v>-1</v>
      </c>
      <c r="T3941" t="s">
        <v>37</v>
      </c>
      <c r="U3941">
        <v>26</v>
      </c>
      <c r="V3941">
        <v>20.686699999999998</v>
      </c>
    </row>
    <row r="3942" spans="1:22" x14ac:dyDescent="0.35">
      <c r="A3942" s="3">
        <v>44064</v>
      </c>
      <c r="B3942" t="s">
        <v>48</v>
      </c>
      <c r="C3942">
        <v>29.25</v>
      </c>
      <c r="D3942">
        <v>30.1</v>
      </c>
      <c r="E3942">
        <v>29</v>
      </c>
      <c r="F3942">
        <v>29.57</v>
      </c>
      <c r="G3942">
        <v>29.574999999999999</v>
      </c>
      <c r="H3942">
        <v>0.35</v>
      </c>
      <c r="I3942">
        <v>37246</v>
      </c>
      <c r="J3942">
        <v>107</v>
      </c>
      <c r="K3942">
        <v>62631</v>
      </c>
      <c r="L3942">
        <v>42</v>
      </c>
      <c r="M3942">
        <v>61</v>
      </c>
      <c r="N3942" t="s">
        <v>48</v>
      </c>
      <c r="O3942" s="3">
        <v>44125</v>
      </c>
      <c r="P3942">
        <v>-1</v>
      </c>
      <c r="T3942" t="s">
        <v>36</v>
      </c>
      <c r="U3942">
        <v>51</v>
      </c>
      <c r="V3942">
        <v>21.828600000000002</v>
      </c>
    </row>
    <row r="3943" spans="1:22" x14ac:dyDescent="0.35">
      <c r="A3943" s="3">
        <v>44064</v>
      </c>
      <c r="B3943" t="s">
        <v>47</v>
      </c>
      <c r="C3943">
        <v>28.52</v>
      </c>
      <c r="D3943">
        <v>29.3</v>
      </c>
      <c r="E3943">
        <v>28.39</v>
      </c>
      <c r="F3943">
        <v>28.94</v>
      </c>
      <c r="G3943">
        <v>28.875</v>
      </c>
      <c r="H3943">
        <v>0.3</v>
      </c>
      <c r="I3943">
        <v>7605</v>
      </c>
      <c r="J3943">
        <v>0</v>
      </c>
      <c r="K3943">
        <v>28803</v>
      </c>
      <c r="L3943">
        <v>62</v>
      </c>
      <c r="M3943">
        <v>89</v>
      </c>
      <c r="N3943" t="s">
        <v>47</v>
      </c>
      <c r="O3943" s="3">
        <v>44153</v>
      </c>
      <c r="P3943">
        <v>-1</v>
      </c>
      <c r="T3943" t="s">
        <v>35</v>
      </c>
      <c r="U3943">
        <v>71</v>
      </c>
      <c r="V3943">
        <v>22.551300000000001</v>
      </c>
    </row>
    <row r="3944" spans="1:22" x14ac:dyDescent="0.35">
      <c r="A3944" s="3">
        <v>44064</v>
      </c>
      <c r="B3944" t="s">
        <v>43</v>
      </c>
      <c r="C3944">
        <v>27.57</v>
      </c>
      <c r="D3944">
        <v>28.4</v>
      </c>
      <c r="E3944">
        <v>27.55</v>
      </c>
      <c r="F3944">
        <v>28.38</v>
      </c>
      <c r="G3944">
        <v>28.375</v>
      </c>
      <c r="H3944">
        <v>0.75</v>
      </c>
      <c r="I3944">
        <v>1703</v>
      </c>
      <c r="J3944">
        <v>0</v>
      </c>
      <c r="K3944">
        <v>2593</v>
      </c>
      <c r="L3944">
        <v>142</v>
      </c>
      <c r="M3944">
        <v>208</v>
      </c>
      <c r="N3944" t="s">
        <v>43</v>
      </c>
      <c r="O3944" s="3">
        <v>44272</v>
      </c>
      <c r="P3944">
        <v>-1</v>
      </c>
      <c r="T3944" t="s">
        <v>34</v>
      </c>
      <c r="U3944">
        <v>95</v>
      </c>
      <c r="V3944">
        <v>22.883299999999998</v>
      </c>
    </row>
    <row r="3945" spans="1:22" x14ac:dyDescent="0.35">
      <c r="A3945" s="3">
        <v>44064</v>
      </c>
      <c r="B3945" t="s">
        <v>46</v>
      </c>
      <c r="C3945">
        <v>27.77</v>
      </c>
      <c r="D3945">
        <v>28.45</v>
      </c>
      <c r="E3945">
        <v>27.66</v>
      </c>
      <c r="F3945">
        <v>28.24</v>
      </c>
      <c r="G3945">
        <v>28.175000000000001</v>
      </c>
      <c r="H3945">
        <v>0.35</v>
      </c>
      <c r="I3945">
        <v>5035</v>
      </c>
      <c r="J3945">
        <v>0</v>
      </c>
      <c r="K3945">
        <v>20592</v>
      </c>
      <c r="L3945">
        <v>81</v>
      </c>
      <c r="M3945">
        <v>117</v>
      </c>
      <c r="N3945" t="s">
        <v>46</v>
      </c>
      <c r="O3945" s="3">
        <v>44181</v>
      </c>
      <c r="P3945">
        <v>-1</v>
      </c>
      <c r="S3945" s="3">
        <v>44418</v>
      </c>
      <c r="T3945" t="s">
        <v>33</v>
      </c>
      <c r="U3945">
        <v>112</v>
      </c>
      <c r="V3945">
        <v>23.65</v>
      </c>
    </row>
    <row r="3946" spans="1:22" x14ac:dyDescent="0.35">
      <c r="A3946" s="3">
        <v>44064</v>
      </c>
      <c r="B3946" t="s">
        <v>45</v>
      </c>
      <c r="C3946">
        <v>27.9</v>
      </c>
      <c r="D3946">
        <v>28.6</v>
      </c>
      <c r="E3946">
        <v>27.82</v>
      </c>
      <c r="F3946">
        <v>28.58</v>
      </c>
      <c r="G3946">
        <v>28.524999999999999</v>
      </c>
      <c r="H3946">
        <v>0.55000000000000004</v>
      </c>
      <c r="I3946">
        <v>4460</v>
      </c>
      <c r="J3946">
        <v>0</v>
      </c>
      <c r="K3946">
        <v>10385</v>
      </c>
      <c r="L3946">
        <v>103</v>
      </c>
      <c r="M3946">
        <v>152</v>
      </c>
      <c r="N3946" t="s">
        <v>45</v>
      </c>
      <c r="O3946" s="3">
        <v>44216</v>
      </c>
      <c r="P3946">
        <v>-1</v>
      </c>
      <c r="T3946" t="s">
        <v>32</v>
      </c>
      <c r="U3946">
        <v>132</v>
      </c>
      <c r="V3946">
        <v>24.0212</v>
      </c>
    </row>
    <row r="3947" spans="1:22" x14ac:dyDescent="0.35">
      <c r="A3947" s="3">
        <v>44064</v>
      </c>
      <c r="B3947" t="s">
        <v>44</v>
      </c>
      <c r="C3947">
        <v>27.93</v>
      </c>
      <c r="D3947">
        <v>28.75</v>
      </c>
      <c r="E3947">
        <v>27.85</v>
      </c>
      <c r="F3947">
        <v>28.75</v>
      </c>
      <c r="G3947">
        <v>28.7</v>
      </c>
      <c r="H3947">
        <v>0.72499999999999998</v>
      </c>
      <c r="I3947">
        <v>2800</v>
      </c>
      <c r="J3947">
        <v>0</v>
      </c>
      <c r="K3947">
        <v>6490</v>
      </c>
      <c r="L3947">
        <v>122</v>
      </c>
      <c r="M3947">
        <v>180</v>
      </c>
      <c r="N3947" t="s">
        <v>44</v>
      </c>
      <c r="O3947" s="3">
        <v>44244</v>
      </c>
      <c r="P3947">
        <v>-1</v>
      </c>
      <c r="T3947" t="s">
        <v>31</v>
      </c>
      <c r="U3947">
        <v>150</v>
      </c>
      <c r="V3947">
        <v>24.274999999999999</v>
      </c>
    </row>
    <row r="3948" spans="1:22" x14ac:dyDescent="0.35">
      <c r="A3948" s="3">
        <v>44063</v>
      </c>
      <c r="B3948" t="s">
        <v>43</v>
      </c>
      <c r="C3948">
        <v>27.5</v>
      </c>
      <c r="D3948">
        <v>28.3</v>
      </c>
      <c r="E3948">
        <v>27.37</v>
      </c>
      <c r="F3948">
        <v>27.6</v>
      </c>
      <c r="G3948">
        <v>27.625</v>
      </c>
      <c r="H3948">
        <v>-0.17499999999999999</v>
      </c>
      <c r="I3948">
        <v>799</v>
      </c>
      <c r="J3948">
        <v>0</v>
      </c>
      <c r="K3948">
        <v>1878</v>
      </c>
      <c r="L3948">
        <v>143</v>
      </c>
      <c r="M3948">
        <v>209</v>
      </c>
      <c r="N3948" t="s">
        <v>43</v>
      </c>
      <c r="O3948" s="3">
        <v>44272</v>
      </c>
      <c r="P3948">
        <v>-1</v>
      </c>
      <c r="T3948" t="s">
        <v>30</v>
      </c>
      <c r="U3948">
        <v>176</v>
      </c>
      <c r="V3948">
        <v>25</v>
      </c>
    </row>
    <row r="3949" spans="1:22" x14ac:dyDescent="0.35">
      <c r="A3949" s="3">
        <v>44063</v>
      </c>
      <c r="B3949" t="s">
        <v>46</v>
      </c>
      <c r="C3949">
        <v>27.92</v>
      </c>
      <c r="D3949">
        <v>28.52</v>
      </c>
      <c r="E3949">
        <v>27.65</v>
      </c>
      <c r="F3949">
        <v>27.8</v>
      </c>
      <c r="G3949">
        <v>27.824999999999999</v>
      </c>
      <c r="H3949">
        <v>-7.4999999999999997E-2</v>
      </c>
      <c r="I3949">
        <v>6803</v>
      </c>
      <c r="J3949">
        <v>0</v>
      </c>
      <c r="K3949">
        <v>20760</v>
      </c>
      <c r="L3949">
        <v>82</v>
      </c>
      <c r="M3949">
        <v>118</v>
      </c>
      <c r="N3949" t="s">
        <v>46</v>
      </c>
      <c r="O3949" s="3">
        <v>44181</v>
      </c>
      <c r="P3949">
        <v>-1</v>
      </c>
      <c r="T3949" t="s">
        <v>38</v>
      </c>
      <c r="U3949">
        <v>6</v>
      </c>
      <c r="V3949">
        <v>17.977599999999999</v>
      </c>
    </row>
    <row r="3950" spans="1:22" x14ac:dyDescent="0.35">
      <c r="A3950" s="3">
        <v>44063</v>
      </c>
      <c r="B3950" t="s">
        <v>45</v>
      </c>
      <c r="C3950">
        <v>28.12</v>
      </c>
      <c r="D3950">
        <v>28.75</v>
      </c>
      <c r="E3950">
        <v>27.8</v>
      </c>
      <c r="F3950">
        <v>27.94</v>
      </c>
      <c r="G3950">
        <v>27.975000000000001</v>
      </c>
      <c r="H3950">
        <v>-0.15</v>
      </c>
      <c r="I3950">
        <v>2578</v>
      </c>
      <c r="J3950">
        <v>0</v>
      </c>
      <c r="K3950">
        <v>9999</v>
      </c>
      <c r="L3950">
        <v>104</v>
      </c>
      <c r="M3950">
        <v>153</v>
      </c>
      <c r="N3950" t="s">
        <v>45</v>
      </c>
      <c r="O3950" s="3">
        <v>44216</v>
      </c>
      <c r="P3950">
        <v>-1</v>
      </c>
      <c r="T3950" t="s">
        <v>37</v>
      </c>
      <c r="U3950">
        <v>25</v>
      </c>
      <c r="V3950">
        <v>20.345600000000001</v>
      </c>
    </row>
    <row r="3951" spans="1:22" x14ac:dyDescent="0.35">
      <c r="A3951" s="3">
        <v>44063</v>
      </c>
      <c r="B3951" t="s">
        <v>44</v>
      </c>
      <c r="C3951">
        <v>28.21</v>
      </c>
      <c r="D3951">
        <v>28.7</v>
      </c>
      <c r="E3951">
        <v>27.85</v>
      </c>
      <c r="F3951">
        <v>27.95</v>
      </c>
      <c r="G3951">
        <v>27.975000000000001</v>
      </c>
      <c r="H3951">
        <v>-0.15</v>
      </c>
      <c r="I3951">
        <v>1612</v>
      </c>
      <c r="J3951">
        <v>0</v>
      </c>
      <c r="K3951">
        <v>5815</v>
      </c>
      <c r="L3951">
        <v>123</v>
      </c>
      <c r="M3951">
        <v>181</v>
      </c>
      <c r="N3951" t="s">
        <v>44</v>
      </c>
      <c r="O3951" s="3">
        <v>44244</v>
      </c>
      <c r="P3951">
        <v>-1</v>
      </c>
      <c r="T3951" t="s">
        <v>36</v>
      </c>
      <c r="U3951">
        <v>50</v>
      </c>
      <c r="V3951">
        <v>21.669</v>
      </c>
    </row>
    <row r="3952" spans="1:22" x14ac:dyDescent="0.35">
      <c r="A3952" s="3">
        <v>44063</v>
      </c>
      <c r="B3952" t="s">
        <v>49</v>
      </c>
      <c r="C3952">
        <v>26.35</v>
      </c>
      <c r="D3952">
        <v>27.41</v>
      </c>
      <c r="E3952">
        <v>25.75</v>
      </c>
      <c r="F3952">
        <v>25.88</v>
      </c>
      <c r="G3952">
        <v>25.875</v>
      </c>
      <c r="H3952">
        <v>-0.35</v>
      </c>
      <c r="I3952">
        <v>71914</v>
      </c>
      <c r="J3952">
        <v>1621</v>
      </c>
      <c r="K3952">
        <v>172783</v>
      </c>
      <c r="L3952">
        <v>18</v>
      </c>
      <c r="M3952">
        <v>27</v>
      </c>
      <c r="N3952" t="s">
        <v>49</v>
      </c>
      <c r="O3952" s="3">
        <v>44090</v>
      </c>
      <c r="P3952">
        <v>-1</v>
      </c>
      <c r="T3952" t="s">
        <v>35</v>
      </c>
      <c r="U3952">
        <v>70</v>
      </c>
      <c r="V3952">
        <v>22.401299999999999</v>
      </c>
    </row>
    <row r="3953" spans="1:22" x14ac:dyDescent="0.35">
      <c r="A3953" s="3">
        <v>44063</v>
      </c>
      <c r="B3953" t="s">
        <v>42</v>
      </c>
      <c r="C3953">
        <v>27.05</v>
      </c>
      <c r="D3953">
        <v>27.3</v>
      </c>
      <c r="E3953">
        <v>27.05</v>
      </c>
      <c r="F3953">
        <v>27.05</v>
      </c>
      <c r="G3953">
        <v>27.375</v>
      </c>
      <c r="H3953">
        <v>2.0249999999999999</v>
      </c>
      <c r="I3953">
        <v>1</v>
      </c>
      <c r="J3953">
        <v>0</v>
      </c>
      <c r="K3953">
        <v>14</v>
      </c>
      <c r="L3953">
        <v>168</v>
      </c>
      <c r="M3953">
        <v>244</v>
      </c>
      <c r="N3953" t="s">
        <v>42</v>
      </c>
      <c r="O3953" s="3">
        <v>44307</v>
      </c>
      <c r="P3953">
        <v>-1</v>
      </c>
      <c r="T3953" t="s">
        <v>34</v>
      </c>
      <c r="U3953">
        <v>94</v>
      </c>
      <c r="V3953">
        <v>22.8</v>
      </c>
    </row>
    <row r="3954" spans="1:22" x14ac:dyDescent="0.35">
      <c r="A3954" s="3">
        <v>44063</v>
      </c>
      <c r="B3954" t="s">
        <v>48</v>
      </c>
      <c r="C3954">
        <v>29.4</v>
      </c>
      <c r="D3954">
        <v>30.32</v>
      </c>
      <c r="E3954">
        <v>29.11</v>
      </c>
      <c r="F3954">
        <v>29.22</v>
      </c>
      <c r="G3954">
        <v>29.225000000000001</v>
      </c>
      <c r="H3954">
        <v>-0.15</v>
      </c>
      <c r="I3954">
        <v>39630</v>
      </c>
      <c r="J3954">
        <v>90</v>
      </c>
      <c r="K3954">
        <v>58143</v>
      </c>
      <c r="L3954">
        <v>43</v>
      </c>
      <c r="M3954">
        <v>62</v>
      </c>
      <c r="N3954" t="s">
        <v>48</v>
      </c>
      <c r="O3954" s="3">
        <v>44125</v>
      </c>
      <c r="P3954">
        <v>-1</v>
      </c>
      <c r="S3954" s="3">
        <v>44419</v>
      </c>
      <c r="T3954" t="s">
        <v>33</v>
      </c>
      <c r="U3954">
        <v>111</v>
      </c>
      <c r="V3954">
        <v>23.33</v>
      </c>
    </row>
    <row r="3955" spans="1:22" x14ac:dyDescent="0.35">
      <c r="A3955" s="3">
        <v>44063</v>
      </c>
      <c r="B3955" t="s">
        <v>47</v>
      </c>
      <c r="C3955">
        <v>28.7</v>
      </c>
      <c r="D3955">
        <v>29.4</v>
      </c>
      <c r="E3955">
        <v>28.45</v>
      </c>
      <c r="F3955">
        <v>28.5</v>
      </c>
      <c r="G3955">
        <v>28.574999999999999</v>
      </c>
      <c r="H3955">
        <v>-0.1</v>
      </c>
      <c r="I3955">
        <v>9318</v>
      </c>
      <c r="J3955">
        <v>0</v>
      </c>
      <c r="K3955">
        <v>29307</v>
      </c>
      <c r="L3955">
        <v>63</v>
      </c>
      <c r="M3955">
        <v>90</v>
      </c>
      <c r="N3955" t="s">
        <v>47</v>
      </c>
      <c r="O3955" s="3">
        <v>44153</v>
      </c>
      <c r="P3955">
        <v>-1</v>
      </c>
      <c r="T3955" t="s">
        <v>32</v>
      </c>
      <c r="U3955">
        <v>131</v>
      </c>
      <c r="V3955">
        <v>23.7</v>
      </c>
    </row>
    <row r="3956" spans="1:22" x14ac:dyDescent="0.35">
      <c r="A3956" s="3">
        <v>44062</v>
      </c>
      <c r="B3956" t="s">
        <v>49</v>
      </c>
      <c r="C3956">
        <v>25.55</v>
      </c>
      <c r="D3956">
        <v>26.35</v>
      </c>
      <c r="E3956">
        <v>25.28</v>
      </c>
      <c r="F3956">
        <v>26.25</v>
      </c>
      <c r="G3956">
        <v>26.225000000000001</v>
      </c>
      <c r="H3956">
        <v>0.75</v>
      </c>
      <c r="I3956">
        <v>69399</v>
      </c>
      <c r="J3956">
        <v>0</v>
      </c>
      <c r="K3956">
        <v>176774</v>
      </c>
      <c r="L3956">
        <v>19</v>
      </c>
      <c r="M3956">
        <v>28</v>
      </c>
      <c r="N3956" t="s">
        <v>49</v>
      </c>
      <c r="O3956" s="3">
        <v>44090</v>
      </c>
      <c r="P3956">
        <v>-1</v>
      </c>
      <c r="T3956" t="s">
        <v>31</v>
      </c>
      <c r="U3956">
        <v>149</v>
      </c>
      <c r="V3956">
        <v>24.024999999999999</v>
      </c>
    </row>
    <row r="3957" spans="1:22" x14ac:dyDescent="0.35">
      <c r="A3957" s="3">
        <v>44062</v>
      </c>
      <c r="B3957" t="s">
        <v>42</v>
      </c>
      <c r="C3957">
        <v>25.5</v>
      </c>
      <c r="D3957">
        <v>25.65</v>
      </c>
      <c r="E3957">
        <v>25.5</v>
      </c>
      <c r="F3957">
        <v>25.5</v>
      </c>
      <c r="G3957">
        <v>25.35</v>
      </c>
      <c r="H3957">
        <v>-0.05</v>
      </c>
      <c r="I3957">
        <v>1</v>
      </c>
      <c r="J3957">
        <v>0</v>
      </c>
      <c r="K3957">
        <v>13</v>
      </c>
      <c r="L3957">
        <v>169</v>
      </c>
      <c r="M3957">
        <v>245</v>
      </c>
      <c r="N3957" t="s">
        <v>42</v>
      </c>
      <c r="O3957" s="3">
        <v>44307</v>
      </c>
      <c r="P3957">
        <v>-1</v>
      </c>
      <c r="T3957" t="s">
        <v>30</v>
      </c>
      <c r="U3957">
        <v>175</v>
      </c>
      <c r="V3957">
        <v>24.15</v>
      </c>
    </row>
    <row r="3958" spans="1:22" x14ac:dyDescent="0.35">
      <c r="A3958" s="3">
        <v>44062</v>
      </c>
      <c r="B3958" t="s">
        <v>48</v>
      </c>
      <c r="C3958">
        <v>28.85</v>
      </c>
      <c r="D3958">
        <v>29.48</v>
      </c>
      <c r="E3958">
        <v>28.65</v>
      </c>
      <c r="F3958">
        <v>29.4</v>
      </c>
      <c r="G3958">
        <v>29.375</v>
      </c>
      <c r="H3958">
        <v>0.55000000000000004</v>
      </c>
      <c r="I3958">
        <v>39461</v>
      </c>
      <c r="J3958">
        <v>0</v>
      </c>
      <c r="K3958">
        <v>54470</v>
      </c>
      <c r="L3958">
        <v>44</v>
      </c>
      <c r="M3958">
        <v>63</v>
      </c>
      <c r="N3958" t="s">
        <v>48</v>
      </c>
      <c r="O3958" s="3">
        <v>44125</v>
      </c>
      <c r="P3958">
        <v>-1</v>
      </c>
      <c r="T3958" t="s">
        <v>38</v>
      </c>
      <c r="U3958">
        <v>5</v>
      </c>
      <c r="V3958">
        <v>17.444299999999998</v>
      </c>
    </row>
    <row r="3959" spans="1:22" x14ac:dyDescent="0.35">
      <c r="A3959" s="3">
        <v>44062</v>
      </c>
      <c r="B3959" t="s">
        <v>50</v>
      </c>
      <c r="C3959">
        <v>21.95</v>
      </c>
      <c r="D3959">
        <v>21.95</v>
      </c>
      <c r="E3959">
        <v>21.6</v>
      </c>
      <c r="F3959">
        <v>21.8</v>
      </c>
      <c r="G3959">
        <v>21.71</v>
      </c>
      <c r="H3959">
        <v>-6.5000000000000002E-2</v>
      </c>
      <c r="I3959">
        <v>731</v>
      </c>
      <c r="J3959">
        <v>0</v>
      </c>
      <c r="K3959">
        <v>13877</v>
      </c>
      <c r="L3959">
        <v>0</v>
      </c>
      <c r="M3959">
        <v>0</v>
      </c>
      <c r="N3959" t="s">
        <v>50</v>
      </c>
      <c r="O3959" s="3">
        <v>44062</v>
      </c>
      <c r="P3959">
        <v>-1</v>
      </c>
      <c r="T3959" t="s">
        <v>37</v>
      </c>
      <c r="U3959">
        <v>24</v>
      </c>
      <c r="V3959">
        <v>19.7318</v>
      </c>
    </row>
    <row r="3960" spans="1:22" x14ac:dyDescent="0.35">
      <c r="A3960" s="3">
        <v>44062</v>
      </c>
      <c r="B3960" t="s">
        <v>47</v>
      </c>
      <c r="C3960">
        <v>28.22</v>
      </c>
      <c r="D3960">
        <v>28.73</v>
      </c>
      <c r="E3960">
        <v>28.1</v>
      </c>
      <c r="F3960">
        <v>28.68</v>
      </c>
      <c r="G3960">
        <v>28.675000000000001</v>
      </c>
      <c r="H3960">
        <v>0.45</v>
      </c>
      <c r="I3960">
        <v>11010</v>
      </c>
      <c r="J3960">
        <v>0</v>
      </c>
      <c r="K3960">
        <v>29572</v>
      </c>
      <c r="L3960">
        <v>64</v>
      </c>
      <c r="M3960">
        <v>91</v>
      </c>
      <c r="N3960" t="s">
        <v>47</v>
      </c>
      <c r="O3960" s="3">
        <v>44153</v>
      </c>
      <c r="P3960">
        <v>-1</v>
      </c>
      <c r="T3960" t="s">
        <v>36</v>
      </c>
      <c r="U3960">
        <v>49</v>
      </c>
      <c r="V3960">
        <v>21.215599999999998</v>
      </c>
    </row>
    <row r="3961" spans="1:22" x14ac:dyDescent="0.35">
      <c r="A3961" s="3">
        <v>44062</v>
      </c>
      <c r="B3961" t="s">
        <v>43</v>
      </c>
      <c r="C3961">
        <v>27.36</v>
      </c>
      <c r="D3961">
        <v>27.84</v>
      </c>
      <c r="E3961">
        <v>27.3</v>
      </c>
      <c r="F3961">
        <v>27.8</v>
      </c>
      <c r="G3961">
        <v>27.8</v>
      </c>
      <c r="H3961">
        <v>0.42499999999999999</v>
      </c>
      <c r="I3961">
        <v>730</v>
      </c>
      <c r="J3961">
        <v>0</v>
      </c>
      <c r="K3961">
        <v>1586</v>
      </c>
      <c r="L3961">
        <v>144</v>
      </c>
      <c r="M3961">
        <v>210</v>
      </c>
      <c r="N3961" t="s">
        <v>43</v>
      </c>
      <c r="O3961" s="3">
        <v>44272</v>
      </c>
      <c r="P3961">
        <v>-1</v>
      </c>
      <c r="T3961" t="s">
        <v>35</v>
      </c>
      <c r="U3961">
        <v>69</v>
      </c>
      <c r="V3961">
        <v>21.930399999999999</v>
      </c>
    </row>
    <row r="3962" spans="1:22" x14ac:dyDescent="0.35">
      <c r="A3962" s="3">
        <v>44062</v>
      </c>
      <c r="B3962" t="s">
        <v>46</v>
      </c>
      <c r="C3962">
        <v>27.4</v>
      </c>
      <c r="D3962">
        <v>28</v>
      </c>
      <c r="E3962">
        <v>27.35</v>
      </c>
      <c r="F3962">
        <v>27.92</v>
      </c>
      <c r="G3962">
        <v>27.9</v>
      </c>
      <c r="H3962">
        <v>0.42499999999999999</v>
      </c>
      <c r="I3962">
        <v>6049</v>
      </c>
      <c r="J3962">
        <v>0</v>
      </c>
      <c r="K3962">
        <v>20106</v>
      </c>
      <c r="L3962">
        <v>83</v>
      </c>
      <c r="M3962">
        <v>119</v>
      </c>
      <c r="N3962" t="s">
        <v>46</v>
      </c>
      <c r="O3962" s="3">
        <v>44181</v>
      </c>
      <c r="P3962">
        <v>-1</v>
      </c>
      <c r="T3962" t="s">
        <v>34</v>
      </c>
      <c r="U3962">
        <v>93</v>
      </c>
      <c r="V3962">
        <v>22.3583</v>
      </c>
    </row>
    <row r="3963" spans="1:22" x14ac:dyDescent="0.35">
      <c r="A3963" s="3">
        <v>44062</v>
      </c>
      <c r="B3963" t="s">
        <v>45</v>
      </c>
      <c r="C3963">
        <v>27.8</v>
      </c>
      <c r="D3963">
        <v>28.25</v>
      </c>
      <c r="E3963">
        <v>27.62</v>
      </c>
      <c r="F3963">
        <v>28.15</v>
      </c>
      <c r="G3963">
        <v>28.125</v>
      </c>
      <c r="H3963">
        <v>0.35</v>
      </c>
      <c r="I3963">
        <v>2416</v>
      </c>
      <c r="J3963">
        <v>0</v>
      </c>
      <c r="K3963">
        <v>10230</v>
      </c>
      <c r="L3963">
        <v>105</v>
      </c>
      <c r="M3963">
        <v>154</v>
      </c>
      <c r="N3963" t="s">
        <v>45</v>
      </c>
      <c r="O3963" s="3">
        <v>44216</v>
      </c>
      <c r="P3963">
        <v>-1</v>
      </c>
      <c r="S3963" s="3">
        <v>44420</v>
      </c>
      <c r="T3963" t="s">
        <v>33</v>
      </c>
      <c r="U3963">
        <v>110</v>
      </c>
      <c r="V3963">
        <v>23.05</v>
      </c>
    </row>
    <row r="3964" spans="1:22" x14ac:dyDescent="0.35">
      <c r="A3964" s="3">
        <v>44062</v>
      </c>
      <c r="B3964" t="s">
        <v>44</v>
      </c>
      <c r="C3964">
        <v>27.65</v>
      </c>
      <c r="D3964">
        <v>28.22</v>
      </c>
      <c r="E3964">
        <v>27.58</v>
      </c>
      <c r="F3964">
        <v>28.15</v>
      </c>
      <c r="G3964">
        <v>28.125</v>
      </c>
      <c r="H3964">
        <v>0.45</v>
      </c>
      <c r="I3964">
        <v>2202</v>
      </c>
      <c r="J3964">
        <v>0</v>
      </c>
      <c r="K3964">
        <v>5774</v>
      </c>
      <c r="L3964">
        <v>124</v>
      </c>
      <c r="M3964">
        <v>182</v>
      </c>
      <c r="N3964" t="s">
        <v>44</v>
      </c>
      <c r="O3964" s="3">
        <v>44244</v>
      </c>
      <c r="P3964">
        <v>-1</v>
      </c>
      <c r="T3964" t="s">
        <v>32</v>
      </c>
      <c r="U3964">
        <v>130</v>
      </c>
      <c r="V3964">
        <v>23.524999999999999</v>
      </c>
    </row>
    <row r="3965" spans="1:22" x14ac:dyDescent="0.35">
      <c r="A3965" s="3">
        <v>44061</v>
      </c>
      <c r="B3965" t="s">
        <v>43</v>
      </c>
      <c r="C3965">
        <v>27.52</v>
      </c>
      <c r="D3965">
        <v>27.62</v>
      </c>
      <c r="E3965">
        <v>27.22</v>
      </c>
      <c r="F3965">
        <v>27.4</v>
      </c>
      <c r="G3965">
        <v>27.375</v>
      </c>
      <c r="H3965">
        <v>-2.5000000000000001E-2</v>
      </c>
      <c r="I3965">
        <v>491</v>
      </c>
      <c r="J3965">
        <v>0</v>
      </c>
      <c r="K3965">
        <v>1313</v>
      </c>
      <c r="L3965">
        <v>145</v>
      </c>
      <c r="M3965">
        <v>211</v>
      </c>
      <c r="N3965" t="s">
        <v>43</v>
      </c>
      <c r="O3965" s="3">
        <v>44272</v>
      </c>
      <c r="P3965">
        <v>-1</v>
      </c>
      <c r="T3965" t="s">
        <v>31</v>
      </c>
      <c r="U3965">
        <v>148</v>
      </c>
      <c r="V3965">
        <v>23.95</v>
      </c>
    </row>
    <row r="3966" spans="1:22" x14ac:dyDescent="0.35">
      <c r="A3966" s="3">
        <v>44061</v>
      </c>
      <c r="B3966" t="s">
        <v>46</v>
      </c>
      <c r="C3966">
        <v>27.4</v>
      </c>
      <c r="D3966">
        <v>27.75</v>
      </c>
      <c r="E3966">
        <v>27.2</v>
      </c>
      <c r="F3966">
        <v>27.42</v>
      </c>
      <c r="G3966">
        <v>27.475000000000001</v>
      </c>
      <c r="H3966">
        <v>0.1</v>
      </c>
      <c r="I3966">
        <v>6174</v>
      </c>
      <c r="J3966">
        <v>0</v>
      </c>
      <c r="K3966">
        <v>19197</v>
      </c>
      <c r="L3966">
        <v>84</v>
      </c>
      <c r="M3966">
        <v>120</v>
      </c>
      <c r="N3966" t="s">
        <v>46</v>
      </c>
      <c r="O3966" s="3">
        <v>44181</v>
      </c>
      <c r="P3966">
        <v>-1</v>
      </c>
      <c r="T3966" t="s">
        <v>30</v>
      </c>
      <c r="U3966">
        <v>174</v>
      </c>
      <c r="V3966">
        <v>24.024999999999999</v>
      </c>
    </row>
    <row r="3967" spans="1:22" x14ac:dyDescent="0.35">
      <c r="A3967" s="3">
        <v>44061</v>
      </c>
      <c r="B3967" t="s">
        <v>45</v>
      </c>
      <c r="C3967">
        <v>27.87</v>
      </c>
      <c r="D3967">
        <v>28.16</v>
      </c>
      <c r="E3967">
        <v>27.56</v>
      </c>
      <c r="F3967">
        <v>27.75</v>
      </c>
      <c r="G3967">
        <v>27.774999999999999</v>
      </c>
      <c r="H3967">
        <v>-0.1</v>
      </c>
      <c r="I3967">
        <v>2583</v>
      </c>
      <c r="J3967">
        <v>0</v>
      </c>
      <c r="K3967">
        <v>9928</v>
      </c>
      <c r="L3967">
        <v>106</v>
      </c>
      <c r="M3967">
        <v>155</v>
      </c>
      <c r="N3967" t="s">
        <v>45</v>
      </c>
      <c r="O3967" s="3">
        <v>44216</v>
      </c>
      <c r="P3967">
        <v>-1</v>
      </c>
      <c r="T3967" t="s">
        <v>38</v>
      </c>
      <c r="U3967">
        <v>4</v>
      </c>
      <c r="V3967">
        <v>17.002800000000001</v>
      </c>
    </row>
    <row r="3968" spans="1:22" x14ac:dyDescent="0.35">
      <c r="A3968" s="3">
        <v>44061</v>
      </c>
      <c r="B3968" t="s">
        <v>44</v>
      </c>
      <c r="C3968">
        <v>27.77</v>
      </c>
      <c r="D3968">
        <v>27.95</v>
      </c>
      <c r="E3968">
        <v>27.45</v>
      </c>
      <c r="F3968">
        <v>27.65</v>
      </c>
      <c r="G3968">
        <v>27.675000000000001</v>
      </c>
      <c r="H3968">
        <v>-0.1</v>
      </c>
      <c r="I3968">
        <v>1832</v>
      </c>
      <c r="J3968">
        <v>0</v>
      </c>
      <c r="K3968">
        <v>5036</v>
      </c>
      <c r="L3968">
        <v>125</v>
      </c>
      <c r="M3968">
        <v>183</v>
      </c>
      <c r="N3968" t="s">
        <v>44</v>
      </c>
      <c r="O3968" s="3">
        <v>44244</v>
      </c>
      <c r="P3968">
        <v>-1</v>
      </c>
      <c r="T3968" t="s">
        <v>37</v>
      </c>
      <c r="U3968">
        <v>23</v>
      </c>
      <c r="V3968">
        <v>19.3979</v>
      </c>
    </row>
    <row r="3969" spans="1:22" x14ac:dyDescent="0.35">
      <c r="A3969" s="3">
        <v>44061</v>
      </c>
      <c r="B3969" t="s">
        <v>49</v>
      </c>
      <c r="C3969">
        <v>25.85</v>
      </c>
      <c r="D3969">
        <v>26.3</v>
      </c>
      <c r="E3969">
        <v>25.45</v>
      </c>
      <c r="F3969">
        <v>25.55</v>
      </c>
      <c r="G3969">
        <v>25.475000000000001</v>
      </c>
      <c r="H3969">
        <v>-0.35</v>
      </c>
      <c r="I3969">
        <v>71017</v>
      </c>
      <c r="J3969">
        <v>285</v>
      </c>
      <c r="K3969">
        <v>179090</v>
      </c>
      <c r="L3969">
        <v>20</v>
      </c>
      <c r="M3969">
        <v>29</v>
      </c>
      <c r="N3969" t="s">
        <v>49</v>
      </c>
      <c r="O3969" s="3">
        <v>44090</v>
      </c>
      <c r="P3969">
        <v>-1</v>
      </c>
      <c r="T3969" t="s">
        <v>36</v>
      </c>
      <c r="U3969">
        <v>48</v>
      </c>
      <c r="V3969">
        <v>20.752500000000001</v>
      </c>
    </row>
    <row r="3970" spans="1:22" x14ac:dyDescent="0.35">
      <c r="A3970" s="3">
        <v>44061</v>
      </c>
      <c r="B3970" t="s">
        <v>48</v>
      </c>
      <c r="C3970">
        <v>29.27</v>
      </c>
      <c r="D3970">
        <v>29.44</v>
      </c>
      <c r="E3970">
        <v>28.66</v>
      </c>
      <c r="F3970">
        <v>28.85</v>
      </c>
      <c r="G3970">
        <v>28.824999999999999</v>
      </c>
      <c r="H3970">
        <v>-0.3</v>
      </c>
      <c r="I3970">
        <v>26763</v>
      </c>
      <c r="J3970">
        <v>0</v>
      </c>
      <c r="K3970">
        <v>49410</v>
      </c>
      <c r="L3970">
        <v>45</v>
      </c>
      <c r="M3970">
        <v>64</v>
      </c>
      <c r="N3970" t="s">
        <v>48</v>
      </c>
      <c r="O3970" s="3">
        <v>44125</v>
      </c>
      <c r="P3970">
        <v>-1</v>
      </c>
      <c r="T3970" t="s">
        <v>35</v>
      </c>
      <c r="U3970">
        <v>68</v>
      </c>
      <c r="V3970">
        <v>21.549299999999999</v>
      </c>
    </row>
    <row r="3971" spans="1:22" x14ac:dyDescent="0.35">
      <c r="A3971" s="3">
        <v>44061</v>
      </c>
      <c r="B3971" t="s">
        <v>50</v>
      </c>
      <c r="C3971">
        <v>21.81</v>
      </c>
      <c r="D3971">
        <v>22.56</v>
      </c>
      <c r="E3971">
        <v>21.4</v>
      </c>
      <c r="F3971">
        <v>21.95</v>
      </c>
      <c r="G3971">
        <v>21.774999999999999</v>
      </c>
      <c r="H3971">
        <v>0</v>
      </c>
      <c r="I3971">
        <v>53706</v>
      </c>
      <c r="J3971">
        <v>15</v>
      </c>
      <c r="K3971">
        <v>15351</v>
      </c>
      <c r="L3971">
        <v>1</v>
      </c>
      <c r="M3971">
        <v>1</v>
      </c>
      <c r="N3971" t="s">
        <v>50</v>
      </c>
      <c r="O3971" s="3">
        <v>44062</v>
      </c>
      <c r="P3971">
        <v>-1</v>
      </c>
      <c r="T3971" t="s">
        <v>34</v>
      </c>
      <c r="U3971">
        <v>92</v>
      </c>
      <c r="V3971">
        <v>22.051300000000001</v>
      </c>
    </row>
    <row r="3972" spans="1:22" x14ac:dyDescent="0.35">
      <c r="A3972" s="3">
        <v>44061</v>
      </c>
      <c r="B3972" t="s">
        <v>47</v>
      </c>
      <c r="C3972">
        <v>28.37</v>
      </c>
      <c r="D3972">
        <v>28.66</v>
      </c>
      <c r="E3972">
        <v>28.05</v>
      </c>
      <c r="F3972">
        <v>28.25</v>
      </c>
      <c r="G3972">
        <v>28.225000000000001</v>
      </c>
      <c r="H3972">
        <v>0.1</v>
      </c>
      <c r="I3972">
        <v>12018</v>
      </c>
      <c r="J3972">
        <v>0</v>
      </c>
      <c r="K3972">
        <v>29487</v>
      </c>
      <c r="L3972">
        <v>65</v>
      </c>
      <c r="M3972">
        <v>92</v>
      </c>
      <c r="N3972" t="s">
        <v>47</v>
      </c>
      <c r="O3972" s="3">
        <v>44153</v>
      </c>
      <c r="P3972">
        <v>-1</v>
      </c>
      <c r="S3972" s="3">
        <v>44421</v>
      </c>
      <c r="T3972" t="s">
        <v>33</v>
      </c>
      <c r="U3972">
        <v>109</v>
      </c>
      <c r="V3972">
        <v>23.064900000000002</v>
      </c>
    </row>
    <row r="3973" spans="1:22" x14ac:dyDescent="0.35">
      <c r="A3973" s="3">
        <v>44060</v>
      </c>
      <c r="B3973" t="s">
        <v>49</v>
      </c>
      <c r="C3973">
        <v>26.8</v>
      </c>
      <c r="D3973">
        <v>26.8</v>
      </c>
      <c r="E3973">
        <v>25.75</v>
      </c>
      <c r="F3973">
        <v>25.93</v>
      </c>
      <c r="G3973">
        <v>25.824999999999999</v>
      </c>
      <c r="H3973">
        <v>-1.1499999999999999</v>
      </c>
      <c r="I3973">
        <v>56386</v>
      </c>
      <c r="J3973">
        <v>0</v>
      </c>
      <c r="K3973">
        <v>169647</v>
      </c>
      <c r="L3973">
        <v>21</v>
      </c>
      <c r="M3973">
        <v>30</v>
      </c>
      <c r="N3973" t="s">
        <v>49</v>
      </c>
      <c r="O3973" s="3">
        <v>44090</v>
      </c>
      <c r="P3973">
        <v>-1</v>
      </c>
      <c r="T3973" t="s">
        <v>32</v>
      </c>
      <c r="U3973">
        <v>129</v>
      </c>
      <c r="V3973">
        <v>23.533300000000001</v>
      </c>
    </row>
    <row r="3974" spans="1:22" x14ac:dyDescent="0.35">
      <c r="A3974" s="3">
        <v>44060</v>
      </c>
      <c r="B3974" t="s">
        <v>48</v>
      </c>
      <c r="C3974">
        <v>29.95</v>
      </c>
      <c r="D3974">
        <v>30</v>
      </c>
      <c r="E3974">
        <v>29.08</v>
      </c>
      <c r="F3974">
        <v>29.32</v>
      </c>
      <c r="G3974">
        <v>29.125</v>
      </c>
      <c r="H3974">
        <v>-0.92500000000000004</v>
      </c>
      <c r="I3974">
        <v>13273</v>
      </c>
      <c r="J3974">
        <v>0</v>
      </c>
      <c r="K3974">
        <v>42295</v>
      </c>
      <c r="L3974">
        <v>46</v>
      </c>
      <c r="M3974">
        <v>65</v>
      </c>
      <c r="N3974" t="s">
        <v>48</v>
      </c>
      <c r="O3974" s="3">
        <v>44125</v>
      </c>
      <c r="P3974">
        <v>-1</v>
      </c>
      <c r="T3974" t="s">
        <v>31</v>
      </c>
      <c r="U3974">
        <v>147</v>
      </c>
      <c r="V3974">
        <v>23.975000000000001</v>
      </c>
    </row>
    <row r="3975" spans="1:22" x14ac:dyDescent="0.35">
      <c r="A3975" s="3">
        <v>44060</v>
      </c>
      <c r="B3975" t="s">
        <v>50</v>
      </c>
      <c r="C3975">
        <v>23.15</v>
      </c>
      <c r="D3975">
        <v>23.2</v>
      </c>
      <c r="E3975">
        <v>21.77</v>
      </c>
      <c r="F3975">
        <v>21.9</v>
      </c>
      <c r="G3975">
        <v>21.774999999999999</v>
      </c>
      <c r="H3975">
        <v>-1.5</v>
      </c>
      <c r="I3975">
        <v>51100</v>
      </c>
      <c r="J3975">
        <v>0</v>
      </c>
      <c r="K3975">
        <v>27876</v>
      </c>
      <c r="L3975">
        <v>2</v>
      </c>
      <c r="M3975">
        <v>2</v>
      </c>
      <c r="N3975" t="s">
        <v>50</v>
      </c>
      <c r="O3975" s="3">
        <v>44062</v>
      </c>
      <c r="P3975">
        <v>-1</v>
      </c>
      <c r="T3975" t="s">
        <v>30</v>
      </c>
      <c r="U3975">
        <v>173</v>
      </c>
      <c r="V3975">
        <v>24.125</v>
      </c>
    </row>
    <row r="3976" spans="1:22" x14ac:dyDescent="0.35">
      <c r="A3976" s="3">
        <v>44060</v>
      </c>
      <c r="B3976" t="s">
        <v>47</v>
      </c>
      <c r="C3976">
        <v>28.7</v>
      </c>
      <c r="D3976">
        <v>28.75</v>
      </c>
      <c r="E3976">
        <v>27.96</v>
      </c>
      <c r="F3976">
        <v>28.4</v>
      </c>
      <c r="G3976">
        <v>28.125</v>
      </c>
      <c r="H3976">
        <v>-0.65</v>
      </c>
      <c r="I3976">
        <v>11253</v>
      </c>
      <c r="J3976">
        <v>0</v>
      </c>
      <c r="K3976">
        <v>29125</v>
      </c>
      <c r="L3976">
        <v>66</v>
      </c>
      <c r="M3976">
        <v>93</v>
      </c>
      <c r="N3976" t="s">
        <v>47</v>
      </c>
      <c r="O3976" s="3">
        <v>44153</v>
      </c>
      <c r="P3976">
        <v>-1</v>
      </c>
      <c r="T3976" t="s">
        <v>38</v>
      </c>
      <c r="U3976">
        <v>3</v>
      </c>
      <c r="V3976">
        <v>16.631</v>
      </c>
    </row>
    <row r="3977" spans="1:22" x14ac:dyDescent="0.35">
      <c r="A3977" s="3">
        <v>44060</v>
      </c>
      <c r="B3977" t="s">
        <v>43</v>
      </c>
      <c r="C3977">
        <v>27.7</v>
      </c>
      <c r="D3977">
        <v>27.8</v>
      </c>
      <c r="E3977">
        <v>27.37</v>
      </c>
      <c r="F3977">
        <v>27.5</v>
      </c>
      <c r="G3977">
        <v>27.4</v>
      </c>
      <c r="H3977">
        <v>-0.55000000000000004</v>
      </c>
      <c r="I3977">
        <v>362</v>
      </c>
      <c r="J3977">
        <v>0</v>
      </c>
      <c r="K3977">
        <v>1094</v>
      </c>
      <c r="L3977">
        <v>146</v>
      </c>
      <c r="M3977">
        <v>212</v>
      </c>
      <c r="N3977" t="s">
        <v>43</v>
      </c>
      <c r="O3977" s="3">
        <v>44272</v>
      </c>
      <c r="P3977">
        <v>-1</v>
      </c>
      <c r="T3977" t="s">
        <v>37</v>
      </c>
      <c r="U3977">
        <v>22</v>
      </c>
      <c r="V3977">
        <v>19.486000000000001</v>
      </c>
    </row>
    <row r="3978" spans="1:22" x14ac:dyDescent="0.35">
      <c r="A3978" s="3">
        <v>44060</v>
      </c>
      <c r="B3978" t="s">
        <v>46</v>
      </c>
      <c r="C3978">
        <v>28.06</v>
      </c>
      <c r="D3978">
        <v>28.1</v>
      </c>
      <c r="E3978">
        <v>27.31</v>
      </c>
      <c r="F3978">
        <v>27.6</v>
      </c>
      <c r="G3978">
        <v>27.375</v>
      </c>
      <c r="H3978">
        <v>-0.92500000000000004</v>
      </c>
      <c r="I3978">
        <v>7541</v>
      </c>
      <c r="J3978">
        <v>0</v>
      </c>
      <c r="K3978">
        <v>18656</v>
      </c>
      <c r="L3978">
        <v>85</v>
      </c>
      <c r="M3978">
        <v>121</v>
      </c>
      <c r="N3978" t="s">
        <v>46</v>
      </c>
      <c r="O3978" s="3">
        <v>44181</v>
      </c>
      <c r="P3978">
        <v>-1</v>
      </c>
      <c r="T3978" t="s">
        <v>36</v>
      </c>
      <c r="U3978">
        <v>47</v>
      </c>
      <c r="V3978">
        <v>20.8154</v>
      </c>
    </row>
    <row r="3979" spans="1:22" x14ac:dyDescent="0.35">
      <c r="A3979" s="3">
        <v>44060</v>
      </c>
      <c r="B3979" t="s">
        <v>45</v>
      </c>
      <c r="C3979">
        <v>28.47</v>
      </c>
      <c r="D3979">
        <v>28.5</v>
      </c>
      <c r="E3979">
        <v>27.8</v>
      </c>
      <c r="F3979">
        <v>28.02</v>
      </c>
      <c r="G3979">
        <v>27.875</v>
      </c>
      <c r="H3979">
        <v>-0.8</v>
      </c>
      <c r="I3979">
        <v>2970</v>
      </c>
      <c r="J3979">
        <v>0</v>
      </c>
      <c r="K3979">
        <v>9765</v>
      </c>
      <c r="L3979">
        <v>107</v>
      </c>
      <c r="M3979">
        <v>156</v>
      </c>
      <c r="N3979" t="s">
        <v>45</v>
      </c>
      <c r="O3979" s="3">
        <v>44216</v>
      </c>
      <c r="P3979">
        <v>-1</v>
      </c>
      <c r="T3979" t="s">
        <v>35</v>
      </c>
      <c r="U3979">
        <v>67</v>
      </c>
      <c r="V3979">
        <v>21.558700000000002</v>
      </c>
    </row>
    <row r="3980" spans="1:22" x14ac:dyDescent="0.35">
      <c r="A3980" s="3">
        <v>44060</v>
      </c>
      <c r="B3980" t="s">
        <v>44</v>
      </c>
      <c r="C3980">
        <v>28.15</v>
      </c>
      <c r="D3980">
        <v>28.15</v>
      </c>
      <c r="E3980">
        <v>27.7</v>
      </c>
      <c r="F3980">
        <v>27.87</v>
      </c>
      <c r="G3980">
        <v>27.774999999999999</v>
      </c>
      <c r="H3980">
        <v>-0.55000000000000004</v>
      </c>
      <c r="I3980">
        <v>1960</v>
      </c>
      <c r="J3980">
        <v>0</v>
      </c>
      <c r="K3980">
        <v>4872</v>
      </c>
      <c r="L3980">
        <v>126</v>
      </c>
      <c r="M3980">
        <v>184</v>
      </c>
      <c r="N3980" t="s">
        <v>44</v>
      </c>
      <c r="O3980" s="3">
        <v>44244</v>
      </c>
      <c r="P3980">
        <v>-1</v>
      </c>
      <c r="T3980" t="s">
        <v>34</v>
      </c>
      <c r="U3980">
        <v>91</v>
      </c>
      <c r="V3980">
        <v>22.0669</v>
      </c>
    </row>
    <row r="3981" spans="1:22" x14ac:dyDescent="0.35">
      <c r="A3981" s="3">
        <v>44057</v>
      </c>
      <c r="B3981" t="s">
        <v>43</v>
      </c>
      <c r="C3981">
        <v>27.8</v>
      </c>
      <c r="D3981">
        <v>28.1</v>
      </c>
      <c r="E3981">
        <v>27.65</v>
      </c>
      <c r="F3981">
        <v>27.9</v>
      </c>
      <c r="G3981">
        <v>27.95</v>
      </c>
      <c r="H3981">
        <v>0.27500000000000002</v>
      </c>
      <c r="I3981">
        <v>244</v>
      </c>
      <c r="J3981">
        <v>0</v>
      </c>
      <c r="K3981">
        <v>928</v>
      </c>
      <c r="L3981">
        <v>147</v>
      </c>
      <c r="M3981">
        <v>215</v>
      </c>
      <c r="N3981" t="s">
        <v>43</v>
      </c>
      <c r="O3981" s="3">
        <v>44272</v>
      </c>
      <c r="P3981">
        <v>-1</v>
      </c>
      <c r="S3981" s="3">
        <v>44424</v>
      </c>
      <c r="T3981" t="s">
        <v>33</v>
      </c>
      <c r="U3981">
        <v>108</v>
      </c>
      <c r="V3981">
        <v>23.2013</v>
      </c>
    </row>
    <row r="3982" spans="1:22" x14ac:dyDescent="0.35">
      <c r="A3982" s="3">
        <v>44057</v>
      </c>
      <c r="B3982" t="s">
        <v>46</v>
      </c>
      <c r="C3982">
        <v>27.85</v>
      </c>
      <c r="D3982">
        <v>28.37</v>
      </c>
      <c r="E3982">
        <v>27.77</v>
      </c>
      <c r="F3982">
        <v>28.25</v>
      </c>
      <c r="G3982">
        <v>28.3</v>
      </c>
      <c r="H3982">
        <v>0.47499999999999998</v>
      </c>
      <c r="I3982">
        <v>8878</v>
      </c>
      <c r="J3982">
        <v>0</v>
      </c>
      <c r="K3982">
        <v>18722</v>
      </c>
      <c r="L3982">
        <v>86</v>
      </c>
      <c r="M3982">
        <v>124</v>
      </c>
      <c r="N3982" t="s">
        <v>46</v>
      </c>
      <c r="O3982" s="3">
        <v>44181</v>
      </c>
      <c r="P3982">
        <v>-1</v>
      </c>
      <c r="T3982" t="s">
        <v>32</v>
      </c>
      <c r="U3982">
        <v>128</v>
      </c>
      <c r="V3982">
        <v>23.7</v>
      </c>
    </row>
    <row r="3983" spans="1:22" x14ac:dyDescent="0.35">
      <c r="A3983" s="3">
        <v>44057</v>
      </c>
      <c r="B3983" t="s">
        <v>45</v>
      </c>
      <c r="C3983">
        <v>28.32</v>
      </c>
      <c r="D3983">
        <v>28.8</v>
      </c>
      <c r="E3983">
        <v>28.25</v>
      </c>
      <c r="F3983">
        <v>28.55</v>
      </c>
      <c r="G3983">
        <v>28.675000000000001</v>
      </c>
      <c r="H3983">
        <v>0.4</v>
      </c>
      <c r="I3983">
        <v>3154</v>
      </c>
      <c r="J3983">
        <v>0</v>
      </c>
      <c r="K3983">
        <v>9360</v>
      </c>
      <c r="L3983">
        <v>108</v>
      </c>
      <c r="M3983">
        <v>159</v>
      </c>
      <c r="N3983" t="s">
        <v>45</v>
      </c>
      <c r="O3983" s="3">
        <v>44216</v>
      </c>
      <c r="P3983">
        <v>-1</v>
      </c>
      <c r="T3983" t="s">
        <v>31</v>
      </c>
      <c r="U3983">
        <v>146</v>
      </c>
      <c r="V3983">
        <v>24.125</v>
      </c>
    </row>
    <row r="3984" spans="1:22" x14ac:dyDescent="0.35">
      <c r="A3984" s="3">
        <v>44057</v>
      </c>
      <c r="B3984" t="s">
        <v>44</v>
      </c>
      <c r="C3984">
        <v>27.99</v>
      </c>
      <c r="D3984">
        <v>28.45</v>
      </c>
      <c r="E3984">
        <v>27.95</v>
      </c>
      <c r="F3984">
        <v>28.2</v>
      </c>
      <c r="G3984">
        <v>28.324999999999999</v>
      </c>
      <c r="H3984">
        <v>0.4</v>
      </c>
      <c r="I3984">
        <v>1905</v>
      </c>
      <c r="J3984">
        <v>0</v>
      </c>
      <c r="K3984">
        <v>4508</v>
      </c>
      <c r="L3984">
        <v>127</v>
      </c>
      <c r="M3984">
        <v>187</v>
      </c>
      <c r="N3984" t="s">
        <v>44</v>
      </c>
      <c r="O3984" s="3">
        <v>44244</v>
      </c>
      <c r="P3984">
        <v>-1</v>
      </c>
      <c r="T3984" t="s">
        <v>30</v>
      </c>
      <c r="U3984">
        <v>172</v>
      </c>
      <c r="V3984">
        <v>24.175000000000001</v>
      </c>
    </row>
    <row r="3985" spans="1:22" x14ac:dyDescent="0.35">
      <c r="A3985" s="3">
        <v>44057</v>
      </c>
      <c r="B3985" t="s">
        <v>49</v>
      </c>
      <c r="C3985">
        <v>26.8</v>
      </c>
      <c r="D3985">
        <v>27.7</v>
      </c>
      <c r="E3985">
        <v>26.65</v>
      </c>
      <c r="F3985">
        <v>26.94</v>
      </c>
      <c r="G3985">
        <v>26.975000000000001</v>
      </c>
      <c r="H3985">
        <v>0.15</v>
      </c>
      <c r="I3985">
        <v>53492</v>
      </c>
      <c r="J3985">
        <v>0</v>
      </c>
      <c r="K3985">
        <v>160228</v>
      </c>
      <c r="L3985">
        <v>22</v>
      </c>
      <c r="M3985">
        <v>33</v>
      </c>
      <c r="N3985" t="s">
        <v>49</v>
      </c>
      <c r="O3985" s="3">
        <v>44090</v>
      </c>
      <c r="P3985">
        <v>-1</v>
      </c>
      <c r="T3985" t="s">
        <v>38</v>
      </c>
      <c r="U3985">
        <v>2</v>
      </c>
      <c r="V3985">
        <v>16.504000000000001</v>
      </c>
    </row>
    <row r="3986" spans="1:22" x14ac:dyDescent="0.35">
      <c r="A3986" s="3">
        <v>44057</v>
      </c>
      <c r="B3986" t="s">
        <v>48</v>
      </c>
      <c r="C3986">
        <v>30.02</v>
      </c>
      <c r="D3986">
        <v>30.72</v>
      </c>
      <c r="E3986">
        <v>29.9</v>
      </c>
      <c r="F3986">
        <v>30.13</v>
      </c>
      <c r="G3986">
        <v>30.05</v>
      </c>
      <c r="H3986">
        <v>2.5000000000000001E-2</v>
      </c>
      <c r="I3986">
        <v>13707</v>
      </c>
      <c r="J3986">
        <v>0</v>
      </c>
      <c r="K3986">
        <v>39911</v>
      </c>
      <c r="L3986">
        <v>47</v>
      </c>
      <c r="M3986">
        <v>68</v>
      </c>
      <c r="N3986" t="s">
        <v>48</v>
      </c>
      <c r="O3986" s="3">
        <v>44125</v>
      </c>
      <c r="P3986">
        <v>-1</v>
      </c>
      <c r="T3986" t="s">
        <v>37</v>
      </c>
      <c r="U3986">
        <v>21</v>
      </c>
      <c r="V3986">
        <v>19.623699999999999</v>
      </c>
    </row>
    <row r="3987" spans="1:22" x14ac:dyDescent="0.35">
      <c r="A3987" s="3">
        <v>44057</v>
      </c>
      <c r="B3987" t="s">
        <v>50</v>
      </c>
      <c r="C3987">
        <v>23.2</v>
      </c>
      <c r="D3987">
        <v>24.3</v>
      </c>
      <c r="E3987">
        <v>22.95</v>
      </c>
      <c r="F3987">
        <v>23.29</v>
      </c>
      <c r="G3987">
        <v>23.274999999999999</v>
      </c>
      <c r="H3987">
        <v>0.05</v>
      </c>
      <c r="I3987">
        <v>53450</v>
      </c>
      <c r="J3987">
        <v>0</v>
      </c>
      <c r="K3987">
        <v>37190</v>
      </c>
      <c r="L3987">
        <v>3</v>
      </c>
      <c r="M3987">
        <v>5</v>
      </c>
      <c r="N3987" t="s">
        <v>50</v>
      </c>
      <c r="O3987" s="3">
        <v>44062</v>
      </c>
      <c r="P3987">
        <v>-1</v>
      </c>
      <c r="T3987" t="s">
        <v>36</v>
      </c>
      <c r="U3987">
        <v>46</v>
      </c>
      <c r="V3987">
        <v>21</v>
      </c>
    </row>
    <row r="3988" spans="1:22" x14ac:dyDescent="0.35">
      <c r="A3988" s="3">
        <v>44057</v>
      </c>
      <c r="B3988" t="s">
        <v>47</v>
      </c>
      <c r="C3988">
        <v>28.65</v>
      </c>
      <c r="D3988">
        <v>29.25</v>
      </c>
      <c r="E3988">
        <v>28.57</v>
      </c>
      <c r="F3988">
        <v>28.85</v>
      </c>
      <c r="G3988">
        <v>28.774999999999999</v>
      </c>
      <c r="H3988">
        <v>0.2</v>
      </c>
      <c r="I3988">
        <v>9752</v>
      </c>
      <c r="J3988">
        <v>0</v>
      </c>
      <c r="K3988">
        <v>26620</v>
      </c>
      <c r="L3988">
        <v>67</v>
      </c>
      <c r="M3988">
        <v>96</v>
      </c>
      <c r="N3988" t="s">
        <v>47</v>
      </c>
      <c r="O3988" s="3">
        <v>44153</v>
      </c>
      <c r="P3988">
        <v>-1</v>
      </c>
      <c r="T3988" t="s">
        <v>35</v>
      </c>
      <c r="U3988">
        <v>66</v>
      </c>
      <c r="V3988">
        <v>21.712499999999999</v>
      </c>
    </row>
    <row r="3989" spans="1:22" x14ac:dyDescent="0.35">
      <c r="A3989" s="3">
        <v>44056</v>
      </c>
      <c r="B3989" t="s">
        <v>49</v>
      </c>
      <c r="C3989">
        <v>26.85</v>
      </c>
      <c r="D3989">
        <v>27.2</v>
      </c>
      <c r="E3989">
        <v>26.25</v>
      </c>
      <c r="F3989">
        <v>26.82</v>
      </c>
      <c r="G3989">
        <v>26.824999999999999</v>
      </c>
      <c r="H3989">
        <v>-0.05</v>
      </c>
      <c r="I3989">
        <v>51912</v>
      </c>
      <c r="J3989">
        <v>0</v>
      </c>
      <c r="K3989">
        <v>150510</v>
      </c>
      <c r="L3989">
        <v>23</v>
      </c>
      <c r="M3989">
        <v>34</v>
      </c>
      <c r="N3989" t="s">
        <v>49</v>
      </c>
      <c r="O3989" s="3">
        <v>44090</v>
      </c>
      <c r="P3989">
        <v>-1</v>
      </c>
      <c r="T3989" t="s">
        <v>34</v>
      </c>
      <c r="U3989">
        <v>90</v>
      </c>
      <c r="V3989">
        <v>22.200500000000002</v>
      </c>
    </row>
    <row r="3990" spans="1:22" x14ac:dyDescent="0.35">
      <c r="A3990" s="3">
        <v>44056</v>
      </c>
      <c r="B3990" t="s">
        <v>48</v>
      </c>
      <c r="C3990">
        <v>30.05</v>
      </c>
      <c r="D3990">
        <v>30.36</v>
      </c>
      <c r="E3990">
        <v>29.55</v>
      </c>
      <c r="F3990">
        <v>30.05</v>
      </c>
      <c r="G3990">
        <v>30.024999999999999</v>
      </c>
      <c r="H3990">
        <v>0</v>
      </c>
      <c r="I3990">
        <v>10107</v>
      </c>
      <c r="J3990">
        <v>0</v>
      </c>
      <c r="K3990">
        <v>37767</v>
      </c>
      <c r="L3990">
        <v>48</v>
      </c>
      <c r="M3990">
        <v>69</v>
      </c>
      <c r="N3990" t="s">
        <v>48</v>
      </c>
      <c r="O3990" s="3">
        <v>44125</v>
      </c>
      <c r="P3990">
        <v>-1</v>
      </c>
      <c r="S3990" s="3">
        <v>44425</v>
      </c>
      <c r="T3990" t="s">
        <v>33</v>
      </c>
      <c r="U3990">
        <v>107</v>
      </c>
      <c r="V3990">
        <v>23.5015</v>
      </c>
    </row>
    <row r="3991" spans="1:22" x14ac:dyDescent="0.35">
      <c r="A3991" s="3">
        <v>44056</v>
      </c>
      <c r="B3991" t="s">
        <v>50</v>
      </c>
      <c r="C3991">
        <v>23.6</v>
      </c>
      <c r="D3991">
        <v>23.65</v>
      </c>
      <c r="E3991">
        <v>22.6</v>
      </c>
      <c r="F3991">
        <v>23.2</v>
      </c>
      <c r="G3991">
        <v>23.225000000000001</v>
      </c>
      <c r="H3991">
        <v>-0.05</v>
      </c>
      <c r="I3991">
        <v>59489</v>
      </c>
      <c r="J3991">
        <v>0</v>
      </c>
      <c r="K3991">
        <v>48113</v>
      </c>
      <c r="L3991">
        <v>4</v>
      </c>
      <c r="M3991">
        <v>6</v>
      </c>
      <c r="N3991" t="s">
        <v>50</v>
      </c>
      <c r="O3991" s="3">
        <v>44062</v>
      </c>
      <c r="P3991">
        <v>-1</v>
      </c>
      <c r="T3991" t="s">
        <v>32</v>
      </c>
      <c r="U3991">
        <v>127</v>
      </c>
      <c r="V3991">
        <v>23.95</v>
      </c>
    </row>
    <row r="3992" spans="1:22" x14ac:dyDescent="0.35">
      <c r="A3992" s="3">
        <v>44056</v>
      </c>
      <c r="B3992" t="s">
        <v>47</v>
      </c>
      <c r="C3992">
        <v>28.55</v>
      </c>
      <c r="D3992">
        <v>28.9</v>
      </c>
      <c r="E3992">
        <v>28.22</v>
      </c>
      <c r="F3992">
        <v>28.65</v>
      </c>
      <c r="G3992">
        <v>28.574999999999999</v>
      </c>
      <c r="H3992">
        <v>0.05</v>
      </c>
      <c r="I3992">
        <v>5173</v>
      </c>
      <c r="J3992">
        <v>0</v>
      </c>
      <c r="K3992">
        <v>26926</v>
      </c>
      <c r="L3992">
        <v>68</v>
      </c>
      <c r="M3992">
        <v>97</v>
      </c>
      <c r="N3992" t="s">
        <v>47</v>
      </c>
      <c r="O3992" s="3">
        <v>44153</v>
      </c>
      <c r="P3992">
        <v>-1</v>
      </c>
      <c r="T3992" t="s">
        <v>31</v>
      </c>
      <c r="U3992">
        <v>145</v>
      </c>
      <c r="V3992">
        <v>24.4</v>
      </c>
    </row>
    <row r="3993" spans="1:22" x14ac:dyDescent="0.35">
      <c r="A3993" s="3">
        <v>44056</v>
      </c>
      <c r="B3993" t="s">
        <v>43</v>
      </c>
      <c r="C3993">
        <v>27.55</v>
      </c>
      <c r="D3993">
        <v>27.75</v>
      </c>
      <c r="E3993">
        <v>27.32</v>
      </c>
      <c r="F3993">
        <v>27.62</v>
      </c>
      <c r="G3993">
        <v>27.675000000000001</v>
      </c>
      <c r="H3993">
        <v>0.22500000000000001</v>
      </c>
      <c r="I3993">
        <v>321</v>
      </c>
      <c r="J3993">
        <v>0</v>
      </c>
      <c r="K3993">
        <v>815</v>
      </c>
      <c r="L3993">
        <v>148</v>
      </c>
      <c r="M3993">
        <v>216</v>
      </c>
      <c r="N3993" t="s">
        <v>43</v>
      </c>
      <c r="O3993" s="3">
        <v>44272</v>
      </c>
      <c r="P3993">
        <v>-1</v>
      </c>
      <c r="T3993" t="s">
        <v>30</v>
      </c>
      <c r="U3993">
        <v>171</v>
      </c>
      <c r="V3993">
        <v>24.4</v>
      </c>
    </row>
    <row r="3994" spans="1:22" x14ac:dyDescent="0.35">
      <c r="A3994" s="3">
        <v>44056</v>
      </c>
      <c r="B3994" t="s">
        <v>46</v>
      </c>
      <c r="C3994">
        <v>27.7</v>
      </c>
      <c r="D3994">
        <v>28.01</v>
      </c>
      <c r="E3994">
        <v>27.4</v>
      </c>
      <c r="F3994">
        <v>27.8</v>
      </c>
      <c r="G3994">
        <v>27.824999999999999</v>
      </c>
      <c r="H3994">
        <v>0.15</v>
      </c>
      <c r="I3994">
        <v>3136</v>
      </c>
      <c r="J3994">
        <v>0</v>
      </c>
      <c r="K3994">
        <v>16737</v>
      </c>
      <c r="L3994">
        <v>87</v>
      </c>
      <c r="M3994">
        <v>125</v>
      </c>
      <c r="N3994" t="s">
        <v>46</v>
      </c>
      <c r="O3994" s="3">
        <v>44181</v>
      </c>
      <c r="P3994">
        <v>-1</v>
      </c>
      <c r="T3994" t="s">
        <v>38</v>
      </c>
      <c r="U3994">
        <v>1</v>
      </c>
      <c r="V3994">
        <v>17.578700000000001</v>
      </c>
    </row>
    <row r="3995" spans="1:22" x14ac:dyDescent="0.35">
      <c r="A3995" s="3">
        <v>44056</v>
      </c>
      <c r="B3995" t="s">
        <v>42</v>
      </c>
      <c r="C3995">
        <v>27.4</v>
      </c>
      <c r="D3995">
        <v>27.45</v>
      </c>
      <c r="E3995">
        <v>27.4</v>
      </c>
      <c r="F3995">
        <v>27.45</v>
      </c>
      <c r="G3995">
        <v>27.324999999999999</v>
      </c>
      <c r="H3995">
        <v>-0.27500000000000002</v>
      </c>
      <c r="I3995">
        <v>5</v>
      </c>
      <c r="J3995">
        <v>0</v>
      </c>
      <c r="K3995">
        <v>12</v>
      </c>
      <c r="L3995">
        <v>173</v>
      </c>
      <c r="M3995">
        <v>251</v>
      </c>
      <c r="N3995" t="s">
        <v>42</v>
      </c>
      <c r="O3995" s="3">
        <v>44307</v>
      </c>
      <c r="P3995">
        <v>-1</v>
      </c>
      <c r="T3995" t="s">
        <v>37</v>
      </c>
      <c r="U3995">
        <v>20</v>
      </c>
      <c r="V3995">
        <v>20.169699999999999</v>
      </c>
    </row>
    <row r="3996" spans="1:22" x14ac:dyDescent="0.35">
      <c r="A3996" s="3">
        <v>44056</v>
      </c>
      <c r="B3996" t="s">
        <v>45</v>
      </c>
      <c r="C3996">
        <v>28.05</v>
      </c>
      <c r="D3996">
        <v>28.4</v>
      </c>
      <c r="E3996">
        <v>27.85</v>
      </c>
      <c r="F3996">
        <v>28.25</v>
      </c>
      <c r="G3996">
        <v>28.274999999999999</v>
      </c>
      <c r="H3996">
        <v>0.2</v>
      </c>
      <c r="I3996">
        <v>1770</v>
      </c>
      <c r="J3996">
        <v>0</v>
      </c>
      <c r="K3996">
        <v>9346</v>
      </c>
      <c r="L3996">
        <v>109</v>
      </c>
      <c r="M3996">
        <v>160</v>
      </c>
      <c r="N3996" t="s">
        <v>45</v>
      </c>
      <c r="O3996" s="3">
        <v>44216</v>
      </c>
      <c r="P3996">
        <v>-1</v>
      </c>
      <c r="T3996" t="s">
        <v>36</v>
      </c>
      <c r="U3996">
        <v>45</v>
      </c>
      <c r="V3996">
        <v>21.684100000000001</v>
      </c>
    </row>
    <row r="3997" spans="1:22" x14ac:dyDescent="0.35">
      <c r="A3997" s="3">
        <v>44056</v>
      </c>
      <c r="B3997" t="s">
        <v>44</v>
      </c>
      <c r="C3997">
        <v>27.75</v>
      </c>
      <c r="D3997">
        <v>28.06</v>
      </c>
      <c r="E3997">
        <v>27.6</v>
      </c>
      <c r="F3997">
        <v>27.92</v>
      </c>
      <c r="G3997">
        <v>27.925000000000001</v>
      </c>
      <c r="H3997">
        <v>0.2</v>
      </c>
      <c r="I3997">
        <v>1194</v>
      </c>
      <c r="J3997">
        <v>0</v>
      </c>
      <c r="K3997">
        <v>3905</v>
      </c>
      <c r="L3997">
        <v>128</v>
      </c>
      <c r="M3997">
        <v>188</v>
      </c>
      <c r="N3997" t="s">
        <v>44</v>
      </c>
      <c r="O3997" s="3">
        <v>44244</v>
      </c>
      <c r="P3997">
        <v>-1</v>
      </c>
      <c r="T3997" t="s">
        <v>35</v>
      </c>
      <c r="U3997">
        <v>65</v>
      </c>
      <c r="V3997">
        <v>22.3124</v>
      </c>
    </row>
    <row r="3998" spans="1:22" x14ac:dyDescent="0.35">
      <c r="A3998" s="3">
        <v>44055</v>
      </c>
      <c r="B3998" t="s">
        <v>43</v>
      </c>
      <c r="C3998">
        <v>27.9</v>
      </c>
      <c r="D3998">
        <v>27.9</v>
      </c>
      <c r="E3998">
        <v>27.1</v>
      </c>
      <c r="F3998">
        <v>27.5</v>
      </c>
      <c r="G3998">
        <v>27.45</v>
      </c>
      <c r="H3998">
        <v>-0.52500000000000002</v>
      </c>
      <c r="I3998">
        <v>260</v>
      </c>
      <c r="J3998">
        <v>0</v>
      </c>
      <c r="K3998">
        <v>634</v>
      </c>
      <c r="L3998">
        <v>149</v>
      </c>
      <c r="M3998">
        <v>217</v>
      </c>
      <c r="N3998" t="s">
        <v>43</v>
      </c>
      <c r="O3998" s="3">
        <v>44272</v>
      </c>
      <c r="P3998">
        <v>-1</v>
      </c>
      <c r="T3998" t="s">
        <v>34</v>
      </c>
      <c r="U3998">
        <v>89</v>
      </c>
      <c r="V3998">
        <v>22.623699999999999</v>
      </c>
    </row>
    <row r="3999" spans="1:22" x14ac:dyDescent="0.35">
      <c r="A3999" s="3">
        <v>44055</v>
      </c>
      <c r="B3999" t="s">
        <v>46</v>
      </c>
      <c r="C3999">
        <v>28</v>
      </c>
      <c r="D3999">
        <v>28.25</v>
      </c>
      <c r="E3999">
        <v>27.35</v>
      </c>
      <c r="F3999">
        <v>27.68</v>
      </c>
      <c r="G3999">
        <v>27.675000000000001</v>
      </c>
      <c r="H3999">
        <v>-0.55000000000000004</v>
      </c>
      <c r="I3999">
        <v>3618</v>
      </c>
      <c r="J3999">
        <v>0</v>
      </c>
      <c r="K3999">
        <v>16430</v>
      </c>
      <c r="L3999">
        <v>88</v>
      </c>
      <c r="M3999">
        <v>126</v>
      </c>
      <c r="N3999" t="s">
        <v>46</v>
      </c>
      <c r="O3999" s="3">
        <v>44181</v>
      </c>
      <c r="P3999">
        <v>-1</v>
      </c>
      <c r="S3999" s="3">
        <v>44426</v>
      </c>
      <c r="T3999" t="s">
        <v>33</v>
      </c>
      <c r="U3999">
        <v>106</v>
      </c>
      <c r="V3999">
        <v>24.343399999999999</v>
      </c>
    </row>
    <row r="4000" spans="1:22" x14ac:dyDescent="0.35">
      <c r="A4000" s="3">
        <v>44055</v>
      </c>
      <c r="B4000" t="s">
        <v>42</v>
      </c>
      <c r="C4000">
        <v>27.95</v>
      </c>
      <c r="D4000">
        <v>27.95</v>
      </c>
      <c r="E4000">
        <v>27.38</v>
      </c>
      <c r="F4000">
        <v>27.4</v>
      </c>
      <c r="G4000">
        <v>27.6</v>
      </c>
      <c r="H4000">
        <v>0.6</v>
      </c>
      <c r="I4000">
        <v>8</v>
      </c>
      <c r="J4000">
        <v>0</v>
      </c>
      <c r="K4000">
        <v>7</v>
      </c>
      <c r="L4000">
        <v>174</v>
      </c>
      <c r="M4000">
        <v>252</v>
      </c>
      <c r="N4000" t="s">
        <v>42</v>
      </c>
      <c r="O4000" s="3">
        <v>44307</v>
      </c>
      <c r="P4000">
        <v>-1</v>
      </c>
      <c r="T4000" t="s">
        <v>32</v>
      </c>
      <c r="U4000">
        <v>126</v>
      </c>
      <c r="V4000">
        <v>24.6891</v>
      </c>
    </row>
    <row r="4001" spans="1:22" x14ac:dyDescent="0.35">
      <c r="A4001" s="3">
        <v>44055</v>
      </c>
      <c r="B4001" t="s">
        <v>45</v>
      </c>
      <c r="C4001">
        <v>28.35</v>
      </c>
      <c r="D4001">
        <v>28.65</v>
      </c>
      <c r="E4001">
        <v>27.77</v>
      </c>
      <c r="F4001">
        <v>28.15</v>
      </c>
      <c r="G4001">
        <v>28.074999999999999</v>
      </c>
      <c r="H4001">
        <v>-0.55000000000000004</v>
      </c>
      <c r="I4001">
        <v>2186</v>
      </c>
      <c r="J4001">
        <v>0</v>
      </c>
      <c r="K4001">
        <v>8999</v>
      </c>
      <c r="L4001">
        <v>110</v>
      </c>
      <c r="M4001">
        <v>161</v>
      </c>
      <c r="N4001" t="s">
        <v>45</v>
      </c>
      <c r="O4001" s="3">
        <v>44216</v>
      </c>
      <c r="P4001">
        <v>-1</v>
      </c>
      <c r="T4001" t="s">
        <v>31</v>
      </c>
      <c r="U4001">
        <v>144</v>
      </c>
      <c r="V4001">
        <v>25.165600000000001</v>
      </c>
    </row>
    <row r="4002" spans="1:22" x14ac:dyDescent="0.35">
      <c r="A4002" s="3">
        <v>44055</v>
      </c>
      <c r="B4002" t="s">
        <v>44</v>
      </c>
      <c r="C4002">
        <v>28.15</v>
      </c>
      <c r="D4002">
        <v>28.2</v>
      </c>
      <c r="E4002">
        <v>27.36</v>
      </c>
      <c r="F4002">
        <v>27.75</v>
      </c>
      <c r="G4002">
        <v>27.725000000000001</v>
      </c>
      <c r="H4002">
        <v>-0.5</v>
      </c>
      <c r="I4002">
        <v>1352</v>
      </c>
      <c r="J4002">
        <v>0</v>
      </c>
      <c r="K4002">
        <v>3693</v>
      </c>
      <c r="L4002">
        <v>129</v>
      </c>
      <c r="M4002">
        <v>189</v>
      </c>
      <c r="N4002" t="s">
        <v>44</v>
      </c>
      <c r="O4002" s="3">
        <v>44244</v>
      </c>
      <c r="P4002">
        <v>-1</v>
      </c>
      <c r="T4002" t="s">
        <v>30</v>
      </c>
      <c r="U4002">
        <v>170</v>
      </c>
      <c r="V4002">
        <v>25.2</v>
      </c>
    </row>
    <row r="4003" spans="1:22" x14ac:dyDescent="0.35">
      <c r="A4003" s="3">
        <v>44055</v>
      </c>
      <c r="B4003" t="s">
        <v>49</v>
      </c>
      <c r="C4003">
        <v>27.9</v>
      </c>
      <c r="D4003">
        <v>28.25</v>
      </c>
      <c r="E4003">
        <v>26.65</v>
      </c>
      <c r="F4003">
        <v>26.95</v>
      </c>
      <c r="G4003">
        <v>26.875</v>
      </c>
      <c r="H4003">
        <v>-1.3</v>
      </c>
      <c r="I4003">
        <v>58874</v>
      </c>
      <c r="J4003">
        <v>956</v>
      </c>
      <c r="K4003">
        <v>140357</v>
      </c>
      <c r="L4003">
        <v>24</v>
      </c>
      <c r="M4003">
        <v>35</v>
      </c>
      <c r="N4003" t="s">
        <v>49</v>
      </c>
      <c r="O4003" s="3">
        <v>44090</v>
      </c>
      <c r="P4003">
        <v>-1</v>
      </c>
      <c r="T4003" t="s">
        <v>38</v>
      </c>
      <c r="U4003">
        <v>0</v>
      </c>
      <c r="V4003">
        <v>18.579999999999998</v>
      </c>
    </row>
    <row r="4004" spans="1:22" x14ac:dyDescent="0.35">
      <c r="A4004" s="3">
        <v>44055</v>
      </c>
      <c r="B4004" t="s">
        <v>48</v>
      </c>
      <c r="C4004">
        <v>30.71</v>
      </c>
      <c r="D4004">
        <v>31.02</v>
      </c>
      <c r="E4004">
        <v>29.7</v>
      </c>
      <c r="F4004">
        <v>30.04</v>
      </c>
      <c r="G4004">
        <v>30.024999999999999</v>
      </c>
      <c r="H4004">
        <v>-0.95</v>
      </c>
      <c r="I4004">
        <v>11924</v>
      </c>
      <c r="J4004">
        <v>0</v>
      </c>
      <c r="K4004">
        <v>36554</v>
      </c>
      <c r="L4004">
        <v>49</v>
      </c>
      <c r="M4004">
        <v>70</v>
      </c>
      <c r="N4004" t="s">
        <v>48</v>
      </c>
      <c r="O4004" s="3">
        <v>44125</v>
      </c>
      <c r="P4004">
        <v>-1</v>
      </c>
      <c r="T4004" t="s">
        <v>37</v>
      </c>
      <c r="U4004">
        <v>19</v>
      </c>
      <c r="V4004">
        <v>21.7058</v>
      </c>
    </row>
    <row r="4005" spans="1:22" x14ac:dyDescent="0.35">
      <c r="A4005" s="3">
        <v>44055</v>
      </c>
      <c r="B4005" t="s">
        <v>50</v>
      </c>
      <c r="C4005">
        <v>24.64</v>
      </c>
      <c r="D4005">
        <v>25.03</v>
      </c>
      <c r="E4005">
        <v>23.03</v>
      </c>
      <c r="F4005">
        <v>23.35</v>
      </c>
      <c r="G4005">
        <v>23.274999999999999</v>
      </c>
      <c r="H4005">
        <v>-1.65</v>
      </c>
      <c r="I4005">
        <v>63811</v>
      </c>
      <c r="J4005">
        <v>318</v>
      </c>
      <c r="K4005">
        <v>59364</v>
      </c>
      <c r="L4005">
        <v>5</v>
      </c>
      <c r="M4005">
        <v>7</v>
      </c>
      <c r="N4005" t="s">
        <v>50</v>
      </c>
      <c r="O4005" s="3">
        <v>44062</v>
      </c>
      <c r="P4005">
        <v>-1</v>
      </c>
      <c r="T4005" t="s">
        <v>36</v>
      </c>
      <c r="U4005">
        <v>44</v>
      </c>
      <c r="V4005">
        <v>22.927099999999999</v>
      </c>
    </row>
    <row r="4006" spans="1:22" x14ac:dyDescent="0.35">
      <c r="A4006" s="3">
        <v>44055</v>
      </c>
      <c r="B4006" t="s">
        <v>47</v>
      </c>
      <c r="C4006">
        <v>28.94</v>
      </c>
      <c r="D4006">
        <v>29.3</v>
      </c>
      <c r="E4006">
        <v>28.25</v>
      </c>
      <c r="F4006">
        <v>28.56</v>
      </c>
      <c r="G4006">
        <v>28.524999999999999</v>
      </c>
      <c r="H4006">
        <v>-0.75</v>
      </c>
      <c r="I4006">
        <v>5395</v>
      </c>
      <c r="J4006">
        <v>0</v>
      </c>
      <c r="K4006">
        <v>26573</v>
      </c>
      <c r="L4006">
        <v>69</v>
      </c>
      <c r="M4006">
        <v>98</v>
      </c>
      <c r="N4006" t="s">
        <v>47</v>
      </c>
      <c r="O4006" s="3">
        <v>44153</v>
      </c>
      <c r="P4006">
        <v>-1</v>
      </c>
      <c r="T4006" t="s">
        <v>35</v>
      </c>
      <c r="U4006">
        <v>64</v>
      </c>
      <c r="V4006">
        <v>23.336300000000001</v>
      </c>
    </row>
    <row r="4007" spans="1:22" x14ac:dyDescent="0.35">
      <c r="A4007" s="3">
        <v>44054</v>
      </c>
      <c r="B4007" t="s">
        <v>49</v>
      </c>
      <c r="C4007">
        <v>27.2</v>
      </c>
      <c r="D4007">
        <v>28.35</v>
      </c>
      <c r="E4007">
        <v>26.19</v>
      </c>
      <c r="F4007">
        <v>27.9</v>
      </c>
      <c r="G4007">
        <v>28.175000000000001</v>
      </c>
      <c r="H4007">
        <v>1.05</v>
      </c>
      <c r="I4007">
        <v>63303</v>
      </c>
      <c r="J4007">
        <v>207</v>
      </c>
      <c r="K4007">
        <v>129427</v>
      </c>
      <c r="L4007">
        <v>25</v>
      </c>
      <c r="M4007">
        <v>36</v>
      </c>
      <c r="N4007" t="s">
        <v>49</v>
      </c>
      <c r="O4007" s="3">
        <v>44090</v>
      </c>
      <c r="P4007">
        <v>-1</v>
      </c>
      <c r="T4007" t="s">
        <v>34</v>
      </c>
      <c r="U4007">
        <v>88</v>
      </c>
      <c r="V4007">
        <v>23.4313</v>
      </c>
    </row>
    <row r="4008" spans="1:22" x14ac:dyDescent="0.35">
      <c r="A4008" s="3">
        <v>44054</v>
      </c>
      <c r="B4008" t="s">
        <v>48</v>
      </c>
      <c r="C4008">
        <v>30.05</v>
      </c>
      <c r="D4008">
        <v>31.07</v>
      </c>
      <c r="E4008">
        <v>29.2</v>
      </c>
      <c r="F4008">
        <v>30.71</v>
      </c>
      <c r="G4008">
        <v>30.975000000000001</v>
      </c>
      <c r="H4008">
        <v>0.95</v>
      </c>
      <c r="I4008">
        <v>14546</v>
      </c>
      <c r="J4008">
        <v>0</v>
      </c>
      <c r="K4008">
        <v>35763</v>
      </c>
      <c r="L4008">
        <v>50</v>
      </c>
      <c r="M4008">
        <v>71</v>
      </c>
      <c r="N4008" t="s">
        <v>48</v>
      </c>
      <c r="O4008" s="3">
        <v>44125</v>
      </c>
      <c r="P4008">
        <v>-1</v>
      </c>
      <c r="S4008" s="3">
        <v>44427</v>
      </c>
      <c r="T4008" t="s">
        <v>33</v>
      </c>
      <c r="U4008">
        <v>105</v>
      </c>
      <c r="V4008">
        <v>24.311900000000001</v>
      </c>
    </row>
    <row r="4009" spans="1:22" x14ac:dyDescent="0.35">
      <c r="A4009" s="3">
        <v>44054</v>
      </c>
      <c r="B4009" t="s">
        <v>50</v>
      </c>
      <c r="C4009">
        <v>23.81</v>
      </c>
      <c r="D4009">
        <v>25.4</v>
      </c>
      <c r="E4009">
        <v>22.65</v>
      </c>
      <c r="F4009">
        <v>24.68</v>
      </c>
      <c r="G4009">
        <v>24.925000000000001</v>
      </c>
      <c r="H4009">
        <v>1.1499999999999999</v>
      </c>
      <c r="I4009">
        <v>81213</v>
      </c>
      <c r="J4009">
        <v>88</v>
      </c>
      <c r="K4009">
        <v>71807</v>
      </c>
      <c r="L4009">
        <v>6</v>
      </c>
      <c r="M4009">
        <v>8</v>
      </c>
      <c r="N4009" t="s">
        <v>50</v>
      </c>
      <c r="O4009" s="3">
        <v>44062</v>
      </c>
      <c r="P4009">
        <v>-1</v>
      </c>
      <c r="T4009" t="s">
        <v>32</v>
      </c>
      <c r="U4009">
        <v>125</v>
      </c>
      <c r="V4009">
        <v>24.6708</v>
      </c>
    </row>
    <row r="4010" spans="1:22" x14ac:dyDescent="0.35">
      <c r="A4010" s="3">
        <v>44054</v>
      </c>
      <c r="B4010" t="s">
        <v>47</v>
      </c>
      <c r="C4010">
        <v>28.6</v>
      </c>
      <c r="D4010">
        <v>29.35</v>
      </c>
      <c r="E4010">
        <v>27.85</v>
      </c>
      <c r="F4010">
        <v>29.02</v>
      </c>
      <c r="G4010">
        <v>29.274999999999999</v>
      </c>
      <c r="H4010">
        <v>0.7</v>
      </c>
      <c r="I4010">
        <v>7813</v>
      </c>
      <c r="J4010">
        <v>0</v>
      </c>
      <c r="K4010">
        <v>26163</v>
      </c>
      <c r="L4010">
        <v>70</v>
      </c>
      <c r="M4010">
        <v>99</v>
      </c>
      <c r="N4010" t="s">
        <v>47</v>
      </c>
      <c r="O4010" s="3">
        <v>44153</v>
      </c>
      <c r="P4010">
        <v>-1</v>
      </c>
      <c r="T4010" t="s">
        <v>31</v>
      </c>
      <c r="U4010">
        <v>143</v>
      </c>
      <c r="V4010">
        <v>25.212499999999999</v>
      </c>
    </row>
    <row r="4011" spans="1:22" x14ac:dyDescent="0.35">
      <c r="A4011" s="3">
        <v>44054</v>
      </c>
      <c r="B4011" t="s">
        <v>43</v>
      </c>
      <c r="C4011">
        <v>27</v>
      </c>
      <c r="D4011">
        <v>28</v>
      </c>
      <c r="E4011">
        <v>26.95</v>
      </c>
      <c r="F4011">
        <v>27.95</v>
      </c>
      <c r="G4011">
        <v>27.975000000000001</v>
      </c>
      <c r="H4011">
        <v>0.52500000000000002</v>
      </c>
      <c r="I4011">
        <v>146</v>
      </c>
      <c r="J4011">
        <v>0</v>
      </c>
      <c r="K4011">
        <v>553</v>
      </c>
      <c r="L4011">
        <v>150</v>
      </c>
      <c r="M4011">
        <v>218</v>
      </c>
      <c r="N4011" t="s">
        <v>43</v>
      </c>
      <c r="O4011" s="3">
        <v>44272</v>
      </c>
      <c r="P4011">
        <v>-1</v>
      </c>
      <c r="T4011" t="s">
        <v>30</v>
      </c>
      <c r="U4011">
        <v>169</v>
      </c>
      <c r="V4011">
        <v>25.25</v>
      </c>
    </row>
    <row r="4012" spans="1:22" x14ac:dyDescent="0.35">
      <c r="A4012" s="3">
        <v>44054</v>
      </c>
      <c r="B4012" t="s">
        <v>46</v>
      </c>
      <c r="C4012">
        <v>27.65</v>
      </c>
      <c r="D4012">
        <v>28.33</v>
      </c>
      <c r="E4012">
        <v>27.05</v>
      </c>
      <c r="F4012">
        <v>28.05</v>
      </c>
      <c r="G4012">
        <v>28.225000000000001</v>
      </c>
      <c r="H4012">
        <v>0.6</v>
      </c>
      <c r="I4012">
        <v>4393</v>
      </c>
      <c r="J4012">
        <v>0</v>
      </c>
      <c r="K4012">
        <v>15905</v>
      </c>
      <c r="L4012">
        <v>89</v>
      </c>
      <c r="M4012">
        <v>127</v>
      </c>
      <c r="N4012" t="s">
        <v>46</v>
      </c>
      <c r="O4012" s="3">
        <v>44181</v>
      </c>
      <c r="P4012">
        <v>-1</v>
      </c>
      <c r="T4012" t="s">
        <v>37</v>
      </c>
      <c r="U4012">
        <v>18</v>
      </c>
      <c r="V4012">
        <v>22.346</v>
      </c>
    </row>
    <row r="4013" spans="1:22" x14ac:dyDescent="0.35">
      <c r="A4013" s="3">
        <v>44054</v>
      </c>
      <c r="B4013" t="s">
        <v>45</v>
      </c>
      <c r="C4013">
        <v>28.15</v>
      </c>
      <c r="D4013">
        <v>28.67</v>
      </c>
      <c r="E4013">
        <v>27.52</v>
      </c>
      <c r="F4013">
        <v>28.45</v>
      </c>
      <c r="G4013">
        <v>28.625</v>
      </c>
      <c r="H4013">
        <v>0.55000000000000004</v>
      </c>
      <c r="I4013">
        <v>3382</v>
      </c>
      <c r="J4013">
        <v>0</v>
      </c>
      <c r="K4013">
        <v>8820</v>
      </c>
      <c r="L4013">
        <v>111</v>
      </c>
      <c r="M4013">
        <v>162</v>
      </c>
      <c r="N4013" t="s">
        <v>45</v>
      </c>
      <c r="O4013" s="3">
        <v>44216</v>
      </c>
      <c r="P4013">
        <v>-1</v>
      </c>
      <c r="T4013" t="s">
        <v>36</v>
      </c>
      <c r="U4013">
        <v>43</v>
      </c>
      <c r="V4013">
        <v>23.177299999999999</v>
      </c>
    </row>
    <row r="4014" spans="1:22" x14ac:dyDescent="0.35">
      <c r="A4014" s="3">
        <v>44054</v>
      </c>
      <c r="B4014" t="s">
        <v>44</v>
      </c>
      <c r="C4014">
        <v>27.77</v>
      </c>
      <c r="D4014">
        <v>28.24</v>
      </c>
      <c r="E4014">
        <v>27.15</v>
      </c>
      <c r="F4014">
        <v>28.04</v>
      </c>
      <c r="G4014">
        <v>28.225000000000001</v>
      </c>
      <c r="H4014">
        <v>0.5</v>
      </c>
      <c r="I4014">
        <v>1063</v>
      </c>
      <c r="J4014">
        <v>0</v>
      </c>
      <c r="K4014">
        <v>3350</v>
      </c>
      <c r="L4014">
        <v>130</v>
      </c>
      <c r="M4014">
        <v>190</v>
      </c>
      <c r="N4014" t="s">
        <v>44</v>
      </c>
      <c r="O4014" s="3">
        <v>44244</v>
      </c>
      <c r="P4014">
        <v>-1</v>
      </c>
      <c r="T4014" t="s">
        <v>35</v>
      </c>
      <c r="U4014">
        <v>63</v>
      </c>
      <c r="V4014">
        <v>23.4269</v>
      </c>
    </row>
    <row r="4015" spans="1:22" x14ac:dyDescent="0.35">
      <c r="A4015" s="3">
        <v>44053</v>
      </c>
      <c r="B4015" t="s">
        <v>43</v>
      </c>
      <c r="C4015">
        <v>27.6</v>
      </c>
      <c r="D4015">
        <v>27.7</v>
      </c>
      <c r="E4015">
        <v>27.4</v>
      </c>
      <c r="F4015">
        <v>27.46</v>
      </c>
      <c r="G4015">
        <v>27.45</v>
      </c>
      <c r="H4015">
        <v>-0.32500000000000001</v>
      </c>
      <c r="I4015">
        <v>46</v>
      </c>
      <c r="J4015">
        <v>0</v>
      </c>
      <c r="K4015">
        <v>502</v>
      </c>
      <c r="L4015">
        <v>151</v>
      </c>
      <c r="M4015">
        <v>219</v>
      </c>
      <c r="N4015" t="s">
        <v>43</v>
      </c>
      <c r="O4015" s="3">
        <v>44272</v>
      </c>
      <c r="P4015">
        <v>-1</v>
      </c>
      <c r="T4015" t="s">
        <v>34</v>
      </c>
      <c r="U4015">
        <v>87</v>
      </c>
      <c r="V4015">
        <v>23.385999999999999</v>
      </c>
    </row>
    <row r="4016" spans="1:22" x14ac:dyDescent="0.35">
      <c r="A4016" s="3">
        <v>44053</v>
      </c>
      <c r="B4016" t="s">
        <v>46</v>
      </c>
      <c r="C4016">
        <v>27.92</v>
      </c>
      <c r="D4016">
        <v>28.08</v>
      </c>
      <c r="E4016">
        <v>27.45</v>
      </c>
      <c r="F4016">
        <v>27.64</v>
      </c>
      <c r="G4016">
        <v>27.625</v>
      </c>
      <c r="H4016">
        <v>-0.35</v>
      </c>
      <c r="I4016">
        <v>1608</v>
      </c>
      <c r="J4016">
        <v>0</v>
      </c>
      <c r="K4016">
        <v>15197</v>
      </c>
      <c r="L4016">
        <v>90</v>
      </c>
      <c r="M4016">
        <v>128</v>
      </c>
      <c r="N4016" t="s">
        <v>46</v>
      </c>
      <c r="O4016" s="3">
        <v>44181</v>
      </c>
      <c r="P4016">
        <v>-1</v>
      </c>
      <c r="S4016" s="3">
        <v>44428</v>
      </c>
      <c r="T4016" t="s">
        <v>33</v>
      </c>
      <c r="U4016">
        <v>104</v>
      </c>
      <c r="V4016">
        <v>23.889099999999999</v>
      </c>
    </row>
    <row r="4017" spans="1:22" x14ac:dyDescent="0.35">
      <c r="A4017" s="3">
        <v>44053</v>
      </c>
      <c r="B4017" t="s">
        <v>45</v>
      </c>
      <c r="C4017">
        <v>28.4</v>
      </c>
      <c r="D4017">
        <v>28.5</v>
      </c>
      <c r="E4017">
        <v>27.9</v>
      </c>
      <c r="F4017">
        <v>28.09</v>
      </c>
      <c r="G4017">
        <v>28.074999999999999</v>
      </c>
      <c r="H4017">
        <v>-0.35</v>
      </c>
      <c r="I4017">
        <v>865</v>
      </c>
      <c r="J4017">
        <v>0</v>
      </c>
      <c r="K4017">
        <v>8101</v>
      </c>
      <c r="L4017">
        <v>112</v>
      </c>
      <c r="M4017">
        <v>163</v>
      </c>
      <c r="N4017" t="s">
        <v>45</v>
      </c>
      <c r="O4017" s="3">
        <v>44216</v>
      </c>
      <c r="P4017">
        <v>-1</v>
      </c>
      <c r="T4017" t="s">
        <v>32</v>
      </c>
      <c r="U4017">
        <v>124</v>
      </c>
      <c r="V4017">
        <v>24.35</v>
      </c>
    </row>
    <row r="4018" spans="1:22" x14ac:dyDescent="0.35">
      <c r="A4018" s="3">
        <v>44053</v>
      </c>
      <c r="B4018" t="s">
        <v>44</v>
      </c>
      <c r="C4018">
        <v>27.9</v>
      </c>
      <c r="D4018">
        <v>28.05</v>
      </c>
      <c r="E4018">
        <v>27.52</v>
      </c>
      <c r="F4018">
        <v>27.75</v>
      </c>
      <c r="G4018">
        <v>27.725000000000001</v>
      </c>
      <c r="H4018">
        <v>-0.3</v>
      </c>
      <c r="I4018">
        <v>460</v>
      </c>
      <c r="J4018">
        <v>0</v>
      </c>
      <c r="K4018">
        <v>3201</v>
      </c>
      <c r="L4018">
        <v>131</v>
      </c>
      <c r="M4018">
        <v>191</v>
      </c>
      <c r="N4018" t="s">
        <v>44</v>
      </c>
      <c r="O4018" s="3">
        <v>44244</v>
      </c>
      <c r="P4018">
        <v>-1</v>
      </c>
      <c r="T4018" t="s">
        <v>31</v>
      </c>
      <c r="U4018">
        <v>142</v>
      </c>
      <c r="V4018">
        <v>24.955300000000001</v>
      </c>
    </row>
    <row r="4019" spans="1:22" x14ac:dyDescent="0.35">
      <c r="A4019" s="3">
        <v>44053</v>
      </c>
      <c r="B4019" t="s">
        <v>49</v>
      </c>
      <c r="C4019">
        <v>27.81</v>
      </c>
      <c r="D4019">
        <v>28.01</v>
      </c>
      <c r="E4019">
        <v>27</v>
      </c>
      <c r="F4019">
        <v>27.1</v>
      </c>
      <c r="G4019">
        <v>27.125</v>
      </c>
      <c r="H4019">
        <v>-0.7</v>
      </c>
      <c r="I4019">
        <v>47399</v>
      </c>
      <c r="J4019">
        <v>0</v>
      </c>
      <c r="K4019">
        <v>120904</v>
      </c>
      <c r="L4019">
        <v>26</v>
      </c>
      <c r="M4019">
        <v>37</v>
      </c>
      <c r="N4019" t="s">
        <v>49</v>
      </c>
      <c r="O4019" s="3">
        <v>44090</v>
      </c>
      <c r="P4019">
        <v>-1</v>
      </c>
      <c r="T4019" t="s">
        <v>30</v>
      </c>
      <c r="U4019">
        <v>168</v>
      </c>
      <c r="V4019">
        <v>24.975000000000001</v>
      </c>
    </row>
    <row r="4020" spans="1:22" x14ac:dyDescent="0.35">
      <c r="A4020" s="3">
        <v>44053</v>
      </c>
      <c r="B4020" t="s">
        <v>48</v>
      </c>
      <c r="C4020">
        <v>30.6</v>
      </c>
      <c r="D4020">
        <v>30.65</v>
      </c>
      <c r="E4020">
        <v>29.9</v>
      </c>
      <c r="F4020">
        <v>30.02</v>
      </c>
      <c r="G4020">
        <v>30.024999999999999</v>
      </c>
      <c r="H4020">
        <v>-0.5</v>
      </c>
      <c r="I4020">
        <v>10455</v>
      </c>
      <c r="J4020">
        <v>0</v>
      </c>
      <c r="K4020">
        <v>36556</v>
      </c>
      <c r="L4020">
        <v>51</v>
      </c>
      <c r="M4020">
        <v>72</v>
      </c>
      <c r="N4020" t="s">
        <v>48</v>
      </c>
      <c r="O4020" s="3">
        <v>44125</v>
      </c>
      <c r="P4020">
        <v>-1</v>
      </c>
      <c r="T4020" t="s">
        <v>37</v>
      </c>
      <c r="U4020">
        <v>17</v>
      </c>
      <c r="V4020">
        <v>20.5273</v>
      </c>
    </row>
    <row r="4021" spans="1:22" x14ac:dyDescent="0.35">
      <c r="A4021" s="3">
        <v>44053</v>
      </c>
      <c r="B4021" t="s">
        <v>50</v>
      </c>
      <c r="C4021">
        <v>24.6</v>
      </c>
      <c r="D4021">
        <v>24.8</v>
      </c>
      <c r="E4021">
        <v>23.55</v>
      </c>
      <c r="F4021">
        <v>23.85</v>
      </c>
      <c r="G4021">
        <v>23.774999999999999</v>
      </c>
      <c r="H4021">
        <v>-0.85</v>
      </c>
      <c r="I4021">
        <v>61606</v>
      </c>
      <c r="J4021">
        <v>0</v>
      </c>
      <c r="K4021">
        <v>84066</v>
      </c>
      <c r="L4021">
        <v>7</v>
      </c>
      <c r="M4021">
        <v>9</v>
      </c>
      <c r="N4021" t="s">
        <v>50</v>
      </c>
      <c r="O4021" s="3">
        <v>44062</v>
      </c>
      <c r="P4021">
        <v>-1</v>
      </c>
      <c r="T4021" t="s">
        <v>36</v>
      </c>
      <c r="U4021">
        <v>42</v>
      </c>
      <c r="V4021">
        <v>22.155100000000001</v>
      </c>
    </row>
    <row r="4022" spans="1:22" x14ac:dyDescent="0.35">
      <c r="A4022" s="3">
        <v>44053</v>
      </c>
      <c r="B4022" t="s">
        <v>47</v>
      </c>
      <c r="C4022">
        <v>29</v>
      </c>
      <c r="D4022">
        <v>29.07</v>
      </c>
      <c r="E4022">
        <v>28.43</v>
      </c>
      <c r="F4022">
        <v>28.6</v>
      </c>
      <c r="G4022">
        <v>28.574999999999999</v>
      </c>
      <c r="H4022">
        <v>-0.4</v>
      </c>
      <c r="I4022">
        <v>3356</v>
      </c>
      <c r="J4022">
        <v>0</v>
      </c>
      <c r="K4022">
        <v>26287</v>
      </c>
      <c r="L4022">
        <v>71</v>
      </c>
      <c r="M4022">
        <v>100</v>
      </c>
      <c r="N4022" t="s">
        <v>47</v>
      </c>
      <c r="O4022" s="3">
        <v>44153</v>
      </c>
      <c r="P4022">
        <v>-1</v>
      </c>
      <c r="T4022" t="s">
        <v>35</v>
      </c>
      <c r="U4022">
        <v>62</v>
      </c>
      <c r="V4022">
        <v>22.747499999999999</v>
      </c>
    </row>
    <row r="4023" spans="1:22" x14ac:dyDescent="0.35">
      <c r="A4023" s="3">
        <v>44050</v>
      </c>
      <c r="B4023" t="s">
        <v>49</v>
      </c>
      <c r="C4023">
        <v>27.78</v>
      </c>
      <c r="D4023">
        <v>28.41</v>
      </c>
      <c r="E4023">
        <v>27.55</v>
      </c>
      <c r="F4023">
        <v>27.84</v>
      </c>
      <c r="G4023">
        <v>27.824999999999999</v>
      </c>
      <c r="H4023">
        <v>-0.05</v>
      </c>
      <c r="I4023">
        <v>54997</v>
      </c>
      <c r="J4023">
        <v>240</v>
      </c>
      <c r="K4023">
        <v>111916</v>
      </c>
      <c r="L4023">
        <v>27</v>
      </c>
      <c r="M4023">
        <v>40</v>
      </c>
      <c r="N4023" t="s">
        <v>49</v>
      </c>
      <c r="O4023" s="3">
        <v>44090</v>
      </c>
      <c r="P4023">
        <v>-1</v>
      </c>
      <c r="T4023" t="s">
        <v>34</v>
      </c>
      <c r="U4023">
        <v>86</v>
      </c>
      <c r="V4023">
        <v>22.931799999999999</v>
      </c>
    </row>
    <row r="4024" spans="1:22" x14ac:dyDescent="0.35">
      <c r="A4024" s="3">
        <v>44050</v>
      </c>
      <c r="B4024" t="s">
        <v>48</v>
      </c>
      <c r="C4024">
        <v>30.5</v>
      </c>
      <c r="D4024">
        <v>30.95</v>
      </c>
      <c r="E4024">
        <v>30.27</v>
      </c>
      <c r="F4024">
        <v>30.5</v>
      </c>
      <c r="G4024">
        <v>30.524999999999999</v>
      </c>
      <c r="H4024">
        <v>0.1</v>
      </c>
      <c r="I4024">
        <v>12041</v>
      </c>
      <c r="J4024">
        <v>0</v>
      </c>
      <c r="K4024">
        <v>35231</v>
      </c>
      <c r="L4024">
        <v>52</v>
      </c>
      <c r="M4024">
        <v>75</v>
      </c>
      <c r="N4024" t="s">
        <v>48</v>
      </c>
      <c r="O4024" s="3">
        <v>44125</v>
      </c>
      <c r="P4024">
        <v>-1</v>
      </c>
      <c r="S4024" s="3">
        <v>44432</v>
      </c>
      <c r="T4024" t="s">
        <v>33</v>
      </c>
      <c r="U4024">
        <v>102</v>
      </c>
      <c r="V4024">
        <v>23.889099999999999</v>
      </c>
    </row>
    <row r="4025" spans="1:22" x14ac:dyDescent="0.35">
      <c r="A4025" s="3">
        <v>44050</v>
      </c>
      <c r="B4025" t="s">
        <v>50</v>
      </c>
      <c r="C4025">
        <v>24.81</v>
      </c>
      <c r="D4025">
        <v>25.66</v>
      </c>
      <c r="E4025">
        <v>24.3</v>
      </c>
      <c r="F4025">
        <v>24.6</v>
      </c>
      <c r="G4025">
        <v>24.625</v>
      </c>
      <c r="H4025">
        <v>-0.25</v>
      </c>
      <c r="I4025">
        <v>62538</v>
      </c>
      <c r="J4025">
        <v>160</v>
      </c>
      <c r="K4025">
        <v>93298</v>
      </c>
      <c r="L4025">
        <v>8</v>
      </c>
      <c r="M4025">
        <v>12</v>
      </c>
      <c r="N4025" t="s">
        <v>50</v>
      </c>
      <c r="O4025" s="3">
        <v>44062</v>
      </c>
      <c r="P4025">
        <v>-1</v>
      </c>
      <c r="T4025" t="s">
        <v>32</v>
      </c>
      <c r="U4025">
        <v>122</v>
      </c>
      <c r="V4025">
        <v>24.35</v>
      </c>
    </row>
    <row r="4026" spans="1:22" x14ac:dyDescent="0.35">
      <c r="A4026" s="3">
        <v>44050</v>
      </c>
      <c r="B4026" t="s">
        <v>47</v>
      </c>
      <c r="C4026">
        <v>28.97</v>
      </c>
      <c r="D4026">
        <v>29.35</v>
      </c>
      <c r="E4026">
        <v>28.75</v>
      </c>
      <c r="F4026">
        <v>28.96</v>
      </c>
      <c r="G4026">
        <v>28.975000000000001</v>
      </c>
      <c r="H4026">
        <v>0.125</v>
      </c>
      <c r="I4026">
        <v>3892</v>
      </c>
      <c r="J4026">
        <v>0</v>
      </c>
      <c r="K4026">
        <v>26047</v>
      </c>
      <c r="L4026">
        <v>72</v>
      </c>
      <c r="M4026">
        <v>103</v>
      </c>
      <c r="N4026" t="s">
        <v>47</v>
      </c>
      <c r="O4026" s="3">
        <v>44153</v>
      </c>
      <c r="P4026">
        <v>-1</v>
      </c>
      <c r="T4026" t="s">
        <v>31</v>
      </c>
      <c r="U4026">
        <v>140</v>
      </c>
      <c r="V4026">
        <v>24.955300000000001</v>
      </c>
    </row>
    <row r="4027" spans="1:22" x14ac:dyDescent="0.35">
      <c r="A4027" s="3">
        <v>44050</v>
      </c>
      <c r="B4027" t="s">
        <v>43</v>
      </c>
      <c r="C4027">
        <v>28</v>
      </c>
      <c r="D4027">
        <v>28.03</v>
      </c>
      <c r="E4027">
        <v>27.62</v>
      </c>
      <c r="F4027">
        <v>27.77</v>
      </c>
      <c r="G4027">
        <v>27.774999999999999</v>
      </c>
      <c r="H4027">
        <v>0.125</v>
      </c>
      <c r="I4027">
        <v>133</v>
      </c>
      <c r="J4027">
        <v>0</v>
      </c>
      <c r="K4027">
        <v>476</v>
      </c>
      <c r="L4027">
        <v>152</v>
      </c>
      <c r="M4027">
        <v>222</v>
      </c>
      <c r="N4027" t="s">
        <v>43</v>
      </c>
      <c r="O4027" s="3">
        <v>44272</v>
      </c>
      <c r="P4027">
        <v>-1</v>
      </c>
      <c r="T4027" t="s">
        <v>30</v>
      </c>
      <c r="U4027">
        <v>166</v>
      </c>
      <c r="V4027">
        <v>24.975000000000001</v>
      </c>
    </row>
    <row r="4028" spans="1:22" x14ac:dyDescent="0.35">
      <c r="A4028" s="3">
        <v>44050</v>
      </c>
      <c r="B4028" t="s">
        <v>46</v>
      </c>
      <c r="C4028">
        <v>28</v>
      </c>
      <c r="D4028">
        <v>28.33</v>
      </c>
      <c r="E4028">
        <v>27.77</v>
      </c>
      <c r="F4028">
        <v>27.96</v>
      </c>
      <c r="G4028">
        <v>27.975000000000001</v>
      </c>
      <c r="H4028">
        <v>0.1</v>
      </c>
      <c r="I4028">
        <v>2585</v>
      </c>
      <c r="J4028">
        <v>0</v>
      </c>
      <c r="K4028">
        <v>15029</v>
      </c>
      <c r="L4028">
        <v>91</v>
      </c>
      <c r="M4028">
        <v>131</v>
      </c>
      <c r="N4028" t="s">
        <v>46</v>
      </c>
      <c r="O4028" s="3">
        <v>44181</v>
      </c>
      <c r="P4028">
        <v>-1</v>
      </c>
      <c r="T4028" t="s">
        <v>37</v>
      </c>
      <c r="U4028">
        <v>15</v>
      </c>
      <c r="V4028">
        <v>20.5273</v>
      </c>
    </row>
    <row r="4029" spans="1:22" x14ac:dyDescent="0.35">
      <c r="A4029" s="3">
        <v>44050</v>
      </c>
      <c r="B4029" t="s">
        <v>45</v>
      </c>
      <c r="C4029">
        <v>28.5</v>
      </c>
      <c r="D4029">
        <v>28.7</v>
      </c>
      <c r="E4029">
        <v>28.22</v>
      </c>
      <c r="F4029">
        <v>28.4</v>
      </c>
      <c r="G4029">
        <v>28.425000000000001</v>
      </c>
      <c r="H4029">
        <v>0.15</v>
      </c>
      <c r="I4029">
        <v>1057</v>
      </c>
      <c r="J4029">
        <v>0</v>
      </c>
      <c r="K4029">
        <v>7884</v>
      </c>
      <c r="L4029">
        <v>113</v>
      </c>
      <c r="M4029">
        <v>166</v>
      </c>
      <c r="N4029" t="s">
        <v>45</v>
      </c>
      <c r="O4029" s="3">
        <v>44216</v>
      </c>
      <c r="P4029">
        <v>-1</v>
      </c>
      <c r="T4029" t="s">
        <v>36</v>
      </c>
      <c r="U4029">
        <v>40</v>
      </c>
      <c r="V4029">
        <v>22.155100000000001</v>
      </c>
    </row>
    <row r="4030" spans="1:22" x14ac:dyDescent="0.35">
      <c r="A4030" s="3">
        <v>44050</v>
      </c>
      <c r="B4030" t="s">
        <v>44</v>
      </c>
      <c r="C4030">
        <v>28.02</v>
      </c>
      <c r="D4030">
        <v>28.3</v>
      </c>
      <c r="E4030">
        <v>27.82</v>
      </c>
      <c r="F4030">
        <v>28</v>
      </c>
      <c r="G4030">
        <v>28.024999999999999</v>
      </c>
      <c r="H4030">
        <v>0.15</v>
      </c>
      <c r="I4030">
        <v>768</v>
      </c>
      <c r="J4030">
        <v>0</v>
      </c>
      <c r="K4030">
        <v>3077</v>
      </c>
      <c r="L4030">
        <v>132</v>
      </c>
      <c r="M4030">
        <v>194</v>
      </c>
      <c r="N4030" t="s">
        <v>44</v>
      </c>
      <c r="O4030" s="3">
        <v>44244</v>
      </c>
      <c r="P4030">
        <v>-1</v>
      </c>
      <c r="T4030" t="s">
        <v>35</v>
      </c>
      <c r="U4030">
        <v>60</v>
      </c>
      <c r="V4030">
        <v>22.747499999999999</v>
      </c>
    </row>
    <row r="4031" spans="1:22" x14ac:dyDescent="0.35">
      <c r="A4031" s="3">
        <v>44049</v>
      </c>
      <c r="B4031" t="s">
        <v>43</v>
      </c>
      <c r="C4031">
        <v>28.05</v>
      </c>
      <c r="D4031">
        <v>28.05</v>
      </c>
      <c r="E4031">
        <v>27.67</v>
      </c>
      <c r="F4031">
        <v>27.69</v>
      </c>
      <c r="G4031">
        <v>27.65</v>
      </c>
      <c r="H4031">
        <v>-0.125</v>
      </c>
      <c r="I4031">
        <v>47</v>
      </c>
      <c r="J4031">
        <v>0</v>
      </c>
      <c r="K4031">
        <v>454</v>
      </c>
      <c r="L4031">
        <v>153</v>
      </c>
      <c r="M4031">
        <v>223</v>
      </c>
      <c r="N4031" t="s">
        <v>43</v>
      </c>
      <c r="O4031" s="3">
        <v>44272</v>
      </c>
      <c r="P4031">
        <v>-1</v>
      </c>
      <c r="T4031" t="s">
        <v>34</v>
      </c>
      <c r="U4031">
        <v>84</v>
      </c>
      <c r="V4031">
        <v>22.931799999999999</v>
      </c>
    </row>
    <row r="4032" spans="1:22" x14ac:dyDescent="0.35">
      <c r="A4032" s="3">
        <v>44049</v>
      </c>
      <c r="B4032" t="s">
        <v>46</v>
      </c>
      <c r="C4032">
        <v>28</v>
      </c>
      <c r="D4032">
        <v>28.35</v>
      </c>
      <c r="E4032">
        <v>27.75</v>
      </c>
      <c r="F4032">
        <v>27.93</v>
      </c>
      <c r="G4032">
        <v>27.875</v>
      </c>
      <c r="H4032">
        <v>-0.1</v>
      </c>
      <c r="I4032">
        <v>2047</v>
      </c>
      <c r="J4032">
        <v>0</v>
      </c>
      <c r="K4032">
        <v>14554</v>
      </c>
      <c r="L4032">
        <v>92</v>
      </c>
      <c r="M4032">
        <v>132</v>
      </c>
      <c r="N4032" t="s">
        <v>46</v>
      </c>
      <c r="O4032" s="3">
        <v>44181</v>
      </c>
      <c r="P4032">
        <v>-1</v>
      </c>
      <c r="S4032" s="3">
        <v>44433</v>
      </c>
      <c r="T4032" t="s">
        <v>33</v>
      </c>
      <c r="U4032">
        <v>101</v>
      </c>
      <c r="V4032">
        <v>23.6</v>
      </c>
    </row>
    <row r="4033" spans="1:22" x14ac:dyDescent="0.35">
      <c r="A4033" s="3">
        <v>44049</v>
      </c>
      <c r="B4033" t="s">
        <v>45</v>
      </c>
      <c r="C4033">
        <v>28.43</v>
      </c>
      <c r="D4033">
        <v>28.72</v>
      </c>
      <c r="E4033">
        <v>28.18</v>
      </c>
      <c r="F4033">
        <v>28.34</v>
      </c>
      <c r="G4033">
        <v>28.274999999999999</v>
      </c>
      <c r="H4033">
        <v>-0.1</v>
      </c>
      <c r="I4033">
        <v>929</v>
      </c>
      <c r="J4033">
        <v>0</v>
      </c>
      <c r="K4033">
        <v>7686</v>
      </c>
      <c r="L4033">
        <v>114</v>
      </c>
      <c r="M4033">
        <v>167</v>
      </c>
      <c r="N4033" t="s">
        <v>45</v>
      </c>
      <c r="O4033" s="3">
        <v>44216</v>
      </c>
      <c r="P4033">
        <v>-1</v>
      </c>
      <c r="T4033" t="s">
        <v>32</v>
      </c>
      <c r="U4033">
        <v>121</v>
      </c>
      <c r="V4033">
        <v>24.0456</v>
      </c>
    </row>
    <row r="4034" spans="1:22" x14ac:dyDescent="0.35">
      <c r="A4034" s="3">
        <v>44049</v>
      </c>
      <c r="B4034" t="s">
        <v>44</v>
      </c>
      <c r="C4034">
        <v>28</v>
      </c>
      <c r="D4034">
        <v>28.3</v>
      </c>
      <c r="E4034">
        <v>27.84</v>
      </c>
      <c r="F4034">
        <v>27.96</v>
      </c>
      <c r="G4034">
        <v>27.875</v>
      </c>
      <c r="H4034">
        <v>-0.1</v>
      </c>
      <c r="I4034">
        <v>639</v>
      </c>
      <c r="J4034">
        <v>0</v>
      </c>
      <c r="K4034">
        <v>2914</v>
      </c>
      <c r="L4034">
        <v>133</v>
      </c>
      <c r="M4034">
        <v>195</v>
      </c>
      <c r="N4034" t="s">
        <v>44</v>
      </c>
      <c r="O4034" s="3">
        <v>44244</v>
      </c>
      <c r="P4034">
        <v>-1</v>
      </c>
      <c r="T4034" t="s">
        <v>31</v>
      </c>
      <c r="U4034">
        <v>139</v>
      </c>
      <c r="V4034">
        <v>24.55</v>
      </c>
    </row>
    <row r="4035" spans="1:22" x14ac:dyDescent="0.35">
      <c r="A4035" s="3">
        <v>44049</v>
      </c>
      <c r="B4035" t="s">
        <v>49</v>
      </c>
      <c r="C4035">
        <v>28.07</v>
      </c>
      <c r="D4035">
        <v>28.6</v>
      </c>
      <c r="E4035">
        <v>27.75</v>
      </c>
      <c r="F4035">
        <v>27.75</v>
      </c>
      <c r="G4035">
        <v>27.875</v>
      </c>
      <c r="H4035">
        <v>-0.25</v>
      </c>
      <c r="I4035">
        <v>37329</v>
      </c>
      <c r="J4035">
        <v>0</v>
      </c>
      <c r="K4035">
        <v>102966</v>
      </c>
      <c r="L4035">
        <v>28</v>
      </c>
      <c r="M4035">
        <v>41</v>
      </c>
      <c r="N4035" t="s">
        <v>49</v>
      </c>
      <c r="O4035" s="3">
        <v>44090</v>
      </c>
      <c r="P4035">
        <v>-1</v>
      </c>
      <c r="T4035" t="s">
        <v>30</v>
      </c>
      <c r="U4035">
        <v>165</v>
      </c>
      <c r="V4035">
        <v>24.55</v>
      </c>
    </row>
    <row r="4036" spans="1:22" x14ac:dyDescent="0.35">
      <c r="A4036" s="3">
        <v>44049</v>
      </c>
      <c r="B4036" t="s">
        <v>42</v>
      </c>
      <c r="C4036">
        <v>27.49</v>
      </c>
      <c r="D4036">
        <v>27.49</v>
      </c>
      <c r="E4036">
        <v>27.49</v>
      </c>
      <c r="F4036">
        <v>27.49</v>
      </c>
      <c r="G4036">
        <v>27.5</v>
      </c>
      <c r="H4036">
        <v>-2.3250000000000002</v>
      </c>
      <c r="I4036">
        <v>2</v>
      </c>
      <c r="J4036">
        <v>0</v>
      </c>
      <c r="K4036">
        <v>2</v>
      </c>
      <c r="L4036">
        <v>178</v>
      </c>
      <c r="M4036">
        <v>258</v>
      </c>
      <c r="N4036" t="s">
        <v>42</v>
      </c>
      <c r="O4036" s="3">
        <v>44307</v>
      </c>
      <c r="P4036">
        <v>-1</v>
      </c>
      <c r="T4036" t="s">
        <v>29</v>
      </c>
      <c r="U4036">
        <v>185</v>
      </c>
      <c r="V4036">
        <v>24.375</v>
      </c>
    </row>
    <row r="4037" spans="1:22" x14ac:dyDescent="0.35">
      <c r="A4037" s="3">
        <v>44049</v>
      </c>
      <c r="B4037" t="s">
        <v>48</v>
      </c>
      <c r="C4037">
        <v>30.77</v>
      </c>
      <c r="D4037">
        <v>31.17</v>
      </c>
      <c r="E4037">
        <v>30.3</v>
      </c>
      <c r="F4037">
        <v>30.43</v>
      </c>
      <c r="G4037">
        <v>30.425000000000001</v>
      </c>
      <c r="H4037">
        <v>-0.35</v>
      </c>
      <c r="I4037">
        <v>8223</v>
      </c>
      <c r="J4037">
        <v>0</v>
      </c>
      <c r="K4037">
        <v>32972</v>
      </c>
      <c r="L4037">
        <v>53</v>
      </c>
      <c r="M4037">
        <v>76</v>
      </c>
      <c r="N4037" t="s">
        <v>48</v>
      </c>
      <c r="O4037" s="3">
        <v>44125</v>
      </c>
      <c r="P4037">
        <v>-1</v>
      </c>
      <c r="T4037" t="s">
        <v>37</v>
      </c>
      <c r="U4037">
        <v>14</v>
      </c>
      <c r="V4037">
        <v>19.232800000000001</v>
      </c>
    </row>
    <row r="4038" spans="1:22" x14ac:dyDescent="0.35">
      <c r="A4038" s="3">
        <v>44049</v>
      </c>
      <c r="B4038" t="s">
        <v>50</v>
      </c>
      <c r="C4038">
        <v>25.25</v>
      </c>
      <c r="D4038">
        <v>25.85</v>
      </c>
      <c r="E4038">
        <v>24.8</v>
      </c>
      <c r="F4038">
        <v>24.85</v>
      </c>
      <c r="G4038">
        <v>24.875</v>
      </c>
      <c r="H4038">
        <v>-0.45</v>
      </c>
      <c r="I4038">
        <v>46297</v>
      </c>
      <c r="J4038">
        <v>0</v>
      </c>
      <c r="K4038">
        <v>97856</v>
      </c>
      <c r="L4038">
        <v>9</v>
      </c>
      <c r="M4038">
        <v>13</v>
      </c>
      <c r="N4038" t="s">
        <v>50</v>
      </c>
      <c r="O4038" s="3">
        <v>44062</v>
      </c>
      <c r="P4038">
        <v>-1</v>
      </c>
      <c r="T4038" t="s">
        <v>36</v>
      </c>
      <c r="U4038">
        <v>39</v>
      </c>
      <c r="V4038">
        <v>21.289899999999999</v>
      </c>
    </row>
    <row r="4039" spans="1:22" x14ac:dyDescent="0.35">
      <c r="A4039" s="3">
        <v>44049</v>
      </c>
      <c r="B4039" t="s">
        <v>47</v>
      </c>
      <c r="C4039">
        <v>29.01</v>
      </c>
      <c r="D4039">
        <v>29.41</v>
      </c>
      <c r="E4039">
        <v>28.74</v>
      </c>
      <c r="F4039">
        <v>28.9</v>
      </c>
      <c r="G4039">
        <v>28.85</v>
      </c>
      <c r="H4039">
        <v>-0.17499999999999999</v>
      </c>
      <c r="I4039">
        <v>3549</v>
      </c>
      <c r="J4039">
        <v>0</v>
      </c>
      <c r="K4039">
        <v>25972</v>
      </c>
      <c r="L4039">
        <v>73</v>
      </c>
      <c r="M4039">
        <v>104</v>
      </c>
      <c r="N4039" t="s">
        <v>47</v>
      </c>
      <c r="O4039" s="3">
        <v>44153</v>
      </c>
      <c r="P4039">
        <v>-1</v>
      </c>
      <c r="T4039" t="s">
        <v>35</v>
      </c>
      <c r="U4039">
        <v>59</v>
      </c>
      <c r="V4039">
        <v>22.1983</v>
      </c>
    </row>
    <row r="4040" spans="1:22" x14ac:dyDescent="0.35">
      <c r="A4040" s="3">
        <v>44048</v>
      </c>
      <c r="B4040" t="s">
        <v>49</v>
      </c>
      <c r="C4040">
        <v>28.4</v>
      </c>
      <c r="D4040">
        <v>28.6</v>
      </c>
      <c r="E4040">
        <v>27.96</v>
      </c>
      <c r="F4040">
        <v>28.08</v>
      </c>
      <c r="G4040">
        <v>28.125</v>
      </c>
      <c r="H4040">
        <v>-0.3</v>
      </c>
      <c r="I4040">
        <v>47738</v>
      </c>
      <c r="J4040">
        <v>252</v>
      </c>
      <c r="K4040">
        <v>96780</v>
      </c>
      <c r="L4040">
        <v>29</v>
      </c>
      <c r="M4040">
        <v>42</v>
      </c>
      <c r="N4040" t="s">
        <v>49</v>
      </c>
      <c r="O4040" s="3">
        <v>44090</v>
      </c>
      <c r="P4040">
        <v>-1</v>
      </c>
      <c r="T4040" t="s">
        <v>34</v>
      </c>
      <c r="U4040">
        <v>83</v>
      </c>
      <c r="V4040">
        <v>22.500499999999999</v>
      </c>
    </row>
    <row r="4041" spans="1:22" x14ac:dyDescent="0.35">
      <c r="A4041" s="3">
        <v>44048</v>
      </c>
      <c r="B4041" t="s">
        <v>48</v>
      </c>
      <c r="C4041">
        <v>31</v>
      </c>
      <c r="D4041">
        <v>31.13</v>
      </c>
      <c r="E4041">
        <v>30.62</v>
      </c>
      <c r="F4041">
        <v>30.71</v>
      </c>
      <c r="G4041">
        <v>30.774999999999999</v>
      </c>
      <c r="H4041">
        <v>-0.2</v>
      </c>
      <c r="I4041">
        <v>6766</v>
      </c>
      <c r="J4041">
        <v>0</v>
      </c>
      <c r="K4041">
        <v>31657</v>
      </c>
      <c r="L4041">
        <v>54</v>
      </c>
      <c r="M4041">
        <v>77</v>
      </c>
      <c r="N4041" t="s">
        <v>48</v>
      </c>
      <c r="O4041" s="3">
        <v>44125</v>
      </c>
      <c r="P4041">
        <v>-1</v>
      </c>
      <c r="S4041" s="3">
        <v>44434</v>
      </c>
      <c r="T4041" t="s">
        <v>33</v>
      </c>
      <c r="U4041">
        <v>100</v>
      </c>
      <c r="V4041">
        <v>23.9</v>
      </c>
    </row>
    <row r="4042" spans="1:22" x14ac:dyDescent="0.35">
      <c r="A4042" s="3">
        <v>44048</v>
      </c>
      <c r="B4042" t="s">
        <v>50</v>
      </c>
      <c r="C4042">
        <v>25.85</v>
      </c>
      <c r="D4042">
        <v>26.1</v>
      </c>
      <c r="E4042">
        <v>25.25</v>
      </c>
      <c r="F4042">
        <v>25.25</v>
      </c>
      <c r="G4042">
        <v>25.324999999999999</v>
      </c>
      <c r="H4042">
        <v>-0.55000000000000004</v>
      </c>
      <c r="I4042">
        <v>51442</v>
      </c>
      <c r="J4042">
        <v>252</v>
      </c>
      <c r="K4042">
        <v>103164</v>
      </c>
      <c r="L4042">
        <v>10</v>
      </c>
      <c r="M4042">
        <v>14</v>
      </c>
      <c r="N4042" t="s">
        <v>50</v>
      </c>
      <c r="O4042" s="3">
        <v>44062</v>
      </c>
      <c r="P4042">
        <v>-1</v>
      </c>
      <c r="T4042" t="s">
        <v>32</v>
      </c>
      <c r="U4042">
        <v>120</v>
      </c>
      <c r="V4042">
        <v>24.344999999999999</v>
      </c>
    </row>
    <row r="4043" spans="1:22" x14ac:dyDescent="0.35">
      <c r="A4043" s="3">
        <v>44048</v>
      </c>
      <c r="B4043" t="s">
        <v>47</v>
      </c>
      <c r="C4043">
        <v>29.25</v>
      </c>
      <c r="D4043">
        <v>29.27</v>
      </c>
      <c r="E4043">
        <v>28.85</v>
      </c>
      <c r="F4043">
        <v>29</v>
      </c>
      <c r="G4043">
        <v>29.024999999999999</v>
      </c>
      <c r="H4043">
        <v>-0.1</v>
      </c>
      <c r="I4043">
        <v>3714</v>
      </c>
      <c r="J4043">
        <v>0</v>
      </c>
      <c r="K4043">
        <v>25864</v>
      </c>
      <c r="L4043">
        <v>74</v>
      </c>
      <c r="M4043">
        <v>105</v>
      </c>
      <c r="N4043" t="s">
        <v>47</v>
      </c>
      <c r="O4043" s="3">
        <v>44153</v>
      </c>
      <c r="P4043">
        <v>-1</v>
      </c>
      <c r="T4043" t="s">
        <v>31</v>
      </c>
      <c r="U4043">
        <v>138</v>
      </c>
      <c r="V4043">
        <v>24.8</v>
      </c>
    </row>
    <row r="4044" spans="1:22" x14ac:dyDescent="0.35">
      <c r="A4044" s="3">
        <v>44048</v>
      </c>
      <c r="B4044" t="s">
        <v>43</v>
      </c>
      <c r="C4044">
        <v>27.77</v>
      </c>
      <c r="D4044">
        <v>27.85</v>
      </c>
      <c r="E4044">
        <v>27.65</v>
      </c>
      <c r="F4044">
        <v>27.82</v>
      </c>
      <c r="G4044">
        <v>27.774999999999999</v>
      </c>
      <c r="H4044">
        <v>-0.17499999999999999</v>
      </c>
      <c r="I4044">
        <v>144</v>
      </c>
      <c r="J4044">
        <v>0</v>
      </c>
      <c r="K4044">
        <v>425</v>
      </c>
      <c r="L4044">
        <v>154</v>
      </c>
      <c r="M4044">
        <v>224</v>
      </c>
      <c r="N4044" t="s">
        <v>43</v>
      </c>
      <c r="O4044" s="3">
        <v>44272</v>
      </c>
      <c r="P4044">
        <v>-1</v>
      </c>
      <c r="T4044" t="s">
        <v>30</v>
      </c>
      <c r="U4044">
        <v>164</v>
      </c>
      <c r="V4044">
        <v>24.824999999999999</v>
      </c>
    </row>
    <row r="4045" spans="1:22" x14ac:dyDescent="0.35">
      <c r="A4045" s="3">
        <v>44048</v>
      </c>
      <c r="B4045" t="s">
        <v>46</v>
      </c>
      <c r="C4045">
        <v>28.1</v>
      </c>
      <c r="D4045">
        <v>28.15</v>
      </c>
      <c r="E4045">
        <v>27.7</v>
      </c>
      <c r="F4045">
        <v>27.96</v>
      </c>
      <c r="G4045">
        <v>27.975000000000001</v>
      </c>
      <c r="H4045">
        <v>-0.05</v>
      </c>
      <c r="I4045">
        <v>2564</v>
      </c>
      <c r="J4045">
        <v>0</v>
      </c>
      <c r="K4045">
        <v>14340</v>
      </c>
      <c r="L4045">
        <v>93</v>
      </c>
      <c r="M4045">
        <v>133</v>
      </c>
      <c r="N4045" t="s">
        <v>46</v>
      </c>
      <c r="O4045" s="3">
        <v>44181</v>
      </c>
      <c r="P4045">
        <v>-1</v>
      </c>
      <c r="T4045" t="s">
        <v>29</v>
      </c>
      <c r="U4045">
        <v>184</v>
      </c>
      <c r="V4045">
        <v>24.675000000000001</v>
      </c>
    </row>
    <row r="4046" spans="1:22" x14ac:dyDescent="0.35">
      <c r="A4046" s="3">
        <v>44048</v>
      </c>
      <c r="B4046" t="s">
        <v>45</v>
      </c>
      <c r="C4046">
        <v>28.55</v>
      </c>
      <c r="D4046">
        <v>28.55</v>
      </c>
      <c r="E4046">
        <v>28.2</v>
      </c>
      <c r="F4046">
        <v>28.38</v>
      </c>
      <c r="G4046">
        <v>28.375</v>
      </c>
      <c r="H4046">
        <v>-0.1</v>
      </c>
      <c r="I4046">
        <v>1192</v>
      </c>
      <c r="J4046">
        <v>0</v>
      </c>
      <c r="K4046">
        <v>7550</v>
      </c>
      <c r="L4046">
        <v>115</v>
      </c>
      <c r="M4046">
        <v>168</v>
      </c>
      <c r="N4046" t="s">
        <v>45</v>
      </c>
      <c r="O4046" s="3">
        <v>44216</v>
      </c>
      <c r="P4046">
        <v>-1</v>
      </c>
      <c r="T4046" t="s">
        <v>37</v>
      </c>
      <c r="U4046">
        <v>13</v>
      </c>
      <c r="V4046">
        <v>20.122900000000001</v>
      </c>
    </row>
    <row r="4047" spans="1:22" x14ac:dyDescent="0.35">
      <c r="A4047" s="3">
        <v>44048</v>
      </c>
      <c r="B4047" t="s">
        <v>44</v>
      </c>
      <c r="C4047">
        <v>28</v>
      </c>
      <c r="D4047">
        <v>28.1</v>
      </c>
      <c r="E4047">
        <v>27.85</v>
      </c>
      <c r="F4047">
        <v>27.94</v>
      </c>
      <c r="G4047">
        <v>27.975000000000001</v>
      </c>
      <c r="H4047">
        <v>-0.1</v>
      </c>
      <c r="I4047">
        <v>746</v>
      </c>
      <c r="J4047">
        <v>0</v>
      </c>
      <c r="K4047">
        <v>2866</v>
      </c>
      <c r="L4047">
        <v>134</v>
      </c>
      <c r="M4047">
        <v>196</v>
      </c>
      <c r="N4047" t="s">
        <v>44</v>
      </c>
      <c r="O4047" s="3">
        <v>44244</v>
      </c>
      <c r="P4047">
        <v>-1</v>
      </c>
      <c r="T4047" t="s">
        <v>36</v>
      </c>
      <c r="U4047">
        <v>38</v>
      </c>
      <c r="V4047">
        <v>21.950099999999999</v>
      </c>
    </row>
    <row r="4048" spans="1:22" x14ac:dyDescent="0.35">
      <c r="A4048" s="3">
        <v>44047</v>
      </c>
      <c r="B4048" t="s">
        <v>43</v>
      </c>
      <c r="C4048">
        <v>28.31</v>
      </c>
      <c r="D4048">
        <v>28.31</v>
      </c>
      <c r="E4048">
        <v>27.92</v>
      </c>
      <c r="F4048">
        <v>27.93</v>
      </c>
      <c r="G4048">
        <v>27.95</v>
      </c>
      <c r="H4048">
        <v>-0.4</v>
      </c>
      <c r="I4048">
        <v>61</v>
      </c>
      <c r="J4048">
        <v>0</v>
      </c>
      <c r="K4048">
        <v>343</v>
      </c>
      <c r="L4048">
        <v>155</v>
      </c>
      <c r="M4048">
        <v>225</v>
      </c>
      <c r="N4048" t="s">
        <v>43</v>
      </c>
      <c r="O4048" s="3">
        <v>44272</v>
      </c>
      <c r="P4048">
        <v>-1</v>
      </c>
      <c r="T4048" t="s">
        <v>35</v>
      </c>
      <c r="U4048">
        <v>58</v>
      </c>
      <c r="V4048">
        <v>22.605799999999999</v>
      </c>
    </row>
    <row r="4049" spans="1:22" x14ac:dyDescent="0.35">
      <c r="A4049" s="3">
        <v>44047</v>
      </c>
      <c r="B4049" t="s">
        <v>46</v>
      </c>
      <c r="C4049">
        <v>28.5</v>
      </c>
      <c r="D4049">
        <v>28.6</v>
      </c>
      <c r="E4049">
        <v>28</v>
      </c>
      <c r="F4049">
        <v>28.05</v>
      </c>
      <c r="G4049">
        <v>28.024999999999999</v>
      </c>
      <c r="H4049">
        <v>-0.52500000000000002</v>
      </c>
      <c r="I4049">
        <v>2879</v>
      </c>
      <c r="J4049">
        <v>0</v>
      </c>
      <c r="K4049">
        <v>13795</v>
      </c>
      <c r="L4049">
        <v>94</v>
      </c>
      <c r="M4049">
        <v>134</v>
      </c>
      <c r="N4049" t="s">
        <v>46</v>
      </c>
      <c r="O4049" s="3">
        <v>44181</v>
      </c>
      <c r="P4049">
        <v>-1</v>
      </c>
      <c r="T4049" t="s">
        <v>34</v>
      </c>
      <c r="U4049">
        <v>82</v>
      </c>
      <c r="V4049">
        <v>22.859200000000001</v>
      </c>
    </row>
    <row r="4050" spans="1:22" x14ac:dyDescent="0.35">
      <c r="A4050" s="3">
        <v>44047</v>
      </c>
      <c r="B4050" t="s">
        <v>45</v>
      </c>
      <c r="C4050">
        <v>28.95</v>
      </c>
      <c r="D4050">
        <v>29.1</v>
      </c>
      <c r="E4050">
        <v>28.45</v>
      </c>
      <c r="F4050">
        <v>28.5</v>
      </c>
      <c r="G4050">
        <v>28.475000000000001</v>
      </c>
      <c r="H4050">
        <v>-0.5</v>
      </c>
      <c r="I4050">
        <v>1504</v>
      </c>
      <c r="J4050">
        <v>0</v>
      </c>
      <c r="K4050">
        <v>7371</v>
      </c>
      <c r="L4050">
        <v>116</v>
      </c>
      <c r="M4050">
        <v>169</v>
      </c>
      <c r="N4050" t="s">
        <v>45</v>
      </c>
      <c r="O4050" s="3">
        <v>44216</v>
      </c>
      <c r="P4050">
        <v>-1</v>
      </c>
      <c r="S4050" s="3">
        <v>44435</v>
      </c>
      <c r="T4050" t="s">
        <v>33</v>
      </c>
      <c r="U4050">
        <v>99</v>
      </c>
      <c r="V4050">
        <v>23.322500000000002</v>
      </c>
    </row>
    <row r="4051" spans="1:22" x14ac:dyDescent="0.35">
      <c r="A4051" s="3">
        <v>44047</v>
      </c>
      <c r="B4051" t="s">
        <v>44</v>
      </c>
      <c r="C4051">
        <v>28.32</v>
      </c>
      <c r="D4051">
        <v>28.5</v>
      </c>
      <c r="E4051">
        <v>28.04</v>
      </c>
      <c r="F4051">
        <v>28.05</v>
      </c>
      <c r="G4051">
        <v>28.074999999999999</v>
      </c>
      <c r="H4051">
        <v>-0.4</v>
      </c>
      <c r="I4051">
        <v>604</v>
      </c>
      <c r="J4051">
        <v>0</v>
      </c>
      <c r="K4051">
        <v>2734</v>
      </c>
      <c r="L4051">
        <v>135</v>
      </c>
      <c r="M4051">
        <v>197</v>
      </c>
      <c r="N4051" t="s">
        <v>44</v>
      </c>
      <c r="O4051" s="3">
        <v>44244</v>
      </c>
      <c r="P4051">
        <v>-1</v>
      </c>
      <c r="T4051" t="s">
        <v>32</v>
      </c>
      <c r="U4051">
        <v>119</v>
      </c>
      <c r="V4051">
        <v>23.796500000000002</v>
      </c>
    </row>
    <row r="4052" spans="1:22" x14ac:dyDescent="0.35">
      <c r="A4052" s="3">
        <v>44047</v>
      </c>
      <c r="B4052" t="s">
        <v>49</v>
      </c>
      <c r="C4052">
        <v>29.34</v>
      </c>
      <c r="D4052">
        <v>29.5</v>
      </c>
      <c r="E4052">
        <v>28.4</v>
      </c>
      <c r="F4052">
        <v>28.45</v>
      </c>
      <c r="G4052">
        <v>28.425000000000001</v>
      </c>
      <c r="H4052">
        <v>-0.95</v>
      </c>
      <c r="I4052">
        <v>43028</v>
      </c>
      <c r="J4052">
        <v>0</v>
      </c>
      <c r="K4052">
        <v>89431</v>
      </c>
      <c r="L4052">
        <v>30</v>
      </c>
      <c r="M4052">
        <v>43</v>
      </c>
      <c r="N4052" t="s">
        <v>49</v>
      </c>
      <c r="O4052" s="3">
        <v>44090</v>
      </c>
      <c r="P4052">
        <v>-1</v>
      </c>
      <c r="T4052" t="s">
        <v>31</v>
      </c>
      <c r="U4052">
        <v>137</v>
      </c>
      <c r="V4052">
        <v>24.26</v>
      </c>
    </row>
    <row r="4053" spans="1:22" x14ac:dyDescent="0.35">
      <c r="A4053" s="3">
        <v>44047</v>
      </c>
      <c r="B4053" t="s">
        <v>48</v>
      </c>
      <c r="C4053">
        <v>31.8</v>
      </c>
      <c r="D4053">
        <v>31.95</v>
      </c>
      <c r="E4053">
        <v>30.97</v>
      </c>
      <c r="F4053">
        <v>31.04</v>
      </c>
      <c r="G4053">
        <v>30.975000000000001</v>
      </c>
      <c r="H4053">
        <v>-0.875</v>
      </c>
      <c r="I4053">
        <v>7519</v>
      </c>
      <c r="J4053">
        <v>0</v>
      </c>
      <c r="K4053">
        <v>31217</v>
      </c>
      <c r="L4053">
        <v>55</v>
      </c>
      <c r="M4053">
        <v>78</v>
      </c>
      <c r="N4053" t="s">
        <v>48</v>
      </c>
      <c r="O4053" s="3">
        <v>44125</v>
      </c>
      <c r="P4053">
        <v>-1</v>
      </c>
      <c r="T4053" t="s">
        <v>30</v>
      </c>
      <c r="U4053">
        <v>163</v>
      </c>
      <c r="V4053">
        <v>24.274999999999999</v>
      </c>
    </row>
    <row r="4054" spans="1:22" x14ac:dyDescent="0.35">
      <c r="A4054" s="3">
        <v>44047</v>
      </c>
      <c r="B4054" t="s">
        <v>50</v>
      </c>
      <c r="C4054">
        <v>26.85</v>
      </c>
      <c r="D4054">
        <v>26.9</v>
      </c>
      <c r="E4054">
        <v>25.8</v>
      </c>
      <c r="F4054">
        <v>25.85</v>
      </c>
      <c r="G4054">
        <v>25.875</v>
      </c>
      <c r="H4054">
        <v>-0.9</v>
      </c>
      <c r="I4054">
        <v>52672</v>
      </c>
      <c r="J4054">
        <v>0</v>
      </c>
      <c r="K4054">
        <v>106965</v>
      </c>
      <c r="L4054">
        <v>11</v>
      </c>
      <c r="M4054">
        <v>15</v>
      </c>
      <c r="N4054" t="s">
        <v>50</v>
      </c>
      <c r="O4054" s="3">
        <v>44062</v>
      </c>
      <c r="P4054">
        <v>-1</v>
      </c>
      <c r="T4054" t="s">
        <v>29</v>
      </c>
      <c r="U4054">
        <v>183</v>
      </c>
      <c r="V4054">
        <v>24.1</v>
      </c>
    </row>
    <row r="4055" spans="1:22" x14ac:dyDescent="0.35">
      <c r="A4055" s="3">
        <v>44047</v>
      </c>
      <c r="B4055" t="s">
        <v>47</v>
      </c>
      <c r="C4055">
        <v>29.9</v>
      </c>
      <c r="D4055">
        <v>29.95</v>
      </c>
      <c r="E4055">
        <v>29.11</v>
      </c>
      <c r="F4055">
        <v>29.23</v>
      </c>
      <c r="G4055">
        <v>29.125</v>
      </c>
      <c r="H4055">
        <v>-0.75</v>
      </c>
      <c r="I4055">
        <v>5142</v>
      </c>
      <c r="J4055">
        <v>0</v>
      </c>
      <c r="K4055">
        <v>25432</v>
      </c>
      <c r="L4055">
        <v>75</v>
      </c>
      <c r="M4055">
        <v>106</v>
      </c>
      <c r="N4055" t="s">
        <v>47</v>
      </c>
      <c r="O4055" s="3">
        <v>44153</v>
      </c>
      <c r="P4055">
        <v>-1</v>
      </c>
      <c r="T4055" t="s">
        <v>36</v>
      </c>
      <c r="U4055">
        <v>37</v>
      </c>
      <c r="V4055">
        <v>21.1309</v>
      </c>
    </row>
    <row r="4056" spans="1:22" x14ac:dyDescent="0.35">
      <c r="A4056" s="3">
        <v>44046</v>
      </c>
      <c r="B4056" t="s">
        <v>49</v>
      </c>
      <c r="C4056">
        <v>29.65</v>
      </c>
      <c r="D4056">
        <v>29.97</v>
      </c>
      <c r="E4056">
        <v>29.1</v>
      </c>
      <c r="F4056">
        <v>29.34</v>
      </c>
      <c r="G4056">
        <v>29.375</v>
      </c>
      <c r="H4056">
        <v>-0.25</v>
      </c>
      <c r="I4056">
        <v>46047</v>
      </c>
      <c r="J4056">
        <v>360</v>
      </c>
      <c r="K4056">
        <v>82278</v>
      </c>
      <c r="L4056">
        <v>31</v>
      </c>
      <c r="M4056">
        <v>44</v>
      </c>
      <c r="N4056" t="s">
        <v>49</v>
      </c>
      <c r="O4056" s="3">
        <v>44090</v>
      </c>
      <c r="P4056">
        <v>-1</v>
      </c>
      <c r="T4056" t="s">
        <v>35</v>
      </c>
      <c r="U4056">
        <v>57</v>
      </c>
      <c r="V4056">
        <v>21.9481</v>
      </c>
    </row>
    <row r="4057" spans="1:22" x14ac:dyDescent="0.35">
      <c r="A4057" s="3">
        <v>44046</v>
      </c>
      <c r="B4057" t="s">
        <v>48</v>
      </c>
      <c r="C4057">
        <v>32.15</v>
      </c>
      <c r="D4057">
        <v>32.42</v>
      </c>
      <c r="E4057">
        <v>31.67</v>
      </c>
      <c r="F4057">
        <v>31.9</v>
      </c>
      <c r="G4057">
        <v>31.85</v>
      </c>
      <c r="H4057">
        <v>-0.27500000000000002</v>
      </c>
      <c r="I4057">
        <v>9226</v>
      </c>
      <c r="J4057">
        <v>0</v>
      </c>
      <c r="K4057">
        <v>30489</v>
      </c>
      <c r="L4057">
        <v>56</v>
      </c>
      <c r="M4057">
        <v>79</v>
      </c>
      <c r="N4057" t="s">
        <v>48</v>
      </c>
      <c r="O4057" s="3">
        <v>44125</v>
      </c>
      <c r="P4057">
        <v>-1</v>
      </c>
      <c r="T4057" t="s">
        <v>34</v>
      </c>
      <c r="U4057">
        <v>81</v>
      </c>
      <c r="V4057">
        <v>22.2424</v>
      </c>
    </row>
    <row r="4058" spans="1:22" x14ac:dyDescent="0.35">
      <c r="A4058" s="3">
        <v>44046</v>
      </c>
      <c r="B4058" t="s">
        <v>50</v>
      </c>
      <c r="C4058">
        <v>26.95</v>
      </c>
      <c r="D4058">
        <v>27.3</v>
      </c>
      <c r="E4058">
        <v>26.44</v>
      </c>
      <c r="F4058">
        <v>26.8</v>
      </c>
      <c r="G4058">
        <v>26.774999999999999</v>
      </c>
      <c r="H4058">
        <v>-0.05</v>
      </c>
      <c r="I4058">
        <v>57171</v>
      </c>
      <c r="J4058">
        <v>540</v>
      </c>
      <c r="K4058">
        <v>113520</v>
      </c>
      <c r="L4058">
        <v>12</v>
      </c>
      <c r="M4058">
        <v>16</v>
      </c>
      <c r="N4058" t="s">
        <v>50</v>
      </c>
      <c r="O4058" s="3">
        <v>44062</v>
      </c>
      <c r="P4058">
        <v>-1</v>
      </c>
      <c r="S4058" s="3">
        <v>44438</v>
      </c>
      <c r="T4058" t="s">
        <v>33</v>
      </c>
      <c r="U4058">
        <v>98</v>
      </c>
      <c r="V4058">
        <v>23.437899999999999</v>
      </c>
    </row>
    <row r="4059" spans="1:22" x14ac:dyDescent="0.35">
      <c r="A4059" s="3">
        <v>44046</v>
      </c>
      <c r="B4059" t="s">
        <v>47</v>
      </c>
      <c r="C4059">
        <v>30</v>
      </c>
      <c r="D4059">
        <v>30.24</v>
      </c>
      <c r="E4059">
        <v>29.75</v>
      </c>
      <c r="F4059">
        <v>29.85</v>
      </c>
      <c r="G4059">
        <v>29.875</v>
      </c>
      <c r="H4059">
        <v>-0.15</v>
      </c>
      <c r="I4059">
        <v>5654</v>
      </c>
      <c r="J4059">
        <v>0</v>
      </c>
      <c r="K4059">
        <v>24740</v>
      </c>
      <c r="L4059">
        <v>76</v>
      </c>
      <c r="M4059">
        <v>107</v>
      </c>
      <c r="N4059" t="s">
        <v>47</v>
      </c>
      <c r="O4059" s="3">
        <v>44153</v>
      </c>
      <c r="P4059">
        <v>-1</v>
      </c>
      <c r="T4059" t="s">
        <v>32</v>
      </c>
      <c r="U4059">
        <v>118</v>
      </c>
      <c r="V4059">
        <v>23.815300000000001</v>
      </c>
    </row>
    <row r="4060" spans="1:22" x14ac:dyDescent="0.35">
      <c r="A4060" s="3">
        <v>44046</v>
      </c>
      <c r="B4060" t="s">
        <v>43</v>
      </c>
      <c r="C4060">
        <v>28.45</v>
      </c>
      <c r="D4060">
        <v>28.45</v>
      </c>
      <c r="E4060">
        <v>28.15</v>
      </c>
      <c r="F4060">
        <v>28.31</v>
      </c>
      <c r="G4060">
        <v>28.35</v>
      </c>
      <c r="H4060">
        <v>-0.05</v>
      </c>
      <c r="I4060">
        <v>25</v>
      </c>
      <c r="J4060">
        <v>0</v>
      </c>
      <c r="K4060">
        <v>314</v>
      </c>
      <c r="L4060">
        <v>156</v>
      </c>
      <c r="M4060">
        <v>226</v>
      </c>
      <c r="N4060" t="s">
        <v>43</v>
      </c>
      <c r="O4060" s="3">
        <v>44272</v>
      </c>
      <c r="P4060">
        <v>-1</v>
      </c>
      <c r="T4060" t="s">
        <v>31</v>
      </c>
      <c r="U4060">
        <v>136</v>
      </c>
      <c r="V4060">
        <v>24.254200000000001</v>
      </c>
    </row>
    <row r="4061" spans="1:22" x14ac:dyDescent="0.35">
      <c r="A4061" s="3">
        <v>44046</v>
      </c>
      <c r="B4061" t="s">
        <v>46</v>
      </c>
      <c r="C4061">
        <v>28.58</v>
      </c>
      <c r="D4061">
        <v>28.75</v>
      </c>
      <c r="E4061">
        <v>28.34</v>
      </c>
      <c r="F4061">
        <v>28.52</v>
      </c>
      <c r="G4061">
        <v>28.55</v>
      </c>
      <c r="H4061">
        <v>-2.5000000000000001E-2</v>
      </c>
      <c r="I4061">
        <v>2134</v>
      </c>
      <c r="J4061">
        <v>0</v>
      </c>
      <c r="K4061">
        <v>13403</v>
      </c>
      <c r="L4061">
        <v>95</v>
      </c>
      <c r="M4061">
        <v>135</v>
      </c>
      <c r="N4061" t="s">
        <v>46</v>
      </c>
      <c r="O4061" s="3">
        <v>44181</v>
      </c>
      <c r="P4061">
        <v>-1</v>
      </c>
      <c r="T4061" t="s">
        <v>30</v>
      </c>
      <c r="U4061">
        <v>162</v>
      </c>
      <c r="V4061">
        <v>24.25</v>
      </c>
    </row>
    <row r="4062" spans="1:22" x14ac:dyDescent="0.35">
      <c r="A4062" s="3">
        <v>44046</v>
      </c>
      <c r="B4062" t="s">
        <v>45</v>
      </c>
      <c r="C4062">
        <v>29</v>
      </c>
      <c r="D4062">
        <v>29.15</v>
      </c>
      <c r="E4062">
        <v>28.78</v>
      </c>
      <c r="F4062">
        <v>28.95</v>
      </c>
      <c r="G4062">
        <v>28.975000000000001</v>
      </c>
      <c r="H4062">
        <v>0</v>
      </c>
      <c r="I4062">
        <v>1478</v>
      </c>
      <c r="J4062">
        <v>0</v>
      </c>
      <c r="K4062">
        <v>7121</v>
      </c>
      <c r="L4062">
        <v>117</v>
      </c>
      <c r="M4062">
        <v>170</v>
      </c>
      <c r="N4062" t="s">
        <v>45</v>
      </c>
      <c r="O4062" s="3">
        <v>44216</v>
      </c>
      <c r="P4062">
        <v>-1</v>
      </c>
      <c r="T4062" t="s">
        <v>29</v>
      </c>
      <c r="U4062">
        <v>182</v>
      </c>
      <c r="V4062">
        <v>24.1</v>
      </c>
    </row>
    <row r="4063" spans="1:22" x14ac:dyDescent="0.35">
      <c r="A4063" s="3">
        <v>44046</v>
      </c>
      <c r="B4063" t="s">
        <v>44</v>
      </c>
      <c r="C4063">
        <v>28.44</v>
      </c>
      <c r="D4063">
        <v>28.65</v>
      </c>
      <c r="E4063">
        <v>28.3</v>
      </c>
      <c r="F4063">
        <v>28.4</v>
      </c>
      <c r="G4063">
        <v>28.475000000000001</v>
      </c>
      <c r="H4063">
        <v>0</v>
      </c>
      <c r="I4063">
        <v>548</v>
      </c>
      <c r="J4063">
        <v>0</v>
      </c>
      <c r="K4063">
        <v>2576</v>
      </c>
      <c r="L4063">
        <v>136</v>
      </c>
      <c r="M4063">
        <v>198</v>
      </c>
      <c r="N4063" t="s">
        <v>44</v>
      </c>
      <c r="O4063" s="3">
        <v>44244</v>
      </c>
      <c r="P4063">
        <v>-1</v>
      </c>
      <c r="T4063" t="s">
        <v>36</v>
      </c>
      <c r="U4063">
        <v>36</v>
      </c>
      <c r="V4063">
        <v>20.949100000000001</v>
      </c>
    </row>
    <row r="4064" spans="1:22" x14ac:dyDescent="0.35">
      <c r="A4064" s="3">
        <v>44043</v>
      </c>
      <c r="B4064" t="s">
        <v>43</v>
      </c>
      <c r="C4064">
        <v>28.45</v>
      </c>
      <c r="D4064">
        <v>28.92</v>
      </c>
      <c r="E4064">
        <v>28.33</v>
      </c>
      <c r="F4064">
        <v>28.4</v>
      </c>
      <c r="G4064">
        <v>28.4</v>
      </c>
      <c r="H4064">
        <v>-0.15</v>
      </c>
      <c r="I4064">
        <v>147</v>
      </c>
      <c r="J4064">
        <v>0</v>
      </c>
      <c r="K4064">
        <v>307</v>
      </c>
      <c r="L4064">
        <v>157</v>
      </c>
      <c r="M4064">
        <v>229</v>
      </c>
      <c r="N4064" t="s">
        <v>43</v>
      </c>
      <c r="O4064" s="3">
        <v>44272</v>
      </c>
      <c r="P4064">
        <v>-1</v>
      </c>
      <c r="T4064" t="s">
        <v>35</v>
      </c>
      <c r="U4064">
        <v>56</v>
      </c>
      <c r="V4064">
        <v>21.9068</v>
      </c>
    </row>
    <row r="4065" spans="1:22" x14ac:dyDescent="0.35">
      <c r="A4065" s="3">
        <v>44043</v>
      </c>
      <c r="B4065" t="s">
        <v>46</v>
      </c>
      <c r="C4065">
        <v>28.65</v>
      </c>
      <c r="D4065">
        <v>29.31</v>
      </c>
      <c r="E4065">
        <v>28.32</v>
      </c>
      <c r="F4065">
        <v>28.55</v>
      </c>
      <c r="G4065">
        <v>28.574999999999999</v>
      </c>
      <c r="H4065">
        <v>0</v>
      </c>
      <c r="I4065">
        <v>3178</v>
      </c>
      <c r="J4065">
        <v>0</v>
      </c>
      <c r="K4065">
        <v>13194</v>
      </c>
      <c r="L4065">
        <v>96</v>
      </c>
      <c r="M4065">
        <v>138</v>
      </c>
      <c r="N4065" t="s">
        <v>46</v>
      </c>
      <c r="O4065" s="3">
        <v>44181</v>
      </c>
      <c r="P4065">
        <v>-1</v>
      </c>
      <c r="T4065" t="s">
        <v>34</v>
      </c>
      <c r="U4065">
        <v>80</v>
      </c>
      <c r="V4065">
        <v>22.299900000000001</v>
      </c>
    </row>
    <row r="4066" spans="1:22" x14ac:dyDescent="0.35">
      <c r="A4066" s="3">
        <v>44043</v>
      </c>
      <c r="B4066" t="s">
        <v>45</v>
      </c>
      <c r="C4066">
        <v>28.75</v>
      </c>
      <c r="D4066">
        <v>29.69</v>
      </c>
      <c r="E4066">
        <v>28.7</v>
      </c>
      <c r="F4066">
        <v>29</v>
      </c>
      <c r="G4066">
        <v>28.975000000000001</v>
      </c>
      <c r="H4066">
        <v>-0.1</v>
      </c>
      <c r="I4066">
        <v>1816</v>
      </c>
      <c r="J4066">
        <v>0</v>
      </c>
      <c r="K4066">
        <v>6582</v>
      </c>
      <c r="L4066">
        <v>118</v>
      </c>
      <c r="M4066">
        <v>173</v>
      </c>
      <c r="N4066" t="s">
        <v>45</v>
      </c>
      <c r="O4066" s="3">
        <v>44216</v>
      </c>
      <c r="P4066">
        <v>-1</v>
      </c>
      <c r="S4066" s="3">
        <v>44439</v>
      </c>
      <c r="T4066" t="s">
        <v>33</v>
      </c>
      <c r="U4066">
        <v>97</v>
      </c>
      <c r="V4066">
        <v>23.4177</v>
      </c>
    </row>
    <row r="4067" spans="1:22" x14ac:dyDescent="0.35">
      <c r="A4067" s="3">
        <v>44043</v>
      </c>
      <c r="B4067" t="s">
        <v>44</v>
      </c>
      <c r="C4067">
        <v>28.62</v>
      </c>
      <c r="D4067">
        <v>29.22</v>
      </c>
      <c r="E4067">
        <v>28.4</v>
      </c>
      <c r="F4067">
        <v>28.48</v>
      </c>
      <c r="G4067">
        <v>28.475000000000001</v>
      </c>
      <c r="H4067">
        <v>-0.17499999999999999</v>
      </c>
      <c r="I4067">
        <v>1113</v>
      </c>
      <c r="J4067">
        <v>0</v>
      </c>
      <c r="K4067">
        <v>2289</v>
      </c>
      <c r="L4067">
        <v>137</v>
      </c>
      <c r="M4067">
        <v>201</v>
      </c>
      <c r="N4067" t="s">
        <v>44</v>
      </c>
      <c r="O4067" s="3">
        <v>44244</v>
      </c>
      <c r="P4067">
        <v>-1</v>
      </c>
      <c r="T4067" t="s">
        <v>32</v>
      </c>
      <c r="U4067">
        <v>117</v>
      </c>
      <c r="V4067">
        <v>23.85</v>
      </c>
    </row>
    <row r="4068" spans="1:22" x14ac:dyDescent="0.35">
      <c r="A4068" s="3">
        <v>44043</v>
      </c>
      <c r="B4068" t="s">
        <v>49</v>
      </c>
      <c r="C4068">
        <v>29.35</v>
      </c>
      <c r="D4068">
        <v>30.85</v>
      </c>
      <c r="E4068">
        <v>29.35</v>
      </c>
      <c r="F4068">
        <v>29.68</v>
      </c>
      <c r="G4068">
        <v>29.625</v>
      </c>
      <c r="H4068">
        <v>-0.2</v>
      </c>
      <c r="I4068">
        <v>45331</v>
      </c>
      <c r="J4068">
        <v>0</v>
      </c>
      <c r="K4068">
        <v>72280</v>
      </c>
      <c r="L4068">
        <v>32</v>
      </c>
      <c r="M4068">
        <v>47</v>
      </c>
      <c r="N4068" t="s">
        <v>49</v>
      </c>
      <c r="O4068" s="3">
        <v>44090</v>
      </c>
      <c r="P4068">
        <v>-1</v>
      </c>
      <c r="T4068" t="s">
        <v>31</v>
      </c>
      <c r="U4068">
        <v>135</v>
      </c>
      <c r="V4068">
        <v>24.305900000000001</v>
      </c>
    </row>
    <row r="4069" spans="1:22" x14ac:dyDescent="0.35">
      <c r="A4069" s="3">
        <v>44043</v>
      </c>
      <c r="B4069" t="s">
        <v>48</v>
      </c>
      <c r="C4069">
        <v>31.85</v>
      </c>
      <c r="D4069">
        <v>33.1</v>
      </c>
      <c r="E4069">
        <v>31.81</v>
      </c>
      <c r="F4069">
        <v>32.15</v>
      </c>
      <c r="G4069">
        <v>32.125</v>
      </c>
      <c r="H4069">
        <v>-0.05</v>
      </c>
      <c r="I4069">
        <v>8714</v>
      </c>
      <c r="J4069">
        <v>0</v>
      </c>
      <c r="K4069">
        <v>29540</v>
      </c>
      <c r="L4069">
        <v>57</v>
      </c>
      <c r="M4069">
        <v>82</v>
      </c>
      <c r="N4069" t="s">
        <v>48</v>
      </c>
      <c r="O4069" s="3">
        <v>44125</v>
      </c>
      <c r="P4069">
        <v>-1</v>
      </c>
      <c r="T4069" t="s">
        <v>30</v>
      </c>
      <c r="U4069">
        <v>161</v>
      </c>
      <c r="V4069">
        <v>24.3</v>
      </c>
    </row>
    <row r="4070" spans="1:22" x14ac:dyDescent="0.35">
      <c r="A4070" s="3">
        <v>44043</v>
      </c>
      <c r="B4070" t="s">
        <v>50</v>
      </c>
      <c r="C4070">
        <v>26.7</v>
      </c>
      <c r="D4070">
        <v>28.26</v>
      </c>
      <c r="E4070">
        <v>26.55</v>
      </c>
      <c r="F4070">
        <v>26.9</v>
      </c>
      <c r="G4070">
        <v>26.824999999999999</v>
      </c>
      <c r="H4070">
        <v>-0.35</v>
      </c>
      <c r="I4070">
        <v>76234</v>
      </c>
      <c r="J4070">
        <v>0</v>
      </c>
      <c r="K4070">
        <v>121483</v>
      </c>
      <c r="L4070">
        <v>13</v>
      </c>
      <c r="M4070">
        <v>19</v>
      </c>
      <c r="N4070" t="s">
        <v>50</v>
      </c>
      <c r="O4070" s="3">
        <v>44062</v>
      </c>
      <c r="P4070">
        <v>-1</v>
      </c>
      <c r="T4070" t="s">
        <v>29</v>
      </c>
      <c r="U4070">
        <v>181</v>
      </c>
      <c r="V4070">
        <v>24.225000000000001</v>
      </c>
    </row>
    <row r="4071" spans="1:22" x14ac:dyDescent="0.35">
      <c r="A4071" s="3">
        <v>44043</v>
      </c>
      <c r="B4071" t="s">
        <v>47</v>
      </c>
      <c r="C4071">
        <v>29.7</v>
      </c>
      <c r="D4071">
        <v>30.82</v>
      </c>
      <c r="E4071">
        <v>29.66</v>
      </c>
      <c r="F4071">
        <v>30.02</v>
      </c>
      <c r="G4071">
        <v>30.024999999999999</v>
      </c>
      <c r="H4071">
        <v>0</v>
      </c>
      <c r="I4071">
        <v>6094</v>
      </c>
      <c r="J4071">
        <v>0</v>
      </c>
      <c r="K4071">
        <v>23873</v>
      </c>
      <c r="L4071">
        <v>77</v>
      </c>
      <c r="M4071">
        <v>110</v>
      </c>
      <c r="N4071" t="s">
        <v>47</v>
      </c>
      <c r="O4071" s="3">
        <v>44153</v>
      </c>
      <c r="P4071">
        <v>-1</v>
      </c>
      <c r="T4071" t="s">
        <v>36</v>
      </c>
      <c r="U4071">
        <v>35</v>
      </c>
      <c r="V4071">
        <v>20.907399999999999</v>
      </c>
    </row>
    <row r="4072" spans="1:22" x14ac:dyDescent="0.35">
      <c r="A4072" s="3">
        <v>44042</v>
      </c>
      <c r="B4072" t="s">
        <v>49</v>
      </c>
      <c r="C4072">
        <v>29.41</v>
      </c>
      <c r="D4072">
        <v>31.8</v>
      </c>
      <c r="E4072">
        <v>29.37</v>
      </c>
      <c r="F4072">
        <v>29.55</v>
      </c>
      <c r="G4072">
        <v>29.824999999999999</v>
      </c>
      <c r="H4072">
        <v>0.35</v>
      </c>
      <c r="I4072">
        <v>53808</v>
      </c>
      <c r="J4072">
        <v>0</v>
      </c>
      <c r="K4072">
        <v>66379</v>
      </c>
      <c r="L4072">
        <v>33</v>
      </c>
      <c r="M4072">
        <v>48</v>
      </c>
      <c r="N4072" t="s">
        <v>49</v>
      </c>
      <c r="O4072" s="3">
        <v>44090</v>
      </c>
      <c r="P4072">
        <v>-1</v>
      </c>
      <c r="T4072" t="s">
        <v>35</v>
      </c>
      <c r="U4072">
        <v>55</v>
      </c>
      <c r="V4072">
        <v>21.897500000000001</v>
      </c>
    </row>
    <row r="4073" spans="1:22" x14ac:dyDescent="0.35">
      <c r="A4073" s="3">
        <v>44042</v>
      </c>
      <c r="B4073" t="s">
        <v>48</v>
      </c>
      <c r="C4073">
        <v>31.9</v>
      </c>
      <c r="D4073">
        <v>33.770000000000003</v>
      </c>
      <c r="E4073">
        <v>31.87</v>
      </c>
      <c r="F4073">
        <v>31.95</v>
      </c>
      <c r="G4073">
        <v>32.174999999999997</v>
      </c>
      <c r="H4073">
        <v>0.25</v>
      </c>
      <c r="I4073">
        <v>11995</v>
      </c>
      <c r="J4073">
        <v>0</v>
      </c>
      <c r="K4073">
        <v>29124</v>
      </c>
      <c r="L4073">
        <v>58</v>
      </c>
      <c r="M4073">
        <v>83</v>
      </c>
      <c r="N4073" t="s">
        <v>48</v>
      </c>
      <c r="O4073" s="3">
        <v>44125</v>
      </c>
      <c r="P4073">
        <v>-1</v>
      </c>
      <c r="T4073" t="s">
        <v>34</v>
      </c>
      <c r="U4073">
        <v>79</v>
      </c>
      <c r="V4073">
        <v>22.3</v>
      </c>
    </row>
    <row r="4074" spans="1:22" x14ac:dyDescent="0.35">
      <c r="A4074" s="3">
        <v>44042</v>
      </c>
      <c r="B4074" t="s">
        <v>50</v>
      </c>
      <c r="C4074">
        <v>26.9</v>
      </c>
      <c r="D4074">
        <v>29.71</v>
      </c>
      <c r="E4074">
        <v>26.66</v>
      </c>
      <c r="F4074">
        <v>26.75</v>
      </c>
      <c r="G4074">
        <v>27.175000000000001</v>
      </c>
      <c r="H4074">
        <v>0.4</v>
      </c>
      <c r="I4074">
        <v>86430</v>
      </c>
      <c r="J4074">
        <v>0</v>
      </c>
      <c r="K4074">
        <v>127539</v>
      </c>
      <c r="L4074">
        <v>14</v>
      </c>
      <c r="M4074">
        <v>20</v>
      </c>
      <c r="N4074" t="s">
        <v>50</v>
      </c>
      <c r="O4074" s="3">
        <v>44062</v>
      </c>
      <c r="P4074">
        <v>-1</v>
      </c>
      <c r="S4074" s="3">
        <v>44440</v>
      </c>
      <c r="T4074" t="s">
        <v>33</v>
      </c>
      <c r="U4074">
        <v>96</v>
      </c>
      <c r="V4074">
        <v>23.2</v>
      </c>
    </row>
    <row r="4075" spans="1:22" x14ac:dyDescent="0.35">
      <c r="A4075" s="3">
        <v>44042</v>
      </c>
      <c r="B4075" t="s">
        <v>47</v>
      </c>
      <c r="C4075">
        <v>29.8</v>
      </c>
      <c r="D4075">
        <v>31.61</v>
      </c>
      <c r="E4075">
        <v>29.75</v>
      </c>
      <c r="F4075">
        <v>29.81</v>
      </c>
      <c r="G4075">
        <v>30.024999999999999</v>
      </c>
      <c r="H4075">
        <v>0.2</v>
      </c>
      <c r="I4075">
        <v>7481</v>
      </c>
      <c r="J4075">
        <v>0</v>
      </c>
      <c r="K4075">
        <v>24096</v>
      </c>
      <c r="L4075">
        <v>78</v>
      </c>
      <c r="M4075">
        <v>111</v>
      </c>
      <c r="N4075" t="s">
        <v>47</v>
      </c>
      <c r="O4075" s="3">
        <v>44153</v>
      </c>
      <c r="P4075">
        <v>-1</v>
      </c>
      <c r="T4075" t="s">
        <v>32</v>
      </c>
      <c r="U4075">
        <v>116</v>
      </c>
      <c r="V4075">
        <v>23.62</v>
      </c>
    </row>
    <row r="4076" spans="1:22" x14ac:dyDescent="0.35">
      <c r="A4076" s="3">
        <v>44042</v>
      </c>
      <c r="B4076" t="s">
        <v>43</v>
      </c>
      <c r="C4076">
        <v>28.5</v>
      </c>
      <c r="D4076">
        <v>29.39</v>
      </c>
      <c r="E4076">
        <v>28.2</v>
      </c>
      <c r="F4076">
        <v>28.4</v>
      </c>
      <c r="G4076">
        <v>28.55</v>
      </c>
      <c r="H4076">
        <v>0.45</v>
      </c>
      <c r="I4076">
        <v>150</v>
      </c>
      <c r="J4076">
        <v>0</v>
      </c>
      <c r="K4076">
        <v>263</v>
      </c>
      <c r="L4076">
        <v>158</v>
      </c>
      <c r="M4076">
        <v>230</v>
      </c>
      <c r="N4076" t="s">
        <v>43</v>
      </c>
      <c r="O4076" s="3">
        <v>44272</v>
      </c>
      <c r="P4076">
        <v>-1</v>
      </c>
      <c r="T4076" t="s">
        <v>31</v>
      </c>
      <c r="U4076">
        <v>134</v>
      </c>
      <c r="V4076">
        <v>24.1</v>
      </c>
    </row>
    <row r="4077" spans="1:22" x14ac:dyDescent="0.35">
      <c r="A4077" s="3">
        <v>44042</v>
      </c>
      <c r="B4077" t="s">
        <v>46</v>
      </c>
      <c r="C4077">
        <v>28.4</v>
      </c>
      <c r="D4077">
        <v>30.05</v>
      </c>
      <c r="E4077">
        <v>28.3</v>
      </c>
      <c r="F4077">
        <v>28.35</v>
      </c>
      <c r="G4077">
        <v>28.574999999999999</v>
      </c>
      <c r="H4077">
        <v>0.2</v>
      </c>
      <c r="I4077">
        <v>4128</v>
      </c>
      <c r="J4077">
        <v>0</v>
      </c>
      <c r="K4077">
        <v>13188</v>
      </c>
      <c r="L4077">
        <v>97</v>
      </c>
      <c r="M4077">
        <v>139</v>
      </c>
      <c r="N4077" t="s">
        <v>46</v>
      </c>
      <c r="O4077" s="3">
        <v>44181</v>
      </c>
      <c r="P4077">
        <v>-1</v>
      </c>
      <c r="T4077" t="s">
        <v>30</v>
      </c>
      <c r="U4077">
        <v>160</v>
      </c>
      <c r="V4077">
        <v>24.15</v>
      </c>
    </row>
    <row r="4078" spans="1:22" x14ac:dyDescent="0.35">
      <c r="A4078" s="3">
        <v>44042</v>
      </c>
      <c r="B4078" t="s">
        <v>45</v>
      </c>
      <c r="C4078">
        <v>28.85</v>
      </c>
      <c r="D4078">
        <v>30.4</v>
      </c>
      <c r="E4078">
        <v>28.78</v>
      </c>
      <c r="F4078">
        <v>28.81</v>
      </c>
      <c r="G4078">
        <v>29.074999999999999</v>
      </c>
      <c r="H4078">
        <v>0.25</v>
      </c>
      <c r="I4078">
        <v>2413</v>
      </c>
      <c r="J4078">
        <v>0</v>
      </c>
      <c r="K4078">
        <v>6266</v>
      </c>
      <c r="L4078">
        <v>119</v>
      </c>
      <c r="M4078">
        <v>174</v>
      </c>
      <c r="N4078" t="s">
        <v>45</v>
      </c>
      <c r="O4078" s="3">
        <v>44216</v>
      </c>
      <c r="P4078">
        <v>-1</v>
      </c>
      <c r="T4078" t="s">
        <v>29</v>
      </c>
      <c r="U4078">
        <v>180</v>
      </c>
      <c r="V4078">
        <v>24.1</v>
      </c>
    </row>
    <row r="4079" spans="1:22" x14ac:dyDescent="0.35">
      <c r="A4079" s="3">
        <v>44042</v>
      </c>
      <c r="B4079" t="s">
        <v>44</v>
      </c>
      <c r="C4079">
        <v>28.43</v>
      </c>
      <c r="D4079">
        <v>29.8</v>
      </c>
      <c r="E4079">
        <v>28.4</v>
      </c>
      <c r="F4079">
        <v>28.4</v>
      </c>
      <c r="G4079">
        <v>28.65</v>
      </c>
      <c r="H4079">
        <v>0.27500000000000002</v>
      </c>
      <c r="I4079">
        <v>942</v>
      </c>
      <c r="J4079">
        <v>0</v>
      </c>
      <c r="K4079">
        <v>2028</v>
      </c>
      <c r="L4079">
        <v>138</v>
      </c>
      <c r="M4079">
        <v>202</v>
      </c>
      <c r="N4079" t="s">
        <v>44</v>
      </c>
      <c r="O4079" s="3">
        <v>44244</v>
      </c>
      <c r="P4079">
        <v>-1</v>
      </c>
      <c r="T4079" t="s">
        <v>36</v>
      </c>
      <c r="U4079">
        <v>34</v>
      </c>
      <c r="V4079">
        <v>20.446000000000002</v>
      </c>
    </row>
    <row r="4080" spans="1:22" x14ac:dyDescent="0.35">
      <c r="A4080" s="3">
        <v>44041</v>
      </c>
      <c r="B4080" t="s">
        <v>43</v>
      </c>
      <c r="C4080">
        <v>28.25</v>
      </c>
      <c r="D4080">
        <v>28.35</v>
      </c>
      <c r="E4080">
        <v>28.14</v>
      </c>
      <c r="F4080">
        <v>28.16</v>
      </c>
      <c r="G4080">
        <v>28.1</v>
      </c>
      <c r="H4080">
        <v>-0.17499999999999999</v>
      </c>
      <c r="I4080">
        <v>39</v>
      </c>
      <c r="J4080">
        <v>0</v>
      </c>
      <c r="K4080">
        <v>196</v>
      </c>
      <c r="L4080">
        <v>159</v>
      </c>
      <c r="M4080">
        <v>231</v>
      </c>
      <c r="N4080" t="s">
        <v>43</v>
      </c>
      <c r="O4080" s="3">
        <v>44272</v>
      </c>
      <c r="P4080">
        <v>-1</v>
      </c>
      <c r="T4080" t="s">
        <v>35</v>
      </c>
      <c r="U4080">
        <v>54</v>
      </c>
      <c r="V4080">
        <v>21.5063</v>
      </c>
    </row>
    <row r="4081" spans="1:22" x14ac:dyDescent="0.35">
      <c r="A4081" s="3">
        <v>44041</v>
      </c>
      <c r="B4081" t="s">
        <v>46</v>
      </c>
      <c r="C4081">
        <v>28.46</v>
      </c>
      <c r="D4081">
        <v>28.7</v>
      </c>
      <c r="E4081">
        <v>28.23</v>
      </c>
      <c r="F4081">
        <v>28.34</v>
      </c>
      <c r="G4081">
        <v>28.375</v>
      </c>
      <c r="H4081">
        <v>-0.15</v>
      </c>
      <c r="I4081">
        <v>2456</v>
      </c>
      <c r="J4081">
        <v>0</v>
      </c>
      <c r="K4081">
        <v>12929</v>
      </c>
      <c r="L4081">
        <v>98</v>
      </c>
      <c r="M4081">
        <v>140</v>
      </c>
      <c r="N4081" t="s">
        <v>46</v>
      </c>
      <c r="O4081" s="3">
        <v>44181</v>
      </c>
      <c r="P4081">
        <v>-1</v>
      </c>
      <c r="T4081" t="s">
        <v>34</v>
      </c>
      <c r="U4081">
        <v>78</v>
      </c>
      <c r="V4081">
        <v>21.965900000000001</v>
      </c>
    </row>
    <row r="4082" spans="1:22" x14ac:dyDescent="0.35">
      <c r="A4082" s="3">
        <v>44041</v>
      </c>
      <c r="B4082" t="s">
        <v>45</v>
      </c>
      <c r="C4082">
        <v>28.9</v>
      </c>
      <c r="D4082">
        <v>29.15</v>
      </c>
      <c r="E4082">
        <v>28.7</v>
      </c>
      <c r="F4082">
        <v>28.83</v>
      </c>
      <c r="G4082">
        <v>28.824999999999999</v>
      </c>
      <c r="H4082">
        <v>-0.15</v>
      </c>
      <c r="I4082">
        <v>1311</v>
      </c>
      <c r="J4082">
        <v>0</v>
      </c>
      <c r="K4082">
        <v>5963</v>
      </c>
      <c r="L4082">
        <v>120</v>
      </c>
      <c r="M4082">
        <v>175</v>
      </c>
      <c r="N4082" t="s">
        <v>45</v>
      </c>
      <c r="O4082" s="3">
        <v>44216</v>
      </c>
      <c r="P4082">
        <v>-1</v>
      </c>
      <c r="S4082" s="3">
        <v>44441</v>
      </c>
      <c r="T4082" t="s">
        <v>33</v>
      </c>
      <c r="U4082">
        <v>95</v>
      </c>
      <c r="V4082">
        <v>23.2</v>
      </c>
    </row>
    <row r="4083" spans="1:22" x14ac:dyDescent="0.35">
      <c r="A4083" s="3">
        <v>44041</v>
      </c>
      <c r="B4083" t="s">
        <v>44</v>
      </c>
      <c r="C4083">
        <v>28.45</v>
      </c>
      <c r="D4083">
        <v>28.7</v>
      </c>
      <c r="E4083">
        <v>28.3</v>
      </c>
      <c r="F4083">
        <v>28.4</v>
      </c>
      <c r="G4083">
        <v>28.375</v>
      </c>
      <c r="H4083">
        <v>-0.2</v>
      </c>
      <c r="I4083">
        <v>592</v>
      </c>
      <c r="J4083">
        <v>0</v>
      </c>
      <c r="K4083">
        <v>1807</v>
      </c>
      <c r="L4083">
        <v>139</v>
      </c>
      <c r="M4083">
        <v>203</v>
      </c>
      <c r="N4083" t="s">
        <v>44</v>
      </c>
      <c r="O4083" s="3">
        <v>44244</v>
      </c>
      <c r="P4083">
        <v>-1</v>
      </c>
      <c r="T4083" t="s">
        <v>32</v>
      </c>
      <c r="U4083">
        <v>115</v>
      </c>
      <c r="V4083">
        <v>23.625900000000001</v>
      </c>
    </row>
    <row r="4084" spans="1:22" x14ac:dyDescent="0.35">
      <c r="A4084" s="3">
        <v>44041</v>
      </c>
      <c r="B4084" t="s">
        <v>49</v>
      </c>
      <c r="C4084">
        <v>29.8</v>
      </c>
      <c r="D4084">
        <v>30.25</v>
      </c>
      <c r="E4084">
        <v>29.3</v>
      </c>
      <c r="F4084">
        <v>29.3</v>
      </c>
      <c r="G4084">
        <v>29.475000000000001</v>
      </c>
      <c r="H4084">
        <v>-0.4</v>
      </c>
      <c r="I4084">
        <v>34010</v>
      </c>
      <c r="J4084">
        <v>50</v>
      </c>
      <c r="K4084">
        <v>61081</v>
      </c>
      <c r="L4084">
        <v>34</v>
      </c>
      <c r="M4084">
        <v>49</v>
      </c>
      <c r="N4084" t="s">
        <v>49</v>
      </c>
      <c r="O4084" s="3">
        <v>44090</v>
      </c>
      <c r="P4084">
        <v>-1</v>
      </c>
      <c r="T4084" t="s">
        <v>31</v>
      </c>
      <c r="U4084">
        <v>133</v>
      </c>
      <c r="V4084">
        <v>24.125</v>
      </c>
    </row>
    <row r="4085" spans="1:22" x14ac:dyDescent="0.35">
      <c r="A4085" s="3">
        <v>44041</v>
      </c>
      <c r="B4085" t="s">
        <v>48</v>
      </c>
      <c r="C4085">
        <v>32.15</v>
      </c>
      <c r="D4085">
        <v>32.5</v>
      </c>
      <c r="E4085">
        <v>31.8</v>
      </c>
      <c r="F4085">
        <v>31.82</v>
      </c>
      <c r="G4085">
        <v>31.925000000000001</v>
      </c>
      <c r="H4085">
        <v>-0.3</v>
      </c>
      <c r="I4085">
        <v>4584</v>
      </c>
      <c r="J4085">
        <v>0</v>
      </c>
      <c r="K4085">
        <v>28027</v>
      </c>
      <c r="L4085">
        <v>59</v>
      </c>
      <c r="M4085">
        <v>84</v>
      </c>
      <c r="N4085" t="s">
        <v>48</v>
      </c>
      <c r="O4085" s="3">
        <v>44125</v>
      </c>
      <c r="P4085">
        <v>-1</v>
      </c>
      <c r="T4085" t="s">
        <v>30</v>
      </c>
      <c r="U4085">
        <v>159</v>
      </c>
      <c r="V4085">
        <v>24.2</v>
      </c>
    </row>
    <row r="4086" spans="1:22" x14ac:dyDescent="0.35">
      <c r="A4086" s="3">
        <v>44041</v>
      </c>
      <c r="B4086" t="s">
        <v>50</v>
      </c>
      <c r="C4086">
        <v>27.5</v>
      </c>
      <c r="D4086">
        <v>27.9</v>
      </c>
      <c r="E4086">
        <v>26.6</v>
      </c>
      <c r="F4086">
        <v>26.63</v>
      </c>
      <c r="G4086">
        <v>26.774999999999999</v>
      </c>
      <c r="H4086">
        <v>-0.75</v>
      </c>
      <c r="I4086">
        <v>53792</v>
      </c>
      <c r="J4086">
        <v>150</v>
      </c>
      <c r="K4086">
        <v>136193</v>
      </c>
      <c r="L4086">
        <v>15</v>
      </c>
      <c r="M4086">
        <v>21</v>
      </c>
      <c r="N4086" t="s">
        <v>50</v>
      </c>
      <c r="O4086" s="3">
        <v>44062</v>
      </c>
      <c r="P4086">
        <v>-1</v>
      </c>
      <c r="T4086" t="s">
        <v>29</v>
      </c>
      <c r="U4086">
        <v>179</v>
      </c>
      <c r="V4086">
        <v>24.225000000000001</v>
      </c>
    </row>
    <row r="4087" spans="1:22" x14ac:dyDescent="0.35">
      <c r="A4087" s="3">
        <v>44041</v>
      </c>
      <c r="B4087" t="s">
        <v>47</v>
      </c>
      <c r="C4087">
        <v>30</v>
      </c>
      <c r="D4087">
        <v>30.3</v>
      </c>
      <c r="E4087">
        <v>29.7</v>
      </c>
      <c r="F4087">
        <v>29.75</v>
      </c>
      <c r="G4087">
        <v>29.824999999999999</v>
      </c>
      <c r="H4087">
        <v>-0.25</v>
      </c>
      <c r="I4087">
        <v>4347</v>
      </c>
      <c r="J4087">
        <v>0</v>
      </c>
      <c r="K4087">
        <v>24334</v>
      </c>
      <c r="L4087">
        <v>79</v>
      </c>
      <c r="M4087">
        <v>112</v>
      </c>
      <c r="N4087" t="s">
        <v>47</v>
      </c>
      <c r="O4087" s="3">
        <v>44153</v>
      </c>
      <c r="P4087">
        <v>-1</v>
      </c>
      <c r="T4087" t="s">
        <v>36</v>
      </c>
      <c r="U4087">
        <v>33</v>
      </c>
      <c r="V4087">
        <v>20.443200000000001</v>
      </c>
    </row>
    <row r="4088" spans="1:22" x14ac:dyDescent="0.35">
      <c r="A4088" s="3">
        <v>44040</v>
      </c>
      <c r="B4088" t="s">
        <v>49</v>
      </c>
      <c r="C4088">
        <v>29.87</v>
      </c>
      <c r="D4088">
        <v>30.41</v>
      </c>
      <c r="E4088">
        <v>29.3</v>
      </c>
      <c r="F4088">
        <v>29.93</v>
      </c>
      <c r="G4088">
        <v>29.875</v>
      </c>
      <c r="H4088">
        <v>-0.05</v>
      </c>
      <c r="I4088">
        <v>44900</v>
      </c>
      <c r="J4088">
        <v>60</v>
      </c>
      <c r="K4088">
        <v>56233</v>
      </c>
      <c r="L4088">
        <v>35</v>
      </c>
      <c r="M4088">
        <v>50</v>
      </c>
      <c r="N4088" t="s">
        <v>49</v>
      </c>
      <c r="O4088" s="3">
        <v>44090</v>
      </c>
      <c r="P4088">
        <v>-1</v>
      </c>
      <c r="T4088" t="s">
        <v>35</v>
      </c>
      <c r="U4088">
        <v>53</v>
      </c>
      <c r="V4088">
        <v>21.55</v>
      </c>
    </row>
    <row r="4089" spans="1:22" x14ac:dyDescent="0.35">
      <c r="A4089" s="3">
        <v>44040</v>
      </c>
      <c r="B4089" t="s">
        <v>48</v>
      </c>
      <c r="C4089">
        <v>32.1</v>
      </c>
      <c r="D4089">
        <v>32.549999999999997</v>
      </c>
      <c r="E4089">
        <v>31.75</v>
      </c>
      <c r="F4089">
        <v>32.25</v>
      </c>
      <c r="G4089">
        <v>32.225000000000001</v>
      </c>
      <c r="H4089">
        <v>0.1</v>
      </c>
      <c r="I4089">
        <v>6276</v>
      </c>
      <c r="J4089">
        <v>0</v>
      </c>
      <c r="K4089">
        <v>27710</v>
      </c>
      <c r="L4089">
        <v>60</v>
      </c>
      <c r="M4089">
        <v>85</v>
      </c>
      <c r="N4089" t="s">
        <v>48</v>
      </c>
      <c r="O4089" s="3">
        <v>44125</v>
      </c>
      <c r="P4089">
        <v>-1</v>
      </c>
      <c r="T4089" t="s">
        <v>34</v>
      </c>
      <c r="U4089">
        <v>77</v>
      </c>
      <c r="V4089">
        <v>22</v>
      </c>
    </row>
    <row r="4090" spans="1:22" x14ac:dyDescent="0.35">
      <c r="A4090" s="3">
        <v>44040</v>
      </c>
      <c r="B4090" t="s">
        <v>50</v>
      </c>
      <c r="C4090">
        <v>27.5</v>
      </c>
      <c r="D4090">
        <v>28.06</v>
      </c>
      <c r="E4090">
        <v>26.57</v>
      </c>
      <c r="F4090">
        <v>27.6</v>
      </c>
      <c r="G4090">
        <v>27.524999999999999</v>
      </c>
      <c r="H4090">
        <v>0</v>
      </c>
      <c r="I4090">
        <v>64395</v>
      </c>
      <c r="J4090">
        <v>420</v>
      </c>
      <c r="K4090">
        <v>140472</v>
      </c>
      <c r="L4090">
        <v>16</v>
      </c>
      <c r="M4090">
        <v>22</v>
      </c>
      <c r="N4090" t="s">
        <v>50</v>
      </c>
      <c r="O4090" s="3">
        <v>44062</v>
      </c>
      <c r="P4090">
        <v>-1</v>
      </c>
      <c r="S4090" s="3">
        <v>44442</v>
      </c>
      <c r="T4090" t="s">
        <v>33</v>
      </c>
      <c r="U4090">
        <v>94</v>
      </c>
      <c r="V4090">
        <v>23.354099999999999</v>
      </c>
    </row>
    <row r="4091" spans="1:22" x14ac:dyDescent="0.35">
      <c r="A4091" s="3">
        <v>44040</v>
      </c>
      <c r="B4091" t="s">
        <v>47</v>
      </c>
      <c r="C4091">
        <v>29.9</v>
      </c>
      <c r="D4091">
        <v>30.32</v>
      </c>
      <c r="E4091">
        <v>29.65</v>
      </c>
      <c r="F4091">
        <v>30.15</v>
      </c>
      <c r="G4091">
        <v>30.074999999999999</v>
      </c>
      <c r="H4091">
        <v>0.1</v>
      </c>
      <c r="I4091">
        <v>5405</v>
      </c>
      <c r="J4091">
        <v>0</v>
      </c>
      <c r="K4091">
        <v>24004</v>
      </c>
      <c r="L4091">
        <v>80</v>
      </c>
      <c r="M4091">
        <v>113</v>
      </c>
      <c r="N4091" t="s">
        <v>47</v>
      </c>
      <c r="O4091" s="3">
        <v>44153</v>
      </c>
      <c r="P4091">
        <v>-1</v>
      </c>
      <c r="T4091" t="s">
        <v>32</v>
      </c>
      <c r="U4091">
        <v>114</v>
      </c>
      <c r="V4091">
        <v>23.803999999999998</v>
      </c>
    </row>
    <row r="4092" spans="1:22" x14ac:dyDescent="0.35">
      <c r="A4092" s="3">
        <v>44040</v>
      </c>
      <c r="B4092" t="s">
        <v>43</v>
      </c>
      <c r="C4092">
        <v>28.55</v>
      </c>
      <c r="D4092">
        <v>28.58</v>
      </c>
      <c r="E4092">
        <v>28.05</v>
      </c>
      <c r="F4092">
        <v>28.2</v>
      </c>
      <c r="G4092">
        <v>28.274999999999999</v>
      </c>
      <c r="H4092">
        <v>-0.1</v>
      </c>
      <c r="I4092">
        <v>149</v>
      </c>
      <c r="J4092">
        <v>0</v>
      </c>
      <c r="K4092">
        <v>176</v>
      </c>
      <c r="L4092">
        <v>160</v>
      </c>
      <c r="M4092">
        <v>232</v>
      </c>
      <c r="N4092" t="s">
        <v>43</v>
      </c>
      <c r="O4092" s="3">
        <v>44272</v>
      </c>
      <c r="P4092">
        <v>-1</v>
      </c>
      <c r="T4092" t="s">
        <v>31</v>
      </c>
      <c r="U4092">
        <v>132</v>
      </c>
      <c r="V4092">
        <v>24.36</v>
      </c>
    </row>
    <row r="4093" spans="1:22" x14ac:dyDescent="0.35">
      <c r="A4093" s="3">
        <v>44040</v>
      </c>
      <c r="B4093" t="s">
        <v>46</v>
      </c>
      <c r="C4093">
        <v>28.35</v>
      </c>
      <c r="D4093">
        <v>28.66</v>
      </c>
      <c r="E4093">
        <v>28.12</v>
      </c>
      <c r="F4093">
        <v>28.55</v>
      </c>
      <c r="G4093">
        <v>28.524999999999999</v>
      </c>
      <c r="H4093">
        <v>0.1</v>
      </c>
      <c r="I4093">
        <v>3128</v>
      </c>
      <c r="J4093">
        <v>0</v>
      </c>
      <c r="K4093">
        <v>12922</v>
      </c>
      <c r="L4093">
        <v>99</v>
      </c>
      <c r="M4093">
        <v>141</v>
      </c>
      <c r="N4093" t="s">
        <v>46</v>
      </c>
      <c r="O4093" s="3">
        <v>44181</v>
      </c>
      <c r="P4093">
        <v>-1</v>
      </c>
      <c r="T4093" t="s">
        <v>30</v>
      </c>
      <c r="U4093">
        <v>158</v>
      </c>
      <c r="V4093">
        <v>24.35</v>
      </c>
    </row>
    <row r="4094" spans="1:22" x14ac:dyDescent="0.35">
      <c r="A4094" s="3">
        <v>44040</v>
      </c>
      <c r="B4094" t="s">
        <v>45</v>
      </c>
      <c r="C4094">
        <v>28.8</v>
      </c>
      <c r="D4094">
        <v>29.1</v>
      </c>
      <c r="E4094">
        <v>28.47</v>
      </c>
      <c r="F4094">
        <v>28.97</v>
      </c>
      <c r="G4094">
        <v>28.975000000000001</v>
      </c>
      <c r="H4094">
        <v>0.15</v>
      </c>
      <c r="I4094">
        <v>2359</v>
      </c>
      <c r="J4094">
        <v>0</v>
      </c>
      <c r="K4094">
        <v>5600</v>
      </c>
      <c r="L4094">
        <v>121</v>
      </c>
      <c r="M4094">
        <v>176</v>
      </c>
      <c r="N4094" t="s">
        <v>45</v>
      </c>
      <c r="O4094" s="3">
        <v>44216</v>
      </c>
      <c r="P4094">
        <v>-1</v>
      </c>
      <c r="T4094" t="s">
        <v>29</v>
      </c>
      <c r="U4094">
        <v>178</v>
      </c>
      <c r="V4094">
        <v>24.3</v>
      </c>
    </row>
    <row r="4095" spans="1:22" x14ac:dyDescent="0.35">
      <c r="A4095" s="3">
        <v>44040</v>
      </c>
      <c r="B4095" t="s">
        <v>44</v>
      </c>
      <c r="C4095">
        <v>28.55</v>
      </c>
      <c r="D4095">
        <v>28.7</v>
      </c>
      <c r="E4095">
        <v>28.08</v>
      </c>
      <c r="F4095">
        <v>28.6</v>
      </c>
      <c r="G4095">
        <v>28.574999999999999</v>
      </c>
      <c r="H4095">
        <v>0.1</v>
      </c>
      <c r="I4095">
        <v>883</v>
      </c>
      <c r="J4095">
        <v>0</v>
      </c>
      <c r="K4095">
        <v>1583</v>
      </c>
      <c r="L4095">
        <v>140</v>
      </c>
      <c r="M4095">
        <v>204</v>
      </c>
      <c r="N4095" t="s">
        <v>44</v>
      </c>
      <c r="O4095" s="3">
        <v>44244</v>
      </c>
      <c r="P4095">
        <v>-1</v>
      </c>
      <c r="T4095" t="s">
        <v>36</v>
      </c>
      <c r="U4095">
        <v>32</v>
      </c>
      <c r="V4095">
        <v>20.5624</v>
      </c>
    </row>
    <row r="4096" spans="1:22" x14ac:dyDescent="0.35">
      <c r="A4096" s="3">
        <v>44039</v>
      </c>
      <c r="B4096" t="s">
        <v>43</v>
      </c>
      <c r="C4096">
        <v>28.25</v>
      </c>
      <c r="D4096">
        <v>28.6</v>
      </c>
      <c r="E4096">
        <v>28.25</v>
      </c>
      <c r="F4096">
        <v>28.45</v>
      </c>
      <c r="G4096">
        <v>28.375</v>
      </c>
      <c r="H4096">
        <v>-0.15</v>
      </c>
      <c r="I4096">
        <v>18</v>
      </c>
      <c r="J4096">
        <v>0</v>
      </c>
      <c r="K4096">
        <v>124</v>
      </c>
      <c r="L4096">
        <v>161</v>
      </c>
      <c r="M4096">
        <v>233</v>
      </c>
      <c r="N4096" t="s">
        <v>43</v>
      </c>
      <c r="O4096" s="3">
        <v>44272</v>
      </c>
      <c r="P4096">
        <v>-1</v>
      </c>
      <c r="T4096" t="s">
        <v>35</v>
      </c>
      <c r="U4096">
        <v>52</v>
      </c>
      <c r="V4096">
        <v>21.730699999999999</v>
      </c>
    </row>
    <row r="4097" spans="1:22" x14ac:dyDescent="0.35">
      <c r="A4097" s="3">
        <v>44039</v>
      </c>
      <c r="B4097" t="s">
        <v>46</v>
      </c>
      <c r="C4097">
        <v>28.7</v>
      </c>
      <c r="D4097">
        <v>28.85</v>
      </c>
      <c r="E4097">
        <v>28.3</v>
      </c>
      <c r="F4097">
        <v>28.35</v>
      </c>
      <c r="G4097">
        <v>28.425000000000001</v>
      </c>
      <c r="H4097">
        <v>-0.25</v>
      </c>
      <c r="I4097">
        <v>1916</v>
      </c>
      <c r="J4097">
        <v>0</v>
      </c>
      <c r="K4097">
        <v>12967</v>
      </c>
      <c r="L4097">
        <v>100</v>
      </c>
      <c r="M4097">
        <v>142</v>
      </c>
      <c r="N4097" t="s">
        <v>46</v>
      </c>
      <c r="O4097" s="3">
        <v>44181</v>
      </c>
      <c r="P4097">
        <v>-1</v>
      </c>
      <c r="T4097" t="s">
        <v>34</v>
      </c>
      <c r="U4097">
        <v>76</v>
      </c>
      <c r="V4097">
        <v>22.150200000000002</v>
      </c>
    </row>
    <row r="4098" spans="1:22" x14ac:dyDescent="0.35">
      <c r="A4098" s="3">
        <v>44039</v>
      </c>
      <c r="B4098" t="s">
        <v>45</v>
      </c>
      <c r="C4098">
        <v>28.85</v>
      </c>
      <c r="D4098">
        <v>29.2</v>
      </c>
      <c r="E4098">
        <v>28.75</v>
      </c>
      <c r="F4098">
        <v>28.8</v>
      </c>
      <c r="G4098">
        <v>28.824999999999999</v>
      </c>
      <c r="H4098">
        <v>-0.25</v>
      </c>
      <c r="I4098">
        <v>1527</v>
      </c>
      <c r="J4098">
        <v>0</v>
      </c>
      <c r="K4098">
        <v>5125</v>
      </c>
      <c r="L4098">
        <v>122</v>
      </c>
      <c r="M4098">
        <v>177</v>
      </c>
      <c r="N4098" t="s">
        <v>45</v>
      </c>
      <c r="O4098" s="3">
        <v>44216</v>
      </c>
      <c r="P4098">
        <v>-1</v>
      </c>
      <c r="S4098" s="3">
        <v>44446</v>
      </c>
      <c r="T4098" t="s">
        <v>33</v>
      </c>
      <c r="U4098">
        <v>93</v>
      </c>
      <c r="V4098">
        <v>23.65</v>
      </c>
    </row>
    <row r="4099" spans="1:22" x14ac:dyDescent="0.35">
      <c r="A4099" s="3">
        <v>44039</v>
      </c>
      <c r="B4099" t="s">
        <v>44</v>
      </c>
      <c r="C4099">
        <v>28.9</v>
      </c>
      <c r="D4099">
        <v>28.9</v>
      </c>
      <c r="E4099">
        <v>28.3</v>
      </c>
      <c r="F4099">
        <v>28.4</v>
      </c>
      <c r="G4099">
        <v>28.475000000000001</v>
      </c>
      <c r="H4099">
        <v>-0.2</v>
      </c>
      <c r="I4099">
        <v>570</v>
      </c>
      <c r="J4099">
        <v>0</v>
      </c>
      <c r="K4099">
        <v>1289</v>
      </c>
      <c r="L4099">
        <v>141</v>
      </c>
      <c r="M4099">
        <v>205</v>
      </c>
      <c r="N4099" t="s">
        <v>44</v>
      </c>
      <c r="O4099" s="3">
        <v>44244</v>
      </c>
      <c r="P4099">
        <v>-1</v>
      </c>
      <c r="T4099" t="s">
        <v>32</v>
      </c>
      <c r="U4099">
        <v>113</v>
      </c>
      <c r="V4099">
        <v>24.1401</v>
      </c>
    </row>
    <row r="4100" spans="1:22" x14ac:dyDescent="0.35">
      <c r="A4100" s="3">
        <v>44039</v>
      </c>
      <c r="B4100" t="s">
        <v>49</v>
      </c>
      <c r="C4100">
        <v>31.1</v>
      </c>
      <c r="D4100">
        <v>31.1</v>
      </c>
      <c r="E4100">
        <v>29.8</v>
      </c>
      <c r="F4100">
        <v>29.82</v>
      </c>
      <c r="G4100">
        <v>29.925000000000001</v>
      </c>
      <c r="H4100">
        <v>-0.6</v>
      </c>
      <c r="I4100">
        <v>33035</v>
      </c>
      <c r="J4100">
        <v>53</v>
      </c>
      <c r="K4100">
        <v>49596</v>
      </c>
      <c r="L4100">
        <v>36</v>
      </c>
      <c r="M4100">
        <v>51</v>
      </c>
      <c r="N4100" t="s">
        <v>49</v>
      </c>
      <c r="O4100" s="3">
        <v>44090</v>
      </c>
      <c r="P4100">
        <v>-1</v>
      </c>
      <c r="T4100" t="s">
        <v>31</v>
      </c>
      <c r="U4100">
        <v>131</v>
      </c>
      <c r="V4100">
        <v>24.613499999999998</v>
      </c>
    </row>
    <row r="4101" spans="1:22" x14ac:dyDescent="0.35">
      <c r="A4101" s="3">
        <v>44039</v>
      </c>
      <c r="B4101" t="s">
        <v>48</v>
      </c>
      <c r="C4101">
        <v>32.75</v>
      </c>
      <c r="D4101">
        <v>32.75</v>
      </c>
      <c r="E4101">
        <v>32.03</v>
      </c>
      <c r="F4101">
        <v>32.08</v>
      </c>
      <c r="G4101">
        <v>32.125</v>
      </c>
      <c r="H4101">
        <v>-0.4</v>
      </c>
      <c r="I4101">
        <v>4999</v>
      </c>
      <c r="J4101">
        <v>0</v>
      </c>
      <c r="K4101">
        <v>27504</v>
      </c>
      <c r="L4101">
        <v>61</v>
      </c>
      <c r="M4101">
        <v>86</v>
      </c>
      <c r="N4101" t="s">
        <v>48</v>
      </c>
      <c r="O4101" s="3">
        <v>44125</v>
      </c>
      <c r="P4101">
        <v>-1</v>
      </c>
      <c r="T4101" t="s">
        <v>30</v>
      </c>
      <c r="U4101">
        <v>157</v>
      </c>
      <c r="V4101">
        <v>24.65</v>
      </c>
    </row>
    <row r="4102" spans="1:22" x14ac:dyDescent="0.35">
      <c r="A4102" s="3">
        <v>44039</v>
      </c>
      <c r="B4102" t="s">
        <v>50</v>
      </c>
      <c r="C4102">
        <v>28.8</v>
      </c>
      <c r="D4102">
        <v>29</v>
      </c>
      <c r="E4102">
        <v>27.47</v>
      </c>
      <c r="F4102">
        <v>27.5</v>
      </c>
      <c r="G4102">
        <v>27.524999999999999</v>
      </c>
      <c r="H4102">
        <v>-1.2</v>
      </c>
      <c r="I4102">
        <v>52951</v>
      </c>
      <c r="J4102">
        <v>303</v>
      </c>
      <c r="K4102">
        <v>148660</v>
      </c>
      <c r="L4102">
        <v>17</v>
      </c>
      <c r="M4102">
        <v>23</v>
      </c>
      <c r="N4102" t="s">
        <v>50</v>
      </c>
      <c r="O4102" s="3">
        <v>44062</v>
      </c>
      <c r="P4102">
        <v>-1</v>
      </c>
      <c r="T4102" t="s">
        <v>29</v>
      </c>
      <c r="U4102">
        <v>177</v>
      </c>
      <c r="V4102">
        <v>24.625</v>
      </c>
    </row>
    <row r="4103" spans="1:22" x14ac:dyDescent="0.35">
      <c r="A4103" s="3">
        <v>44039</v>
      </c>
      <c r="B4103" t="s">
        <v>47</v>
      </c>
      <c r="C4103">
        <v>30.3</v>
      </c>
      <c r="D4103">
        <v>30.5</v>
      </c>
      <c r="E4103">
        <v>29.89</v>
      </c>
      <c r="F4103">
        <v>29.9</v>
      </c>
      <c r="G4103">
        <v>29.975000000000001</v>
      </c>
      <c r="H4103">
        <v>-0.4</v>
      </c>
      <c r="I4103">
        <v>2983</v>
      </c>
      <c r="J4103">
        <v>0</v>
      </c>
      <c r="K4103">
        <v>23382</v>
      </c>
      <c r="L4103">
        <v>81</v>
      </c>
      <c r="M4103">
        <v>114</v>
      </c>
      <c r="N4103" t="s">
        <v>47</v>
      </c>
      <c r="O4103" s="3">
        <v>44153</v>
      </c>
      <c r="P4103">
        <v>-1</v>
      </c>
      <c r="T4103" t="s">
        <v>36</v>
      </c>
      <c r="U4103">
        <v>31</v>
      </c>
      <c r="V4103">
        <v>20.900500000000001</v>
      </c>
    </row>
    <row r="4104" spans="1:22" x14ac:dyDescent="0.35">
      <c r="A4104" s="3">
        <v>44036</v>
      </c>
      <c r="B4104" t="s">
        <v>49</v>
      </c>
      <c r="C4104">
        <v>30.1</v>
      </c>
      <c r="D4104">
        <v>31.15</v>
      </c>
      <c r="E4104">
        <v>29.85</v>
      </c>
      <c r="F4104">
        <v>30.56</v>
      </c>
      <c r="G4104">
        <v>30.524999999999999</v>
      </c>
      <c r="H4104">
        <v>0.25</v>
      </c>
      <c r="I4104">
        <v>45181</v>
      </c>
      <c r="J4104">
        <v>0</v>
      </c>
      <c r="K4104">
        <v>44842</v>
      </c>
      <c r="L4104">
        <v>37</v>
      </c>
      <c r="M4104">
        <v>54</v>
      </c>
      <c r="N4104" t="s">
        <v>49</v>
      </c>
      <c r="O4104" s="3">
        <v>44090</v>
      </c>
      <c r="P4104">
        <v>-1</v>
      </c>
      <c r="T4104" t="s">
        <v>35</v>
      </c>
      <c r="U4104">
        <v>51</v>
      </c>
      <c r="V4104">
        <v>22.0426</v>
      </c>
    </row>
    <row r="4105" spans="1:22" x14ac:dyDescent="0.35">
      <c r="A4105" s="3">
        <v>44036</v>
      </c>
      <c r="B4105" t="s">
        <v>48</v>
      </c>
      <c r="C4105">
        <v>32.049999999999997</v>
      </c>
      <c r="D4105">
        <v>32.979999999999997</v>
      </c>
      <c r="E4105">
        <v>31.82</v>
      </c>
      <c r="F4105">
        <v>32.58</v>
      </c>
      <c r="G4105">
        <v>32.524999999999999</v>
      </c>
      <c r="H4105">
        <v>0.35</v>
      </c>
      <c r="I4105">
        <v>8553</v>
      </c>
      <c r="J4105">
        <v>0</v>
      </c>
      <c r="K4105">
        <v>27141</v>
      </c>
      <c r="L4105">
        <v>62</v>
      </c>
      <c r="M4105">
        <v>89</v>
      </c>
      <c r="N4105" t="s">
        <v>48</v>
      </c>
      <c r="O4105" s="3">
        <v>44125</v>
      </c>
      <c r="P4105">
        <v>-1</v>
      </c>
      <c r="T4105" t="s">
        <v>34</v>
      </c>
      <c r="U4105">
        <v>75</v>
      </c>
      <c r="V4105">
        <v>22.448</v>
      </c>
    </row>
    <row r="4106" spans="1:22" x14ac:dyDescent="0.35">
      <c r="A4106" s="3">
        <v>44036</v>
      </c>
      <c r="B4106" t="s">
        <v>50</v>
      </c>
      <c r="C4106">
        <v>28.55</v>
      </c>
      <c r="D4106">
        <v>29.9</v>
      </c>
      <c r="E4106">
        <v>28.25</v>
      </c>
      <c r="F4106">
        <v>28.78</v>
      </c>
      <c r="G4106">
        <v>28.725000000000001</v>
      </c>
      <c r="H4106">
        <v>-0.05</v>
      </c>
      <c r="I4106">
        <v>71571</v>
      </c>
      <c r="J4106">
        <v>0</v>
      </c>
      <c r="K4106">
        <v>153906</v>
      </c>
      <c r="L4106">
        <v>18</v>
      </c>
      <c r="M4106">
        <v>26</v>
      </c>
      <c r="N4106" t="s">
        <v>50</v>
      </c>
      <c r="O4106" s="3">
        <v>44062</v>
      </c>
      <c r="P4106">
        <v>-1</v>
      </c>
      <c r="S4106" s="3">
        <v>44447</v>
      </c>
      <c r="T4106" t="s">
        <v>33</v>
      </c>
      <c r="U4106">
        <v>92</v>
      </c>
      <c r="V4106">
        <v>23.737500000000001</v>
      </c>
    </row>
    <row r="4107" spans="1:22" x14ac:dyDescent="0.35">
      <c r="A4107" s="3">
        <v>44036</v>
      </c>
      <c r="B4107" t="s">
        <v>47</v>
      </c>
      <c r="C4107">
        <v>29.9</v>
      </c>
      <c r="D4107">
        <v>30.77</v>
      </c>
      <c r="E4107">
        <v>29.69</v>
      </c>
      <c r="F4107">
        <v>30.43</v>
      </c>
      <c r="G4107">
        <v>30.375</v>
      </c>
      <c r="H4107">
        <v>0.4</v>
      </c>
      <c r="I4107">
        <v>4442</v>
      </c>
      <c r="J4107">
        <v>0</v>
      </c>
      <c r="K4107">
        <v>23466</v>
      </c>
      <c r="L4107">
        <v>82</v>
      </c>
      <c r="M4107">
        <v>117</v>
      </c>
      <c r="N4107" t="s">
        <v>47</v>
      </c>
      <c r="O4107" s="3">
        <v>44153</v>
      </c>
      <c r="P4107">
        <v>-1</v>
      </c>
      <c r="T4107" t="s">
        <v>32</v>
      </c>
      <c r="U4107">
        <v>112</v>
      </c>
      <c r="V4107">
        <v>24.15</v>
      </c>
    </row>
    <row r="4108" spans="1:22" x14ac:dyDescent="0.35">
      <c r="A4108" s="3">
        <v>44036</v>
      </c>
      <c r="B4108" t="s">
        <v>43</v>
      </c>
      <c r="C4108">
        <v>28.1</v>
      </c>
      <c r="D4108">
        <v>28.5</v>
      </c>
      <c r="E4108">
        <v>28.05</v>
      </c>
      <c r="F4108">
        <v>28.48</v>
      </c>
      <c r="G4108">
        <v>28.524999999999999</v>
      </c>
      <c r="H4108">
        <v>0.45</v>
      </c>
      <c r="I4108">
        <v>51</v>
      </c>
      <c r="J4108">
        <v>0</v>
      </c>
      <c r="K4108">
        <v>112</v>
      </c>
      <c r="L4108">
        <v>162</v>
      </c>
      <c r="M4108">
        <v>236</v>
      </c>
      <c r="N4108" t="s">
        <v>43</v>
      </c>
      <c r="O4108" s="3">
        <v>44272</v>
      </c>
      <c r="P4108">
        <v>-1</v>
      </c>
      <c r="T4108" t="s">
        <v>31</v>
      </c>
      <c r="U4108">
        <v>130</v>
      </c>
      <c r="V4108">
        <v>24.65</v>
      </c>
    </row>
    <row r="4109" spans="1:22" x14ac:dyDescent="0.35">
      <c r="A4109" s="3">
        <v>44036</v>
      </c>
      <c r="B4109" t="s">
        <v>46</v>
      </c>
      <c r="C4109">
        <v>28.4</v>
      </c>
      <c r="D4109">
        <v>29.06</v>
      </c>
      <c r="E4109">
        <v>28.2</v>
      </c>
      <c r="F4109">
        <v>28.74</v>
      </c>
      <c r="G4109">
        <v>28.675000000000001</v>
      </c>
      <c r="H4109">
        <v>0.22500000000000001</v>
      </c>
      <c r="I4109">
        <v>3561</v>
      </c>
      <c r="J4109">
        <v>0</v>
      </c>
      <c r="K4109">
        <v>13576</v>
      </c>
      <c r="L4109">
        <v>101</v>
      </c>
      <c r="M4109">
        <v>145</v>
      </c>
      <c r="N4109" t="s">
        <v>46</v>
      </c>
      <c r="O4109" s="3">
        <v>44181</v>
      </c>
      <c r="P4109">
        <v>-1</v>
      </c>
      <c r="T4109" t="s">
        <v>30</v>
      </c>
      <c r="U4109">
        <v>156</v>
      </c>
      <c r="V4109">
        <v>24.75</v>
      </c>
    </row>
    <row r="4110" spans="1:22" x14ac:dyDescent="0.35">
      <c r="A4110" s="3">
        <v>44036</v>
      </c>
      <c r="B4110" t="s">
        <v>45</v>
      </c>
      <c r="C4110">
        <v>28.75</v>
      </c>
      <c r="D4110">
        <v>29.37</v>
      </c>
      <c r="E4110">
        <v>28.6</v>
      </c>
      <c r="F4110">
        <v>29.12</v>
      </c>
      <c r="G4110">
        <v>29.074999999999999</v>
      </c>
      <c r="H4110">
        <v>0.35</v>
      </c>
      <c r="I4110">
        <v>2321</v>
      </c>
      <c r="J4110">
        <v>0</v>
      </c>
      <c r="K4110">
        <v>4692</v>
      </c>
      <c r="L4110">
        <v>123</v>
      </c>
      <c r="M4110">
        <v>180</v>
      </c>
      <c r="N4110" t="s">
        <v>45</v>
      </c>
      <c r="O4110" s="3">
        <v>44216</v>
      </c>
      <c r="P4110">
        <v>-1</v>
      </c>
      <c r="T4110" t="s">
        <v>29</v>
      </c>
      <c r="U4110">
        <v>176</v>
      </c>
      <c r="V4110">
        <v>24.675000000000001</v>
      </c>
    </row>
    <row r="4111" spans="1:22" x14ac:dyDescent="0.35">
      <c r="A4111" s="3">
        <v>44036</v>
      </c>
      <c r="B4111" t="s">
        <v>44</v>
      </c>
      <c r="C4111">
        <v>28.37</v>
      </c>
      <c r="D4111">
        <v>28.91</v>
      </c>
      <c r="E4111">
        <v>28.25</v>
      </c>
      <c r="F4111">
        <v>28.7</v>
      </c>
      <c r="G4111">
        <v>28.675000000000001</v>
      </c>
      <c r="H4111">
        <v>0.27500000000000002</v>
      </c>
      <c r="I4111">
        <v>691</v>
      </c>
      <c r="J4111">
        <v>0</v>
      </c>
      <c r="K4111">
        <v>1031</v>
      </c>
      <c r="L4111">
        <v>142</v>
      </c>
      <c r="M4111">
        <v>208</v>
      </c>
      <c r="N4111" t="s">
        <v>44</v>
      </c>
      <c r="O4111" s="3">
        <v>44244</v>
      </c>
      <c r="P4111">
        <v>-1</v>
      </c>
      <c r="T4111" t="s">
        <v>36</v>
      </c>
      <c r="U4111">
        <v>30</v>
      </c>
      <c r="V4111">
        <v>20.9315</v>
      </c>
    </row>
    <row r="4112" spans="1:22" x14ac:dyDescent="0.35">
      <c r="A4112" s="3">
        <v>44035</v>
      </c>
      <c r="B4112" t="s">
        <v>43</v>
      </c>
      <c r="C4112">
        <v>27.95</v>
      </c>
      <c r="D4112">
        <v>28.3</v>
      </c>
      <c r="E4112">
        <v>27.6</v>
      </c>
      <c r="F4112">
        <v>28.3</v>
      </c>
      <c r="G4112">
        <v>28.074999999999999</v>
      </c>
      <c r="H4112">
        <v>0.52500000000000002</v>
      </c>
      <c r="I4112">
        <v>96</v>
      </c>
      <c r="J4112">
        <v>0</v>
      </c>
      <c r="K4112">
        <v>75</v>
      </c>
      <c r="L4112">
        <v>163</v>
      </c>
      <c r="M4112">
        <v>237</v>
      </c>
      <c r="N4112" t="s">
        <v>43</v>
      </c>
      <c r="O4112" s="3">
        <v>44272</v>
      </c>
      <c r="P4112">
        <v>-1</v>
      </c>
      <c r="T4112" t="s">
        <v>35</v>
      </c>
      <c r="U4112">
        <v>50</v>
      </c>
      <c r="V4112">
        <v>22.194900000000001</v>
      </c>
    </row>
    <row r="4113" spans="1:22" x14ac:dyDescent="0.35">
      <c r="A4113" s="3">
        <v>44035</v>
      </c>
      <c r="B4113" t="s">
        <v>46</v>
      </c>
      <c r="C4113">
        <v>28</v>
      </c>
      <c r="D4113">
        <v>28.65</v>
      </c>
      <c r="E4113">
        <v>27.45</v>
      </c>
      <c r="F4113">
        <v>28.42</v>
      </c>
      <c r="G4113">
        <v>28.45</v>
      </c>
      <c r="H4113">
        <v>0.57499999999999996</v>
      </c>
      <c r="I4113">
        <v>2589</v>
      </c>
      <c r="J4113">
        <v>0</v>
      </c>
      <c r="K4113">
        <v>13151</v>
      </c>
      <c r="L4113">
        <v>102</v>
      </c>
      <c r="M4113">
        <v>146</v>
      </c>
      <c r="N4113" t="s">
        <v>46</v>
      </c>
      <c r="O4113" s="3">
        <v>44181</v>
      </c>
      <c r="P4113">
        <v>-1</v>
      </c>
      <c r="T4113" t="s">
        <v>34</v>
      </c>
      <c r="U4113">
        <v>74</v>
      </c>
      <c r="V4113">
        <v>22.6114</v>
      </c>
    </row>
    <row r="4114" spans="1:22" x14ac:dyDescent="0.35">
      <c r="A4114" s="3">
        <v>44035</v>
      </c>
      <c r="B4114" t="s">
        <v>45</v>
      </c>
      <c r="C4114">
        <v>28.3</v>
      </c>
      <c r="D4114">
        <v>28.9</v>
      </c>
      <c r="E4114">
        <v>27.78</v>
      </c>
      <c r="F4114">
        <v>28.75</v>
      </c>
      <c r="G4114">
        <v>28.725000000000001</v>
      </c>
      <c r="H4114">
        <v>0.55000000000000004</v>
      </c>
      <c r="I4114">
        <v>1647</v>
      </c>
      <c r="J4114">
        <v>0</v>
      </c>
      <c r="K4114">
        <v>4345</v>
      </c>
      <c r="L4114">
        <v>124</v>
      </c>
      <c r="M4114">
        <v>181</v>
      </c>
      <c r="N4114" t="s">
        <v>45</v>
      </c>
      <c r="O4114" s="3">
        <v>44216</v>
      </c>
      <c r="P4114">
        <v>-1</v>
      </c>
      <c r="S4114" s="3">
        <v>44448</v>
      </c>
      <c r="T4114" t="s">
        <v>33</v>
      </c>
      <c r="U4114">
        <v>91</v>
      </c>
      <c r="V4114">
        <v>23.987100000000002</v>
      </c>
    </row>
    <row r="4115" spans="1:22" x14ac:dyDescent="0.35">
      <c r="A4115" s="3">
        <v>44035</v>
      </c>
      <c r="B4115" t="s">
        <v>44</v>
      </c>
      <c r="C4115">
        <v>27.86</v>
      </c>
      <c r="D4115">
        <v>28.55</v>
      </c>
      <c r="E4115">
        <v>27.5</v>
      </c>
      <c r="F4115">
        <v>28.35</v>
      </c>
      <c r="G4115">
        <v>28.4</v>
      </c>
      <c r="H4115">
        <v>0.57499999999999996</v>
      </c>
      <c r="I4115">
        <v>556</v>
      </c>
      <c r="J4115">
        <v>0</v>
      </c>
      <c r="K4115">
        <v>888</v>
      </c>
      <c r="L4115">
        <v>143</v>
      </c>
      <c r="M4115">
        <v>209</v>
      </c>
      <c r="N4115" t="s">
        <v>44</v>
      </c>
      <c r="O4115" s="3">
        <v>44244</v>
      </c>
      <c r="P4115">
        <v>-1</v>
      </c>
      <c r="T4115" t="s">
        <v>32</v>
      </c>
      <c r="U4115">
        <v>111</v>
      </c>
      <c r="V4115">
        <v>24.449100000000001</v>
      </c>
    </row>
    <row r="4116" spans="1:22" x14ac:dyDescent="0.35">
      <c r="A4116" s="3">
        <v>44035</v>
      </c>
      <c r="B4116" t="s">
        <v>49</v>
      </c>
      <c r="C4116">
        <v>29.19</v>
      </c>
      <c r="D4116">
        <v>30.54</v>
      </c>
      <c r="E4116">
        <v>28.69</v>
      </c>
      <c r="F4116">
        <v>30.2</v>
      </c>
      <c r="G4116">
        <v>30.274999999999999</v>
      </c>
      <c r="H4116">
        <v>1.1499999999999999</v>
      </c>
      <c r="I4116">
        <v>41073</v>
      </c>
      <c r="J4116">
        <v>0</v>
      </c>
      <c r="K4116">
        <v>40198</v>
      </c>
      <c r="L4116">
        <v>38</v>
      </c>
      <c r="M4116">
        <v>55</v>
      </c>
      <c r="N4116" t="s">
        <v>49</v>
      </c>
      <c r="O4116" s="3">
        <v>44090</v>
      </c>
      <c r="P4116">
        <v>-1</v>
      </c>
      <c r="T4116" t="s">
        <v>31</v>
      </c>
      <c r="U4116">
        <v>129</v>
      </c>
      <c r="V4116">
        <v>24.95</v>
      </c>
    </row>
    <row r="4117" spans="1:22" x14ac:dyDescent="0.35">
      <c r="A4117" s="3">
        <v>44035</v>
      </c>
      <c r="B4117" t="s">
        <v>48</v>
      </c>
      <c r="C4117">
        <v>31.36</v>
      </c>
      <c r="D4117">
        <v>32.43</v>
      </c>
      <c r="E4117">
        <v>30.9</v>
      </c>
      <c r="F4117">
        <v>32.090000000000003</v>
      </c>
      <c r="G4117">
        <v>32.174999999999997</v>
      </c>
      <c r="H4117">
        <v>0.92500000000000004</v>
      </c>
      <c r="I4117">
        <v>7995</v>
      </c>
      <c r="J4117">
        <v>0</v>
      </c>
      <c r="K4117">
        <v>26754</v>
      </c>
      <c r="L4117">
        <v>63</v>
      </c>
      <c r="M4117">
        <v>90</v>
      </c>
      <c r="N4117" t="s">
        <v>48</v>
      </c>
      <c r="O4117" s="3">
        <v>44125</v>
      </c>
      <c r="P4117">
        <v>-1</v>
      </c>
      <c r="T4117" t="s">
        <v>30</v>
      </c>
      <c r="U4117">
        <v>155</v>
      </c>
      <c r="V4117">
        <v>24.925000000000001</v>
      </c>
    </row>
    <row r="4118" spans="1:22" x14ac:dyDescent="0.35">
      <c r="A4118" s="3">
        <v>44035</v>
      </c>
      <c r="B4118" t="s">
        <v>50</v>
      </c>
      <c r="C4118">
        <v>27.39</v>
      </c>
      <c r="D4118">
        <v>29.11</v>
      </c>
      <c r="E4118">
        <v>26.79</v>
      </c>
      <c r="F4118">
        <v>28.7</v>
      </c>
      <c r="G4118">
        <v>28.774999999999999</v>
      </c>
      <c r="H4118">
        <v>1.5249999999999999</v>
      </c>
      <c r="I4118">
        <v>77269</v>
      </c>
      <c r="J4118">
        <v>104</v>
      </c>
      <c r="K4118">
        <v>159771</v>
      </c>
      <c r="L4118">
        <v>19</v>
      </c>
      <c r="M4118">
        <v>27</v>
      </c>
      <c r="N4118" t="s">
        <v>50</v>
      </c>
      <c r="O4118" s="3">
        <v>44062</v>
      </c>
      <c r="P4118">
        <v>-1</v>
      </c>
      <c r="T4118" t="s">
        <v>29</v>
      </c>
      <c r="U4118">
        <v>175</v>
      </c>
      <c r="V4118">
        <v>24.8</v>
      </c>
    </row>
    <row r="4119" spans="1:22" x14ac:dyDescent="0.35">
      <c r="A4119" s="3">
        <v>44035</v>
      </c>
      <c r="B4119" t="s">
        <v>47</v>
      </c>
      <c r="C4119">
        <v>29.3</v>
      </c>
      <c r="D4119">
        <v>30.2</v>
      </c>
      <c r="E4119">
        <v>28.81</v>
      </c>
      <c r="F4119">
        <v>29.95</v>
      </c>
      <c r="G4119">
        <v>29.975000000000001</v>
      </c>
      <c r="H4119">
        <v>0.77500000000000002</v>
      </c>
      <c r="I4119">
        <v>4636</v>
      </c>
      <c r="J4119">
        <v>0</v>
      </c>
      <c r="K4119">
        <v>23454</v>
      </c>
      <c r="L4119">
        <v>83</v>
      </c>
      <c r="M4119">
        <v>118</v>
      </c>
      <c r="N4119" t="s">
        <v>47</v>
      </c>
      <c r="O4119" s="3">
        <v>44153</v>
      </c>
      <c r="P4119">
        <v>-1</v>
      </c>
      <c r="T4119" t="s">
        <v>36</v>
      </c>
      <c r="U4119">
        <v>29</v>
      </c>
      <c r="V4119">
        <v>21.353000000000002</v>
      </c>
    </row>
    <row r="4120" spans="1:22" x14ac:dyDescent="0.35">
      <c r="A4120" s="3">
        <v>44034</v>
      </c>
      <c r="B4120" t="s">
        <v>49</v>
      </c>
      <c r="C4120">
        <v>29.5</v>
      </c>
      <c r="D4120">
        <v>30.05</v>
      </c>
      <c r="E4120">
        <v>28.97</v>
      </c>
      <c r="F4120">
        <v>29.16</v>
      </c>
      <c r="G4120">
        <v>29.125</v>
      </c>
      <c r="H4120">
        <v>-0.2</v>
      </c>
      <c r="I4120">
        <v>43032</v>
      </c>
      <c r="J4120">
        <v>0</v>
      </c>
      <c r="K4120">
        <v>34679</v>
      </c>
      <c r="L4120">
        <v>39</v>
      </c>
      <c r="M4120">
        <v>56</v>
      </c>
      <c r="N4120" t="s">
        <v>49</v>
      </c>
      <c r="O4120" s="3">
        <v>44090</v>
      </c>
      <c r="P4120">
        <v>-1</v>
      </c>
      <c r="T4120" t="s">
        <v>35</v>
      </c>
      <c r="U4120">
        <v>49</v>
      </c>
      <c r="V4120">
        <v>22.4282</v>
      </c>
    </row>
    <row r="4121" spans="1:22" x14ac:dyDescent="0.35">
      <c r="A4121" s="3">
        <v>44034</v>
      </c>
      <c r="B4121" t="s">
        <v>51</v>
      </c>
      <c r="C4121">
        <v>24.85</v>
      </c>
      <c r="D4121">
        <v>25.9</v>
      </c>
      <c r="E4121">
        <v>24.35</v>
      </c>
      <c r="F4121">
        <v>24.85</v>
      </c>
      <c r="G4121">
        <v>25.45</v>
      </c>
      <c r="H4121">
        <v>0.67500000000000004</v>
      </c>
      <c r="I4121">
        <v>722</v>
      </c>
      <c r="J4121">
        <v>0</v>
      </c>
      <c r="K4121">
        <v>29255</v>
      </c>
      <c r="L4121">
        <v>0</v>
      </c>
      <c r="M4121">
        <v>0</v>
      </c>
      <c r="N4121" t="s">
        <v>51</v>
      </c>
      <c r="O4121" s="3">
        <v>44034</v>
      </c>
      <c r="P4121">
        <v>-1</v>
      </c>
      <c r="T4121" t="s">
        <v>34</v>
      </c>
      <c r="U4121">
        <v>73</v>
      </c>
      <c r="V4121">
        <v>22.894600000000001</v>
      </c>
    </row>
    <row r="4122" spans="1:22" x14ac:dyDescent="0.35">
      <c r="A4122" s="3">
        <v>44034</v>
      </c>
      <c r="B4122" t="s">
        <v>48</v>
      </c>
      <c r="C4122">
        <v>31.58</v>
      </c>
      <c r="D4122">
        <v>32.200000000000003</v>
      </c>
      <c r="E4122">
        <v>31.2</v>
      </c>
      <c r="F4122">
        <v>31.37</v>
      </c>
      <c r="G4122">
        <v>31.25</v>
      </c>
      <c r="H4122">
        <v>-0.22500000000000001</v>
      </c>
      <c r="I4122">
        <v>8910</v>
      </c>
      <c r="J4122">
        <v>0</v>
      </c>
      <c r="K4122">
        <v>26691</v>
      </c>
      <c r="L4122">
        <v>64</v>
      </c>
      <c r="M4122">
        <v>91</v>
      </c>
      <c r="N4122" t="s">
        <v>48</v>
      </c>
      <c r="O4122" s="3">
        <v>44125</v>
      </c>
      <c r="P4122">
        <v>-1</v>
      </c>
      <c r="S4122" s="3">
        <v>44449</v>
      </c>
      <c r="T4122" t="s">
        <v>33</v>
      </c>
      <c r="U4122">
        <v>90</v>
      </c>
      <c r="V4122">
        <v>24.259799999999998</v>
      </c>
    </row>
    <row r="4123" spans="1:22" x14ac:dyDescent="0.35">
      <c r="A4123" s="3">
        <v>44034</v>
      </c>
      <c r="B4123" t="s">
        <v>50</v>
      </c>
      <c r="C4123">
        <v>28</v>
      </c>
      <c r="D4123">
        <v>28.65</v>
      </c>
      <c r="E4123">
        <v>27.21</v>
      </c>
      <c r="F4123">
        <v>27.38</v>
      </c>
      <c r="G4123">
        <v>27.25</v>
      </c>
      <c r="H4123">
        <v>-0.57499999999999996</v>
      </c>
      <c r="I4123">
        <v>68595</v>
      </c>
      <c r="J4123">
        <v>250</v>
      </c>
      <c r="K4123">
        <v>165312</v>
      </c>
      <c r="L4123">
        <v>20</v>
      </c>
      <c r="M4123">
        <v>28</v>
      </c>
      <c r="N4123" t="s">
        <v>50</v>
      </c>
      <c r="O4123" s="3">
        <v>44062</v>
      </c>
      <c r="P4123">
        <v>-1</v>
      </c>
      <c r="T4123" t="s">
        <v>32</v>
      </c>
      <c r="U4123">
        <v>110</v>
      </c>
      <c r="V4123">
        <v>24.721299999999999</v>
      </c>
    </row>
    <row r="4124" spans="1:22" x14ac:dyDescent="0.35">
      <c r="A4124" s="3">
        <v>44034</v>
      </c>
      <c r="B4124" t="s">
        <v>47</v>
      </c>
      <c r="C4124">
        <v>29.45</v>
      </c>
      <c r="D4124">
        <v>30.1</v>
      </c>
      <c r="E4124">
        <v>29.15</v>
      </c>
      <c r="F4124">
        <v>29.3</v>
      </c>
      <c r="G4124">
        <v>29.2</v>
      </c>
      <c r="H4124">
        <v>-0.22500000000000001</v>
      </c>
      <c r="I4124">
        <v>5914</v>
      </c>
      <c r="J4124">
        <v>0</v>
      </c>
      <c r="K4124">
        <v>23344</v>
      </c>
      <c r="L4124">
        <v>84</v>
      </c>
      <c r="M4124">
        <v>119</v>
      </c>
      <c r="N4124" t="s">
        <v>47</v>
      </c>
      <c r="O4124" s="3">
        <v>44153</v>
      </c>
      <c r="P4124">
        <v>-1</v>
      </c>
      <c r="T4124" t="s">
        <v>31</v>
      </c>
      <c r="U4124">
        <v>128</v>
      </c>
      <c r="V4124">
        <v>25.22</v>
      </c>
    </row>
    <row r="4125" spans="1:22" x14ac:dyDescent="0.35">
      <c r="A4125" s="3">
        <v>44034</v>
      </c>
      <c r="B4125" t="s">
        <v>46</v>
      </c>
      <c r="C4125">
        <v>28.1</v>
      </c>
      <c r="D4125">
        <v>28.7</v>
      </c>
      <c r="E4125">
        <v>27.82</v>
      </c>
      <c r="F4125">
        <v>27.91</v>
      </c>
      <c r="G4125">
        <v>27.875</v>
      </c>
      <c r="H4125">
        <v>-0.15</v>
      </c>
      <c r="I4125">
        <v>3677</v>
      </c>
      <c r="J4125">
        <v>0</v>
      </c>
      <c r="K4125">
        <v>12993</v>
      </c>
      <c r="L4125">
        <v>103</v>
      </c>
      <c r="M4125">
        <v>147</v>
      </c>
      <c r="N4125" t="s">
        <v>46</v>
      </c>
      <c r="O4125" s="3">
        <v>44181</v>
      </c>
      <c r="P4125">
        <v>-1</v>
      </c>
      <c r="T4125" t="s">
        <v>30</v>
      </c>
      <c r="U4125">
        <v>154</v>
      </c>
      <c r="V4125">
        <v>25.296199999999999</v>
      </c>
    </row>
    <row r="4126" spans="1:22" x14ac:dyDescent="0.35">
      <c r="A4126" s="3">
        <v>44034</v>
      </c>
      <c r="B4126" t="s">
        <v>45</v>
      </c>
      <c r="C4126">
        <v>28.15</v>
      </c>
      <c r="D4126">
        <v>28.87</v>
      </c>
      <c r="E4126">
        <v>28.1</v>
      </c>
      <c r="F4126">
        <v>28.17</v>
      </c>
      <c r="G4126">
        <v>28.175000000000001</v>
      </c>
      <c r="H4126">
        <v>-0.1</v>
      </c>
      <c r="I4126">
        <v>1747</v>
      </c>
      <c r="J4126">
        <v>0</v>
      </c>
      <c r="K4126">
        <v>4182</v>
      </c>
      <c r="L4126">
        <v>125</v>
      </c>
      <c r="M4126">
        <v>182</v>
      </c>
      <c r="N4126" t="s">
        <v>45</v>
      </c>
      <c r="O4126" s="3">
        <v>44216</v>
      </c>
      <c r="P4126">
        <v>-1</v>
      </c>
      <c r="T4126" t="s">
        <v>29</v>
      </c>
      <c r="U4126">
        <v>174</v>
      </c>
      <c r="V4126">
        <v>25.125</v>
      </c>
    </row>
    <row r="4127" spans="1:22" x14ac:dyDescent="0.35">
      <c r="A4127" s="3">
        <v>44034</v>
      </c>
      <c r="B4127" t="s">
        <v>44</v>
      </c>
      <c r="C4127">
        <v>27.98</v>
      </c>
      <c r="D4127">
        <v>28.3</v>
      </c>
      <c r="E4127">
        <v>27.7</v>
      </c>
      <c r="F4127">
        <v>27.84</v>
      </c>
      <c r="G4127">
        <v>27.824999999999999</v>
      </c>
      <c r="H4127">
        <v>0</v>
      </c>
      <c r="I4127">
        <v>426</v>
      </c>
      <c r="J4127">
        <v>0</v>
      </c>
      <c r="K4127">
        <v>866</v>
      </c>
      <c r="L4127">
        <v>144</v>
      </c>
      <c r="M4127">
        <v>210</v>
      </c>
      <c r="N4127" t="s">
        <v>44</v>
      </c>
      <c r="O4127" s="3">
        <v>44244</v>
      </c>
      <c r="P4127">
        <v>-1</v>
      </c>
      <c r="T4127" t="s">
        <v>36</v>
      </c>
      <c r="U4127">
        <v>28</v>
      </c>
      <c r="V4127">
        <v>22.154299999999999</v>
      </c>
    </row>
    <row r="4128" spans="1:22" x14ac:dyDescent="0.35">
      <c r="A4128" s="3">
        <v>44033</v>
      </c>
      <c r="B4128" t="s">
        <v>46</v>
      </c>
      <c r="C4128">
        <v>27.85</v>
      </c>
      <c r="D4128">
        <v>28.2</v>
      </c>
      <c r="E4128">
        <v>27.25</v>
      </c>
      <c r="F4128">
        <v>28.04</v>
      </c>
      <c r="G4128">
        <v>28.024999999999999</v>
      </c>
      <c r="H4128">
        <v>0.2</v>
      </c>
      <c r="I4128">
        <v>2670</v>
      </c>
      <c r="J4128">
        <v>0</v>
      </c>
      <c r="K4128">
        <v>12804</v>
      </c>
      <c r="L4128">
        <v>104</v>
      </c>
      <c r="M4128">
        <v>148</v>
      </c>
      <c r="N4128" t="s">
        <v>46</v>
      </c>
      <c r="O4128" s="3">
        <v>44181</v>
      </c>
      <c r="P4128">
        <v>-1</v>
      </c>
      <c r="T4128" t="s">
        <v>35</v>
      </c>
      <c r="U4128">
        <v>48</v>
      </c>
      <c r="V4128">
        <v>22.847200000000001</v>
      </c>
    </row>
    <row r="4129" spans="1:22" x14ac:dyDescent="0.35">
      <c r="A4129" s="3">
        <v>44033</v>
      </c>
      <c r="B4129" t="s">
        <v>45</v>
      </c>
      <c r="C4129">
        <v>28.05</v>
      </c>
      <c r="D4129">
        <v>28.4</v>
      </c>
      <c r="E4129">
        <v>27.48</v>
      </c>
      <c r="F4129">
        <v>28.28</v>
      </c>
      <c r="G4129">
        <v>28.274999999999999</v>
      </c>
      <c r="H4129">
        <v>0.25</v>
      </c>
      <c r="I4129">
        <v>1497</v>
      </c>
      <c r="J4129">
        <v>0</v>
      </c>
      <c r="K4129">
        <v>3650</v>
      </c>
      <c r="L4129">
        <v>126</v>
      </c>
      <c r="M4129">
        <v>183</v>
      </c>
      <c r="N4129" t="s">
        <v>45</v>
      </c>
      <c r="O4129" s="3">
        <v>44216</v>
      </c>
      <c r="P4129">
        <v>-1</v>
      </c>
      <c r="T4129" t="s">
        <v>34</v>
      </c>
      <c r="U4129">
        <v>72</v>
      </c>
      <c r="V4129">
        <v>23.200399999999998</v>
      </c>
    </row>
    <row r="4130" spans="1:22" x14ac:dyDescent="0.35">
      <c r="A4130" s="3">
        <v>44033</v>
      </c>
      <c r="B4130" t="s">
        <v>44</v>
      </c>
      <c r="C4130">
        <v>27.45</v>
      </c>
      <c r="D4130">
        <v>27.95</v>
      </c>
      <c r="E4130">
        <v>27.17</v>
      </c>
      <c r="F4130">
        <v>27.88</v>
      </c>
      <c r="G4130">
        <v>27.824999999999999</v>
      </c>
      <c r="H4130">
        <v>0.25</v>
      </c>
      <c r="I4130">
        <v>473</v>
      </c>
      <c r="J4130">
        <v>0</v>
      </c>
      <c r="K4130">
        <v>747</v>
      </c>
      <c r="L4130">
        <v>145</v>
      </c>
      <c r="M4130">
        <v>211</v>
      </c>
      <c r="N4130" t="s">
        <v>44</v>
      </c>
      <c r="O4130" s="3">
        <v>44244</v>
      </c>
      <c r="P4130">
        <v>-1</v>
      </c>
      <c r="S4130" s="3">
        <v>44452</v>
      </c>
      <c r="T4130" t="s">
        <v>33</v>
      </c>
      <c r="U4130">
        <v>89</v>
      </c>
      <c r="V4130">
        <v>24.0686</v>
      </c>
    </row>
    <row r="4131" spans="1:22" x14ac:dyDescent="0.35">
      <c r="A4131" s="3">
        <v>44033</v>
      </c>
      <c r="B4131" t="s">
        <v>49</v>
      </c>
      <c r="C4131">
        <v>28.9</v>
      </c>
      <c r="D4131">
        <v>29.65</v>
      </c>
      <c r="E4131">
        <v>28.22</v>
      </c>
      <c r="F4131">
        <v>29.45</v>
      </c>
      <c r="G4131">
        <v>29.324999999999999</v>
      </c>
      <c r="H4131">
        <v>0.35</v>
      </c>
      <c r="I4131">
        <v>19864</v>
      </c>
      <c r="J4131">
        <v>0</v>
      </c>
      <c r="K4131">
        <v>30623</v>
      </c>
      <c r="L4131">
        <v>40</v>
      </c>
      <c r="M4131">
        <v>57</v>
      </c>
      <c r="N4131" t="s">
        <v>49</v>
      </c>
      <c r="O4131" s="3">
        <v>44090</v>
      </c>
      <c r="P4131">
        <v>-1</v>
      </c>
      <c r="T4131" t="s">
        <v>32</v>
      </c>
      <c r="U4131">
        <v>109</v>
      </c>
      <c r="V4131">
        <v>24.535900000000002</v>
      </c>
    </row>
    <row r="4132" spans="1:22" x14ac:dyDescent="0.35">
      <c r="A4132" s="3">
        <v>44033</v>
      </c>
      <c r="B4132" t="s">
        <v>51</v>
      </c>
      <c r="C4132">
        <v>24.7</v>
      </c>
      <c r="D4132">
        <v>25.58</v>
      </c>
      <c r="E4132">
        <v>23.83</v>
      </c>
      <c r="F4132">
        <v>24.83</v>
      </c>
      <c r="G4132">
        <v>24.774999999999999</v>
      </c>
      <c r="H4132">
        <v>0.05</v>
      </c>
      <c r="I4132">
        <v>54193</v>
      </c>
      <c r="J4132">
        <v>0</v>
      </c>
      <c r="K4132">
        <v>30782</v>
      </c>
      <c r="L4132">
        <v>1</v>
      </c>
      <c r="M4132">
        <v>1</v>
      </c>
      <c r="N4132" t="s">
        <v>51</v>
      </c>
      <c r="O4132" s="3">
        <v>44034</v>
      </c>
      <c r="P4132">
        <v>-1</v>
      </c>
      <c r="T4132" t="s">
        <v>31</v>
      </c>
      <c r="U4132">
        <v>127</v>
      </c>
      <c r="V4132">
        <v>25.05</v>
      </c>
    </row>
    <row r="4133" spans="1:22" x14ac:dyDescent="0.35">
      <c r="A4133" s="3">
        <v>44033</v>
      </c>
      <c r="B4133" t="s">
        <v>48</v>
      </c>
      <c r="C4133">
        <v>31.25</v>
      </c>
      <c r="D4133">
        <v>31.72</v>
      </c>
      <c r="E4133">
        <v>30.6</v>
      </c>
      <c r="F4133">
        <v>31.54</v>
      </c>
      <c r="G4133">
        <v>31.475000000000001</v>
      </c>
      <c r="H4133">
        <v>0.2</v>
      </c>
      <c r="I4133">
        <v>9777</v>
      </c>
      <c r="J4133">
        <v>0</v>
      </c>
      <c r="K4133">
        <v>26398</v>
      </c>
      <c r="L4133">
        <v>65</v>
      </c>
      <c r="M4133">
        <v>92</v>
      </c>
      <c r="N4133" t="s">
        <v>48</v>
      </c>
      <c r="O4133" s="3">
        <v>44125</v>
      </c>
      <c r="P4133">
        <v>-1</v>
      </c>
      <c r="T4133" t="s">
        <v>30</v>
      </c>
      <c r="U4133">
        <v>153</v>
      </c>
      <c r="V4133">
        <v>25.074999999999999</v>
      </c>
    </row>
    <row r="4134" spans="1:22" x14ac:dyDescent="0.35">
      <c r="A4134" s="3">
        <v>44033</v>
      </c>
      <c r="B4134" t="s">
        <v>50</v>
      </c>
      <c r="C4134">
        <v>27.46</v>
      </c>
      <c r="D4134">
        <v>28.3</v>
      </c>
      <c r="E4134">
        <v>26.65</v>
      </c>
      <c r="F4134">
        <v>27.9</v>
      </c>
      <c r="G4134">
        <v>27.824999999999999</v>
      </c>
      <c r="H4134">
        <v>0.3</v>
      </c>
      <c r="I4134">
        <v>84347</v>
      </c>
      <c r="J4134">
        <v>0</v>
      </c>
      <c r="K4134">
        <v>167202</v>
      </c>
      <c r="L4134">
        <v>21</v>
      </c>
      <c r="M4134">
        <v>29</v>
      </c>
      <c r="N4134" t="s">
        <v>50</v>
      </c>
      <c r="O4134" s="3">
        <v>44062</v>
      </c>
      <c r="P4134">
        <v>-1</v>
      </c>
      <c r="T4134" t="s">
        <v>29</v>
      </c>
      <c r="U4134">
        <v>173</v>
      </c>
      <c r="V4134">
        <v>25.05</v>
      </c>
    </row>
    <row r="4135" spans="1:22" x14ac:dyDescent="0.35">
      <c r="A4135" s="3">
        <v>44033</v>
      </c>
      <c r="B4135" t="s">
        <v>47</v>
      </c>
      <c r="C4135">
        <v>29.3</v>
      </c>
      <c r="D4135">
        <v>29.65</v>
      </c>
      <c r="E4135">
        <v>28.6</v>
      </c>
      <c r="F4135">
        <v>29.42</v>
      </c>
      <c r="G4135">
        <v>29.425000000000001</v>
      </c>
      <c r="H4135">
        <v>0.15</v>
      </c>
      <c r="I4135">
        <v>5938</v>
      </c>
      <c r="J4135">
        <v>0</v>
      </c>
      <c r="K4135">
        <v>23726</v>
      </c>
      <c r="L4135">
        <v>85</v>
      </c>
      <c r="M4135">
        <v>120</v>
      </c>
      <c r="N4135" t="s">
        <v>47</v>
      </c>
      <c r="O4135" s="3">
        <v>44153</v>
      </c>
      <c r="P4135">
        <v>-1</v>
      </c>
      <c r="T4135" t="s">
        <v>36</v>
      </c>
      <c r="U4135">
        <v>27</v>
      </c>
      <c r="V4135">
        <v>21.332100000000001</v>
      </c>
    </row>
    <row r="4136" spans="1:22" x14ac:dyDescent="0.35">
      <c r="A4136" s="3">
        <v>44032</v>
      </c>
      <c r="B4136" t="s">
        <v>49</v>
      </c>
      <c r="C4136">
        <v>29.85</v>
      </c>
      <c r="D4136">
        <v>30.67</v>
      </c>
      <c r="E4136">
        <v>28.82</v>
      </c>
      <c r="F4136">
        <v>28.88</v>
      </c>
      <c r="G4136">
        <v>28.975000000000001</v>
      </c>
      <c r="H4136">
        <v>-1.2</v>
      </c>
      <c r="I4136">
        <v>20684</v>
      </c>
      <c r="J4136">
        <v>0</v>
      </c>
      <c r="K4136">
        <v>28205</v>
      </c>
      <c r="L4136">
        <v>41</v>
      </c>
      <c r="M4136">
        <v>58</v>
      </c>
      <c r="N4136" t="s">
        <v>49</v>
      </c>
      <c r="O4136" s="3">
        <v>44090</v>
      </c>
      <c r="P4136">
        <v>-1</v>
      </c>
      <c r="T4136" t="s">
        <v>35</v>
      </c>
      <c r="U4136">
        <v>47</v>
      </c>
      <c r="V4136">
        <v>22.392399999999999</v>
      </c>
    </row>
    <row r="4137" spans="1:22" x14ac:dyDescent="0.35">
      <c r="A4137" s="3">
        <v>44032</v>
      </c>
      <c r="B4137" t="s">
        <v>51</v>
      </c>
      <c r="C4137">
        <v>26.5</v>
      </c>
      <c r="D4137">
        <v>27.1</v>
      </c>
      <c r="E4137">
        <v>24.45</v>
      </c>
      <c r="F4137">
        <v>24.7</v>
      </c>
      <c r="G4137">
        <v>24.725000000000001</v>
      </c>
      <c r="H4137">
        <v>-1.7</v>
      </c>
      <c r="I4137">
        <v>53120</v>
      </c>
      <c r="J4137">
        <v>0</v>
      </c>
      <c r="K4137">
        <v>39160</v>
      </c>
      <c r="L4137">
        <v>2</v>
      </c>
      <c r="M4137">
        <v>2</v>
      </c>
      <c r="N4137" t="s">
        <v>51</v>
      </c>
      <c r="O4137" s="3">
        <v>44034</v>
      </c>
      <c r="P4137">
        <v>-1</v>
      </c>
      <c r="T4137" t="s">
        <v>34</v>
      </c>
      <c r="U4137">
        <v>71</v>
      </c>
      <c r="V4137">
        <v>22.987300000000001</v>
      </c>
    </row>
    <row r="4138" spans="1:22" x14ac:dyDescent="0.35">
      <c r="A4138" s="3">
        <v>44032</v>
      </c>
      <c r="B4138" t="s">
        <v>48</v>
      </c>
      <c r="C4138">
        <v>32.31</v>
      </c>
      <c r="D4138">
        <v>32.85</v>
      </c>
      <c r="E4138">
        <v>31.2</v>
      </c>
      <c r="F4138">
        <v>31.24</v>
      </c>
      <c r="G4138">
        <v>31.274999999999999</v>
      </c>
      <c r="H4138">
        <v>-1.1499999999999999</v>
      </c>
      <c r="I4138">
        <v>11458</v>
      </c>
      <c r="J4138">
        <v>0</v>
      </c>
      <c r="K4138">
        <v>26700</v>
      </c>
      <c r="L4138">
        <v>66</v>
      </c>
      <c r="M4138">
        <v>93</v>
      </c>
      <c r="N4138" t="s">
        <v>48</v>
      </c>
      <c r="O4138" s="3">
        <v>44125</v>
      </c>
      <c r="P4138">
        <v>-1</v>
      </c>
      <c r="S4138" s="3">
        <v>44453</v>
      </c>
      <c r="T4138" t="s">
        <v>33</v>
      </c>
      <c r="U4138">
        <v>88</v>
      </c>
      <c r="V4138">
        <v>24.299299999999999</v>
      </c>
    </row>
    <row r="4139" spans="1:22" x14ac:dyDescent="0.35">
      <c r="A4139" s="3">
        <v>44032</v>
      </c>
      <c r="B4139" t="s">
        <v>50</v>
      </c>
      <c r="C4139">
        <v>28.8</v>
      </c>
      <c r="D4139">
        <v>29.6</v>
      </c>
      <c r="E4139">
        <v>27.2</v>
      </c>
      <c r="F4139">
        <v>27.45</v>
      </c>
      <c r="G4139">
        <v>27.524999999999999</v>
      </c>
      <c r="H4139">
        <v>-1.45</v>
      </c>
      <c r="I4139">
        <v>73921</v>
      </c>
      <c r="J4139">
        <v>0</v>
      </c>
      <c r="K4139">
        <v>158664</v>
      </c>
      <c r="L4139">
        <v>22</v>
      </c>
      <c r="M4139">
        <v>30</v>
      </c>
      <c r="N4139" t="s">
        <v>50</v>
      </c>
      <c r="O4139" s="3">
        <v>44062</v>
      </c>
      <c r="P4139">
        <v>-1</v>
      </c>
      <c r="T4139" t="s">
        <v>32</v>
      </c>
      <c r="U4139">
        <v>108</v>
      </c>
      <c r="V4139">
        <v>24.709599999999998</v>
      </c>
    </row>
    <row r="4140" spans="1:22" x14ac:dyDescent="0.35">
      <c r="A4140" s="3">
        <v>44032</v>
      </c>
      <c r="B4140" t="s">
        <v>47</v>
      </c>
      <c r="C4140">
        <v>30.3</v>
      </c>
      <c r="D4140">
        <v>30.8</v>
      </c>
      <c r="E4140">
        <v>29.05</v>
      </c>
      <c r="F4140">
        <v>29.27</v>
      </c>
      <c r="G4140">
        <v>29.274999999999999</v>
      </c>
      <c r="H4140">
        <v>-1.2</v>
      </c>
      <c r="I4140">
        <v>11382</v>
      </c>
      <c r="J4140">
        <v>0</v>
      </c>
      <c r="K4140">
        <v>23392</v>
      </c>
      <c r="L4140">
        <v>86</v>
      </c>
      <c r="M4140">
        <v>121</v>
      </c>
      <c r="N4140" t="s">
        <v>47</v>
      </c>
      <c r="O4140" s="3">
        <v>44153</v>
      </c>
      <c r="P4140">
        <v>-1</v>
      </c>
      <c r="T4140" t="s">
        <v>31</v>
      </c>
      <c r="U4140">
        <v>126</v>
      </c>
      <c r="V4140">
        <v>25.2</v>
      </c>
    </row>
    <row r="4141" spans="1:22" x14ac:dyDescent="0.35">
      <c r="A4141" s="3">
        <v>44032</v>
      </c>
      <c r="B4141" t="s">
        <v>46</v>
      </c>
      <c r="C4141">
        <v>28.9</v>
      </c>
      <c r="D4141">
        <v>29.27</v>
      </c>
      <c r="E4141">
        <v>27.65</v>
      </c>
      <c r="F4141">
        <v>27.8</v>
      </c>
      <c r="G4141">
        <v>27.824999999999999</v>
      </c>
      <c r="H4141">
        <v>-1.125</v>
      </c>
      <c r="I4141">
        <v>3726</v>
      </c>
      <c r="J4141">
        <v>0</v>
      </c>
      <c r="K4141">
        <v>12371</v>
      </c>
      <c r="L4141">
        <v>105</v>
      </c>
      <c r="M4141">
        <v>149</v>
      </c>
      <c r="N4141" t="s">
        <v>46</v>
      </c>
      <c r="O4141" s="3">
        <v>44181</v>
      </c>
      <c r="P4141">
        <v>-1</v>
      </c>
      <c r="T4141" t="s">
        <v>30</v>
      </c>
      <c r="U4141">
        <v>152</v>
      </c>
      <c r="V4141">
        <v>25.274999999999999</v>
      </c>
    </row>
    <row r="4142" spans="1:22" x14ac:dyDescent="0.35">
      <c r="A4142" s="3">
        <v>44032</v>
      </c>
      <c r="B4142" t="s">
        <v>45</v>
      </c>
      <c r="C4142">
        <v>28.98</v>
      </c>
      <c r="D4142">
        <v>29.32</v>
      </c>
      <c r="E4142">
        <v>27.87</v>
      </c>
      <c r="F4142">
        <v>28.03</v>
      </c>
      <c r="G4142">
        <v>28.024999999999999</v>
      </c>
      <c r="H4142">
        <v>-0.97499999999999998</v>
      </c>
      <c r="I4142">
        <v>991</v>
      </c>
      <c r="J4142">
        <v>0</v>
      </c>
      <c r="K4142">
        <v>3608</v>
      </c>
      <c r="L4142">
        <v>127</v>
      </c>
      <c r="M4142">
        <v>184</v>
      </c>
      <c r="N4142" t="s">
        <v>45</v>
      </c>
      <c r="O4142" s="3">
        <v>44216</v>
      </c>
      <c r="P4142">
        <v>-1</v>
      </c>
      <c r="T4142" t="s">
        <v>29</v>
      </c>
      <c r="U4142">
        <v>172</v>
      </c>
      <c r="V4142">
        <v>25.2</v>
      </c>
    </row>
    <row r="4143" spans="1:22" x14ac:dyDescent="0.35">
      <c r="A4143" s="3">
        <v>44032</v>
      </c>
      <c r="B4143" t="s">
        <v>44</v>
      </c>
      <c r="C4143">
        <v>28.49</v>
      </c>
      <c r="D4143">
        <v>28.8</v>
      </c>
      <c r="E4143">
        <v>27.5</v>
      </c>
      <c r="F4143">
        <v>27.55</v>
      </c>
      <c r="G4143">
        <v>27.574999999999999</v>
      </c>
      <c r="H4143">
        <v>-0.92500000000000004</v>
      </c>
      <c r="I4143">
        <v>194</v>
      </c>
      <c r="J4143">
        <v>0</v>
      </c>
      <c r="K4143">
        <v>595</v>
      </c>
      <c r="L4143">
        <v>146</v>
      </c>
      <c r="M4143">
        <v>212</v>
      </c>
      <c r="N4143" t="s">
        <v>44</v>
      </c>
      <c r="O4143" s="3">
        <v>44244</v>
      </c>
      <c r="P4143">
        <v>-1</v>
      </c>
      <c r="T4143" t="s">
        <v>36</v>
      </c>
      <c r="U4143">
        <v>26</v>
      </c>
      <c r="V4143">
        <v>21.560500000000001</v>
      </c>
    </row>
    <row r="4144" spans="1:22" x14ac:dyDescent="0.35">
      <c r="A4144" s="3">
        <v>44029</v>
      </c>
      <c r="B4144" t="s">
        <v>46</v>
      </c>
      <c r="C4144">
        <v>29.3</v>
      </c>
      <c r="D4144">
        <v>29.3</v>
      </c>
      <c r="E4144">
        <v>28.66</v>
      </c>
      <c r="F4144">
        <v>28.93</v>
      </c>
      <c r="G4144">
        <v>28.95</v>
      </c>
      <c r="H4144">
        <v>-0.3</v>
      </c>
      <c r="I4144">
        <v>3828</v>
      </c>
      <c r="J4144">
        <v>0</v>
      </c>
      <c r="K4144">
        <v>11489</v>
      </c>
      <c r="L4144">
        <v>106</v>
      </c>
      <c r="M4144">
        <v>152</v>
      </c>
      <c r="N4144" t="s">
        <v>46</v>
      </c>
      <c r="O4144" s="3">
        <v>44181</v>
      </c>
      <c r="P4144">
        <v>-1</v>
      </c>
      <c r="T4144" t="s">
        <v>35</v>
      </c>
      <c r="U4144">
        <v>46</v>
      </c>
      <c r="V4144">
        <v>22.6707</v>
      </c>
    </row>
    <row r="4145" spans="1:22" x14ac:dyDescent="0.35">
      <c r="A4145" s="3">
        <v>44029</v>
      </c>
      <c r="B4145" t="s">
        <v>45</v>
      </c>
      <c r="C4145">
        <v>29.32</v>
      </c>
      <c r="D4145">
        <v>29.35</v>
      </c>
      <c r="E4145">
        <v>28.83</v>
      </c>
      <c r="F4145">
        <v>29</v>
      </c>
      <c r="G4145">
        <v>29</v>
      </c>
      <c r="H4145">
        <v>-0.375</v>
      </c>
      <c r="I4145">
        <v>1134</v>
      </c>
      <c r="J4145">
        <v>0</v>
      </c>
      <c r="K4145">
        <v>3530</v>
      </c>
      <c r="L4145">
        <v>128</v>
      </c>
      <c r="M4145">
        <v>187</v>
      </c>
      <c r="N4145" t="s">
        <v>45</v>
      </c>
      <c r="O4145" s="3">
        <v>44216</v>
      </c>
      <c r="P4145">
        <v>-1</v>
      </c>
      <c r="T4145" t="s">
        <v>34</v>
      </c>
      <c r="U4145">
        <v>70</v>
      </c>
      <c r="V4145">
        <v>23.306100000000001</v>
      </c>
    </row>
    <row r="4146" spans="1:22" x14ac:dyDescent="0.35">
      <c r="A4146" s="3">
        <v>44029</v>
      </c>
      <c r="B4146" t="s">
        <v>44</v>
      </c>
      <c r="C4146">
        <v>28.8</v>
      </c>
      <c r="D4146">
        <v>28.85</v>
      </c>
      <c r="E4146">
        <v>28.4</v>
      </c>
      <c r="F4146">
        <v>28.53</v>
      </c>
      <c r="G4146">
        <v>28.5</v>
      </c>
      <c r="H4146">
        <v>-0.35</v>
      </c>
      <c r="I4146">
        <v>146</v>
      </c>
      <c r="J4146">
        <v>0</v>
      </c>
      <c r="K4146">
        <v>513</v>
      </c>
      <c r="L4146">
        <v>147</v>
      </c>
      <c r="M4146">
        <v>215</v>
      </c>
      <c r="N4146" t="s">
        <v>44</v>
      </c>
      <c r="O4146" s="3">
        <v>44244</v>
      </c>
      <c r="P4146">
        <v>-1</v>
      </c>
      <c r="S4146" s="3">
        <v>44454</v>
      </c>
      <c r="T4146" t="s">
        <v>33</v>
      </c>
      <c r="U4146">
        <v>87</v>
      </c>
      <c r="V4146">
        <v>24.000499999999999</v>
      </c>
    </row>
    <row r="4147" spans="1:22" x14ac:dyDescent="0.35">
      <c r="A4147" s="3">
        <v>44029</v>
      </c>
      <c r="B4147" t="s">
        <v>49</v>
      </c>
      <c r="C4147">
        <v>31.05</v>
      </c>
      <c r="D4147">
        <v>31.07</v>
      </c>
      <c r="E4147">
        <v>30.04</v>
      </c>
      <c r="F4147">
        <v>30.2</v>
      </c>
      <c r="G4147">
        <v>30.175000000000001</v>
      </c>
      <c r="H4147">
        <v>-0.9</v>
      </c>
      <c r="I4147">
        <v>12328</v>
      </c>
      <c r="J4147">
        <v>0</v>
      </c>
      <c r="K4147">
        <v>29234</v>
      </c>
      <c r="L4147">
        <v>42</v>
      </c>
      <c r="M4147">
        <v>61</v>
      </c>
      <c r="N4147" t="s">
        <v>49</v>
      </c>
      <c r="O4147" s="3">
        <v>44090</v>
      </c>
      <c r="P4147">
        <v>-1</v>
      </c>
      <c r="T4147" t="s">
        <v>32</v>
      </c>
      <c r="U4147">
        <v>107</v>
      </c>
      <c r="V4147">
        <v>24.417899999999999</v>
      </c>
    </row>
    <row r="4148" spans="1:22" x14ac:dyDescent="0.35">
      <c r="A4148" s="3">
        <v>44029</v>
      </c>
      <c r="B4148" t="s">
        <v>43</v>
      </c>
      <c r="C4148">
        <v>27.05</v>
      </c>
      <c r="D4148">
        <v>28.5</v>
      </c>
      <c r="E4148">
        <v>27.05</v>
      </c>
      <c r="F4148">
        <v>28.5</v>
      </c>
      <c r="G4148">
        <v>28.024999999999999</v>
      </c>
      <c r="H4148">
        <v>1.375</v>
      </c>
      <c r="I4148">
        <v>12</v>
      </c>
      <c r="J4148">
        <v>0</v>
      </c>
      <c r="K4148">
        <v>13</v>
      </c>
      <c r="L4148">
        <v>167</v>
      </c>
      <c r="M4148">
        <v>243</v>
      </c>
      <c r="N4148" t="s">
        <v>43</v>
      </c>
      <c r="O4148" s="3">
        <v>44272</v>
      </c>
      <c r="P4148">
        <v>-1</v>
      </c>
      <c r="T4148" t="s">
        <v>31</v>
      </c>
      <c r="U4148">
        <v>125</v>
      </c>
      <c r="V4148">
        <v>24.9</v>
      </c>
    </row>
    <row r="4149" spans="1:22" x14ac:dyDescent="0.35">
      <c r="A4149" s="3">
        <v>44029</v>
      </c>
      <c r="B4149" t="s">
        <v>51</v>
      </c>
      <c r="C4149">
        <v>28.15</v>
      </c>
      <c r="D4149">
        <v>28.2</v>
      </c>
      <c r="E4149">
        <v>26.1</v>
      </c>
      <c r="F4149">
        <v>26.34</v>
      </c>
      <c r="G4149">
        <v>26.425000000000001</v>
      </c>
      <c r="H4149">
        <v>-1.7</v>
      </c>
      <c r="I4149">
        <v>52566</v>
      </c>
      <c r="J4149">
        <v>0</v>
      </c>
      <c r="K4149">
        <v>43873</v>
      </c>
      <c r="L4149">
        <v>3</v>
      </c>
      <c r="M4149">
        <v>5</v>
      </c>
      <c r="N4149" t="s">
        <v>51</v>
      </c>
      <c r="O4149" s="3">
        <v>44034</v>
      </c>
      <c r="P4149">
        <v>-1</v>
      </c>
      <c r="T4149" t="s">
        <v>30</v>
      </c>
      <c r="U4149">
        <v>151</v>
      </c>
      <c r="V4149">
        <v>25.0031</v>
      </c>
    </row>
    <row r="4150" spans="1:22" x14ac:dyDescent="0.35">
      <c r="A4150" s="3">
        <v>44029</v>
      </c>
      <c r="B4150" t="s">
        <v>48</v>
      </c>
      <c r="C4150">
        <v>33</v>
      </c>
      <c r="D4150">
        <v>33.119999999999997</v>
      </c>
      <c r="E4150">
        <v>32.200000000000003</v>
      </c>
      <c r="F4150">
        <v>32.450000000000003</v>
      </c>
      <c r="G4150">
        <v>32.424999999999997</v>
      </c>
      <c r="H4150">
        <v>-0.7</v>
      </c>
      <c r="I4150">
        <v>5368</v>
      </c>
      <c r="J4150">
        <v>0</v>
      </c>
      <c r="K4150">
        <v>25434</v>
      </c>
      <c r="L4150">
        <v>67</v>
      </c>
      <c r="M4150">
        <v>96</v>
      </c>
      <c r="N4150" t="s">
        <v>48</v>
      </c>
      <c r="O4150" s="3">
        <v>44125</v>
      </c>
      <c r="P4150">
        <v>-1</v>
      </c>
      <c r="T4150" t="s">
        <v>29</v>
      </c>
      <c r="U4150">
        <v>171</v>
      </c>
      <c r="V4150">
        <v>24.975000000000001</v>
      </c>
    </row>
    <row r="4151" spans="1:22" x14ac:dyDescent="0.35">
      <c r="A4151" s="3">
        <v>44029</v>
      </c>
      <c r="B4151" t="s">
        <v>50</v>
      </c>
      <c r="C4151">
        <v>30.25</v>
      </c>
      <c r="D4151">
        <v>30.3</v>
      </c>
      <c r="E4151">
        <v>28.85</v>
      </c>
      <c r="F4151">
        <v>28.98</v>
      </c>
      <c r="G4151">
        <v>28.975000000000001</v>
      </c>
      <c r="H4151">
        <v>-1.3</v>
      </c>
      <c r="I4151">
        <v>56343</v>
      </c>
      <c r="J4151">
        <v>0</v>
      </c>
      <c r="K4151">
        <v>151526</v>
      </c>
      <c r="L4151">
        <v>23</v>
      </c>
      <c r="M4151">
        <v>33</v>
      </c>
      <c r="N4151" t="s">
        <v>50</v>
      </c>
      <c r="O4151" s="3">
        <v>44062</v>
      </c>
      <c r="P4151">
        <v>-1</v>
      </c>
      <c r="T4151" t="s">
        <v>36</v>
      </c>
      <c r="U4151">
        <v>25</v>
      </c>
      <c r="V4151">
        <v>20.837900000000001</v>
      </c>
    </row>
    <row r="4152" spans="1:22" x14ac:dyDescent="0.35">
      <c r="A4152" s="3">
        <v>44029</v>
      </c>
      <c r="B4152" t="s">
        <v>47</v>
      </c>
      <c r="C4152">
        <v>30.9</v>
      </c>
      <c r="D4152">
        <v>31</v>
      </c>
      <c r="E4152">
        <v>30.05</v>
      </c>
      <c r="F4152">
        <v>30.43</v>
      </c>
      <c r="G4152">
        <v>30.475000000000001</v>
      </c>
      <c r="H4152">
        <v>-0.5</v>
      </c>
      <c r="I4152">
        <v>7414</v>
      </c>
      <c r="J4152">
        <v>0</v>
      </c>
      <c r="K4152">
        <v>21591</v>
      </c>
      <c r="L4152">
        <v>87</v>
      </c>
      <c r="M4152">
        <v>124</v>
      </c>
      <c r="N4152" t="s">
        <v>47</v>
      </c>
      <c r="O4152" s="3">
        <v>44153</v>
      </c>
      <c r="P4152">
        <v>-1</v>
      </c>
      <c r="T4152" t="s">
        <v>35</v>
      </c>
      <c r="U4152">
        <v>45</v>
      </c>
      <c r="V4152">
        <v>22.2987</v>
      </c>
    </row>
    <row r="4153" spans="1:22" x14ac:dyDescent="0.35">
      <c r="A4153" s="3">
        <v>44028</v>
      </c>
      <c r="B4153" t="s">
        <v>49</v>
      </c>
      <c r="C4153">
        <v>31.15</v>
      </c>
      <c r="D4153">
        <v>32.229999999999997</v>
      </c>
      <c r="E4153">
        <v>30.76</v>
      </c>
      <c r="F4153">
        <v>31.09</v>
      </c>
      <c r="G4153">
        <v>31.074999999999999</v>
      </c>
      <c r="H4153">
        <v>-0.1</v>
      </c>
      <c r="I4153">
        <v>9411</v>
      </c>
      <c r="J4153">
        <v>0</v>
      </c>
      <c r="K4153">
        <v>28030</v>
      </c>
      <c r="L4153">
        <v>43</v>
      </c>
      <c r="M4153">
        <v>62</v>
      </c>
      <c r="N4153" t="s">
        <v>49</v>
      </c>
      <c r="O4153" s="3">
        <v>44090</v>
      </c>
      <c r="P4153">
        <v>-1</v>
      </c>
      <c r="T4153" t="s">
        <v>34</v>
      </c>
      <c r="U4153">
        <v>69</v>
      </c>
      <c r="V4153">
        <v>23.043299999999999</v>
      </c>
    </row>
    <row r="4154" spans="1:22" x14ac:dyDescent="0.35">
      <c r="A4154" s="3">
        <v>44028</v>
      </c>
      <c r="B4154" t="s">
        <v>43</v>
      </c>
      <c r="C4154">
        <v>30.75</v>
      </c>
      <c r="D4154">
        <v>30.75</v>
      </c>
      <c r="E4154">
        <v>30.4</v>
      </c>
      <c r="F4154">
        <v>30.75</v>
      </c>
      <c r="G4154">
        <v>26.65</v>
      </c>
      <c r="H4154">
        <v>-0.95</v>
      </c>
      <c r="I4154">
        <v>1</v>
      </c>
      <c r="J4154">
        <v>0</v>
      </c>
      <c r="K4154">
        <v>1</v>
      </c>
      <c r="L4154">
        <v>168</v>
      </c>
      <c r="M4154">
        <v>244</v>
      </c>
      <c r="N4154" t="s">
        <v>43</v>
      </c>
      <c r="O4154" s="3">
        <v>44272</v>
      </c>
      <c r="P4154">
        <v>-1</v>
      </c>
      <c r="S4154" s="3">
        <v>44455</v>
      </c>
      <c r="T4154" t="s">
        <v>33</v>
      </c>
      <c r="U4154">
        <v>86</v>
      </c>
      <c r="V4154">
        <v>23.85</v>
      </c>
    </row>
    <row r="4155" spans="1:22" x14ac:dyDescent="0.35">
      <c r="A4155" s="3">
        <v>44028</v>
      </c>
      <c r="B4155" t="s">
        <v>51</v>
      </c>
      <c r="C4155">
        <v>28.34</v>
      </c>
      <c r="D4155">
        <v>29.7</v>
      </c>
      <c r="E4155">
        <v>27.5</v>
      </c>
      <c r="F4155">
        <v>28.09</v>
      </c>
      <c r="G4155">
        <v>28.125</v>
      </c>
      <c r="H4155">
        <v>-0.2</v>
      </c>
      <c r="I4155">
        <v>54826</v>
      </c>
      <c r="J4155">
        <v>0</v>
      </c>
      <c r="K4155">
        <v>49965</v>
      </c>
      <c r="L4155">
        <v>4</v>
      </c>
      <c r="M4155">
        <v>6</v>
      </c>
      <c r="N4155" t="s">
        <v>51</v>
      </c>
      <c r="O4155" s="3">
        <v>44034</v>
      </c>
      <c r="P4155">
        <v>-1</v>
      </c>
      <c r="T4155" t="s">
        <v>32</v>
      </c>
      <c r="U4155">
        <v>106</v>
      </c>
      <c r="V4155">
        <v>24.2941</v>
      </c>
    </row>
    <row r="4156" spans="1:22" x14ac:dyDescent="0.35">
      <c r="A4156" s="3">
        <v>44028</v>
      </c>
      <c r="B4156" t="s">
        <v>48</v>
      </c>
      <c r="C4156">
        <v>33.090000000000003</v>
      </c>
      <c r="D4156">
        <v>34.07</v>
      </c>
      <c r="E4156">
        <v>32.880000000000003</v>
      </c>
      <c r="F4156">
        <v>33.15</v>
      </c>
      <c r="G4156">
        <v>33.125</v>
      </c>
      <c r="H4156">
        <v>0</v>
      </c>
      <c r="I4156">
        <v>4604</v>
      </c>
      <c r="J4156">
        <v>0</v>
      </c>
      <c r="K4156">
        <v>24846</v>
      </c>
      <c r="L4156">
        <v>68</v>
      </c>
      <c r="M4156">
        <v>97</v>
      </c>
      <c r="N4156" t="s">
        <v>48</v>
      </c>
      <c r="O4156" s="3">
        <v>44125</v>
      </c>
      <c r="P4156">
        <v>-1</v>
      </c>
      <c r="T4156" t="s">
        <v>31</v>
      </c>
      <c r="U4156">
        <v>124</v>
      </c>
      <c r="V4156">
        <v>24.8</v>
      </c>
    </row>
    <row r="4157" spans="1:22" x14ac:dyDescent="0.35">
      <c r="A4157" s="3">
        <v>44028</v>
      </c>
      <c r="B4157" t="s">
        <v>50</v>
      </c>
      <c r="C4157">
        <v>30.4</v>
      </c>
      <c r="D4157">
        <v>31.76</v>
      </c>
      <c r="E4157">
        <v>29.9</v>
      </c>
      <c r="F4157">
        <v>30.26</v>
      </c>
      <c r="G4157">
        <v>30.274999999999999</v>
      </c>
      <c r="H4157">
        <v>-0.1</v>
      </c>
      <c r="I4157">
        <v>51742</v>
      </c>
      <c r="J4157">
        <v>0</v>
      </c>
      <c r="K4157">
        <v>145157</v>
      </c>
      <c r="L4157">
        <v>24</v>
      </c>
      <c r="M4157">
        <v>34</v>
      </c>
      <c r="N4157" t="s">
        <v>50</v>
      </c>
      <c r="O4157" s="3">
        <v>44062</v>
      </c>
      <c r="P4157">
        <v>-1</v>
      </c>
      <c r="T4157" t="s">
        <v>30</v>
      </c>
      <c r="U4157">
        <v>150</v>
      </c>
      <c r="V4157">
        <v>24.914999999999999</v>
      </c>
    </row>
    <row r="4158" spans="1:22" x14ac:dyDescent="0.35">
      <c r="A4158" s="3">
        <v>44028</v>
      </c>
      <c r="B4158" t="s">
        <v>47</v>
      </c>
      <c r="C4158">
        <v>30.98</v>
      </c>
      <c r="D4158">
        <v>31.85</v>
      </c>
      <c r="E4158">
        <v>30.75</v>
      </c>
      <c r="F4158">
        <v>30.97</v>
      </c>
      <c r="G4158">
        <v>30.975000000000001</v>
      </c>
      <c r="H4158">
        <v>-0.05</v>
      </c>
      <c r="I4158">
        <v>2742</v>
      </c>
      <c r="J4158">
        <v>0</v>
      </c>
      <c r="K4158">
        <v>20241</v>
      </c>
      <c r="L4158">
        <v>88</v>
      </c>
      <c r="M4158">
        <v>125</v>
      </c>
      <c r="N4158" t="s">
        <v>47</v>
      </c>
      <c r="O4158" s="3">
        <v>44153</v>
      </c>
      <c r="P4158">
        <v>-1</v>
      </c>
      <c r="T4158" t="s">
        <v>29</v>
      </c>
      <c r="U4158">
        <v>170</v>
      </c>
      <c r="V4158">
        <v>24.875</v>
      </c>
    </row>
    <row r="4159" spans="1:22" x14ac:dyDescent="0.35">
      <c r="A4159" s="3">
        <v>44028</v>
      </c>
      <c r="B4159" t="s">
        <v>46</v>
      </c>
      <c r="C4159">
        <v>29.22</v>
      </c>
      <c r="D4159">
        <v>30</v>
      </c>
      <c r="E4159">
        <v>29.05</v>
      </c>
      <c r="F4159">
        <v>29.3</v>
      </c>
      <c r="G4159">
        <v>29.25</v>
      </c>
      <c r="H4159">
        <v>-2.5000000000000001E-2</v>
      </c>
      <c r="I4159">
        <v>1329</v>
      </c>
      <c r="J4159">
        <v>0</v>
      </c>
      <c r="K4159">
        <v>11007</v>
      </c>
      <c r="L4159">
        <v>107</v>
      </c>
      <c r="M4159">
        <v>153</v>
      </c>
      <c r="N4159" t="s">
        <v>46</v>
      </c>
      <c r="O4159" s="3">
        <v>44181</v>
      </c>
      <c r="P4159">
        <v>-1</v>
      </c>
      <c r="T4159" t="s">
        <v>36</v>
      </c>
      <c r="U4159">
        <v>24</v>
      </c>
      <c r="V4159">
        <v>20.555599999999998</v>
      </c>
    </row>
    <row r="4160" spans="1:22" x14ac:dyDescent="0.35">
      <c r="A4160" s="3">
        <v>44028</v>
      </c>
      <c r="B4160" t="s">
        <v>45</v>
      </c>
      <c r="C4160">
        <v>29.46</v>
      </c>
      <c r="D4160">
        <v>30.01</v>
      </c>
      <c r="E4160">
        <v>29.15</v>
      </c>
      <c r="F4160">
        <v>29.35</v>
      </c>
      <c r="G4160">
        <v>29.375</v>
      </c>
      <c r="H4160">
        <v>0.05</v>
      </c>
      <c r="I4160">
        <v>1180</v>
      </c>
      <c r="J4160">
        <v>0</v>
      </c>
      <c r="K4160">
        <v>3373</v>
      </c>
      <c r="L4160">
        <v>129</v>
      </c>
      <c r="M4160">
        <v>188</v>
      </c>
      <c r="N4160" t="s">
        <v>45</v>
      </c>
      <c r="O4160" s="3">
        <v>44216</v>
      </c>
      <c r="P4160">
        <v>-1</v>
      </c>
      <c r="T4160" t="s">
        <v>35</v>
      </c>
      <c r="U4160">
        <v>44</v>
      </c>
      <c r="V4160">
        <v>22.002099999999999</v>
      </c>
    </row>
    <row r="4161" spans="1:22" x14ac:dyDescent="0.35">
      <c r="A4161" s="3">
        <v>44028</v>
      </c>
      <c r="B4161" t="s">
        <v>44</v>
      </c>
      <c r="C4161">
        <v>29.3</v>
      </c>
      <c r="D4161">
        <v>29.5</v>
      </c>
      <c r="E4161">
        <v>28.6</v>
      </c>
      <c r="F4161">
        <v>28.87</v>
      </c>
      <c r="G4161">
        <v>28.85</v>
      </c>
      <c r="H4161">
        <v>-2.5000000000000001E-2</v>
      </c>
      <c r="I4161">
        <v>265</v>
      </c>
      <c r="J4161">
        <v>0</v>
      </c>
      <c r="K4161">
        <v>484</v>
      </c>
      <c r="L4161">
        <v>148</v>
      </c>
      <c r="M4161">
        <v>216</v>
      </c>
      <c r="N4161" t="s">
        <v>44</v>
      </c>
      <c r="O4161" s="3">
        <v>44244</v>
      </c>
      <c r="P4161">
        <v>-1</v>
      </c>
      <c r="T4161" t="s">
        <v>34</v>
      </c>
      <c r="U4161">
        <v>68</v>
      </c>
      <c r="V4161">
        <v>22.795400000000001</v>
      </c>
    </row>
    <row r="4162" spans="1:22" x14ac:dyDescent="0.35">
      <c r="A4162" s="3">
        <v>44027</v>
      </c>
      <c r="B4162" t="s">
        <v>46</v>
      </c>
      <c r="C4162">
        <v>29.2</v>
      </c>
      <c r="D4162">
        <v>30</v>
      </c>
      <c r="E4162">
        <v>29</v>
      </c>
      <c r="F4162">
        <v>29.3</v>
      </c>
      <c r="G4162">
        <v>29.274999999999999</v>
      </c>
      <c r="H4162">
        <v>-0.25</v>
      </c>
      <c r="I4162">
        <v>1457</v>
      </c>
      <c r="J4162">
        <v>0</v>
      </c>
      <c r="K4162">
        <v>10814</v>
      </c>
      <c r="L4162">
        <v>108</v>
      </c>
      <c r="M4162">
        <v>154</v>
      </c>
      <c r="N4162" t="s">
        <v>46</v>
      </c>
      <c r="O4162" s="3">
        <v>44181</v>
      </c>
      <c r="P4162">
        <v>-1</v>
      </c>
      <c r="S4162" s="3">
        <v>44456</v>
      </c>
      <c r="T4162" t="s">
        <v>33</v>
      </c>
      <c r="U4162">
        <v>85</v>
      </c>
      <c r="V4162">
        <v>24.349499999999999</v>
      </c>
    </row>
    <row r="4163" spans="1:22" x14ac:dyDescent="0.35">
      <c r="A4163" s="3">
        <v>44027</v>
      </c>
      <c r="B4163" t="s">
        <v>45</v>
      </c>
      <c r="C4163">
        <v>29.3</v>
      </c>
      <c r="D4163">
        <v>30</v>
      </c>
      <c r="E4163">
        <v>29</v>
      </c>
      <c r="F4163">
        <v>29.3</v>
      </c>
      <c r="G4163">
        <v>29.324999999999999</v>
      </c>
      <c r="H4163">
        <v>-0.2</v>
      </c>
      <c r="I4163">
        <v>755</v>
      </c>
      <c r="J4163">
        <v>0</v>
      </c>
      <c r="K4163">
        <v>3398</v>
      </c>
      <c r="L4163">
        <v>130</v>
      </c>
      <c r="M4163">
        <v>189</v>
      </c>
      <c r="N4163" t="s">
        <v>45</v>
      </c>
      <c r="O4163" s="3">
        <v>44216</v>
      </c>
      <c r="P4163">
        <v>-1</v>
      </c>
      <c r="T4163" t="s">
        <v>32</v>
      </c>
      <c r="U4163">
        <v>105</v>
      </c>
      <c r="V4163">
        <v>24.7</v>
      </c>
    </row>
    <row r="4164" spans="1:22" x14ac:dyDescent="0.35">
      <c r="A4164" s="3">
        <v>44027</v>
      </c>
      <c r="B4164" t="s">
        <v>44</v>
      </c>
      <c r="C4164">
        <v>28.75</v>
      </c>
      <c r="D4164">
        <v>29.5</v>
      </c>
      <c r="E4164">
        <v>28.7</v>
      </c>
      <c r="F4164">
        <v>28.95</v>
      </c>
      <c r="G4164">
        <v>28.875</v>
      </c>
      <c r="H4164">
        <v>-0.17499999999999999</v>
      </c>
      <c r="I4164">
        <v>133</v>
      </c>
      <c r="J4164">
        <v>0</v>
      </c>
      <c r="K4164">
        <v>377</v>
      </c>
      <c r="L4164">
        <v>149</v>
      </c>
      <c r="M4164">
        <v>217</v>
      </c>
      <c r="N4164" t="s">
        <v>44</v>
      </c>
      <c r="O4164" s="3">
        <v>44244</v>
      </c>
      <c r="P4164">
        <v>-1</v>
      </c>
      <c r="T4164" t="s">
        <v>31</v>
      </c>
      <c r="U4164">
        <v>123</v>
      </c>
      <c r="V4164">
        <v>25.209099999999999</v>
      </c>
    </row>
    <row r="4165" spans="1:22" x14ac:dyDescent="0.35">
      <c r="A4165" s="3">
        <v>44027</v>
      </c>
      <c r="B4165" t="s">
        <v>49</v>
      </c>
      <c r="C4165">
        <v>31.5</v>
      </c>
      <c r="D4165">
        <v>32.200000000000003</v>
      </c>
      <c r="E4165">
        <v>30.8</v>
      </c>
      <c r="F4165">
        <v>31.14</v>
      </c>
      <c r="G4165">
        <v>31.175000000000001</v>
      </c>
      <c r="H4165">
        <v>-0.5</v>
      </c>
      <c r="I4165">
        <v>9909</v>
      </c>
      <c r="J4165">
        <v>0</v>
      </c>
      <c r="K4165">
        <v>27156</v>
      </c>
      <c r="L4165">
        <v>44</v>
      </c>
      <c r="M4165">
        <v>63</v>
      </c>
      <c r="N4165" t="s">
        <v>49</v>
      </c>
      <c r="O4165" s="3">
        <v>44090</v>
      </c>
      <c r="P4165">
        <v>-1</v>
      </c>
      <c r="T4165" t="s">
        <v>30</v>
      </c>
      <c r="U4165">
        <v>149</v>
      </c>
      <c r="V4165">
        <v>25.3</v>
      </c>
    </row>
    <row r="4166" spans="1:22" x14ac:dyDescent="0.35">
      <c r="A4166" s="3">
        <v>44027</v>
      </c>
      <c r="B4166" t="s">
        <v>51</v>
      </c>
      <c r="C4166">
        <v>29.45</v>
      </c>
      <c r="D4166">
        <v>29.91</v>
      </c>
      <c r="E4166">
        <v>28.27</v>
      </c>
      <c r="F4166">
        <v>28.35</v>
      </c>
      <c r="G4166">
        <v>28.324999999999999</v>
      </c>
      <c r="H4166">
        <v>-1.3</v>
      </c>
      <c r="I4166">
        <v>63319</v>
      </c>
      <c r="J4166">
        <v>26</v>
      </c>
      <c r="K4166">
        <v>57145</v>
      </c>
      <c r="L4166">
        <v>5</v>
      </c>
      <c r="M4166">
        <v>7</v>
      </c>
      <c r="N4166" t="s">
        <v>51</v>
      </c>
      <c r="O4166" s="3">
        <v>44034</v>
      </c>
      <c r="P4166">
        <v>-1</v>
      </c>
      <c r="T4166" t="s">
        <v>29</v>
      </c>
      <c r="U4166">
        <v>169</v>
      </c>
      <c r="V4166">
        <v>25.15</v>
      </c>
    </row>
    <row r="4167" spans="1:22" x14ac:dyDescent="0.35">
      <c r="A4167" s="3">
        <v>44027</v>
      </c>
      <c r="B4167" t="s">
        <v>48</v>
      </c>
      <c r="C4167">
        <v>33.15</v>
      </c>
      <c r="D4167">
        <v>34.03</v>
      </c>
      <c r="E4167">
        <v>32.86</v>
      </c>
      <c r="F4167">
        <v>33.119999999999997</v>
      </c>
      <c r="G4167">
        <v>33.125</v>
      </c>
      <c r="H4167">
        <v>-0.4</v>
      </c>
      <c r="I4167">
        <v>4047</v>
      </c>
      <c r="J4167">
        <v>0</v>
      </c>
      <c r="K4167">
        <v>24440</v>
      </c>
      <c r="L4167">
        <v>69</v>
      </c>
      <c r="M4167">
        <v>98</v>
      </c>
      <c r="N4167" t="s">
        <v>48</v>
      </c>
      <c r="O4167" s="3">
        <v>44125</v>
      </c>
      <c r="P4167">
        <v>-1</v>
      </c>
      <c r="T4167" t="s">
        <v>36</v>
      </c>
      <c r="U4167">
        <v>23</v>
      </c>
      <c r="V4167">
        <v>21.9377</v>
      </c>
    </row>
    <row r="4168" spans="1:22" x14ac:dyDescent="0.35">
      <c r="A4168" s="3">
        <v>44027</v>
      </c>
      <c r="B4168" t="s">
        <v>50</v>
      </c>
      <c r="C4168">
        <v>30.9</v>
      </c>
      <c r="D4168">
        <v>31.73</v>
      </c>
      <c r="E4168">
        <v>30.2</v>
      </c>
      <c r="F4168">
        <v>30.42</v>
      </c>
      <c r="G4168">
        <v>30.375</v>
      </c>
      <c r="H4168">
        <v>-0.9</v>
      </c>
      <c r="I4168">
        <v>60322</v>
      </c>
      <c r="J4168">
        <v>99</v>
      </c>
      <c r="K4168">
        <v>136269</v>
      </c>
      <c r="L4168">
        <v>25</v>
      </c>
      <c r="M4168">
        <v>35</v>
      </c>
      <c r="N4168" t="s">
        <v>50</v>
      </c>
      <c r="O4168" s="3">
        <v>44062</v>
      </c>
      <c r="P4168">
        <v>-1</v>
      </c>
      <c r="T4168" t="s">
        <v>35</v>
      </c>
      <c r="U4168">
        <v>43</v>
      </c>
      <c r="V4168">
        <v>22.948899999999998</v>
      </c>
    </row>
    <row r="4169" spans="1:22" x14ac:dyDescent="0.35">
      <c r="A4169" s="3">
        <v>44027</v>
      </c>
      <c r="B4169" t="s">
        <v>47</v>
      </c>
      <c r="C4169">
        <v>30.95</v>
      </c>
      <c r="D4169">
        <v>31.75</v>
      </c>
      <c r="E4169">
        <v>30.75</v>
      </c>
      <c r="F4169">
        <v>31</v>
      </c>
      <c r="G4169">
        <v>31.024999999999999</v>
      </c>
      <c r="H4169">
        <v>-0.3</v>
      </c>
      <c r="I4169">
        <v>3255</v>
      </c>
      <c r="J4169">
        <v>0</v>
      </c>
      <c r="K4169">
        <v>20267</v>
      </c>
      <c r="L4169">
        <v>89</v>
      </c>
      <c r="M4169">
        <v>126</v>
      </c>
      <c r="N4169" t="s">
        <v>47</v>
      </c>
      <c r="O4169" s="3">
        <v>44153</v>
      </c>
      <c r="P4169">
        <v>-1</v>
      </c>
      <c r="T4169" t="s">
        <v>34</v>
      </c>
      <c r="U4169">
        <v>67</v>
      </c>
      <c r="V4169">
        <v>23.4405</v>
      </c>
    </row>
    <row r="4170" spans="1:22" x14ac:dyDescent="0.35">
      <c r="A4170" s="3">
        <v>44026</v>
      </c>
      <c r="B4170" t="s">
        <v>49</v>
      </c>
      <c r="C4170">
        <v>33</v>
      </c>
      <c r="D4170">
        <v>33.75</v>
      </c>
      <c r="E4170">
        <v>31.55</v>
      </c>
      <c r="F4170">
        <v>31.68</v>
      </c>
      <c r="G4170">
        <v>31.675000000000001</v>
      </c>
      <c r="H4170">
        <v>-1.55</v>
      </c>
      <c r="I4170">
        <v>16491</v>
      </c>
      <c r="J4170">
        <v>0</v>
      </c>
      <c r="K4170">
        <v>26886</v>
      </c>
      <c r="L4170">
        <v>45</v>
      </c>
      <c r="M4170">
        <v>64</v>
      </c>
      <c r="N4170" t="s">
        <v>49</v>
      </c>
      <c r="O4170" s="3">
        <v>44090</v>
      </c>
      <c r="P4170">
        <v>-1</v>
      </c>
      <c r="S4170" s="3">
        <v>44459</v>
      </c>
      <c r="T4170" t="s">
        <v>33</v>
      </c>
      <c r="U4170">
        <v>84</v>
      </c>
      <c r="V4170">
        <v>25.4788</v>
      </c>
    </row>
    <row r="4171" spans="1:22" x14ac:dyDescent="0.35">
      <c r="A4171" s="3">
        <v>44026</v>
      </c>
      <c r="B4171" t="s">
        <v>51</v>
      </c>
      <c r="C4171">
        <v>32.1</v>
      </c>
      <c r="D4171">
        <v>32.81</v>
      </c>
      <c r="E4171">
        <v>29.58</v>
      </c>
      <c r="F4171">
        <v>29.65</v>
      </c>
      <c r="G4171">
        <v>29.625</v>
      </c>
      <c r="H4171">
        <v>-2.2000000000000002</v>
      </c>
      <c r="I4171">
        <v>82543</v>
      </c>
      <c r="J4171">
        <v>0</v>
      </c>
      <c r="K4171">
        <v>63190</v>
      </c>
      <c r="L4171">
        <v>6</v>
      </c>
      <c r="M4171">
        <v>8</v>
      </c>
      <c r="N4171" t="s">
        <v>51</v>
      </c>
      <c r="O4171" s="3">
        <v>44034</v>
      </c>
      <c r="P4171">
        <v>-1</v>
      </c>
      <c r="T4171" t="s">
        <v>32</v>
      </c>
      <c r="U4171">
        <v>104</v>
      </c>
      <c r="V4171">
        <v>25.624199999999998</v>
      </c>
    </row>
    <row r="4172" spans="1:22" x14ac:dyDescent="0.35">
      <c r="A4172" s="3">
        <v>44026</v>
      </c>
      <c r="B4172" t="s">
        <v>48</v>
      </c>
      <c r="C4172">
        <v>34.65</v>
      </c>
      <c r="D4172">
        <v>35.33</v>
      </c>
      <c r="E4172">
        <v>33.4</v>
      </c>
      <c r="F4172">
        <v>33.51</v>
      </c>
      <c r="G4172">
        <v>33.524999999999999</v>
      </c>
      <c r="H4172">
        <v>-1.35</v>
      </c>
      <c r="I4172">
        <v>6982</v>
      </c>
      <c r="J4172">
        <v>0</v>
      </c>
      <c r="K4172">
        <v>24577</v>
      </c>
      <c r="L4172">
        <v>70</v>
      </c>
      <c r="M4172">
        <v>99</v>
      </c>
      <c r="N4172" t="s">
        <v>48</v>
      </c>
      <c r="O4172" s="3">
        <v>44125</v>
      </c>
      <c r="P4172">
        <v>-1</v>
      </c>
      <c r="T4172" t="s">
        <v>31</v>
      </c>
      <c r="U4172">
        <v>122</v>
      </c>
      <c r="V4172">
        <v>25.965900000000001</v>
      </c>
    </row>
    <row r="4173" spans="1:22" x14ac:dyDescent="0.35">
      <c r="A4173" s="3">
        <v>44026</v>
      </c>
      <c r="B4173" t="s">
        <v>50</v>
      </c>
      <c r="C4173">
        <v>32.9</v>
      </c>
      <c r="D4173">
        <v>33.64</v>
      </c>
      <c r="E4173">
        <v>31.15</v>
      </c>
      <c r="F4173">
        <v>31.25</v>
      </c>
      <c r="G4173">
        <v>31.274999999999999</v>
      </c>
      <c r="H4173">
        <v>-1.7</v>
      </c>
      <c r="I4173">
        <v>70755</v>
      </c>
      <c r="J4173">
        <v>0</v>
      </c>
      <c r="K4173">
        <v>128955</v>
      </c>
      <c r="L4173">
        <v>26</v>
      </c>
      <c r="M4173">
        <v>36</v>
      </c>
      <c r="N4173" t="s">
        <v>50</v>
      </c>
      <c r="O4173" s="3">
        <v>44062</v>
      </c>
      <c r="P4173">
        <v>-1</v>
      </c>
      <c r="T4173" t="s">
        <v>30</v>
      </c>
      <c r="U4173">
        <v>148</v>
      </c>
      <c r="V4173">
        <v>26.074999999999999</v>
      </c>
    </row>
    <row r="4174" spans="1:22" x14ac:dyDescent="0.35">
      <c r="A4174" s="3">
        <v>44026</v>
      </c>
      <c r="B4174" t="s">
        <v>47</v>
      </c>
      <c r="C4174">
        <v>31.95</v>
      </c>
      <c r="D4174">
        <v>32.9</v>
      </c>
      <c r="E4174">
        <v>31.1</v>
      </c>
      <c r="F4174">
        <v>31.3</v>
      </c>
      <c r="G4174">
        <v>31.324999999999999</v>
      </c>
      <c r="H4174">
        <v>-1.1000000000000001</v>
      </c>
      <c r="I4174">
        <v>4074</v>
      </c>
      <c r="J4174">
        <v>0</v>
      </c>
      <c r="K4174">
        <v>20481</v>
      </c>
      <c r="L4174">
        <v>90</v>
      </c>
      <c r="M4174">
        <v>127</v>
      </c>
      <c r="N4174" t="s">
        <v>47</v>
      </c>
      <c r="O4174" s="3">
        <v>44153</v>
      </c>
      <c r="P4174">
        <v>-1</v>
      </c>
      <c r="T4174" t="s">
        <v>29</v>
      </c>
      <c r="U4174">
        <v>168</v>
      </c>
      <c r="V4174">
        <v>25.824999999999999</v>
      </c>
    </row>
    <row r="4175" spans="1:22" x14ac:dyDescent="0.35">
      <c r="A4175" s="3">
        <v>44026</v>
      </c>
      <c r="B4175" t="s">
        <v>46</v>
      </c>
      <c r="C4175">
        <v>30.35</v>
      </c>
      <c r="D4175">
        <v>31.05</v>
      </c>
      <c r="E4175">
        <v>29.32</v>
      </c>
      <c r="F4175">
        <v>29.5</v>
      </c>
      <c r="G4175">
        <v>29.524999999999999</v>
      </c>
      <c r="H4175">
        <v>-1.1000000000000001</v>
      </c>
      <c r="I4175">
        <v>2431</v>
      </c>
      <c r="J4175">
        <v>0</v>
      </c>
      <c r="K4175">
        <v>10822</v>
      </c>
      <c r="L4175">
        <v>109</v>
      </c>
      <c r="M4175">
        <v>155</v>
      </c>
      <c r="N4175" t="s">
        <v>46</v>
      </c>
      <c r="O4175" s="3">
        <v>44181</v>
      </c>
      <c r="P4175">
        <v>-1</v>
      </c>
      <c r="T4175" t="s">
        <v>28</v>
      </c>
      <c r="U4175">
        <v>187</v>
      </c>
      <c r="V4175">
        <v>25.824999999999999</v>
      </c>
    </row>
    <row r="4176" spans="1:22" x14ac:dyDescent="0.35">
      <c r="A4176" s="3">
        <v>44026</v>
      </c>
      <c r="B4176" t="s">
        <v>45</v>
      </c>
      <c r="C4176">
        <v>30.35</v>
      </c>
      <c r="D4176">
        <v>31</v>
      </c>
      <c r="E4176">
        <v>29.35</v>
      </c>
      <c r="F4176">
        <v>29.55</v>
      </c>
      <c r="G4176">
        <v>29.524999999999999</v>
      </c>
      <c r="H4176">
        <v>-1.125</v>
      </c>
      <c r="I4176">
        <v>1044</v>
      </c>
      <c r="J4176">
        <v>0</v>
      </c>
      <c r="K4176">
        <v>3257</v>
      </c>
      <c r="L4176">
        <v>131</v>
      </c>
      <c r="M4176">
        <v>190</v>
      </c>
      <c r="N4176" t="s">
        <v>45</v>
      </c>
      <c r="O4176" s="3">
        <v>44216</v>
      </c>
      <c r="P4176">
        <v>-1</v>
      </c>
      <c r="T4176" t="s">
        <v>36</v>
      </c>
      <c r="U4176">
        <v>22</v>
      </c>
      <c r="V4176">
        <v>24.462900000000001</v>
      </c>
    </row>
    <row r="4177" spans="1:22" x14ac:dyDescent="0.35">
      <c r="A4177" s="3">
        <v>44026</v>
      </c>
      <c r="B4177" t="s">
        <v>44</v>
      </c>
      <c r="C4177">
        <v>29.93</v>
      </c>
      <c r="D4177">
        <v>30.5</v>
      </c>
      <c r="E4177">
        <v>28.95</v>
      </c>
      <c r="F4177">
        <v>29.05</v>
      </c>
      <c r="G4177">
        <v>29.05</v>
      </c>
      <c r="H4177">
        <v>-1.175</v>
      </c>
      <c r="I4177">
        <v>141</v>
      </c>
      <c r="J4177">
        <v>0</v>
      </c>
      <c r="K4177">
        <v>373</v>
      </c>
      <c r="L4177">
        <v>150</v>
      </c>
      <c r="M4177">
        <v>218</v>
      </c>
      <c r="N4177" t="s">
        <v>44</v>
      </c>
      <c r="O4177" s="3">
        <v>44244</v>
      </c>
      <c r="P4177">
        <v>-1</v>
      </c>
      <c r="T4177" t="s">
        <v>35</v>
      </c>
      <c r="U4177">
        <v>42</v>
      </c>
      <c r="V4177">
        <v>24.697500000000002</v>
      </c>
    </row>
    <row r="4178" spans="1:22" x14ac:dyDescent="0.35">
      <c r="A4178" s="3">
        <v>44025</v>
      </c>
      <c r="B4178" t="s">
        <v>46</v>
      </c>
      <c r="C4178">
        <v>28.64</v>
      </c>
      <c r="D4178">
        <v>30.82</v>
      </c>
      <c r="E4178">
        <v>28.39</v>
      </c>
      <c r="F4178">
        <v>30.42</v>
      </c>
      <c r="G4178">
        <v>30.625</v>
      </c>
      <c r="H4178">
        <v>1.825</v>
      </c>
      <c r="I4178">
        <v>2110</v>
      </c>
      <c r="J4178">
        <v>0</v>
      </c>
      <c r="K4178">
        <v>10743</v>
      </c>
      <c r="L4178">
        <v>110</v>
      </c>
      <c r="M4178">
        <v>156</v>
      </c>
      <c r="N4178" t="s">
        <v>46</v>
      </c>
      <c r="O4178" s="3">
        <v>44181</v>
      </c>
      <c r="P4178">
        <v>-1</v>
      </c>
      <c r="T4178" t="s">
        <v>34</v>
      </c>
      <c r="U4178">
        <v>66</v>
      </c>
      <c r="V4178">
        <v>24.8125</v>
      </c>
    </row>
    <row r="4179" spans="1:22" x14ac:dyDescent="0.35">
      <c r="A4179" s="3">
        <v>44025</v>
      </c>
      <c r="B4179" t="s">
        <v>45</v>
      </c>
      <c r="C4179">
        <v>28.84</v>
      </c>
      <c r="D4179">
        <v>30.85</v>
      </c>
      <c r="E4179">
        <v>28.6</v>
      </c>
      <c r="F4179">
        <v>30.55</v>
      </c>
      <c r="G4179">
        <v>30.65</v>
      </c>
      <c r="H4179">
        <v>1.675</v>
      </c>
      <c r="I4179">
        <v>837</v>
      </c>
      <c r="J4179">
        <v>0</v>
      </c>
      <c r="K4179">
        <v>3120</v>
      </c>
      <c r="L4179">
        <v>132</v>
      </c>
      <c r="M4179">
        <v>191</v>
      </c>
      <c r="N4179" t="s">
        <v>45</v>
      </c>
      <c r="O4179" s="3">
        <v>44216</v>
      </c>
      <c r="P4179">
        <v>-1</v>
      </c>
      <c r="S4179" s="3">
        <v>44460</v>
      </c>
      <c r="T4179" t="s">
        <v>33</v>
      </c>
      <c r="U4179">
        <v>83</v>
      </c>
      <c r="V4179">
        <v>24.993200000000002</v>
      </c>
    </row>
    <row r="4180" spans="1:22" x14ac:dyDescent="0.35">
      <c r="A4180" s="3">
        <v>44025</v>
      </c>
      <c r="B4180" t="s">
        <v>44</v>
      </c>
      <c r="C4180">
        <v>28.5</v>
      </c>
      <c r="D4180">
        <v>30.35</v>
      </c>
      <c r="E4180">
        <v>28.48</v>
      </c>
      <c r="F4180">
        <v>30.2</v>
      </c>
      <c r="G4180">
        <v>30.225000000000001</v>
      </c>
      <c r="H4180">
        <v>1.55</v>
      </c>
      <c r="I4180">
        <v>147</v>
      </c>
      <c r="J4180">
        <v>0</v>
      </c>
      <c r="K4180">
        <v>332</v>
      </c>
      <c r="L4180">
        <v>151</v>
      </c>
      <c r="M4180">
        <v>219</v>
      </c>
      <c r="N4180" t="s">
        <v>44</v>
      </c>
      <c r="O4180" s="3">
        <v>44244</v>
      </c>
      <c r="P4180">
        <v>-1</v>
      </c>
      <c r="T4180" t="s">
        <v>32</v>
      </c>
      <c r="U4180">
        <v>103</v>
      </c>
      <c r="V4180">
        <v>25.2</v>
      </c>
    </row>
    <row r="4181" spans="1:22" x14ac:dyDescent="0.35">
      <c r="A4181" s="3">
        <v>44025</v>
      </c>
      <c r="B4181" t="s">
        <v>49</v>
      </c>
      <c r="C4181">
        <v>30.6</v>
      </c>
      <c r="D4181">
        <v>33.549999999999997</v>
      </c>
      <c r="E4181">
        <v>30.35</v>
      </c>
      <c r="F4181">
        <v>32.869999999999997</v>
      </c>
      <c r="G4181">
        <v>33.225000000000001</v>
      </c>
      <c r="H4181">
        <v>2.35</v>
      </c>
      <c r="I4181">
        <v>14626</v>
      </c>
      <c r="J4181">
        <v>0</v>
      </c>
      <c r="K4181">
        <v>27287</v>
      </c>
      <c r="L4181">
        <v>46</v>
      </c>
      <c r="M4181">
        <v>65</v>
      </c>
      <c r="N4181" t="s">
        <v>49</v>
      </c>
      <c r="O4181" s="3">
        <v>44090</v>
      </c>
      <c r="P4181">
        <v>-1</v>
      </c>
      <c r="T4181" t="s">
        <v>31</v>
      </c>
      <c r="U4181">
        <v>121</v>
      </c>
      <c r="V4181">
        <v>25.548999999999999</v>
      </c>
    </row>
    <row r="4182" spans="1:22" x14ac:dyDescent="0.35">
      <c r="A4182" s="3">
        <v>44025</v>
      </c>
      <c r="B4182" t="s">
        <v>51</v>
      </c>
      <c r="C4182">
        <v>28.67</v>
      </c>
      <c r="D4182">
        <v>32.450000000000003</v>
      </c>
      <c r="E4182">
        <v>28.2</v>
      </c>
      <c r="F4182">
        <v>32.1</v>
      </c>
      <c r="G4182">
        <v>31.824999999999999</v>
      </c>
      <c r="H4182">
        <v>3.05</v>
      </c>
      <c r="I4182">
        <v>87364</v>
      </c>
      <c r="J4182">
        <v>0</v>
      </c>
      <c r="K4182">
        <v>71074</v>
      </c>
      <c r="L4182">
        <v>7</v>
      </c>
      <c r="M4182">
        <v>9</v>
      </c>
      <c r="N4182" t="s">
        <v>51</v>
      </c>
      <c r="O4182" s="3">
        <v>44034</v>
      </c>
      <c r="P4182">
        <v>-1</v>
      </c>
      <c r="T4182" t="s">
        <v>30</v>
      </c>
      <c r="U4182">
        <v>147</v>
      </c>
      <c r="V4182">
        <v>25.6</v>
      </c>
    </row>
    <row r="4183" spans="1:22" x14ac:dyDescent="0.35">
      <c r="A4183" s="3">
        <v>44025</v>
      </c>
      <c r="B4183" t="s">
        <v>48</v>
      </c>
      <c r="C4183">
        <v>32.49</v>
      </c>
      <c r="D4183">
        <v>35.07</v>
      </c>
      <c r="E4183">
        <v>32.299999999999997</v>
      </c>
      <c r="F4183">
        <v>34.590000000000003</v>
      </c>
      <c r="G4183">
        <v>34.875</v>
      </c>
      <c r="H4183">
        <v>2.1</v>
      </c>
      <c r="I4183">
        <v>7108</v>
      </c>
      <c r="J4183">
        <v>0</v>
      </c>
      <c r="K4183">
        <v>24389</v>
      </c>
      <c r="L4183">
        <v>71</v>
      </c>
      <c r="M4183">
        <v>100</v>
      </c>
      <c r="N4183" t="s">
        <v>48</v>
      </c>
      <c r="O4183" s="3">
        <v>44125</v>
      </c>
      <c r="P4183">
        <v>-1</v>
      </c>
      <c r="T4183" t="s">
        <v>29</v>
      </c>
      <c r="U4183">
        <v>167</v>
      </c>
      <c r="V4183">
        <v>25.625</v>
      </c>
    </row>
    <row r="4184" spans="1:22" x14ac:dyDescent="0.35">
      <c r="A4184" s="3">
        <v>44025</v>
      </c>
      <c r="B4184" t="s">
        <v>50</v>
      </c>
      <c r="C4184">
        <v>30.15</v>
      </c>
      <c r="D4184">
        <v>33.4</v>
      </c>
      <c r="E4184">
        <v>29.75</v>
      </c>
      <c r="F4184">
        <v>32.9</v>
      </c>
      <c r="G4184">
        <v>32.975000000000001</v>
      </c>
      <c r="H4184">
        <v>2.65</v>
      </c>
      <c r="I4184">
        <v>86132</v>
      </c>
      <c r="J4184">
        <v>288</v>
      </c>
      <c r="K4184">
        <v>122319</v>
      </c>
      <c r="L4184">
        <v>27</v>
      </c>
      <c r="M4184">
        <v>37</v>
      </c>
      <c r="N4184" t="s">
        <v>50</v>
      </c>
      <c r="O4184" s="3">
        <v>44062</v>
      </c>
      <c r="P4184">
        <v>-1</v>
      </c>
      <c r="T4184" t="s">
        <v>28</v>
      </c>
      <c r="U4184">
        <v>186</v>
      </c>
      <c r="V4184">
        <v>25.5</v>
      </c>
    </row>
    <row r="4185" spans="1:22" x14ac:dyDescent="0.35">
      <c r="A4185" s="3">
        <v>44025</v>
      </c>
      <c r="B4185" t="s">
        <v>47</v>
      </c>
      <c r="C4185">
        <v>30.2</v>
      </c>
      <c r="D4185">
        <v>32.6</v>
      </c>
      <c r="E4185">
        <v>30.05</v>
      </c>
      <c r="F4185">
        <v>32.200000000000003</v>
      </c>
      <c r="G4185">
        <v>32.424999999999997</v>
      </c>
      <c r="H4185">
        <v>1.9</v>
      </c>
      <c r="I4185">
        <v>3177</v>
      </c>
      <c r="J4185">
        <v>0</v>
      </c>
      <c r="K4185">
        <v>20321</v>
      </c>
      <c r="L4185">
        <v>91</v>
      </c>
      <c r="M4185">
        <v>128</v>
      </c>
      <c r="N4185" t="s">
        <v>47</v>
      </c>
      <c r="O4185" s="3">
        <v>44153</v>
      </c>
      <c r="P4185">
        <v>-1</v>
      </c>
      <c r="T4185" t="s">
        <v>36</v>
      </c>
      <c r="U4185">
        <v>21</v>
      </c>
      <c r="V4185">
        <v>23.429400000000001</v>
      </c>
    </row>
    <row r="4186" spans="1:22" x14ac:dyDescent="0.35">
      <c r="A4186" s="3">
        <v>44022</v>
      </c>
      <c r="B4186" t="s">
        <v>49</v>
      </c>
      <c r="C4186">
        <v>31.2</v>
      </c>
      <c r="D4186">
        <v>32.01</v>
      </c>
      <c r="E4186">
        <v>30.75</v>
      </c>
      <c r="F4186">
        <v>30.9</v>
      </c>
      <c r="G4186">
        <v>30.875</v>
      </c>
      <c r="H4186">
        <v>-0.52500000000000002</v>
      </c>
      <c r="I4186">
        <v>7784</v>
      </c>
      <c r="J4186">
        <v>0</v>
      </c>
      <c r="K4186">
        <v>26283</v>
      </c>
      <c r="L4186">
        <v>47</v>
      </c>
      <c r="M4186">
        <v>68</v>
      </c>
      <c r="N4186" t="s">
        <v>49</v>
      </c>
      <c r="O4186" s="3">
        <v>44090</v>
      </c>
      <c r="P4186">
        <v>-1</v>
      </c>
      <c r="T4186" t="s">
        <v>35</v>
      </c>
      <c r="U4186">
        <v>41</v>
      </c>
      <c r="V4186">
        <v>24.115400000000001</v>
      </c>
    </row>
    <row r="4187" spans="1:22" x14ac:dyDescent="0.35">
      <c r="A4187" s="3">
        <v>44022</v>
      </c>
      <c r="B4187" t="s">
        <v>51</v>
      </c>
      <c r="C4187">
        <v>30.2</v>
      </c>
      <c r="D4187">
        <v>31.15</v>
      </c>
      <c r="E4187">
        <v>28.7</v>
      </c>
      <c r="F4187">
        <v>28.88</v>
      </c>
      <c r="G4187">
        <v>28.774999999999999</v>
      </c>
      <c r="H4187">
        <v>-1.45</v>
      </c>
      <c r="I4187">
        <v>57116</v>
      </c>
      <c r="J4187">
        <v>0</v>
      </c>
      <c r="K4187">
        <v>83434</v>
      </c>
      <c r="L4187">
        <v>8</v>
      </c>
      <c r="M4187">
        <v>12</v>
      </c>
      <c r="N4187" t="s">
        <v>51</v>
      </c>
      <c r="O4187" s="3">
        <v>44034</v>
      </c>
      <c r="P4187">
        <v>-1</v>
      </c>
      <c r="T4187" t="s">
        <v>34</v>
      </c>
      <c r="U4187">
        <v>65</v>
      </c>
      <c r="V4187">
        <v>24.3827</v>
      </c>
    </row>
    <row r="4188" spans="1:22" x14ac:dyDescent="0.35">
      <c r="A4188" s="3">
        <v>44022</v>
      </c>
      <c r="B4188" t="s">
        <v>48</v>
      </c>
      <c r="C4188">
        <v>33.049999999999997</v>
      </c>
      <c r="D4188">
        <v>33.72</v>
      </c>
      <c r="E4188">
        <v>32.61</v>
      </c>
      <c r="F4188">
        <v>32.75</v>
      </c>
      <c r="G4188">
        <v>32.774999999999999</v>
      </c>
      <c r="H4188">
        <v>-0.42499999999999999</v>
      </c>
      <c r="I4188">
        <v>4954</v>
      </c>
      <c r="J4188">
        <v>0</v>
      </c>
      <c r="K4188">
        <v>24209</v>
      </c>
      <c r="L4188">
        <v>72</v>
      </c>
      <c r="M4188">
        <v>103</v>
      </c>
      <c r="N4188" t="s">
        <v>48</v>
      </c>
      <c r="O4188" s="3">
        <v>44125</v>
      </c>
      <c r="P4188">
        <v>-1</v>
      </c>
      <c r="S4188" s="3">
        <v>44461</v>
      </c>
      <c r="T4188" t="s">
        <v>33</v>
      </c>
      <c r="U4188">
        <v>82</v>
      </c>
      <c r="V4188">
        <v>24.3399</v>
      </c>
    </row>
    <row r="4189" spans="1:22" x14ac:dyDescent="0.35">
      <c r="A4189" s="3">
        <v>44022</v>
      </c>
      <c r="B4189" t="s">
        <v>50</v>
      </c>
      <c r="C4189">
        <v>31.1</v>
      </c>
      <c r="D4189">
        <v>31.95</v>
      </c>
      <c r="E4189">
        <v>30.2</v>
      </c>
      <c r="F4189">
        <v>30.36</v>
      </c>
      <c r="G4189">
        <v>30.324999999999999</v>
      </c>
      <c r="H4189">
        <v>-0.9</v>
      </c>
      <c r="I4189">
        <v>40775</v>
      </c>
      <c r="J4189">
        <v>176</v>
      </c>
      <c r="K4189">
        <v>105811</v>
      </c>
      <c r="L4189">
        <v>28</v>
      </c>
      <c r="M4189">
        <v>40</v>
      </c>
      <c r="N4189" t="s">
        <v>50</v>
      </c>
      <c r="O4189" s="3">
        <v>44062</v>
      </c>
      <c r="P4189">
        <v>-1</v>
      </c>
      <c r="T4189" t="s">
        <v>32</v>
      </c>
      <c r="U4189">
        <v>102</v>
      </c>
      <c r="V4189">
        <v>24.698699999999999</v>
      </c>
    </row>
    <row r="4190" spans="1:22" x14ac:dyDescent="0.35">
      <c r="A4190" s="3">
        <v>44022</v>
      </c>
      <c r="B4190" t="s">
        <v>47</v>
      </c>
      <c r="C4190">
        <v>30.65</v>
      </c>
      <c r="D4190">
        <v>31.3</v>
      </c>
      <c r="E4190">
        <v>30.36</v>
      </c>
      <c r="F4190">
        <v>30.45</v>
      </c>
      <c r="G4190">
        <v>30.524999999999999</v>
      </c>
      <c r="H4190">
        <v>-0.25</v>
      </c>
      <c r="I4190">
        <v>2949</v>
      </c>
      <c r="J4190">
        <v>0</v>
      </c>
      <c r="K4190">
        <v>20688</v>
      </c>
      <c r="L4190">
        <v>92</v>
      </c>
      <c r="M4190">
        <v>131</v>
      </c>
      <c r="N4190" t="s">
        <v>47</v>
      </c>
      <c r="O4190" s="3">
        <v>44153</v>
      </c>
      <c r="P4190">
        <v>-1</v>
      </c>
      <c r="T4190" t="s">
        <v>31</v>
      </c>
      <c r="U4190">
        <v>120</v>
      </c>
      <c r="V4190">
        <v>25.092700000000001</v>
      </c>
    </row>
    <row r="4191" spans="1:22" x14ac:dyDescent="0.35">
      <c r="A4191" s="3">
        <v>44022</v>
      </c>
      <c r="B4191" t="s">
        <v>46</v>
      </c>
      <c r="C4191">
        <v>29.05</v>
      </c>
      <c r="D4191">
        <v>29.65</v>
      </c>
      <c r="E4191">
        <v>28.7</v>
      </c>
      <c r="F4191">
        <v>28.75</v>
      </c>
      <c r="G4191">
        <v>28.8</v>
      </c>
      <c r="H4191">
        <v>-0.375</v>
      </c>
      <c r="I4191">
        <v>1751</v>
      </c>
      <c r="J4191">
        <v>0</v>
      </c>
      <c r="K4191">
        <v>10327</v>
      </c>
      <c r="L4191">
        <v>111</v>
      </c>
      <c r="M4191">
        <v>159</v>
      </c>
      <c r="N4191" t="s">
        <v>46</v>
      </c>
      <c r="O4191" s="3">
        <v>44181</v>
      </c>
      <c r="P4191">
        <v>-1</v>
      </c>
      <c r="T4191" t="s">
        <v>30</v>
      </c>
      <c r="U4191">
        <v>146</v>
      </c>
      <c r="V4191">
        <v>25.2563</v>
      </c>
    </row>
    <row r="4192" spans="1:22" x14ac:dyDescent="0.35">
      <c r="A4192" s="3">
        <v>44022</v>
      </c>
      <c r="B4192" t="s">
        <v>45</v>
      </c>
      <c r="C4192">
        <v>29.25</v>
      </c>
      <c r="D4192">
        <v>29.75</v>
      </c>
      <c r="E4192">
        <v>28.85</v>
      </c>
      <c r="F4192">
        <v>28.95</v>
      </c>
      <c r="G4192">
        <v>28.975000000000001</v>
      </c>
      <c r="H4192">
        <v>-0.35</v>
      </c>
      <c r="I4192">
        <v>454</v>
      </c>
      <c r="J4192">
        <v>0</v>
      </c>
      <c r="K4192">
        <v>2893</v>
      </c>
      <c r="L4192">
        <v>133</v>
      </c>
      <c r="M4192">
        <v>194</v>
      </c>
      <c r="N4192" t="s">
        <v>45</v>
      </c>
      <c r="O4192" s="3">
        <v>44216</v>
      </c>
      <c r="P4192">
        <v>-1</v>
      </c>
      <c r="T4192" t="s">
        <v>29</v>
      </c>
      <c r="U4192">
        <v>166</v>
      </c>
      <c r="V4192">
        <v>25.15</v>
      </c>
    </row>
    <row r="4193" spans="1:22" x14ac:dyDescent="0.35">
      <c r="A4193" s="3">
        <v>44022</v>
      </c>
      <c r="B4193" t="s">
        <v>44</v>
      </c>
      <c r="C4193">
        <v>29.11</v>
      </c>
      <c r="D4193">
        <v>29.3</v>
      </c>
      <c r="E4193">
        <v>28.65</v>
      </c>
      <c r="F4193">
        <v>28.7</v>
      </c>
      <c r="G4193">
        <v>28.675000000000001</v>
      </c>
      <c r="H4193">
        <v>-0.42499999999999999</v>
      </c>
      <c r="I4193">
        <v>49</v>
      </c>
      <c r="J4193">
        <v>0</v>
      </c>
      <c r="K4193">
        <v>283</v>
      </c>
      <c r="L4193">
        <v>152</v>
      </c>
      <c r="M4193">
        <v>222</v>
      </c>
      <c r="N4193" t="s">
        <v>44</v>
      </c>
      <c r="O4193" s="3">
        <v>44244</v>
      </c>
      <c r="P4193">
        <v>-1</v>
      </c>
      <c r="T4193" t="s">
        <v>28</v>
      </c>
      <c r="U4193">
        <v>185</v>
      </c>
      <c r="V4193">
        <v>25.05</v>
      </c>
    </row>
    <row r="4194" spans="1:22" x14ac:dyDescent="0.35">
      <c r="A4194" s="3">
        <v>44021</v>
      </c>
      <c r="B4194" t="s">
        <v>46</v>
      </c>
      <c r="C4194">
        <v>28.65</v>
      </c>
      <c r="D4194">
        <v>29.6</v>
      </c>
      <c r="E4194">
        <v>28.57</v>
      </c>
      <c r="F4194">
        <v>29.1</v>
      </c>
      <c r="G4194">
        <v>29.175000000000001</v>
      </c>
      <c r="H4194">
        <v>0.5</v>
      </c>
      <c r="I4194">
        <v>2765</v>
      </c>
      <c r="J4194">
        <v>0</v>
      </c>
      <c r="K4194">
        <v>10026</v>
      </c>
      <c r="L4194">
        <v>112</v>
      </c>
      <c r="M4194">
        <v>160</v>
      </c>
      <c r="N4194" t="s">
        <v>46</v>
      </c>
      <c r="O4194" s="3">
        <v>44181</v>
      </c>
      <c r="P4194">
        <v>-1</v>
      </c>
      <c r="T4194" t="s">
        <v>36</v>
      </c>
      <c r="U4194">
        <v>20</v>
      </c>
      <c r="V4194">
        <v>22.099399999999999</v>
      </c>
    </row>
    <row r="4195" spans="1:22" x14ac:dyDescent="0.35">
      <c r="A4195" s="3">
        <v>44021</v>
      </c>
      <c r="B4195" t="s">
        <v>45</v>
      </c>
      <c r="C4195">
        <v>28.79</v>
      </c>
      <c r="D4195">
        <v>29.7</v>
      </c>
      <c r="E4195">
        <v>28.75</v>
      </c>
      <c r="F4195">
        <v>29.25</v>
      </c>
      <c r="G4195">
        <v>29.324999999999999</v>
      </c>
      <c r="H4195">
        <v>0.5</v>
      </c>
      <c r="I4195">
        <v>646</v>
      </c>
      <c r="J4195">
        <v>0</v>
      </c>
      <c r="K4195">
        <v>2787</v>
      </c>
      <c r="L4195">
        <v>134</v>
      </c>
      <c r="M4195">
        <v>195</v>
      </c>
      <c r="N4195" t="s">
        <v>45</v>
      </c>
      <c r="O4195" s="3">
        <v>44216</v>
      </c>
      <c r="P4195">
        <v>-1</v>
      </c>
      <c r="T4195" t="s">
        <v>35</v>
      </c>
      <c r="U4195">
        <v>40</v>
      </c>
      <c r="V4195">
        <v>23.134699999999999</v>
      </c>
    </row>
    <row r="4196" spans="1:22" x14ac:dyDescent="0.35">
      <c r="A4196" s="3">
        <v>44021</v>
      </c>
      <c r="B4196" t="s">
        <v>44</v>
      </c>
      <c r="C4196">
        <v>28.7</v>
      </c>
      <c r="D4196">
        <v>29.3</v>
      </c>
      <c r="E4196">
        <v>28.6</v>
      </c>
      <c r="F4196">
        <v>29.07</v>
      </c>
      <c r="G4196">
        <v>29.1</v>
      </c>
      <c r="H4196">
        <v>0.47499999999999998</v>
      </c>
      <c r="I4196">
        <v>39</v>
      </c>
      <c r="J4196">
        <v>0</v>
      </c>
      <c r="K4196">
        <v>287</v>
      </c>
      <c r="L4196">
        <v>153</v>
      </c>
      <c r="M4196">
        <v>223</v>
      </c>
      <c r="N4196" t="s">
        <v>44</v>
      </c>
      <c r="O4196" s="3">
        <v>44244</v>
      </c>
      <c r="P4196">
        <v>-1</v>
      </c>
      <c r="T4196" t="s">
        <v>34</v>
      </c>
      <c r="U4196">
        <v>64</v>
      </c>
      <c r="V4196">
        <v>23.538699999999999</v>
      </c>
    </row>
    <row r="4197" spans="1:22" x14ac:dyDescent="0.35">
      <c r="A4197" s="3">
        <v>44021</v>
      </c>
      <c r="B4197" t="s">
        <v>49</v>
      </c>
      <c r="C4197">
        <v>30.52</v>
      </c>
      <c r="D4197">
        <v>32.049999999999997</v>
      </c>
      <c r="E4197">
        <v>30.45</v>
      </c>
      <c r="F4197">
        <v>31.3</v>
      </c>
      <c r="G4197">
        <v>31.4</v>
      </c>
      <c r="H4197">
        <v>0.875</v>
      </c>
      <c r="I4197">
        <v>8671</v>
      </c>
      <c r="J4197">
        <v>0</v>
      </c>
      <c r="K4197">
        <v>26342</v>
      </c>
      <c r="L4197">
        <v>48</v>
      </c>
      <c r="M4197">
        <v>69</v>
      </c>
      <c r="N4197" t="s">
        <v>49</v>
      </c>
      <c r="O4197" s="3">
        <v>44090</v>
      </c>
      <c r="P4197">
        <v>-1</v>
      </c>
      <c r="S4197" s="3">
        <v>44462</v>
      </c>
      <c r="T4197" t="s">
        <v>33</v>
      </c>
      <c r="U4197">
        <v>81</v>
      </c>
      <c r="V4197">
        <v>23.6541</v>
      </c>
    </row>
    <row r="4198" spans="1:22" x14ac:dyDescent="0.35">
      <c r="A4198" s="3">
        <v>44021</v>
      </c>
      <c r="B4198" t="s">
        <v>51</v>
      </c>
      <c r="C4198">
        <v>29.45</v>
      </c>
      <c r="D4198">
        <v>31.65</v>
      </c>
      <c r="E4198">
        <v>29.19</v>
      </c>
      <c r="F4198">
        <v>30.05</v>
      </c>
      <c r="G4198">
        <v>30.225000000000001</v>
      </c>
      <c r="H4198">
        <v>0.7</v>
      </c>
      <c r="I4198">
        <v>73115</v>
      </c>
      <c r="J4198">
        <v>0</v>
      </c>
      <c r="K4198">
        <v>89692</v>
      </c>
      <c r="L4198">
        <v>9</v>
      </c>
      <c r="M4198">
        <v>13</v>
      </c>
      <c r="N4198" t="s">
        <v>51</v>
      </c>
      <c r="O4198" s="3">
        <v>44034</v>
      </c>
      <c r="P4198">
        <v>-1</v>
      </c>
      <c r="T4198" t="s">
        <v>32</v>
      </c>
      <c r="U4198">
        <v>101</v>
      </c>
      <c r="V4198">
        <v>24.142299999999999</v>
      </c>
    </row>
    <row r="4199" spans="1:22" x14ac:dyDescent="0.35">
      <c r="A4199" s="3">
        <v>44021</v>
      </c>
      <c r="B4199" t="s">
        <v>48</v>
      </c>
      <c r="C4199">
        <v>32.520000000000003</v>
      </c>
      <c r="D4199">
        <v>33.630000000000003</v>
      </c>
      <c r="E4199">
        <v>32.4</v>
      </c>
      <c r="F4199">
        <v>33.11</v>
      </c>
      <c r="G4199">
        <v>33.200000000000003</v>
      </c>
      <c r="H4199">
        <v>0.625</v>
      </c>
      <c r="I4199">
        <v>7019</v>
      </c>
      <c r="J4199">
        <v>0</v>
      </c>
      <c r="K4199">
        <v>24868</v>
      </c>
      <c r="L4199">
        <v>73</v>
      </c>
      <c r="M4199">
        <v>104</v>
      </c>
      <c r="N4199" t="s">
        <v>48</v>
      </c>
      <c r="O4199" s="3">
        <v>44125</v>
      </c>
      <c r="P4199">
        <v>-1</v>
      </c>
      <c r="T4199" t="s">
        <v>31</v>
      </c>
      <c r="U4199">
        <v>119</v>
      </c>
      <c r="V4199">
        <v>24.6601</v>
      </c>
    </row>
    <row r="4200" spans="1:22" x14ac:dyDescent="0.35">
      <c r="A4200" s="3">
        <v>44021</v>
      </c>
      <c r="B4200" t="s">
        <v>50</v>
      </c>
      <c r="C4200">
        <v>30.25</v>
      </c>
      <c r="D4200">
        <v>32.07</v>
      </c>
      <c r="E4200">
        <v>30.17</v>
      </c>
      <c r="F4200">
        <v>31.09</v>
      </c>
      <c r="G4200">
        <v>31.225000000000001</v>
      </c>
      <c r="H4200">
        <v>0.8</v>
      </c>
      <c r="I4200">
        <v>50736</v>
      </c>
      <c r="J4200">
        <v>0</v>
      </c>
      <c r="K4200">
        <v>102394</v>
      </c>
      <c r="L4200">
        <v>29</v>
      </c>
      <c r="M4200">
        <v>41</v>
      </c>
      <c r="N4200" t="s">
        <v>50</v>
      </c>
      <c r="O4200" s="3">
        <v>44062</v>
      </c>
      <c r="P4200">
        <v>-1</v>
      </c>
      <c r="T4200" t="s">
        <v>30</v>
      </c>
      <c r="U4200">
        <v>145</v>
      </c>
      <c r="V4200">
        <v>24.8794</v>
      </c>
    </row>
    <row r="4201" spans="1:22" x14ac:dyDescent="0.35">
      <c r="A4201" s="3">
        <v>44021</v>
      </c>
      <c r="B4201" t="s">
        <v>47</v>
      </c>
      <c r="C4201">
        <v>30.21</v>
      </c>
      <c r="D4201">
        <v>31.22</v>
      </c>
      <c r="E4201">
        <v>30.1</v>
      </c>
      <c r="F4201">
        <v>30.7</v>
      </c>
      <c r="G4201">
        <v>30.774999999999999</v>
      </c>
      <c r="H4201">
        <v>0.55000000000000004</v>
      </c>
      <c r="I4201">
        <v>3293</v>
      </c>
      <c r="J4201">
        <v>0</v>
      </c>
      <c r="K4201">
        <v>20938</v>
      </c>
      <c r="L4201">
        <v>93</v>
      </c>
      <c r="M4201">
        <v>132</v>
      </c>
      <c r="N4201" t="s">
        <v>47</v>
      </c>
      <c r="O4201" s="3">
        <v>44153</v>
      </c>
      <c r="P4201">
        <v>-1</v>
      </c>
      <c r="T4201" t="s">
        <v>29</v>
      </c>
      <c r="U4201">
        <v>165</v>
      </c>
      <c r="V4201">
        <v>24.8</v>
      </c>
    </row>
    <row r="4202" spans="1:22" x14ac:dyDescent="0.35">
      <c r="A4202" s="3">
        <v>44020</v>
      </c>
      <c r="B4202" t="s">
        <v>49</v>
      </c>
      <c r="C4202">
        <v>31.1</v>
      </c>
      <c r="D4202">
        <v>31.33</v>
      </c>
      <c r="E4202">
        <v>30.31</v>
      </c>
      <c r="F4202">
        <v>30.55</v>
      </c>
      <c r="G4202">
        <v>30.524999999999999</v>
      </c>
      <c r="H4202">
        <v>-0.5</v>
      </c>
      <c r="I4202">
        <v>6494</v>
      </c>
      <c r="J4202">
        <v>0</v>
      </c>
      <c r="K4202">
        <v>26686</v>
      </c>
      <c r="L4202">
        <v>49</v>
      </c>
      <c r="M4202">
        <v>70</v>
      </c>
      <c r="N4202" t="s">
        <v>49</v>
      </c>
      <c r="O4202" s="3">
        <v>44090</v>
      </c>
      <c r="P4202">
        <v>-1</v>
      </c>
      <c r="T4202" t="s">
        <v>28</v>
      </c>
      <c r="U4202">
        <v>184</v>
      </c>
      <c r="V4202">
        <v>24.675000000000001</v>
      </c>
    </row>
    <row r="4203" spans="1:22" x14ac:dyDescent="0.35">
      <c r="A4203" s="3">
        <v>44020</v>
      </c>
      <c r="B4203" t="s">
        <v>51</v>
      </c>
      <c r="C4203">
        <v>30.6</v>
      </c>
      <c r="D4203">
        <v>31.13</v>
      </c>
      <c r="E4203">
        <v>29.4</v>
      </c>
      <c r="F4203">
        <v>29.4</v>
      </c>
      <c r="G4203">
        <v>29.524999999999999</v>
      </c>
      <c r="H4203">
        <v>-1.05</v>
      </c>
      <c r="I4203">
        <v>60503</v>
      </c>
      <c r="J4203">
        <v>167</v>
      </c>
      <c r="K4203">
        <v>93937</v>
      </c>
      <c r="L4203">
        <v>10</v>
      </c>
      <c r="M4203">
        <v>14</v>
      </c>
      <c r="N4203" t="s">
        <v>51</v>
      </c>
      <c r="O4203" s="3">
        <v>44034</v>
      </c>
      <c r="P4203">
        <v>-1</v>
      </c>
      <c r="T4203" t="s">
        <v>36</v>
      </c>
      <c r="U4203">
        <v>19</v>
      </c>
      <c r="V4203">
        <v>20.599599999999999</v>
      </c>
    </row>
    <row r="4204" spans="1:22" x14ac:dyDescent="0.35">
      <c r="A4204" s="3">
        <v>44020</v>
      </c>
      <c r="B4204" t="s">
        <v>48</v>
      </c>
      <c r="C4204">
        <v>33.25</v>
      </c>
      <c r="D4204">
        <v>33.33</v>
      </c>
      <c r="E4204">
        <v>32.42</v>
      </c>
      <c r="F4204">
        <v>32.5</v>
      </c>
      <c r="G4204">
        <v>32.575000000000003</v>
      </c>
      <c r="H4204">
        <v>-0.6</v>
      </c>
      <c r="I4204">
        <v>5007</v>
      </c>
      <c r="J4204">
        <v>0</v>
      </c>
      <c r="K4204">
        <v>25034</v>
      </c>
      <c r="L4204">
        <v>74</v>
      </c>
      <c r="M4204">
        <v>105</v>
      </c>
      <c r="N4204" t="s">
        <v>48</v>
      </c>
      <c r="O4204" s="3">
        <v>44125</v>
      </c>
      <c r="P4204">
        <v>-1</v>
      </c>
      <c r="T4204" t="s">
        <v>35</v>
      </c>
      <c r="U4204">
        <v>39</v>
      </c>
      <c r="V4204">
        <v>22.2012</v>
      </c>
    </row>
    <row r="4205" spans="1:22" x14ac:dyDescent="0.35">
      <c r="A4205" s="3">
        <v>44020</v>
      </c>
      <c r="B4205" t="s">
        <v>50</v>
      </c>
      <c r="C4205">
        <v>31.2</v>
      </c>
      <c r="D4205">
        <v>31.47</v>
      </c>
      <c r="E4205">
        <v>30.22</v>
      </c>
      <c r="F4205">
        <v>30.35</v>
      </c>
      <c r="G4205">
        <v>30.425000000000001</v>
      </c>
      <c r="H4205">
        <v>-0.7</v>
      </c>
      <c r="I4205">
        <v>43555</v>
      </c>
      <c r="J4205">
        <v>233</v>
      </c>
      <c r="K4205">
        <v>95608</v>
      </c>
      <c r="L4205">
        <v>30</v>
      </c>
      <c r="M4205">
        <v>42</v>
      </c>
      <c r="N4205" t="s">
        <v>50</v>
      </c>
      <c r="O4205" s="3">
        <v>44062</v>
      </c>
      <c r="P4205">
        <v>-1</v>
      </c>
      <c r="T4205" t="s">
        <v>34</v>
      </c>
      <c r="U4205">
        <v>63</v>
      </c>
      <c r="V4205">
        <v>22.7456</v>
      </c>
    </row>
    <row r="4206" spans="1:22" x14ac:dyDescent="0.35">
      <c r="A4206" s="3">
        <v>44020</v>
      </c>
      <c r="B4206" t="s">
        <v>47</v>
      </c>
      <c r="C4206">
        <v>30.8</v>
      </c>
      <c r="D4206">
        <v>30.95</v>
      </c>
      <c r="E4206">
        <v>30.12</v>
      </c>
      <c r="F4206">
        <v>30.2</v>
      </c>
      <c r="G4206">
        <v>30.225000000000001</v>
      </c>
      <c r="H4206">
        <v>-0.55000000000000004</v>
      </c>
      <c r="I4206">
        <v>2705</v>
      </c>
      <c r="J4206">
        <v>0</v>
      </c>
      <c r="K4206">
        <v>21124</v>
      </c>
      <c r="L4206">
        <v>94</v>
      </c>
      <c r="M4206">
        <v>133</v>
      </c>
      <c r="N4206" t="s">
        <v>47</v>
      </c>
      <c r="O4206" s="3">
        <v>44153</v>
      </c>
      <c r="P4206">
        <v>-1</v>
      </c>
      <c r="S4206" s="3">
        <v>44463</v>
      </c>
      <c r="T4206" t="s">
        <v>33</v>
      </c>
      <c r="U4206">
        <v>80</v>
      </c>
      <c r="V4206">
        <v>23.45</v>
      </c>
    </row>
    <row r="4207" spans="1:22" x14ac:dyDescent="0.35">
      <c r="A4207" s="3">
        <v>44020</v>
      </c>
      <c r="B4207" t="s">
        <v>46</v>
      </c>
      <c r="C4207">
        <v>29.3</v>
      </c>
      <c r="D4207">
        <v>29.4</v>
      </c>
      <c r="E4207">
        <v>28.6</v>
      </c>
      <c r="F4207">
        <v>28.65</v>
      </c>
      <c r="G4207">
        <v>28.675000000000001</v>
      </c>
      <c r="H4207">
        <v>-0.55000000000000004</v>
      </c>
      <c r="I4207">
        <v>1581</v>
      </c>
      <c r="J4207">
        <v>0</v>
      </c>
      <c r="K4207">
        <v>9264</v>
      </c>
      <c r="L4207">
        <v>113</v>
      </c>
      <c r="M4207">
        <v>161</v>
      </c>
      <c r="N4207" t="s">
        <v>46</v>
      </c>
      <c r="O4207" s="3">
        <v>44181</v>
      </c>
      <c r="P4207">
        <v>-1</v>
      </c>
      <c r="T4207" t="s">
        <v>32</v>
      </c>
      <c r="U4207">
        <v>100</v>
      </c>
      <c r="V4207">
        <v>23.997599999999998</v>
      </c>
    </row>
    <row r="4208" spans="1:22" x14ac:dyDescent="0.35">
      <c r="A4208" s="3">
        <v>44020</v>
      </c>
      <c r="B4208" t="s">
        <v>45</v>
      </c>
      <c r="C4208">
        <v>29.3</v>
      </c>
      <c r="D4208">
        <v>29.55</v>
      </c>
      <c r="E4208">
        <v>28.75</v>
      </c>
      <c r="F4208">
        <v>28.8</v>
      </c>
      <c r="G4208">
        <v>28.824999999999999</v>
      </c>
      <c r="H4208">
        <v>-0.52500000000000002</v>
      </c>
      <c r="I4208">
        <v>465</v>
      </c>
      <c r="J4208">
        <v>0</v>
      </c>
      <c r="K4208">
        <v>2738</v>
      </c>
      <c r="L4208">
        <v>135</v>
      </c>
      <c r="M4208">
        <v>196</v>
      </c>
      <c r="N4208" t="s">
        <v>45</v>
      </c>
      <c r="O4208" s="3">
        <v>44216</v>
      </c>
      <c r="P4208">
        <v>-1</v>
      </c>
      <c r="T4208" t="s">
        <v>31</v>
      </c>
      <c r="U4208">
        <v>118</v>
      </c>
      <c r="V4208">
        <v>24.550599999999999</v>
      </c>
    </row>
    <row r="4209" spans="1:22" x14ac:dyDescent="0.35">
      <c r="A4209" s="3">
        <v>44020</v>
      </c>
      <c r="B4209" t="s">
        <v>44</v>
      </c>
      <c r="C4209">
        <v>29</v>
      </c>
      <c r="D4209">
        <v>29.25</v>
      </c>
      <c r="E4209">
        <v>28.6</v>
      </c>
      <c r="F4209">
        <v>28.8</v>
      </c>
      <c r="G4209">
        <v>28.625</v>
      </c>
      <c r="H4209">
        <v>-0.5</v>
      </c>
      <c r="I4209">
        <v>35</v>
      </c>
      <c r="J4209">
        <v>0</v>
      </c>
      <c r="K4209">
        <v>285</v>
      </c>
      <c r="L4209">
        <v>154</v>
      </c>
      <c r="M4209">
        <v>224</v>
      </c>
      <c r="N4209" t="s">
        <v>44</v>
      </c>
      <c r="O4209" s="3">
        <v>44244</v>
      </c>
      <c r="P4209">
        <v>-1</v>
      </c>
      <c r="T4209" t="s">
        <v>30</v>
      </c>
      <c r="U4209">
        <v>144</v>
      </c>
      <c r="V4209">
        <v>24.741700000000002</v>
      </c>
    </row>
    <row r="4210" spans="1:22" x14ac:dyDescent="0.35">
      <c r="A4210" s="3">
        <v>44019</v>
      </c>
      <c r="B4210" t="s">
        <v>46</v>
      </c>
      <c r="C4210">
        <v>28.53</v>
      </c>
      <c r="D4210">
        <v>29.3</v>
      </c>
      <c r="E4210">
        <v>28.35</v>
      </c>
      <c r="F4210">
        <v>29.25</v>
      </c>
      <c r="G4210">
        <v>29.225000000000001</v>
      </c>
      <c r="H4210">
        <v>0.65</v>
      </c>
      <c r="I4210">
        <v>1529</v>
      </c>
      <c r="J4210">
        <v>0</v>
      </c>
      <c r="K4210">
        <v>8844</v>
      </c>
      <c r="L4210">
        <v>114</v>
      </c>
      <c r="M4210">
        <v>162</v>
      </c>
      <c r="N4210" t="s">
        <v>46</v>
      </c>
      <c r="O4210" s="3">
        <v>44181</v>
      </c>
      <c r="P4210">
        <v>-1</v>
      </c>
      <c r="T4210" t="s">
        <v>29</v>
      </c>
      <c r="U4210">
        <v>164</v>
      </c>
      <c r="V4210">
        <v>24.725000000000001</v>
      </c>
    </row>
    <row r="4211" spans="1:22" x14ac:dyDescent="0.35">
      <c r="A4211" s="3">
        <v>44019</v>
      </c>
      <c r="B4211" t="s">
        <v>45</v>
      </c>
      <c r="C4211">
        <v>28.69</v>
      </c>
      <c r="D4211">
        <v>29.4</v>
      </c>
      <c r="E4211">
        <v>28.5</v>
      </c>
      <c r="F4211">
        <v>29.35</v>
      </c>
      <c r="G4211">
        <v>29.35</v>
      </c>
      <c r="H4211">
        <v>0.625</v>
      </c>
      <c r="I4211">
        <v>564</v>
      </c>
      <c r="J4211">
        <v>0</v>
      </c>
      <c r="K4211">
        <v>2741</v>
      </c>
      <c r="L4211">
        <v>136</v>
      </c>
      <c r="M4211">
        <v>197</v>
      </c>
      <c r="N4211" t="s">
        <v>45</v>
      </c>
      <c r="O4211" s="3">
        <v>44216</v>
      </c>
      <c r="P4211">
        <v>-1</v>
      </c>
      <c r="T4211" t="s">
        <v>28</v>
      </c>
      <c r="U4211">
        <v>183</v>
      </c>
      <c r="V4211">
        <v>24.725000000000001</v>
      </c>
    </row>
    <row r="4212" spans="1:22" x14ac:dyDescent="0.35">
      <c r="A4212" s="3">
        <v>44019</v>
      </c>
      <c r="B4212" t="s">
        <v>44</v>
      </c>
      <c r="C4212">
        <v>28.45</v>
      </c>
      <c r="D4212">
        <v>29.12</v>
      </c>
      <c r="E4212">
        <v>28.4</v>
      </c>
      <c r="F4212">
        <v>29.12</v>
      </c>
      <c r="G4212">
        <v>29.125</v>
      </c>
      <c r="H4212">
        <v>0.57499999999999996</v>
      </c>
      <c r="I4212">
        <v>16</v>
      </c>
      <c r="J4212">
        <v>0</v>
      </c>
      <c r="K4212">
        <v>264</v>
      </c>
      <c r="L4212">
        <v>155</v>
      </c>
      <c r="M4212">
        <v>225</v>
      </c>
      <c r="N4212" t="s">
        <v>44</v>
      </c>
      <c r="O4212" s="3">
        <v>44244</v>
      </c>
      <c r="P4212">
        <v>-1</v>
      </c>
      <c r="T4212" t="s">
        <v>36</v>
      </c>
      <c r="U4212">
        <v>18</v>
      </c>
      <c r="V4212">
        <v>19.818200000000001</v>
      </c>
    </row>
    <row r="4213" spans="1:22" x14ac:dyDescent="0.35">
      <c r="A4213" s="3">
        <v>44019</v>
      </c>
      <c r="B4213" t="s">
        <v>49</v>
      </c>
      <c r="C4213">
        <v>30.35</v>
      </c>
      <c r="D4213">
        <v>31.1</v>
      </c>
      <c r="E4213">
        <v>29.85</v>
      </c>
      <c r="F4213">
        <v>31.05</v>
      </c>
      <c r="G4213">
        <v>31.024999999999999</v>
      </c>
      <c r="H4213">
        <v>0.75</v>
      </c>
      <c r="I4213">
        <v>4902</v>
      </c>
      <c r="J4213">
        <v>0</v>
      </c>
      <c r="K4213">
        <v>26106</v>
      </c>
      <c r="L4213">
        <v>50</v>
      </c>
      <c r="M4213">
        <v>71</v>
      </c>
      <c r="N4213" t="s">
        <v>49</v>
      </c>
      <c r="O4213" s="3">
        <v>44090</v>
      </c>
      <c r="P4213">
        <v>-1</v>
      </c>
      <c r="T4213" t="s">
        <v>35</v>
      </c>
      <c r="U4213">
        <v>38</v>
      </c>
      <c r="V4213">
        <v>21.647099999999998</v>
      </c>
    </row>
    <row r="4214" spans="1:22" x14ac:dyDescent="0.35">
      <c r="A4214" s="3">
        <v>44019</v>
      </c>
      <c r="B4214" t="s">
        <v>51</v>
      </c>
      <c r="C4214">
        <v>29.3</v>
      </c>
      <c r="D4214">
        <v>30.7</v>
      </c>
      <c r="E4214">
        <v>28.67</v>
      </c>
      <c r="F4214">
        <v>30.64</v>
      </c>
      <c r="G4214">
        <v>30.574999999999999</v>
      </c>
      <c r="H4214">
        <v>1.325</v>
      </c>
      <c r="I4214">
        <v>59694</v>
      </c>
      <c r="J4214">
        <v>229</v>
      </c>
      <c r="K4214">
        <v>97289</v>
      </c>
      <c r="L4214">
        <v>11</v>
      </c>
      <c r="M4214">
        <v>15</v>
      </c>
      <c r="N4214" t="s">
        <v>51</v>
      </c>
      <c r="O4214" s="3">
        <v>44034</v>
      </c>
      <c r="P4214">
        <v>-1</v>
      </c>
      <c r="T4214" t="s">
        <v>34</v>
      </c>
      <c r="U4214">
        <v>62</v>
      </c>
      <c r="V4214">
        <v>22.408799999999999</v>
      </c>
    </row>
    <row r="4215" spans="1:22" x14ac:dyDescent="0.35">
      <c r="A4215" s="3">
        <v>44019</v>
      </c>
      <c r="B4215" t="s">
        <v>48</v>
      </c>
      <c r="C4215">
        <v>32.549999999999997</v>
      </c>
      <c r="D4215">
        <v>33.200000000000003</v>
      </c>
      <c r="E4215">
        <v>32.15</v>
      </c>
      <c r="F4215">
        <v>33.18</v>
      </c>
      <c r="G4215">
        <v>33.174999999999997</v>
      </c>
      <c r="H4215">
        <v>0.7</v>
      </c>
      <c r="I4215">
        <v>3285</v>
      </c>
      <c r="J4215">
        <v>0</v>
      </c>
      <c r="K4215">
        <v>24918</v>
      </c>
      <c r="L4215">
        <v>75</v>
      </c>
      <c r="M4215">
        <v>106</v>
      </c>
      <c r="N4215" t="s">
        <v>48</v>
      </c>
      <c r="O4215" s="3">
        <v>44125</v>
      </c>
      <c r="P4215">
        <v>-1</v>
      </c>
      <c r="S4215" s="3">
        <v>44466</v>
      </c>
      <c r="T4215" t="s">
        <v>33</v>
      </c>
      <c r="U4215">
        <v>79</v>
      </c>
      <c r="V4215">
        <v>23.441800000000001</v>
      </c>
    </row>
    <row r="4216" spans="1:22" x14ac:dyDescent="0.35">
      <c r="A4216" s="3">
        <v>44019</v>
      </c>
      <c r="B4216" t="s">
        <v>50</v>
      </c>
      <c r="C4216">
        <v>30.25</v>
      </c>
      <c r="D4216">
        <v>31.2</v>
      </c>
      <c r="E4216">
        <v>29.62</v>
      </c>
      <c r="F4216">
        <v>31.16</v>
      </c>
      <c r="G4216">
        <v>31.125</v>
      </c>
      <c r="H4216">
        <v>0.92500000000000004</v>
      </c>
      <c r="I4216">
        <v>46414</v>
      </c>
      <c r="J4216">
        <v>271</v>
      </c>
      <c r="K4216">
        <v>90968</v>
      </c>
      <c r="L4216">
        <v>31</v>
      </c>
      <c r="M4216">
        <v>43</v>
      </c>
      <c r="N4216" t="s">
        <v>50</v>
      </c>
      <c r="O4216" s="3">
        <v>44062</v>
      </c>
      <c r="P4216">
        <v>-1</v>
      </c>
      <c r="T4216" t="s">
        <v>32</v>
      </c>
      <c r="U4216">
        <v>99</v>
      </c>
      <c r="V4216">
        <v>24.0502</v>
      </c>
    </row>
    <row r="4217" spans="1:22" x14ac:dyDescent="0.35">
      <c r="A4217" s="3">
        <v>44019</v>
      </c>
      <c r="B4217" t="s">
        <v>47</v>
      </c>
      <c r="C4217">
        <v>30.05</v>
      </c>
      <c r="D4217">
        <v>30.8</v>
      </c>
      <c r="E4217">
        <v>29.75</v>
      </c>
      <c r="F4217">
        <v>30.79</v>
      </c>
      <c r="G4217">
        <v>30.774999999999999</v>
      </c>
      <c r="H4217">
        <v>0.75</v>
      </c>
      <c r="I4217">
        <v>2557</v>
      </c>
      <c r="J4217">
        <v>0</v>
      </c>
      <c r="K4217">
        <v>20868</v>
      </c>
      <c r="L4217">
        <v>95</v>
      </c>
      <c r="M4217">
        <v>134</v>
      </c>
      <c r="N4217" t="s">
        <v>47</v>
      </c>
      <c r="O4217" s="3">
        <v>44153</v>
      </c>
      <c r="P4217">
        <v>-1</v>
      </c>
      <c r="T4217" t="s">
        <v>31</v>
      </c>
      <c r="U4217">
        <v>117</v>
      </c>
      <c r="V4217">
        <v>24.642199999999999</v>
      </c>
    </row>
    <row r="4218" spans="1:22" x14ac:dyDescent="0.35">
      <c r="A4218" s="3">
        <v>44018</v>
      </c>
      <c r="B4218" t="s">
        <v>49</v>
      </c>
      <c r="C4218">
        <v>30.25</v>
      </c>
      <c r="D4218">
        <v>30.61</v>
      </c>
      <c r="E4218">
        <v>29.3</v>
      </c>
      <c r="F4218">
        <v>30.32</v>
      </c>
      <c r="G4218">
        <v>30.274999999999999</v>
      </c>
      <c r="H4218">
        <v>0.05</v>
      </c>
      <c r="I4218">
        <v>6747</v>
      </c>
      <c r="J4218">
        <v>0</v>
      </c>
      <c r="K4218">
        <v>25455</v>
      </c>
      <c r="L4218">
        <v>51</v>
      </c>
      <c r="M4218">
        <v>72</v>
      </c>
      <c r="N4218" t="s">
        <v>49</v>
      </c>
      <c r="O4218" s="3">
        <v>44090</v>
      </c>
      <c r="P4218">
        <v>-1</v>
      </c>
      <c r="T4218" t="s">
        <v>30</v>
      </c>
      <c r="U4218">
        <v>143</v>
      </c>
      <c r="V4218">
        <v>24.807500000000001</v>
      </c>
    </row>
    <row r="4219" spans="1:22" x14ac:dyDescent="0.35">
      <c r="A4219" s="3">
        <v>44018</v>
      </c>
      <c r="B4219" t="s">
        <v>51</v>
      </c>
      <c r="C4219">
        <v>29.19</v>
      </c>
      <c r="D4219">
        <v>30</v>
      </c>
      <c r="E4219">
        <v>28.13</v>
      </c>
      <c r="F4219">
        <v>29.29</v>
      </c>
      <c r="G4219">
        <v>29.25</v>
      </c>
      <c r="H4219">
        <v>0.17499999999999999</v>
      </c>
      <c r="I4219">
        <v>60700</v>
      </c>
      <c r="J4219">
        <v>0</v>
      </c>
      <c r="K4219">
        <v>100572</v>
      </c>
      <c r="L4219">
        <v>12</v>
      </c>
      <c r="M4219">
        <v>16</v>
      </c>
      <c r="N4219" t="s">
        <v>51</v>
      </c>
      <c r="O4219" s="3">
        <v>44034</v>
      </c>
      <c r="P4219">
        <v>-1</v>
      </c>
      <c r="T4219" t="s">
        <v>29</v>
      </c>
      <c r="U4219">
        <v>163</v>
      </c>
      <c r="V4219">
        <v>24.8</v>
      </c>
    </row>
    <row r="4220" spans="1:22" x14ac:dyDescent="0.35">
      <c r="A4220" s="3">
        <v>44018</v>
      </c>
      <c r="B4220" t="s">
        <v>48</v>
      </c>
      <c r="C4220">
        <v>32.4</v>
      </c>
      <c r="D4220">
        <v>32.799999999999997</v>
      </c>
      <c r="E4220">
        <v>31.6</v>
      </c>
      <c r="F4220">
        <v>32.5</v>
      </c>
      <c r="G4220">
        <v>32.475000000000001</v>
      </c>
      <c r="H4220">
        <v>0.05</v>
      </c>
      <c r="I4220">
        <v>4208</v>
      </c>
      <c r="J4220">
        <v>0</v>
      </c>
      <c r="K4220">
        <v>25120</v>
      </c>
      <c r="L4220">
        <v>76</v>
      </c>
      <c r="M4220">
        <v>107</v>
      </c>
      <c r="N4220" t="s">
        <v>48</v>
      </c>
      <c r="O4220" s="3">
        <v>44125</v>
      </c>
      <c r="P4220">
        <v>-1</v>
      </c>
      <c r="T4220" t="s">
        <v>28</v>
      </c>
      <c r="U4220">
        <v>182</v>
      </c>
      <c r="V4220">
        <v>24.774999999999999</v>
      </c>
    </row>
    <row r="4221" spans="1:22" x14ac:dyDescent="0.35">
      <c r="A4221" s="3">
        <v>44018</v>
      </c>
      <c r="B4221" t="s">
        <v>50</v>
      </c>
      <c r="C4221">
        <v>30.1</v>
      </c>
      <c r="D4221">
        <v>30.58</v>
      </c>
      <c r="E4221">
        <v>28.95</v>
      </c>
      <c r="F4221">
        <v>30.23</v>
      </c>
      <c r="G4221">
        <v>30.2</v>
      </c>
      <c r="H4221">
        <v>0.125</v>
      </c>
      <c r="I4221">
        <v>51244</v>
      </c>
      <c r="J4221">
        <v>0</v>
      </c>
      <c r="K4221">
        <v>84077</v>
      </c>
      <c r="L4221">
        <v>32</v>
      </c>
      <c r="M4221">
        <v>44</v>
      </c>
      <c r="N4221" t="s">
        <v>50</v>
      </c>
      <c r="O4221" s="3">
        <v>44062</v>
      </c>
      <c r="P4221">
        <v>-1</v>
      </c>
      <c r="T4221" t="s">
        <v>36</v>
      </c>
      <c r="U4221">
        <v>17</v>
      </c>
      <c r="V4221">
        <v>20.1083</v>
      </c>
    </row>
    <row r="4222" spans="1:22" x14ac:dyDescent="0.35">
      <c r="A4222" s="3">
        <v>44018</v>
      </c>
      <c r="B4222" t="s">
        <v>47</v>
      </c>
      <c r="C4222">
        <v>30</v>
      </c>
      <c r="D4222">
        <v>30.3</v>
      </c>
      <c r="E4222">
        <v>29.27</v>
      </c>
      <c r="F4222">
        <v>30.05</v>
      </c>
      <c r="G4222">
        <v>30.024999999999999</v>
      </c>
      <c r="H4222">
        <v>7.4999999999999997E-2</v>
      </c>
      <c r="I4222">
        <v>2832</v>
      </c>
      <c r="J4222">
        <v>0</v>
      </c>
      <c r="K4222">
        <v>20825</v>
      </c>
      <c r="L4222">
        <v>96</v>
      </c>
      <c r="M4222">
        <v>135</v>
      </c>
      <c r="N4222" t="s">
        <v>47</v>
      </c>
      <c r="O4222" s="3">
        <v>44153</v>
      </c>
      <c r="P4222">
        <v>-1</v>
      </c>
      <c r="T4222" t="s">
        <v>35</v>
      </c>
      <c r="U4222">
        <v>37</v>
      </c>
      <c r="V4222">
        <v>21.677800000000001</v>
      </c>
    </row>
    <row r="4223" spans="1:22" x14ac:dyDescent="0.35">
      <c r="A4223" s="3">
        <v>44018</v>
      </c>
      <c r="B4223" t="s">
        <v>46</v>
      </c>
      <c r="C4223">
        <v>28.46</v>
      </c>
      <c r="D4223">
        <v>29</v>
      </c>
      <c r="E4223">
        <v>27.89</v>
      </c>
      <c r="F4223">
        <v>28.55</v>
      </c>
      <c r="G4223">
        <v>28.574999999999999</v>
      </c>
      <c r="H4223">
        <v>0.05</v>
      </c>
      <c r="I4223">
        <v>1526</v>
      </c>
      <c r="J4223">
        <v>0</v>
      </c>
      <c r="K4223">
        <v>8672</v>
      </c>
      <c r="L4223">
        <v>115</v>
      </c>
      <c r="M4223">
        <v>163</v>
      </c>
      <c r="N4223" t="s">
        <v>46</v>
      </c>
      <c r="O4223" s="3">
        <v>44181</v>
      </c>
      <c r="P4223">
        <v>-1</v>
      </c>
      <c r="T4223" t="s">
        <v>34</v>
      </c>
      <c r="U4223">
        <v>61</v>
      </c>
      <c r="V4223">
        <v>22.443100000000001</v>
      </c>
    </row>
    <row r="4224" spans="1:22" x14ac:dyDescent="0.35">
      <c r="A4224" s="3">
        <v>44018</v>
      </c>
      <c r="B4224" t="s">
        <v>45</v>
      </c>
      <c r="C4224">
        <v>28.87</v>
      </c>
      <c r="D4224">
        <v>29.1</v>
      </c>
      <c r="E4224">
        <v>28.15</v>
      </c>
      <c r="F4224">
        <v>28.72</v>
      </c>
      <c r="G4224">
        <v>28.725000000000001</v>
      </c>
      <c r="H4224">
        <v>0</v>
      </c>
      <c r="I4224">
        <v>704</v>
      </c>
      <c r="J4224">
        <v>0</v>
      </c>
      <c r="K4224">
        <v>2620</v>
      </c>
      <c r="L4224">
        <v>137</v>
      </c>
      <c r="M4224">
        <v>198</v>
      </c>
      <c r="N4224" t="s">
        <v>45</v>
      </c>
      <c r="O4224" s="3">
        <v>44216</v>
      </c>
      <c r="P4224">
        <v>-1</v>
      </c>
      <c r="S4224" s="3">
        <v>44467</v>
      </c>
      <c r="T4224" t="s">
        <v>33</v>
      </c>
      <c r="U4224">
        <v>78</v>
      </c>
      <c r="V4224">
        <v>24.586200000000002</v>
      </c>
    </row>
    <row r="4225" spans="1:22" x14ac:dyDescent="0.35">
      <c r="A4225" s="3">
        <v>44018</v>
      </c>
      <c r="B4225" t="s">
        <v>44</v>
      </c>
      <c r="C4225">
        <v>29.15</v>
      </c>
      <c r="D4225">
        <v>29.15</v>
      </c>
      <c r="E4225">
        <v>28.2</v>
      </c>
      <c r="F4225">
        <v>28.55</v>
      </c>
      <c r="G4225">
        <v>28.55</v>
      </c>
      <c r="H4225">
        <v>-0.15</v>
      </c>
      <c r="I4225">
        <v>50</v>
      </c>
      <c r="J4225">
        <v>0</v>
      </c>
      <c r="K4225">
        <v>262</v>
      </c>
      <c r="L4225">
        <v>156</v>
      </c>
      <c r="M4225">
        <v>226</v>
      </c>
      <c r="N4225" t="s">
        <v>44</v>
      </c>
      <c r="O4225" s="3">
        <v>44244</v>
      </c>
      <c r="P4225">
        <v>-1</v>
      </c>
      <c r="T4225" t="s">
        <v>32</v>
      </c>
      <c r="U4225">
        <v>98</v>
      </c>
      <c r="V4225">
        <v>24.991099999999999</v>
      </c>
    </row>
    <row r="4226" spans="1:22" x14ac:dyDescent="0.35">
      <c r="A4226" s="3">
        <v>44014</v>
      </c>
      <c r="B4226" t="s">
        <v>46</v>
      </c>
      <c r="C4226">
        <v>28.8</v>
      </c>
      <c r="D4226">
        <v>28.85</v>
      </c>
      <c r="E4226">
        <v>27.69</v>
      </c>
      <c r="F4226">
        <v>28.56</v>
      </c>
      <c r="G4226">
        <v>28.524999999999999</v>
      </c>
      <c r="H4226">
        <v>-0.2</v>
      </c>
      <c r="I4226">
        <v>2334</v>
      </c>
      <c r="J4226">
        <v>0</v>
      </c>
      <c r="K4226">
        <v>8529</v>
      </c>
      <c r="L4226">
        <v>117</v>
      </c>
      <c r="M4226">
        <v>167</v>
      </c>
      <c r="N4226" t="s">
        <v>46</v>
      </c>
      <c r="O4226" s="3">
        <v>44181</v>
      </c>
      <c r="P4226">
        <v>-1</v>
      </c>
      <c r="T4226" t="s">
        <v>31</v>
      </c>
      <c r="U4226">
        <v>116</v>
      </c>
      <c r="V4226">
        <v>25.439</v>
      </c>
    </row>
    <row r="4227" spans="1:22" x14ac:dyDescent="0.35">
      <c r="A4227" s="3">
        <v>44014</v>
      </c>
      <c r="B4227" t="s">
        <v>45</v>
      </c>
      <c r="C4227">
        <v>28.94</v>
      </c>
      <c r="D4227">
        <v>29.05</v>
      </c>
      <c r="E4227">
        <v>27.97</v>
      </c>
      <c r="F4227">
        <v>28.8</v>
      </c>
      <c r="G4227">
        <v>28.725000000000001</v>
      </c>
      <c r="H4227">
        <v>-0.2</v>
      </c>
      <c r="I4227">
        <v>941</v>
      </c>
      <c r="J4227">
        <v>0</v>
      </c>
      <c r="K4227">
        <v>2605</v>
      </c>
      <c r="L4227">
        <v>139</v>
      </c>
      <c r="M4227">
        <v>202</v>
      </c>
      <c r="N4227" t="s">
        <v>45</v>
      </c>
      <c r="O4227" s="3">
        <v>44216</v>
      </c>
      <c r="P4227">
        <v>-1</v>
      </c>
      <c r="T4227" t="s">
        <v>30</v>
      </c>
      <c r="U4227">
        <v>142</v>
      </c>
      <c r="V4227">
        <v>25.573799999999999</v>
      </c>
    </row>
    <row r="4228" spans="1:22" x14ac:dyDescent="0.35">
      <c r="A4228" s="3">
        <v>44014</v>
      </c>
      <c r="B4228" t="s">
        <v>44</v>
      </c>
      <c r="C4228">
        <v>28.8</v>
      </c>
      <c r="D4228">
        <v>28.95</v>
      </c>
      <c r="E4228">
        <v>28.25</v>
      </c>
      <c r="F4228">
        <v>28.64</v>
      </c>
      <c r="G4228">
        <v>28.7</v>
      </c>
      <c r="H4228">
        <v>-0.375</v>
      </c>
      <c r="I4228">
        <v>106</v>
      </c>
      <c r="J4228">
        <v>0</v>
      </c>
      <c r="K4228">
        <v>243</v>
      </c>
      <c r="L4228">
        <v>158</v>
      </c>
      <c r="M4228">
        <v>230</v>
      </c>
      <c r="N4228" t="s">
        <v>44</v>
      </c>
      <c r="O4228" s="3">
        <v>44244</v>
      </c>
      <c r="P4228">
        <v>-1</v>
      </c>
      <c r="T4228" t="s">
        <v>29</v>
      </c>
      <c r="U4228">
        <v>162</v>
      </c>
      <c r="V4228">
        <v>25.55</v>
      </c>
    </row>
    <row r="4229" spans="1:22" x14ac:dyDescent="0.35">
      <c r="A4229" s="3">
        <v>44014</v>
      </c>
      <c r="B4229" t="s">
        <v>49</v>
      </c>
      <c r="C4229">
        <v>30.95</v>
      </c>
      <c r="D4229">
        <v>31.24</v>
      </c>
      <c r="E4229">
        <v>29.47</v>
      </c>
      <c r="F4229">
        <v>30.25</v>
      </c>
      <c r="G4229">
        <v>30.225000000000001</v>
      </c>
      <c r="H4229">
        <v>-0.7</v>
      </c>
      <c r="I4229">
        <v>12319</v>
      </c>
      <c r="J4229">
        <v>0</v>
      </c>
      <c r="K4229">
        <v>25354</v>
      </c>
      <c r="L4229">
        <v>53</v>
      </c>
      <c r="M4229">
        <v>76</v>
      </c>
      <c r="N4229" t="s">
        <v>49</v>
      </c>
      <c r="O4229" s="3">
        <v>44090</v>
      </c>
      <c r="P4229">
        <v>-1</v>
      </c>
      <c r="T4229" t="s">
        <v>28</v>
      </c>
      <c r="U4229">
        <v>181</v>
      </c>
      <c r="V4229">
        <v>25.524999999999999</v>
      </c>
    </row>
    <row r="4230" spans="1:22" x14ac:dyDescent="0.35">
      <c r="A4230" s="3">
        <v>44014</v>
      </c>
      <c r="B4230" t="s">
        <v>51</v>
      </c>
      <c r="C4230">
        <v>29.8</v>
      </c>
      <c r="D4230">
        <v>30.3</v>
      </c>
      <c r="E4230">
        <v>27.92</v>
      </c>
      <c r="F4230">
        <v>29.15</v>
      </c>
      <c r="G4230">
        <v>29.074999999999999</v>
      </c>
      <c r="H4230">
        <v>-0.75</v>
      </c>
      <c r="I4230">
        <v>77628</v>
      </c>
      <c r="J4230">
        <v>135</v>
      </c>
      <c r="K4230">
        <v>104117</v>
      </c>
      <c r="L4230">
        <v>14</v>
      </c>
      <c r="M4230">
        <v>20</v>
      </c>
      <c r="N4230" t="s">
        <v>51</v>
      </c>
      <c r="O4230" s="3">
        <v>44034</v>
      </c>
      <c r="P4230">
        <v>-1</v>
      </c>
      <c r="T4230" t="s">
        <v>36</v>
      </c>
      <c r="U4230">
        <v>16</v>
      </c>
      <c r="V4230">
        <v>22.517299999999999</v>
      </c>
    </row>
    <row r="4231" spans="1:22" x14ac:dyDescent="0.35">
      <c r="A4231" s="3">
        <v>44014</v>
      </c>
      <c r="B4231" t="s">
        <v>48</v>
      </c>
      <c r="C4231">
        <v>32.75</v>
      </c>
      <c r="D4231">
        <v>33.06</v>
      </c>
      <c r="E4231">
        <v>31.58</v>
      </c>
      <c r="F4231">
        <v>32.5</v>
      </c>
      <c r="G4231">
        <v>32.424999999999997</v>
      </c>
      <c r="H4231">
        <v>-0.35</v>
      </c>
      <c r="I4231">
        <v>8077</v>
      </c>
      <c r="J4231">
        <v>0</v>
      </c>
      <c r="K4231">
        <v>25109</v>
      </c>
      <c r="L4231">
        <v>78</v>
      </c>
      <c r="M4231">
        <v>111</v>
      </c>
      <c r="N4231" t="s">
        <v>48</v>
      </c>
      <c r="O4231" s="3">
        <v>44125</v>
      </c>
      <c r="P4231">
        <v>-1</v>
      </c>
      <c r="T4231" t="s">
        <v>35</v>
      </c>
      <c r="U4231">
        <v>36</v>
      </c>
      <c r="V4231">
        <v>23.4435</v>
      </c>
    </row>
    <row r="4232" spans="1:22" x14ac:dyDescent="0.35">
      <c r="A4232" s="3">
        <v>44014</v>
      </c>
      <c r="B4232" t="s">
        <v>50</v>
      </c>
      <c r="C4232">
        <v>30.85</v>
      </c>
      <c r="D4232">
        <v>31.35</v>
      </c>
      <c r="E4232">
        <v>29.27</v>
      </c>
      <c r="F4232">
        <v>30.1</v>
      </c>
      <c r="G4232">
        <v>30.074999999999999</v>
      </c>
      <c r="H4232">
        <v>-0.75</v>
      </c>
      <c r="I4232">
        <v>60780</v>
      </c>
      <c r="J4232">
        <v>115</v>
      </c>
      <c r="K4232">
        <v>76166</v>
      </c>
      <c r="L4232">
        <v>34</v>
      </c>
      <c r="M4232">
        <v>48</v>
      </c>
      <c r="N4232" t="s">
        <v>50</v>
      </c>
      <c r="O4232" s="3">
        <v>44062</v>
      </c>
      <c r="P4232">
        <v>-1</v>
      </c>
      <c r="T4232" t="s">
        <v>34</v>
      </c>
      <c r="U4232">
        <v>60</v>
      </c>
      <c r="V4232">
        <v>23.805900000000001</v>
      </c>
    </row>
    <row r="4233" spans="1:22" x14ac:dyDescent="0.35">
      <c r="A4233" s="3">
        <v>44014</v>
      </c>
      <c r="B4233" t="s">
        <v>47</v>
      </c>
      <c r="C4233">
        <v>30.25</v>
      </c>
      <c r="D4233">
        <v>30.46</v>
      </c>
      <c r="E4233">
        <v>29.17</v>
      </c>
      <c r="F4233">
        <v>30</v>
      </c>
      <c r="G4233">
        <v>29.95</v>
      </c>
      <c r="H4233">
        <v>-0.32500000000000001</v>
      </c>
      <c r="I4233">
        <v>4876</v>
      </c>
      <c r="J4233">
        <v>0</v>
      </c>
      <c r="K4233">
        <v>20801</v>
      </c>
      <c r="L4233">
        <v>98</v>
      </c>
      <c r="M4233">
        <v>139</v>
      </c>
      <c r="N4233" t="s">
        <v>47</v>
      </c>
      <c r="O4233" s="3">
        <v>44153</v>
      </c>
      <c r="P4233">
        <v>-1</v>
      </c>
      <c r="S4233" s="3">
        <v>44468</v>
      </c>
      <c r="T4233" t="s">
        <v>33</v>
      </c>
      <c r="U4233">
        <v>77</v>
      </c>
      <c r="V4233">
        <v>24.755500000000001</v>
      </c>
    </row>
    <row r="4234" spans="1:22" x14ac:dyDescent="0.35">
      <c r="A4234" s="3">
        <v>44013</v>
      </c>
      <c r="B4234" t="s">
        <v>49</v>
      </c>
      <c r="C4234">
        <v>31.75</v>
      </c>
      <c r="D4234">
        <v>32.4</v>
      </c>
      <c r="E4234">
        <v>30.73</v>
      </c>
      <c r="F4234">
        <v>30.9</v>
      </c>
      <c r="G4234">
        <v>30.925000000000001</v>
      </c>
      <c r="H4234">
        <v>-0.85</v>
      </c>
      <c r="I4234">
        <v>13033</v>
      </c>
      <c r="J4234">
        <v>0</v>
      </c>
      <c r="K4234">
        <v>25134</v>
      </c>
      <c r="L4234">
        <v>54</v>
      </c>
      <c r="M4234">
        <v>77</v>
      </c>
      <c r="N4234" t="s">
        <v>49</v>
      </c>
      <c r="O4234" s="3">
        <v>44090</v>
      </c>
      <c r="P4234">
        <v>-1</v>
      </c>
      <c r="T4234" t="s">
        <v>32</v>
      </c>
      <c r="U4234">
        <v>97</v>
      </c>
      <c r="V4234">
        <v>25.154499999999999</v>
      </c>
    </row>
    <row r="4235" spans="1:22" x14ac:dyDescent="0.35">
      <c r="A4235" s="3">
        <v>44013</v>
      </c>
      <c r="B4235" t="s">
        <v>51</v>
      </c>
      <c r="C4235">
        <v>30.8</v>
      </c>
      <c r="D4235">
        <v>31.9</v>
      </c>
      <c r="E4235">
        <v>29.5</v>
      </c>
      <c r="F4235">
        <v>29.74</v>
      </c>
      <c r="G4235">
        <v>29.824999999999999</v>
      </c>
      <c r="H4235">
        <v>-1.05</v>
      </c>
      <c r="I4235">
        <v>70171</v>
      </c>
      <c r="J4235">
        <v>0</v>
      </c>
      <c r="K4235">
        <v>112187</v>
      </c>
      <c r="L4235">
        <v>15</v>
      </c>
      <c r="M4235">
        <v>21</v>
      </c>
      <c r="N4235" t="s">
        <v>51</v>
      </c>
      <c r="O4235" s="3">
        <v>44034</v>
      </c>
      <c r="P4235">
        <v>-1</v>
      </c>
      <c r="T4235" t="s">
        <v>31</v>
      </c>
      <c r="U4235">
        <v>115</v>
      </c>
      <c r="V4235">
        <v>25.532900000000001</v>
      </c>
    </row>
    <row r="4236" spans="1:22" x14ac:dyDescent="0.35">
      <c r="A4236" s="3">
        <v>44013</v>
      </c>
      <c r="B4236" t="s">
        <v>48</v>
      </c>
      <c r="C4236">
        <v>33.200000000000003</v>
      </c>
      <c r="D4236">
        <v>33.700000000000003</v>
      </c>
      <c r="E4236">
        <v>32.35</v>
      </c>
      <c r="F4236">
        <v>32.799999999999997</v>
      </c>
      <c r="G4236">
        <v>32.774999999999999</v>
      </c>
      <c r="H4236">
        <v>-0.4</v>
      </c>
      <c r="I4236">
        <v>6586</v>
      </c>
      <c r="J4236">
        <v>0</v>
      </c>
      <c r="K4236">
        <v>26450</v>
      </c>
      <c r="L4236">
        <v>79</v>
      </c>
      <c r="M4236">
        <v>112</v>
      </c>
      <c r="N4236" t="s">
        <v>48</v>
      </c>
      <c r="O4236" s="3">
        <v>44125</v>
      </c>
      <c r="P4236">
        <v>-1</v>
      </c>
      <c r="T4236" t="s">
        <v>30</v>
      </c>
      <c r="U4236">
        <v>141</v>
      </c>
      <c r="V4236">
        <v>25.7</v>
      </c>
    </row>
    <row r="4237" spans="1:22" x14ac:dyDescent="0.35">
      <c r="A4237" s="3">
        <v>44013</v>
      </c>
      <c r="B4237" t="s">
        <v>50</v>
      </c>
      <c r="C4237">
        <v>31.75</v>
      </c>
      <c r="D4237">
        <v>32.6</v>
      </c>
      <c r="E4237">
        <v>30.63</v>
      </c>
      <c r="F4237">
        <v>30.84</v>
      </c>
      <c r="G4237">
        <v>30.824999999999999</v>
      </c>
      <c r="H4237">
        <v>-1</v>
      </c>
      <c r="I4237">
        <v>63408</v>
      </c>
      <c r="J4237">
        <v>0</v>
      </c>
      <c r="K4237">
        <v>70800</v>
      </c>
      <c r="L4237">
        <v>35</v>
      </c>
      <c r="M4237">
        <v>49</v>
      </c>
      <c r="N4237" t="s">
        <v>50</v>
      </c>
      <c r="O4237" s="3">
        <v>44062</v>
      </c>
      <c r="P4237">
        <v>-1</v>
      </c>
      <c r="T4237" t="s">
        <v>29</v>
      </c>
      <c r="U4237">
        <v>161</v>
      </c>
      <c r="V4237">
        <v>25.65</v>
      </c>
    </row>
    <row r="4238" spans="1:22" x14ac:dyDescent="0.35">
      <c r="A4238" s="3">
        <v>44013</v>
      </c>
      <c r="B4238" t="s">
        <v>47</v>
      </c>
      <c r="C4238">
        <v>30.57</v>
      </c>
      <c r="D4238">
        <v>31.15</v>
      </c>
      <c r="E4238">
        <v>29.85</v>
      </c>
      <c r="F4238">
        <v>30.25</v>
      </c>
      <c r="G4238">
        <v>30.274999999999999</v>
      </c>
      <c r="H4238">
        <v>-0.3</v>
      </c>
      <c r="I4238">
        <v>2850</v>
      </c>
      <c r="J4238">
        <v>0</v>
      </c>
      <c r="K4238">
        <v>19947</v>
      </c>
      <c r="L4238">
        <v>99</v>
      </c>
      <c r="M4238">
        <v>140</v>
      </c>
      <c r="N4238" t="s">
        <v>47</v>
      </c>
      <c r="O4238" s="3">
        <v>44153</v>
      </c>
      <c r="P4238">
        <v>-1</v>
      </c>
      <c r="T4238" t="s">
        <v>28</v>
      </c>
      <c r="U4238">
        <v>180</v>
      </c>
      <c r="V4238">
        <v>25.524999999999999</v>
      </c>
    </row>
    <row r="4239" spans="1:22" x14ac:dyDescent="0.35">
      <c r="A4239" s="3">
        <v>44013</v>
      </c>
      <c r="B4239" t="s">
        <v>46</v>
      </c>
      <c r="C4239">
        <v>29.05</v>
      </c>
      <c r="D4239">
        <v>29.6</v>
      </c>
      <c r="E4239">
        <v>28.35</v>
      </c>
      <c r="F4239">
        <v>28.73</v>
      </c>
      <c r="G4239">
        <v>28.725000000000001</v>
      </c>
      <c r="H4239">
        <v>-0.35</v>
      </c>
      <c r="I4239">
        <v>2004</v>
      </c>
      <c r="J4239">
        <v>0</v>
      </c>
      <c r="K4239">
        <v>8242</v>
      </c>
      <c r="L4239">
        <v>118</v>
      </c>
      <c r="M4239">
        <v>168</v>
      </c>
      <c r="N4239" t="s">
        <v>46</v>
      </c>
      <c r="O4239" s="3">
        <v>44181</v>
      </c>
      <c r="P4239">
        <v>-1</v>
      </c>
      <c r="T4239" t="s">
        <v>36</v>
      </c>
      <c r="U4239">
        <v>15</v>
      </c>
      <c r="V4239">
        <v>22.991199999999999</v>
      </c>
    </row>
    <row r="4240" spans="1:22" x14ac:dyDescent="0.35">
      <c r="A4240" s="3">
        <v>44013</v>
      </c>
      <c r="B4240" t="s">
        <v>45</v>
      </c>
      <c r="C4240">
        <v>29.38</v>
      </c>
      <c r="D4240">
        <v>29.75</v>
      </c>
      <c r="E4240">
        <v>28.6</v>
      </c>
      <c r="F4240">
        <v>28.92</v>
      </c>
      <c r="G4240">
        <v>28.925000000000001</v>
      </c>
      <c r="H4240">
        <v>-0.5</v>
      </c>
      <c r="I4240">
        <v>879</v>
      </c>
      <c r="J4240">
        <v>0</v>
      </c>
      <c r="K4240">
        <v>2388</v>
      </c>
      <c r="L4240">
        <v>140</v>
      </c>
      <c r="M4240">
        <v>203</v>
      </c>
      <c r="N4240" t="s">
        <v>45</v>
      </c>
      <c r="O4240" s="3">
        <v>44216</v>
      </c>
      <c r="P4240">
        <v>-1</v>
      </c>
      <c r="T4240" t="s">
        <v>35</v>
      </c>
      <c r="U4240">
        <v>35</v>
      </c>
      <c r="V4240">
        <v>23.782299999999999</v>
      </c>
    </row>
    <row r="4241" spans="1:22" x14ac:dyDescent="0.35">
      <c r="A4241" s="3">
        <v>44013</v>
      </c>
      <c r="B4241" t="s">
        <v>44</v>
      </c>
      <c r="C4241">
        <v>29.35</v>
      </c>
      <c r="D4241">
        <v>29.55</v>
      </c>
      <c r="E4241">
        <v>28.85</v>
      </c>
      <c r="F4241">
        <v>29.05</v>
      </c>
      <c r="G4241">
        <v>29.074999999999999</v>
      </c>
      <c r="H4241">
        <v>-0.35</v>
      </c>
      <c r="I4241">
        <v>71</v>
      </c>
      <c r="J4241">
        <v>0</v>
      </c>
      <c r="K4241">
        <v>217</v>
      </c>
      <c r="L4241">
        <v>159</v>
      </c>
      <c r="M4241">
        <v>231</v>
      </c>
      <c r="N4241" t="s">
        <v>44</v>
      </c>
      <c r="O4241" s="3">
        <v>44244</v>
      </c>
      <c r="P4241">
        <v>-1</v>
      </c>
      <c r="T4241" t="s">
        <v>34</v>
      </c>
      <c r="U4241">
        <v>59</v>
      </c>
      <c r="V4241">
        <v>24.012799999999999</v>
      </c>
    </row>
    <row r="4242" spans="1:22" x14ac:dyDescent="0.35">
      <c r="A4242" s="3">
        <v>44012</v>
      </c>
      <c r="B4242" t="s">
        <v>46</v>
      </c>
      <c r="C4242">
        <v>30.2</v>
      </c>
      <c r="D4242">
        <v>30.5</v>
      </c>
      <c r="E4242">
        <v>28.85</v>
      </c>
      <c r="F4242">
        <v>29.05</v>
      </c>
      <c r="G4242">
        <v>29.074999999999999</v>
      </c>
      <c r="H4242">
        <v>-0.95</v>
      </c>
      <c r="I4242">
        <v>2556</v>
      </c>
      <c r="J4242">
        <v>0</v>
      </c>
      <c r="K4242">
        <v>8238</v>
      </c>
      <c r="L4242">
        <v>119</v>
      </c>
      <c r="M4242">
        <v>169</v>
      </c>
      <c r="N4242" t="s">
        <v>46</v>
      </c>
      <c r="O4242" s="3">
        <v>44181</v>
      </c>
      <c r="P4242">
        <v>-1</v>
      </c>
      <c r="S4242" s="3">
        <v>44469</v>
      </c>
      <c r="T4242" t="s">
        <v>33</v>
      </c>
      <c r="U4242">
        <v>76</v>
      </c>
      <c r="V4242">
        <v>24.800699999999999</v>
      </c>
    </row>
    <row r="4243" spans="1:22" x14ac:dyDescent="0.35">
      <c r="A4243" s="3">
        <v>44012</v>
      </c>
      <c r="B4243" t="s">
        <v>45</v>
      </c>
      <c r="C4243">
        <v>30.65</v>
      </c>
      <c r="D4243">
        <v>30.9</v>
      </c>
      <c r="E4243">
        <v>29.25</v>
      </c>
      <c r="F4243">
        <v>29.4</v>
      </c>
      <c r="G4243">
        <v>29.425000000000001</v>
      </c>
      <c r="H4243">
        <v>-1.125</v>
      </c>
      <c r="I4243">
        <v>1088</v>
      </c>
      <c r="J4243">
        <v>0</v>
      </c>
      <c r="K4243">
        <v>2188</v>
      </c>
      <c r="L4243">
        <v>141</v>
      </c>
      <c r="M4243">
        <v>204</v>
      </c>
      <c r="N4243" t="s">
        <v>45</v>
      </c>
      <c r="O4243" s="3">
        <v>44216</v>
      </c>
      <c r="P4243">
        <v>-1</v>
      </c>
      <c r="T4243" t="s">
        <v>32</v>
      </c>
      <c r="U4243">
        <v>96</v>
      </c>
      <c r="V4243">
        <v>25.226500000000001</v>
      </c>
    </row>
    <row r="4244" spans="1:22" x14ac:dyDescent="0.35">
      <c r="A4244" s="3">
        <v>44012</v>
      </c>
      <c r="B4244" t="s">
        <v>44</v>
      </c>
      <c r="C4244">
        <v>30.55</v>
      </c>
      <c r="D4244">
        <v>30.55</v>
      </c>
      <c r="E4244">
        <v>29.3</v>
      </c>
      <c r="F4244">
        <v>29.39</v>
      </c>
      <c r="G4244">
        <v>29.425000000000001</v>
      </c>
      <c r="H4244">
        <v>-0.95</v>
      </c>
      <c r="I4244">
        <v>50</v>
      </c>
      <c r="J4244">
        <v>0</v>
      </c>
      <c r="K4244">
        <v>188</v>
      </c>
      <c r="L4244">
        <v>160</v>
      </c>
      <c r="M4244">
        <v>232</v>
      </c>
      <c r="N4244" t="s">
        <v>44</v>
      </c>
      <c r="O4244" s="3">
        <v>44244</v>
      </c>
      <c r="P4244">
        <v>-1</v>
      </c>
      <c r="T4244" t="s">
        <v>31</v>
      </c>
      <c r="U4244">
        <v>114</v>
      </c>
      <c r="V4244">
        <v>25.655100000000001</v>
      </c>
    </row>
    <row r="4245" spans="1:22" x14ac:dyDescent="0.35">
      <c r="A4245" s="3">
        <v>44012</v>
      </c>
      <c r="B4245" t="s">
        <v>49</v>
      </c>
      <c r="C4245">
        <v>32.85</v>
      </c>
      <c r="D4245">
        <v>33.4</v>
      </c>
      <c r="E4245">
        <v>31.45</v>
      </c>
      <c r="F4245">
        <v>31.74</v>
      </c>
      <c r="G4245">
        <v>31.774999999999999</v>
      </c>
      <c r="H4245">
        <v>-1</v>
      </c>
      <c r="I4245">
        <v>8959</v>
      </c>
      <c r="J4245">
        <v>0</v>
      </c>
      <c r="K4245">
        <v>22772</v>
      </c>
      <c r="L4245">
        <v>55</v>
      </c>
      <c r="M4245">
        <v>78</v>
      </c>
      <c r="N4245" t="s">
        <v>49</v>
      </c>
      <c r="O4245" s="3">
        <v>44090</v>
      </c>
      <c r="P4245">
        <v>-1</v>
      </c>
      <c r="T4245" t="s">
        <v>30</v>
      </c>
      <c r="U4245">
        <v>140</v>
      </c>
      <c r="V4245">
        <v>25.828299999999999</v>
      </c>
    </row>
    <row r="4246" spans="1:22" x14ac:dyDescent="0.35">
      <c r="A4246" s="3">
        <v>44012</v>
      </c>
      <c r="B4246" t="s">
        <v>51</v>
      </c>
      <c r="C4246">
        <v>32.51</v>
      </c>
      <c r="D4246">
        <v>33.159999999999997</v>
      </c>
      <c r="E4246">
        <v>30.43</v>
      </c>
      <c r="F4246">
        <v>30.79</v>
      </c>
      <c r="G4246">
        <v>30.875</v>
      </c>
      <c r="H4246">
        <v>-1.45</v>
      </c>
      <c r="I4246">
        <v>82450</v>
      </c>
      <c r="J4246">
        <v>0</v>
      </c>
      <c r="K4246">
        <v>113098</v>
      </c>
      <c r="L4246">
        <v>16</v>
      </c>
      <c r="M4246">
        <v>22</v>
      </c>
      <c r="N4246" t="s">
        <v>51</v>
      </c>
      <c r="O4246" s="3">
        <v>44034</v>
      </c>
      <c r="P4246">
        <v>-1</v>
      </c>
      <c r="T4246" t="s">
        <v>29</v>
      </c>
      <c r="U4246">
        <v>160</v>
      </c>
      <c r="V4246">
        <v>25.8</v>
      </c>
    </row>
    <row r="4247" spans="1:22" x14ac:dyDescent="0.35">
      <c r="A4247" s="3">
        <v>44012</v>
      </c>
      <c r="B4247" t="s">
        <v>48</v>
      </c>
      <c r="C4247">
        <v>34.06</v>
      </c>
      <c r="D4247">
        <v>34.549999999999997</v>
      </c>
      <c r="E4247">
        <v>32.85</v>
      </c>
      <c r="F4247">
        <v>33.130000000000003</v>
      </c>
      <c r="G4247">
        <v>33.174999999999997</v>
      </c>
      <c r="H4247">
        <v>-0.85</v>
      </c>
      <c r="I4247">
        <v>4715</v>
      </c>
      <c r="J4247">
        <v>0</v>
      </c>
      <c r="K4247">
        <v>26653</v>
      </c>
      <c r="L4247">
        <v>80</v>
      </c>
      <c r="M4247">
        <v>113</v>
      </c>
      <c r="N4247" t="s">
        <v>48</v>
      </c>
      <c r="O4247" s="3">
        <v>44125</v>
      </c>
      <c r="P4247">
        <v>-1</v>
      </c>
      <c r="T4247" t="s">
        <v>28</v>
      </c>
      <c r="U4247">
        <v>179</v>
      </c>
      <c r="V4247">
        <v>25.7</v>
      </c>
    </row>
    <row r="4248" spans="1:22" x14ac:dyDescent="0.35">
      <c r="A4248" s="3">
        <v>44012</v>
      </c>
      <c r="B4248" t="s">
        <v>50</v>
      </c>
      <c r="C4248">
        <v>32.92</v>
      </c>
      <c r="D4248">
        <v>33.58</v>
      </c>
      <c r="E4248">
        <v>31.4</v>
      </c>
      <c r="F4248">
        <v>31.75</v>
      </c>
      <c r="G4248">
        <v>31.824999999999999</v>
      </c>
      <c r="H4248">
        <v>-1</v>
      </c>
      <c r="I4248">
        <v>54208</v>
      </c>
      <c r="J4248">
        <v>0</v>
      </c>
      <c r="K4248">
        <v>63955</v>
      </c>
      <c r="L4248">
        <v>36</v>
      </c>
      <c r="M4248">
        <v>50</v>
      </c>
      <c r="N4248" t="s">
        <v>50</v>
      </c>
      <c r="O4248" s="3">
        <v>44062</v>
      </c>
      <c r="P4248">
        <v>-1</v>
      </c>
      <c r="T4248" t="s">
        <v>36</v>
      </c>
      <c r="U4248">
        <v>14</v>
      </c>
      <c r="V4248">
        <v>22.867799999999999</v>
      </c>
    </row>
    <row r="4249" spans="1:22" x14ac:dyDescent="0.35">
      <c r="A4249" s="3">
        <v>44012</v>
      </c>
      <c r="B4249" t="s">
        <v>47</v>
      </c>
      <c r="C4249">
        <v>31.55</v>
      </c>
      <c r="D4249">
        <v>32</v>
      </c>
      <c r="E4249">
        <v>30.32</v>
      </c>
      <c r="F4249">
        <v>30.56</v>
      </c>
      <c r="G4249">
        <v>30.574999999999999</v>
      </c>
      <c r="H4249">
        <v>-0.92500000000000004</v>
      </c>
      <c r="I4249">
        <v>3662</v>
      </c>
      <c r="J4249">
        <v>0</v>
      </c>
      <c r="K4249">
        <v>19635</v>
      </c>
      <c r="L4249">
        <v>100</v>
      </c>
      <c r="M4249">
        <v>141</v>
      </c>
      <c r="N4249" t="s">
        <v>47</v>
      </c>
      <c r="O4249" s="3">
        <v>44153</v>
      </c>
      <c r="P4249">
        <v>-1</v>
      </c>
      <c r="T4249" t="s">
        <v>35</v>
      </c>
      <c r="U4249">
        <v>34</v>
      </c>
      <c r="V4249">
        <v>23.6859</v>
      </c>
    </row>
    <row r="4250" spans="1:22" x14ac:dyDescent="0.35">
      <c r="A4250" s="3">
        <v>44011</v>
      </c>
      <c r="B4250" t="s">
        <v>49</v>
      </c>
      <c r="C4250">
        <v>34.44</v>
      </c>
      <c r="D4250">
        <v>34.6</v>
      </c>
      <c r="E4250">
        <v>32.619999999999997</v>
      </c>
      <c r="F4250">
        <v>32.85</v>
      </c>
      <c r="G4250">
        <v>32.774999999999999</v>
      </c>
      <c r="H4250">
        <v>-1.45</v>
      </c>
      <c r="I4250">
        <v>6836</v>
      </c>
      <c r="J4250">
        <v>0</v>
      </c>
      <c r="K4250">
        <v>21682</v>
      </c>
      <c r="L4250">
        <v>56</v>
      </c>
      <c r="M4250">
        <v>79</v>
      </c>
      <c r="N4250" t="s">
        <v>49</v>
      </c>
      <c r="O4250" s="3">
        <v>44090</v>
      </c>
      <c r="P4250">
        <v>-1</v>
      </c>
      <c r="T4250" t="s">
        <v>34</v>
      </c>
      <c r="U4250">
        <v>58</v>
      </c>
      <c r="V4250">
        <v>23.9984</v>
      </c>
    </row>
    <row r="4251" spans="1:22" x14ac:dyDescent="0.35">
      <c r="A4251" s="3">
        <v>44011</v>
      </c>
      <c r="B4251" t="s">
        <v>51</v>
      </c>
      <c r="C4251">
        <v>34.950000000000003</v>
      </c>
      <c r="D4251">
        <v>35.25</v>
      </c>
      <c r="E4251">
        <v>32.1</v>
      </c>
      <c r="F4251">
        <v>32.4</v>
      </c>
      <c r="G4251">
        <v>32.325000000000003</v>
      </c>
      <c r="H4251">
        <v>-2.2000000000000002</v>
      </c>
      <c r="I4251">
        <v>74789</v>
      </c>
      <c r="J4251">
        <v>0</v>
      </c>
      <c r="K4251">
        <v>119900</v>
      </c>
      <c r="L4251">
        <v>17</v>
      </c>
      <c r="M4251">
        <v>23</v>
      </c>
      <c r="N4251" t="s">
        <v>51</v>
      </c>
      <c r="O4251" s="3">
        <v>44034</v>
      </c>
      <c r="P4251">
        <v>-1</v>
      </c>
      <c r="S4251" s="3">
        <v>44470</v>
      </c>
      <c r="T4251" t="s">
        <v>33</v>
      </c>
      <c r="U4251">
        <v>75</v>
      </c>
      <c r="V4251">
        <v>24.482299999999999</v>
      </c>
    </row>
    <row r="4252" spans="1:22" x14ac:dyDescent="0.35">
      <c r="A4252" s="3">
        <v>44011</v>
      </c>
      <c r="B4252" t="s">
        <v>48</v>
      </c>
      <c r="C4252">
        <v>35.53</v>
      </c>
      <c r="D4252">
        <v>35.6</v>
      </c>
      <c r="E4252">
        <v>33.85</v>
      </c>
      <c r="F4252">
        <v>34.08</v>
      </c>
      <c r="G4252">
        <v>34.024999999999999</v>
      </c>
      <c r="H4252">
        <v>-1.3</v>
      </c>
      <c r="I4252">
        <v>3313</v>
      </c>
      <c r="J4252">
        <v>0</v>
      </c>
      <c r="K4252">
        <v>26264</v>
      </c>
      <c r="L4252">
        <v>81</v>
      </c>
      <c r="M4252">
        <v>114</v>
      </c>
      <c r="N4252" t="s">
        <v>48</v>
      </c>
      <c r="O4252" s="3">
        <v>44125</v>
      </c>
      <c r="P4252">
        <v>-1</v>
      </c>
      <c r="T4252" t="s">
        <v>32</v>
      </c>
      <c r="U4252">
        <v>95</v>
      </c>
      <c r="V4252">
        <v>24.923400000000001</v>
      </c>
    </row>
    <row r="4253" spans="1:22" x14ac:dyDescent="0.35">
      <c r="A4253" s="3">
        <v>44011</v>
      </c>
      <c r="B4253" t="s">
        <v>50</v>
      </c>
      <c r="C4253">
        <v>34.700000000000003</v>
      </c>
      <c r="D4253">
        <v>34.9</v>
      </c>
      <c r="E4253">
        <v>32.6</v>
      </c>
      <c r="F4253">
        <v>32.880000000000003</v>
      </c>
      <c r="G4253">
        <v>32.825000000000003</v>
      </c>
      <c r="H4253">
        <v>-1.65</v>
      </c>
      <c r="I4253">
        <v>49964</v>
      </c>
      <c r="J4253">
        <v>0</v>
      </c>
      <c r="K4253">
        <v>59368</v>
      </c>
      <c r="L4253">
        <v>37</v>
      </c>
      <c r="M4253">
        <v>51</v>
      </c>
      <c r="N4253" t="s">
        <v>50</v>
      </c>
      <c r="O4253" s="3">
        <v>44062</v>
      </c>
      <c r="P4253">
        <v>-1</v>
      </c>
      <c r="T4253" t="s">
        <v>31</v>
      </c>
      <c r="U4253">
        <v>113</v>
      </c>
      <c r="V4253">
        <v>25.384899999999998</v>
      </c>
    </row>
    <row r="4254" spans="1:22" x14ac:dyDescent="0.35">
      <c r="A4254" s="3">
        <v>44011</v>
      </c>
      <c r="B4254" t="s">
        <v>47</v>
      </c>
      <c r="C4254">
        <v>32.869999999999997</v>
      </c>
      <c r="D4254">
        <v>32.950000000000003</v>
      </c>
      <c r="E4254">
        <v>31.35</v>
      </c>
      <c r="F4254">
        <v>31.52</v>
      </c>
      <c r="G4254">
        <v>31.5</v>
      </c>
      <c r="H4254">
        <v>-1.2749999999999999</v>
      </c>
      <c r="I4254">
        <v>2113</v>
      </c>
      <c r="J4254">
        <v>0</v>
      </c>
      <c r="K4254">
        <v>19857</v>
      </c>
      <c r="L4254">
        <v>101</v>
      </c>
      <c r="M4254">
        <v>142</v>
      </c>
      <c r="N4254" t="s">
        <v>47</v>
      </c>
      <c r="O4254" s="3">
        <v>44153</v>
      </c>
      <c r="P4254">
        <v>-1</v>
      </c>
      <c r="T4254" t="s">
        <v>30</v>
      </c>
      <c r="U4254">
        <v>139</v>
      </c>
      <c r="V4254">
        <v>25.616700000000002</v>
      </c>
    </row>
    <row r="4255" spans="1:22" x14ac:dyDescent="0.35">
      <c r="A4255" s="3">
        <v>44011</v>
      </c>
      <c r="B4255" t="s">
        <v>46</v>
      </c>
      <c r="C4255">
        <v>30.85</v>
      </c>
      <c r="D4255">
        <v>31.55</v>
      </c>
      <c r="E4255">
        <v>29.88</v>
      </c>
      <c r="F4255">
        <v>30.05</v>
      </c>
      <c r="G4255">
        <v>30.024999999999999</v>
      </c>
      <c r="H4255">
        <v>-1.1499999999999999</v>
      </c>
      <c r="I4255">
        <v>1507</v>
      </c>
      <c r="J4255">
        <v>0</v>
      </c>
      <c r="K4255">
        <v>8402</v>
      </c>
      <c r="L4255">
        <v>120</v>
      </c>
      <c r="M4255">
        <v>170</v>
      </c>
      <c r="N4255" t="s">
        <v>46</v>
      </c>
      <c r="O4255" s="3">
        <v>44181</v>
      </c>
      <c r="P4255">
        <v>-1</v>
      </c>
      <c r="T4255" t="s">
        <v>29</v>
      </c>
      <c r="U4255">
        <v>159</v>
      </c>
      <c r="V4255">
        <v>25.574999999999999</v>
      </c>
    </row>
    <row r="4256" spans="1:22" x14ac:dyDescent="0.35">
      <c r="A4256" s="3">
        <v>44011</v>
      </c>
      <c r="B4256" t="s">
        <v>45</v>
      </c>
      <c r="C4256">
        <v>31.45</v>
      </c>
      <c r="D4256">
        <v>31.85</v>
      </c>
      <c r="E4256">
        <v>30.42</v>
      </c>
      <c r="F4256">
        <v>30.53</v>
      </c>
      <c r="G4256">
        <v>30.55</v>
      </c>
      <c r="H4256">
        <v>-1.0249999999999999</v>
      </c>
      <c r="I4256">
        <v>547</v>
      </c>
      <c r="J4256">
        <v>0</v>
      </c>
      <c r="K4256">
        <v>2178</v>
      </c>
      <c r="L4256">
        <v>142</v>
      </c>
      <c r="M4256">
        <v>205</v>
      </c>
      <c r="N4256" t="s">
        <v>45</v>
      </c>
      <c r="O4256" s="3">
        <v>44216</v>
      </c>
      <c r="P4256">
        <v>-1</v>
      </c>
      <c r="T4256" t="s">
        <v>28</v>
      </c>
      <c r="U4256">
        <v>178</v>
      </c>
      <c r="V4256">
        <v>25.574999999999999</v>
      </c>
    </row>
    <row r="4257" spans="1:22" x14ac:dyDescent="0.35">
      <c r="A4257" s="3">
        <v>44011</v>
      </c>
      <c r="B4257" t="s">
        <v>44</v>
      </c>
      <c r="C4257">
        <v>31.25</v>
      </c>
      <c r="D4257">
        <v>31.25</v>
      </c>
      <c r="E4257">
        <v>30.25</v>
      </c>
      <c r="F4257">
        <v>30.25</v>
      </c>
      <c r="G4257">
        <v>30.375</v>
      </c>
      <c r="H4257">
        <v>-0.72499999999999998</v>
      </c>
      <c r="I4257">
        <v>35</v>
      </c>
      <c r="J4257">
        <v>0</v>
      </c>
      <c r="K4257">
        <v>188</v>
      </c>
      <c r="L4257">
        <v>161</v>
      </c>
      <c r="M4257">
        <v>233</v>
      </c>
      <c r="N4257" t="s">
        <v>44</v>
      </c>
      <c r="O4257" s="3">
        <v>44244</v>
      </c>
      <c r="P4257">
        <v>-1</v>
      </c>
      <c r="T4257" t="s">
        <v>36</v>
      </c>
      <c r="U4257">
        <v>13</v>
      </c>
      <c r="V4257">
        <v>21.994</v>
      </c>
    </row>
    <row r="4258" spans="1:22" x14ac:dyDescent="0.35">
      <c r="A4258" s="3">
        <v>44008</v>
      </c>
      <c r="B4258" t="s">
        <v>46</v>
      </c>
      <c r="C4258">
        <v>29.62</v>
      </c>
      <c r="D4258">
        <v>31.3</v>
      </c>
      <c r="E4258">
        <v>29.6</v>
      </c>
      <c r="F4258">
        <v>31.17</v>
      </c>
      <c r="G4258">
        <v>31.175000000000001</v>
      </c>
      <c r="H4258">
        <v>1.55</v>
      </c>
      <c r="I4258">
        <v>3428</v>
      </c>
      <c r="J4258">
        <v>0</v>
      </c>
      <c r="K4258">
        <v>8348</v>
      </c>
      <c r="L4258">
        <v>121</v>
      </c>
      <c r="M4258">
        <v>173</v>
      </c>
      <c r="N4258" t="s">
        <v>46</v>
      </c>
      <c r="O4258" s="3">
        <v>44181</v>
      </c>
      <c r="P4258">
        <v>-1</v>
      </c>
      <c r="T4258" t="s">
        <v>35</v>
      </c>
      <c r="U4258">
        <v>33</v>
      </c>
      <c r="V4258">
        <v>23.215800000000002</v>
      </c>
    </row>
    <row r="4259" spans="1:22" x14ac:dyDescent="0.35">
      <c r="A4259" s="3">
        <v>44008</v>
      </c>
      <c r="B4259" t="s">
        <v>45</v>
      </c>
      <c r="C4259">
        <v>30.3</v>
      </c>
      <c r="D4259">
        <v>31.57</v>
      </c>
      <c r="E4259">
        <v>30.2</v>
      </c>
      <c r="F4259">
        <v>31.5</v>
      </c>
      <c r="G4259">
        <v>31.574999999999999</v>
      </c>
      <c r="H4259">
        <v>1.4</v>
      </c>
      <c r="I4259">
        <v>1247</v>
      </c>
      <c r="J4259">
        <v>0</v>
      </c>
      <c r="K4259">
        <v>2162</v>
      </c>
      <c r="L4259">
        <v>143</v>
      </c>
      <c r="M4259">
        <v>208</v>
      </c>
      <c r="N4259" t="s">
        <v>45</v>
      </c>
      <c r="O4259" s="3">
        <v>44216</v>
      </c>
      <c r="P4259">
        <v>-1</v>
      </c>
      <c r="T4259" t="s">
        <v>34</v>
      </c>
      <c r="U4259">
        <v>57</v>
      </c>
      <c r="V4259">
        <v>23.668800000000001</v>
      </c>
    </row>
    <row r="4260" spans="1:22" x14ac:dyDescent="0.35">
      <c r="A4260" s="3">
        <v>44008</v>
      </c>
      <c r="B4260" t="s">
        <v>44</v>
      </c>
      <c r="C4260">
        <v>30.35</v>
      </c>
      <c r="D4260">
        <v>31.1</v>
      </c>
      <c r="E4260">
        <v>30</v>
      </c>
      <c r="F4260">
        <v>31.05</v>
      </c>
      <c r="G4260">
        <v>31.1</v>
      </c>
      <c r="H4260">
        <v>1.1000000000000001</v>
      </c>
      <c r="I4260">
        <v>84</v>
      </c>
      <c r="J4260">
        <v>0</v>
      </c>
      <c r="K4260">
        <v>182</v>
      </c>
      <c r="L4260">
        <v>162</v>
      </c>
      <c r="M4260">
        <v>236</v>
      </c>
      <c r="N4260" t="s">
        <v>44</v>
      </c>
      <c r="O4260" s="3">
        <v>44244</v>
      </c>
      <c r="P4260">
        <v>-1</v>
      </c>
      <c r="S4260" s="3">
        <v>44473</v>
      </c>
      <c r="T4260" t="s">
        <v>33</v>
      </c>
      <c r="U4260">
        <v>74</v>
      </c>
      <c r="V4260">
        <v>25.029599999999999</v>
      </c>
    </row>
    <row r="4261" spans="1:22" x14ac:dyDescent="0.35">
      <c r="A4261" s="3">
        <v>44008</v>
      </c>
      <c r="B4261" t="s">
        <v>49</v>
      </c>
      <c r="C4261">
        <v>32.5</v>
      </c>
      <c r="D4261">
        <v>34.35</v>
      </c>
      <c r="E4261">
        <v>32.200000000000003</v>
      </c>
      <c r="F4261">
        <v>34.17</v>
      </c>
      <c r="G4261">
        <v>34.225000000000001</v>
      </c>
      <c r="H4261">
        <v>1.9</v>
      </c>
      <c r="I4261">
        <v>6760</v>
      </c>
      <c r="J4261">
        <v>0</v>
      </c>
      <c r="K4261">
        <v>21324</v>
      </c>
      <c r="L4261">
        <v>57</v>
      </c>
      <c r="M4261">
        <v>82</v>
      </c>
      <c r="N4261" t="s">
        <v>49</v>
      </c>
      <c r="O4261" s="3">
        <v>44090</v>
      </c>
      <c r="P4261">
        <v>-1</v>
      </c>
      <c r="T4261" t="s">
        <v>32</v>
      </c>
      <c r="U4261">
        <v>94</v>
      </c>
      <c r="V4261">
        <v>25.414300000000001</v>
      </c>
    </row>
    <row r="4262" spans="1:22" x14ac:dyDescent="0.35">
      <c r="A4262" s="3">
        <v>44008</v>
      </c>
      <c r="B4262" t="s">
        <v>51</v>
      </c>
      <c r="C4262">
        <v>32.35</v>
      </c>
      <c r="D4262">
        <v>34.85</v>
      </c>
      <c r="E4262">
        <v>31.85</v>
      </c>
      <c r="F4262">
        <v>34.450000000000003</v>
      </c>
      <c r="G4262">
        <v>34.524999999999999</v>
      </c>
      <c r="H4262">
        <v>2.35</v>
      </c>
      <c r="I4262">
        <v>82928</v>
      </c>
      <c r="J4262">
        <v>817</v>
      </c>
      <c r="K4262">
        <v>125169</v>
      </c>
      <c r="L4262">
        <v>18</v>
      </c>
      <c r="M4262">
        <v>26</v>
      </c>
      <c r="N4262" t="s">
        <v>51</v>
      </c>
      <c r="O4262" s="3">
        <v>44034</v>
      </c>
      <c r="P4262">
        <v>-1</v>
      </c>
      <c r="T4262" t="s">
        <v>31</v>
      </c>
      <c r="U4262">
        <v>112</v>
      </c>
      <c r="V4262">
        <v>25.8383</v>
      </c>
    </row>
    <row r="4263" spans="1:22" x14ac:dyDescent="0.35">
      <c r="A4263" s="3">
        <v>44008</v>
      </c>
      <c r="B4263" t="s">
        <v>48</v>
      </c>
      <c r="C4263">
        <v>33.630000000000003</v>
      </c>
      <c r="D4263">
        <v>35.42</v>
      </c>
      <c r="E4263">
        <v>33.5</v>
      </c>
      <c r="F4263">
        <v>35.340000000000003</v>
      </c>
      <c r="G4263">
        <v>35.325000000000003</v>
      </c>
      <c r="H4263">
        <v>1.75</v>
      </c>
      <c r="I4263">
        <v>4547</v>
      </c>
      <c r="J4263">
        <v>0</v>
      </c>
      <c r="K4263">
        <v>26115</v>
      </c>
      <c r="L4263">
        <v>82</v>
      </c>
      <c r="M4263">
        <v>117</v>
      </c>
      <c r="N4263" t="s">
        <v>48</v>
      </c>
      <c r="O4263" s="3">
        <v>44125</v>
      </c>
      <c r="P4263">
        <v>-1</v>
      </c>
      <c r="T4263" t="s">
        <v>30</v>
      </c>
      <c r="U4263">
        <v>138</v>
      </c>
      <c r="V4263">
        <v>25.9816</v>
      </c>
    </row>
    <row r="4264" spans="1:22" x14ac:dyDescent="0.35">
      <c r="A4264" s="3">
        <v>44008</v>
      </c>
      <c r="B4264" t="s">
        <v>50</v>
      </c>
      <c r="C4264">
        <v>32.549999999999997</v>
      </c>
      <c r="D4264">
        <v>34.65</v>
      </c>
      <c r="E4264">
        <v>32.200000000000003</v>
      </c>
      <c r="F4264">
        <v>34.380000000000003</v>
      </c>
      <c r="G4264">
        <v>34.475000000000001</v>
      </c>
      <c r="H4264">
        <v>2.15</v>
      </c>
      <c r="I4264">
        <v>51078</v>
      </c>
      <c r="J4264">
        <v>336</v>
      </c>
      <c r="K4264">
        <v>54520</v>
      </c>
      <c r="L4264">
        <v>38</v>
      </c>
      <c r="M4264">
        <v>54</v>
      </c>
      <c r="N4264" t="s">
        <v>50</v>
      </c>
      <c r="O4264" s="3">
        <v>44062</v>
      </c>
      <c r="P4264">
        <v>-1</v>
      </c>
      <c r="T4264" t="s">
        <v>29</v>
      </c>
      <c r="U4264">
        <v>158</v>
      </c>
      <c r="V4264">
        <v>25.95</v>
      </c>
    </row>
    <row r="4265" spans="1:22" x14ac:dyDescent="0.35">
      <c r="A4265" s="3">
        <v>44008</v>
      </c>
      <c r="B4265" t="s">
        <v>47</v>
      </c>
      <c r="C4265">
        <v>31.27</v>
      </c>
      <c r="D4265">
        <v>32.85</v>
      </c>
      <c r="E4265">
        <v>31.08</v>
      </c>
      <c r="F4265">
        <v>32.85</v>
      </c>
      <c r="G4265">
        <v>32.774999999999999</v>
      </c>
      <c r="H4265">
        <v>1.65</v>
      </c>
      <c r="I4265">
        <v>2901</v>
      </c>
      <c r="J4265">
        <v>0</v>
      </c>
      <c r="K4265">
        <v>19861</v>
      </c>
      <c r="L4265">
        <v>102</v>
      </c>
      <c r="M4265">
        <v>145</v>
      </c>
      <c r="N4265" t="s">
        <v>47</v>
      </c>
      <c r="O4265" s="3">
        <v>44153</v>
      </c>
      <c r="P4265">
        <v>-1</v>
      </c>
      <c r="T4265" t="s">
        <v>28</v>
      </c>
      <c r="U4265">
        <v>177</v>
      </c>
      <c r="V4265">
        <v>25.824999999999999</v>
      </c>
    </row>
    <row r="4266" spans="1:22" x14ac:dyDescent="0.35">
      <c r="A4266" s="3">
        <v>44007</v>
      </c>
      <c r="B4266" t="s">
        <v>49</v>
      </c>
      <c r="C4266">
        <v>33.200000000000003</v>
      </c>
      <c r="D4266">
        <v>34.36</v>
      </c>
      <c r="E4266">
        <v>32.270000000000003</v>
      </c>
      <c r="F4266">
        <v>32.4</v>
      </c>
      <c r="G4266">
        <v>32.325000000000003</v>
      </c>
      <c r="H4266">
        <v>-0.9</v>
      </c>
      <c r="I4266">
        <v>7074</v>
      </c>
      <c r="J4266">
        <v>0</v>
      </c>
      <c r="K4266">
        <v>21086</v>
      </c>
      <c r="L4266">
        <v>58</v>
      </c>
      <c r="M4266">
        <v>83</v>
      </c>
      <c r="N4266" t="s">
        <v>49</v>
      </c>
      <c r="O4266" s="3">
        <v>44090</v>
      </c>
      <c r="P4266">
        <v>-1</v>
      </c>
      <c r="T4266" t="s">
        <v>36</v>
      </c>
      <c r="U4266">
        <v>12</v>
      </c>
      <c r="V4266">
        <v>22.681000000000001</v>
      </c>
    </row>
    <row r="4267" spans="1:22" x14ac:dyDescent="0.35">
      <c r="A4267" s="3">
        <v>44007</v>
      </c>
      <c r="B4267" t="s">
        <v>51</v>
      </c>
      <c r="C4267">
        <v>33.6</v>
      </c>
      <c r="D4267">
        <v>35.450000000000003</v>
      </c>
      <c r="E4267">
        <v>31.97</v>
      </c>
      <c r="F4267">
        <v>32.25</v>
      </c>
      <c r="G4267">
        <v>32.174999999999997</v>
      </c>
      <c r="H4267">
        <v>-1.4</v>
      </c>
      <c r="I4267">
        <v>82519</v>
      </c>
      <c r="J4267">
        <v>675</v>
      </c>
      <c r="K4267">
        <v>122847</v>
      </c>
      <c r="L4267">
        <v>19</v>
      </c>
      <c r="M4267">
        <v>27</v>
      </c>
      <c r="N4267" t="s">
        <v>51</v>
      </c>
      <c r="O4267" s="3">
        <v>44034</v>
      </c>
      <c r="P4267">
        <v>-1</v>
      </c>
      <c r="T4267" t="s">
        <v>35</v>
      </c>
      <c r="U4267">
        <v>32</v>
      </c>
      <c r="V4267">
        <v>23.699200000000001</v>
      </c>
    </row>
    <row r="4268" spans="1:22" x14ac:dyDescent="0.35">
      <c r="A4268" s="3">
        <v>44007</v>
      </c>
      <c r="B4268" t="s">
        <v>48</v>
      </c>
      <c r="C4268">
        <v>34.4</v>
      </c>
      <c r="D4268">
        <v>35.4</v>
      </c>
      <c r="E4268">
        <v>33.47</v>
      </c>
      <c r="F4268">
        <v>33.6</v>
      </c>
      <c r="G4268">
        <v>33.575000000000003</v>
      </c>
      <c r="H4268">
        <v>-0.9</v>
      </c>
      <c r="I4268">
        <v>4344</v>
      </c>
      <c r="J4268">
        <v>0</v>
      </c>
      <c r="K4268">
        <v>26375</v>
      </c>
      <c r="L4268">
        <v>83</v>
      </c>
      <c r="M4268">
        <v>118</v>
      </c>
      <c r="N4268" t="s">
        <v>48</v>
      </c>
      <c r="O4268" s="3">
        <v>44125</v>
      </c>
      <c r="P4268">
        <v>-1</v>
      </c>
      <c r="T4268" t="s">
        <v>34</v>
      </c>
      <c r="U4268">
        <v>56</v>
      </c>
      <c r="V4268">
        <v>24.153199999999998</v>
      </c>
    </row>
    <row r="4269" spans="1:22" x14ac:dyDescent="0.35">
      <c r="A4269" s="3">
        <v>44007</v>
      </c>
      <c r="B4269" t="s">
        <v>50</v>
      </c>
      <c r="C4269">
        <v>33.42</v>
      </c>
      <c r="D4269">
        <v>34.950000000000003</v>
      </c>
      <c r="E4269">
        <v>32.299999999999997</v>
      </c>
      <c r="F4269">
        <v>32.450000000000003</v>
      </c>
      <c r="G4269">
        <v>32.325000000000003</v>
      </c>
      <c r="H4269">
        <v>-1.1499999999999999</v>
      </c>
      <c r="I4269">
        <v>46610</v>
      </c>
      <c r="J4269">
        <v>225</v>
      </c>
      <c r="K4269">
        <v>48400</v>
      </c>
      <c r="L4269">
        <v>39</v>
      </c>
      <c r="M4269">
        <v>55</v>
      </c>
      <c r="N4269" t="s">
        <v>50</v>
      </c>
      <c r="O4269" s="3">
        <v>44062</v>
      </c>
      <c r="P4269">
        <v>-1</v>
      </c>
      <c r="S4269" s="3">
        <v>44474</v>
      </c>
      <c r="T4269" t="s">
        <v>33</v>
      </c>
      <c r="U4269">
        <v>73</v>
      </c>
      <c r="V4269">
        <v>24.423999999999999</v>
      </c>
    </row>
    <row r="4270" spans="1:22" x14ac:dyDescent="0.35">
      <c r="A4270" s="3">
        <v>44007</v>
      </c>
      <c r="B4270" t="s">
        <v>47</v>
      </c>
      <c r="C4270">
        <v>32.049999999999997</v>
      </c>
      <c r="D4270">
        <v>32.97</v>
      </c>
      <c r="E4270">
        <v>31</v>
      </c>
      <c r="F4270">
        <v>31.1</v>
      </c>
      <c r="G4270">
        <v>31.125</v>
      </c>
      <c r="H4270">
        <v>-1</v>
      </c>
      <c r="I4270">
        <v>3303</v>
      </c>
      <c r="J4270">
        <v>0</v>
      </c>
      <c r="K4270">
        <v>19918</v>
      </c>
      <c r="L4270">
        <v>103</v>
      </c>
      <c r="M4270">
        <v>146</v>
      </c>
      <c r="N4270" t="s">
        <v>47</v>
      </c>
      <c r="O4270" s="3">
        <v>44153</v>
      </c>
      <c r="P4270">
        <v>-1</v>
      </c>
      <c r="T4270" t="s">
        <v>32</v>
      </c>
      <c r="U4270">
        <v>93</v>
      </c>
      <c r="V4270">
        <v>24.908100000000001</v>
      </c>
    </row>
    <row r="4271" spans="1:22" x14ac:dyDescent="0.35">
      <c r="A4271" s="3">
        <v>44007</v>
      </c>
      <c r="B4271" t="s">
        <v>46</v>
      </c>
      <c r="C4271">
        <v>30.85</v>
      </c>
      <c r="D4271">
        <v>31.47</v>
      </c>
      <c r="E4271">
        <v>29.5</v>
      </c>
      <c r="F4271">
        <v>29.61</v>
      </c>
      <c r="G4271">
        <v>29.625</v>
      </c>
      <c r="H4271">
        <v>-1.05</v>
      </c>
      <c r="I4271">
        <v>1968</v>
      </c>
      <c r="J4271">
        <v>0</v>
      </c>
      <c r="K4271">
        <v>7672</v>
      </c>
      <c r="L4271">
        <v>122</v>
      </c>
      <c r="M4271">
        <v>174</v>
      </c>
      <c r="N4271" t="s">
        <v>46</v>
      </c>
      <c r="O4271" s="3">
        <v>44181</v>
      </c>
      <c r="P4271">
        <v>-1</v>
      </c>
      <c r="T4271" t="s">
        <v>31</v>
      </c>
      <c r="U4271">
        <v>111</v>
      </c>
      <c r="V4271">
        <v>25.415099999999999</v>
      </c>
    </row>
    <row r="4272" spans="1:22" x14ac:dyDescent="0.35">
      <c r="A4272" s="3">
        <v>44007</v>
      </c>
      <c r="B4272" t="s">
        <v>45</v>
      </c>
      <c r="C4272">
        <v>31.12</v>
      </c>
      <c r="D4272">
        <v>31.85</v>
      </c>
      <c r="E4272">
        <v>30.1</v>
      </c>
      <c r="F4272">
        <v>30.2</v>
      </c>
      <c r="G4272">
        <v>30.175000000000001</v>
      </c>
      <c r="H4272">
        <v>-0.95</v>
      </c>
      <c r="I4272">
        <v>966</v>
      </c>
      <c r="J4272">
        <v>0</v>
      </c>
      <c r="K4272">
        <v>1911</v>
      </c>
      <c r="L4272">
        <v>144</v>
      </c>
      <c r="M4272">
        <v>209</v>
      </c>
      <c r="N4272" t="s">
        <v>45</v>
      </c>
      <c r="O4272" s="3">
        <v>44216</v>
      </c>
      <c r="P4272">
        <v>-1</v>
      </c>
      <c r="T4272" t="s">
        <v>30</v>
      </c>
      <c r="U4272">
        <v>137</v>
      </c>
      <c r="V4272">
        <v>25.6587</v>
      </c>
    </row>
    <row r="4273" spans="1:22" x14ac:dyDescent="0.35">
      <c r="A4273" s="3">
        <v>44007</v>
      </c>
      <c r="B4273" t="s">
        <v>44</v>
      </c>
      <c r="C4273">
        <v>31.25</v>
      </c>
      <c r="D4273">
        <v>31.35</v>
      </c>
      <c r="E4273">
        <v>30</v>
      </c>
      <c r="F4273">
        <v>30.35</v>
      </c>
      <c r="G4273">
        <v>30</v>
      </c>
      <c r="H4273">
        <v>-0.72499999999999998</v>
      </c>
      <c r="I4273">
        <v>73</v>
      </c>
      <c r="J4273">
        <v>0</v>
      </c>
      <c r="K4273">
        <v>148</v>
      </c>
      <c r="L4273">
        <v>163</v>
      </c>
      <c r="M4273">
        <v>237</v>
      </c>
      <c r="N4273" t="s">
        <v>44</v>
      </c>
      <c r="O4273" s="3">
        <v>44244</v>
      </c>
      <c r="P4273">
        <v>-1</v>
      </c>
      <c r="T4273" t="s">
        <v>29</v>
      </c>
      <c r="U4273">
        <v>157</v>
      </c>
      <c r="V4273">
        <v>25.65</v>
      </c>
    </row>
    <row r="4274" spans="1:22" x14ac:dyDescent="0.35">
      <c r="A4274" s="3">
        <v>44006</v>
      </c>
      <c r="B4274" t="s">
        <v>46</v>
      </c>
      <c r="C4274">
        <v>29.4</v>
      </c>
      <c r="D4274">
        <v>31.1</v>
      </c>
      <c r="E4274">
        <v>29.15</v>
      </c>
      <c r="F4274">
        <v>30.64</v>
      </c>
      <c r="G4274">
        <v>30.675000000000001</v>
      </c>
      <c r="H4274">
        <v>1.4</v>
      </c>
      <c r="I4274">
        <v>4166</v>
      </c>
      <c r="J4274">
        <v>0</v>
      </c>
      <c r="K4274">
        <v>7679</v>
      </c>
      <c r="L4274">
        <v>123</v>
      </c>
      <c r="M4274">
        <v>175</v>
      </c>
      <c r="N4274" t="s">
        <v>46</v>
      </c>
      <c r="O4274" s="3">
        <v>44181</v>
      </c>
      <c r="P4274">
        <v>-1</v>
      </c>
      <c r="T4274" t="s">
        <v>28</v>
      </c>
      <c r="U4274">
        <v>176</v>
      </c>
      <c r="V4274">
        <v>25.65</v>
      </c>
    </row>
    <row r="4275" spans="1:22" x14ac:dyDescent="0.35">
      <c r="A4275" s="3">
        <v>44006</v>
      </c>
      <c r="B4275" t="s">
        <v>45</v>
      </c>
      <c r="C4275">
        <v>29.6</v>
      </c>
      <c r="D4275">
        <v>31.3</v>
      </c>
      <c r="E4275">
        <v>29.35</v>
      </c>
      <c r="F4275">
        <v>31.05</v>
      </c>
      <c r="G4275">
        <v>31.125</v>
      </c>
      <c r="H4275">
        <v>1.65</v>
      </c>
      <c r="I4275">
        <v>1521</v>
      </c>
      <c r="J4275">
        <v>0</v>
      </c>
      <c r="K4275">
        <v>2014</v>
      </c>
      <c r="L4275">
        <v>145</v>
      </c>
      <c r="M4275">
        <v>210</v>
      </c>
      <c r="N4275" t="s">
        <v>45</v>
      </c>
      <c r="O4275" s="3">
        <v>44216</v>
      </c>
      <c r="P4275">
        <v>-1</v>
      </c>
      <c r="T4275" t="s">
        <v>36</v>
      </c>
      <c r="U4275">
        <v>11</v>
      </c>
      <c r="V4275">
        <v>21.754100000000001</v>
      </c>
    </row>
    <row r="4276" spans="1:22" x14ac:dyDescent="0.35">
      <c r="A4276" s="3">
        <v>44006</v>
      </c>
      <c r="B4276" t="s">
        <v>44</v>
      </c>
      <c r="C4276">
        <v>29.15</v>
      </c>
      <c r="D4276">
        <v>30.85</v>
      </c>
      <c r="E4276">
        <v>29.15</v>
      </c>
      <c r="F4276">
        <v>30.75</v>
      </c>
      <c r="G4276">
        <v>30.725000000000001</v>
      </c>
      <c r="H4276">
        <v>1.575</v>
      </c>
      <c r="I4276">
        <v>86</v>
      </c>
      <c r="J4276">
        <v>0</v>
      </c>
      <c r="K4276">
        <v>129</v>
      </c>
      <c r="L4276">
        <v>164</v>
      </c>
      <c r="M4276">
        <v>238</v>
      </c>
      <c r="N4276" t="s">
        <v>44</v>
      </c>
      <c r="O4276" s="3">
        <v>44244</v>
      </c>
      <c r="P4276">
        <v>-1</v>
      </c>
      <c r="T4276" t="s">
        <v>35</v>
      </c>
      <c r="U4276">
        <v>31</v>
      </c>
      <c r="V4276">
        <v>23.027100000000001</v>
      </c>
    </row>
    <row r="4277" spans="1:22" x14ac:dyDescent="0.35">
      <c r="A4277" s="3">
        <v>44006</v>
      </c>
      <c r="B4277" t="s">
        <v>49</v>
      </c>
      <c r="C4277">
        <v>31.6</v>
      </c>
      <c r="D4277">
        <v>34.1</v>
      </c>
      <c r="E4277">
        <v>31.4</v>
      </c>
      <c r="F4277">
        <v>33.11</v>
      </c>
      <c r="G4277">
        <v>33.225000000000001</v>
      </c>
      <c r="H4277">
        <v>1.5</v>
      </c>
      <c r="I4277">
        <v>9868</v>
      </c>
      <c r="J4277">
        <v>0</v>
      </c>
      <c r="K4277">
        <v>21051</v>
      </c>
      <c r="L4277">
        <v>59</v>
      </c>
      <c r="M4277">
        <v>84</v>
      </c>
      <c r="N4277" t="s">
        <v>49</v>
      </c>
      <c r="O4277" s="3">
        <v>44090</v>
      </c>
      <c r="P4277">
        <v>-1</v>
      </c>
      <c r="T4277" t="s">
        <v>34</v>
      </c>
      <c r="U4277">
        <v>55</v>
      </c>
      <c r="V4277">
        <v>23.534700000000001</v>
      </c>
    </row>
    <row r="4278" spans="1:22" x14ac:dyDescent="0.35">
      <c r="A4278" s="3">
        <v>44006</v>
      </c>
      <c r="B4278" t="s">
        <v>51</v>
      </c>
      <c r="C4278">
        <v>31.85</v>
      </c>
      <c r="D4278">
        <v>35.25</v>
      </c>
      <c r="E4278">
        <v>31.45</v>
      </c>
      <c r="F4278">
        <v>33.6</v>
      </c>
      <c r="G4278">
        <v>33.575000000000003</v>
      </c>
      <c r="H4278">
        <v>1.65</v>
      </c>
      <c r="I4278">
        <v>121934</v>
      </c>
      <c r="J4278">
        <v>2376</v>
      </c>
      <c r="K4278">
        <v>127445</v>
      </c>
      <c r="L4278">
        <v>20</v>
      </c>
      <c r="M4278">
        <v>28</v>
      </c>
      <c r="N4278" t="s">
        <v>51</v>
      </c>
      <c r="O4278" s="3">
        <v>44034</v>
      </c>
      <c r="P4278">
        <v>-1</v>
      </c>
      <c r="S4278" s="3">
        <v>44475</v>
      </c>
      <c r="T4278" t="s">
        <v>33</v>
      </c>
      <c r="U4278">
        <v>72</v>
      </c>
      <c r="V4278">
        <v>24.252199999999998</v>
      </c>
    </row>
    <row r="4279" spans="1:22" x14ac:dyDescent="0.35">
      <c r="A4279" s="3">
        <v>44006</v>
      </c>
      <c r="B4279" t="s">
        <v>48</v>
      </c>
      <c r="C4279">
        <v>33.049999999999997</v>
      </c>
      <c r="D4279">
        <v>35.15</v>
      </c>
      <c r="E4279">
        <v>32.799999999999997</v>
      </c>
      <c r="F4279">
        <v>34.4</v>
      </c>
      <c r="G4279">
        <v>34.475000000000001</v>
      </c>
      <c r="H4279">
        <v>1.4</v>
      </c>
      <c r="I4279">
        <v>6121</v>
      </c>
      <c r="J4279">
        <v>0</v>
      </c>
      <c r="K4279">
        <v>26317</v>
      </c>
      <c r="L4279">
        <v>84</v>
      </c>
      <c r="M4279">
        <v>119</v>
      </c>
      <c r="N4279" t="s">
        <v>48</v>
      </c>
      <c r="O4279" s="3">
        <v>44125</v>
      </c>
      <c r="P4279">
        <v>-1</v>
      </c>
      <c r="T4279" t="s">
        <v>32</v>
      </c>
      <c r="U4279">
        <v>92</v>
      </c>
      <c r="V4279">
        <v>24.795500000000001</v>
      </c>
    </row>
    <row r="4280" spans="1:22" x14ac:dyDescent="0.35">
      <c r="A4280" s="3">
        <v>44006</v>
      </c>
      <c r="B4280" t="s">
        <v>50</v>
      </c>
      <c r="C4280">
        <v>31.8</v>
      </c>
      <c r="D4280">
        <v>34.71</v>
      </c>
      <c r="E4280">
        <v>31.55</v>
      </c>
      <c r="F4280">
        <v>33.450000000000003</v>
      </c>
      <c r="G4280">
        <v>33.475000000000001</v>
      </c>
      <c r="H4280">
        <v>1.55</v>
      </c>
      <c r="I4280">
        <v>59898</v>
      </c>
      <c r="J4280">
        <v>624</v>
      </c>
      <c r="K4280">
        <v>44695</v>
      </c>
      <c r="L4280">
        <v>40</v>
      </c>
      <c r="M4280">
        <v>56</v>
      </c>
      <c r="N4280" t="s">
        <v>50</v>
      </c>
      <c r="O4280" s="3">
        <v>44062</v>
      </c>
      <c r="P4280">
        <v>-1</v>
      </c>
      <c r="T4280" t="s">
        <v>31</v>
      </c>
      <c r="U4280">
        <v>110</v>
      </c>
      <c r="V4280">
        <v>25.3005</v>
      </c>
    </row>
    <row r="4281" spans="1:22" x14ac:dyDescent="0.35">
      <c r="A4281" s="3">
        <v>44006</v>
      </c>
      <c r="B4281" t="s">
        <v>47</v>
      </c>
      <c r="C4281">
        <v>30.75</v>
      </c>
      <c r="D4281">
        <v>32.549999999999997</v>
      </c>
      <c r="E4281">
        <v>30.5</v>
      </c>
      <c r="F4281">
        <v>32.1</v>
      </c>
      <c r="G4281">
        <v>32.125</v>
      </c>
      <c r="H4281">
        <v>1.4</v>
      </c>
      <c r="I4281">
        <v>4418</v>
      </c>
      <c r="J4281">
        <v>0</v>
      </c>
      <c r="K4281">
        <v>19988</v>
      </c>
      <c r="L4281">
        <v>104</v>
      </c>
      <c r="M4281">
        <v>147</v>
      </c>
      <c r="N4281" t="s">
        <v>47</v>
      </c>
      <c r="O4281" s="3">
        <v>44153</v>
      </c>
      <c r="P4281">
        <v>-1</v>
      </c>
      <c r="T4281" t="s">
        <v>30</v>
      </c>
      <c r="U4281">
        <v>136</v>
      </c>
      <c r="V4281">
        <v>25.5</v>
      </c>
    </row>
    <row r="4282" spans="1:22" x14ac:dyDescent="0.35">
      <c r="A4282" s="3">
        <v>44005</v>
      </c>
      <c r="B4282" t="s">
        <v>49</v>
      </c>
      <c r="C4282">
        <v>31.75</v>
      </c>
      <c r="D4282">
        <v>33.21</v>
      </c>
      <c r="E4282">
        <v>30.8</v>
      </c>
      <c r="F4282">
        <v>31.7</v>
      </c>
      <c r="G4282">
        <v>31.725000000000001</v>
      </c>
      <c r="H4282">
        <v>0</v>
      </c>
      <c r="I4282">
        <v>7904</v>
      </c>
      <c r="J4282">
        <v>0</v>
      </c>
      <c r="K4282">
        <v>21190</v>
      </c>
      <c r="L4282">
        <v>60</v>
      </c>
      <c r="M4282">
        <v>85</v>
      </c>
      <c r="N4282" t="s">
        <v>49</v>
      </c>
      <c r="O4282" s="3">
        <v>44090</v>
      </c>
      <c r="P4282">
        <v>-1</v>
      </c>
      <c r="T4282" t="s">
        <v>29</v>
      </c>
      <c r="U4282">
        <v>156</v>
      </c>
      <c r="V4282">
        <v>25.55</v>
      </c>
    </row>
    <row r="4283" spans="1:22" x14ac:dyDescent="0.35">
      <c r="A4283" s="3">
        <v>44005</v>
      </c>
      <c r="B4283" t="s">
        <v>51</v>
      </c>
      <c r="C4283">
        <v>31.75</v>
      </c>
      <c r="D4283">
        <v>34.35</v>
      </c>
      <c r="E4283">
        <v>30.31</v>
      </c>
      <c r="F4283">
        <v>32</v>
      </c>
      <c r="G4283">
        <v>31.925000000000001</v>
      </c>
      <c r="H4283">
        <v>0.3</v>
      </c>
      <c r="I4283">
        <v>72185</v>
      </c>
      <c r="J4283">
        <v>834</v>
      </c>
      <c r="K4283">
        <v>130637</v>
      </c>
      <c r="L4283">
        <v>21</v>
      </c>
      <c r="M4283">
        <v>29</v>
      </c>
      <c r="N4283" t="s">
        <v>51</v>
      </c>
      <c r="O4283" s="3">
        <v>44034</v>
      </c>
      <c r="P4283">
        <v>-1</v>
      </c>
      <c r="T4283" t="s">
        <v>28</v>
      </c>
      <c r="U4283">
        <v>175</v>
      </c>
      <c r="V4283">
        <v>25.65</v>
      </c>
    </row>
    <row r="4284" spans="1:22" x14ac:dyDescent="0.35">
      <c r="A4284" s="3">
        <v>44005</v>
      </c>
      <c r="B4284" t="s">
        <v>48</v>
      </c>
      <c r="C4284">
        <v>33.11</v>
      </c>
      <c r="D4284">
        <v>34.4</v>
      </c>
      <c r="E4284">
        <v>32.35</v>
      </c>
      <c r="F4284">
        <v>33.1</v>
      </c>
      <c r="G4284">
        <v>33.075000000000003</v>
      </c>
      <c r="H4284">
        <v>-0.1</v>
      </c>
      <c r="I4284">
        <v>4456</v>
      </c>
      <c r="J4284">
        <v>0</v>
      </c>
      <c r="K4284">
        <v>26573</v>
      </c>
      <c r="L4284">
        <v>85</v>
      </c>
      <c r="M4284">
        <v>120</v>
      </c>
      <c r="N4284" t="s">
        <v>48</v>
      </c>
      <c r="O4284" s="3">
        <v>44125</v>
      </c>
      <c r="P4284">
        <v>-1</v>
      </c>
      <c r="T4284" t="s">
        <v>36</v>
      </c>
      <c r="U4284">
        <v>10</v>
      </c>
      <c r="V4284">
        <v>21.217099999999999</v>
      </c>
    </row>
    <row r="4285" spans="1:22" x14ac:dyDescent="0.35">
      <c r="A4285" s="3">
        <v>44005</v>
      </c>
      <c r="B4285" t="s">
        <v>50</v>
      </c>
      <c r="C4285">
        <v>31.85</v>
      </c>
      <c r="D4285">
        <v>33.65</v>
      </c>
      <c r="E4285">
        <v>30.75</v>
      </c>
      <c r="F4285">
        <v>31.92</v>
      </c>
      <c r="G4285">
        <v>31.925000000000001</v>
      </c>
      <c r="H4285">
        <v>0.25</v>
      </c>
      <c r="I4285">
        <v>39975</v>
      </c>
      <c r="J4285">
        <v>166</v>
      </c>
      <c r="K4285">
        <v>42623</v>
      </c>
      <c r="L4285">
        <v>41</v>
      </c>
      <c r="M4285">
        <v>57</v>
      </c>
      <c r="N4285" t="s">
        <v>50</v>
      </c>
      <c r="O4285" s="3">
        <v>44062</v>
      </c>
      <c r="P4285">
        <v>-1</v>
      </c>
      <c r="T4285" t="s">
        <v>35</v>
      </c>
      <c r="U4285">
        <v>30</v>
      </c>
      <c r="V4285">
        <v>22.6587</v>
      </c>
    </row>
    <row r="4286" spans="1:22" x14ac:dyDescent="0.35">
      <c r="A4286" s="3">
        <v>44005</v>
      </c>
      <c r="B4286" t="s">
        <v>47</v>
      </c>
      <c r="C4286">
        <v>30.87</v>
      </c>
      <c r="D4286">
        <v>31.98</v>
      </c>
      <c r="E4286">
        <v>30.1</v>
      </c>
      <c r="F4286">
        <v>30.75</v>
      </c>
      <c r="G4286">
        <v>30.725000000000001</v>
      </c>
      <c r="H4286">
        <v>-0.2</v>
      </c>
      <c r="I4286">
        <v>3284</v>
      </c>
      <c r="J4286">
        <v>0</v>
      </c>
      <c r="K4286">
        <v>19442</v>
      </c>
      <c r="L4286">
        <v>105</v>
      </c>
      <c r="M4286">
        <v>148</v>
      </c>
      <c r="N4286" t="s">
        <v>47</v>
      </c>
      <c r="O4286" s="3">
        <v>44153</v>
      </c>
      <c r="P4286">
        <v>-1</v>
      </c>
      <c r="T4286" t="s">
        <v>34</v>
      </c>
      <c r="U4286">
        <v>54</v>
      </c>
      <c r="V4286">
        <v>23.2669</v>
      </c>
    </row>
    <row r="4287" spans="1:22" x14ac:dyDescent="0.35">
      <c r="A4287" s="3">
        <v>44005</v>
      </c>
      <c r="B4287" t="s">
        <v>46</v>
      </c>
      <c r="C4287">
        <v>29.43</v>
      </c>
      <c r="D4287">
        <v>30.36</v>
      </c>
      <c r="E4287">
        <v>28.67</v>
      </c>
      <c r="F4287">
        <v>29.3</v>
      </c>
      <c r="G4287">
        <v>29.274999999999999</v>
      </c>
      <c r="H4287">
        <v>-0.15</v>
      </c>
      <c r="I4287">
        <v>1945</v>
      </c>
      <c r="J4287">
        <v>0</v>
      </c>
      <c r="K4287">
        <v>6719</v>
      </c>
      <c r="L4287">
        <v>124</v>
      </c>
      <c r="M4287">
        <v>176</v>
      </c>
      <c r="N4287" t="s">
        <v>46</v>
      </c>
      <c r="O4287" s="3">
        <v>44181</v>
      </c>
      <c r="P4287">
        <v>-1</v>
      </c>
      <c r="S4287" s="3">
        <v>44476</v>
      </c>
      <c r="T4287" t="s">
        <v>33</v>
      </c>
      <c r="U4287">
        <v>71</v>
      </c>
      <c r="V4287">
        <v>23.8978</v>
      </c>
    </row>
    <row r="4288" spans="1:22" x14ac:dyDescent="0.35">
      <c r="A4288" s="3">
        <v>44005</v>
      </c>
      <c r="B4288" t="s">
        <v>45</v>
      </c>
      <c r="C4288">
        <v>29.69</v>
      </c>
      <c r="D4288">
        <v>30.55</v>
      </c>
      <c r="E4288">
        <v>28.97</v>
      </c>
      <c r="F4288">
        <v>29.5</v>
      </c>
      <c r="G4288">
        <v>29.475000000000001</v>
      </c>
      <c r="H4288">
        <v>-0.2</v>
      </c>
      <c r="I4288">
        <v>525</v>
      </c>
      <c r="J4288">
        <v>0</v>
      </c>
      <c r="K4288">
        <v>1517</v>
      </c>
      <c r="L4288">
        <v>146</v>
      </c>
      <c r="M4288">
        <v>211</v>
      </c>
      <c r="N4288" t="s">
        <v>45</v>
      </c>
      <c r="O4288" s="3">
        <v>44216</v>
      </c>
      <c r="P4288">
        <v>-1</v>
      </c>
      <c r="T4288" t="s">
        <v>32</v>
      </c>
      <c r="U4288">
        <v>91</v>
      </c>
      <c r="V4288">
        <v>24.495200000000001</v>
      </c>
    </row>
    <row r="4289" spans="1:22" x14ac:dyDescent="0.35">
      <c r="A4289" s="3">
        <v>44005</v>
      </c>
      <c r="B4289" t="s">
        <v>44</v>
      </c>
      <c r="C4289">
        <v>28.95</v>
      </c>
      <c r="D4289">
        <v>30.1</v>
      </c>
      <c r="E4289">
        <v>28.85</v>
      </c>
      <c r="F4289">
        <v>29.15</v>
      </c>
      <c r="G4289">
        <v>29.15</v>
      </c>
      <c r="H4289">
        <v>-0.35</v>
      </c>
      <c r="I4289">
        <v>9</v>
      </c>
      <c r="J4289">
        <v>0</v>
      </c>
      <c r="K4289">
        <v>96</v>
      </c>
      <c r="L4289">
        <v>165</v>
      </c>
      <c r="M4289">
        <v>239</v>
      </c>
      <c r="N4289" t="s">
        <v>44</v>
      </c>
      <c r="O4289" s="3">
        <v>44244</v>
      </c>
      <c r="P4289">
        <v>-1</v>
      </c>
      <c r="T4289" t="s">
        <v>31</v>
      </c>
      <c r="U4289">
        <v>109</v>
      </c>
      <c r="V4289">
        <v>25.000599999999999</v>
      </c>
    </row>
    <row r="4290" spans="1:22" x14ac:dyDescent="0.35">
      <c r="A4290" s="3">
        <v>44004</v>
      </c>
      <c r="B4290" t="s">
        <v>46</v>
      </c>
      <c r="C4290">
        <v>31.49</v>
      </c>
      <c r="D4290">
        <v>32.1</v>
      </c>
      <c r="E4290">
        <v>29.35</v>
      </c>
      <c r="F4290">
        <v>29.45</v>
      </c>
      <c r="G4290">
        <v>29.425000000000001</v>
      </c>
      <c r="H4290">
        <v>-1.65</v>
      </c>
      <c r="I4290">
        <v>2904</v>
      </c>
      <c r="J4290">
        <v>0</v>
      </c>
      <c r="K4290">
        <v>6485</v>
      </c>
      <c r="L4290">
        <v>125</v>
      </c>
      <c r="M4290">
        <v>177</v>
      </c>
      <c r="N4290" t="s">
        <v>46</v>
      </c>
      <c r="O4290" s="3">
        <v>44181</v>
      </c>
      <c r="P4290">
        <v>-1</v>
      </c>
      <c r="T4290" t="s">
        <v>30</v>
      </c>
      <c r="U4290">
        <v>135</v>
      </c>
      <c r="V4290">
        <v>25.25</v>
      </c>
    </row>
    <row r="4291" spans="1:22" x14ac:dyDescent="0.35">
      <c r="A4291" s="3">
        <v>44004</v>
      </c>
      <c r="B4291" t="s">
        <v>45</v>
      </c>
      <c r="C4291">
        <v>31.35</v>
      </c>
      <c r="D4291">
        <v>31.9</v>
      </c>
      <c r="E4291">
        <v>29.5</v>
      </c>
      <c r="F4291">
        <v>29.7</v>
      </c>
      <c r="G4291">
        <v>29.675000000000001</v>
      </c>
      <c r="H4291">
        <v>-1.325</v>
      </c>
      <c r="I4291">
        <v>997</v>
      </c>
      <c r="J4291">
        <v>0</v>
      </c>
      <c r="K4291">
        <v>1563</v>
      </c>
      <c r="L4291">
        <v>147</v>
      </c>
      <c r="M4291">
        <v>212</v>
      </c>
      <c r="N4291" t="s">
        <v>45</v>
      </c>
      <c r="O4291" s="3">
        <v>44216</v>
      </c>
      <c r="P4291">
        <v>-1</v>
      </c>
      <c r="T4291" t="s">
        <v>29</v>
      </c>
      <c r="U4291">
        <v>155</v>
      </c>
      <c r="V4291">
        <v>25.25</v>
      </c>
    </row>
    <row r="4292" spans="1:22" x14ac:dyDescent="0.35">
      <c r="A4292" s="3">
        <v>44004</v>
      </c>
      <c r="B4292" t="s">
        <v>44</v>
      </c>
      <c r="C4292">
        <v>31</v>
      </c>
      <c r="D4292">
        <v>31.1</v>
      </c>
      <c r="E4292">
        <v>29.5</v>
      </c>
      <c r="F4292">
        <v>29.85</v>
      </c>
      <c r="G4292">
        <v>29.5</v>
      </c>
      <c r="H4292">
        <v>-1.05</v>
      </c>
      <c r="I4292">
        <v>20</v>
      </c>
      <c r="J4292">
        <v>0</v>
      </c>
      <c r="K4292">
        <v>88</v>
      </c>
      <c r="L4292">
        <v>166</v>
      </c>
      <c r="M4292">
        <v>240</v>
      </c>
      <c r="N4292" t="s">
        <v>44</v>
      </c>
      <c r="O4292" s="3">
        <v>44244</v>
      </c>
      <c r="P4292">
        <v>-1</v>
      </c>
      <c r="T4292" t="s">
        <v>28</v>
      </c>
      <c r="U4292">
        <v>174</v>
      </c>
      <c r="V4292">
        <v>25.375</v>
      </c>
    </row>
    <row r="4293" spans="1:22" x14ac:dyDescent="0.35">
      <c r="A4293" s="3">
        <v>44004</v>
      </c>
      <c r="B4293" t="s">
        <v>49</v>
      </c>
      <c r="C4293">
        <v>34.5</v>
      </c>
      <c r="D4293">
        <v>35.15</v>
      </c>
      <c r="E4293">
        <v>31.65</v>
      </c>
      <c r="F4293">
        <v>31.75</v>
      </c>
      <c r="G4293">
        <v>31.725000000000001</v>
      </c>
      <c r="H4293">
        <v>-2.5</v>
      </c>
      <c r="I4293">
        <v>8837</v>
      </c>
      <c r="J4293">
        <v>0</v>
      </c>
      <c r="K4293">
        <v>21092</v>
      </c>
      <c r="L4293">
        <v>61</v>
      </c>
      <c r="M4293">
        <v>86</v>
      </c>
      <c r="N4293" t="s">
        <v>49</v>
      </c>
      <c r="O4293" s="3">
        <v>44090</v>
      </c>
      <c r="P4293">
        <v>-1</v>
      </c>
      <c r="T4293" t="s">
        <v>36</v>
      </c>
      <c r="U4293">
        <v>9</v>
      </c>
      <c r="V4293">
        <v>20.101299999999998</v>
      </c>
    </row>
    <row r="4294" spans="1:22" x14ac:dyDescent="0.35">
      <c r="A4294" s="3">
        <v>44004</v>
      </c>
      <c r="B4294" t="s">
        <v>51</v>
      </c>
      <c r="C4294">
        <v>36.049999999999997</v>
      </c>
      <c r="D4294">
        <v>36.6</v>
      </c>
      <c r="E4294">
        <v>31.6</v>
      </c>
      <c r="F4294">
        <v>31.75</v>
      </c>
      <c r="G4294">
        <v>31.625</v>
      </c>
      <c r="H4294">
        <v>-3.65</v>
      </c>
      <c r="I4294">
        <v>94928</v>
      </c>
      <c r="J4294">
        <v>218</v>
      </c>
      <c r="K4294">
        <v>130630</v>
      </c>
      <c r="L4294">
        <v>22</v>
      </c>
      <c r="M4294">
        <v>30</v>
      </c>
      <c r="N4294" t="s">
        <v>51</v>
      </c>
      <c r="O4294" s="3">
        <v>44034</v>
      </c>
      <c r="P4294">
        <v>-1</v>
      </c>
      <c r="T4294" t="s">
        <v>35</v>
      </c>
      <c r="U4294">
        <v>29</v>
      </c>
      <c r="V4294">
        <v>22.085100000000001</v>
      </c>
    </row>
    <row r="4295" spans="1:22" x14ac:dyDescent="0.35">
      <c r="A4295" s="3">
        <v>44004</v>
      </c>
      <c r="B4295" t="s">
        <v>48</v>
      </c>
      <c r="C4295">
        <v>35.25</v>
      </c>
      <c r="D4295">
        <v>35.99</v>
      </c>
      <c r="E4295">
        <v>33.14</v>
      </c>
      <c r="F4295">
        <v>33.200000000000003</v>
      </c>
      <c r="G4295">
        <v>33.174999999999997</v>
      </c>
      <c r="H4295">
        <v>-1.95</v>
      </c>
      <c r="I4295">
        <v>5785</v>
      </c>
      <c r="J4295">
        <v>0</v>
      </c>
      <c r="K4295">
        <v>26600</v>
      </c>
      <c r="L4295">
        <v>86</v>
      </c>
      <c r="M4295">
        <v>121</v>
      </c>
      <c r="N4295" t="s">
        <v>48</v>
      </c>
      <c r="O4295" s="3">
        <v>44125</v>
      </c>
      <c r="P4295">
        <v>-1</v>
      </c>
      <c r="T4295" t="s">
        <v>34</v>
      </c>
      <c r="U4295">
        <v>53</v>
      </c>
      <c r="V4295">
        <v>22.809100000000001</v>
      </c>
    </row>
    <row r="4296" spans="1:22" x14ac:dyDescent="0.35">
      <c r="A4296" s="3">
        <v>44004</v>
      </c>
      <c r="B4296" t="s">
        <v>50</v>
      </c>
      <c r="C4296">
        <v>34.950000000000003</v>
      </c>
      <c r="D4296">
        <v>35.76</v>
      </c>
      <c r="E4296">
        <v>31.62</v>
      </c>
      <c r="F4296">
        <v>31.77</v>
      </c>
      <c r="G4296">
        <v>31.675000000000001</v>
      </c>
      <c r="H4296">
        <v>-3.05</v>
      </c>
      <c r="I4296">
        <v>44693</v>
      </c>
      <c r="J4296">
        <v>32</v>
      </c>
      <c r="K4296">
        <v>39292</v>
      </c>
      <c r="L4296">
        <v>42</v>
      </c>
      <c r="M4296">
        <v>58</v>
      </c>
      <c r="N4296" t="s">
        <v>50</v>
      </c>
      <c r="O4296" s="3">
        <v>44062</v>
      </c>
      <c r="P4296">
        <v>-1</v>
      </c>
      <c r="S4296" s="3">
        <v>44477</v>
      </c>
      <c r="T4296" t="s">
        <v>33</v>
      </c>
      <c r="U4296">
        <v>70</v>
      </c>
      <c r="V4296">
        <v>23.863600000000002</v>
      </c>
    </row>
    <row r="4297" spans="1:22" x14ac:dyDescent="0.35">
      <c r="A4297" s="3">
        <v>44004</v>
      </c>
      <c r="B4297" t="s">
        <v>47</v>
      </c>
      <c r="C4297">
        <v>33.119999999999997</v>
      </c>
      <c r="D4297">
        <v>33.700000000000003</v>
      </c>
      <c r="E4297">
        <v>30.85</v>
      </c>
      <c r="F4297">
        <v>31</v>
      </c>
      <c r="G4297">
        <v>30.925000000000001</v>
      </c>
      <c r="H4297">
        <v>-1.75</v>
      </c>
      <c r="I4297">
        <v>4020</v>
      </c>
      <c r="J4297">
        <v>0</v>
      </c>
      <c r="K4297">
        <v>19238</v>
      </c>
      <c r="L4297">
        <v>106</v>
      </c>
      <c r="M4297">
        <v>149</v>
      </c>
      <c r="N4297" t="s">
        <v>47</v>
      </c>
      <c r="O4297" s="3">
        <v>44153</v>
      </c>
      <c r="P4297">
        <v>-1</v>
      </c>
      <c r="T4297" t="s">
        <v>32</v>
      </c>
      <c r="U4297">
        <v>90</v>
      </c>
      <c r="V4297">
        <v>24.496300000000002</v>
      </c>
    </row>
    <row r="4298" spans="1:22" x14ac:dyDescent="0.35">
      <c r="A4298" s="3">
        <v>44001</v>
      </c>
      <c r="B4298" t="s">
        <v>49</v>
      </c>
      <c r="C4298">
        <v>32.700000000000003</v>
      </c>
      <c r="D4298">
        <v>34.25</v>
      </c>
      <c r="E4298">
        <v>32</v>
      </c>
      <c r="F4298">
        <v>34.1</v>
      </c>
      <c r="G4298">
        <v>34.225000000000001</v>
      </c>
      <c r="H4298">
        <v>1.3</v>
      </c>
      <c r="I4298">
        <v>8177</v>
      </c>
      <c r="J4298">
        <v>0</v>
      </c>
      <c r="K4298">
        <v>21020</v>
      </c>
      <c r="L4298">
        <v>62</v>
      </c>
      <c r="M4298">
        <v>89</v>
      </c>
      <c r="N4298" t="s">
        <v>49</v>
      </c>
      <c r="O4298" s="3">
        <v>44090</v>
      </c>
      <c r="P4298">
        <v>-1</v>
      </c>
      <c r="T4298" t="s">
        <v>31</v>
      </c>
      <c r="U4298">
        <v>108</v>
      </c>
      <c r="V4298">
        <v>25.092600000000001</v>
      </c>
    </row>
    <row r="4299" spans="1:22" x14ac:dyDescent="0.35">
      <c r="A4299" s="3">
        <v>44001</v>
      </c>
      <c r="B4299" t="s">
        <v>51</v>
      </c>
      <c r="C4299">
        <v>33.479999999999997</v>
      </c>
      <c r="D4299">
        <v>35.35</v>
      </c>
      <c r="E4299">
        <v>32.119999999999997</v>
      </c>
      <c r="F4299">
        <v>35.15</v>
      </c>
      <c r="G4299">
        <v>35.274999999999999</v>
      </c>
      <c r="H4299">
        <v>1.7</v>
      </c>
      <c r="I4299">
        <v>79492</v>
      </c>
      <c r="J4299">
        <v>964</v>
      </c>
      <c r="K4299">
        <v>137630</v>
      </c>
      <c r="L4299">
        <v>23</v>
      </c>
      <c r="M4299">
        <v>33</v>
      </c>
      <c r="N4299" t="s">
        <v>51</v>
      </c>
      <c r="O4299" s="3">
        <v>44034</v>
      </c>
      <c r="P4299">
        <v>-1</v>
      </c>
      <c r="T4299" t="s">
        <v>30</v>
      </c>
      <c r="U4299">
        <v>134</v>
      </c>
      <c r="V4299">
        <v>25.375</v>
      </c>
    </row>
    <row r="4300" spans="1:22" x14ac:dyDescent="0.35">
      <c r="A4300" s="3">
        <v>44001</v>
      </c>
      <c r="B4300" t="s">
        <v>48</v>
      </c>
      <c r="C4300">
        <v>33.65</v>
      </c>
      <c r="D4300">
        <v>35.15</v>
      </c>
      <c r="E4300">
        <v>33.049999999999997</v>
      </c>
      <c r="F4300">
        <v>35.020000000000003</v>
      </c>
      <c r="G4300">
        <v>35.125</v>
      </c>
      <c r="H4300">
        <v>1.325</v>
      </c>
      <c r="I4300">
        <v>5683</v>
      </c>
      <c r="J4300">
        <v>0</v>
      </c>
      <c r="K4300">
        <v>25568</v>
      </c>
      <c r="L4300">
        <v>87</v>
      </c>
      <c r="M4300">
        <v>124</v>
      </c>
      <c r="N4300" t="s">
        <v>48</v>
      </c>
      <c r="O4300" s="3">
        <v>44125</v>
      </c>
      <c r="P4300">
        <v>-1</v>
      </c>
      <c r="T4300" t="s">
        <v>29</v>
      </c>
      <c r="U4300">
        <v>154</v>
      </c>
      <c r="V4300">
        <v>25.35</v>
      </c>
    </row>
    <row r="4301" spans="1:22" x14ac:dyDescent="0.35">
      <c r="A4301" s="3">
        <v>44001</v>
      </c>
      <c r="B4301" t="s">
        <v>50</v>
      </c>
      <c r="C4301">
        <v>33.299999999999997</v>
      </c>
      <c r="D4301">
        <v>34.85</v>
      </c>
      <c r="E4301">
        <v>32.15</v>
      </c>
      <c r="F4301">
        <v>34.549999999999997</v>
      </c>
      <c r="G4301">
        <v>34.725000000000001</v>
      </c>
      <c r="H4301">
        <v>1.35</v>
      </c>
      <c r="I4301">
        <v>38202</v>
      </c>
      <c r="J4301">
        <v>86</v>
      </c>
      <c r="K4301">
        <v>36532</v>
      </c>
      <c r="L4301">
        <v>43</v>
      </c>
      <c r="M4301">
        <v>61</v>
      </c>
      <c r="N4301" t="s">
        <v>50</v>
      </c>
      <c r="O4301" s="3">
        <v>44062</v>
      </c>
      <c r="P4301">
        <v>-1</v>
      </c>
      <c r="T4301" t="s">
        <v>28</v>
      </c>
      <c r="U4301">
        <v>173</v>
      </c>
      <c r="V4301">
        <v>25.25</v>
      </c>
    </row>
    <row r="4302" spans="1:22" x14ac:dyDescent="0.35">
      <c r="A4302" s="3">
        <v>44001</v>
      </c>
      <c r="B4302" t="s">
        <v>47</v>
      </c>
      <c r="C4302">
        <v>31.5</v>
      </c>
      <c r="D4302">
        <v>32.72</v>
      </c>
      <c r="E4302">
        <v>31</v>
      </c>
      <c r="F4302">
        <v>32.619999999999997</v>
      </c>
      <c r="G4302">
        <v>32.674999999999997</v>
      </c>
      <c r="H4302">
        <v>1.05</v>
      </c>
      <c r="I4302">
        <v>3129</v>
      </c>
      <c r="J4302">
        <v>0</v>
      </c>
      <c r="K4302">
        <v>18829</v>
      </c>
      <c r="L4302">
        <v>107</v>
      </c>
      <c r="M4302">
        <v>152</v>
      </c>
      <c r="N4302" t="s">
        <v>47</v>
      </c>
      <c r="O4302" s="3">
        <v>44153</v>
      </c>
      <c r="P4302">
        <v>-1</v>
      </c>
      <c r="T4302" t="s">
        <v>36</v>
      </c>
      <c r="U4302">
        <v>8</v>
      </c>
      <c r="V4302">
        <v>19.716899999999999</v>
      </c>
    </row>
    <row r="4303" spans="1:22" x14ac:dyDescent="0.35">
      <c r="A4303" s="3">
        <v>44001</v>
      </c>
      <c r="B4303" t="s">
        <v>46</v>
      </c>
      <c r="C4303">
        <v>29.9</v>
      </c>
      <c r="D4303">
        <v>31.1</v>
      </c>
      <c r="E4303">
        <v>29.49</v>
      </c>
      <c r="F4303">
        <v>31.05</v>
      </c>
      <c r="G4303">
        <v>31.074999999999999</v>
      </c>
      <c r="H4303">
        <v>1.05</v>
      </c>
      <c r="I4303">
        <v>2762</v>
      </c>
      <c r="J4303">
        <v>0</v>
      </c>
      <c r="K4303">
        <v>6477</v>
      </c>
      <c r="L4303">
        <v>126</v>
      </c>
      <c r="M4303">
        <v>180</v>
      </c>
      <c r="N4303" t="s">
        <v>46</v>
      </c>
      <c r="O4303" s="3">
        <v>44181</v>
      </c>
      <c r="P4303">
        <v>-1</v>
      </c>
      <c r="T4303" t="s">
        <v>35</v>
      </c>
      <c r="U4303">
        <v>28</v>
      </c>
      <c r="V4303">
        <v>21.6097</v>
      </c>
    </row>
    <row r="4304" spans="1:22" x14ac:dyDescent="0.35">
      <c r="A4304" s="3">
        <v>44001</v>
      </c>
      <c r="B4304" t="s">
        <v>45</v>
      </c>
      <c r="C4304">
        <v>30.15</v>
      </c>
      <c r="D4304">
        <v>31</v>
      </c>
      <c r="E4304">
        <v>29.45</v>
      </c>
      <c r="F4304">
        <v>30.94</v>
      </c>
      <c r="G4304">
        <v>31</v>
      </c>
      <c r="H4304">
        <v>1.075</v>
      </c>
      <c r="I4304">
        <v>985</v>
      </c>
      <c r="J4304">
        <v>0</v>
      </c>
      <c r="K4304">
        <v>1371</v>
      </c>
      <c r="L4304">
        <v>148</v>
      </c>
      <c r="M4304">
        <v>215</v>
      </c>
      <c r="N4304" t="s">
        <v>45</v>
      </c>
      <c r="O4304" s="3">
        <v>44216</v>
      </c>
      <c r="P4304">
        <v>-1</v>
      </c>
      <c r="T4304" t="s">
        <v>34</v>
      </c>
      <c r="U4304">
        <v>52</v>
      </c>
      <c r="V4304">
        <v>22.598500000000001</v>
      </c>
    </row>
    <row r="4305" spans="1:22" x14ac:dyDescent="0.35">
      <c r="A4305" s="3">
        <v>44001</v>
      </c>
      <c r="B4305" t="s">
        <v>44</v>
      </c>
      <c r="C4305">
        <v>29.5</v>
      </c>
      <c r="D4305">
        <v>30.5</v>
      </c>
      <c r="E4305">
        <v>29.35</v>
      </c>
      <c r="F4305">
        <v>30.5</v>
      </c>
      <c r="G4305">
        <v>30.55</v>
      </c>
      <c r="H4305">
        <v>0.92500000000000004</v>
      </c>
      <c r="I4305">
        <v>81</v>
      </c>
      <c r="J4305">
        <v>0</v>
      </c>
      <c r="K4305">
        <v>88</v>
      </c>
      <c r="L4305">
        <v>167</v>
      </c>
      <c r="M4305">
        <v>243</v>
      </c>
      <c r="N4305" t="s">
        <v>44</v>
      </c>
      <c r="O4305" s="3">
        <v>44244</v>
      </c>
      <c r="P4305">
        <v>-1</v>
      </c>
      <c r="S4305" s="3">
        <v>44480</v>
      </c>
      <c r="T4305" t="s">
        <v>33</v>
      </c>
      <c r="U4305">
        <v>69</v>
      </c>
      <c r="V4305">
        <v>23.9</v>
      </c>
    </row>
    <row r="4306" spans="1:22" x14ac:dyDescent="0.35">
      <c r="A4306" s="3">
        <v>44000</v>
      </c>
      <c r="B4306" t="s">
        <v>46</v>
      </c>
      <c r="C4306">
        <v>29.95</v>
      </c>
      <c r="D4306">
        <v>30.65</v>
      </c>
      <c r="E4306">
        <v>29.81</v>
      </c>
      <c r="F4306">
        <v>30</v>
      </c>
      <c r="G4306">
        <v>30.024999999999999</v>
      </c>
      <c r="H4306">
        <v>0.15</v>
      </c>
      <c r="I4306">
        <v>1828</v>
      </c>
      <c r="J4306">
        <v>0</v>
      </c>
      <c r="K4306">
        <v>5805</v>
      </c>
      <c r="L4306">
        <v>127</v>
      </c>
      <c r="M4306">
        <v>181</v>
      </c>
      <c r="N4306" t="s">
        <v>46</v>
      </c>
      <c r="O4306" s="3">
        <v>44181</v>
      </c>
      <c r="P4306">
        <v>-1</v>
      </c>
      <c r="T4306" t="s">
        <v>32</v>
      </c>
      <c r="U4306">
        <v>89</v>
      </c>
      <c r="V4306">
        <v>24.499099999999999</v>
      </c>
    </row>
    <row r="4307" spans="1:22" x14ac:dyDescent="0.35">
      <c r="A4307" s="3">
        <v>44000</v>
      </c>
      <c r="B4307" t="s">
        <v>45</v>
      </c>
      <c r="C4307">
        <v>29.82</v>
      </c>
      <c r="D4307">
        <v>30.4</v>
      </c>
      <c r="E4307">
        <v>29.72</v>
      </c>
      <c r="F4307">
        <v>29.9</v>
      </c>
      <c r="G4307">
        <v>29.925000000000001</v>
      </c>
      <c r="H4307">
        <v>0.15</v>
      </c>
      <c r="I4307">
        <v>473</v>
      </c>
      <c r="J4307">
        <v>0</v>
      </c>
      <c r="K4307">
        <v>1022</v>
      </c>
      <c r="L4307">
        <v>149</v>
      </c>
      <c r="M4307">
        <v>216</v>
      </c>
      <c r="N4307" t="s">
        <v>45</v>
      </c>
      <c r="O4307" s="3">
        <v>44216</v>
      </c>
      <c r="P4307">
        <v>-1</v>
      </c>
      <c r="T4307" t="s">
        <v>31</v>
      </c>
      <c r="U4307">
        <v>107</v>
      </c>
      <c r="V4307">
        <v>25.15</v>
      </c>
    </row>
    <row r="4308" spans="1:22" x14ac:dyDescent="0.35">
      <c r="A4308" s="3">
        <v>44000</v>
      </c>
      <c r="B4308" t="s">
        <v>44</v>
      </c>
      <c r="C4308">
        <v>29.75</v>
      </c>
      <c r="D4308">
        <v>29.75</v>
      </c>
      <c r="E4308">
        <v>29.45</v>
      </c>
      <c r="F4308">
        <v>29.55</v>
      </c>
      <c r="G4308">
        <v>29.625</v>
      </c>
      <c r="H4308">
        <v>0.22500000000000001</v>
      </c>
      <c r="I4308">
        <v>21</v>
      </c>
      <c r="J4308">
        <v>0</v>
      </c>
      <c r="K4308">
        <v>44</v>
      </c>
      <c r="L4308">
        <v>168</v>
      </c>
      <c r="M4308">
        <v>244</v>
      </c>
      <c r="N4308" t="s">
        <v>44</v>
      </c>
      <c r="O4308" s="3">
        <v>44244</v>
      </c>
      <c r="P4308">
        <v>-1</v>
      </c>
      <c r="T4308" t="s">
        <v>30</v>
      </c>
      <c r="U4308">
        <v>133</v>
      </c>
      <c r="V4308">
        <v>25.4</v>
      </c>
    </row>
    <row r="4309" spans="1:22" x14ac:dyDescent="0.35">
      <c r="A4309" s="3">
        <v>44000</v>
      </c>
      <c r="B4309" t="s">
        <v>49</v>
      </c>
      <c r="C4309">
        <v>32.700000000000003</v>
      </c>
      <c r="D4309">
        <v>33.67</v>
      </c>
      <c r="E4309">
        <v>32.58</v>
      </c>
      <c r="F4309">
        <v>32.82</v>
      </c>
      <c r="G4309">
        <v>32.924999999999997</v>
      </c>
      <c r="H4309">
        <v>0.25</v>
      </c>
      <c r="I4309">
        <v>7929</v>
      </c>
      <c r="J4309">
        <v>0</v>
      </c>
      <c r="K4309">
        <v>20652</v>
      </c>
      <c r="L4309">
        <v>63</v>
      </c>
      <c r="M4309">
        <v>90</v>
      </c>
      <c r="N4309" t="s">
        <v>49</v>
      </c>
      <c r="O4309" s="3">
        <v>44090</v>
      </c>
      <c r="P4309">
        <v>-1</v>
      </c>
      <c r="T4309" t="s">
        <v>29</v>
      </c>
      <c r="U4309">
        <v>153</v>
      </c>
      <c r="V4309">
        <v>25.425000000000001</v>
      </c>
    </row>
    <row r="4310" spans="1:22" x14ac:dyDescent="0.35">
      <c r="A4310" s="3">
        <v>44000</v>
      </c>
      <c r="B4310" t="s">
        <v>51</v>
      </c>
      <c r="C4310">
        <v>33.6</v>
      </c>
      <c r="D4310">
        <v>35.35</v>
      </c>
      <c r="E4310">
        <v>33.200000000000003</v>
      </c>
      <c r="F4310">
        <v>33.6</v>
      </c>
      <c r="G4310">
        <v>33.575000000000003</v>
      </c>
      <c r="H4310">
        <v>-0.05</v>
      </c>
      <c r="I4310">
        <v>69534</v>
      </c>
      <c r="J4310">
        <v>0</v>
      </c>
      <c r="K4310">
        <v>140410</v>
      </c>
      <c r="L4310">
        <v>24</v>
      </c>
      <c r="M4310">
        <v>34</v>
      </c>
      <c r="N4310" t="s">
        <v>51</v>
      </c>
      <c r="O4310" s="3">
        <v>44034</v>
      </c>
      <c r="P4310">
        <v>-1</v>
      </c>
      <c r="T4310" t="s">
        <v>28</v>
      </c>
      <c r="U4310">
        <v>172</v>
      </c>
      <c r="V4310">
        <v>25.625</v>
      </c>
    </row>
    <row r="4311" spans="1:22" x14ac:dyDescent="0.35">
      <c r="A4311" s="3">
        <v>44000</v>
      </c>
      <c r="B4311" t="s">
        <v>48</v>
      </c>
      <c r="C4311">
        <v>33.700000000000003</v>
      </c>
      <c r="D4311">
        <v>34.49</v>
      </c>
      <c r="E4311">
        <v>33.590000000000003</v>
      </c>
      <c r="F4311">
        <v>33.799999999999997</v>
      </c>
      <c r="G4311">
        <v>33.799999999999997</v>
      </c>
      <c r="H4311">
        <v>0.17499999999999999</v>
      </c>
      <c r="I4311">
        <v>5317</v>
      </c>
      <c r="J4311">
        <v>0</v>
      </c>
      <c r="K4311">
        <v>25243</v>
      </c>
      <c r="L4311">
        <v>88</v>
      </c>
      <c r="M4311">
        <v>125</v>
      </c>
      <c r="N4311" t="s">
        <v>48</v>
      </c>
      <c r="O4311" s="3">
        <v>44125</v>
      </c>
      <c r="P4311">
        <v>-1</v>
      </c>
      <c r="T4311" t="s">
        <v>36</v>
      </c>
      <c r="U4311">
        <v>7</v>
      </c>
      <c r="V4311">
        <v>20.150500000000001</v>
      </c>
    </row>
    <row r="4312" spans="1:22" x14ac:dyDescent="0.35">
      <c r="A4312" s="3">
        <v>44000</v>
      </c>
      <c r="B4312" t="s">
        <v>50</v>
      </c>
      <c r="C4312">
        <v>33.25</v>
      </c>
      <c r="D4312">
        <v>34.5</v>
      </c>
      <c r="E4312">
        <v>33.07</v>
      </c>
      <c r="F4312">
        <v>33.35</v>
      </c>
      <c r="G4312">
        <v>33.375</v>
      </c>
      <c r="H4312">
        <v>0.1</v>
      </c>
      <c r="I4312">
        <v>36199</v>
      </c>
      <c r="J4312">
        <v>0</v>
      </c>
      <c r="K4312">
        <v>33336</v>
      </c>
      <c r="L4312">
        <v>44</v>
      </c>
      <c r="M4312">
        <v>62</v>
      </c>
      <c r="N4312" t="s">
        <v>50</v>
      </c>
      <c r="O4312" s="3">
        <v>44062</v>
      </c>
      <c r="P4312">
        <v>-1</v>
      </c>
      <c r="T4312" t="s">
        <v>35</v>
      </c>
      <c r="U4312">
        <v>27</v>
      </c>
      <c r="V4312">
        <v>21.8565</v>
      </c>
    </row>
    <row r="4313" spans="1:22" x14ac:dyDescent="0.35">
      <c r="A4313" s="3">
        <v>44000</v>
      </c>
      <c r="B4313" t="s">
        <v>47</v>
      </c>
      <c r="C4313">
        <v>31.7</v>
      </c>
      <c r="D4313">
        <v>32.33</v>
      </c>
      <c r="E4313">
        <v>31.42</v>
      </c>
      <c r="F4313">
        <v>31.6</v>
      </c>
      <c r="G4313">
        <v>31.625</v>
      </c>
      <c r="H4313">
        <v>0.1</v>
      </c>
      <c r="I4313">
        <v>3276</v>
      </c>
      <c r="J4313">
        <v>0</v>
      </c>
      <c r="K4313">
        <v>18240</v>
      </c>
      <c r="L4313">
        <v>108</v>
      </c>
      <c r="M4313">
        <v>153</v>
      </c>
      <c r="N4313" t="s">
        <v>47</v>
      </c>
      <c r="O4313" s="3">
        <v>44153</v>
      </c>
      <c r="P4313">
        <v>-1</v>
      </c>
      <c r="T4313" t="s">
        <v>34</v>
      </c>
      <c r="U4313">
        <v>51</v>
      </c>
      <c r="V4313">
        <v>22.8</v>
      </c>
    </row>
    <row r="4314" spans="1:22" x14ac:dyDescent="0.35">
      <c r="A4314" s="3">
        <v>43999</v>
      </c>
      <c r="B4314" t="s">
        <v>49</v>
      </c>
      <c r="C4314">
        <v>33.15</v>
      </c>
      <c r="D4314">
        <v>33.65</v>
      </c>
      <c r="E4314">
        <v>32.49</v>
      </c>
      <c r="F4314">
        <v>32.619999999999997</v>
      </c>
      <c r="G4314">
        <v>32.674999999999997</v>
      </c>
      <c r="H4314">
        <v>-0.17499999999999999</v>
      </c>
      <c r="I4314">
        <v>11660</v>
      </c>
      <c r="J4314">
        <v>0</v>
      </c>
      <c r="K4314">
        <v>20540</v>
      </c>
      <c r="L4314">
        <v>64</v>
      </c>
      <c r="M4314">
        <v>91</v>
      </c>
      <c r="N4314" t="s">
        <v>49</v>
      </c>
      <c r="O4314" s="3">
        <v>44090</v>
      </c>
      <c r="P4314">
        <v>-1</v>
      </c>
      <c r="S4314" s="3">
        <v>44481</v>
      </c>
      <c r="T4314" t="s">
        <v>33</v>
      </c>
      <c r="U4314">
        <v>68</v>
      </c>
      <c r="V4314">
        <v>23.6</v>
      </c>
    </row>
    <row r="4315" spans="1:22" x14ac:dyDescent="0.35">
      <c r="A4315" s="3">
        <v>43999</v>
      </c>
      <c r="B4315" t="s">
        <v>51</v>
      </c>
      <c r="C4315">
        <v>33.6</v>
      </c>
      <c r="D4315">
        <v>34.869999999999997</v>
      </c>
      <c r="E4315">
        <v>33</v>
      </c>
      <c r="F4315">
        <v>33.6</v>
      </c>
      <c r="G4315">
        <v>33.625</v>
      </c>
      <c r="H4315">
        <v>0</v>
      </c>
      <c r="I4315">
        <v>89180</v>
      </c>
      <c r="J4315">
        <v>1100</v>
      </c>
      <c r="K4315">
        <v>139786</v>
      </c>
      <c r="L4315">
        <v>25</v>
      </c>
      <c r="M4315">
        <v>35</v>
      </c>
      <c r="N4315" t="s">
        <v>51</v>
      </c>
      <c r="O4315" s="3">
        <v>44034</v>
      </c>
      <c r="P4315">
        <v>-1</v>
      </c>
      <c r="T4315" t="s">
        <v>32</v>
      </c>
      <c r="U4315">
        <v>88</v>
      </c>
      <c r="V4315">
        <v>24.186800000000002</v>
      </c>
    </row>
    <row r="4316" spans="1:22" x14ac:dyDescent="0.35">
      <c r="A4316" s="3">
        <v>43999</v>
      </c>
      <c r="B4316" t="s">
        <v>48</v>
      </c>
      <c r="C4316">
        <v>33.799999999999997</v>
      </c>
      <c r="D4316">
        <v>34.229999999999997</v>
      </c>
      <c r="E4316">
        <v>33.25</v>
      </c>
      <c r="F4316">
        <v>33.6</v>
      </c>
      <c r="G4316">
        <v>33.625</v>
      </c>
      <c r="H4316">
        <v>0.15</v>
      </c>
      <c r="I4316">
        <v>5283</v>
      </c>
      <c r="J4316">
        <v>0</v>
      </c>
      <c r="K4316">
        <v>24369</v>
      </c>
      <c r="L4316">
        <v>89</v>
      </c>
      <c r="M4316">
        <v>126</v>
      </c>
      <c r="N4316" t="s">
        <v>48</v>
      </c>
      <c r="O4316" s="3">
        <v>44125</v>
      </c>
      <c r="P4316">
        <v>-1</v>
      </c>
      <c r="T4316" t="s">
        <v>31</v>
      </c>
      <c r="U4316">
        <v>106</v>
      </c>
      <c r="V4316">
        <v>24.8461</v>
      </c>
    </row>
    <row r="4317" spans="1:22" x14ac:dyDescent="0.35">
      <c r="A4317" s="3">
        <v>43999</v>
      </c>
      <c r="B4317" t="s">
        <v>50</v>
      </c>
      <c r="C4317">
        <v>33.1</v>
      </c>
      <c r="D4317">
        <v>34.15</v>
      </c>
      <c r="E4317">
        <v>32.75</v>
      </c>
      <c r="F4317">
        <v>33.200000000000003</v>
      </c>
      <c r="G4317">
        <v>33.274999999999999</v>
      </c>
      <c r="H4317">
        <v>0.05</v>
      </c>
      <c r="I4317">
        <v>41601</v>
      </c>
      <c r="J4317">
        <v>0</v>
      </c>
      <c r="K4317">
        <v>31441</v>
      </c>
      <c r="L4317">
        <v>45</v>
      </c>
      <c r="M4317">
        <v>63</v>
      </c>
      <c r="N4317" t="s">
        <v>50</v>
      </c>
      <c r="O4317" s="3">
        <v>44062</v>
      </c>
      <c r="P4317">
        <v>-1</v>
      </c>
      <c r="T4317" t="s">
        <v>30</v>
      </c>
      <c r="U4317">
        <v>132</v>
      </c>
      <c r="V4317">
        <v>25.116900000000001</v>
      </c>
    </row>
    <row r="4318" spans="1:22" x14ac:dyDescent="0.35">
      <c r="A4318" s="3">
        <v>43999</v>
      </c>
      <c r="B4318" t="s">
        <v>47</v>
      </c>
      <c r="C4318">
        <v>31.55</v>
      </c>
      <c r="D4318">
        <v>31.9</v>
      </c>
      <c r="E4318">
        <v>30.95</v>
      </c>
      <c r="F4318">
        <v>31.47</v>
      </c>
      <c r="G4318">
        <v>31.524999999999999</v>
      </c>
      <c r="H4318">
        <v>0.35</v>
      </c>
      <c r="I4318">
        <v>4593</v>
      </c>
      <c r="J4318">
        <v>0</v>
      </c>
      <c r="K4318">
        <v>17868</v>
      </c>
      <c r="L4318">
        <v>109</v>
      </c>
      <c r="M4318">
        <v>154</v>
      </c>
      <c r="N4318" t="s">
        <v>47</v>
      </c>
      <c r="O4318" s="3">
        <v>44153</v>
      </c>
      <c r="P4318">
        <v>-1</v>
      </c>
      <c r="T4318" t="s">
        <v>29</v>
      </c>
      <c r="U4318">
        <v>152</v>
      </c>
      <c r="V4318">
        <v>25.175000000000001</v>
      </c>
    </row>
    <row r="4319" spans="1:22" x14ac:dyDescent="0.35">
      <c r="A4319" s="3">
        <v>43999</v>
      </c>
      <c r="B4319" t="s">
        <v>52</v>
      </c>
      <c r="C4319">
        <v>33.700000000000003</v>
      </c>
      <c r="D4319">
        <v>34.25</v>
      </c>
      <c r="E4319">
        <v>32.299999999999997</v>
      </c>
      <c r="F4319">
        <v>32.799999999999997</v>
      </c>
      <c r="G4319">
        <v>33.44</v>
      </c>
      <c r="H4319">
        <v>0.34</v>
      </c>
      <c r="I4319">
        <v>508</v>
      </c>
      <c r="J4319">
        <v>0</v>
      </c>
      <c r="K4319">
        <v>19725</v>
      </c>
      <c r="L4319">
        <v>0</v>
      </c>
      <c r="M4319">
        <v>0</v>
      </c>
      <c r="N4319" t="s">
        <v>52</v>
      </c>
      <c r="O4319" s="3">
        <v>43999</v>
      </c>
      <c r="P4319">
        <v>-1</v>
      </c>
      <c r="T4319" t="s">
        <v>28</v>
      </c>
      <c r="U4319">
        <v>171</v>
      </c>
      <c r="V4319">
        <v>25.25</v>
      </c>
    </row>
    <row r="4320" spans="1:22" x14ac:dyDescent="0.35">
      <c r="A4320" s="3">
        <v>43999</v>
      </c>
      <c r="B4320" t="s">
        <v>46</v>
      </c>
      <c r="C4320">
        <v>29.9</v>
      </c>
      <c r="D4320">
        <v>30.4</v>
      </c>
      <c r="E4320">
        <v>29.48</v>
      </c>
      <c r="F4320">
        <v>29.9</v>
      </c>
      <c r="G4320">
        <v>29.875</v>
      </c>
      <c r="H4320">
        <v>0.27500000000000002</v>
      </c>
      <c r="I4320">
        <v>2351</v>
      </c>
      <c r="J4320">
        <v>0</v>
      </c>
      <c r="K4320">
        <v>5451</v>
      </c>
      <c r="L4320">
        <v>128</v>
      </c>
      <c r="M4320">
        <v>182</v>
      </c>
      <c r="N4320" t="s">
        <v>46</v>
      </c>
      <c r="O4320" s="3">
        <v>44181</v>
      </c>
      <c r="P4320">
        <v>-1</v>
      </c>
      <c r="T4320" t="s">
        <v>36</v>
      </c>
      <c r="U4320">
        <v>6</v>
      </c>
      <c r="V4320">
        <v>19.716899999999999</v>
      </c>
    </row>
    <row r="4321" spans="1:22" x14ac:dyDescent="0.35">
      <c r="A4321" s="3">
        <v>43999</v>
      </c>
      <c r="B4321" t="s">
        <v>45</v>
      </c>
      <c r="C4321">
        <v>29.75</v>
      </c>
      <c r="D4321">
        <v>30.2</v>
      </c>
      <c r="E4321">
        <v>29.3</v>
      </c>
      <c r="F4321">
        <v>29.72</v>
      </c>
      <c r="G4321">
        <v>29.774999999999999</v>
      </c>
      <c r="H4321">
        <v>0.35</v>
      </c>
      <c r="I4321">
        <v>726</v>
      </c>
      <c r="J4321">
        <v>0</v>
      </c>
      <c r="K4321">
        <v>854</v>
      </c>
      <c r="L4321">
        <v>150</v>
      </c>
      <c r="M4321">
        <v>217</v>
      </c>
      <c r="N4321" t="s">
        <v>45</v>
      </c>
      <c r="O4321" s="3">
        <v>44216</v>
      </c>
      <c r="P4321">
        <v>-1</v>
      </c>
      <c r="T4321" t="s">
        <v>35</v>
      </c>
      <c r="U4321">
        <v>26</v>
      </c>
      <c r="V4321">
        <v>21.450600000000001</v>
      </c>
    </row>
    <row r="4322" spans="1:22" x14ac:dyDescent="0.35">
      <c r="A4322" s="3">
        <v>43999</v>
      </c>
      <c r="B4322" t="s">
        <v>44</v>
      </c>
      <c r="C4322">
        <v>29.85</v>
      </c>
      <c r="D4322">
        <v>29.85</v>
      </c>
      <c r="E4322">
        <v>29.25</v>
      </c>
      <c r="F4322">
        <v>29.45</v>
      </c>
      <c r="G4322">
        <v>29.4</v>
      </c>
      <c r="H4322">
        <v>0.125</v>
      </c>
      <c r="I4322">
        <v>35</v>
      </c>
      <c r="J4322">
        <v>0</v>
      </c>
      <c r="K4322">
        <v>29</v>
      </c>
      <c r="L4322">
        <v>169</v>
      </c>
      <c r="M4322">
        <v>245</v>
      </c>
      <c r="N4322" t="s">
        <v>44</v>
      </c>
      <c r="O4322" s="3">
        <v>44244</v>
      </c>
      <c r="P4322">
        <v>-1</v>
      </c>
      <c r="T4322" t="s">
        <v>34</v>
      </c>
      <c r="U4322">
        <v>50</v>
      </c>
      <c r="V4322">
        <v>22.3979</v>
      </c>
    </row>
    <row r="4323" spans="1:22" x14ac:dyDescent="0.35">
      <c r="A4323" s="3">
        <v>43998</v>
      </c>
      <c r="B4323" t="s">
        <v>46</v>
      </c>
      <c r="C4323">
        <v>29.53</v>
      </c>
      <c r="D4323">
        <v>30.3</v>
      </c>
      <c r="E4323">
        <v>28.6</v>
      </c>
      <c r="F4323">
        <v>29.58</v>
      </c>
      <c r="G4323">
        <v>29.6</v>
      </c>
      <c r="H4323">
        <v>-0.125</v>
      </c>
      <c r="I4323">
        <v>2699</v>
      </c>
      <c r="J4323">
        <v>0</v>
      </c>
      <c r="K4323">
        <v>4960</v>
      </c>
      <c r="L4323">
        <v>129</v>
      </c>
      <c r="M4323">
        <v>183</v>
      </c>
      <c r="N4323" t="s">
        <v>46</v>
      </c>
      <c r="O4323" s="3">
        <v>44181</v>
      </c>
      <c r="P4323">
        <v>-1</v>
      </c>
      <c r="S4323" s="3">
        <v>44482</v>
      </c>
      <c r="T4323" t="s">
        <v>33</v>
      </c>
      <c r="U4323">
        <v>67</v>
      </c>
      <c r="V4323">
        <v>23.4057</v>
      </c>
    </row>
    <row r="4324" spans="1:22" x14ac:dyDescent="0.35">
      <c r="A4324" s="3">
        <v>43998</v>
      </c>
      <c r="B4324" t="s">
        <v>45</v>
      </c>
      <c r="C4324">
        <v>29.3</v>
      </c>
      <c r="D4324">
        <v>30.1</v>
      </c>
      <c r="E4324">
        <v>28.7</v>
      </c>
      <c r="F4324">
        <v>29.4</v>
      </c>
      <c r="G4324">
        <v>29.425000000000001</v>
      </c>
      <c r="H4324">
        <v>-0.22500000000000001</v>
      </c>
      <c r="I4324">
        <v>576</v>
      </c>
      <c r="J4324">
        <v>0</v>
      </c>
      <c r="K4324">
        <v>1002</v>
      </c>
      <c r="L4324">
        <v>151</v>
      </c>
      <c r="M4324">
        <v>218</v>
      </c>
      <c r="N4324" t="s">
        <v>45</v>
      </c>
      <c r="O4324" s="3">
        <v>44216</v>
      </c>
      <c r="P4324">
        <v>-1</v>
      </c>
      <c r="T4324" t="s">
        <v>32</v>
      </c>
      <c r="U4324">
        <v>87</v>
      </c>
      <c r="V4324">
        <v>23.998899999999999</v>
      </c>
    </row>
    <row r="4325" spans="1:22" x14ac:dyDescent="0.35">
      <c r="A4325" s="3">
        <v>43998</v>
      </c>
      <c r="B4325" t="s">
        <v>49</v>
      </c>
      <c r="C4325">
        <v>32.520000000000003</v>
      </c>
      <c r="D4325">
        <v>33.75</v>
      </c>
      <c r="E4325">
        <v>31.29</v>
      </c>
      <c r="F4325">
        <v>32.83</v>
      </c>
      <c r="G4325">
        <v>32.85</v>
      </c>
      <c r="H4325">
        <v>0.27500000000000002</v>
      </c>
      <c r="I4325">
        <v>16463</v>
      </c>
      <c r="J4325">
        <v>0</v>
      </c>
      <c r="K4325">
        <v>19814</v>
      </c>
      <c r="L4325">
        <v>65</v>
      </c>
      <c r="M4325">
        <v>92</v>
      </c>
      <c r="N4325" t="s">
        <v>49</v>
      </c>
      <c r="O4325" s="3">
        <v>44090</v>
      </c>
      <c r="P4325">
        <v>-1</v>
      </c>
      <c r="T4325" t="s">
        <v>31</v>
      </c>
      <c r="U4325">
        <v>105</v>
      </c>
      <c r="V4325">
        <v>24.7164</v>
      </c>
    </row>
    <row r="4326" spans="1:22" x14ac:dyDescent="0.35">
      <c r="A4326" s="3">
        <v>43998</v>
      </c>
      <c r="B4326" t="s">
        <v>51</v>
      </c>
      <c r="C4326">
        <v>33.950000000000003</v>
      </c>
      <c r="D4326">
        <v>35.700000000000003</v>
      </c>
      <c r="E4326">
        <v>31.9</v>
      </c>
      <c r="F4326">
        <v>33.53</v>
      </c>
      <c r="G4326">
        <v>33.625</v>
      </c>
      <c r="H4326">
        <v>-0.45</v>
      </c>
      <c r="I4326">
        <v>120109</v>
      </c>
      <c r="J4326">
        <v>474</v>
      </c>
      <c r="K4326">
        <v>142885</v>
      </c>
      <c r="L4326">
        <v>26</v>
      </c>
      <c r="M4326">
        <v>36</v>
      </c>
      <c r="N4326" t="s">
        <v>51</v>
      </c>
      <c r="O4326" s="3">
        <v>44034</v>
      </c>
      <c r="P4326">
        <v>-1</v>
      </c>
      <c r="T4326" t="s">
        <v>30</v>
      </c>
      <c r="U4326">
        <v>131</v>
      </c>
      <c r="V4326">
        <v>25</v>
      </c>
    </row>
    <row r="4327" spans="1:22" x14ac:dyDescent="0.35">
      <c r="A4327" s="3">
        <v>43998</v>
      </c>
      <c r="B4327" t="s">
        <v>48</v>
      </c>
      <c r="C4327">
        <v>33.5</v>
      </c>
      <c r="D4327">
        <v>34.590000000000003</v>
      </c>
      <c r="E4327">
        <v>32.520000000000003</v>
      </c>
      <c r="F4327">
        <v>33.5</v>
      </c>
      <c r="G4327">
        <v>33.475000000000001</v>
      </c>
      <c r="H4327">
        <v>-0.1</v>
      </c>
      <c r="I4327">
        <v>6629</v>
      </c>
      <c r="J4327">
        <v>0</v>
      </c>
      <c r="K4327">
        <v>24172</v>
      </c>
      <c r="L4327">
        <v>90</v>
      </c>
      <c r="M4327">
        <v>127</v>
      </c>
      <c r="N4327" t="s">
        <v>48</v>
      </c>
      <c r="O4327" s="3">
        <v>44125</v>
      </c>
      <c r="P4327">
        <v>-1</v>
      </c>
      <c r="T4327" t="s">
        <v>29</v>
      </c>
      <c r="U4327">
        <v>151</v>
      </c>
      <c r="V4327">
        <v>25</v>
      </c>
    </row>
    <row r="4328" spans="1:22" x14ac:dyDescent="0.35">
      <c r="A4328" s="3">
        <v>43998</v>
      </c>
      <c r="B4328" t="s">
        <v>50</v>
      </c>
      <c r="C4328">
        <v>33</v>
      </c>
      <c r="D4328">
        <v>34.32</v>
      </c>
      <c r="E4328">
        <v>31.38</v>
      </c>
      <c r="F4328">
        <v>33.19</v>
      </c>
      <c r="G4328">
        <v>33.225000000000001</v>
      </c>
      <c r="H4328">
        <v>0.1</v>
      </c>
      <c r="I4328">
        <v>33422</v>
      </c>
      <c r="J4328">
        <v>0</v>
      </c>
      <c r="K4328">
        <v>28608</v>
      </c>
      <c r="L4328">
        <v>46</v>
      </c>
      <c r="M4328">
        <v>64</v>
      </c>
      <c r="N4328" t="s">
        <v>50</v>
      </c>
      <c r="O4328" s="3">
        <v>44062</v>
      </c>
      <c r="P4328">
        <v>-1</v>
      </c>
      <c r="T4328" t="s">
        <v>28</v>
      </c>
      <c r="U4328">
        <v>170</v>
      </c>
      <c r="V4328">
        <v>25</v>
      </c>
    </row>
    <row r="4329" spans="1:22" x14ac:dyDescent="0.35">
      <c r="A4329" s="3">
        <v>43998</v>
      </c>
      <c r="B4329" t="s">
        <v>47</v>
      </c>
      <c r="C4329">
        <v>31</v>
      </c>
      <c r="D4329">
        <v>32.020000000000003</v>
      </c>
      <c r="E4329">
        <v>30.1</v>
      </c>
      <c r="F4329">
        <v>31.2</v>
      </c>
      <c r="G4329">
        <v>31.175000000000001</v>
      </c>
      <c r="H4329">
        <v>-0.05</v>
      </c>
      <c r="I4329">
        <v>3462</v>
      </c>
      <c r="J4329">
        <v>0</v>
      </c>
      <c r="K4329">
        <v>17125</v>
      </c>
      <c r="L4329">
        <v>110</v>
      </c>
      <c r="M4329">
        <v>155</v>
      </c>
      <c r="N4329" t="s">
        <v>47</v>
      </c>
      <c r="O4329" s="3">
        <v>44153</v>
      </c>
      <c r="P4329">
        <v>-1</v>
      </c>
      <c r="T4329" t="s">
        <v>36</v>
      </c>
      <c r="U4329">
        <v>5</v>
      </c>
      <c r="V4329">
        <v>19.150600000000001</v>
      </c>
    </row>
    <row r="4330" spans="1:22" x14ac:dyDescent="0.35">
      <c r="A4330" s="3">
        <v>43998</v>
      </c>
      <c r="B4330" t="s">
        <v>52</v>
      </c>
      <c r="C4330">
        <v>33.799999999999997</v>
      </c>
      <c r="D4330">
        <v>36.65</v>
      </c>
      <c r="E4330">
        <v>31.55</v>
      </c>
      <c r="F4330">
        <v>33.18</v>
      </c>
      <c r="G4330">
        <v>33.1</v>
      </c>
      <c r="H4330">
        <v>-0.8</v>
      </c>
      <c r="I4330">
        <v>58030</v>
      </c>
      <c r="J4330">
        <v>26</v>
      </c>
      <c r="K4330">
        <v>20256</v>
      </c>
      <c r="L4330">
        <v>1</v>
      </c>
      <c r="M4330">
        <v>1</v>
      </c>
      <c r="N4330" t="s">
        <v>52</v>
      </c>
      <c r="O4330" s="3">
        <v>43999</v>
      </c>
      <c r="P4330">
        <v>-1</v>
      </c>
      <c r="T4330" t="s">
        <v>35</v>
      </c>
      <c r="U4330">
        <v>25</v>
      </c>
      <c r="V4330">
        <v>21.106999999999999</v>
      </c>
    </row>
    <row r="4331" spans="1:22" x14ac:dyDescent="0.35">
      <c r="A4331" s="3">
        <v>43997</v>
      </c>
      <c r="B4331" t="s">
        <v>49</v>
      </c>
      <c r="C4331">
        <v>33.799999999999997</v>
      </c>
      <c r="D4331">
        <v>36.25</v>
      </c>
      <c r="E4331">
        <v>32.520000000000003</v>
      </c>
      <c r="F4331">
        <v>32.590000000000003</v>
      </c>
      <c r="G4331">
        <v>32.575000000000003</v>
      </c>
      <c r="H4331">
        <v>-0.3</v>
      </c>
      <c r="I4331">
        <v>12791</v>
      </c>
      <c r="J4331">
        <v>0</v>
      </c>
      <c r="K4331">
        <v>18421</v>
      </c>
      <c r="L4331">
        <v>66</v>
      </c>
      <c r="M4331">
        <v>93</v>
      </c>
      <c r="N4331" t="s">
        <v>49</v>
      </c>
      <c r="O4331" s="3">
        <v>44090</v>
      </c>
      <c r="P4331">
        <v>-1</v>
      </c>
      <c r="T4331" t="s">
        <v>34</v>
      </c>
      <c r="U4331">
        <v>49</v>
      </c>
      <c r="V4331">
        <v>22.126799999999999</v>
      </c>
    </row>
    <row r="4332" spans="1:22" x14ac:dyDescent="0.35">
      <c r="A4332" s="3">
        <v>43997</v>
      </c>
      <c r="B4332" t="s">
        <v>51</v>
      </c>
      <c r="C4332">
        <v>36</v>
      </c>
      <c r="D4332">
        <v>40.4</v>
      </c>
      <c r="E4332">
        <v>33.979999999999997</v>
      </c>
      <c r="F4332">
        <v>34.1</v>
      </c>
      <c r="G4332">
        <v>34.075000000000003</v>
      </c>
      <c r="H4332">
        <v>-0.75</v>
      </c>
      <c r="I4332">
        <v>124751</v>
      </c>
      <c r="J4332">
        <v>1788</v>
      </c>
      <c r="K4332">
        <v>132674</v>
      </c>
      <c r="L4332">
        <v>27</v>
      </c>
      <c r="M4332">
        <v>37</v>
      </c>
      <c r="N4332" t="s">
        <v>51</v>
      </c>
      <c r="O4332" s="3">
        <v>44034</v>
      </c>
      <c r="P4332">
        <v>-1</v>
      </c>
      <c r="S4332" s="3">
        <v>44483</v>
      </c>
      <c r="T4332" t="s">
        <v>33</v>
      </c>
      <c r="U4332">
        <v>66</v>
      </c>
      <c r="V4332">
        <v>22.799600000000002</v>
      </c>
    </row>
    <row r="4333" spans="1:22" x14ac:dyDescent="0.35">
      <c r="A4333" s="3">
        <v>43997</v>
      </c>
      <c r="B4333" t="s">
        <v>48</v>
      </c>
      <c r="C4333">
        <v>34.75</v>
      </c>
      <c r="D4333">
        <v>36.75</v>
      </c>
      <c r="E4333">
        <v>33.450000000000003</v>
      </c>
      <c r="F4333">
        <v>33.56</v>
      </c>
      <c r="G4333">
        <v>33.575000000000003</v>
      </c>
      <c r="H4333">
        <v>-0.45</v>
      </c>
      <c r="I4333">
        <v>5381</v>
      </c>
      <c r="J4333">
        <v>0</v>
      </c>
      <c r="K4333">
        <v>23584</v>
      </c>
      <c r="L4333">
        <v>91</v>
      </c>
      <c r="M4333">
        <v>128</v>
      </c>
      <c r="N4333" t="s">
        <v>48</v>
      </c>
      <c r="O4333" s="3">
        <v>44125</v>
      </c>
      <c r="P4333">
        <v>-1</v>
      </c>
      <c r="T4333" t="s">
        <v>32</v>
      </c>
      <c r="U4333">
        <v>86</v>
      </c>
      <c r="V4333">
        <v>23.449400000000001</v>
      </c>
    </row>
    <row r="4334" spans="1:22" x14ac:dyDescent="0.35">
      <c r="A4334" s="3">
        <v>43997</v>
      </c>
      <c r="B4334" t="s">
        <v>50</v>
      </c>
      <c r="C4334">
        <v>34.450000000000003</v>
      </c>
      <c r="D4334">
        <v>37.799999999999997</v>
      </c>
      <c r="E4334">
        <v>33.049999999999997</v>
      </c>
      <c r="F4334">
        <v>33.1</v>
      </c>
      <c r="G4334">
        <v>33.125</v>
      </c>
      <c r="H4334">
        <v>-0.55000000000000004</v>
      </c>
      <c r="I4334">
        <v>24527</v>
      </c>
      <c r="J4334">
        <v>0</v>
      </c>
      <c r="K4334">
        <v>26157</v>
      </c>
      <c r="L4334">
        <v>47</v>
      </c>
      <c r="M4334">
        <v>65</v>
      </c>
      <c r="N4334" t="s">
        <v>50</v>
      </c>
      <c r="O4334" s="3">
        <v>44062</v>
      </c>
      <c r="P4334">
        <v>-1</v>
      </c>
      <c r="T4334" t="s">
        <v>31</v>
      </c>
      <c r="U4334">
        <v>104</v>
      </c>
      <c r="V4334">
        <v>24.199400000000001</v>
      </c>
    </row>
    <row r="4335" spans="1:22" x14ac:dyDescent="0.35">
      <c r="A4335" s="3">
        <v>43997</v>
      </c>
      <c r="B4335" t="s">
        <v>47</v>
      </c>
      <c r="C4335">
        <v>32.450000000000003</v>
      </c>
      <c r="D4335">
        <v>34.15</v>
      </c>
      <c r="E4335">
        <v>31.15</v>
      </c>
      <c r="F4335">
        <v>31.2</v>
      </c>
      <c r="G4335">
        <v>31.225000000000001</v>
      </c>
      <c r="H4335">
        <v>-0.47499999999999998</v>
      </c>
      <c r="I4335">
        <v>2675</v>
      </c>
      <c r="J4335">
        <v>0</v>
      </c>
      <c r="K4335">
        <v>17154</v>
      </c>
      <c r="L4335">
        <v>111</v>
      </c>
      <c r="M4335">
        <v>156</v>
      </c>
      <c r="N4335" t="s">
        <v>47</v>
      </c>
      <c r="O4335" s="3">
        <v>44153</v>
      </c>
      <c r="P4335">
        <v>-1</v>
      </c>
      <c r="T4335" t="s">
        <v>30</v>
      </c>
      <c r="U4335">
        <v>130</v>
      </c>
      <c r="V4335">
        <v>24.55</v>
      </c>
    </row>
    <row r="4336" spans="1:22" x14ac:dyDescent="0.35">
      <c r="A4336" s="3">
        <v>43997</v>
      </c>
      <c r="B4336" t="s">
        <v>52</v>
      </c>
      <c r="C4336">
        <v>37.25</v>
      </c>
      <c r="D4336">
        <v>41.85</v>
      </c>
      <c r="E4336">
        <v>33.85</v>
      </c>
      <c r="F4336">
        <v>34.049999999999997</v>
      </c>
      <c r="G4336">
        <v>33.9</v>
      </c>
      <c r="H4336">
        <v>-1.175</v>
      </c>
      <c r="I4336">
        <v>74288</v>
      </c>
      <c r="J4336">
        <v>212</v>
      </c>
      <c r="K4336">
        <v>27307</v>
      </c>
      <c r="L4336">
        <v>2</v>
      </c>
      <c r="M4336">
        <v>2</v>
      </c>
      <c r="N4336" t="s">
        <v>52</v>
      </c>
      <c r="O4336" s="3">
        <v>43999</v>
      </c>
      <c r="P4336">
        <v>-1</v>
      </c>
      <c r="T4336" t="s">
        <v>29</v>
      </c>
      <c r="U4336">
        <v>150</v>
      </c>
      <c r="V4336">
        <v>24.625</v>
      </c>
    </row>
    <row r="4337" spans="1:22" x14ac:dyDescent="0.35">
      <c r="A4337" s="3">
        <v>43997</v>
      </c>
      <c r="B4337" t="s">
        <v>46</v>
      </c>
      <c r="C4337">
        <v>31.05</v>
      </c>
      <c r="D4337">
        <v>32.35</v>
      </c>
      <c r="E4337">
        <v>29.6</v>
      </c>
      <c r="F4337">
        <v>29.7</v>
      </c>
      <c r="G4337">
        <v>29.725000000000001</v>
      </c>
      <c r="H4337">
        <v>-0.57499999999999996</v>
      </c>
      <c r="I4337">
        <v>2038</v>
      </c>
      <c r="J4337">
        <v>0</v>
      </c>
      <c r="K4337">
        <v>4990</v>
      </c>
      <c r="L4337">
        <v>130</v>
      </c>
      <c r="M4337">
        <v>184</v>
      </c>
      <c r="N4337" t="s">
        <v>46</v>
      </c>
      <c r="O4337" s="3">
        <v>44181</v>
      </c>
      <c r="P4337">
        <v>-1</v>
      </c>
      <c r="T4337" t="s">
        <v>28</v>
      </c>
      <c r="U4337">
        <v>169</v>
      </c>
      <c r="V4337">
        <v>24.6</v>
      </c>
    </row>
    <row r="4338" spans="1:22" x14ac:dyDescent="0.35">
      <c r="A4338" s="3">
        <v>43997</v>
      </c>
      <c r="B4338" t="s">
        <v>45</v>
      </c>
      <c r="C4338">
        <v>31</v>
      </c>
      <c r="D4338">
        <v>31.95</v>
      </c>
      <c r="E4338">
        <v>29.48</v>
      </c>
      <c r="F4338">
        <v>29.48</v>
      </c>
      <c r="G4338">
        <v>29.65</v>
      </c>
      <c r="H4338">
        <v>-0.45</v>
      </c>
      <c r="I4338">
        <v>245</v>
      </c>
      <c r="J4338">
        <v>0</v>
      </c>
      <c r="K4338">
        <v>707</v>
      </c>
      <c r="L4338">
        <v>152</v>
      </c>
      <c r="M4338">
        <v>219</v>
      </c>
      <c r="N4338" t="s">
        <v>45</v>
      </c>
      <c r="O4338" s="3">
        <v>44216</v>
      </c>
      <c r="P4338">
        <v>-1</v>
      </c>
      <c r="T4338" t="s">
        <v>36</v>
      </c>
      <c r="U4338">
        <v>4</v>
      </c>
      <c r="V4338">
        <v>17.601400000000002</v>
      </c>
    </row>
    <row r="4339" spans="1:22" x14ac:dyDescent="0.35">
      <c r="A4339" s="3">
        <v>43994</v>
      </c>
      <c r="B4339" t="s">
        <v>46</v>
      </c>
      <c r="C4339">
        <v>31.6</v>
      </c>
      <c r="D4339">
        <v>32.200000000000003</v>
      </c>
      <c r="E4339">
        <v>30.05</v>
      </c>
      <c r="F4339">
        <v>30.32</v>
      </c>
      <c r="G4339">
        <v>30.3</v>
      </c>
      <c r="H4339">
        <v>-1.375</v>
      </c>
      <c r="I4339">
        <v>3826</v>
      </c>
      <c r="J4339">
        <v>0</v>
      </c>
      <c r="K4339">
        <v>4752</v>
      </c>
      <c r="L4339">
        <v>131</v>
      </c>
      <c r="M4339">
        <v>187</v>
      </c>
      <c r="N4339" t="s">
        <v>46</v>
      </c>
      <c r="O4339" s="3">
        <v>44181</v>
      </c>
      <c r="P4339">
        <v>-1</v>
      </c>
      <c r="T4339" t="s">
        <v>35</v>
      </c>
      <c r="U4339">
        <v>24</v>
      </c>
      <c r="V4339">
        <v>20.0046</v>
      </c>
    </row>
    <row r="4340" spans="1:22" x14ac:dyDescent="0.35">
      <c r="A4340" s="3">
        <v>43994</v>
      </c>
      <c r="B4340" t="s">
        <v>45</v>
      </c>
      <c r="C4340">
        <v>31.2</v>
      </c>
      <c r="D4340">
        <v>31.8</v>
      </c>
      <c r="E4340">
        <v>29.9</v>
      </c>
      <c r="F4340">
        <v>30.12</v>
      </c>
      <c r="G4340">
        <v>30.1</v>
      </c>
      <c r="H4340">
        <v>-1.25</v>
      </c>
      <c r="I4340">
        <v>327</v>
      </c>
      <c r="J4340">
        <v>0</v>
      </c>
      <c r="K4340">
        <v>657</v>
      </c>
      <c r="L4340">
        <v>153</v>
      </c>
      <c r="M4340">
        <v>222</v>
      </c>
      <c r="N4340" t="s">
        <v>45</v>
      </c>
      <c r="O4340" s="3">
        <v>44216</v>
      </c>
      <c r="P4340">
        <v>-1</v>
      </c>
      <c r="T4340" t="s">
        <v>34</v>
      </c>
      <c r="U4340">
        <v>48</v>
      </c>
      <c r="V4340">
        <v>21.3</v>
      </c>
    </row>
    <row r="4341" spans="1:22" x14ac:dyDescent="0.35">
      <c r="A4341" s="3">
        <v>43994</v>
      </c>
      <c r="B4341" t="s">
        <v>44</v>
      </c>
      <c r="C4341">
        <v>30.95</v>
      </c>
      <c r="D4341">
        <v>31.36</v>
      </c>
      <c r="E4341">
        <v>30.05</v>
      </c>
      <c r="F4341">
        <v>30.1</v>
      </c>
      <c r="G4341">
        <v>30.75</v>
      </c>
      <c r="H4341">
        <v>1</v>
      </c>
      <c r="I4341">
        <v>8</v>
      </c>
      <c r="J4341">
        <v>0</v>
      </c>
      <c r="K4341">
        <v>4</v>
      </c>
      <c r="L4341">
        <v>172</v>
      </c>
      <c r="M4341">
        <v>250</v>
      </c>
      <c r="N4341" t="s">
        <v>44</v>
      </c>
      <c r="O4341" s="3">
        <v>44244</v>
      </c>
      <c r="P4341">
        <v>-1</v>
      </c>
      <c r="S4341" s="3">
        <v>44484</v>
      </c>
      <c r="T4341" t="s">
        <v>33</v>
      </c>
      <c r="U4341">
        <v>65</v>
      </c>
      <c r="V4341">
        <v>23.0032</v>
      </c>
    </row>
    <row r="4342" spans="1:22" x14ac:dyDescent="0.35">
      <c r="A4342" s="3">
        <v>43994</v>
      </c>
      <c r="B4342" t="s">
        <v>49</v>
      </c>
      <c r="C4342">
        <v>34.81</v>
      </c>
      <c r="D4342">
        <v>36.049999999999997</v>
      </c>
      <c r="E4342">
        <v>31.88</v>
      </c>
      <c r="F4342">
        <v>32.99</v>
      </c>
      <c r="G4342">
        <v>32.875</v>
      </c>
      <c r="H4342">
        <v>-2.2000000000000002</v>
      </c>
      <c r="I4342">
        <v>20158</v>
      </c>
      <c r="J4342">
        <v>0</v>
      </c>
      <c r="K4342">
        <v>17839</v>
      </c>
      <c r="L4342">
        <v>67</v>
      </c>
      <c r="M4342">
        <v>96</v>
      </c>
      <c r="N4342" t="s">
        <v>49</v>
      </c>
      <c r="O4342" s="3">
        <v>44090</v>
      </c>
      <c r="P4342">
        <v>-1</v>
      </c>
      <c r="T4342" t="s">
        <v>32</v>
      </c>
      <c r="U4342">
        <v>85</v>
      </c>
      <c r="V4342">
        <v>23.702000000000002</v>
      </c>
    </row>
    <row r="4343" spans="1:22" x14ac:dyDescent="0.35">
      <c r="A4343" s="3">
        <v>43994</v>
      </c>
      <c r="B4343" t="s">
        <v>51</v>
      </c>
      <c r="C4343">
        <v>38.75</v>
      </c>
      <c r="D4343">
        <v>41.07</v>
      </c>
      <c r="E4343">
        <v>34.200000000000003</v>
      </c>
      <c r="F4343">
        <v>34.950000000000003</v>
      </c>
      <c r="G4343">
        <v>34.825000000000003</v>
      </c>
      <c r="H4343">
        <v>-4.8499999999999996</v>
      </c>
      <c r="I4343">
        <v>221385</v>
      </c>
      <c r="J4343">
        <v>1263</v>
      </c>
      <c r="K4343">
        <v>126542</v>
      </c>
      <c r="L4343">
        <v>28</v>
      </c>
      <c r="M4343">
        <v>40</v>
      </c>
      <c r="N4343" t="s">
        <v>51</v>
      </c>
      <c r="O4343" s="3">
        <v>44034</v>
      </c>
      <c r="P4343">
        <v>-1</v>
      </c>
      <c r="T4343" t="s">
        <v>31</v>
      </c>
      <c r="U4343">
        <v>103</v>
      </c>
      <c r="V4343">
        <v>24.45</v>
      </c>
    </row>
    <row r="4344" spans="1:22" x14ac:dyDescent="0.35">
      <c r="A4344" s="3">
        <v>43994</v>
      </c>
      <c r="B4344" t="s">
        <v>48</v>
      </c>
      <c r="C4344">
        <v>35.79</v>
      </c>
      <c r="D4344">
        <v>36.700000000000003</v>
      </c>
      <c r="E4344">
        <v>33.53</v>
      </c>
      <c r="F4344">
        <v>34.1</v>
      </c>
      <c r="G4344">
        <v>34.024999999999999</v>
      </c>
      <c r="H4344">
        <v>-1.8</v>
      </c>
      <c r="I4344">
        <v>8313</v>
      </c>
      <c r="J4344">
        <v>0</v>
      </c>
      <c r="K4344">
        <v>23003</v>
      </c>
      <c r="L4344">
        <v>92</v>
      </c>
      <c r="M4344">
        <v>131</v>
      </c>
      <c r="N4344" t="s">
        <v>48</v>
      </c>
      <c r="O4344" s="3">
        <v>44125</v>
      </c>
      <c r="P4344">
        <v>-1</v>
      </c>
      <c r="T4344" t="s">
        <v>30</v>
      </c>
      <c r="U4344">
        <v>129</v>
      </c>
      <c r="V4344">
        <v>24.85</v>
      </c>
    </row>
    <row r="4345" spans="1:22" x14ac:dyDescent="0.35">
      <c r="A4345" s="3">
        <v>43994</v>
      </c>
      <c r="B4345" t="s">
        <v>50</v>
      </c>
      <c r="C4345">
        <v>36.1</v>
      </c>
      <c r="D4345">
        <v>38.15</v>
      </c>
      <c r="E4345">
        <v>32.630000000000003</v>
      </c>
      <c r="F4345">
        <v>33.78</v>
      </c>
      <c r="G4345">
        <v>33.674999999999997</v>
      </c>
      <c r="H4345">
        <v>-3.1</v>
      </c>
      <c r="I4345">
        <v>45744</v>
      </c>
      <c r="J4345">
        <v>0</v>
      </c>
      <c r="K4345">
        <v>26526</v>
      </c>
      <c r="L4345">
        <v>48</v>
      </c>
      <c r="M4345">
        <v>68</v>
      </c>
      <c r="N4345" t="s">
        <v>50</v>
      </c>
      <c r="O4345" s="3">
        <v>44062</v>
      </c>
      <c r="P4345">
        <v>-1</v>
      </c>
      <c r="T4345" t="s">
        <v>29</v>
      </c>
      <c r="U4345">
        <v>149</v>
      </c>
      <c r="V4345">
        <v>24.9</v>
      </c>
    </row>
    <row r="4346" spans="1:22" x14ac:dyDescent="0.35">
      <c r="A4346" s="3">
        <v>43994</v>
      </c>
      <c r="B4346" t="s">
        <v>47</v>
      </c>
      <c r="C4346">
        <v>33.21</v>
      </c>
      <c r="D4346">
        <v>33.950000000000003</v>
      </c>
      <c r="E4346">
        <v>31.5</v>
      </c>
      <c r="F4346">
        <v>31.79</v>
      </c>
      <c r="G4346">
        <v>31.7</v>
      </c>
      <c r="H4346">
        <v>-1.6</v>
      </c>
      <c r="I4346">
        <v>5596</v>
      </c>
      <c r="J4346">
        <v>0</v>
      </c>
      <c r="K4346">
        <v>17118</v>
      </c>
      <c r="L4346">
        <v>112</v>
      </c>
      <c r="M4346">
        <v>159</v>
      </c>
      <c r="N4346" t="s">
        <v>47</v>
      </c>
      <c r="O4346" s="3">
        <v>44153</v>
      </c>
      <c r="P4346">
        <v>-1</v>
      </c>
      <c r="T4346" t="s">
        <v>28</v>
      </c>
      <c r="U4346">
        <v>168</v>
      </c>
      <c r="V4346">
        <v>25.15</v>
      </c>
    </row>
    <row r="4347" spans="1:22" x14ac:dyDescent="0.35">
      <c r="A4347" s="3">
        <v>43994</v>
      </c>
      <c r="B4347" t="s">
        <v>52</v>
      </c>
      <c r="C4347">
        <v>39.65</v>
      </c>
      <c r="D4347">
        <v>42.55</v>
      </c>
      <c r="E4347">
        <v>34.950000000000003</v>
      </c>
      <c r="F4347">
        <v>35.25</v>
      </c>
      <c r="G4347">
        <v>35.075000000000003</v>
      </c>
      <c r="H4347">
        <v>-5.55</v>
      </c>
      <c r="I4347">
        <v>164174</v>
      </c>
      <c r="J4347">
        <v>237</v>
      </c>
      <c r="K4347">
        <v>35315</v>
      </c>
      <c r="L4347">
        <v>3</v>
      </c>
      <c r="M4347">
        <v>5</v>
      </c>
      <c r="N4347" t="s">
        <v>52</v>
      </c>
      <c r="O4347" s="3">
        <v>43999</v>
      </c>
      <c r="P4347">
        <v>-1</v>
      </c>
      <c r="T4347" t="s">
        <v>36</v>
      </c>
      <c r="U4347">
        <v>3</v>
      </c>
      <c r="V4347">
        <v>17.172699999999999</v>
      </c>
    </row>
    <row r="4348" spans="1:22" x14ac:dyDescent="0.35">
      <c r="A4348" s="3">
        <v>43993</v>
      </c>
      <c r="B4348" t="s">
        <v>49</v>
      </c>
      <c r="C4348">
        <v>29</v>
      </c>
      <c r="D4348">
        <v>35.200000000000003</v>
      </c>
      <c r="E4348">
        <v>28.95</v>
      </c>
      <c r="F4348">
        <v>34.979999999999997</v>
      </c>
      <c r="G4348">
        <v>35.075000000000003</v>
      </c>
      <c r="H4348">
        <v>6.15</v>
      </c>
      <c r="I4348">
        <v>22701</v>
      </c>
      <c r="J4348">
        <v>0</v>
      </c>
      <c r="K4348">
        <v>18362</v>
      </c>
      <c r="L4348">
        <v>68</v>
      </c>
      <c r="M4348">
        <v>97</v>
      </c>
      <c r="N4348" t="s">
        <v>49</v>
      </c>
      <c r="O4348" s="3">
        <v>44090</v>
      </c>
      <c r="P4348">
        <v>-1</v>
      </c>
      <c r="T4348" t="s">
        <v>35</v>
      </c>
      <c r="U4348">
        <v>23</v>
      </c>
      <c r="V4348">
        <v>20.098299999999998</v>
      </c>
    </row>
    <row r="4349" spans="1:22" x14ac:dyDescent="0.35">
      <c r="A4349" s="3">
        <v>43993</v>
      </c>
      <c r="B4349" t="s">
        <v>51</v>
      </c>
      <c r="C4349">
        <v>29.05</v>
      </c>
      <c r="D4349">
        <v>39.85</v>
      </c>
      <c r="E4349">
        <v>28.9</v>
      </c>
      <c r="F4349">
        <v>39.08</v>
      </c>
      <c r="G4349">
        <v>39.674999999999997</v>
      </c>
      <c r="H4349">
        <v>10.65</v>
      </c>
      <c r="I4349">
        <v>215998</v>
      </c>
      <c r="J4349">
        <v>3669</v>
      </c>
      <c r="K4349">
        <v>133776</v>
      </c>
      <c r="L4349">
        <v>29</v>
      </c>
      <c r="M4349">
        <v>41</v>
      </c>
      <c r="N4349" t="s">
        <v>51</v>
      </c>
      <c r="O4349" s="3">
        <v>44034</v>
      </c>
      <c r="P4349">
        <v>-1</v>
      </c>
      <c r="T4349" t="s">
        <v>34</v>
      </c>
      <c r="U4349">
        <v>47</v>
      </c>
      <c r="V4349">
        <v>21.595700000000001</v>
      </c>
    </row>
    <row r="4350" spans="1:22" x14ac:dyDescent="0.35">
      <c r="A4350" s="3">
        <v>43993</v>
      </c>
      <c r="B4350" t="s">
        <v>48</v>
      </c>
      <c r="C4350">
        <v>30.8</v>
      </c>
      <c r="D4350">
        <v>36.049999999999997</v>
      </c>
      <c r="E4350">
        <v>30.75</v>
      </c>
      <c r="F4350">
        <v>35.92</v>
      </c>
      <c r="G4350">
        <v>35.825000000000003</v>
      </c>
      <c r="H4350">
        <v>5.0999999999999996</v>
      </c>
      <c r="I4350">
        <v>14041</v>
      </c>
      <c r="J4350">
        <v>0</v>
      </c>
      <c r="K4350">
        <v>22266</v>
      </c>
      <c r="L4350">
        <v>93</v>
      </c>
      <c r="M4350">
        <v>132</v>
      </c>
      <c r="N4350" t="s">
        <v>48</v>
      </c>
      <c r="O4350" s="3">
        <v>44125</v>
      </c>
      <c r="P4350">
        <v>-1</v>
      </c>
      <c r="S4350" s="3">
        <v>44487</v>
      </c>
      <c r="T4350" t="s">
        <v>33</v>
      </c>
      <c r="U4350">
        <v>64</v>
      </c>
      <c r="V4350">
        <v>23.061499999999999</v>
      </c>
    </row>
    <row r="4351" spans="1:22" x14ac:dyDescent="0.35">
      <c r="A4351" s="3">
        <v>43993</v>
      </c>
      <c r="B4351" t="s">
        <v>50</v>
      </c>
      <c r="C4351">
        <v>28.75</v>
      </c>
      <c r="D4351">
        <v>37</v>
      </c>
      <c r="E4351">
        <v>28.75</v>
      </c>
      <c r="F4351">
        <v>36.53</v>
      </c>
      <c r="G4351">
        <v>36.774999999999999</v>
      </c>
      <c r="H4351">
        <v>7.9749999999999996</v>
      </c>
      <c r="I4351">
        <v>43028</v>
      </c>
      <c r="J4351">
        <v>0</v>
      </c>
      <c r="K4351">
        <v>25606</v>
      </c>
      <c r="L4351">
        <v>49</v>
      </c>
      <c r="M4351">
        <v>69</v>
      </c>
      <c r="N4351" t="s">
        <v>50</v>
      </c>
      <c r="O4351" s="3">
        <v>44062</v>
      </c>
      <c r="P4351">
        <v>-1</v>
      </c>
      <c r="T4351" t="s">
        <v>32</v>
      </c>
      <c r="U4351">
        <v>84</v>
      </c>
      <c r="V4351">
        <v>23.8856</v>
      </c>
    </row>
    <row r="4352" spans="1:22" x14ac:dyDescent="0.35">
      <c r="A4352" s="3">
        <v>43993</v>
      </c>
      <c r="B4352" t="s">
        <v>47</v>
      </c>
      <c r="C4352">
        <v>28.75</v>
      </c>
      <c r="D4352">
        <v>33.56</v>
      </c>
      <c r="E4352">
        <v>28.7</v>
      </c>
      <c r="F4352">
        <v>33.450000000000003</v>
      </c>
      <c r="G4352">
        <v>33.299999999999997</v>
      </c>
      <c r="H4352">
        <v>4.625</v>
      </c>
      <c r="I4352">
        <v>8750</v>
      </c>
      <c r="J4352">
        <v>0</v>
      </c>
      <c r="K4352">
        <v>16101</v>
      </c>
      <c r="L4352">
        <v>113</v>
      </c>
      <c r="M4352">
        <v>160</v>
      </c>
      <c r="N4352" t="s">
        <v>47</v>
      </c>
      <c r="O4352" s="3">
        <v>44153</v>
      </c>
      <c r="P4352">
        <v>-1</v>
      </c>
      <c r="T4352" t="s">
        <v>31</v>
      </c>
      <c r="U4352">
        <v>102</v>
      </c>
      <c r="V4352">
        <v>24.616900000000001</v>
      </c>
    </row>
    <row r="4353" spans="1:22" x14ac:dyDescent="0.35">
      <c r="A4353" s="3">
        <v>43993</v>
      </c>
      <c r="B4353" t="s">
        <v>52</v>
      </c>
      <c r="C4353">
        <v>27.45</v>
      </c>
      <c r="D4353">
        <v>40.9</v>
      </c>
      <c r="E4353">
        <v>27.4</v>
      </c>
      <c r="F4353">
        <v>40.19</v>
      </c>
      <c r="G4353">
        <v>40.625</v>
      </c>
      <c r="H4353">
        <v>13.15</v>
      </c>
      <c r="I4353">
        <v>173483</v>
      </c>
      <c r="J4353">
        <v>981</v>
      </c>
      <c r="K4353">
        <v>46959</v>
      </c>
      <c r="L4353">
        <v>4</v>
      </c>
      <c r="M4353">
        <v>6</v>
      </c>
      <c r="N4353" t="s">
        <v>52</v>
      </c>
      <c r="O4353" s="3">
        <v>43999</v>
      </c>
      <c r="P4353">
        <v>-1</v>
      </c>
      <c r="T4353" t="s">
        <v>30</v>
      </c>
      <c r="U4353">
        <v>128</v>
      </c>
      <c r="V4353">
        <v>25</v>
      </c>
    </row>
    <row r="4354" spans="1:22" x14ac:dyDescent="0.35">
      <c r="A4354" s="3">
        <v>43993</v>
      </c>
      <c r="B4354" t="s">
        <v>46</v>
      </c>
      <c r="C4354">
        <v>27.5</v>
      </c>
      <c r="D4354">
        <v>31.85</v>
      </c>
      <c r="E4354">
        <v>27.3</v>
      </c>
      <c r="F4354">
        <v>31.75</v>
      </c>
      <c r="G4354">
        <v>31.675000000000001</v>
      </c>
      <c r="H4354">
        <v>4.4000000000000004</v>
      </c>
      <c r="I4354">
        <v>2787</v>
      </c>
      <c r="J4354">
        <v>0</v>
      </c>
      <c r="K4354">
        <v>3652</v>
      </c>
      <c r="L4354">
        <v>132</v>
      </c>
      <c r="M4354">
        <v>188</v>
      </c>
      <c r="N4354" t="s">
        <v>46</v>
      </c>
      <c r="O4354" s="3">
        <v>44181</v>
      </c>
      <c r="P4354">
        <v>-1</v>
      </c>
      <c r="T4354" t="s">
        <v>29</v>
      </c>
      <c r="U4354">
        <v>148</v>
      </c>
      <c r="V4354">
        <v>25.15</v>
      </c>
    </row>
    <row r="4355" spans="1:22" x14ac:dyDescent="0.35">
      <c r="A4355" s="3">
        <v>43993</v>
      </c>
      <c r="B4355" t="s">
        <v>45</v>
      </c>
      <c r="C4355">
        <v>27.65</v>
      </c>
      <c r="D4355">
        <v>31.55</v>
      </c>
      <c r="E4355">
        <v>27.3</v>
      </c>
      <c r="F4355">
        <v>31.55</v>
      </c>
      <c r="G4355">
        <v>31.35</v>
      </c>
      <c r="H4355">
        <v>4.0999999999999996</v>
      </c>
      <c r="I4355">
        <v>406</v>
      </c>
      <c r="J4355">
        <v>0</v>
      </c>
      <c r="K4355">
        <v>569</v>
      </c>
      <c r="L4355">
        <v>154</v>
      </c>
      <c r="M4355">
        <v>223</v>
      </c>
      <c r="N4355" t="s">
        <v>45</v>
      </c>
      <c r="O4355" s="3">
        <v>44216</v>
      </c>
      <c r="P4355">
        <v>-1</v>
      </c>
      <c r="T4355" t="s">
        <v>28</v>
      </c>
      <c r="U4355">
        <v>167</v>
      </c>
      <c r="V4355">
        <v>25.2</v>
      </c>
    </row>
    <row r="4356" spans="1:22" x14ac:dyDescent="0.35">
      <c r="A4356" s="3">
        <v>43993</v>
      </c>
      <c r="B4356" t="s">
        <v>44</v>
      </c>
      <c r="C4356">
        <v>29.45</v>
      </c>
      <c r="D4356">
        <v>29.45</v>
      </c>
      <c r="E4356">
        <v>29.41</v>
      </c>
      <c r="F4356">
        <v>29.41</v>
      </c>
      <c r="G4356">
        <v>29.75</v>
      </c>
      <c r="H4356">
        <v>2.75</v>
      </c>
      <c r="I4356">
        <v>3</v>
      </c>
      <c r="J4356">
        <v>0</v>
      </c>
      <c r="K4356">
        <v>4</v>
      </c>
      <c r="L4356">
        <v>173</v>
      </c>
      <c r="M4356">
        <v>251</v>
      </c>
      <c r="N4356" t="s">
        <v>44</v>
      </c>
      <c r="O4356" s="3">
        <v>44244</v>
      </c>
      <c r="P4356">
        <v>-1</v>
      </c>
      <c r="T4356" t="s">
        <v>36</v>
      </c>
      <c r="U4356">
        <v>2</v>
      </c>
      <c r="V4356">
        <v>16.617999999999999</v>
      </c>
    </row>
    <row r="4357" spans="1:22" x14ac:dyDescent="0.35">
      <c r="A4357" s="3">
        <v>43992</v>
      </c>
      <c r="B4357" t="s">
        <v>46</v>
      </c>
      <c r="C4357">
        <v>27.67</v>
      </c>
      <c r="D4357">
        <v>27.82</v>
      </c>
      <c r="E4357">
        <v>26.75</v>
      </c>
      <c r="F4357">
        <v>27.3</v>
      </c>
      <c r="G4357">
        <v>27.274999999999999</v>
      </c>
      <c r="H4357">
        <v>-0.4</v>
      </c>
      <c r="I4357">
        <v>831</v>
      </c>
      <c r="J4357">
        <v>0</v>
      </c>
      <c r="K4357">
        <v>3303</v>
      </c>
      <c r="L4357">
        <v>133</v>
      </c>
      <c r="M4357">
        <v>189</v>
      </c>
      <c r="N4357" t="s">
        <v>46</v>
      </c>
      <c r="O4357" s="3">
        <v>44181</v>
      </c>
      <c r="P4357">
        <v>-1</v>
      </c>
      <c r="T4357" t="s">
        <v>35</v>
      </c>
      <c r="U4357">
        <v>22</v>
      </c>
      <c r="V4357">
        <v>19.696200000000001</v>
      </c>
    </row>
    <row r="4358" spans="1:22" x14ac:dyDescent="0.35">
      <c r="A4358" s="3">
        <v>43992</v>
      </c>
      <c r="B4358" t="s">
        <v>45</v>
      </c>
      <c r="C4358">
        <v>27.25</v>
      </c>
      <c r="D4358">
        <v>27.7</v>
      </c>
      <c r="E4358">
        <v>26.8</v>
      </c>
      <c r="F4358">
        <v>27.3</v>
      </c>
      <c r="G4358">
        <v>27.25</v>
      </c>
      <c r="H4358">
        <v>-0.3</v>
      </c>
      <c r="I4358">
        <v>54</v>
      </c>
      <c r="J4358">
        <v>0</v>
      </c>
      <c r="K4358">
        <v>488</v>
      </c>
      <c r="L4358">
        <v>155</v>
      </c>
      <c r="M4358">
        <v>224</v>
      </c>
      <c r="N4358" t="s">
        <v>45</v>
      </c>
      <c r="O4358" s="3">
        <v>44216</v>
      </c>
      <c r="P4358">
        <v>-1</v>
      </c>
      <c r="T4358" t="s">
        <v>34</v>
      </c>
      <c r="U4358">
        <v>46</v>
      </c>
      <c r="V4358">
        <v>21.305399999999999</v>
      </c>
    </row>
    <row r="4359" spans="1:22" x14ac:dyDescent="0.35">
      <c r="A4359" s="3">
        <v>43992</v>
      </c>
      <c r="B4359" t="s">
        <v>44</v>
      </c>
      <c r="C4359">
        <v>27.05</v>
      </c>
      <c r="D4359">
        <v>27.09</v>
      </c>
      <c r="E4359">
        <v>27.02</v>
      </c>
      <c r="F4359">
        <v>27.02</v>
      </c>
      <c r="G4359">
        <v>27</v>
      </c>
      <c r="H4359">
        <v>0</v>
      </c>
      <c r="I4359">
        <v>4</v>
      </c>
      <c r="J4359">
        <v>0</v>
      </c>
      <c r="K4359">
        <v>3</v>
      </c>
      <c r="L4359">
        <v>174</v>
      </c>
      <c r="M4359">
        <v>252</v>
      </c>
      <c r="N4359" t="s">
        <v>44</v>
      </c>
      <c r="O4359" s="3">
        <v>44244</v>
      </c>
      <c r="P4359">
        <v>-1</v>
      </c>
      <c r="S4359" s="3">
        <v>44488</v>
      </c>
      <c r="T4359" t="s">
        <v>33</v>
      </c>
      <c r="U4359">
        <v>63</v>
      </c>
      <c r="V4359">
        <v>23.000399999999999</v>
      </c>
    </row>
    <row r="4360" spans="1:22" x14ac:dyDescent="0.35">
      <c r="A4360" s="3">
        <v>43992</v>
      </c>
      <c r="B4360" t="s">
        <v>49</v>
      </c>
      <c r="C4360">
        <v>29.23</v>
      </c>
      <c r="D4360">
        <v>29.41</v>
      </c>
      <c r="E4360">
        <v>28.17</v>
      </c>
      <c r="F4360">
        <v>28.97</v>
      </c>
      <c r="G4360">
        <v>28.925000000000001</v>
      </c>
      <c r="H4360">
        <v>-0.35</v>
      </c>
      <c r="I4360">
        <v>5871</v>
      </c>
      <c r="J4360">
        <v>0</v>
      </c>
      <c r="K4360">
        <v>17538</v>
      </c>
      <c r="L4360">
        <v>69</v>
      </c>
      <c r="M4360">
        <v>98</v>
      </c>
      <c r="N4360" t="s">
        <v>49</v>
      </c>
      <c r="O4360" s="3">
        <v>44090</v>
      </c>
      <c r="P4360">
        <v>-1</v>
      </c>
      <c r="T4360" t="s">
        <v>32</v>
      </c>
      <c r="U4360">
        <v>83</v>
      </c>
      <c r="V4360">
        <v>23.683</v>
      </c>
    </row>
    <row r="4361" spans="1:22" x14ac:dyDescent="0.35">
      <c r="A4361" s="3">
        <v>43992</v>
      </c>
      <c r="B4361" t="s">
        <v>51</v>
      </c>
      <c r="C4361">
        <v>29.35</v>
      </c>
      <c r="D4361">
        <v>29.77</v>
      </c>
      <c r="E4361">
        <v>27.85</v>
      </c>
      <c r="F4361">
        <v>29</v>
      </c>
      <c r="G4361">
        <v>29.024999999999999</v>
      </c>
      <c r="H4361">
        <v>-0.55000000000000004</v>
      </c>
      <c r="I4361">
        <v>67537</v>
      </c>
      <c r="J4361">
        <v>80</v>
      </c>
      <c r="K4361">
        <v>121047</v>
      </c>
      <c r="L4361">
        <v>30</v>
      </c>
      <c r="M4361">
        <v>42</v>
      </c>
      <c r="N4361" t="s">
        <v>51</v>
      </c>
      <c r="O4361" s="3">
        <v>44034</v>
      </c>
      <c r="P4361">
        <v>-1</v>
      </c>
      <c r="T4361" t="s">
        <v>31</v>
      </c>
      <c r="U4361">
        <v>101</v>
      </c>
      <c r="V4361">
        <v>24.4986</v>
      </c>
    </row>
    <row r="4362" spans="1:22" x14ac:dyDescent="0.35">
      <c r="A4362" s="3">
        <v>43992</v>
      </c>
      <c r="B4362" t="s">
        <v>48</v>
      </c>
      <c r="C4362">
        <v>31.1</v>
      </c>
      <c r="D4362">
        <v>31.27</v>
      </c>
      <c r="E4362">
        <v>30.1</v>
      </c>
      <c r="F4362">
        <v>30.75</v>
      </c>
      <c r="G4362">
        <v>30.725000000000001</v>
      </c>
      <c r="H4362">
        <v>-0.35</v>
      </c>
      <c r="I4362">
        <v>4333</v>
      </c>
      <c r="J4362">
        <v>0</v>
      </c>
      <c r="K4362">
        <v>20142</v>
      </c>
      <c r="L4362">
        <v>94</v>
      </c>
      <c r="M4362">
        <v>133</v>
      </c>
      <c r="N4362" t="s">
        <v>48</v>
      </c>
      <c r="O4362" s="3">
        <v>44125</v>
      </c>
      <c r="P4362">
        <v>-1</v>
      </c>
      <c r="T4362" t="s">
        <v>30</v>
      </c>
      <c r="U4362">
        <v>127</v>
      </c>
      <c r="V4362">
        <v>24.9283</v>
      </c>
    </row>
    <row r="4363" spans="1:22" x14ac:dyDescent="0.35">
      <c r="A4363" s="3">
        <v>43992</v>
      </c>
      <c r="B4363" t="s">
        <v>50</v>
      </c>
      <c r="C4363">
        <v>28.97</v>
      </c>
      <c r="D4363">
        <v>29.3</v>
      </c>
      <c r="E4363">
        <v>27.85</v>
      </c>
      <c r="F4363">
        <v>28.81</v>
      </c>
      <c r="G4363">
        <v>28.8</v>
      </c>
      <c r="H4363">
        <v>-0.3</v>
      </c>
      <c r="I4363">
        <v>13546</v>
      </c>
      <c r="J4363">
        <v>0</v>
      </c>
      <c r="K4363">
        <v>24403</v>
      </c>
      <c r="L4363">
        <v>50</v>
      </c>
      <c r="M4363">
        <v>70</v>
      </c>
      <c r="N4363" t="s">
        <v>50</v>
      </c>
      <c r="O4363" s="3">
        <v>44062</v>
      </c>
      <c r="P4363">
        <v>-1</v>
      </c>
      <c r="T4363" t="s">
        <v>29</v>
      </c>
      <c r="U4363">
        <v>147</v>
      </c>
      <c r="V4363">
        <v>25.1</v>
      </c>
    </row>
    <row r="4364" spans="1:22" x14ac:dyDescent="0.35">
      <c r="A4364" s="3">
        <v>43992</v>
      </c>
      <c r="B4364" t="s">
        <v>47</v>
      </c>
      <c r="C4364">
        <v>29.02</v>
      </c>
      <c r="D4364">
        <v>29.25</v>
      </c>
      <c r="E4364">
        <v>28.15</v>
      </c>
      <c r="F4364">
        <v>28.72</v>
      </c>
      <c r="G4364">
        <v>28.675000000000001</v>
      </c>
      <c r="H4364">
        <v>-0.4</v>
      </c>
      <c r="I4364">
        <v>2577</v>
      </c>
      <c r="J4364">
        <v>0</v>
      </c>
      <c r="K4364">
        <v>14646</v>
      </c>
      <c r="L4364">
        <v>114</v>
      </c>
      <c r="M4364">
        <v>161</v>
      </c>
      <c r="N4364" t="s">
        <v>47</v>
      </c>
      <c r="O4364" s="3">
        <v>44153</v>
      </c>
      <c r="P4364">
        <v>-1</v>
      </c>
      <c r="T4364" t="s">
        <v>28</v>
      </c>
      <c r="U4364">
        <v>166</v>
      </c>
      <c r="V4364">
        <v>25.175000000000001</v>
      </c>
    </row>
    <row r="4365" spans="1:22" x14ac:dyDescent="0.35">
      <c r="A4365" s="3">
        <v>43992</v>
      </c>
      <c r="B4365" t="s">
        <v>52</v>
      </c>
      <c r="C4365">
        <v>27.6</v>
      </c>
      <c r="D4365">
        <v>28.35</v>
      </c>
      <c r="E4365">
        <v>25.93</v>
      </c>
      <c r="F4365">
        <v>27.45</v>
      </c>
      <c r="G4365">
        <v>27.475000000000001</v>
      </c>
      <c r="H4365">
        <v>-0.15</v>
      </c>
      <c r="I4365">
        <v>70434</v>
      </c>
      <c r="J4365">
        <v>28</v>
      </c>
      <c r="K4365">
        <v>55905</v>
      </c>
      <c r="L4365">
        <v>5</v>
      </c>
      <c r="M4365">
        <v>7</v>
      </c>
      <c r="N4365" t="s">
        <v>52</v>
      </c>
      <c r="O4365" s="3">
        <v>43999</v>
      </c>
      <c r="P4365">
        <v>-1</v>
      </c>
      <c r="T4365" t="s">
        <v>36</v>
      </c>
      <c r="U4365">
        <v>1</v>
      </c>
      <c r="V4365">
        <v>15.964700000000001</v>
      </c>
    </row>
    <row r="4366" spans="1:22" x14ac:dyDescent="0.35">
      <c r="A4366" s="3">
        <v>43991</v>
      </c>
      <c r="B4366" t="s">
        <v>49</v>
      </c>
      <c r="C4366">
        <v>28.15</v>
      </c>
      <c r="D4366">
        <v>29.3</v>
      </c>
      <c r="E4366">
        <v>28.15</v>
      </c>
      <c r="F4366">
        <v>29.21</v>
      </c>
      <c r="G4366">
        <v>29.274999999999999</v>
      </c>
      <c r="H4366">
        <v>0.95</v>
      </c>
      <c r="I4366">
        <v>6014</v>
      </c>
      <c r="J4366">
        <v>0</v>
      </c>
      <c r="K4366">
        <v>17020</v>
      </c>
      <c r="L4366">
        <v>70</v>
      </c>
      <c r="M4366">
        <v>99</v>
      </c>
      <c r="N4366" t="s">
        <v>49</v>
      </c>
      <c r="O4366" s="3">
        <v>44090</v>
      </c>
      <c r="P4366">
        <v>-1</v>
      </c>
      <c r="T4366" t="s">
        <v>35</v>
      </c>
      <c r="U4366">
        <v>21</v>
      </c>
      <c r="V4366">
        <v>19.528700000000001</v>
      </c>
    </row>
    <row r="4367" spans="1:22" x14ac:dyDescent="0.35">
      <c r="A4367" s="3">
        <v>43991</v>
      </c>
      <c r="B4367" t="s">
        <v>51</v>
      </c>
      <c r="C4367">
        <v>27.85</v>
      </c>
      <c r="D4367">
        <v>29.57</v>
      </c>
      <c r="E4367">
        <v>27.8</v>
      </c>
      <c r="F4367">
        <v>29.38</v>
      </c>
      <c r="G4367">
        <v>29.574999999999999</v>
      </c>
      <c r="H4367">
        <v>1.65</v>
      </c>
      <c r="I4367">
        <v>59309</v>
      </c>
      <c r="J4367">
        <v>34</v>
      </c>
      <c r="K4367">
        <v>117076</v>
      </c>
      <c r="L4367">
        <v>31</v>
      </c>
      <c r="M4367">
        <v>43</v>
      </c>
      <c r="N4367" t="s">
        <v>51</v>
      </c>
      <c r="O4367" s="3">
        <v>44034</v>
      </c>
      <c r="P4367">
        <v>-1</v>
      </c>
      <c r="T4367" t="s">
        <v>34</v>
      </c>
      <c r="U4367">
        <v>45</v>
      </c>
      <c r="V4367">
        <v>21.315000000000001</v>
      </c>
    </row>
    <row r="4368" spans="1:22" x14ac:dyDescent="0.35">
      <c r="A4368" s="3">
        <v>43991</v>
      </c>
      <c r="B4368" t="s">
        <v>48</v>
      </c>
      <c r="C4368">
        <v>30.15</v>
      </c>
      <c r="D4368">
        <v>31.15</v>
      </c>
      <c r="E4368">
        <v>30.15</v>
      </c>
      <c r="F4368">
        <v>31.07</v>
      </c>
      <c r="G4368">
        <v>31.074999999999999</v>
      </c>
      <c r="H4368">
        <v>0.7</v>
      </c>
      <c r="I4368">
        <v>3796</v>
      </c>
      <c r="J4368">
        <v>0</v>
      </c>
      <c r="K4368">
        <v>19503</v>
      </c>
      <c r="L4368">
        <v>95</v>
      </c>
      <c r="M4368">
        <v>134</v>
      </c>
      <c r="N4368" t="s">
        <v>48</v>
      </c>
      <c r="O4368" s="3">
        <v>44125</v>
      </c>
      <c r="P4368">
        <v>-1</v>
      </c>
      <c r="S4368" s="3">
        <v>44489</v>
      </c>
      <c r="T4368" t="s">
        <v>33</v>
      </c>
      <c r="U4368">
        <v>62</v>
      </c>
      <c r="V4368">
        <v>22.7</v>
      </c>
    </row>
    <row r="4369" spans="1:22" x14ac:dyDescent="0.35">
      <c r="A4369" s="3">
        <v>43991</v>
      </c>
      <c r="B4369" t="s">
        <v>50</v>
      </c>
      <c r="C4369">
        <v>27.8</v>
      </c>
      <c r="D4369">
        <v>29.15</v>
      </c>
      <c r="E4369">
        <v>27.77</v>
      </c>
      <c r="F4369">
        <v>29</v>
      </c>
      <c r="G4369">
        <v>29.1</v>
      </c>
      <c r="H4369">
        <v>1.175</v>
      </c>
      <c r="I4369">
        <v>11993</v>
      </c>
      <c r="J4369">
        <v>0</v>
      </c>
      <c r="K4369">
        <v>23869</v>
      </c>
      <c r="L4369">
        <v>51</v>
      </c>
      <c r="M4369">
        <v>71</v>
      </c>
      <c r="N4369" t="s">
        <v>50</v>
      </c>
      <c r="O4369" s="3">
        <v>44062</v>
      </c>
      <c r="P4369">
        <v>-1</v>
      </c>
      <c r="T4369" t="s">
        <v>32</v>
      </c>
      <c r="U4369">
        <v>82</v>
      </c>
      <c r="V4369">
        <v>23.4526</v>
      </c>
    </row>
    <row r="4370" spans="1:22" x14ac:dyDescent="0.35">
      <c r="A4370" s="3">
        <v>43991</v>
      </c>
      <c r="B4370" t="s">
        <v>47</v>
      </c>
      <c r="C4370">
        <v>28.15</v>
      </c>
      <c r="D4370">
        <v>29.1</v>
      </c>
      <c r="E4370">
        <v>28.1</v>
      </c>
      <c r="F4370">
        <v>29.02</v>
      </c>
      <c r="G4370">
        <v>29.074999999999999</v>
      </c>
      <c r="H4370">
        <v>0.85</v>
      </c>
      <c r="I4370">
        <v>3029</v>
      </c>
      <c r="J4370">
        <v>0</v>
      </c>
      <c r="K4370">
        <v>14095</v>
      </c>
      <c r="L4370">
        <v>115</v>
      </c>
      <c r="M4370">
        <v>162</v>
      </c>
      <c r="N4370" t="s">
        <v>47</v>
      </c>
      <c r="O4370" s="3">
        <v>44153</v>
      </c>
      <c r="P4370">
        <v>-1</v>
      </c>
      <c r="T4370" t="s">
        <v>31</v>
      </c>
      <c r="U4370">
        <v>100</v>
      </c>
      <c r="V4370">
        <v>24.369900000000001</v>
      </c>
    </row>
    <row r="4371" spans="1:22" x14ac:dyDescent="0.35">
      <c r="A4371" s="3">
        <v>43991</v>
      </c>
      <c r="B4371" t="s">
        <v>52</v>
      </c>
      <c r="C4371">
        <v>26.05</v>
      </c>
      <c r="D4371">
        <v>27.8</v>
      </c>
      <c r="E4371">
        <v>25.96</v>
      </c>
      <c r="F4371">
        <v>27.55</v>
      </c>
      <c r="G4371">
        <v>27.625</v>
      </c>
      <c r="H4371">
        <v>1.6</v>
      </c>
      <c r="I4371">
        <v>60753</v>
      </c>
      <c r="J4371">
        <v>16</v>
      </c>
      <c r="K4371">
        <v>62733</v>
      </c>
      <c r="L4371">
        <v>6</v>
      </c>
      <c r="M4371">
        <v>8</v>
      </c>
      <c r="N4371" t="s">
        <v>52</v>
      </c>
      <c r="O4371" s="3">
        <v>43999</v>
      </c>
      <c r="P4371">
        <v>-1</v>
      </c>
      <c r="T4371" t="s">
        <v>30</v>
      </c>
      <c r="U4371">
        <v>126</v>
      </c>
      <c r="V4371">
        <v>24.767399999999999</v>
      </c>
    </row>
    <row r="4372" spans="1:22" x14ac:dyDescent="0.35">
      <c r="A4372" s="3">
        <v>43991</v>
      </c>
      <c r="B4372" t="s">
        <v>46</v>
      </c>
      <c r="C4372">
        <v>26.7</v>
      </c>
      <c r="D4372">
        <v>27.7</v>
      </c>
      <c r="E4372">
        <v>26.65</v>
      </c>
      <c r="F4372">
        <v>27.63</v>
      </c>
      <c r="G4372">
        <v>27.675000000000001</v>
      </c>
      <c r="H4372">
        <v>0.9</v>
      </c>
      <c r="I4372">
        <v>1482</v>
      </c>
      <c r="J4372">
        <v>0</v>
      </c>
      <c r="K4372">
        <v>3201</v>
      </c>
      <c r="L4372">
        <v>134</v>
      </c>
      <c r="M4372">
        <v>190</v>
      </c>
      <c r="N4372" t="s">
        <v>46</v>
      </c>
      <c r="O4372" s="3">
        <v>44181</v>
      </c>
      <c r="P4372">
        <v>-1</v>
      </c>
      <c r="T4372" t="s">
        <v>29</v>
      </c>
      <c r="U4372">
        <v>146</v>
      </c>
      <c r="V4372">
        <v>25.024999999999999</v>
      </c>
    </row>
    <row r="4373" spans="1:22" x14ac:dyDescent="0.35">
      <c r="A4373" s="3">
        <v>43991</v>
      </c>
      <c r="B4373" t="s">
        <v>45</v>
      </c>
      <c r="C4373">
        <v>27</v>
      </c>
      <c r="D4373">
        <v>27.55</v>
      </c>
      <c r="E4373">
        <v>26.6</v>
      </c>
      <c r="F4373">
        <v>27.5</v>
      </c>
      <c r="G4373">
        <v>27.55</v>
      </c>
      <c r="H4373">
        <v>0.82499999999999996</v>
      </c>
      <c r="I4373">
        <v>186</v>
      </c>
      <c r="J4373">
        <v>0</v>
      </c>
      <c r="K4373">
        <v>473</v>
      </c>
      <c r="L4373">
        <v>156</v>
      </c>
      <c r="M4373">
        <v>225</v>
      </c>
      <c r="N4373" t="s">
        <v>45</v>
      </c>
      <c r="O4373" s="3">
        <v>44216</v>
      </c>
      <c r="P4373">
        <v>-1</v>
      </c>
      <c r="T4373" t="s">
        <v>28</v>
      </c>
      <c r="U4373">
        <v>165</v>
      </c>
      <c r="V4373">
        <v>25.125</v>
      </c>
    </row>
    <row r="4374" spans="1:22" x14ac:dyDescent="0.35">
      <c r="A4374" s="3">
        <v>43990</v>
      </c>
      <c r="B4374" t="s">
        <v>46</v>
      </c>
      <c r="C4374">
        <v>26.34</v>
      </c>
      <c r="D4374">
        <v>26.8</v>
      </c>
      <c r="E4374">
        <v>26.12</v>
      </c>
      <c r="F4374">
        <v>26.65</v>
      </c>
      <c r="G4374">
        <v>26.774999999999999</v>
      </c>
      <c r="H4374">
        <v>0.45</v>
      </c>
      <c r="I4374">
        <v>1032</v>
      </c>
      <c r="J4374">
        <v>0</v>
      </c>
      <c r="K4374">
        <v>2899</v>
      </c>
      <c r="L4374">
        <v>135</v>
      </c>
      <c r="M4374">
        <v>191</v>
      </c>
      <c r="N4374" t="s">
        <v>46</v>
      </c>
      <c r="O4374" s="3">
        <v>44181</v>
      </c>
      <c r="P4374">
        <v>-1</v>
      </c>
      <c r="T4374" t="s">
        <v>36</v>
      </c>
      <c r="U4374">
        <v>0</v>
      </c>
      <c r="V4374">
        <v>15.35</v>
      </c>
    </row>
    <row r="4375" spans="1:22" x14ac:dyDescent="0.35">
      <c r="A4375" s="3">
        <v>43990</v>
      </c>
      <c r="B4375" t="s">
        <v>45</v>
      </c>
      <c r="C4375">
        <v>26.3</v>
      </c>
      <c r="D4375">
        <v>26.75</v>
      </c>
      <c r="E4375">
        <v>26.23</v>
      </c>
      <c r="F4375">
        <v>26.75</v>
      </c>
      <c r="G4375">
        <v>26.725000000000001</v>
      </c>
      <c r="H4375">
        <v>0.27500000000000002</v>
      </c>
      <c r="I4375">
        <v>113</v>
      </c>
      <c r="J4375">
        <v>0</v>
      </c>
      <c r="K4375">
        <v>405</v>
      </c>
      <c r="L4375">
        <v>157</v>
      </c>
      <c r="M4375">
        <v>226</v>
      </c>
      <c r="N4375" t="s">
        <v>45</v>
      </c>
      <c r="O4375" s="3">
        <v>44216</v>
      </c>
      <c r="P4375">
        <v>-1</v>
      </c>
      <c r="T4375" t="s">
        <v>35</v>
      </c>
      <c r="U4375">
        <v>20</v>
      </c>
      <c r="V4375">
        <v>19.3155</v>
      </c>
    </row>
    <row r="4376" spans="1:22" x14ac:dyDescent="0.35">
      <c r="A4376" s="3">
        <v>43990</v>
      </c>
      <c r="B4376" t="s">
        <v>49</v>
      </c>
      <c r="C4376">
        <v>27.55</v>
      </c>
      <c r="D4376">
        <v>28.34</v>
      </c>
      <c r="E4376">
        <v>27.35</v>
      </c>
      <c r="F4376">
        <v>28.2</v>
      </c>
      <c r="G4376">
        <v>28.324999999999999</v>
      </c>
      <c r="H4376">
        <v>0.65</v>
      </c>
      <c r="I4376">
        <v>4980</v>
      </c>
      <c r="J4376">
        <v>0</v>
      </c>
      <c r="K4376">
        <v>17151</v>
      </c>
      <c r="L4376">
        <v>71</v>
      </c>
      <c r="M4376">
        <v>100</v>
      </c>
      <c r="N4376" t="s">
        <v>49</v>
      </c>
      <c r="O4376" s="3">
        <v>44090</v>
      </c>
      <c r="P4376">
        <v>-1</v>
      </c>
      <c r="T4376" t="s">
        <v>34</v>
      </c>
      <c r="U4376">
        <v>44</v>
      </c>
      <c r="V4376">
        <v>21.051100000000002</v>
      </c>
    </row>
    <row r="4377" spans="1:22" x14ac:dyDescent="0.35">
      <c r="A4377" s="3">
        <v>43990</v>
      </c>
      <c r="B4377" t="s">
        <v>51</v>
      </c>
      <c r="C4377">
        <v>27.05</v>
      </c>
      <c r="D4377">
        <v>27.97</v>
      </c>
      <c r="E4377">
        <v>26.75</v>
      </c>
      <c r="F4377">
        <v>27.87</v>
      </c>
      <c r="G4377">
        <v>27.925000000000001</v>
      </c>
      <c r="H4377">
        <v>0.75</v>
      </c>
      <c r="I4377">
        <v>43157</v>
      </c>
      <c r="J4377">
        <v>0</v>
      </c>
      <c r="K4377">
        <v>107050</v>
      </c>
      <c r="L4377">
        <v>32</v>
      </c>
      <c r="M4377">
        <v>44</v>
      </c>
      <c r="N4377" t="s">
        <v>51</v>
      </c>
      <c r="O4377" s="3">
        <v>44034</v>
      </c>
      <c r="P4377">
        <v>-1</v>
      </c>
      <c r="S4377" s="3">
        <v>44490</v>
      </c>
      <c r="T4377" t="s">
        <v>33</v>
      </c>
      <c r="U4377">
        <v>61</v>
      </c>
      <c r="V4377">
        <v>22.350200000000001</v>
      </c>
    </row>
    <row r="4378" spans="1:22" x14ac:dyDescent="0.35">
      <c r="A4378" s="3">
        <v>43990</v>
      </c>
      <c r="B4378" t="s">
        <v>48</v>
      </c>
      <c r="C4378">
        <v>29.61</v>
      </c>
      <c r="D4378">
        <v>30.36</v>
      </c>
      <c r="E4378">
        <v>29.45</v>
      </c>
      <c r="F4378">
        <v>30.15</v>
      </c>
      <c r="G4378">
        <v>30.375</v>
      </c>
      <c r="H4378">
        <v>0.7</v>
      </c>
      <c r="I4378">
        <v>3392</v>
      </c>
      <c r="J4378">
        <v>0</v>
      </c>
      <c r="K4378">
        <v>18812</v>
      </c>
      <c r="L4378">
        <v>96</v>
      </c>
      <c r="M4378">
        <v>135</v>
      </c>
      <c r="N4378" t="s">
        <v>48</v>
      </c>
      <c r="O4378" s="3">
        <v>44125</v>
      </c>
      <c r="P4378">
        <v>-1</v>
      </c>
      <c r="T4378" t="s">
        <v>32</v>
      </c>
      <c r="U4378">
        <v>81</v>
      </c>
      <c r="V4378">
        <v>23.2</v>
      </c>
    </row>
    <row r="4379" spans="1:22" x14ac:dyDescent="0.35">
      <c r="A4379" s="3">
        <v>43990</v>
      </c>
      <c r="B4379" t="s">
        <v>50</v>
      </c>
      <c r="C4379">
        <v>27.13</v>
      </c>
      <c r="D4379">
        <v>27.95</v>
      </c>
      <c r="E4379">
        <v>26.85</v>
      </c>
      <c r="F4379">
        <v>27.82</v>
      </c>
      <c r="G4379">
        <v>27.925000000000001</v>
      </c>
      <c r="H4379">
        <v>0.7</v>
      </c>
      <c r="I4379">
        <v>9156</v>
      </c>
      <c r="J4379">
        <v>0</v>
      </c>
      <c r="K4379">
        <v>23203</v>
      </c>
      <c r="L4379">
        <v>52</v>
      </c>
      <c r="M4379">
        <v>72</v>
      </c>
      <c r="N4379" t="s">
        <v>50</v>
      </c>
      <c r="O4379" s="3">
        <v>44062</v>
      </c>
      <c r="P4379">
        <v>-1</v>
      </c>
      <c r="T4379" t="s">
        <v>31</v>
      </c>
      <c r="U4379">
        <v>99</v>
      </c>
      <c r="V4379">
        <v>24.1173</v>
      </c>
    </row>
    <row r="4380" spans="1:22" x14ac:dyDescent="0.35">
      <c r="A4380" s="3">
        <v>43990</v>
      </c>
      <c r="B4380" t="s">
        <v>44</v>
      </c>
      <c r="C4380">
        <v>26.74</v>
      </c>
      <c r="D4380">
        <v>26.8</v>
      </c>
      <c r="E4380">
        <v>26.73</v>
      </c>
      <c r="F4380">
        <v>26.73</v>
      </c>
      <c r="G4380">
        <v>26.35</v>
      </c>
      <c r="H4380">
        <v>-0.2</v>
      </c>
      <c r="I4380">
        <v>4</v>
      </c>
      <c r="J4380">
        <v>0</v>
      </c>
      <c r="K4380">
        <v>3</v>
      </c>
      <c r="L4380">
        <v>176</v>
      </c>
      <c r="M4380">
        <v>254</v>
      </c>
      <c r="N4380" t="s">
        <v>44</v>
      </c>
      <c r="O4380" s="3">
        <v>44244</v>
      </c>
      <c r="P4380">
        <v>-1</v>
      </c>
      <c r="T4380" t="s">
        <v>30</v>
      </c>
      <c r="U4380">
        <v>125</v>
      </c>
      <c r="V4380">
        <v>24.590900000000001</v>
      </c>
    </row>
    <row r="4381" spans="1:22" x14ac:dyDescent="0.35">
      <c r="A4381" s="3">
        <v>43990</v>
      </c>
      <c r="B4381" t="s">
        <v>47</v>
      </c>
      <c r="C4381">
        <v>27.5</v>
      </c>
      <c r="D4381">
        <v>28.25</v>
      </c>
      <c r="E4381">
        <v>27.5</v>
      </c>
      <c r="F4381">
        <v>28</v>
      </c>
      <c r="G4381">
        <v>28.225000000000001</v>
      </c>
      <c r="H4381">
        <v>0.55000000000000004</v>
      </c>
      <c r="I4381">
        <v>2281</v>
      </c>
      <c r="J4381">
        <v>0</v>
      </c>
      <c r="K4381">
        <v>13609</v>
      </c>
      <c r="L4381">
        <v>116</v>
      </c>
      <c r="M4381">
        <v>163</v>
      </c>
      <c r="N4381" t="s">
        <v>47</v>
      </c>
      <c r="O4381" s="3">
        <v>44153</v>
      </c>
      <c r="P4381">
        <v>-1</v>
      </c>
      <c r="T4381" t="s">
        <v>29</v>
      </c>
      <c r="U4381">
        <v>145</v>
      </c>
      <c r="V4381">
        <v>24.81</v>
      </c>
    </row>
    <row r="4382" spans="1:22" x14ac:dyDescent="0.35">
      <c r="A4382" s="3">
        <v>43990</v>
      </c>
      <c r="B4382" t="s">
        <v>52</v>
      </c>
      <c r="C4382">
        <v>25.35</v>
      </c>
      <c r="D4382">
        <v>26.25</v>
      </c>
      <c r="E4382">
        <v>24.95</v>
      </c>
      <c r="F4382">
        <v>26.07</v>
      </c>
      <c r="G4382">
        <v>26.024999999999999</v>
      </c>
      <c r="H4382">
        <v>0.7</v>
      </c>
      <c r="I4382">
        <v>43119</v>
      </c>
      <c r="J4382">
        <v>0</v>
      </c>
      <c r="K4382">
        <v>70832</v>
      </c>
      <c r="L4382">
        <v>7</v>
      </c>
      <c r="M4382">
        <v>9</v>
      </c>
      <c r="N4382" t="s">
        <v>52</v>
      </c>
      <c r="O4382" s="3">
        <v>43999</v>
      </c>
      <c r="P4382">
        <v>-1</v>
      </c>
      <c r="T4382" t="s">
        <v>28</v>
      </c>
      <c r="U4382">
        <v>164</v>
      </c>
      <c r="V4382">
        <v>24.95</v>
      </c>
    </row>
    <row r="4383" spans="1:22" x14ac:dyDescent="0.35">
      <c r="A4383" s="3">
        <v>43987</v>
      </c>
      <c r="B4383" t="s">
        <v>49</v>
      </c>
      <c r="C4383">
        <v>29.05</v>
      </c>
      <c r="D4383">
        <v>29.15</v>
      </c>
      <c r="E4383">
        <v>27.6</v>
      </c>
      <c r="F4383">
        <v>27.7</v>
      </c>
      <c r="G4383">
        <v>27.675000000000001</v>
      </c>
      <c r="H4383">
        <v>-1.4</v>
      </c>
      <c r="I4383">
        <v>5538</v>
      </c>
      <c r="J4383">
        <v>0</v>
      </c>
      <c r="K4383">
        <v>16770</v>
      </c>
      <c r="L4383">
        <v>72</v>
      </c>
      <c r="M4383">
        <v>103</v>
      </c>
      <c r="N4383" t="s">
        <v>49</v>
      </c>
      <c r="O4383" s="3">
        <v>44090</v>
      </c>
      <c r="P4383">
        <v>-1</v>
      </c>
      <c r="T4383" t="s">
        <v>35</v>
      </c>
      <c r="U4383">
        <v>19</v>
      </c>
      <c r="V4383">
        <v>18.697700000000001</v>
      </c>
    </row>
    <row r="4384" spans="1:22" x14ac:dyDescent="0.35">
      <c r="A4384" s="3">
        <v>43987</v>
      </c>
      <c r="B4384" t="s">
        <v>51</v>
      </c>
      <c r="C4384">
        <v>28.67</v>
      </c>
      <c r="D4384">
        <v>28.85</v>
      </c>
      <c r="E4384">
        <v>27</v>
      </c>
      <c r="F4384">
        <v>27.21</v>
      </c>
      <c r="G4384">
        <v>27.175000000000001</v>
      </c>
      <c r="H4384">
        <v>-1.55</v>
      </c>
      <c r="I4384">
        <v>57181</v>
      </c>
      <c r="J4384">
        <v>541</v>
      </c>
      <c r="K4384">
        <v>96269</v>
      </c>
      <c r="L4384">
        <v>33</v>
      </c>
      <c r="M4384">
        <v>47</v>
      </c>
      <c r="N4384" t="s">
        <v>51</v>
      </c>
      <c r="O4384" s="3">
        <v>44034</v>
      </c>
      <c r="P4384">
        <v>-1</v>
      </c>
      <c r="T4384" t="s">
        <v>34</v>
      </c>
      <c r="U4384">
        <v>43</v>
      </c>
      <c r="V4384">
        <v>20.650400000000001</v>
      </c>
    </row>
    <row r="4385" spans="1:22" x14ac:dyDescent="0.35">
      <c r="A4385" s="3">
        <v>43987</v>
      </c>
      <c r="B4385" t="s">
        <v>48</v>
      </c>
      <c r="C4385">
        <v>31</v>
      </c>
      <c r="D4385">
        <v>31.05</v>
      </c>
      <c r="E4385">
        <v>29.59</v>
      </c>
      <c r="F4385">
        <v>29.65</v>
      </c>
      <c r="G4385">
        <v>29.675000000000001</v>
      </c>
      <c r="H4385">
        <v>-1.3</v>
      </c>
      <c r="I4385">
        <v>4230</v>
      </c>
      <c r="J4385">
        <v>0</v>
      </c>
      <c r="K4385">
        <v>18583</v>
      </c>
      <c r="L4385">
        <v>97</v>
      </c>
      <c r="M4385">
        <v>138</v>
      </c>
      <c r="N4385" t="s">
        <v>48</v>
      </c>
      <c r="O4385" s="3">
        <v>44125</v>
      </c>
      <c r="P4385">
        <v>-1</v>
      </c>
      <c r="S4385" s="3">
        <v>44491</v>
      </c>
      <c r="T4385" t="s">
        <v>33</v>
      </c>
      <c r="U4385">
        <v>60</v>
      </c>
      <c r="V4385">
        <v>22.725200000000001</v>
      </c>
    </row>
    <row r="4386" spans="1:22" x14ac:dyDescent="0.35">
      <c r="A4386" s="3">
        <v>43987</v>
      </c>
      <c r="B4386" t="s">
        <v>50</v>
      </c>
      <c r="C4386">
        <v>28.7</v>
      </c>
      <c r="D4386">
        <v>28.75</v>
      </c>
      <c r="E4386">
        <v>27.1</v>
      </c>
      <c r="F4386">
        <v>27.25</v>
      </c>
      <c r="G4386">
        <v>27.225000000000001</v>
      </c>
      <c r="H4386">
        <v>-1.45</v>
      </c>
      <c r="I4386">
        <v>13403</v>
      </c>
      <c r="J4386">
        <v>0</v>
      </c>
      <c r="K4386">
        <v>22837</v>
      </c>
      <c r="L4386">
        <v>53</v>
      </c>
      <c r="M4386">
        <v>75</v>
      </c>
      <c r="N4386" t="s">
        <v>50</v>
      </c>
      <c r="O4386" s="3">
        <v>44062</v>
      </c>
      <c r="P4386">
        <v>-1</v>
      </c>
      <c r="T4386" t="s">
        <v>32</v>
      </c>
      <c r="U4386">
        <v>80</v>
      </c>
      <c r="V4386">
        <v>23.4862</v>
      </c>
    </row>
    <row r="4387" spans="1:22" x14ac:dyDescent="0.35">
      <c r="A4387" s="3">
        <v>43987</v>
      </c>
      <c r="B4387" t="s">
        <v>47</v>
      </c>
      <c r="C4387">
        <v>28.9</v>
      </c>
      <c r="D4387">
        <v>29</v>
      </c>
      <c r="E4387">
        <v>27.6</v>
      </c>
      <c r="F4387">
        <v>27.71</v>
      </c>
      <c r="G4387">
        <v>27.675000000000001</v>
      </c>
      <c r="H4387">
        <v>-1.2749999999999999</v>
      </c>
      <c r="I4387">
        <v>2037</v>
      </c>
      <c r="J4387">
        <v>0</v>
      </c>
      <c r="K4387">
        <v>13009</v>
      </c>
      <c r="L4387">
        <v>117</v>
      </c>
      <c r="M4387">
        <v>166</v>
      </c>
      <c r="N4387" t="s">
        <v>47</v>
      </c>
      <c r="O4387" s="3">
        <v>44153</v>
      </c>
      <c r="P4387">
        <v>-1</v>
      </c>
      <c r="T4387" t="s">
        <v>31</v>
      </c>
      <c r="U4387">
        <v>98</v>
      </c>
      <c r="V4387">
        <v>24.368200000000002</v>
      </c>
    </row>
    <row r="4388" spans="1:22" x14ac:dyDescent="0.35">
      <c r="A4388" s="3">
        <v>43987</v>
      </c>
      <c r="B4388" t="s">
        <v>52</v>
      </c>
      <c r="C4388">
        <v>26.7</v>
      </c>
      <c r="D4388">
        <v>26.9</v>
      </c>
      <c r="E4388">
        <v>24.8</v>
      </c>
      <c r="F4388">
        <v>25.42</v>
      </c>
      <c r="G4388">
        <v>25.324999999999999</v>
      </c>
      <c r="H4388">
        <v>-1.4</v>
      </c>
      <c r="I4388">
        <v>63921</v>
      </c>
      <c r="J4388">
        <v>395</v>
      </c>
      <c r="K4388">
        <v>76012</v>
      </c>
      <c r="L4388">
        <v>8</v>
      </c>
      <c r="M4388">
        <v>12</v>
      </c>
      <c r="N4388" t="s">
        <v>52</v>
      </c>
      <c r="O4388" s="3">
        <v>43999</v>
      </c>
      <c r="P4388">
        <v>-1</v>
      </c>
      <c r="T4388" t="s">
        <v>30</v>
      </c>
      <c r="U4388">
        <v>124</v>
      </c>
      <c r="V4388">
        <v>24.8</v>
      </c>
    </row>
    <row r="4389" spans="1:22" x14ac:dyDescent="0.35">
      <c r="A4389" s="3">
        <v>43987</v>
      </c>
      <c r="B4389" t="s">
        <v>46</v>
      </c>
      <c r="C4389">
        <v>27.4</v>
      </c>
      <c r="D4389">
        <v>27.4</v>
      </c>
      <c r="E4389">
        <v>26.27</v>
      </c>
      <c r="F4389">
        <v>26.35</v>
      </c>
      <c r="G4389">
        <v>26.324999999999999</v>
      </c>
      <c r="H4389">
        <v>-1.075</v>
      </c>
      <c r="I4389">
        <v>919</v>
      </c>
      <c r="J4389">
        <v>0</v>
      </c>
      <c r="K4389">
        <v>2629</v>
      </c>
      <c r="L4389">
        <v>136</v>
      </c>
      <c r="M4389">
        <v>194</v>
      </c>
      <c r="N4389" t="s">
        <v>46</v>
      </c>
      <c r="O4389" s="3">
        <v>44181</v>
      </c>
      <c r="P4389">
        <v>-1</v>
      </c>
      <c r="T4389" t="s">
        <v>29</v>
      </c>
      <c r="U4389">
        <v>144</v>
      </c>
      <c r="V4389">
        <v>25.05</v>
      </c>
    </row>
    <row r="4390" spans="1:22" x14ac:dyDescent="0.35">
      <c r="A4390" s="3">
        <v>43987</v>
      </c>
      <c r="B4390" t="s">
        <v>45</v>
      </c>
      <c r="C4390">
        <v>27.2</v>
      </c>
      <c r="D4390">
        <v>27.3</v>
      </c>
      <c r="E4390">
        <v>26.4</v>
      </c>
      <c r="F4390">
        <v>26.4</v>
      </c>
      <c r="G4390">
        <v>26.45</v>
      </c>
      <c r="H4390">
        <v>-0.92500000000000004</v>
      </c>
      <c r="I4390">
        <v>91</v>
      </c>
      <c r="J4390">
        <v>0</v>
      </c>
      <c r="K4390">
        <v>389</v>
      </c>
      <c r="L4390">
        <v>158</v>
      </c>
      <c r="M4390">
        <v>229</v>
      </c>
      <c r="N4390" t="s">
        <v>45</v>
      </c>
      <c r="O4390" s="3">
        <v>44216</v>
      </c>
      <c r="P4390">
        <v>-1</v>
      </c>
      <c r="T4390" t="s">
        <v>28</v>
      </c>
      <c r="U4390">
        <v>163</v>
      </c>
      <c r="V4390">
        <v>25.125</v>
      </c>
    </row>
    <row r="4391" spans="1:22" x14ac:dyDescent="0.35">
      <c r="A4391" s="3">
        <v>43986</v>
      </c>
      <c r="B4391" t="s">
        <v>46</v>
      </c>
      <c r="C4391">
        <v>27.6</v>
      </c>
      <c r="D4391">
        <v>27.8</v>
      </c>
      <c r="E4391">
        <v>27.1</v>
      </c>
      <c r="F4391">
        <v>27.4</v>
      </c>
      <c r="G4391">
        <v>27.4</v>
      </c>
      <c r="H4391">
        <v>-0.17499999999999999</v>
      </c>
      <c r="I4391">
        <v>493</v>
      </c>
      <c r="J4391">
        <v>0</v>
      </c>
      <c r="K4391">
        <v>2560</v>
      </c>
      <c r="L4391">
        <v>137</v>
      </c>
      <c r="M4391">
        <v>195</v>
      </c>
      <c r="N4391" t="s">
        <v>46</v>
      </c>
      <c r="O4391" s="3">
        <v>44181</v>
      </c>
      <c r="P4391">
        <v>-1</v>
      </c>
      <c r="T4391" t="s">
        <v>35</v>
      </c>
      <c r="U4391">
        <v>18</v>
      </c>
      <c r="V4391">
        <v>19.101600000000001</v>
      </c>
    </row>
    <row r="4392" spans="1:22" x14ac:dyDescent="0.35">
      <c r="A4392" s="3">
        <v>43986</v>
      </c>
      <c r="B4392" t="s">
        <v>45</v>
      </c>
      <c r="C4392">
        <v>27.7</v>
      </c>
      <c r="D4392">
        <v>27.71</v>
      </c>
      <c r="E4392">
        <v>27.2</v>
      </c>
      <c r="F4392">
        <v>27.45</v>
      </c>
      <c r="G4392">
        <v>27.375</v>
      </c>
      <c r="H4392">
        <v>-0.2</v>
      </c>
      <c r="I4392">
        <v>57</v>
      </c>
      <c r="J4392">
        <v>0</v>
      </c>
      <c r="K4392">
        <v>359</v>
      </c>
      <c r="L4392">
        <v>159</v>
      </c>
      <c r="M4392">
        <v>230</v>
      </c>
      <c r="N4392" t="s">
        <v>45</v>
      </c>
      <c r="O4392" s="3">
        <v>44216</v>
      </c>
      <c r="P4392">
        <v>-1</v>
      </c>
      <c r="T4392" t="s">
        <v>34</v>
      </c>
      <c r="U4392">
        <v>42</v>
      </c>
      <c r="V4392">
        <v>21.100100000000001</v>
      </c>
    </row>
    <row r="4393" spans="1:22" x14ac:dyDescent="0.35">
      <c r="A4393" s="3">
        <v>43986</v>
      </c>
      <c r="B4393" t="s">
        <v>44</v>
      </c>
      <c r="C4393">
        <v>27.3</v>
      </c>
      <c r="D4393">
        <v>27.3</v>
      </c>
      <c r="E4393">
        <v>27.3</v>
      </c>
      <c r="F4393">
        <v>27.3</v>
      </c>
      <c r="G4393">
        <v>27.25</v>
      </c>
      <c r="H4393">
        <v>-0.7</v>
      </c>
      <c r="I4393">
        <v>1</v>
      </c>
      <c r="J4393">
        <v>0</v>
      </c>
      <c r="K4393">
        <v>1</v>
      </c>
      <c r="L4393">
        <v>178</v>
      </c>
      <c r="M4393">
        <v>258</v>
      </c>
      <c r="N4393" t="s">
        <v>44</v>
      </c>
      <c r="O4393" s="3">
        <v>44244</v>
      </c>
      <c r="P4393">
        <v>-1</v>
      </c>
      <c r="S4393" s="3">
        <v>44494</v>
      </c>
      <c r="T4393" t="s">
        <v>33</v>
      </c>
      <c r="U4393">
        <v>59</v>
      </c>
      <c r="V4393">
        <v>22.2</v>
      </c>
    </row>
    <row r="4394" spans="1:22" x14ac:dyDescent="0.35">
      <c r="A4394" s="3">
        <v>43986</v>
      </c>
      <c r="B4394" t="s">
        <v>49</v>
      </c>
      <c r="C4394">
        <v>29.45</v>
      </c>
      <c r="D4394">
        <v>29.65</v>
      </c>
      <c r="E4394">
        <v>28.6</v>
      </c>
      <c r="F4394">
        <v>29</v>
      </c>
      <c r="G4394">
        <v>29.074999999999999</v>
      </c>
      <c r="H4394">
        <v>-0.25</v>
      </c>
      <c r="I4394">
        <v>2944</v>
      </c>
      <c r="J4394">
        <v>0</v>
      </c>
      <c r="K4394">
        <v>17463</v>
      </c>
      <c r="L4394">
        <v>73</v>
      </c>
      <c r="M4394">
        <v>104</v>
      </c>
      <c r="N4394" t="s">
        <v>49</v>
      </c>
      <c r="O4394" s="3">
        <v>44090</v>
      </c>
      <c r="P4394">
        <v>-1</v>
      </c>
      <c r="T4394" t="s">
        <v>32</v>
      </c>
      <c r="U4394">
        <v>79</v>
      </c>
      <c r="V4394">
        <v>23.05</v>
      </c>
    </row>
    <row r="4395" spans="1:22" x14ac:dyDescent="0.35">
      <c r="A4395" s="3">
        <v>43986</v>
      </c>
      <c r="B4395" t="s">
        <v>51</v>
      </c>
      <c r="C4395">
        <v>29.15</v>
      </c>
      <c r="D4395">
        <v>29.5</v>
      </c>
      <c r="E4395">
        <v>28</v>
      </c>
      <c r="F4395">
        <v>28.6</v>
      </c>
      <c r="G4395">
        <v>28.725000000000001</v>
      </c>
      <c r="H4395">
        <v>-0.35</v>
      </c>
      <c r="I4395">
        <v>55328</v>
      </c>
      <c r="J4395">
        <v>962</v>
      </c>
      <c r="K4395">
        <v>90568</v>
      </c>
      <c r="L4395">
        <v>34</v>
      </c>
      <c r="M4395">
        <v>48</v>
      </c>
      <c r="N4395" t="s">
        <v>51</v>
      </c>
      <c r="O4395" s="3">
        <v>44034</v>
      </c>
      <c r="P4395">
        <v>-1</v>
      </c>
      <c r="T4395" t="s">
        <v>31</v>
      </c>
      <c r="U4395">
        <v>97</v>
      </c>
      <c r="V4395">
        <v>23.9026</v>
      </c>
    </row>
    <row r="4396" spans="1:22" x14ac:dyDescent="0.35">
      <c r="A4396" s="3">
        <v>43986</v>
      </c>
      <c r="B4396" t="s">
        <v>48</v>
      </c>
      <c r="C4396">
        <v>31.3</v>
      </c>
      <c r="D4396">
        <v>31.5</v>
      </c>
      <c r="E4396">
        <v>30.6</v>
      </c>
      <c r="F4396">
        <v>30.88</v>
      </c>
      <c r="G4396">
        <v>30.975000000000001</v>
      </c>
      <c r="H4396">
        <v>-0.15</v>
      </c>
      <c r="I4396">
        <v>2505</v>
      </c>
      <c r="J4396">
        <v>0</v>
      </c>
      <c r="K4396">
        <v>18446</v>
      </c>
      <c r="L4396">
        <v>98</v>
      </c>
      <c r="M4396">
        <v>139</v>
      </c>
      <c r="N4396" t="s">
        <v>48</v>
      </c>
      <c r="O4396" s="3">
        <v>44125</v>
      </c>
      <c r="P4396">
        <v>-1</v>
      </c>
      <c r="T4396" t="s">
        <v>30</v>
      </c>
      <c r="U4396">
        <v>123</v>
      </c>
      <c r="V4396">
        <v>24.4</v>
      </c>
    </row>
    <row r="4397" spans="1:22" x14ac:dyDescent="0.35">
      <c r="A4397" s="3">
        <v>43986</v>
      </c>
      <c r="B4397" t="s">
        <v>50</v>
      </c>
      <c r="C4397">
        <v>29.2</v>
      </c>
      <c r="D4397">
        <v>29.37</v>
      </c>
      <c r="E4397">
        <v>28.1</v>
      </c>
      <c r="F4397">
        <v>28.6</v>
      </c>
      <c r="G4397">
        <v>28.675000000000001</v>
      </c>
      <c r="H4397">
        <v>-0.35</v>
      </c>
      <c r="I4397">
        <v>11111</v>
      </c>
      <c r="J4397">
        <v>0</v>
      </c>
      <c r="K4397">
        <v>20623</v>
      </c>
      <c r="L4397">
        <v>54</v>
      </c>
      <c r="M4397">
        <v>76</v>
      </c>
      <c r="N4397" t="s">
        <v>50</v>
      </c>
      <c r="O4397" s="3">
        <v>44062</v>
      </c>
      <c r="P4397">
        <v>-1</v>
      </c>
      <c r="T4397" t="s">
        <v>29</v>
      </c>
      <c r="U4397">
        <v>143</v>
      </c>
      <c r="V4397">
        <v>24.6</v>
      </c>
    </row>
    <row r="4398" spans="1:22" x14ac:dyDescent="0.35">
      <c r="A4398" s="3">
        <v>43986</v>
      </c>
      <c r="B4398" t="s">
        <v>47</v>
      </c>
      <c r="C4398">
        <v>29.25</v>
      </c>
      <c r="D4398">
        <v>29.45</v>
      </c>
      <c r="E4398">
        <v>28.6</v>
      </c>
      <c r="F4398">
        <v>28.87</v>
      </c>
      <c r="G4398">
        <v>28.95</v>
      </c>
      <c r="H4398">
        <v>-0.15</v>
      </c>
      <c r="I4398">
        <v>1461</v>
      </c>
      <c r="J4398">
        <v>0</v>
      </c>
      <c r="K4398">
        <v>12836</v>
      </c>
      <c r="L4398">
        <v>118</v>
      </c>
      <c r="M4398">
        <v>167</v>
      </c>
      <c r="N4398" t="s">
        <v>47</v>
      </c>
      <c r="O4398" s="3">
        <v>44153</v>
      </c>
      <c r="P4398">
        <v>-1</v>
      </c>
      <c r="T4398" t="s">
        <v>28</v>
      </c>
      <c r="U4398">
        <v>162</v>
      </c>
      <c r="V4398">
        <v>24.75</v>
      </c>
    </row>
    <row r="4399" spans="1:22" x14ac:dyDescent="0.35">
      <c r="A4399" s="3">
        <v>43986</v>
      </c>
      <c r="B4399" t="s">
        <v>52</v>
      </c>
      <c r="C4399">
        <v>27.1</v>
      </c>
      <c r="D4399">
        <v>27.7</v>
      </c>
      <c r="E4399">
        <v>25.8</v>
      </c>
      <c r="F4399">
        <v>26.65</v>
      </c>
      <c r="G4399">
        <v>26.725000000000001</v>
      </c>
      <c r="H4399">
        <v>-0.27500000000000002</v>
      </c>
      <c r="I4399">
        <v>62020</v>
      </c>
      <c r="J4399">
        <v>867</v>
      </c>
      <c r="K4399">
        <v>80209</v>
      </c>
      <c r="L4399">
        <v>9</v>
      </c>
      <c r="M4399">
        <v>13</v>
      </c>
      <c r="N4399" t="s">
        <v>52</v>
      </c>
      <c r="O4399" s="3">
        <v>43999</v>
      </c>
      <c r="P4399">
        <v>-1</v>
      </c>
      <c r="T4399" t="s">
        <v>22</v>
      </c>
      <c r="U4399">
        <v>186</v>
      </c>
      <c r="V4399">
        <v>25.024999999999999</v>
      </c>
    </row>
    <row r="4400" spans="1:22" x14ac:dyDescent="0.35">
      <c r="A4400" s="3">
        <v>43985</v>
      </c>
      <c r="B4400" t="s">
        <v>49</v>
      </c>
      <c r="C4400">
        <v>29.98</v>
      </c>
      <c r="D4400">
        <v>30.01</v>
      </c>
      <c r="E4400">
        <v>29.27</v>
      </c>
      <c r="F4400">
        <v>29.43</v>
      </c>
      <c r="G4400">
        <v>29.324999999999999</v>
      </c>
      <c r="H4400">
        <v>-0.7</v>
      </c>
      <c r="I4400">
        <v>3907</v>
      </c>
      <c r="J4400">
        <v>0</v>
      </c>
      <c r="K4400">
        <v>17483</v>
      </c>
      <c r="L4400">
        <v>74</v>
      </c>
      <c r="M4400">
        <v>105</v>
      </c>
      <c r="N4400" t="s">
        <v>49</v>
      </c>
      <c r="O4400" s="3">
        <v>44090</v>
      </c>
      <c r="P4400">
        <v>-1</v>
      </c>
      <c r="T4400" t="s">
        <v>35</v>
      </c>
      <c r="U4400">
        <v>17</v>
      </c>
      <c r="V4400">
        <v>18.5505</v>
      </c>
    </row>
    <row r="4401" spans="1:22" x14ac:dyDescent="0.35">
      <c r="A4401" s="3">
        <v>43985</v>
      </c>
      <c r="B4401" t="s">
        <v>51</v>
      </c>
      <c r="C4401">
        <v>29.95</v>
      </c>
      <c r="D4401">
        <v>30.05</v>
      </c>
      <c r="E4401">
        <v>28.9</v>
      </c>
      <c r="F4401">
        <v>29.15</v>
      </c>
      <c r="G4401">
        <v>29.074999999999999</v>
      </c>
      <c r="H4401">
        <v>-0.95</v>
      </c>
      <c r="I4401">
        <v>62988</v>
      </c>
      <c r="J4401">
        <v>921</v>
      </c>
      <c r="K4401">
        <v>86413</v>
      </c>
      <c r="L4401">
        <v>35</v>
      </c>
      <c r="M4401">
        <v>49</v>
      </c>
      <c r="N4401" t="s">
        <v>51</v>
      </c>
      <c r="O4401" s="3">
        <v>44034</v>
      </c>
      <c r="P4401">
        <v>-1</v>
      </c>
      <c r="T4401" t="s">
        <v>34</v>
      </c>
      <c r="U4401">
        <v>41</v>
      </c>
      <c r="V4401">
        <v>20.4983</v>
      </c>
    </row>
    <row r="4402" spans="1:22" x14ac:dyDescent="0.35">
      <c r="A4402" s="3">
        <v>43985</v>
      </c>
      <c r="B4402" t="s">
        <v>48</v>
      </c>
      <c r="C4402">
        <v>31.85</v>
      </c>
      <c r="D4402">
        <v>31.86</v>
      </c>
      <c r="E4402">
        <v>31.1</v>
      </c>
      <c r="F4402">
        <v>31.21</v>
      </c>
      <c r="G4402">
        <v>31.125</v>
      </c>
      <c r="H4402">
        <v>-0.75</v>
      </c>
      <c r="I4402">
        <v>2679</v>
      </c>
      <c r="J4402">
        <v>0</v>
      </c>
      <c r="K4402">
        <v>18041</v>
      </c>
      <c r="L4402">
        <v>99</v>
      </c>
      <c r="M4402">
        <v>140</v>
      </c>
      <c r="N4402" t="s">
        <v>48</v>
      </c>
      <c r="O4402" s="3">
        <v>44125</v>
      </c>
      <c r="P4402">
        <v>-1</v>
      </c>
      <c r="S4402" s="3">
        <v>44495</v>
      </c>
      <c r="T4402" t="s">
        <v>33</v>
      </c>
      <c r="U4402">
        <v>58</v>
      </c>
      <c r="V4402">
        <v>22.395900000000001</v>
      </c>
    </row>
    <row r="4403" spans="1:22" x14ac:dyDescent="0.35">
      <c r="A4403" s="3">
        <v>43985</v>
      </c>
      <c r="B4403" t="s">
        <v>50</v>
      </c>
      <c r="C4403">
        <v>29.82</v>
      </c>
      <c r="D4403">
        <v>29.9</v>
      </c>
      <c r="E4403">
        <v>28.91</v>
      </c>
      <c r="F4403">
        <v>29.12</v>
      </c>
      <c r="G4403">
        <v>29.024999999999999</v>
      </c>
      <c r="H4403">
        <v>-0.85</v>
      </c>
      <c r="I4403">
        <v>10345</v>
      </c>
      <c r="J4403">
        <v>0</v>
      </c>
      <c r="K4403">
        <v>19663</v>
      </c>
      <c r="L4403">
        <v>55</v>
      </c>
      <c r="M4403">
        <v>77</v>
      </c>
      <c r="N4403" t="s">
        <v>50</v>
      </c>
      <c r="O4403" s="3">
        <v>44062</v>
      </c>
      <c r="P4403">
        <v>-1</v>
      </c>
      <c r="T4403" t="s">
        <v>32</v>
      </c>
      <c r="U4403">
        <v>78</v>
      </c>
      <c r="V4403">
        <v>23.2502</v>
      </c>
    </row>
    <row r="4404" spans="1:22" x14ac:dyDescent="0.35">
      <c r="A4404" s="3">
        <v>43985</v>
      </c>
      <c r="B4404" t="s">
        <v>47</v>
      </c>
      <c r="C4404">
        <v>29.75</v>
      </c>
      <c r="D4404">
        <v>29.8</v>
      </c>
      <c r="E4404">
        <v>29.07</v>
      </c>
      <c r="F4404">
        <v>29.2</v>
      </c>
      <c r="G4404">
        <v>29.1</v>
      </c>
      <c r="H4404">
        <v>-0.72499999999999998</v>
      </c>
      <c r="I4404">
        <v>1664</v>
      </c>
      <c r="J4404">
        <v>0</v>
      </c>
      <c r="K4404">
        <v>12554</v>
      </c>
      <c r="L4404">
        <v>119</v>
      </c>
      <c r="M4404">
        <v>168</v>
      </c>
      <c r="N4404" t="s">
        <v>47</v>
      </c>
      <c r="O4404" s="3">
        <v>44153</v>
      </c>
      <c r="P4404">
        <v>-1</v>
      </c>
      <c r="T4404" t="s">
        <v>31</v>
      </c>
      <c r="U4404">
        <v>96</v>
      </c>
      <c r="V4404">
        <v>24.101400000000002</v>
      </c>
    </row>
    <row r="4405" spans="1:22" x14ac:dyDescent="0.35">
      <c r="A4405" s="3">
        <v>43985</v>
      </c>
      <c r="B4405" t="s">
        <v>52</v>
      </c>
      <c r="C4405">
        <v>28.15</v>
      </c>
      <c r="D4405">
        <v>28.3</v>
      </c>
      <c r="E4405">
        <v>26.71</v>
      </c>
      <c r="F4405">
        <v>27.05</v>
      </c>
      <c r="G4405">
        <v>27</v>
      </c>
      <c r="H4405">
        <v>-1.2250000000000001</v>
      </c>
      <c r="I4405">
        <v>72780</v>
      </c>
      <c r="J4405">
        <v>1022</v>
      </c>
      <c r="K4405">
        <v>83998</v>
      </c>
      <c r="L4405">
        <v>10</v>
      </c>
      <c r="M4405">
        <v>14</v>
      </c>
      <c r="N4405" t="s">
        <v>52</v>
      </c>
      <c r="O4405" s="3">
        <v>43999</v>
      </c>
      <c r="P4405">
        <v>-1</v>
      </c>
      <c r="T4405" t="s">
        <v>30</v>
      </c>
      <c r="U4405">
        <v>122</v>
      </c>
      <c r="V4405">
        <v>24.5259</v>
      </c>
    </row>
    <row r="4406" spans="1:22" x14ac:dyDescent="0.35">
      <c r="A4406" s="3">
        <v>43985</v>
      </c>
      <c r="B4406" t="s">
        <v>46</v>
      </c>
      <c r="C4406">
        <v>28.25</v>
      </c>
      <c r="D4406">
        <v>28.3</v>
      </c>
      <c r="E4406">
        <v>27.56</v>
      </c>
      <c r="F4406">
        <v>27.65</v>
      </c>
      <c r="G4406">
        <v>27.574999999999999</v>
      </c>
      <c r="H4406">
        <v>-0.75</v>
      </c>
      <c r="I4406">
        <v>590</v>
      </c>
      <c r="J4406">
        <v>0</v>
      </c>
      <c r="K4406">
        <v>2563</v>
      </c>
      <c r="L4406">
        <v>138</v>
      </c>
      <c r="M4406">
        <v>196</v>
      </c>
      <c r="N4406" t="s">
        <v>46</v>
      </c>
      <c r="O4406" s="3">
        <v>44181</v>
      </c>
      <c r="P4406">
        <v>-1</v>
      </c>
      <c r="T4406" t="s">
        <v>29</v>
      </c>
      <c r="U4406">
        <v>142</v>
      </c>
      <c r="V4406">
        <v>24.725000000000001</v>
      </c>
    </row>
    <row r="4407" spans="1:22" x14ac:dyDescent="0.35">
      <c r="A4407" s="3">
        <v>43985</v>
      </c>
      <c r="B4407" t="s">
        <v>45</v>
      </c>
      <c r="C4407">
        <v>28.2</v>
      </c>
      <c r="D4407">
        <v>28.2</v>
      </c>
      <c r="E4407">
        <v>27.65</v>
      </c>
      <c r="F4407">
        <v>27.7</v>
      </c>
      <c r="G4407">
        <v>27.574999999999999</v>
      </c>
      <c r="H4407">
        <v>-0.67500000000000004</v>
      </c>
      <c r="I4407">
        <v>35</v>
      </c>
      <c r="J4407">
        <v>0</v>
      </c>
      <c r="K4407">
        <v>346</v>
      </c>
      <c r="L4407">
        <v>160</v>
      </c>
      <c r="M4407">
        <v>231</v>
      </c>
      <c r="N4407" t="s">
        <v>45</v>
      </c>
      <c r="O4407" s="3">
        <v>44216</v>
      </c>
      <c r="P4407">
        <v>-1</v>
      </c>
      <c r="T4407" t="s">
        <v>28</v>
      </c>
      <c r="U4407">
        <v>161</v>
      </c>
      <c r="V4407">
        <v>24.85</v>
      </c>
    </row>
    <row r="4408" spans="1:22" x14ac:dyDescent="0.35">
      <c r="A4408" s="3">
        <v>43984</v>
      </c>
      <c r="B4408" t="s">
        <v>46</v>
      </c>
      <c r="C4408">
        <v>28.63</v>
      </c>
      <c r="D4408">
        <v>28.7</v>
      </c>
      <c r="E4408">
        <v>28.25</v>
      </c>
      <c r="F4408">
        <v>28.25</v>
      </c>
      <c r="G4408">
        <v>28.324999999999999</v>
      </c>
      <c r="H4408">
        <v>-0.25</v>
      </c>
      <c r="I4408">
        <v>486</v>
      </c>
      <c r="J4408">
        <v>0</v>
      </c>
      <c r="K4408">
        <v>2465</v>
      </c>
      <c r="L4408">
        <v>139</v>
      </c>
      <c r="M4408">
        <v>197</v>
      </c>
      <c r="N4408" t="s">
        <v>46</v>
      </c>
      <c r="O4408" s="3">
        <v>44181</v>
      </c>
      <c r="P4408">
        <v>-1</v>
      </c>
      <c r="T4408" t="s">
        <v>22</v>
      </c>
      <c r="U4408">
        <v>185</v>
      </c>
      <c r="V4408">
        <v>25.05</v>
      </c>
    </row>
    <row r="4409" spans="1:22" x14ac:dyDescent="0.35">
      <c r="A4409" s="3">
        <v>43984</v>
      </c>
      <c r="B4409" t="s">
        <v>45</v>
      </c>
      <c r="C4409">
        <v>28.43</v>
      </c>
      <c r="D4409">
        <v>28.5</v>
      </c>
      <c r="E4409">
        <v>28.15</v>
      </c>
      <c r="F4409">
        <v>28.15</v>
      </c>
      <c r="G4409">
        <v>28.25</v>
      </c>
      <c r="H4409">
        <v>-0.27500000000000002</v>
      </c>
      <c r="I4409">
        <v>33</v>
      </c>
      <c r="J4409">
        <v>0</v>
      </c>
      <c r="K4409">
        <v>336</v>
      </c>
      <c r="L4409">
        <v>161</v>
      </c>
      <c r="M4409">
        <v>232</v>
      </c>
      <c r="N4409" t="s">
        <v>45</v>
      </c>
      <c r="O4409" s="3">
        <v>44216</v>
      </c>
      <c r="P4409">
        <v>-1</v>
      </c>
      <c r="T4409" t="s">
        <v>35</v>
      </c>
      <c r="U4409">
        <v>16</v>
      </c>
      <c r="V4409">
        <v>18.924600000000002</v>
      </c>
    </row>
    <row r="4410" spans="1:22" x14ac:dyDescent="0.35">
      <c r="A4410" s="3">
        <v>43984</v>
      </c>
      <c r="B4410" t="s">
        <v>49</v>
      </c>
      <c r="C4410">
        <v>30.56</v>
      </c>
      <c r="D4410">
        <v>30.72</v>
      </c>
      <c r="E4410">
        <v>29.95</v>
      </c>
      <c r="F4410">
        <v>29.95</v>
      </c>
      <c r="G4410">
        <v>30.024999999999999</v>
      </c>
      <c r="H4410">
        <v>-0.5</v>
      </c>
      <c r="I4410">
        <v>2976</v>
      </c>
      <c r="J4410">
        <v>0</v>
      </c>
      <c r="K4410">
        <v>17282</v>
      </c>
      <c r="L4410">
        <v>75</v>
      </c>
      <c r="M4410">
        <v>106</v>
      </c>
      <c r="N4410" t="s">
        <v>49</v>
      </c>
      <c r="O4410" s="3">
        <v>44090</v>
      </c>
      <c r="P4410">
        <v>-1</v>
      </c>
      <c r="T4410" t="s">
        <v>34</v>
      </c>
      <c r="U4410">
        <v>40</v>
      </c>
      <c r="V4410">
        <v>20.803699999999999</v>
      </c>
    </row>
    <row r="4411" spans="1:22" x14ac:dyDescent="0.35">
      <c r="A4411" s="3">
        <v>43984</v>
      </c>
      <c r="B4411" t="s">
        <v>51</v>
      </c>
      <c r="C4411">
        <v>30.75</v>
      </c>
      <c r="D4411">
        <v>31.05</v>
      </c>
      <c r="E4411">
        <v>29.85</v>
      </c>
      <c r="F4411">
        <v>29.9</v>
      </c>
      <c r="G4411">
        <v>30.024999999999999</v>
      </c>
      <c r="H4411">
        <v>-0.75</v>
      </c>
      <c r="I4411">
        <v>41853</v>
      </c>
      <c r="J4411">
        <v>515</v>
      </c>
      <c r="K4411">
        <v>79124</v>
      </c>
      <c r="L4411">
        <v>36</v>
      </c>
      <c r="M4411">
        <v>50</v>
      </c>
      <c r="N4411" t="s">
        <v>51</v>
      </c>
      <c r="O4411" s="3">
        <v>44034</v>
      </c>
      <c r="P4411">
        <v>-1</v>
      </c>
      <c r="S4411" s="3">
        <v>44496</v>
      </c>
      <c r="T4411" t="s">
        <v>33</v>
      </c>
      <c r="U4411">
        <v>57</v>
      </c>
      <c r="V4411">
        <v>22.8</v>
      </c>
    </row>
    <row r="4412" spans="1:22" x14ac:dyDescent="0.35">
      <c r="A4412" s="3">
        <v>43984</v>
      </c>
      <c r="B4412" t="s">
        <v>48</v>
      </c>
      <c r="C4412">
        <v>32.200000000000003</v>
      </c>
      <c r="D4412">
        <v>32.35</v>
      </c>
      <c r="E4412">
        <v>31.8</v>
      </c>
      <c r="F4412">
        <v>31.81</v>
      </c>
      <c r="G4412">
        <v>31.875</v>
      </c>
      <c r="H4412">
        <v>-0.3</v>
      </c>
      <c r="I4412">
        <v>2454</v>
      </c>
      <c r="J4412">
        <v>0</v>
      </c>
      <c r="K4412">
        <v>17973</v>
      </c>
      <c r="L4412">
        <v>100</v>
      </c>
      <c r="M4412">
        <v>141</v>
      </c>
      <c r="N4412" t="s">
        <v>48</v>
      </c>
      <c r="O4412" s="3">
        <v>44125</v>
      </c>
      <c r="P4412">
        <v>-1</v>
      </c>
      <c r="T4412" t="s">
        <v>32</v>
      </c>
      <c r="U4412">
        <v>77</v>
      </c>
      <c r="V4412">
        <v>23.6082</v>
      </c>
    </row>
    <row r="4413" spans="1:22" x14ac:dyDescent="0.35">
      <c r="A4413" s="3">
        <v>43984</v>
      </c>
      <c r="B4413" t="s">
        <v>50</v>
      </c>
      <c r="C4413">
        <v>30.5</v>
      </c>
      <c r="D4413">
        <v>30.75</v>
      </c>
      <c r="E4413">
        <v>29.75</v>
      </c>
      <c r="F4413">
        <v>29.75</v>
      </c>
      <c r="G4413">
        <v>29.875</v>
      </c>
      <c r="H4413">
        <v>-0.6</v>
      </c>
      <c r="I4413">
        <v>6171</v>
      </c>
      <c r="J4413">
        <v>0</v>
      </c>
      <c r="K4413">
        <v>17971</v>
      </c>
      <c r="L4413">
        <v>56</v>
      </c>
      <c r="M4413">
        <v>78</v>
      </c>
      <c r="N4413" t="s">
        <v>50</v>
      </c>
      <c r="O4413" s="3">
        <v>44062</v>
      </c>
      <c r="P4413">
        <v>-1</v>
      </c>
      <c r="T4413" t="s">
        <v>31</v>
      </c>
      <c r="U4413">
        <v>95</v>
      </c>
      <c r="V4413">
        <v>24.442599999999999</v>
      </c>
    </row>
    <row r="4414" spans="1:22" x14ac:dyDescent="0.35">
      <c r="A4414" s="3">
        <v>43984</v>
      </c>
      <c r="B4414" t="s">
        <v>47</v>
      </c>
      <c r="C4414">
        <v>30.1</v>
      </c>
      <c r="D4414">
        <v>30.3</v>
      </c>
      <c r="E4414">
        <v>29.75</v>
      </c>
      <c r="F4414">
        <v>29.75</v>
      </c>
      <c r="G4414">
        <v>29.824999999999999</v>
      </c>
      <c r="H4414">
        <v>-0.25</v>
      </c>
      <c r="I4414">
        <v>1472</v>
      </c>
      <c r="J4414">
        <v>0</v>
      </c>
      <c r="K4414">
        <v>12395</v>
      </c>
      <c r="L4414">
        <v>120</v>
      </c>
      <c r="M4414">
        <v>169</v>
      </c>
      <c r="N4414" t="s">
        <v>47</v>
      </c>
      <c r="O4414" s="3">
        <v>44153</v>
      </c>
      <c r="P4414">
        <v>-1</v>
      </c>
      <c r="T4414" t="s">
        <v>30</v>
      </c>
      <c r="U4414">
        <v>121</v>
      </c>
      <c r="V4414">
        <v>24.848299999999998</v>
      </c>
    </row>
    <row r="4415" spans="1:22" x14ac:dyDescent="0.35">
      <c r="A4415" s="3">
        <v>43984</v>
      </c>
      <c r="B4415" t="s">
        <v>52</v>
      </c>
      <c r="C4415">
        <v>29.55</v>
      </c>
      <c r="D4415">
        <v>29.96</v>
      </c>
      <c r="E4415">
        <v>28.05</v>
      </c>
      <c r="F4415">
        <v>28.2</v>
      </c>
      <c r="G4415">
        <v>28.225000000000001</v>
      </c>
      <c r="H4415">
        <v>-1.3</v>
      </c>
      <c r="I4415">
        <v>58365</v>
      </c>
      <c r="J4415">
        <v>712</v>
      </c>
      <c r="K4415">
        <v>89946</v>
      </c>
      <c r="L4415">
        <v>11</v>
      </c>
      <c r="M4415">
        <v>15</v>
      </c>
      <c r="N4415" t="s">
        <v>52</v>
      </c>
      <c r="O4415" s="3">
        <v>43999</v>
      </c>
      <c r="P4415">
        <v>-1</v>
      </c>
      <c r="T4415" t="s">
        <v>29</v>
      </c>
      <c r="U4415">
        <v>141</v>
      </c>
      <c r="V4415">
        <v>25.012499999999999</v>
      </c>
    </row>
    <row r="4416" spans="1:22" x14ac:dyDescent="0.35">
      <c r="A4416" s="3">
        <v>43983</v>
      </c>
      <c r="B4416" t="s">
        <v>49</v>
      </c>
      <c r="C4416">
        <v>30.5</v>
      </c>
      <c r="D4416">
        <v>30.95</v>
      </c>
      <c r="E4416">
        <v>30.2</v>
      </c>
      <c r="F4416">
        <v>30.55</v>
      </c>
      <c r="G4416">
        <v>30.524999999999999</v>
      </c>
      <c r="H4416">
        <v>0.3</v>
      </c>
      <c r="I4416">
        <v>2679</v>
      </c>
      <c r="J4416">
        <v>0</v>
      </c>
      <c r="K4416">
        <v>17042</v>
      </c>
      <c r="L4416">
        <v>76</v>
      </c>
      <c r="M4416">
        <v>107</v>
      </c>
      <c r="N4416" t="s">
        <v>49</v>
      </c>
      <c r="O4416" s="3">
        <v>44090</v>
      </c>
      <c r="P4416">
        <v>-1</v>
      </c>
      <c r="T4416" t="s">
        <v>28</v>
      </c>
      <c r="U4416">
        <v>160</v>
      </c>
      <c r="V4416">
        <v>25.15</v>
      </c>
    </row>
    <row r="4417" spans="1:22" x14ac:dyDescent="0.35">
      <c r="A4417" s="3">
        <v>43983</v>
      </c>
      <c r="B4417" t="s">
        <v>51</v>
      </c>
      <c r="C4417">
        <v>30.35</v>
      </c>
      <c r="D4417">
        <v>31.27</v>
      </c>
      <c r="E4417">
        <v>30.1</v>
      </c>
      <c r="F4417">
        <v>30.76</v>
      </c>
      <c r="G4417">
        <v>30.774999999999999</v>
      </c>
      <c r="H4417">
        <v>0.6</v>
      </c>
      <c r="I4417">
        <v>35370</v>
      </c>
      <c r="J4417">
        <v>166</v>
      </c>
      <c r="K4417">
        <v>70875</v>
      </c>
      <c r="L4417">
        <v>37</v>
      </c>
      <c r="M4417">
        <v>51</v>
      </c>
      <c r="N4417" t="s">
        <v>51</v>
      </c>
      <c r="O4417" s="3">
        <v>44034</v>
      </c>
      <c r="P4417">
        <v>-1</v>
      </c>
      <c r="T4417" t="s">
        <v>22</v>
      </c>
      <c r="U4417">
        <v>184</v>
      </c>
      <c r="V4417">
        <v>25.324999999999999</v>
      </c>
    </row>
    <row r="4418" spans="1:22" x14ac:dyDescent="0.35">
      <c r="A4418" s="3">
        <v>43983</v>
      </c>
      <c r="B4418" t="s">
        <v>48</v>
      </c>
      <c r="C4418">
        <v>31.98</v>
      </c>
      <c r="D4418">
        <v>32.5</v>
      </c>
      <c r="E4418">
        <v>31.89</v>
      </c>
      <c r="F4418">
        <v>32.15</v>
      </c>
      <c r="G4418">
        <v>32.174999999999997</v>
      </c>
      <c r="H4418">
        <v>0.25</v>
      </c>
      <c r="I4418">
        <v>1842</v>
      </c>
      <c r="J4418">
        <v>0</v>
      </c>
      <c r="K4418">
        <v>17361</v>
      </c>
      <c r="L4418">
        <v>101</v>
      </c>
      <c r="M4418">
        <v>142</v>
      </c>
      <c r="N4418" t="s">
        <v>48</v>
      </c>
      <c r="O4418" s="3">
        <v>44125</v>
      </c>
      <c r="P4418">
        <v>-1</v>
      </c>
      <c r="T4418" t="s">
        <v>35</v>
      </c>
      <c r="U4418">
        <v>15</v>
      </c>
      <c r="V4418">
        <v>19.349599999999999</v>
      </c>
    </row>
    <row r="4419" spans="1:22" x14ac:dyDescent="0.35">
      <c r="A4419" s="3">
        <v>43983</v>
      </c>
      <c r="B4419" t="s">
        <v>50</v>
      </c>
      <c r="C4419">
        <v>30.25</v>
      </c>
      <c r="D4419">
        <v>30.9</v>
      </c>
      <c r="E4419">
        <v>29.95</v>
      </c>
      <c r="F4419">
        <v>30.5</v>
      </c>
      <c r="G4419">
        <v>30.475000000000001</v>
      </c>
      <c r="H4419">
        <v>0.45</v>
      </c>
      <c r="I4419">
        <v>4035</v>
      </c>
      <c r="J4419">
        <v>0</v>
      </c>
      <c r="K4419">
        <v>17083</v>
      </c>
      <c r="L4419">
        <v>57</v>
      </c>
      <c r="M4419">
        <v>79</v>
      </c>
      <c r="N4419" t="s">
        <v>50</v>
      </c>
      <c r="O4419" s="3">
        <v>44062</v>
      </c>
      <c r="P4419">
        <v>-1</v>
      </c>
      <c r="T4419" t="s">
        <v>34</v>
      </c>
      <c r="U4419">
        <v>39</v>
      </c>
      <c r="V4419">
        <v>21.296199999999999</v>
      </c>
    </row>
    <row r="4420" spans="1:22" x14ac:dyDescent="0.35">
      <c r="A4420" s="3">
        <v>43983</v>
      </c>
      <c r="B4420" t="s">
        <v>47</v>
      </c>
      <c r="C4420">
        <v>29.99</v>
      </c>
      <c r="D4420">
        <v>30.45</v>
      </c>
      <c r="E4420">
        <v>29.85</v>
      </c>
      <c r="F4420">
        <v>30.07</v>
      </c>
      <c r="G4420">
        <v>30.074999999999999</v>
      </c>
      <c r="H4420">
        <v>0.25</v>
      </c>
      <c r="I4420">
        <v>1077</v>
      </c>
      <c r="J4420">
        <v>0</v>
      </c>
      <c r="K4420">
        <v>12135</v>
      </c>
      <c r="L4420">
        <v>121</v>
      </c>
      <c r="M4420">
        <v>170</v>
      </c>
      <c r="N4420" t="s">
        <v>47</v>
      </c>
      <c r="O4420" s="3">
        <v>44153</v>
      </c>
      <c r="P4420">
        <v>-1</v>
      </c>
      <c r="S4420" s="3">
        <v>44497</v>
      </c>
      <c r="T4420" t="s">
        <v>33</v>
      </c>
      <c r="U4420">
        <v>56</v>
      </c>
      <c r="V4420">
        <v>22.330400000000001</v>
      </c>
    </row>
    <row r="4421" spans="1:22" x14ac:dyDescent="0.35">
      <c r="A4421" s="3">
        <v>43983</v>
      </c>
      <c r="B4421" t="s">
        <v>52</v>
      </c>
      <c r="C4421">
        <v>29.55</v>
      </c>
      <c r="D4421">
        <v>30.45</v>
      </c>
      <c r="E4421">
        <v>28.98</v>
      </c>
      <c r="F4421">
        <v>29.6</v>
      </c>
      <c r="G4421">
        <v>29.524999999999999</v>
      </c>
      <c r="H4421">
        <v>0.7</v>
      </c>
      <c r="I4421">
        <v>53460</v>
      </c>
      <c r="J4421">
        <v>284</v>
      </c>
      <c r="K4421">
        <v>93869</v>
      </c>
      <c r="L4421">
        <v>12</v>
      </c>
      <c r="M4421">
        <v>16</v>
      </c>
      <c r="N4421" t="s">
        <v>52</v>
      </c>
      <c r="O4421" s="3">
        <v>43999</v>
      </c>
      <c r="P4421">
        <v>-1</v>
      </c>
      <c r="T4421" t="s">
        <v>32</v>
      </c>
      <c r="U4421">
        <v>76</v>
      </c>
      <c r="V4421">
        <v>23.2</v>
      </c>
    </row>
    <row r="4422" spans="1:22" x14ac:dyDescent="0.35">
      <c r="A4422" s="3">
        <v>43983</v>
      </c>
      <c r="B4422" t="s">
        <v>46</v>
      </c>
      <c r="C4422">
        <v>28.42</v>
      </c>
      <c r="D4422">
        <v>28.9</v>
      </c>
      <c r="E4422">
        <v>28.4</v>
      </c>
      <c r="F4422">
        <v>28.54</v>
      </c>
      <c r="G4422">
        <v>28.574999999999999</v>
      </c>
      <c r="H4422">
        <v>0.22500000000000001</v>
      </c>
      <c r="I4422">
        <v>300</v>
      </c>
      <c r="J4422">
        <v>0</v>
      </c>
      <c r="K4422">
        <v>2309</v>
      </c>
      <c r="L4422">
        <v>140</v>
      </c>
      <c r="M4422">
        <v>198</v>
      </c>
      <c r="N4422" t="s">
        <v>46</v>
      </c>
      <c r="O4422" s="3">
        <v>44181</v>
      </c>
      <c r="P4422">
        <v>-1</v>
      </c>
      <c r="T4422" t="s">
        <v>31</v>
      </c>
      <c r="U4422">
        <v>94</v>
      </c>
      <c r="V4422">
        <v>24.05</v>
      </c>
    </row>
    <row r="4423" spans="1:22" x14ac:dyDescent="0.35">
      <c r="A4423" s="3">
        <v>43983</v>
      </c>
      <c r="B4423" t="s">
        <v>45</v>
      </c>
      <c r="C4423">
        <v>28.48</v>
      </c>
      <c r="D4423">
        <v>28.9</v>
      </c>
      <c r="E4423">
        <v>28.42</v>
      </c>
      <c r="F4423">
        <v>28.5</v>
      </c>
      <c r="G4423">
        <v>28.524999999999999</v>
      </c>
      <c r="H4423">
        <v>0.22500000000000001</v>
      </c>
      <c r="I4423">
        <v>33</v>
      </c>
      <c r="J4423">
        <v>0</v>
      </c>
      <c r="K4423">
        <v>309</v>
      </c>
      <c r="L4423">
        <v>162</v>
      </c>
      <c r="M4423">
        <v>233</v>
      </c>
      <c r="N4423" t="s">
        <v>45</v>
      </c>
      <c r="O4423" s="3">
        <v>44216</v>
      </c>
      <c r="P4423">
        <v>-1</v>
      </c>
      <c r="T4423" t="s">
        <v>30</v>
      </c>
      <c r="U4423">
        <v>120</v>
      </c>
      <c r="V4423">
        <v>24.5</v>
      </c>
    </row>
    <row r="4424" spans="1:22" x14ac:dyDescent="0.35">
      <c r="A4424" s="3">
        <v>43980</v>
      </c>
      <c r="B4424" t="s">
        <v>46</v>
      </c>
      <c r="C4424">
        <v>29</v>
      </c>
      <c r="D4424">
        <v>29.3</v>
      </c>
      <c r="E4424">
        <v>28.3</v>
      </c>
      <c r="F4424">
        <v>28.33</v>
      </c>
      <c r="G4424">
        <v>28.35</v>
      </c>
      <c r="H4424">
        <v>-0.52500000000000002</v>
      </c>
      <c r="I4424">
        <v>316</v>
      </c>
      <c r="J4424">
        <v>0</v>
      </c>
      <c r="K4424">
        <v>2209</v>
      </c>
      <c r="L4424">
        <v>141</v>
      </c>
      <c r="M4424">
        <v>201</v>
      </c>
      <c r="N4424" t="s">
        <v>46</v>
      </c>
      <c r="O4424" s="3">
        <v>44181</v>
      </c>
      <c r="P4424">
        <v>-1</v>
      </c>
      <c r="T4424" t="s">
        <v>29</v>
      </c>
      <c r="U4424">
        <v>140</v>
      </c>
      <c r="V4424">
        <v>24.739100000000001</v>
      </c>
    </row>
    <row r="4425" spans="1:22" x14ac:dyDescent="0.35">
      <c r="A4425" s="3">
        <v>43980</v>
      </c>
      <c r="B4425" t="s">
        <v>45</v>
      </c>
      <c r="C4425">
        <v>29</v>
      </c>
      <c r="D4425">
        <v>29.2</v>
      </c>
      <c r="E4425">
        <v>28.32</v>
      </c>
      <c r="F4425">
        <v>28.32</v>
      </c>
      <c r="G4425">
        <v>28.3</v>
      </c>
      <c r="H4425">
        <v>-0.45</v>
      </c>
      <c r="I4425">
        <v>56</v>
      </c>
      <c r="J4425">
        <v>0</v>
      </c>
      <c r="K4425">
        <v>269</v>
      </c>
      <c r="L4425">
        <v>163</v>
      </c>
      <c r="M4425">
        <v>236</v>
      </c>
      <c r="N4425" t="s">
        <v>45</v>
      </c>
      <c r="O4425" s="3">
        <v>44216</v>
      </c>
      <c r="P4425">
        <v>-1</v>
      </c>
      <c r="T4425" t="s">
        <v>28</v>
      </c>
      <c r="U4425">
        <v>159</v>
      </c>
      <c r="V4425">
        <v>24.85</v>
      </c>
    </row>
    <row r="4426" spans="1:22" x14ac:dyDescent="0.35">
      <c r="A4426" s="3">
        <v>43980</v>
      </c>
      <c r="B4426" t="s">
        <v>49</v>
      </c>
      <c r="C4426">
        <v>30.8</v>
      </c>
      <c r="D4426">
        <v>31.37</v>
      </c>
      <c r="E4426">
        <v>30.2</v>
      </c>
      <c r="F4426">
        <v>30.25</v>
      </c>
      <c r="G4426">
        <v>30.225000000000001</v>
      </c>
      <c r="H4426">
        <v>-0.55000000000000004</v>
      </c>
      <c r="I4426">
        <v>2884</v>
      </c>
      <c r="J4426">
        <v>0</v>
      </c>
      <c r="K4426">
        <v>16931</v>
      </c>
      <c r="L4426">
        <v>77</v>
      </c>
      <c r="M4426">
        <v>110</v>
      </c>
      <c r="N4426" t="s">
        <v>49</v>
      </c>
      <c r="O4426" s="3">
        <v>44090</v>
      </c>
      <c r="P4426">
        <v>-1</v>
      </c>
      <c r="T4426" t="s">
        <v>22</v>
      </c>
      <c r="U4426">
        <v>183</v>
      </c>
      <c r="V4426">
        <v>25.15</v>
      </c>
    </row>
    <row r="4427" spans="1:22" x14ac:dyDescent="0.35">
      <c r="A4427" s="3">
        <v>43980</v>
      </c>
      <c r="B4427" t="s">
        <v>51</v>
      </c>
      <c r="C4427">
        <v>31.14</v>
      </c>
      <c r="D4427">
        <v>31.85</v>
      </c>
      <c r="E4427">
        <v>30.1</v>
      </c>
      <c r="F4427">
        <v>30.13</v>
      </c>
      <c r="G4427">
        <v>30.175000000000001</v>
      </c>
      <c r="H4427">
        <v>-0.95</v>
      </c>
      <c r="I4427">
        <v>37110</v>
      </c>
      <c r="J4427">
        <v>126</v>
      </c>
      <c r="K4427">
        <v>62261</v>
      </c>
      <c r="L4427">
        <v>38</v>
      </c>
      <c r="M4427">
        <v>54</v>
      </c>
      <c r="N4427" t="s">
        <v>51</v>
      </c>
      <c r="O4427" s="3">
        <v>44034</v>
      </c>
      <c r="P4427">
        <v>-1</v>
      </c>
      <c r="T4427" t="s">
        <v>35</v>
      </c>
      <c r="U4427">
        <v>14</v>
      </c>
      <c r="V4427">
        <v>18.650300000000001</v>
      </c>
    </row>
    <row r="4428" spans="1:22" x14ac:dyDescent="0.35">
      <c r="A4428" s="3">
        <v>43980</v>
      </c>
      <c r="B4428" t="s">
        <v>48</v>
      </c>
      <c r="C4428">
        <v>32.4</v>
      </c>
      <c r="D4428">
        <v>32.9</v>
      </c>
      <c r="E4428">
        <v>31.85</v>
      </c>
      <c r="F4428">
        <v>31.9</v>
      </c>
      <c r="G4428">
        <v>31.925000000000001</v>
      </c>
      <c r="H4428">
        <v>-0.4</v>
      </c>
      <c r="I4428">
        <v>2574</v>
      </c>
      <c r="J4428">
        <v>0</v>
      </c>
      <c r="K4428">
        <v>17226</v>
      </c>
      <c r="L4428">
        <v>102</v>
      </c>
      <c r="M4428">
        <v>145</v>
      </c>
      <c r="N4428" t="s">
        <v>48</v>
      </c>
      <c r="O4428" s="3">
        <v>44125</v>
      </c>
      <c r="P4428">
        <v>-1</v>
      </c>
      <c r="T4428" t="s">
        <v>34</v>
      </c>
      <c r="U4428">
        <v>38</v>
      </c>
      <c r="V4428">
        <v>20.849299999999999</v>
      </c>
    </row>
    <row r="4429" spans="1:22" x14ac:dyDescent="0.35">
      <c r="A4429" s="3">
        <v>43980</v>
      </c>
      <c r="B4429" t="s">
        <v>50</v>
      </c>
      <c r="C4429">
        <v>30.7</v>
      </c>
      <c r="D4429">
        <v>31.35</v>
      </c>
      <c r="E4429">
        <v>30</v>
      </c>
      <c r="F4429">
        <v>30</v>
      </c>
      <c r="G4429">
        <v>30.024999999999999</v>
      </c>
      <c r="H4429">
        <v>-0.65</v>
      </c>
      <c r="I4429">
        <v>7253</v>
      </c>
      <c r="J4429">
        <v>0</v>
      </c>
      <c r="K4429">
        <v>17042</v>
      </c>
      <c r="L4429">
        <v>58</v>
      </c>
      <c r="M4429">
        <v>82</v>
      </c>
      <c r="N4429" t="s">
        <v>50</v>
      </c>
      <c r="O4429" s="3">
        <v>44062</v>
      </c>
      <c r="P4429">
        <v>-1</v>
      </c>
      <c r="S4429" s="3">
        <v>44498</v>
      </c>
      <c r="T4429" t="s">
        <v>33</v>
      </c>
      <c r="U4429">
        <v>55</v>
      </c>
      <c r="V4429">
        <v>22.563400000000001</v>
      </c>
    </row>
    <row r="4430" spans="1:22" x14ac:dyDescent="0.35">
      <c r="A4430" s="3">
        <v>43980</v>
      </c>
      <c r="B4430" t="s">
        <v>47</v>
      </c>
      <c r="C4430">
        <v>30.3</v>
      </c>
      <c r="D4430">
        <v>30.75</v>
      </c>
      <c r="E4430">
        <v>29.75</v>
      </c>
      <c r="F4430">
        <v>29.8</v>
      </c>
      <c r="G4430">
        <v>29.824999999999999</v>
      </c>
      <c r="H4430">
        <v>-0.4</v>
      </c>
      <c r="I4430">
        <v>1313</v>
      </c>
      <c r="J4430">
        <v>0</v>
      </c>
      <c r="K4430">
        <v>11915</v>
      </c>
      <c r="L4430">
        <v>122</v>
      </c>
      <c r="M4430">
        <v>173</v>
      </c>
      <c r="N4430" t="s">
        <v>47</v>
      </c>
      <c r="O4430" s="3">
        <v>44153</v>
      </c>
      <c r="P4430">
        <v>-1</v>
      </c>
      <c r="T4430" t="s">
        <v>32</v>
      </c>
      <c r="U4430">
        <v>75</v>
      </c>
      <c r="V4430">
        <v>23.4754</v>
      </c>
    </row>
    <row r="4431" spans="1:22" x14ac:dyDescent="0.35">
      <c r="A4431" s="3">
        <v>43980</v>
      </c>
      <c r="B4431" t="s">
        <v>52</v>
      </c>
      <c r="C4431">
        <v>30.35</v>
      </c>
      <c r="D4431">
        <v>31.2</v>
      </c>
      <c r="E4431">
        <v>28.8</v>
      </c>
      <c r="F4431">
        <v>28.85</v>
      </c>
      <c r="G4431">
        <v>28.824999999999999</v>
      </c>
      <c r="H4431">
        <v>-1.5</v>
      </c>
      <c r="I4431">
        <v>73744</v>
      </c>
      <c r="J4431">
        <v>274</v>
      </c>
      <c r="K4431">
        <v>90465</v>
      </c>
      <c r="L4431">
        <v>13</v>
      </c>
      <c r="M4431">
        <v>19</v>
      </c>
      <c r="N4431" t="s">
        <v>52</v>
      </c>
      <c r="O4431" s="3">
        <v>43999</v>
      </c>
      <c r="P4431">
        <v>-1</v>
      </c>
      <c r="T4431" t="s">
        <v>31</v>
      </c>
      <c r="U4431">
        <v>93</v>
      </c>
      <c r="V4431">
        <v>24.339700000000001</v>
      </c>
    </row>
    <row r="4432" spans="1:22" x14ac:dyDescent="0.35">
      <c r="A4432" s="3">
        <v>43979</v>
      </c>
      <c r="B4432" t="s">
        <v>49</v>
      </c>
      <c r="C4432">
        <v>30.15</v>
      </c>
      <c r="D4432">
        <v>31</v>
      </c>
      <c r="E4432">
        <v>29.9</v>
      </c>
      <c r="F4432">
        <v>30.75</v>
      </c>
      <c r="G4432">
        <v>30.774999999999999</v>
      </c>
      <c r="H4432">
        <v>0.65</v>
      </c>
      <c r="I4432">
        <v>3681</v>
      </c>
      <c r="J4432">
        <v>0</v>
      </c>
      <c r="K4432">
        <v>17051</v>
      </c>
      <c r="L4432">
        <v>78</v>
      </c>
      <c r="M4432">
        <v>111</v>
      </c>
      <c r="N4432" t="s">
        <v>49</v>
      </c>
      <c r="O4432" s="3">
        <v>44090</v>
      </c>
      <c r="P4432">
        <v>-1</v>
      </c>
      <c r="T4432" t="s">
        <v>30</v>
      </c>
      <c r="U4432">
        <v>119</v>
      </c>
      <c r="V4432">
        <v>24.741900000000001</v>
      </c>
    </row>
    <row r="4433" spans="1:22" x14ac:dyDescent="0.35">
      <c r="A4433" s="3">
        <v>43979</v>
      </c>
      <c r="B4433" t="s">
        <v>51</v>
      </c>
      <c r="C4433">
        <v>30.15</v>
      </c>
      <c r="D4433">
        <v>31.47</v>
      </c>
      <c r="E4433">
        <v>29.8</v>
      </c>
      <c r="F4433">
        <v>31.1</v>
      </c>
      <c r="G4433">
        <v>31.125</v>
      </c>
      <c r="H4433">
        <v>1.05</v>
      </c>
      <c r="I4433">
        <v>39575</v>
      </c>
      <c r="J4433">
        <v>194</v>
      </c>
      <c r="K4433">
        <v>58952</v>
      </c>
      <c r="L4433">
        <v>39</v>
      </c>
      <c r="M4433">
        <v>55</v>
      </c>
      <c r="N4433" t="s">
        <v>51</v>
      </c>
      <c r="O4433" s="3">
        <v>44034</v>
      </c>
      <c r="P4433">
        <v>-1</v>
      </c>
      <c r="T4433" t="s">
        <v>29</v>
      </c>
      <c r="U4433">
        <v>139</v>
      </c>
      <c r="V4433">
        <v>24.944700000000001</v>
      </c>
    </row>
    <row r="4434" spans="1:22" x14ac:dyDescent="0.35">
      <c r="A4434" s="3">
        <v>43979</v>
      </c>
      <c r="B4434" t="s">
        <v>48</v>
      </c>
      <c r="C4434">
        <v>31.65</v>
      </c>
      <c r="D4434">
        <v>32.5</v>
      </c>
      <c r="E4434">
        <v>31.45</v>
      </c>
      <c r="F4434">
        <v>32.299999999999997</v>
      </c>
      <c r="G4434">
        <v>32.325000000000003</v>
      </c>
      <c r="H4434">
        <v>0.65</v>
      </c>
      <c r="I4434">
        <v>2735</v>
      </c>
      <c r="J4434">
        <v>0</v>
      </c>
      <c r="K4434">
        <v>16902</v>
      </c>
      <c r="L4434">
        <v>103</v>
      </c>
      <c r="M4434">
        <v>146</v>
      </c>
      <c r="N4434" t="s">
        <v>48</v>
      </c>
      <c r="O4434" s="3">
        <v>44125</v>
      </c>
      <c r="P4434">
        <v>-1</v>
      </c>
      <c r="T4434" t="s">
        <v>28</v>
      </c>
      <c r="U4434">
        <v>158</v>
      </c>
      <c r="V4434">
        <v>25.05</v>
      </c>
    </row>
    <row r="4435" spans="1:22" x14ac:dyDescent="0.35">
      <c r="A4435" s="3">
        <v>43979</v>
      </c>
      <c r="B4435" t="s">
        <v>50</v>
      </c>
      <c r="C4435">
        <v>29.92</v>
      </c>
      <c r="D4435">
        <v>30.95</v>
      </c>
      <c r="E4435">
        <v>29.59</v>
      </c>
      <c r="F4435">
        <v>30.68</v>
      </c>
      <c r="G4435">
        <v>30.675000000000001</v>
      </c>
      <c r="H4435">
        <v>0.85</v>
      </c>
      <c r="I4435">
        <v>5380</v>
      </c>
      <c r="J4435">
        <v>0</v>
      </c>
      <c r="K4435">
        <v>16633</v>
      </c>
      <c r="L4435">
        <v>59</v>
      </c>
      <c r="M4435">
        <v>83</v>
      </c>
      <c r="N4435" t="s">
        <v>50</v>
      </c>
      <c r="O4435" s="3">
        <v>44062</v>
      </c>
      <c r="P4435">
        <v>-1</v>
      </c>
      <c r="T4435" t="s">
        <v>22</v>
      </c>
      <c r="U4435">
        <v>182</v>
      </c>
      <c r="V4435">
        <v>25.125</v>
      </c>
    </row>
    <row r="4436" spans="1:22" x14ac:dyDescent="0.35">
      <c r="A4436" s="3">
        <v>43979</v>
      </c>
      <c r="B4436" t="s">
        <v>47</v>
      </c>
      <c r="C4436">
        <v>29.7</v>
      </c>
      <c r="D4436">
        <v>30.38</v>
      </c>
      <c r="E4436">
        <v>29.5</v>
      </c>
      <c r="F4436">
        <v>30.2</v>
      </c>
      <c r="G4436">
        <v>30.225000000000001</v>
      </c>
      <c r="H4436">
        <v>0.5</v>
      </c>
      <c r="I4436">
        <v>1457</v>
      </c>
      <c r="J4436">
        <v>0</v>
      </c>
      <c r="K4436">
        <v>11837</v>
      </c>
      <c r="L4436">
        <v>123</v>
      </c>
      <c r="M4436">
        <v>174</v>
      </c>
      <c r="N4436" t="s">
        <v>47</v>
      </c>
      <c r="O4436" s="3">
        <v>44153</v>
      </c>
      <c r="P4436">
        <v>-1</v>
      </c>
      <c r="T4436" t="s">
        <v>35</v>
      </c>
      <c r="U4436">
        <v>13</v>
      </c>
      <c r="V4436">
        <v>18.779299999999999</v>
      </c>
    </row>
    <row r="4437" spans="1:22" x14ac:dyDescent="0.35">
      <c r="A4437" s="3">
        <v>43979</v>
      </c>
      <c r="B4437" t="s">
        <v>52</v>
      </c>
      <c r="C4437">
        <v>29.15</v>
      </c>
      <c r="D4437">
        <v>30.8</v>
      </c>
      <c r="E4437">
        <v>28.75</v>
      </c>
      <c r="F4437">
        <v>30.3</v>
      </c>
      <c r="G4437">
        <v>30.324999999999999</v>
      </c>
      <c r="H4437">
        <v>1.25</v>
      </c>
      <c r="I4437">
        <v>65285</v>
      </c>
      <c r="J4437">
        <v>542</v>
      </c>
      <c r="K4437">
        <v>96156</v>
      </c>
      <c r="L4437">
        <v>14</v>
      </c>
      <c r="M4437">
        <v>20</v>
      </c>
      <c r="N4437" t="s">
        <v>52</v>
      </c>
      <c r="O4437" s="3">
        <v>43999</v>
      </c>
      <c r="P4437">
        <v>-1</v>
      </c>
      <c r="T4437" t="s">
        <v>34</v>
      </c>
      <c r="U4437">
        <v>37</v>
      </c>
      <c r="V4437">
        <v>21.0533</v>
      </c>
    </row>
    <row r="4438" spans="1:22" x14ac:dyDescent="0.35">
      <c r="A4438" s="3">
        <v>43979</v>
      </c>
      <c r="B4438" t="s">
        <v>46</v>
      </c>
      <c r="C4438">
        <v>28.4</v>
      </c>
      <c r="D4438">
        <v>28.97</v>
      </c>
      <c r="E4438">
        <v>28.25</v>
      </c>
      <c r="F4438">
        <v>28.85</v>
      </c>
      <c r="G4438">
        <v>28.875</v>
      </c>
      <c r="H4438">
        <v>0.45</v>
      </c>
      <c r="I4438">
        <v>444</v>
      </c>
      <c r="J4438">
        <v>0</v>
      </c>
      <c r="K4438">
        <v>2123</v>
      </c>
      <c r="L4438">
        <v>142</v>
      </c>
      <c r="M4438">
        <v>202</v>
      </c>
      <c r="N4438" t="s">
        <v>46</v>
      </c>
      <c r="O4438" s="3">
        <v>44181</v>
      </c>
      <c r="P4438">
        <v>-1</v>
      </c>
      <c r="S4438" s="3">
        <v>44501</v>
      </c>
      <c r="T4438" t="s">
        <v>33</v>
      </c>
      <c r="U4438">
        <v>54</v>
      </c>
      <c r="V4438">
        <v>22.4497</v>
      </c>
    </row>
    <row r="4439" spans="1:22" x14ac:dyDescent="0.35">
      <c r="A4439" s="3">
        <v>43979</v>
      </c>
      <c r="B4439" t="s">
        <v>45</v>
      </c>
      <c r="C4439">
        <v>28.49</v>
      </c>
      <c r="D4439">
        <v>28.92</v>
      </c>
      <c r="E4439">
        <v>28.34</v>
      </c>
      <c r="F4439">
        <v>28.8</v>
      </c>
      <c r="G4439">
        <v>28.75</v>
      </c>
      <c r="H4439">
        <v>0.3</v>
      </c>
      <c r="I4439">
        <v>47</v>
      </c>
      <c r="J4439">
        <v>0</v>
      </c>
      <c r="K4439">
        <v>226</v>
      </c>
      <c r="L4439">
        <v>164</v>
      </c>
      <c r="M4439">
        <v>237</v>
      </c>
      <c r="N4439" t="s">
        <v>45</v>
      </c>
      <c r="O4439" s="3">
        <v>44216</v>
      </c>
      <c r="P4439">
        <v>-1</v>
      </c>
      <c r="T4439" t="s">
        <v>32</v>
      </c>
      <c r="U4439">
        <v>74</v>
      </c>
      <c r="V4439">
        <v>23.3491</v>
      </c>
    </row>
    <row r="4440" spans="1:22" x14ac:dyDescent="0.35">
      <c r="A4440" s="3">
        <v>43978</v>
      </c>
      <c r="B4440" t="s">
        <v>46</v>
      </c>
      <c r="C4440">
        <v>28.6</v>
      </c>
      <c r="D4440">
        <v>29.3</v>
      </c>
      <c r="E4440">
        <v>28.4</v>
      </c>
      <c r="F4440">
        <v>28.4</v>
      </c>
      <c r="G4440">
        <v>28.425000000000001</v>
      </c>
      <c r="H4440">
        <v>-0.35</v>
      </c>
      <c r="I4440">
        <v>492</v>
      </c>
      <c r="J4440">
        <v>0</v>
      </c>
      <c r="K4440">
        <v>2006</v>
      </c>
      <c r="L4440">
        <v>143</v>
      </c>
      <c r="M4440">
        <v>203</v>
      </c>
      <c r="N4440" t="s">
        <v>46</v>
      </c>
      <c r="O4440" s="3">
        <v>44181</v>
      </c>
      <c r="P4440">
        <v>-1</v>
      </c>
      <c r="T4440" t="s">
        <v>31</v>
      </c>
      <c r="U4440">
        <v>92</v>
      </c>
      <c r="V4440">
        <v>24.249400000000001</v>
      </c>
    </row>
    <row r="4441" spans="1:22" x14ac:dyDescent="0.35">
      <c r="A4441" s="3">
        <v>43978</v>
      </c>
      <c r="B4441" t="s">
        <v>45</v>
      </c>
      <c r="C4441">
        <v>28.6</v>
      </c>
      <c r="D4441">
        <v>29.2</v>
      </c>
      <c r="E4441">
        <v>28.45</v>
      </c>
      <c r="F4441">
        <v>28.45</v>
      </c>
      <c r="G4441">
        <v>28.45</v>
      </c>
      <c r="H4441">
        <v>-0.3</v>
      </c>
      <c r="I4441">
        <v>133</v>
      </c>
      <c r="J4441">
        <v>0</v>
      </c>
      <c r="K4441">
        <v>203</v>
      </c>
      <c r="L4441">
        <v>165</v>
      </c>
      <c r="M4441">
        <v>238</v>
      </c>
      <c r="N4441" t="s">
        <v>45</v>
      </c>
      <c r="O4441" s="3">
        <v>44216</v>
      </c>
      <c r="P4441">
        <v>-1</v>
      </c>
      <c r="T4441" t="s">
        <v>30</v>
      </c>
      <c r="U4441">
        <v>118</v>
      </c>
      <c r="V4441">
        <v>24.65</v>
      </c>
    </row>
    <row r="4442" spans="1:22" x14ac:dyDescent="0.35">
      <c r="A4442" s="3">
        <v>43978</v>
      </c>
      <c r="B4442" t="s">
        <v>49</v>
      </c>
      <c r="C4442">
        <v>30.45</v>
      </c>
      <c r="D4442">
        <v>31.21</v>
      </c>
      <c r="E4442">
        <v>29.9</v>
      </c>
      <c r="F4442">
        <v>30.12</v>
      </c>
      <c r="G4442">
        <v>30.125</v>
      </c>
      <c r="H4442">
        <v>-0.3</v>
      </c>
      <c r="I4442">
        <v>3602</v>
      </c>
      <c r="J4442">
        <v>0</v>
      </c>
      <c r="K4442">
        <v>17309</v>
      </c>
      <c r="L4442">
        <v>79</v>
      </c>
      <c r="M4442">
        <v>112</v>
      </c>
      <c r="N4442" t="s">
        <v>49</v>
      </c>
      <c r="O4442" s="3">
        <v>44090</v>
      </c>
      <c r="P4442">
        <v>-1</v>
      </c>
      <c r="T4442" t="s">
        <v>29</v>
      </c>
      <c r="U4442">
        <v>138</v>
      </c>
      <c r="V4442">
        <v>24.8553</v>
      </c>
    </row>
    <row r="4443" spans="1:22" x14ac:dyDescent="0.35">
      <c r="A4443" s="3">
        <v>43978</v>
      </c>
      <c r="B4443" t="s">
        <v>51</v>
      </c>
      <c r="C4443">
        <v>30.55</v>
      </c>
      <c r="D4443">
        <v>31.62</v>
      </c>
      <c r="E4443">
        <v>29.6</v>
      </c>
      <c r="F4443">
        <v>30.1</v>
      </c>
      <c r="G4443">
        <v>30.074999999999999</v>
      </c>
      <c r="H4443">
        <v>-0.4</v>
      </c>
      <c r="I4443">
        <v>37362</v>
      </c>
      <c r="J4443">
        <v>23</v>
      </c>
      <c r="K4443">
        <v>53504</v>
      </c>
      <c r="L4443">
        <v>40</v>
      </c>
      <c r="M4443">
        <v>56</v>
      </c>
      <c r="N4443" t="s">
        <v>51</v>
      </c>
      <c r="O4443" s="3">
        <v>44034</v>
      </c>
      <c r="P4443">
        <v>-1</v>
      </c>
      <c r="T4443" t="s">
        <v>28</v>
      </c>
      <c r="U4443">
        <v>157</v>
      </c>
      <c r="V4443">
        <v>24.95</v>
      </c>
    </row>
    <row r="4444" spans="1:22" x14ac:dyDescent="0.35">
      <c r="A4444" s="3">
        <v>43978</v>
      </c>
      <c r="B4444" t="s">
        <v>48</v>
      </c>
      <c r="C4444">
        <v>32.020000000000003</v>
      </c>
      <c r="D4444">
        <v>32.619999999999997</v>
      </c>
      <c r="E4444">
        <v>31.42</v>
      </c>
      <c r="F4444">
        <v>31.7</v>
      </c>
      <c r="G4444">
        <v>31.675000000000001</v>
      </c>
      <c r="H4444">
        <v>-0.3</v>
      </c>
      <c r="I4444">
        <v>2917</v>
      </c>
      <c r="J4444">
        <v>0</v>
      </c>
      <c r="K4444">
        <v>16659</v>
      </c>
      <c r="L4444">
        <v>104</v>
      </c>
      <c r="M4444">
        <v>147</v>
      </c>
      <c r="N4444" t="s">
        <v>48</v>
      </c>
      <c r="O4444" s="3">
        <v>44125</v>
      </c>
      <c r="P4444">
        <v>-1</v>
      </c>
      <c r="T4444" t="s">
        <v>22</v>
      </c>
      <c r="U4444">
        <v>181</v>
      </c>
      <c r="V4444">
        <v>25.125</v>
      </c>
    </row>
    <row r="4445" spans="1:22" x14ac:dyDescent="0.35">
      <c r="A4445" s="3">
        <v>43978</v>
      </c>
      <c r="B4445" t="s">
        <v>50</v>
      </c>
      <c r="C4445">
        <v>30.22</v>
      </c>
      <c r="D4445">
        <v>31.05</v>
      </c>
      <c r="E4445">
        <v>29.5</v>
      </c>
      <c r="F4445">
        <v>29.82</v>
      </c>
      <c r="G4445">
        <v>29.824999999999999</v>
      </c>
      <c r="H4445">
        <v>-0.35</v>
      </c>
      <c r="I4445">
        <v>6458</v>
      </c>
      <c r="J4445">
        <v>0</v>
      </c>
      <c r="K4445">
        <v>16708</v>
      </c>
      <c r="L4445">
        <v>60</v>
      </c>
      <c r="M4445">
        <v>84</v>
      </c>
      <c r="N4445" t="s">
        <v>50</v>
      </c>
      <c r="O4445" s="3">
        <v>44062</v>
      </c>
      <c r="P4445">
        <v>-1</v>
      </c>
      <c r="T4445" t="s">
        <v>35</v>
      </c>
      <c r="U4445">
        <v>12</v>
      </c>
      <c r="V4445">
        <v>18.399899999999999</v>
      </c>
    </row>
    <row r="4446" spans="1:22" x14ac:dyDescent="0.35">
      <c r="A4446" s="3">
        <v>43978</v>
      </c>
      <c r="B4446" t="s">
        <v>47</v>
      </c>
      <c r="C4446">
        <v>30</v>
      </c>
      <c r="D4446">
        <v>30.56</v>
      </c>
      <c r="E4446">
        <v>29.55</v>
      </c>
      <c r="F4446">
        <v>29.7</v>
      </c>
      <c r="G4446">
        <v>29.725000000000001</v>
      </c>
      <c r="H4446">
        <v>-0.27500000000000002</v>
      </c>
      <c r="I4446">
        <v>1930</v>
      </c>
      <c r="J4446">
        <v>0</v>
      </c>
      <c r="K4446">
        <v>11510</v>
      </c>
      <c r="L4446">
        <v>124</v>
      </c>
      <c r="M4446">
        <v>175</v>
      </c>
      <c r="N4446" t="s">
        <v>47</v>
      </c>
      <c r="O4446" s="3">
        <v>44153</v>
      </c>
      <c r="P4446">
        <v>-1</v>
      </c>
      <c r="T4446" t="s">
        <v>34</v>
      </c>
      <c r="U4446">
        <v>36</v>
      </c>
      <c r="V4446">
        <v>20.800599999999999</v>
      </c>
    </row>
    <row r="4447" spans="1:22" x14ac:dyDescent="0.35">
      <c r="A4447" s="3">
        <v>43978</v>
      </c>
      <c r="B4447" t="s">
        <v>52</v>
      </c>
      <c r="C4447">
        <v>29.7</v>
      </c>
      <c r="D4447">
        <v>31.35</v>
      </c>
      <c r="E4447">
        <v>28.61</v>
      </c>
      <c r="F4447">
        <v>29.1</v>
      </c>
      <c r="G4447">
        <v>29.074999999999999</v>
      </c>
      <c r="H4447">
        <v>-0.55000000000000004</v>
      </c>
      <c r="I4447">
        <v>68230</v>
      </c>
      <c r="J4447">
        <v>88</v>
      </c>
      <c r="K4447">
        <v>96018</v>
      </c>
      <c r="L4447">
        <v>15</v>
      </c>
      <c r="M4447">
        <v>21</v>
      </c>
      <c r="N4447" t="s">
        <v>52</v>
      </c>
      <c r="O4447" s="3">
        <v>43999</v>
      </c>
      <c r="P4447">
        <v>-1</v>
      </c>
      <c r="S4447" s="3">
        <v>44502</v>
      </c>
      <c r="T4447" t="s">
        <v>33</v>
      </c>
      <c r="U4447">
        <v>53</v>
      </c>
      <c r="V4447">
        <v>22.0047</v>
      </c>
    </row>
    <row r="4448" spans="1:22" x14ac:dyDescent="0.35">
      <c r="A4448" s="3">
        <v>43977</v>
      </c>
      <c r="B4448" t="s">
        <v>49</v>
      </c>
      <c r="C4448">
        <v>31.06</v>
      </c>
      <c r="D4448">
        <v>31.16</v>
      </c>
      <c r="E4448">
        <v>29.83</v>
      </c>
      <c r="F4448">
        <v>30.45</v>
      </c>
      <c r="G4448">
        <v>30.425000000000001</v>
      </c>
      <c r="H4448">
        <v>-0.67500000000000004</v>
      </c>
      <c r="I4448">
        <v>3058</v>
      </c>
      <c r="J4448">
        <v>0</v>
      </c>
      <c r="K4448">
        <v>17536</v>
      </c>
      <c r="L4448">
        <v>80</v>
      </c>
      <c r="M4448">
        <v>113</v>
      </c>
      <c r="N4448" t="s">
        <v>49</v>
      </c>
      <c r="O4448" s="3">
        <v>44090</v>
      </c>
      <c r="P4448">
        <v>-1</v>
      </c>
      <c r="T4448" t="s">
        <v>32</v>
      </c>
      <c r="U4448">
        <v>73</v>
      </c>
      <c r="V4448">
        <v>23.042899999999999</v>
      </c>
    </row>
    <row r="4449" spans="1:22" x14ac:dyDescent="0.35">
      <c r="A4449" s="3">
        <v>43977</v>
      </c>
      <c r="B4449" t="s">
        <v>51</v>
      </c>
      <c r="C4449">
        <v>31</v>
      </c>
      <c r="D4449">
        <v>31.25</v>
      </c>
      <c r="E4449">
        <v>29.6</v>
      </c>
      <c r="F4449">
        <v>30.46</v>
      </c>
      <c r="G4449">
        <v>30.475000000000001</v>
      </c>
      <c r="H4449">
        <v>-0.6</v>
      </c>
      <c r="I4449">
        <v>36263</v>
      </c>
      <c r="J4449">
        <v>164</v>
      </c>
      <c r="K4449">
        <v>48568</v>
      </c>
      <c r="L4449">
        <v>41</v>
      </c>
      <c r="M4449">
        <v>57</v>
      </c>
      <c r="N4449" t="s">
        <v>51</v>
      </c>
      <c r="O4449" s="3">
        <v>44034</v>
      </c>
      <c r="P4449">
        <v>-1</v>
      </c>
      <c r="T4449" t="s">
        <v>31</v>
      </c>
      <c r="U4449">
        <v>91</v>
      </c>
      <c r="V4449">
        <v>23.905000000000001</v>
      </c>
    </row>
    <row r="4450" spans="1:22" x14ac:dyDescent="0.35">
      <c r="A4450" s="3">
        <v>43977</v>
      </c>
      <c r="B4450" t="s">
        <v>48</v>
      </c>
      <c r="C4450">
        <v>32.049999999999997</v>
      </c>
      <c r="D4450">
        <v>32.35</v>
      </c>
      <c r="E4450">
        <v>31.28</v>
      </c>
      <c r="F4450">
        <v>31.98</v>
      </c>
      <c r="G4450">
        <v>31.975000000000001</v>
      </c>
      <c r="H4450">
        <v>-0.375</v>
      </c>
      <c r="I4450">
        <v>2738</v>
      </c>
      <c r="J4450">
        <v>0</v>
      </c>
      <c r="K4450">
        <v>16611</v>
      </c>
      <c r="L4450">
        <v>105</v>
      </c>
      <c r="M4450">
        <v>148</v>
      </c>
      <c r="N4450" t="s">
        <v>48</v>
      </c>
      <c r="O4450" s="3">
        <v>44125</v>
      </c>
      <c r="P4450">
        <v>-1</v>
      </c>
      <c r="T4450" t="s">
        <v>30</v>
      </c>
      <c r="U4450">
        <v>117</v>
      </c>
      <c r="V4450">
        <v>24.4</v>
      </c>
    </row>
    <row r="4451" spans="1:22" x14ac:dyDescent="0.35">
      <c r="A4451" s="3">
        <v>43977</v>
      </c>
      <c r="B4451" t="s">
        <v>50</v>
      </c>
      <c r="C4451">
        <v>30.77</v>
      </c>
      <c r="D4451">
        <v>31</v>
      </c>
      <c r="E4451">
        <v>29.55</v>
      </c>
      <c r="F4451">
        <v>30.17</v>
      </c>
      <c r="G4451">
        <v>30.175000000000001</v>
      </c>
      <c r="H4451">
        <v>-0.625</v>
      </c>
      <c r="I4451">
        <v>5329</v>
      </c>
      <c r="J4451">
        <v>0</v>
      </c>
      <c r="K4451">
        <v>16559</v>
      </c>
      <c r="L4451">
        <v>61</v>
      </c>
      <c r="M4451">
        <v>85</v>
      </c>
      <c r="N4451" t="s">
        <v>50</v>
      </c>
      <c r="O4451" s="3">
        <v>44062</v>
      </c>
      <c r="P4451">
        <v>-1</v>
      </c>
      <c r="T4451" t="s">
        <v>29</v>
      </c>
      <c r="U4451">
        <v>137</v>
      </c>
      <c r="V4451">
        <v>24.6313</v>
      </c>
    </row>
    <row r="4452" spans="1:22" x14ac:dyDescent="0.35">
      <c r="A4452" s="3">
        <v>43977</v>
      </c>
      <c r="B4452" t="s">
        <v>47</v>
      </c>
      <c r="C4452">
        <v>30.05</v>
      </c>
      <c r="D4452">
        <v>30.3</v>
      </c>
      <c r="E4452">
        <v>29.37</v>
      </c>
      <c r="F4452">
        <v>30</v>
      </c>
      <c r="G4452">
        <v>30</v>
      </c>
      <c r="H4452">
        <v>-0.375</v>
      </c>
      <c r="I4452">
        <v>1495</v>
      </c>
      <c r="J4452">
        <v>0</v>
      </c>
      <c r="K4452">
        <v>11285</v>
      </c>
      <c r="L4452">
        <v>125</v>
      </c>
      <c r="M4452">
        <v>176</v>
      </c>
      <c r="N4452" t="s">
        <v>47</v>
      </c>
      <c r="O4452" s="3">
        <v>44153</v>
      </c>
      <c r="P4452">
        <v>-1</v>
      </c>
      <c r="T4452" t="s">
        <v>28</v>
      </c>
      <c r="U4452">
        <v>156</v>
      </c>
      <c r="V4452">
        <v>24.774999999999999</v>
      </c>
    </row>
    <row r="4453" spans="1:22" x14ac:dyDescent="0.35">
      <c r="A4453" s="3">
        <v>43977</v>
      </c>
      <c r="B4453" t="s">
        <v>52</v>
      </c>
      <c r="C4453">
        <v>30.5</v>
      </c>
      <c r="D4453">
        <v>30.65</v>
      </c>
      <c r="E4453">
        <v>28.7</v>
      </c>
      <c r="F4453">
        <v>29.6</v>
      </c>
      <c r="G4453">
        <v>29.625</v>
      </c>
      <c r="H4453">
        <v>-0.75</v>
      </c>
      <c r="I4453">
        <v>64838</v>
      </c>
      <c r="J4453">
        <v>878</v>
      </c>
      <c r="K4453">
        <v>95624</v>
      </c>
      <c r="L4453">
        <v>16</v>
      </c>
      <c r="M4453">
        <v>22</v>
      </c>
      <c r="N4453" t="s">
        <v>52</v>
      </c>
      <c r="O4453" s="3">
        <v>43999</v>
      </c>
      <c r="P4453">
        <v>-1</v>
      </c>
      <c r="T4453" t="s">
        <v>22</v>
      </c>
      <c r="U4453">
        <v>180</v>
      </c>
      <c r="V4453">
        <v>24.95</v>
      </c>
    </row>
    <row r="4454" spans="1:22" x14ac:dyDescent="0.35">
      <c r="A4454" s="3">
        <v>43977</v>
      </c>
      <c r="B4454" t="s">
        <v>46</v>
      </c>
      <c r="C4454">
        <v>29</v>
      </c>
      <c r="D4454">
        <v>29.2</v>
      </c>
      <c r="E4454">
        <v>28.3</v>
      </c>
      <c r="F4454">
        <v>28.8</v>
      </c>
      <c r="G4454">
        <v>28.774999999999999</v>
      </c>
      <c r="H4454">
        <v>-0.4</v>
      </c>
      <c r="I4454">
        <v>640</v>
      </c>
      <c r="J4454">
        <v>0</v>
      </c>
      <c r="K4454">
        <v>1871</v>
      </c>
      <c r="L4454">
        <v>144</v>
      </c>
      <c r="M4454">
        <v>204</v>
      </c>
      <c r="N4454" t="s">
        <v>46</v>
      </c>
      <c r="O4454" s="3">
        <v>44181</v>
      </c>
      <c r="P4454">
        <v>-1</v>
      </c>
      <c r="T4454" t="s">
        <v>35</v>
      </c>
      <c r="U4454">
        <v>11</v>
      </c>
      <c r="V4454">
        <v>17.8505</v>
      </c>
    </row>
    <row r="4455" spans="1:22" x14ac:dyDescent="0.35">
      <c r="A4455" s="3">
        <v>43977</v>
      </c>
      <c r="B4455" t="s">
        <v>45</v>
      </c>
      <c r="C4455">
        <v>28.75</v>
      </c>
      <c r="D4455">
        <v>29.1</v>
      </c>
      <c r="E4455">
        <v>28.4</v>
      </c>
      <c r="F4455">
        <v>28.75</v>
      </c>
      <c r="G4455">
        <v>28.75</v>
      </c>
      <c r="H4455">
        <v>-0.4</v>
      </c>
      <c r="I4455">
        <v>76</v>
      </c>
      <c r="J4455">
        <v>0</v>
      </c>
      <c r="K4455">
        <v>123</v>
      </c>
      <c r="L4455">
        <v>166</v>
      </c>
      <c r="M4455">
        <v>239</v>
      </c>
      <c r="N4455" t="s">
        <v>45</v>
      </c>
      <c r="O4455" s="3">
        <v>44216</v>
      </c>
      <c r="P4455">
        <v>-1</v>
      </c>
      <c r="T4455" t="s">
        <v>34</v>
      </c>
      <c r="U4455">
        <v>35</v>
      </c>
      <c r="V4455">
        <v>20.350899999999999</v>
      </c>
    </row>
    <row r="4456" spans="1:22" x14ac:dyDescent="0.35">
      <c r="A4456" s="3">
        <v>43973</v>
      </c>
      <c r="B4456" t="s">
        <v>46</v>
      </c>
      <c r="C4456">
        <v>29.9</v>
      </c>
      <c r="D4456">
        <v>30.05</v>
      </c>
      <c r="E4456">
        <v>29.03</v>
      </c>
      <c r="F4456">
        <v>29.12</v>
      </c>
      <c r="G4456">
        <v>29.175000000000001</v>
      </c>
      <c r="H4456">
        <v>-0.35</v>
      </c>
      <c r="I4456">
        <v>666</v>
      </c>
      <c r="J4456">
        <v>0</v>
      </c>
      <c r="K4456">
        <v>1656</v>
      </c>
      <c r="L4456">
        <v>145</v>
      </c>
      <c r="M4456">
        <v>208</v>
      </c>
      <c r="N4456" t="s">
        <v>46</v>
      </c>
      <c r="O4456" s="3">
        <v>44181</v>
      </c>
      <c r="P4456">
        <v>-1</v>
      </c>
      <c r="S4456" s="3">
        <v>44503</v>
      </c>
      <c r="T4456" t="s">
        <v>33</v>
      </c>
      <c r="U4456">
        <v>52</v>
      </c>
      <c r="V4456">
        <v>21.503499999999999</v>
      </c>
    </row>
    <row r="4457" spans="1:22" x14ac:dyDescent="0.35">
      <c r="A4457" s="3">
        <v>43973</v>
      </c>
      <c r="B4457" t="s">
        <v>45</v>
      </c>
      <c r="C4457">
        <v>30</v>
      </c>
      <c r="D4457">
        <v>30</v>
      </c>
      <c r="E4457">
        <v>29.05</v>
      </c>
      <c r="F4457">
        <v>29.22</v>
      </c>
      <c r="G4457">
        <v>29.15</v>
      </c>
      <c r="H4457">
        <v>-0.4</v>
      </c>
      <c r="I4457">
        <v>35</v>
      </c>
      <c r="J4457">
        <v>0</v>
      </c>
      <c r="K4457">
        <v>81</v>
      </c>
      <c r="L4457">
        <v>167</v>
      </c>
      <c r="M4457">
        <v>243</v>
      </c>
      <c r="N4457" t="s">
        <v>45</v>
      </c>
      <c r="O4457" s="3">
        <v>44216</v>
      </c>
      <c r="P4457">
        <v>-1</v>
      </c>
      <c r="T4457" t="s">
        <v>32</v>
      </c>
      <c r="U4457">
        <v>72</v>
      </c>
      <c r="V4457">
        <v>22.555700000000002</v>
      </c>
    </row>
    <row r="4458" spans="1:22" x14ac:dyDescent="0.35">
      <c r="A4458" s="3">
        <v>43973</v>
      </c>
      <c r="B4458" t="s">
        <v>51</v>
      </c>
      <c r="C4458">
        <v>31.37</v>
      </c>
      <c r="D4458">
        <v>32.69</v>
      </c>
      <c r="E4458">
        <v>30.81</v>
      </c>
      <c r="F4458">
        <v>30.94</v>
      </c>
      <c r="G4458">
        <v>31.074999999999999</v>
      </c>
      <c r="H4458">
        <v>-0.55000000000000004</v>
      </c>
      <c r="I4458">
        <v>29088</v>
      </c>
      <c r="J4458">
        <v>0</v>
      </c>
      <c r="K4458">
        <v>45990</v>
      </c>
      <c r="L4458">
        <v>42</v>
      </c>
      <c r="M4458">
        <v>61</v>
      </c>
      <c r="N4458" t="s">
        <v>51</v>
      </c>
      <c r="O4458" s="3">
        <v>44034</v>
      </c>
      <c r="P4458">
        <v>-1</v>
      </c>
      <c r="T4458" t="s">
        <v>31</v>
      </c>
      <c r="U4458">
        <v>90</v>
      </c>
      <c r="V4458">
        <v>23.520299999999999</v>
      </c>
    </row>
    <row r="4459" spans="1:22" x14ac:dyDescent="0.35">
      <c r="A4459" s="3">
        <v>43973</v>
      </c>
      <c r="B4459" t="s">
        <v>48</v>
      </c>
      <c r="C4459">
        <v>32.28</v>
      </c>
      <c r="D4459">
        <v>33.4</v>
      </c>
      <c r="E4459">
        <v>32.17</v>
      </c>
      <c r="F4459">
        <v>32.25</v>
      </c>
      <c r="G4459">
        <v>32.35</v>
      </c>
      <c r="H4459">
        <v>-0.27500000000000002</v>
      </c>
      <c r="I4459">
        <v>1769</v>
      </c>
      <c r="J4459">
        <v>0</v>
      </c>
      <c r="K4459">
        <v>16493</v>
      </c>
      <c r="L4459">
        <v>106</v>
      </c>
      <c r="M4459">
        <v>152</v>
      </c>
      <c r="N4459" t="s">
        <v>48</v>
      </c>
      <c r="O4459" s="3">
        <v>44125</v>
      </c>
      <c r="P4459">
        <v>-1</v>
      </c>
      <c r="T4459" t="s">
        <v>30</v>
      </c>
      <c r="U4459">
        <v>116</v>
      </c>
      <c r="V4459">
        <v>24.048300000000001</v>
      </c>
    </row>
    <row r="4460" spans="1:22" x14ac:dyDescent="0.35">
      <c r="A4460" s="3">
        <v>43973</v>
      </c>
      <c r="B4460" t="s">
        <v>50</v>
      </c>
      <c r="C4460">
        <v>31.08</v>
      </c>
      <c r="D4460">
        <v>32.17</v>
      </c>
      <c r="E4460">
        <v>30.6</v>
      </c>
      <c r="F4460">
        <v>30.65</v>
      </c>
      <c r="G4460">
        <v>30.8</v>
      </c>
      <c r="H4460">
        <v>-0.42499999999999999</v>
      </c>
      <c r="I4460">
        <v>4405</v>
      </c>
      <c r="J4460">
        <v>0</v>
      </c>
      <c r="K4460">
        <v>16450</v>
      </c>
      <c r="L4460">
        <v>62</v>
      </c>
      <c r="M4460">
        <v>89</v>
      </c>
      <c r="N4460" t="s">
        <v>50</v>
      </c>
      <c r="O4460" s="3">
        <v>44062</v>
      </c>
      <c r="P4460">
        <v>-1</v>
      </c>
      <c r="T4460" t="s">
        <v>29</v>
      </c>
      <c r="U4460">
        <v>136</v>
      </c>
      <c r="V4460">
        <v>24.3</v>
      </c>
    </row>
    <row r="4461" spans="1:22" x14ac:dyDescent="0.35">
      <c r="A4461" s="3">
        <v>43973</v>
      </c>
      <c r="B4461" t="s">
        <v>47</v>
      </c>
      <c r="C4461">
        <v>30.57</v>
      </c>
      <c r="D4461">
        <v>31.3</v>
      </c>
      <c r="E4461">
        <v>30.25</v>
      </c>
      <c r="F4461">
        <v>30.29</v>
      </c>
      <c r="G4461">
        <v>30.375</v>
      </c>
      <c r="H4461">
        <v>-0.25</v>
      </c>
      <c r="I4461">
        <v>942</v>
      </c>
      <c r="J4461">
        <v>0</v>
      </c>
      <c r="K4461">
        <v>11029</v>
      </c>
      <c r="L4461">
        <v>126</v>
      </c>
      <c r="M4461">
        <v>180</v>
      </c>
      <c r="N4461" t="s">
        <v>47</v>
      </c>
      <c r="O4461" s="3">
        <v>44153</v>
      </c>
      <c r="P4461">
        <v>-1</v>
      </c>
      <c r="T4461" t="s">
        <v>28</v>
      </c>
      <c r="U4461">
        <v>155</v>
      </c>
      <c r="V4461">
        <v>24.5</v>
      </c>
    </row>
    <row r="4462" spans="1:22" x14ac:dyDescent="0.35">
      <c r="A4462" s="3">
        <v>43973</v>
      </c>
      <c r="B4462" t="s">
        <v>52</v>
      </c>
      <c r="C4462">
        <v>30.8</v>
      </c>
      <c r="D4462">
        <v>32.549999999999997</v>
      </c>
      <c r="E4462">
        <v>30.14</v>
      </c>
      <c r="F4462">
        <v>30.24</v>
      </c>
      <c r="G4462">
        <v>30.375</v>
      </c>
      <c r="H4462">
        <v>-0.65</v>
      </c>
      <c r="I4462">
        <v>55867</v>
      </c>
      <c r="J4462">
        <v>0</v>
      </c>
      <c r="K4462">
        <v>100260</v>
      </c>
      <c r="L4462">
        <v>17</v>
      </c>
      <c r="M4462">
        <v>26</v>
      </c>
      <c r="N4462" t="s">
        <v>52</v>
      </c>
      <c r="O4462" s="3">
        <v>43999</v>
      </c>
      <c r="P4462">
        <v>-1</v>
      </c>
      <c r="T4462" t="s">
        <v>22</v>
      </c>
      <c r="U4462">
        <v>179</v>
      </c>
      <c r="V4462">
        <v>24.75</v>
      </c>
    </row>
    <row r="4463" spans="1:22" x14ac:dyDescent="0.35">
      <c r="A4463" s="3">
        <v>43973</v>
      </c>
      <c r="B4463" t="s">
        <v>49</v>
      </c>
      <c r="C4463">
        <v>31.29</v>
      </c>
      <c r="D4463">
        <v>32.299999999999997</v>
      </c>
      <c r="E4463">
        <v>30.95</v>
      </c>
      <c r="F4463">
        <v>30.95</v>
      </c>
      <c r="G4463">
        <v>31.1</v>
      </c>
      <c r="H4463">
        <v>-0.375</v>
      </c>
      <c r="I4463">
        <v>2340</v>
      </c>
      <c r="J4463">
        <v>0</v>
      </c>
      <c r="K4463">
        <v>17173</v>
      </c>
      <c r="L4463">
        <v>81</v>
      </c>
      <c r="M4463">
        <v>117</v>
      </c>
      <c r="N4463" t="s">
        <v>49</v>
      </c>
      <c r="O4463" s="3">
        <v>44090</v>
      </c>
      <c r="P4463">
        <v>-1</v>
      </c>
      <c r="T4463" t="s">
        <v>35</v>
      </c>
      <c r="U4463">
        <v>10</v>
      </c>
      <c r="V4463">
        <v>17.107800000000001</v>
      </c>
    </row>
    <row r="4464" spans="1:22" x14ac:dyDescent="0.35">
      <c r="A4464" s="3">
        <v>43972</v>
      </c>
      <c r="B4464" t="s">
        <v>51</v>
      </c>
      <c r="C4464">
        <v>30.3</v>
      </c>
      <c r="D4464">
        <v>31.7</v>
      </c>
      <c r="E4464">
        <v>30.25</v>
      </c>
      <c r="F4464">
        <v>31.48</v>
      </c>
      <c r="G4464">
        <v>31.625</v>
      </c>
      <c r="H4464">
        <v>1.05</v>
      </c>
      <c r="I4464">
        <v>31957</v>
      </c>
      <c r="J4464">
        <v>5</v>
      </c>
      <c r="K4464">
        <v>41404</v>
      </c>
      <c r="L4464">
        <v>43</v>
      </c>
      <c r="M4464">
        <v>62</v>
      </c>
      <c r="N4464" t="s">
        <v>51</v>
      </c>
      <c r="O4464" s="3">
        <v>44034</v>
      </c>
      <c r="P4464">
        <v>-1</v>
      </c>
      <c r="T4464" t="s">
        <v>34</v>
      </c>
      <c r="U4464">
        <v>34</v>
      </c>
      <c r="V4464">
        <v>19.749500000000001</v>
      </c>
    </row>
    <row r="4465" spans="1:22" x14ac:dyDescent="0.35">
      <c r="A4465" s="3">
        <v>43972</v>
      </c>
      <c r="B4465" t="s">
        <v>48</v>
      </c>
      <c r="C4465">
        <v>31.65</v>
      </c>
      <c r="D4465">
        <v>32.65</v>
      </c>
      <c r="E4465">
        <v>31.55</v>
      </c>
      <c r="F4465">
        <v>32.57</v>
      </c>
      <c r="G4465">
        <v>32.625</v>
      </c>
      <c r="H4465">
        <v>0.85</v>
      </c>
      <c r="I4465">
        <v>2200</v>
      </c>
      <c r="J4465">
        <v>0</v>
      </c>
      <c r="K4465">
        <v>16445</v>
      </c>
      <c r="L4465">
        <v>107</v>
      </c>
      <c r="M4465">
        <v>153</v>
      </c>
      <c r="N4465" t="s">
        <v>48</v>
      </c>
      <c r="O4465" s="3">
        <v>44125</v>
      </c>
      <c r="P4465">
        <v>-1</v>
      </c>
      <c r="S4465" s="3">
        <v>44504</v>
      </c>
      <c r="T4465" t="s">
        <v>33</v>
      </c>
      <c r="U4465">
        <v>51</v>
      </c>
      <c r="V4465">
        <v>21.85</v>
      </c>
    </row>
    <row r="4466" spans="1:22" x14ac:dyDescent="0.35">
      <c r="A4466" s="3">
        <v>43972</v>
      </c>
      <c r="B4466" t="s">
        <v>50</v>
      </c>
      <c r="C4466">
        <v>30.2</v>
      </c>
      <c r="D4466">
        <v>31.26</v>
      </c>
      <c r="E4466">
        <v>30.14</v>
      </c>
      <c r="F4466">
        <v>31.1</v>
      </c>
      <c r="G4466">
        <v>31.225000000000001</v>
      </c>
      <c r="H4466">
        <v>0.9</v>
      </c>
      <c r="I4466">
        <v>5846</v>
      </c>
      <c r="J4466">
        <v>0</v>
      </c>
      <c r="K4466">
        <v>16279</v>
      </c>
      <c r="L4466">
        <v>63</v>
      </c>
      <c r="M4466">
        <v>90</v>
      </c>
      <c r="N4466" t="s">
        <v>50</v>
      </c>
      <c r="O4466" s="3">
        <v>44062</v>
      </c>
      <c r="P4466">
        <v>-1</v>
      </c>
      <c r="T4466" t="s">
        <v>32</v>
      </c>
      <c r="U4466">
        <v>71</v>
      </c>
      <c r="V4466">
        <v>22.9</v>
      </c>
    </row>
    <row r="4467" spans="1:22" x14ac:dyDescent="0.35">
      <c r="A4467" s="3">
        <v>43972</v>
      </c>
      <c r="B4467" t="s">
        <v>47</v>
      </c>
      <c r="C4467">
        <v>29.81</v>
      </c>
      <c r="D4467">
        <v>30.65</v>
      </c>
      <c r="E4467">
        <v>29.7</v>
      </c>
      <c r="F4467">
        <v>30.57</v>
      </c>
      <c r="G4467">
        <v>30.625</v>
      </c>
      <c r="H4467">
        <v>0.7</v>
      </c>
      <c r="I4467">
        <v>1015</v>
      </c>
      <c r="J4467">
        <v>0</v>
      </c>
      <c r="K4467">
        <v>10807</v>
      </c>
      <c r="L4467">
        <v>127</v>
      </c>
      <c r="M4467">
        <v>181</v>
      </c>
      <c r="N4467" t="s">
        <v>47</v>
      </c>
      <c r="O4467" s="3">
        <v>44153</v>
      </c>
      <c r="P4467">
        <v>-1</v>
      </c>
      <c r="T4467" t="s">
        <v>31</v>
      </c>
      <c r="U4467">
        <v>89</v>
      </c>
      <c r="V4467">
        <v>23.7501</v>
      </c>
    </row>
    <row r="4468" spans="1:22" x14ac:dyDescent="0.35">
      <c r="A4468" s="3">
        <v>43972</v>
      </c>
      <c r="B4468" t="s">
        <v>52</v>
      </c>
      <c r="C4468">
        <v>29.6</v>
      </c>
      <c r="D4468">
        <v>31.3</v>
      </c>
      <c r="E4468">
        <v>29.45</v>
      </c>
      <c r="F4468">
        <v>30.85</v>
      </c>
      <c r="G4468">
        <v>31.024999999999999</v>
      </c>
      <c r="H4468">
        <v>1.25</v>
      </c>
      <c r="I4468">
        <v>64746</v>
      </c>
      <c r="J4468">
        <v>107</v>
      </c>
      <c r="K4468">
        <v>104255</v>
      </c>
      <c r="L4468">
        <v>18</v>
      </c>
      <c r="M4468">
        <v>27</v>
      </c>
      <c r="N4468" t="s">
        <v>52</v>
      </c>
      <c r="O4468" s="3">
        <v>43999</v>
      </c>
      <c r="P4468">
        <v>-1</v>
      </c>
      <c r="T4468" t="s">
        <v>30</v>
      </c>
      <c r="U4468">
        <v>115</v>
      </c>
      <c r="V4468">
        <v>24.308</v>
      </c>
    </row>
    <row r="4469" spans="1:22" x14ac:dyDescent="0.35">
      <c r="A4469" s="3">
        <v>43972</v>
      </c>
      <c r="B4469" t="s">
        <v>49</v>
      </c>
      <c r="C4469">
        <v>30.45</v>
      </c>
      <c r="D4469">
        <v>31.5</v>
      </c>
      <c r="E4469">
        <v>30.44</v>
      </c>
      <c r="F4469">
        <v>31.41</v>
      </c>
      <c r="G4469">
        <v>31.475000000000001</v>
      </c>
      <c r="H4469">
        <v>0.9</v>
      </c>
      <c r="I4469">
        <v>2656</v>
      </c>
      <c r="J4469">
        <v>0</v>
      </c>
      <c r="K4469">
        <v>17146</v>
      </c>
      <c r="L4469">
        <v>82</v>
      </c>
      <c r="M4469">
        <v>118</v>
      </c>
      <c r="N4469" t="s">
        <v>49</v>
      </c>
      <c r="O4469" s="3">
        <v>44090</v>
      </c>
      <c r="P4469">
        <v>-1</v>
      </c>
      <c r="T4469" t="s">
        <v>29</v>
      </c>
      <c r="U4469">
        <v>135</v>
      </c>
      <c r="V4469">
        <v>24.55</v>
      </c>
    </row>
    <row r="4470" spans="1:22" x14ac:dyDescent="0.35">
      <c r="A4470" s="3">
        <v>43972</v>
      </c>
      <c r="B4470" t="s">
        <v>46</v>
      </c>
      <c r="C4470">
        <v>28.8</v>
      </c>
      <c r="D4470">
        <v>29.55</v>
      </c>
      <c r="E4470">
        <v>28.77</v>
      </c>
      <c r="F4470">
        <v>29.37</v>
      </c>
      <c r="G4470">
        <v>29.524999999999999</v>
      </c>
      <c r="H4470">
        <v>0.6</v>
      </c>
      <c r="I4470">
        <v>685</v>
      </c>
      <c r="J4470">
        <v>0</v>
      </c>
      <c r="K4470">
        <v>1476</v>
      </c>
      <c r="L4470">
        <v>146</v>
      </c>
      <c r="M4470">
        <v>209</v>
      </c>
      <c r="N4470" t="s">
        <v>46</v>
      </c>
      <c r="O4470" s="3">
        <v>44181</v>
      </c>
      <c r="P4470">
        <v>-1</v>
      </c>
      <c r="T4470" t="s">
        <v>28</v>
      </c>
      <c r="U4470">
        <v>154</v>
      </c>
      <c r="V4470">
        <v>24.7</v>
      </c>
    </row>
    <row r="4471" spans="1:22" x14ac:dyDescent="0.35">
      <c r="A4471" s="3">
        <v>43972</v>
      </c>
      <c r="B4471" t="s">
        <v>45</v>
      </c>
      <c r="C4471">
        <v>29.12</v>
      </c>
      <c r="D4471">
        <v>29.5</v>
      </c>
      <c r="E4471">
        <v>28.9</v>
      </c>
      <c r="F4471">
        <v>29.5</v>
      </c>
      <c r="G4471">
        <v>29.55</v>
      </c>
      <c r="H4471">
        <v>0.625</v>
      </c>
      <c r="I4471">
        <v>30</v>
      </c>
      <c r="J4471">
        <v>0</v>
      </c>
      <c r="K4471">
        <v>70</v>
      </c>
      <c r="L4471">
        <v>168</v>
      </c>
      <c r="M4471">
        <v>244</v>
      </c>
      <c r="N4471" t="s">
        <v>45</v>
      </c>
      <c r="O4471" s="3">
        <v>44216</v>
      </c>
      <c r="P4471">
        <v>-1</v>
      </c>
      <c r="T4471" t="s">
        <v>22</v>
      </c>
      <c r="U4471">
        <v>178</v>
      </c>
      <c r="V4471">
        <v>24.774999999999999</v>
      </c>
    </row>
    <row r="4472" spans="1:22" x14ac:dyDescent="0.35">
      <c r="A4472" s="3">
        <v>43971</v>
      </c>
      <c r="B4472" t="s">
        <v>46</v>
      </c>
      <c r="C4472">
        <v>29.45</v>
      </c>
      <c r="D4472">
        <v>29.6</v>
      </c>
      <c r="E4472">
        <v>28.6</v>
      </c>
      <c r="F4472">
        <v>28.8</v>
      </c>
      <c r="G4472">
        <v>28.925000000000001</v>
      </c>
      <c r="H4472">
        <v>-0.67500000000000004</v>
      </c>
      <c r="I4472">
        <v>565</v>
      </c>
      <c r="J4472">
        <v>0</v>
      </c>
      <c r="K4472">
        <v>1175</v>
      </c>
      <c r="L4472">
        <v>147</v>
      </c>
      <c r="M4472">
        <v>210</v>
      </c>
      <c r="N4472" t="s">
        <v>46</v>
      </c>
      <c r="O4472" s="3">
        <v>44181</v>
      </c>
      <c r="P4472">
        <v>-1</v>
      </c>
      <c r="T4472" t="s">
        <v>35</v>
      </c>
      <c r="U4472">
        <v>9</v>
      </c>
      <c r="V4472">
        <v>17.4041</v>
      </c>
    </row>
    <row r="4473" spans="1:22" x14ac:dyDescent="0.35">
      <c r="A4473" s="3">
        <v>43971</v>
      </c>
      <c r="B4473" t="s">
        <v>45</v>
      </c>
      <c r="C4473">
        <v>29.23</v>
      </c>
      <c r="D4473">
        <v>29.75</v>
      </c>
      <c r="E4473">
        <v>28.77</v>
      </c>
      <c r="F4473">
        <v>28.85</v>
      </c>
      <c r="G4473">
        <v>28.925000000000001</v>
      </c>
      <c r="H4473">
        <v>-0.92500000000000004</v>
      </c>
      <c r="I4473">
        <v>59</v>
      </c>
      <c r="J4473">
        <v>0</v>
      </c>
      <c r="K4473">
        <v>58</v>
      </c>
      <c r="L4473">
        <v>169</v>
      </c>
      <c r="M4473">
        <v>245</v>
      </c>
      <c r="N4473" t="s">
        <v>45</v>
      </c>
      <c r="O4473" s="3">
        <v>44216</v>
      </c>
      <c r="P4473">
        <v>-1</v>
      </c>
      <c r="T4473" t="s">
        <v>34</v>
      </c>
      <c r="U4473">
        <v>33</v>
      </c>
      <c r="V4473">
        <v>20.084</v>
      </c>
    </row>
    <row r="4474" spans="1:22" x14ac:dyDescent="0.35">
      <c r="A4474" s="3">
        <v>43971</v>
      </c>
      <c r="B4474" t="s">
        <v>51</v>
      </c>
      <c r="C4474">
        <v>31.78</v>
      </c>
      <c r="D4474">
        <v>32.020000000000003</v>
      </c>
      <c r="E4474">
        <v>30.17</v>
      </c>
      <c r="F4474">
        <v>30.35</v>
      </c>
      <c r="G4474">
        <v>30.574999999999999</v>
      </c>
      <c r="H4474">
        <v>-1.2</v>
      </c>
      <c r="I4474">
        <v>37037</v>
      </c>
      <c r="J4474">
        <v>0</v>
      </c>
      <c r="K4474">
        <v>40009</v>
      </c>
      <c r="L4474">
        <v>44</v>
      </c>
      <c r="M4474">
        <v>63</v>
      </c>
      <c r="N4474" t="s">
        <v>51</v>
      </c>
      <c r="O4474" s="3">
        <v>44034</v>
      </c>
      <c r="P4474">
        <v>-1</v>
      </c>
      <c r="S4474" s="3">
        <v>44505</v>
      </c>
      <c r="T4474" t="s">
        <v>33</v>
      </c>
      <c r="U4474">
        <v>50</v>
      </c>
      <c r="V4474">
        <v>22.332100000000001</v>
      </c>
    </row>
    <row r="4475" spans="1:22" x14ac:dyDescent="0.35">
      <c r="A4475" s="3">
        <v>43971</v>
      </c>
      <c r="B4475" t="s">
        <v>48</v>
      </c>
      <c r="C4475">
        <v>32.65</v>
      </c>
      <c r="D4475">
        <v>32.65</v>
      </c>
      <c r="E4475">
        <v>31.4</v>
      </c>
      <c r="F4475">
        <v>31.7</v>
      </c>
      <c r="G4475">
        <v>31.774999999999999</v>
      </c>
      <c r="H4475">
        <v>-0.85</v>
      </c>
      <c r="I4475">
        <v>3151</v>
      </c>
      <c r="J4475">
        <v>0</v>
      </c>
      <c r="K4475">
        <v>16418</v>
      </c>
      <c r="L4475">
        <v>108</v>
      </c>
      <c r="M4475">
        <v>154</v>
      </c>
      <c r="N4475" t="s">
        <v>48</v>
      </c>
      <c r="O4475" s="3">
        <v>44125</v>
      </c>
      <c r="P4475">
        <v>-1</v>
      </c>
      <c r="T4475" t="s">
        <v>32</v>
      </c>
      <c r="U4475">
        <v>70</v>
      </c>
      <c r="V4475">
        <v>23.222000000000001</v>
      </c>
    </row>
    <row r="4476" spans="1:22" x14ac:dyDescent="0.35">
      <c r="A4476" s="3">
        <v>43971</v>
      </c>
      <c r="B4476" t="s">
        <v>53</v>
      </c>
      <c r="C4476">
        <v>30.8</v>
      </c>
      <c r="D4476">
        <v>31.13</v>
      </c>
      <c r="E4476">
        <v>28.7</v>
      </c>
      <c r="F4476">
        <v>28.7</v>
      </c>
      <c r="G4476">
        <v>28.11</v>
      </c>
      <c r="H4476">
        <v>-2.64</v>
      </c>
      <c r="I4476">
        <v>452</v>
      </c>
      <c r="J4476">
        <v>0</v>
      </c>
      <c r="K4476">
        <v>29539</v>
      </c>
      <c r="L4476">
        <v>0</v>
      </c>
      <c r="M4476">
        <v>0</v>
      </c>
      <c r="N4476" t="s">
        <v>53</v>
      </c>
      <c r="O4476" s="3">
        <v>43971</v>
      </c>
      <c r="P4476">
        <v>-1</v>
      </c>
      <c r="T4476" t="s">
        <v>31</v>
      </c>
      <c r="U4476">
        <v>88</v>
      </c>
      <c r="V4476">
        <v>24.1006</v>
      </c>
    </row>
    <row r="4477" spans="1:22" x14ac:dyDescent="0.35">
      <c r="A4477" s="3">
        <v>43971</v>
      </c>
      <c r="B4477" t="s">
        <v>50</v>
      </c>
      <c r="C4477">
        <v>31.28</v>
      </c>
      <c r="D4477">
        <v>31.46</v>
      </c>
      <c r="E4477">
        <v>29.9</v>
      </c>
      <c r="F4477">
        <v>30.17</v>
      </c>
      <c r="G4477">
        <v>30.324999999999999</v>
      </c>
      <c r="H4477">
        <v>-0.95</v>
      </c>
      <c r="I4477">
        <v>7738</v>
      </c>
      <c r="J4477">
        <v>0</v>
      </c>
      <c r="K4477">
        <v>16088</v>
      </c>
      <c r="L4477">
        <v>64</v>
      </c>
      <c r="M4477">
        <v>91</v>
      </c>
      <c r="N4477" t="s">
        <v>50</v>
      </c>
      <c r="O4477" s="3">
        <v>44062</v>
      </c>
      <c r="P4477">
        <v>-1</v>
      </c>
      <c r="T4477" t="s">
        <v>30</v>
      </c>
      <c r="U4477">
        <v>114</v>
      </c>
      <c r="V4477">
        <v>24.623799999999999</v>
      </c>
    </row>
    <row r="4478" spans="1:22" x14ac:dyDescent="0.35">
      <c r="A4478" s="3">
        <v>43971</v>
      </c>
      <c r="B4478" t="s">
        <v>47</v>
      </c>
      <c r="C4478">
        <v>30.85</v>
      </c>
      <c r="D4478">
        <v>30.85</v>
      </c>
      <c r="E4478">
        <v>29.55</v>
      </c>
      <c r="F4478">
        <v>29.8</v>
      </c>
      <c r="G4478">
        <v>29.925000000000001</v>
      </c>
      <c r="H4478">
        <v>-0.82499999999999996</v>
      </c>
      <c r="I4478">
        <v>1551</v>
      </c>
      <c r="J4478">
        <v>0</v>
      </c>
      <c r="K4478">
        <v>10812</v>
      </c>
      <c r="L4478">
        <v>128</v>
      </c>
      <c r="M4478">
        <v>182</v>
      </c>
      <c r="N4478" t="s">
        <v>47</v>
      </c>
      <c r="O4478" s="3">
        <v>44153</v>
      </c>
      <c r="P4478">
        <v>-1</v>
      </c>
      <c r="T4478" t="s">
        <v>29</v>
      </c>
      <c r="U4478">
        <v>134</v>
      </c>
      <c r="V4478">
        <v>24.783300000000001</v>
      </c>
    </row>
    <row r="4479" spans="1:22" x14ac:dyDescent="0.35">
      <c r="A4479" s="3">
        <v>43971</v>
      </c>
      <c r="B4479" t="s">
        <v>52</v>
      </c>
      <c r="C4479">
        <v>32.049999999999997</v>
      </c>
      <c r="D4479">
        <v>32.4</v>
      </c>
      <c r="E4479">
        <v>29.5</v>
      </c>
      <c r="F4479">
        <v>29.5</v>
      </c>
      <c r="G4479">
        <v>29.774999999999999</v>
      </c>
      <c r="H4479">
        <v>-2.2999999999999998</v>
      </c>
      <c r="I4479">
        <v>90969</v>
      </c>
      <c r="J4479">
        <v>850</v>
      </c>
      <c r="K4479">
        <v>110040</v>
      </c>
      <c r="L4479">
        <v>19</v>
      </c>
      <c r="M4479">
        <v>28</v>
      </c>
      <c r="N4479" t="s">
        <v>52</v>
      </c>
      <c r="O4479" s="3">
        <v>43999</v>
      </c>
      <c r="P4479">
        <v>-1</v>
      </c>
      <c r="T4479" t="s">
        <v>28</v>
      </c>
      <c r="U4479">
        <v>153</v>
      </c>
      <c r="V4479">
        <v>24.9</v>
      </c>
    </row>
    <row r="4480" spans="1:22" x14ac:dyDescent="0.35">
      <c r="A4480" s="3">
        <v>43971</v>
      </c>
      <c r="B4480" t="s">
        <v>49</v>
      </c>
      <c r="C4480">
        <v>31.7</v>
      </c>
      <c r="D4480">
        <v>31.7</v>
      </c>
      <c r="E4480">
        <v>30.2</v>
      </c>
      <c r="F4480">
        <v>30.5</v>
      </c>
      <c r="G4480">
        <v>30.574999999999999</v>
      </c>
      <c r="H4480">
        <v>-1</v>
      </c>
      <c r="I4480">
        <v>4582</v>
      </c>
      <c r="J4480">
        <v>0</v>
      </c>
      <c r="K4480">
        <v>17287</v>
      </c>
      <c r="L4480">
        <v>83</v>
      </c>
      <c r="M4480">
        <v>119</v>
      </c>
      <c r="N4480" t="s">
        <v>49</v>
      </c>
      <c r="O4480" s="3">
        <v>44090</v>
      </c>
      <c r="P4480">
        <v>-1</v>
      </c>
      <c r="T4480" t="s">
        <v>22</v>
      </c>
      <c r="U4480">
        <v>177</v>
      </c>
      <c r="V4480">
        <v>24.925000000000001</v>
      </c>
    </row>
    <row r="4481" spans="1:22" x14ac:dyDescent="0.35">
      <c r="A4481" s="3">
        <v>43970</v>
      </c>
      <c r="B4481" t="s">
        <v>51</v>
      </c>
      <c r="C4481">
        <v>30.45</v>
      </c>
      <c r="D4481">
        <v>31.82</v>
      </c>
      <c r="E4481">
        <v>29.89</v>
      </c>
      <c r="F4481">
        <v>31.65</v>
      </c>
      <c r="G4481">
        <v>31.774999999999999</v>
      </c>
      <c r="H4481">
        <v>1.375</v>
      </c>
      <c r="I4481">
        <v>15586</v>
      </c>
      <c r="J4481">
        <v>0</v>
      </c>
      <c r="K4481">
        <v>35444</v>
      </c>
      <c r="L4481">
        <v>45</v>
      </c>
      <c r="M4481">
        <v>64</v>
      </c>
      <c r="N4481" t="s">
        <v>51</v>
      </c>
      <c r="O4481" s="3">
        <v>44034</v>
      </c>
      <c r="P4481">
        <v>-1</v>
      </c>
      <c r="T4481" t="s">
        <v>35</v>
      </c>
      <c r="U4481">
        <v>8</v>
      </c>
      <c r="V4481">
        <v>18.440100000000001</v>
      </c>
    </row>
    <row r="4482" spans="1:22" x14ac:dyDescent="0.35">
      <c r="A4482" s="3">
        <v>43970</v>
      </c>
      <c r="B4482" t="s">
        <v>48</v>
      </c>
      <c r="C4482">
        <v>31.6</v>
      </c>
      <c r="D4482">
        <v>32.65</v>
      </c>
      <c r="E4482">
        <v>31.18</v>
      </c>
      <c r="F4482">
        <v>32.520000000000003</v>
      </c>
      <c r="G4482">
        <v>32.625</v>
      </c>
      <c r="H4482">
        <v>1.05</v>
      </c>
      <c r="I4482">
        <v>2123</v>
      </c>
      <c r="J4482">
        <v>0</v>
      </c>
      <c r="K4482">
        <v>16023</v>
      </c>
      <c r="L4482">
        <v>109</v>
      </c>
      <c r="M4482">
        <v>155</v>
      </c>
      <c r="N4482" t="s">
        <v>48</v>
      </c>
      <c r="O4482" s="3">
        <v>44125</v>
      </c>
      <c r="P4482">
        <v>-1</v>
      </c>
      <c r="T4482" t="s">
        <v>34</v>
      </c>
      <c r="U4482">
        <v>32</v>
      </c>
      <c r="V4482">
        <v>20.505700000000001</v>
      </c>
    </row>
    <row r="4483" spans="1:22" x14ac:dyDescent="0.35">
      <c r="A4483" s="3">
        <v>43970</v>
      </c>
      <c r="B4483" t="s">
        <v>53</v>
      </c>
      <c r="C4483">
        <v>29.05</v>
      </c>
      <c r="D4483">
        <v>31.15</v>
      </c>
      <c r="E4483">
        <v>28.05</v>
      </c>
      <c r="F4483">
        <v>30.6</v>
      </c>
      <c r="G4483">
        <v>30.75</v>
      </c>
      <c r="H4483">
        <v>1.825</v>
      </c>
      <c r="I4483">
        <v>46570</v>
      </c>
      <c r="J4483">
        <v>55</v>
      </c>
      <c r="K4483">
        <v>31324</v>
      </c>
      <c r="L4483">
        <v>1</v>
      </c>
      <c r="M4483">
        <v>1</v>
      </c>
      <c r="N4483" t="s">
        <v>53</v>
      </c>
      <c r="O4483" s="3">
        <v>43971</v>
      </c>
      <c r="P4483">
        <v>-1</v>
      </c>
      <c r="S4483" s="3">
        <v>44508</v>
      </c>
      <c r="T4483" t="s">
        <v>33</v>
      </c>
      <c r="U4483">
        <v>49</v>
      </c>
      <c r="V4483">
        <v>22.209900000000001</v>
      </c>
    </row>
    <row r="4484" spans="1:22" x14ac:dyDescent="0.35">
      <c r="A4484" s="3">
        <v>43970</v>
      </c>
      <c r="B4484" t="s">
        <v>50</v>
      </c>
      <c r="C4484">
        <v>30.2</v>
      </c>
      <c r="D4484">
        <v>31.35</v>
      </c>
      <c r="E4484">
        <v>29.72</v>
      </c>
      <c r="F4484">
        <v>31.2</v>
      </c>
      <c r="G4484">
        <v>31.274999999999999</v>
      </c>
      <c r="H4484">
        <v>1.05</v>
      </c>
      <c r="I4484">
        <v>6609</v>
      </c>
      <c r="J4484">
        <v>0</v>
      </c>
      <c r="K4484">
        <v>16264</v>
      </c>
      <c r="L4484">
        <v>65</v>
      </c>
      <c r="M4484">
        <v>92</v>
      </c>
      <c r="N4484" t="s">
        <v>50</v>
      </c>
      <c r="O4484" s="3">
        <v>44062</v>
      </c>
      <c r="P4484">
        <v>-1</v>
      </c>
      <c r="T4484" t="s">
        <v>32</v>
      </c>
      <c r="U4484">
        <v>69</v>
      </c>
      <c r="V4484">
        <v>23.25</v>
      </c>
    </row>
    <row r="4485" spans="1:22" x14ac:dyDescent="0.35">
      <c r="A4485" s="3">
        <v>43970</v>
      </c>
      <c r="B4485" t="s">
        <v>47</v>
      </c>
      <c r="C4485">
        <v>29.6</v>
      </c>
      <c r="D4485">
        <v>30.75</v>
      </c>
      <c r="E4485">
        <v>29.27</v>
      </c>
      <c r="F4485">
        <v>30.67</v>
      </c>
      <c r="G4485">
        <v>30.75</v>
      </c>
      <c r="H4485">
        <v>1.125</v>
      </c>
      <c r="I4485">
        <v>1647</v>
      </c>
      <c r="J4485">
        <v>0</v>
      </c>
      <c r="K4485">
        <v>10676</v>
      </c>
      <c r="L4485">
        <v>129</v>
      </c>
      <c r="M4485">
        <v>183</v>
      </c>
      <c r="N4485" t="s">
        <v>47</v>
      </c>
      <c r="O4485" s="3">
        <v>44153</v>
      </c>
      <c r="P4485">
        <v>-1</v>
      </c>
      <c r="T4485" t="s">
        <v>31</v>
      </c>
      <c r="U4485">
        <v>87</v>
      </c>
      <c r="V4485">
        <v>24.153099999999998</v>
      </c>
    </row>
    <row r="4486" spans="1:22" x14ac:dyDescent="0.35">
      <c r="A4486" s="3">
        <v>43970</v>
      </c>
      <c r="B4486" t="s">
        <v>52</v>
      </c>
      <c r="C4486">
        <v>30.2</v>
      </c>
      <c r="D4486">
        <v>32.15</v>
      </c>
      <c r="E4486">
        <v>29.55</v>
      </c>
      <c r="F4486">
        <v>32.049999999999997</v>
      </c>
      <c r="G4486">
        <v>32.075000000000003</v>
      </c>
      <c r="H4486">
        <v>1.9750000000000001</v>
      </c>
      <c r="I4486">
        <v>69392</v>
      </c>
      <c r="J4486">
        <v>1333</v>
      </c>
      <c r="K4486">
        <v>113484</v>
      </c>
      <c r="L4486">
        <v>20</v>
      </c>
      <c r="M4486">
        <v>29</v>
      </c>
      <c r="N4486" t="s">
        <v>52</v>
      </c>
      <c r="O4486" s="3">
        <v>43999</v>
      </c>
      <c r="P4486">
        <v>-1</v>
      </c>
      <c r="T4486" t="s">
        <v>30</v>
      </c>
      <c r="U4486">
        <v>113</v>
      </c>
      <c r="V4486">
        <v>24.748899999999999</v>
      </c>
    </row>
    <row r="4487" spans="1:22" x14ac:dyDescent="0.35">
      <c r="A4487" s="3">
        <v>43970</v>
      </c>
      <c r="B4487" t="s">
        <v>49</v>
      </c>
      <c r="C4487">
        <v>30.7</v>
      </c>
      <c r="D4487">
        <v>31.6</v>
      </c>
      <c r="E4487">
        <v>30.06</v>
      </c>
      <c r="F4487">
        <v>31.49</v>
      </c>
      <c r="G4487">
        <v>31.574999999999999</v>
      </c>
      <c r="H4487">
        <v>1.05</v>
      </c>
      <c r="I4487">
        <v>4548</v>
      </c>
      <c r="J4487">
        <v>0</v>
      </c>
      <c r="K4487">
        <v>17188</v>
      </c>
      <c r="L4487">
        <v>84</v>
      </c>
      <c r="M4487">
        <v>120</v>
      </c>
      <c r="N4487" t="s">
        <v>49</v>
      </c>
      <c r="O4487" s="3">
        <v>44090</v>
      </c>
      <c r="P4487">
        <v>-1</v>
      </c>
      <c r="T4487" t="s">
        <v>29</v>
      </c>
      <c r="U4487">
        <v>133</v>
      </c>
      <c r="V4487">
        <v>24.962499999999999</v>
      </c>
    </row>
    <row r="4488" spans="1:22" x14ac:dyDescent="0.35">
      <c r="A4488" s="3">
        <v>43970</v>
      </c>
      <c r="B4488" t="s">
        <v>46</v>
      </c>
      <c r="C4488">
        <v>28.85</v>
      </c>
      <c r="D4488">
        <v>29.65</v>
      </c>
      <c r="E4488">
        <v>28.5</v>
      </c>
      <c r="F4488">
        <v>29.61</v>
      </c>
      <c r="G4488">
        <v>29.6</v>
      </c>
      <c r="H4488">
        <v>0.97499999999999998</v>
      </c>
      <c r="I4488">
        <v>412</v>
      </c>
      <c r="J4488">
        <v>0</v>
      </c>
      <c r="K4488">
        <v>1132</v>
      </c>
      <c r="L4488">
        <v>148</v>
      </c>
      <c r="M4488">
        <v>211</v>
      </c>
      <c r="N4488" t="s">
        <v>46</v>
      </c>
      <c r="O4488" s="3">
        <v>44181</v>
      </c>
      <c r="P4488">
        <v>-1</v>
      </c>
      <c r="T4488" t="s">
        <v>28</v>
      </c>
      <c r="U4488">
        <v>152</v>
      </c>
      <c r="V4488">
        <v>25.05</v>
      </c>
    </row>
    <row r="4489" spans="1:22" x14ac:dyDescent="0.35">
      <c r="A4489" s="3">
        <v>43970</v>
      </c>
      <c r="B4489" t="s">
        <v>45</v>
      </c>
      <c r="C4489">
        <v>29.25</v>
      </c>
      <c r="D4489">
        <v>29.75</v>
      </c>
      <c r="E4489">
        <v>28.8</v>
      </c>
      <c r="F4489">
        <v>29.45</v>
      </c>
      <c r="G4489">
        <v>29.85</v>
      </c>
      <c r="H4489">
        <v>0.97499999999999998</v>
      </c>
      <c r="I4489">
        <v>15</v>
      </c>
      <c r="J4489">
        <v>0</v>
      </c>
      <c r="K4489">
        <v>13</v>
      </c>
      <c r="L4489">
        <v>170</v>
      </c>
      <c r="M4489">
        <v>246</v>
      </c>
      <c r="N4489" t="s">
        <v>45</v>
      </c>
      <c r="O4489" s="3">
        <v>44216</v>
      </c>
      <c r="P4489">
        <v>-1</v>
      </c>
      <c r="T4489" t="s">
        <v>22</v>
      </c>
      <c r="U4489">
        <v>176</v>
      </c>
      <c r="V4489">
        <v>25.05</v>
      </c>
    </row>
    <row r="4490" spans="1:22" x14ac:dyDescent="0.35">
      <c r="A4490" s="3">
        <v>43969</v>
      </c>
      <c r="B4490" t="s">
        <v>46</v>
      </c>
      <c r="C4490">
        <v>29.55</v>
      </c>
      <c r="D4490">
        <v>29.8</v>
      </c>
      <c r="E4490">
        <v>28.4</v>
      </c>
      <c r="F4490">
        <v>28.65</v>
      </c>
      <c r="G4490">
        <v>28.625</v>
      </c>
      <c r="H4490">
        <v>-1.425</v>
      </c>
      <c r="I4490">
        <v>185</v>
      </c>
      <c r="J4490">
        <v>0</v>
      </c>
      <c r="K4490">
        <v>792</v>
      </c>
      <c r="L4490">
        <v>149</v>
      </c>
      <c r="M4490">
        <v>212</v>
      </c>
      <c r="N4490" t="s">
        <v>46</v>
      </c>
      <c r="O4490" s="3">
        <v>44181</v>
      </c>
      <c r="P4490">
        <v>-1</v>
      </c>
      <c r="T4490" t="s">
        <v>35</v>
      </c>
      <c r="U4490">
        <v>7</v>
      </c>
      <c r="V4490">
        <v>18.494499999999999</v>
      </c>
    </row>
    <row r="4491" spans="1:22" x14ac:dyDescent="0.35">
      <c r="A4491" s="3">
        <v>43969</v>
      </c>
      <c r="B4491" t="s">
        <v>45</v>
      </c>
      <c r="C4491">
        <v>29.05</v>
      </c>
      <c r="D4491">
        <v>30.2</v>
      </c>
      <c r="E4491">
        <v>28.95</v>
      </c>
      <c r="F4491">
        <v>29</v>
      </c>
      <c r="G4491">
        <v>28.875</v>
      </c>
      <c r="H4491">
        <v>-0.25</v>
      </c>
      <c r="I4491">
        <v>3</v>
      </c>
      <c r="J4491">
        <v>0</v>
      </c>
      <c r="K4491">
        <v>6</v>
      </c>
      <c r="L4491">
        <v>171</v>
      </c>
      <c r="M4491">
        <v>247</v>
      </c>
      <c r="N4491" t="s">
        <v>45</v>
      </c>
      <c r="O4491" s="3">
        <v>44216</v>
      </c>
      <c r="P4491">
        <v>-1</v>
      </c>
      <c r="T4491" t="s">
        <v>34</v>
      </c>
      <c r="U4491">
        <v>31</v>
      </c>
      <c r="V4491">
        <v>20.500299999999999</v>
      </c>
    </row>
    <row r="4492" spans="1:22" x14ac:dyDescent="0.35">
      <c r="A4492" s="3">
        <v>43969</v>
      </c>
      <c r="B4492" t="s">
        <v>51</v>
      </c>
      <c r="C4492">
        <v>32.31</v>
      </c>
      <c r="D4492">
        <v>32.56</v>
      </c>
      <c r="E4492">
        <v>30.23</v>
      </c>
      <c r="F4492">
        <v>30.47</v>
      </c>
      <c r="G4492">
        <v>30.4</v>
      </c>
      <c r="H4492">
        <v>-2.1749999999999998</v>
      </c>
      <c r="I4492">
        <v>12467</v>
      </c>
      <c r="J4492">
        <v>0</v>
      </c>
      <c r="K4492">
        <v>34706</v>
      </c>
      <c r="L4492">
        <v>46</v>
      </c>
      <c r="M4492">
        <v>65</v>
      </c>
      <c r="N4492" t="s">
        <v>51</v>
      </c>
      <c r="O4492" s="3">
        <v>44034</v>
      </c>
      <c r="P4492">
        <v>-1</v>
      </c>
      <c r="S4492" s="3">
        <v>44509</v>
      </c>
      <c r="T4492" t="s">
        <v>33</v>
      </c>
      <c r="U4492">
        <v>48</v>
      </c>
      <c r="V4492">
        <v>22.558</v>
      </c>
    </row>
    <row r="4493" spans="1:22" x14ac:dyDescent="0.35">
      <c r="A4493" s="3">
        <v>43969</v>
      </c>
      <c r="B4493" t="s">
        <v>48</v>
      </c>
      <c r="C4493">
        <v>33.200000000000003</v>
      </c>
      <c r="D4493">
        <v>33.25</v>
      </c>
      <c r="E4493">
        <v>31.4</v>
      </c>
      <c r="F4493">
        <v>31.61</v>
      </c>
      <c r="G4493">
        <v>31.574999999999999</v>
      </c>
      <c r="H4493">
        <v>-1.75</v>
      </c>
      <c r="I4493">
        <v>2827</v>
      </c>
      <c r="J4493">
        <v>0</v>
      </c>
      <c r="K4493">
        <v>15959</v>
      </c>
      <c r="L4493">
        <v>110</v>
      </c>
      <c r="M4493">
        <v>156</v>
      </c>
      <c r="N4493" t="s">
        <v>48</v>
      </c>
      <c r="O4493" s="3">
        <v>44125</v>
      </c>
      <c r="P4493">
        <v>-1</v>
      </c>
      <c r="T4493" t="s">
        <v>32</v>
      </c>
      <c r="U4493">
        <v>68</v>
      </c>
      <c r="V4493">
        <v>23.6</v>
      </c>
    </row>
    <row r="4494" spans="1:22" x14ac:dyDescent="0.35">
      <c r="A4494" s="3">
        <v>43969</v>
      </c>
      <c r="B4494" t="s">
        <v>53</v>
      </c>
      <c r="C4494">
        <v>31.9</v>
      </c>
      <c r="D4494">
        <v>32.25</v>
      </c>
      <c r="E4494">
        <v>28.4</v>
      </c>
      <c r="F4494">
        <v>29.1</v>
      </c>
      <c r="G4494">
        <v>28.925000000000001</v>
      </c>
      <c r="H4494">
        <v>-3.2</v>
      </c>
      <c r="I4494">
        <v>39205</v>
      </c>
      <c r="J4494">
        <v>130</v>
      </c>
      <c r="K4494">
        <v>37361</v>
      </c>
      <c r="L4494">
        <v>2</v>
      </c>
      <c r="M4494">
        <v>2</v>
      </c>
      <c r="N4494" t="s">
        <v>53</v>
      </c>
      <c r="O4494" s="3">
        <v>43971</v>
      </c>
      <c r="P4494">
        <v>-1</v>
      </c>
      <c r="T4494" t="s">
        <v>31</v>
      </c>
      <c r="U4494">
        <v>86</v>
      </c>
      <c r="V4494">
        <v>24.417200000000001</v>
      </c>
    </row>
    <row r="4495" spans="1:22" x14ac:dyDescent="0.35">
      <c r="A4495" s="3">
        <v>43969</v>
      </c>
      <c r="B4495" t="s">
        <v>50</v>
      </c>
      <c r="C4495">
        <v>32</v>
      </c>
      <c r="D4495">
        <v>32.049999999999997</v>
      </c>
      <c r="E4495">
        <v>30</v>
      </c>
      <c r="F4495">
        <v>30.27</v>
      </c>
      <c r="G4495">
        <v>30.225000000000001</v>
      </c>
      <c r="H4495">
        <v>-1.85</v>
      </c>
      <c r="I4495">
        <v>5596</v>
      </c>
      <c r="J4495">
        <v>0</v>
      </c>
      <c r="K4495">
        <v>15881</v>
      </c>
      <c r="L4495">
        <v>66</v>
      </c>
      <c r="M4495">
        <v>93</v>
      </c>
      <c r="N4495" t="s">
        <v>50</v>
      </c>
      <c r="O4495" s="3">
        <v>44062</v>
      </c>
      <c r="P4495">
        <v>-1</v>
      </c>
      <c r="T4495" t="s">
        <v>30</v>
      </c>
      <c r="U4495">
        <v>112</v>
      </c>
      <c r="V4495">
        <v>24.964700000000001</v>
      </c>
    </row>
    <row r="4496" spans="1:22" x14ac:dyDescent="0.35">
      <c r="A4496" s="3">
        <v>43969</v>
      </c>
      <c r="B4496" t="s">
        <v>47</v>
      </c>
      <c r="C4496">
        <v>31.12</v>
      </c>
      <c r="D4496">
        <v>31.12</v>
      </c>
      <c r="E4496">
        <v>29.4</v>
      </c>
      <c r="F4496">
        <v>29.65</v>
      </c>
      <c r="G4496">
        <v>29.625</v>
      </c>
      <c r="H4496">
        <v>-1.675</v>
      </c>
      <c r="I4496">
        <v>1919</v>
      </c>
      <c r="J4496">
        <v>0</v>
      </c>
      <c r="K4496">
        <v>10263</v>
      </c>
      <c r="L4496">
        <v>130</v>
      </c>
      <c r="M4496">
        <v>184</v>
      </c>
      <c r="N4496" t="s">
        <v>47</v>
      </c>
      <c r="O4496" s="3">
        <v>44153</v>
      </c>
      <c r="P4496">
        <v>-1</v>
      </c>
      <c r="T4496" t="s">
        <v>29</v>
      </c>
      <c r="U4496">
        <v>132</v>
      </c>
      <c r="V4496">
        <v>25.225000000000001</v>
      </c>
    </row>
    <row r="4497" spans="1:22" x14ac:dyDescent="0.35">
      <c r="A4497" s="3">
        <v>43969</v>
      </c>
      <c r="B4497" t="s">
        <v>52</v>
      </c>
      <c r="C4497">
        <v>32.67</v>
      </c>
      <c r="D4497">
        <v>32.75</v>
      </c>
      <c r="E4497">
        <v>29.77</v>
      </c>
      <c r="F4497">
        <v>30.21</v>
      </c>
      <c r="G4497">
        <v>30.1</v>
      </c>
      <c r="H4497">
        <v>-2.625</v>
      </c>
      <c r="I4497">
        <v>60327</v>
      </c>
      <c r="J4497">
        <v>1496</v>
      </c>
      <c r="K4497">
        <v>105635</v>
      </c>
      <c r="L4497">
        <v>21</v>
      </c>
      <c r="M4497">
        <v>30</v>
      </c>
      <c r="N4497" t="s">
        <v>52</v>
      </c>
      <c r="O4497" s="3">
        <v>43999</v>
      </c>
      <c r="P4497">
        <v>-1</v>
      </c>
      <c r="T4497" t="s">
        <v>28</v>
      </c>
      <c r="U4497">
        <v>151</v>
      </c>
      <c r="V4497">
        <v>25.274999999999999</v>
      </c>
    </row>
    <row r="4498" spans="1:22" x14ac:dyDescent="0.35">
      <c r="A4498" s="3">
        <v>43969</v>
      </c>
      <c r="B4498" t="s">
        <v>49</v>
      </c>
      <c r="C4498">
        <v>32.270000000000003</v>
      </c>
      <c r="D4498">
        <v>32.33</v>
      </c>
      <c r="E4498">
        <v>30.39</v>
      </c>
      <c r="F4498">
        <v>30.55</v>
      </c>
      <c r="G4498">
        <v>30.524999999999999</v>
      </c>
      <c r="H4498">
        <v>-1.85</v>
      </c>
      <c r="I4498">
        <v>3986</v>
      </c>
      <c r="J4498">
        <v>0</v>
      </c>
      <c r="K4498">
        <v>16601</v>
      </c>
      <c r="L4498">
        <v>85</v>
      </c>
      <c r="M4498">
        <v>121</v>
      </c>
      <c r="N4498" t="s">
        <v>49</v>
      </c>
      <c r="O4498" s="3">
        <v>44090</v>
      </c>
      <c r="P4498">
        <v>-1</v>
      </c>
      <c r="T4498" t="s">
        <v>22</v>
      </c>
      <c r="U4498">
        <v>175</v>
      </c>
      <c r="V4498">
        <v>25.35</v>
      </c>
    </row>
    <row r="4499" spans="1:22" x14ac:dyDescent="0.35">
      <c r="A4499" s="3">
        <v>43966</v>
      </c>
      <c r="B4499" t="s">
        <v>51</v>
      </c>
      <c r="C4499">
        <v>32.799999999999997</v>
      </c>
      <c r="D4499">
        <v>34.25</v>
      </c>
      <c r="E4499">
        <v>32.15</v>
      </c>
      <c r="F4499">
        <v>32.6</v>
      </c>
      <c r="G4499">
        <v>32.575000000000003</v>
      </c>
      <c r="H4499">
        <v>-0.05</v>
      </c>
      <c r="I4499">
        <v>12562</v>
      </c>
      <c r="J4499">
        <v>0</v>
      </c>
      <c r="K4499">
        <v>34345</v>
      </c>
      <c r="L4499">
        <v>47</v>
      </c>
      <c r="M4499">
        <v>68</v>
      </c>
      <c r="N4499" t="s">
        <v>51</v>
      </c>
      <c r="O4499" s="3">
        <v>44034</v>
      </c>
      <c r="P4499">
        <v>-1</v>
      </c>
      <c r="T4499" t="s">
        <v>35</v>
      </c>
      <c r="U4499">
        <v>6</v>
      </c>
      <c r="V4499">
        <v>18.900099999999998</v>
      </c>
    </row>
    <row r="4500" spans="1:22" x14ac:dyDescent="0.35">
      <c r="A4500" s="3">
        <v>43966</v>
      </c>
      <c r="B4500" t="s">
        <v>48</v>
      </c>
      <c r="C4500">
        <v>33.1</v>
      </c>
      <c r="D4500">
        <v>34.15</v>
      </c>
      <c r="E4500">
        <v>32.93</v>
      </c>
      <c r="F4500">
        <v>33.22</v>
      </c>
      <c r="G4500">
        <v>33.325000000000003</v>
      </c>
      <c r="H4500">
        <v>0.17499999999999999</v>
      </c>
      <c r="I4500">
        <v>2723</v>
      </c>
      <c r="J4500">
        <v>0</v>
      </c>
      <c r="K4500">
        <v>15982</v>
      </c>
      <c r="L4500">
        <v>111</v>
      </c>
      <c r="M4500">
        <v>159</v>
      </c>
      <c r="N4500" t="s">
        <v>48</v>
      </c>
      <c r="O4500" s="3">
        <v>44125</v>
      </c>
      <c r="P4500">
        <v>-1</v>
      </c>
      <c r="T4500" t="s">
        <v>34</v>
      </c>
      <c r="U4500">
        <v>30</v>
      </c>
      <c r="V4500">
        <v>20.827000000000002</v>
      </c>
    </row>
    <row r="4501" spans="1:22" x14ac:dyDescent="0.35">
      <c r="A4501" s="3">
        <v>43966</v>
      </c>
      <c r="B4501" t="s">
        <v>53</v>
      </c>
      <c r="C4501">
        <v>32.75</v>
      </c>
      <c r="D4501">
        <v>35.1</v>
      </c>
      <c r="E4501">
        <v>31.45</v>
      </c>
      <c r="F4501">
        <v>32.119999999999997</v>
      </c>
      <c r="G4501">
        <v>32.125</v>
      </c>
      <c r="H4501">
        <v>-0.25</v>
      </c>
      <c r="I4501">
        <v>62016</v>
      </c>
      <c r="J4501">
        <v>1138</v>
      </c>
      <c r="K4501">
        <v>40471</v>
      </c>
      <c r="L4501">
        <v>3</v>
      </c>
      <c r="M4501">
        <v>5</v>
      </c>
      <c r="N4501" t="s">
        <v>53</v>
      </c>
      <c r="O4501" s="3">
        <v>43971</v>
      </c>
      <c r="P4501">
        <v>-1</v>
      </c>
      <c r="S4501" s="3">
        <v>44510</v>
      </c>
      <c r="T4501" t="s">
        <v>33</v>
      </c>
      <c r="U4501">
        <v>47</v>
      </c>
      <c r="V4501">
        <v>22.712499999999999</v>
      </c>
    </row>
    <row r="4502" spans="1:22" x14ac:dyDescent="0.35">
      <c r="A4502" s="3">
        <v>43966</v>
      </c>
      <c r="B4502" t="s">
        <v>50</v>
      </c>
      <c r="C4502">
        <v>32.049999999999997</v>
      </c>
      <c r="D4502">
        <v>33.4</v>
      </c>
      <c r="E4502">
        <v>31.82</v>
      </c>
      <c r="F4502">
        <v>32.04</v>
      </c>
      <c r="G4502">
        <v>32.075000000000003</v>
      </c>
      <c r="H4502">
        <v>2.5000000000000001E-2</v>
      </c>
      <c r="I4502">
        <v>8569</v>
      </c>
      <c r="J4502">
        <v>0</v>
      </c>
      <c r="K4502">
        <v>15892</v>
      </c>
      <c r="L4502">
        <v>67</v>
      </c>
      <c r="M4502">
        <v>96</v>
      </c>
      <c r="N4502" t="s">
        <v>50</v>
      </c>
      <c r="O4502" s="3">
        <v>44062</v>
      </c>
      <c r="P4502">
        <v>-1</v>
      </c>
      <c r="T4502" t="s">
        <v>32</v>
      </c>
      <c r="U4502">
        <v>67</v>
      </c>
      <c r="V4502">
        <v>23.621700000000001</v>
      </c>
    </row>
    <row r="4503" spans="1:22" x14ac:dyDescent="0.35">
      <c r="A4503" s="3">
        <v>43966</v>
      </c>
      <c r="B4503" t="s">
        <v>47</v>
      </c>
      <c r="C4503">
        <v>30.88</v>
      </c>
      <c r="D4503">
        <v>31.8</v>
      </c>
      <c r="E4503">
        <v>30.65</v>
      </c>
      <c r="F4503">
        <v>31.15</v>
      </c>
      <c r="G4503">
        <v>31.3</v>
      </c>
      <c r="H4503">
        <v>0.47499999999999998</v>
      </c>
      <c r="I4503">
        <v>1414</v>
      </c>
      <c r="J4503">
        <v>0</v>
      </c>
      <c r="K4503">
        <v>9917</v>
      </c>
      <c r="L4503">
        <v>131</v>
      </c>
      <c r="M4503">
        <v>187</v>
      </c>
      <c r="N4503" t="s">
        <v>47</v>
      </c>
      <c r="O4503" s="3">
        <v>44153</v>
      </c>
      <c r="P4503">
        <v>-1</v>
      </c>
      <c r="T4503" t="s">
        <v>31</v>
      </c>
      <c r="U4503">
        <v>85</v>
      </c>
      <c r="V4503">
        <v>24.399000000000001</v>
      </c>
    </row>
    <row r="4504" spans="1:22" x14ac:dyDescent="0.35">
      <c r="A4504" s="3">
        <v>43966</v>
      </c>
      <c r="B4504" t="s">
        <v>52</v>
      </c>
      <c r="C4504">
        <v>33.15</v>
      </c>
      <c r="D4504">
        <v>35.15</v>
      </c>
      <c r="E4504">
        <v>32.25</v>
      </c>
      <c r="F4504">
        <v>32.67</v>
      </c>
      <c r="G4504">
        <v>32.725000000000001</v>
      </c>
      <c r="H4504">
        <v>-0.2</v>
      </c>
      <c r="I4504">
        <v>62382</v>
      </c>
      <c r="J4504">
        <v>1012</v>
      </c>
      <c r="K4504">
        <v>99688</v>
      </c>
      <c r="L4504">
        <v>22</v>
      </c>
      <c r="M4504">
        <v>33</v>
      </c>
      <c r="N4504" t="s">
        <v>52</v>
      </c>
      <c r="O4504" s="3">
        <v>43999</v>
      </c>
      <c r="P4504">
        <v>-1</v>
      </c>
      <c r="T4504" t="s">
        <v>30</v>
      </c>
      <c r="U4504">
        <v>111</v>
      </c>
      <c r="V4504">
        <v>24.940200000000001</v>
      </c>
    </row>
    <row r="4505" spans="1:22" x14ac:dyDescent="0.35">
      <c r="A4505" s="3">
        <v>43966</v>
      </c>
      <c r="B4505" t="s">
        <v>49</v>
      </c>
      <c r="C4505">
        <v>32.229999999999997</v>
      </c>
      <c r="D4505">
        <v>33.299999999999997</v>
      </c>
      <c r="E4505">
        <v>31.88</v>
      </c>
      <c r="F4505">
        <v>32.25</v>
      </c>
      <c r="G4505">
        <v>32.375</v>
      </c>
      <c r="H4505">
        <v>0.25</v>
      </c>
      <c r="I4505">
        <v>5238</v>
      </c>
      <c r="J4505">
        <v>0</v>
      </c>
      <c r="K4505">
        <v>16733</v>
      </c>
      <c r="L4505">
        <v>86</v>
      </c>
      <c r="M4505">
        <v>124</v>
      </c>
      <c r="N4505" t="s">
        <v>49</v>
      </c>
      <c r="O4505" s="3">
        <v>44090</v>
      </c>
      <c r="P4505">
        <v>-1</v>
      </c>
      <c r="T4505" t="s">
        <v>29</v>
      </c>
      <c r="U4505">
        <v>131</v>
      </c>
      <c r="V4505">
        <v>25.17</v>
      </c>
    </row>
    <row r="4506" spans="1:22" x14ac:dyDescent="0.35">
      <c r="A4506" s="3">
        <v>43966</v>
      </c>
      <c r="B4506" t="s">
        <v>46</v>
      </c>
      <c r="C4506">
        <v>29.7</v>
      </c>
      <c r="D4506">
        <v>30.45</v>
      </c>
      <c r="E4506">
        <v>29.5</v>
      </c>
      <c r="F4506">
        <v>30.1</v>
      </c>
      <c r="G4506">
        <v>30.05</v>
      </c>
      <c r="H4506">
        <v>0.4</v>
      </c>
      <c r="I4506">
        <v>115</v>
      </c>
      <c r="J4506">
        <v>0</v>
      </c>
      <c r="K4506">
        <v>706</v>
      </c>
      <c r="L4506">
        <v>150</v>
      </c>
      <c r="M4506">
        <v>215</v>
      </c>
      <c r="N4506" t="s">
        <v>46</v>
      </c>
      <c r="O4506" s="3">
        <v>44181</v>
      </c>
      <c r="P4506">
        <v>-1</v>
      </c>
      <c r="T4506" t="s">
        <v>28</v>
      </c>
      <c r="U4506">
        <v>150</v>
      </c>
      <c r="V4506">
        <v>25.2</v>
      </c>
    </row>
    <row r="4507" spans="1:22" x14ac:dyDescent="0.35">
      <c r="A4507" s="3">
        <v>43965</v>
      </c>
      <c r="B4507" t="s">
        <v>46</v>
      </c>
      <c r="C4507">
        <v>29.9</v>
      </c>
      <c r="D4507">
        <v>31.55</v>
      </c>
      <c r="E4507">
        <v>29.55</v>
      </c>
      <c r="F4507">
        <v>29.67</v>
      </c>
      <c r="G4507">
        <v>29.65</v>
      </c>
      <c r="H4507">
        <v>-0.45</v>
      </c>
      <c r="I4507">
        <v>261</v>
      </c>
      <c r="J4507">
        <v>0</v>
      </c>
      <c r="K4507">
        <v>757</v>
      </c>
      <c r="L4507">
        <v>151</v>
      </c>
      <c r="M4507">
        <v>216</v>
      </c>
      <c r="N4507" t="s">
        <v>46</v>
      </c>
      <c r="O4507" s="3">
        <v>44181</v>
      </c>
      <c r="P4507">
        <v>-1</v>
      </c>
      <c r="T4507" t="s">
        <v>22</v>
      </c>
      <c r="U4507">
        <v>174</v>
      </c>
      <c r="V4507">
        <v>25.3</v>
      </c>
    </row>
    <row r="4508" spans="1:22" x14ac:dyDescent="0.35">
      <c r="A4508" s="3">
        <v>43965</v>
      </c>
      <c r="B4508" t="s">
        <v>51</v>
      </c>
      <c r="C4508">
        <v>33.299999999999997</v>
      </c>
      <c r="D4508">
        <v>35.9</v>
      </c>
      <c r="E4508">
        <v>32.5</v>
      </c>
      <c r="F4508">
        <v>32.75</v>
      </c>
      <c r="G4508">
        <v>32.625</v>
      </c>
      <c r="H4508">
        <v>-1.2</v>
      </c>
      <c r="I4508">
        <v>16095</v>
      </c>
      <c r="J4508">
        <v>0</v>
      </c>
      <c r="K4508">
        <v>34062</v>
      </c>
      <c r="L4508">
        <v>48</v>
      </c>
      <c r="M4508">
        <v>69</v>
      </c>
      <c r="N4508" t="s">
        <v>51</v>
      </c>
      <c r="O4508" s="3">
        <v>44034</v>
      </c>
      <c r="P4508">
        <v>-1</v>
      </c>
      <c r="T4508" t="s">
        <v>35</v>
      </c>
      <c r="U4508">
        <v>5</v>
      </c>
      <c r="V4508">
        <v>19.526800000000001</v>
      </c>
    </row>
    <row r="4509" spans="1:22" x14ac:dyDescent="0.35">
      <c r="A4509" s="3">
        <v>43965</v>
      </c>
      <c r="B4509" t="s">
        <v>48</v>
      </c>
      <c r="C4509">
        <v>33.5</v>
      </c>
      <c r="D4509">
        <v>35.200000000000003</v>
      </c>
      <c r="E4509">
        <v>32.97</v>
      </c>
      <c r="F4509">
        <v>33.200000000000003</v>
      </c>
      <c r="G4509">
        <v>33.15</v>
      </c>
      <c r="H4509">
        <v>-0.625</v>
      </c>
      <c r="I4509">
        <v>3586</v>
      </c>
      <c r="J4509">
        <v>0</v>
      </c>
      <c r="K4509">
        <v>15972</v>
      </c>
      <c r="L4509">
        <v>112</v>
      </c>
      <c r="M4509">
        <v>160</v>
      </c>
      <c r="N4509" t="s">
        <v>48</v>
      </c>
      <c r="O4509" s="3">
        <v>44125</v>
      </c>
      <c r="P4509">
        <v>-1</v>
      </c>
      <c r="T4509" t="s">
        <v>34</v>
      </c>
      <c r="U4509">
        <v>29</v>
      </c>
      <c r="V4509">
        <v>21.0045</v>
      </c>
    </row>
    <row r="4510" spans="1:22" x14ac:dyDescent="0.35">
      <c r="A4510" s="3">
        <v>43965</v>
      </c>
      <c r="B4510" t="s">
        <v>53</v>
      </c>
      <c r="C4510">
        <v>34.450000000000003</v>
      </c>
      <c r="D4510">
        <v>38.35</v>
      </c>
      <c r="E4510">
        <v>32.29</v>
      </c>
      <c r="F4510">
        <v>32.76</v>
      </c>
      <c r="G4510">
        <v>32.375</v>
      </c>
      <c r="H4510">
        <v>-2.7</v>
      </c>
      <c r="I4510">
        <v>77645</v>
      </c>
      <c r="J4510">
        <v>64</v>
      </c>
      <c r="K4510">
        <v>43879</v>
      </c>
      <c r="L4510">
        <v>4</v>
      </c>
      <c r="M4510">
        <v>6</v>
      </c>
      <c r="N4510" t="s">
        <v>53</v>
      </c>
      <c r="O4510" s="3">
        <v>43971</v>
      </c>
      <c r="P4510">
        <v>-1</v>
      </c>
      <c r="S4510" s="3">
        <v>44511</v>
      </c>
      <c r="T4510" t="s">
        <v>33</v>
      </c>
      <c r="U4510">
        <v>46</v>
      </c>
      <c r="V4510">
        <v>22.518899999999999</v>
      </c>
    </row>
    <row r="4511" spans="1:22" x14ac:dyDescent="0.35">
      <c r="A4511" s="3">
        <v>43965</v>
      </c>
      <c r="B4511" t="s">
        <v>50</v>
      </c>
      <c r="C4511">
        <v>32.36</v>
      </c>
      <c r="D4511">
        <v>34.450000000000003</v>
      </c>
      <c r="E4511">
        <v>31.85</v>
      </c>
      <c r="F4511">
        <v>32.07</v>
      </c>
      <c r="G4511">
        <v>32.049999999999997</v>
      </c>
      <c r="H4511">
        <v>-0.625</v>
      </c>
      <c r="I4511">
        <v>10321</v>
      </c>
      <c r="J4511">
        <v>0</v>
      </c>
      <c r="K4511">
        <v>16027</v>
      </c>
      <c r="L4511">
        <v>68</v>
      </c>
      <c r="M4511">
        <v>97</v>
      </c>
      <c r="N4511" t="s">
        <v>50</v>
      </c>
      <c r="O4511" s="3">
        <v>44062</v>
      </c>
      <c r="P4511">
        <v>-1</v>
      </c>
      <c r="T4511" t="s">
        <v>32</v>
      </c>
      <c r="U4511">
        <v>66</v>
      </c>
      <c r="V4511">
        <v>23.386500000000002</v>
      </c>
    </row>
    <row r="4512" spans="1:22" x14ac:dyDescent="0.35">
      <c r="A4512" s="3">
        <v>43965</v>
      </c>
      <c r="B4512" t="s">
        <v>47</v>
      </c>
      <c r="C4512">
        <v>31.29</v>
      </c>
      <c r="D4512">
        <v>32.75</v>
      </c>
      <c r="E4512">
        <v>30.65</v>
      </c>
      <c r="F4512">
        <v>30.76</v>
      </c>
      <c r="G4512">
        <v>30.824999999999999</v>
      </c>
      <c r="H4512">
        <v>-0.6</v>
      </c>
      <c r="I4512">
        <v>1785</v>
      </c>
      <c r="J4512">
        <v>0</v>
      </c>
      <c r="K4512">
        <v>9888</v>
      </c>
      <c r="L4512">
        <v>132</v>
      </c>
      <c r="M4512">
        <v>188</v>
      </c>
      <c r="N4512" t="s">
        <v>47</v>
      </c>
      <c r="O4512" s="3">
        <v>44153</v>
      </c>
      <c r="P4512">
        <v>-1</v>
      </c>
      <c r="T4512" t="s">
        <v>31</v>
      </c>
      <c r="U4512">
        <v>84</v>
      </c>
      <c r="V4512">
        <v>24.189699999999998</v>
      </c>
    </row>
    <row r="4513" spans="1:22" x14ac:dyDescent="0.35">
      <c r="A4513" s="3">
        <v>43965</v>
      </c>
      <c r="B4513" t="s">
        <v>52</v>
      </c>
      <c r="C4513">
        <v>34.25</v>
      </c>
      <c r="D4513">
        <v>37.57</v>
      </c>
      <c r="E4513">
        <v>32.79</v>
      </c>
      <c r="F4513">
        <v>33.17</v>
      </c>
      <c r="G4513">
        <v>32.924999999999997</v>
      </c>
      <c r="H4513">
        <v>-2</v>
      </c>
      <c r="I4513">
        <v>76794</v>
      </c>
      <c r="J4513">
        <v>336</v>
      </c>
      <c r="K4513">
        <v>93015</v>
      </c>
      <c r="L4513">
        <v>23</v>
      </c>
      <c r="M4513">
        <v>34</v>
      </c>
      <c r="N4513" t="s">
        <v>52</v>
      </c>
      <c r="O4513" s="3">
        <v>43999</v>
      </c>
      <c r="P4513">
        <v>-1</v>
      </c>
      <c r="T4513" t="s">
        <v>30</v>
      </c>
      <c r="U4513">
        <v>110</v>
      </c>
      <c r="V4513">
        <v>24.7</v>
      </c>
    </row>
    <row r="4514" spans="1:22" x14ac:dyDescent="0.35">
      <c r="A4514" s="3">
        <v>43965</v>
      </c>
      <c r="B4514" t="s">
        <v>49</v>
      </c>
      <c r="C4514">
        <v>32.25</v>
      </c>
      <c r="D4514">
        <v>34.25</v>
      </c>
      <c r="E4514">
        <v>31.93</v>
      </c>
      <c r="F4514">
        <v>32.18</v>
      </c>
      <c r="G4514">
        <v>32.125</v>
      </c>
      <c r="H4514">
        <v>-0.47499999999999998</v>
      </c>
      <c r="I4514">
        <v>5402</v>
      </c>
      <c r="J4514">
        <v>0</v>
      </c>
      <c r="K4514">
        <v>16770</v>
      </c>
      <c r="L4514">
        <v>87</v>
      </c>
      <c r="M4514">
        <v>125</v>
      </c>
      <c r="N4514" t="s">
        <v>49</v>
      </c>
      <c r="O4514" s="3">
        <v>44090</v>
      </c>
      <c r="P4514">
        <v>-1</v>
      </c>
      <c r="T4514" t="s">
        <v>29</v>
      </c>
      <c r="U4514">
        <v>130</v>
      </c>
      <c r="V4514">
        <v>24.95</v>
      </c>
    </row>
    <row r="4515" spans="1:22" x14ac:dyDescent="0.35">
      <c r="A4515" s="3">
        <v>43964</v>
      </c>
      <c r="B4515" t="s">
        <v>51</v>
      </c>
      <c r="C4515">
        <v>32.4</v>
      </c>
      <c r="D4515">
        <v>34.549999999999997</v>
      </c>
      <c r="E4515">
        <v>30.79</v>
      </c>
      <c r="F4515">
        <v>33.44</v>
      </c>
      <c r="G4515">
        <v>33.825000000000003</v>
      </c>
      <c r="H4515">
        <v>1.5</v>
      </c>
      <c r="I4515">
        <v>23489</v>
      </c>
      <c r="J4515">
        <v>0</v>
      </c>
      <c r="K4515">
        <v>33926</v>
      </c>
      <c r="L4515">
        <v>49</v>
      </c>
      <c r="M4515">
        <v>70</v>
      </c>
      <c r="N4515" t="s">
        <v>51</v>
      </c>
      <c r="O4515" s="3">
        <v>44034</v>
      </c>
      <c r="P4515">
        <v>-1</v>
      </c>
      <c r="T4515" t="s">
        <v>28</v>
      </c>
      <c r="U4515">
        <v>149</v>
      </c>
      <c r="V4515">
        <v>25</v>
      </c>
    </row>
    <row r="4516" spans="1:22" x14ac:dyDescent="0.35">
      <c r="A4516" s="3">
        <v>43964</v>
      </c>
      <c r="B4516" t="s">
        <v>48</v>
      </c>
      <c r="C4516">
        <v>33</v>
      </c>
      <c r="D4516">
        <v>34.299999999999997</v>
      </c>
      <c r="E4516">
        <v>31.8</v>
      </c>
      <c r="F4516">
        <v>33.51</v>
      </c>
      <c r="G4516">
        <v>33.774999999999999</v>
      </c>
      <c r="H4516">
        <v>1.05</v>
      </c>
      <c r="I4516">
        <v>2994</v>
      </c>
      <c r="J4516">
        <v>0</v>
      </c>
      <c r="K4516">
        <v>15888</v>
      </c>
      <c r="L4516">
        <v>113</v>
      </c>
      <c r="M4516">
        <v>161</v>
      </c>
      <c r="N4516" t="s">
        <v>48</v>
      </c>
      <c r="O4516" s="3">
        <v>44125</v>
      </c>
      <c r="P4516">
        <v>-1</v>
      </c>
      <c r="T4516" t="s">
        <v>22</v>
      </c>
      <c r="U4516">
        <v>173</v>
      </c>
      <c r="V4516">
        <v>25.15</v>
      </c>
    </row>
    <row r="4517" spans="1:22" x14ac:dyDescent="0.35">
      <c r="A4517" s="3">
        <v>43964</v>
      </c>
      <c r="B4517" t="s">
        <v>53</v>
      </c>
      <c r="C4517">
        <v>33.200000000000003</v>
      </c>
      <c r="D4517">
        <v>36.950000000000003</v>
      </c>
      <c r="E4517">
        <v>30.43</v>
      </c>
      <c r="F4517">
        <v>34.49</v>
      </c>
      <c r="G4517">
        <v>35.075000000000003</v>
      </c>
      <c r="H4517">
        <v>2</v>
      </c>
      <c r="I4517">
        <v>97690</v>
      </c>
      <c r="J4517">
        <v>180</v>
      </c>
      <c r="K4517">
        <v>46406</v>
      </c>
      <c r="L4517">
        <v>5</v>
      </c>
      <c r="M4517">
        <v>7</v>
      </c>
      <c r="N4517" t="s">
        <v>53</v>
      </c>
      <c r="O4517" s="3">
        <v>43971</v>
      </c>
      <c r="P4517">
        <v>-1</v>
      </c>
      <c r="T4517" t="s">
        <v>35</v>
      </c>
      <c r="U4517">
        <v>4</v>
      </c>
      <c r="V4517">
        <v>18.758800000000001</v>
      </c>
    </row>
    <row r="4518" spans="1:22" x14ac:dyDescent="0.35">
      <c r="A4518" s="3">
        <v>43964</v>
      </c>
      <c r="B4518" t="s">
        <v>50</v>
      </c>
      <c r="C4518">
        <v>31.9</v>
      </c>
      <c r="D4518">
        <v>33.21</v>
      </c>
      <c r="E4518">
        <v>30.39</v>
      </c>
      <c r="F4518">
        <v>32.4</v>
      </c>
      <c r="G4518">
        <v>32.674999999999997</v>
      </c>
      <c r="H4518">
        <v>0.97499999999999998</v>
      </c>
      <c r="I4518">
        <v>15592</v>
      </c>
      <c r="J4518">
        <v>0</v>
      </c>
      <c r="K4518">
        <v>15375</v>
      </c>
      <c r="L4518">
        <v>69</v>
      </c>
      <c r="M4518">
        <v>98</v>
      </c>
      <c r="N4518" t="s">
        <v>50</v>
      </c>
      <c r="O4518" s="3">
        <v>44062</v>
      </c>
      <c r="P4518">
        <v>-1</v>
      </c>
      <c r="T4518" t="s">
        <v>34</v>
      </c>
      <c r="U4518">
        <v>28</v>
      </c>
      <c r="V4518">
        <v>20.7957</v>
      </c>
    </row>
    <row r="4519" spans="1:22" x14ac:dyDescent="0.35">
      <c r="A4519" s="3">
        <v>43964</v>
      </c>
      <c r="B4519" t="s">
        <v>47</v>
      </c>
      <c r="C4519">
        <v>30.6</v>
      </c>
      <c r="D4519">
        <v>32.11</v>
      </c>
      <c r="E4519">
        <v>29.65</v>
      </c>
      <c r="F4519">
        <v>31.22</v>
      </c>
      <c r="G4519">
        <v>31.425000000000001</v>
      </c>
      <c r="H4519">
        <v>0.95</v>
      </c>
      <c r="I4519">
        <v>1822</v>
      </c>
      <c r="J4519">
        <v>0</v>
      </c>
      <c r="K4519">
        <v>9905</v>
      </c>
      <c r="L4519">
        <v>133</v>
      </c>
      <c r="M4519">
        <v>189</v>
      </c>
      <c r="N4519" t="s">
        <v>47</v>
      </c>
      <c r="O4519" s="3">
        <v>44153</v>
      </c>
      <c r="P4519">
        <v>-1</v>
      </c>
      <c r="S4519" s="3">
        <v>44512</v>
      </c>
      <c r="T4519" t="s">
        <v>33</v>
      </c>
      <c r="U4519">
        <v>45</v>
      </c>
      <c r="V4519">
        <v>22.046900000000001</v>
      </c>
    </row>
    <row r="4520" spans="1:22" x14ac:dyDescent="0.35">
      <c r="A4520" s="3">
        <v>43964</v>
      </c>
      <c r="B4520" t="s">
        <v>52</v>
      </c>
      <c r="C4520">
        <v>32.85</v>
      </c>
      <c r="D4520">
        <v>36.049999999999997</v>
      </c>
      <c r="E4520">
        <v>30.85</v>
      </c>
      <c r="F4520">
        <v>34.369999999999997</v>
      </c>
      <c r="G4520">
        <v>34.924999999999997</v>
      </c>
      <c r="H4520">
        <v>2</v>
      </c>
      <c r="I4520">
        <v>108803</v>
      </c>
      <c r="J4520">
        <v>720</v>
      </c>
      <c r="K4520">
        <v>90491</v>
      </c>
      <c r="L4520">
        <v>24</v>
      </c>
      <c r="M4520">
        <v>35</v>
      </c>
      <c r="N4520" t="s">
        <v>52</v>
      </c>
      <c r="O4520" s="3">
        <v>43999</v>
      </c>
      <c r="P4520">
        <v>-1</v>
      </c>
      <c r="T4520" t="s">
        <v>32</v>
      </c>
      <c r="U4520">
        <v>65</v>
      </c>
      <c r="V4520">
        <v>23.1752</v>
      </c>
    </row>
    <row r="4521" spans="1:22" x14ac:dyDescent="0.35">
      <c r="A4521" s="3">
        <v>43964</v>
      </c>
      <c r="B4521" t="s">
        <v>49</v>
      </c>
      <c r="C4521">
        <v>32.1</v>
      </c>
      <c r="D4521">
        <v>33.119999999999997</v>
      </c>
      <c r="E4521">
        <v>30.6</v>
      </c>
      <c r="F4521">
        <v>32.33</v>
      </c>
      <c r="G4521">
        <v>32.6</v>
      </c>
      <c r="H4521">
        <v>0.95</v>
      </c>
      <c r="I4521">
        <v>6005</v>
      </c>
      <c r="J4521">
        <v>0</v>
      </c>
      <c r="K4521">
        <v>16778</v>
      </c>
      <c r="L4521">
        <v>88</v>
      </c>
      <c r="M4521">
        <v>126</v>
      </c>
      <c r="N4521" t="s">
        <v>49</v>
      </c>
      <c r="O4521" s="3">
        <v>44090</v>
      </c>
      <c r="P4521">
        <v>-1</v>
      </c>
      <c r="T4521" t="s">
        <v>31</v>
      </c>
      <c r="U4521">
        <v>83</v>
      </c>
      <c r="V4521">
        <v>23.951499999999999</v>
      </c>
    </row>
    <row r="4522" spans="1:22" x14ac:dyDescent="0.35">
      <c r="A4522" s="3">
        <v>43964</v>
      </c>
      <c r="B4522" t="s">
        <v>46</v>
      </c>
      <c r="C4522">
        <v>29.5</v>
      </c>
      <c r="D4522">
        <v>30.75</v>
      </c>
      <c r="E4522">
        <v>28.75</v>
      </c>
      <c r="F4522">
        <v>30.2</v>
      </c>
      <c r="G4522">
        <v>30.1</v>
      </c>
      <c r="H4522">
        <v>0.8</v>
      </c>
      <c r="I4522">
        <v>375</v>
      </c>
      <c r="J4522">
        <v>0</v>
      </c>
      <c r="K4522">
        <v>694</v>
      </c>
      <c r="L4522">
        <v>152</v>
      </c>
      <c r="M4522">
        <v>217</v>
      </c>
      <c r="N4522" t="s">
        <v>46</v>
      </c>
      <c r="O4522" s="3">
        <v>44181</v>
      </c>
      <c r="P4522">
        <v>-1</v>
      </c>
      <c r="T4522" t="s">
        <v>30</v>
      </c>
      <c r="U4522">
        <v>109</v>
      </c>
      <c r="V4522">
        <v>24.5</v>
      </c>
    </row>
    <row r="4523" spans="1:22" x14ac:dyDescent="0.35">
      <c r="A4523" s="3">
        <v>43963</v>
      </c>
      <c r="B4523" t="s">
        <v>46</v>
      </c>
      <c r="C4523">
        <v>27.6</v>
      </c>
      <c r="D4523">
        <v>29.4</v>
      </c>
      <c r="E4523">
        <v>27</v>
      </c>
      <c r="F4523">
        <v>29.35</v>
      </c>
      <c r="G4523">
        <v>29.3</v>
      </c>
      <c r="H4523">
        <v>1.85</v>
      </c>
      <c r="I4523">
        <v>160</v>
      </c>
      <c r="J4523">
        <v>0</v>
      </c>
      <c r="K4523">
        <v>497</v>
      </c>
      <c r="L4523">
        <v>153</v>
      </c>
      <c r="M4523">
        <v>218</v>
      </c>
      <c r="N4523" t="s">
        <v>46</v>
      </c>
      <c r="O4523" s="3">
        <v>44181</v>
      </c>
      <c r="P4523">
        <v>-1</v>
      </c>
      <c r="T4523" t="s">
        <v>29</v>
      </c>
      <c r="U4523">
        <v>129</v>
      </c>
      <c r="V4523">
        <v>24.813199999999998</v>
      </c>
    </row>
    <row r="4524" spans="1:22" x14ac:dyDescent="0.35">
      <c r="A4524" s="3">
        <v>43963</v>
      </c>
      <c r="B4524" t="s">
        <v>51</v>
      </c>
      <c r="C4524">
        <v>29.55</v>
      </c>
      <c r="D4524">
        <v>32.65</v>
      </c>
      <c r="E4524">
        <v>28.62</v>
      </c>
      <c r="F4524">
        <v>32.549999999999997</v>
      </c>
      <c r="G4524">
        <v>32.325000000000003</v>
      </c>
      <c r="H4524">
        <v>2.9</v>
      </c>
      <c r="I4524">
        <v>15840</v>
      </c>
      <c r="J4524">
        <v>0</v>
      </c>
      <c r="K4524">
        <v>32404</v>
      </c>
      <c r="L4524">
        <v>50</v>
      </c>
      <c r="M4524">
        <v>71</v>
      </c>
      <c r="N4524" t="s">
        <v>51</v>
      </c>
      <c r="O4524" s="3">
        <v>44034</v>
      </c>
      <c r="P4524">
        <v>-1</v>
      </c>
      <c r="T4524" t="s">
        <v>28</v>
      </c>
      <c r="U4524">
        <v>148</v>
      </c>
      <c r="V4524">
        <v>24.875</v>
      </c>
    </row>
    <row r="4525" spans="1:22" x14ac:dyDescent="0.35">
      <c r="A4525" s="3">
        <v>43963</v>
      </c>
      <c r="B4525" t="s">
        <v>48</v>
      </c>
      <c r="C4525">
        <v>30.64</v>
      </c>
      <c r="D4525">
        <v>32.97</v>
      </c>
      <c r="E4525">
        <v>29.95</v>
      </c>
      <c r="F4525">
        <v>32.950000000000003</v>
      </c>
      <c r="G4525">
        <v>32.725000000000001</v>
      </c>
      <c r="H4525">
        <v>2.1749999999999998</v>
      </c>
      <c r="I4525">
        <v>2530</v>
      </c>
      <c r="J4525">
        <v>0</v>
      </c>
      <c r="K4525">
        <v>15946</v>
      </c>
      <c r="L4525">
        <v>114</v>
      </c>
      <c r="M4525">
        <v>162</v>
      </c>
      <c r="N4525" t="s">
        <v>48</v>
      </c>
      <c r="O4525" s="3">
        <v>44125</v>
      </c>
      <c r="P4525">
        <v>-1</v>
      </c>
      <c r="T4525" t="s">
        <v>22</v>
      </c>
      <c r="U4525">
        <v>172</v>
      </c>
      <c r="V4525">
        <v>24.925000000000001</v>
      </c>
    </row>
    <row r="4526" spans="1:22" x14ac:dyDescent="0.35">
      <c r="A4526" s="3">
        <v>43963</v>
      </c>
      <c r="B4526" t="s">
        <v>53</v>
      </c>
      <c r="C4526">
        <v>28</v>
      </c>
      <c r="D4526">
        <v>33.4</v>
      </c>
      <c r="E4526">
        <v>26.5</v>
      </c>
      <c r="F4526">
        <v>33.25</v>
      </c>
      <c r="G4526">
        <v>33.075000000000003</v>
      </c>
      <c r="H4526">
        <v>5.25</v>
      </c>
      <c r="I4526">
        <v>58848</v>
      </c>
      <c r="J4526">
        <v>116</v>
      </c>
      <c r="K4526">
        <v>53220</v>
      </c>
      <c r="L4526">
        <v>6</v>
      </c>
      <c r="M4526">
        <v>8</v>
      </c>
      <c r="N4526" t="s">
        <v>53</v>
      </c>
      <c r="O4526" s="3">
        <v>43971</v>
      </c>
      <c r="P4526">
        <v>-1</v>
      </c>
      <c r="T4526" t="s">
        <v>35</v>
      </c>
      <c r="U4526">
        <v>3</v>
      </c>
      <c r="V4526">
        <v>17.418199999999999</v>
      </c>
    </row>
    <row r="4527" spans="1:22" x14ac:dyDescent="0.35">
      <c r="A4527" s="3">
        <v>43963</v>
      </c>
      <c r="B4527" t="s">
        <v>50</v>
      </c>
      <c r="C4527">
        <v>29.34</v>
      </c>
      <c r="D4527">
        <v>32.049999999999997</v>
      </c>
      <c r="E4527">
        <v>28.55</v>
      </c>
      <c r="F4527">
        <v>31.94</v>
      </c>
      <c r="G4527">
        <v>31.7</v>
      </c>
      <c r="H4527">
        <v>2.4249999999999998</v>
      </c>
      <c r="I4527">
        <v>9491</v>
      </c>
      <c r="J4527">
        <v>0</v>
      </c>
      <c r="K4527">
        <v>14487</v>
      </c>
      <c r="L4527">
        <v>70</v>
      </c>
      <c r="M4527">
        <v>99</v>
      </c>
      <c r="N4527" t="s">
        <v>50</v>
      </c>
      <c r="O4527" s="3">
        <v>44062</v>
      </c>
      <c r="P4527">
        <v>-1</v>
      </c>
      <c r="T4527" t="s">
        <v>34</v>
      </c>
      <c r="U4527">
        <v>27</v>
      </c>
      <c r="V4527">
        <v>20.108000000000001</v>
      </c>
    </row>
    <row r="4528" spans="1:22" x14ac:dyDescent="0.35">
      <c r="A4528" s="3">
        <v>43963</v>
      </c>
      <c r="B4528" t="s">
        <v>47</v>
      </c>
      <c r="C4528">
        <v>28.44</v>
      </c>
      <c r="D4528">
        <v>30.65</v>
      </c>
      <c r="E4528">
        <v>27.95</v>
      </c>
      <c r="F4528">
        <v>30.65</v>
      </c>
      <c r="G4528">
        <v>30.475000000000001</v>
      </c>
      <c r="H4528">
        <v>2.0499999999999998</v>
      </c>
      <c r="I4528">
        <v>1634</v>
      </c>
      <c r="J4528">
        <v>0</v>
      </c>
      <c r="K4528">
        <v>9724</v>
      </c>
      <c r="L4528">
        <v>134</v>
      </c>
      <c r="M4528">
        <v>190</v>
      </c>
      <c r="N4528" t="s">
        <v>47</v>
      </c>
      <c r="O4528" s="3">
        <v>44153</v>
      </c>
      <c r="P4528">
        <v>-1</v>
      </c>
      <c r="S4528" s="3">
        <v>44515</v>
      </c>
      <c r="T4528" t="s">
        <v>33</v>
      </c>
      <c r="U4528">
        <v>44</v>
      </c>
      <c r="V4528">
        <v>21.953399999999998</v>
      </c>
    </row>
    <row r="4529" spans="1:22" x14ac:dyDescent="0.35">
      <c r="A4529" s="3">
        <v>43963</v>
      </c>
      <c r="B4529" t="s">
        <v>52</v>
      </c>
      <c r="C4529">
        <v>29.25</v>
      </c>
      <c r="D4529">
        <v>33.119999999999997</v>
      </c>
      <c r="E4529">
        <v>27.95</v>
      </c>
      <c r="F4529">
        <v>33.04</v>
      </c>
      <c r="G4529">
        <v>32.924999999999997</v>
      </c>
      <c r="H4529">
        <v>3.9</v>
      </c>
      <c r="I4529">
        <v>69408</v>
      </c>
      <c r="J4529">
        <v>368</v>
      </c>
      <c r="K4529">
        <v>89416</v>
      </c>
      <c r="L4529">
        <v>25</v>
      </c>
      <c r="M4529">
        <v>36</v>
      </c>
      <c r="N4529" t="s">
        <v>52</v>
      </c>
      <c r="O4529" s="3">
        <v>43999</v>
      </c>
      <c r="P4529">
        <v>-1</v>
      </c>
      <c r="T4529" t="s">
        <v>32</v>
      </c>
      <c r="U4529">
        <v>64</v>
      </c>
      <c r="V4529">
        <v>23.132000000000001</v>
      </c>
    </row>
    <row r="4530" spans="1:22" x14ac:dyDescent="0.35">
      <c r="A4530" s="3">
        <v>43963</v>
      </c>
      <c r="B4530" t="s">
        <v>49</v>
      </c>
      <c r="C4530">
        <v>29.46</v>
      </c>
      <c r="D4530">
        <v>31.97</v>
      </c>
      <c r="E4530">
        <v>28.79</v>
      </c>
      <c r="F4530">
        <v>31.92</v>
      </c>
      <c r="G4530">
        <v>31.65</v>
      </c>
      <c r="H4530">
        <v>2.2749999999999999</v>
      </c>
      <c r="I4530">
        <v>5264</v>
      </c>
      <c r="J4530">
        <v>0</v>
      </c>
      <c r="K4530">
        <v>16019</v>
      </c>
      <c r="L4530">
        <v>89</v>
      </c>
      <c r="M4530">
        <v>127</v>
      </c>
      <c r="N4530" t="s">
        <v>49</v>
      </c>
      <c r="O4530" s="3">
        <v>44090</v>
      </c>
      <c r="P4530">
        <v>-1</v>
      </c>
      <c r="T4530" t="s">
        <v>31</v>
      </c>
      <c r="U4530">
        <v>82</v>
      </c>
      <c r="V4530">
        <v>24.0502</v>
      </c>
    </row>
    <row r="4531" spans="1:22" x14ac:dyDescent="0.35">
      <c r="A4531" s="3">
        <v>43962</v>
      </c>
      <c r="B4531" t="s">
        <v>51</v>
      </c>
      <c r="C4531">
        <v>30.81</v>
      </c>
      <c r="D4531">
        <v>31.57</v>
      </c>
      <c r="E4531">
        <v>29.25</v>
      </c>
      <c r="F4531">
        <v>29.55</v>
      </c>
      <c r="G4531">
        <v>29.425000000000001</v>
      </c>
      <c r="H4531">
        <v>-1.1499999999999999</v>
      </c>
      <c r="I4531">
        <v>10479</v>
      </c>
      <c r="J4531">
        <v>0</v>
      </c>
      <c r="K4531">
        <v>33553</v>
      </c>
      <c r="L4531">
        <v>51</v>
      </c>
      <c r="M4531">
        <v>72</v>
      </c>
      <c r="N4531" t="s">
        <v>51</v>
      </c>
      <c r="O4531" s="3">
        <v>44034</v>
      </c>
      <c r="P4531">
        <v>-1</v>
      </c>
      <c r="T4531" t="s">
        <v>30</v>
      </c>
      <c r="U4531">
        <v>108</v>
      </c>
      <c r="V4531">
        <v>24.7028</v>
      </c>
    </row>
    <row r="4532" spans="1:22" x14ac:dyDescent="0.35">
      <c r="A4532" s="3">
        <v>43962</v>
      </c>
      <c r="B4532" t="s">
        <v>48</v>
      </c>
      <c r="C4532">
        <v>31.05</v>
      </c>
      <c r="D4532">
        <v>31.75</v>
      </c>
      <c r="E4532">
        <v>30.43</v>
      </c>
      <c r="F4532">
        <v>30.64</v>
      </c>
      <c r="G4532">
        <v>30.55</v>
      </c>
      <c r="H4532">
        <v>-0.52500000000000002</v>
      </c>
      <c r="I4532">
        <v>2288</v>
      </c>
      <c r="J4532">
        <v>0</v>
      </c>
      <c r="K4532">
        <v>15853</v>
      </c>
      <c r="L4532">
        <v>115</v>
      </c>
      <c r="M4532">
        <v>163</v>
      </c>
      <c r="N4532" t="s">
        <v>48</v>
      </c>
      <c r="O4532" s="3">
        <v>44125</v>
      </c>
      <c r="P4532">
        <v>-1</v>
      </c>
      <c r="T4532" t="s">
        <v>29</v>
      </c>
      <c r="U4532">
        <v>128</v>
      </c>
      <c r="V4532">
        <v>25.05</v>
      </c>
    </row>
    <row r="4533" spans="1:22" x14ac:dyDescent="0.35">
      <c r="A4533" s="3">
        <v>43962</v>
      </c>
      <c r="B4533" t="s">
        <v>53</v>
      </c>
      <c r="C4533">
        <v>30</v>
      </c>
      <c r="D4533">
        <v>31.65</v>
      </c>
      <c r="E4533">
        <v>27.5</v>
      </c>
      <c r="F4533">
        <v>28.08</v>
      </c>
      <c r="G4533">
        <v>27.824999999999999</v>
      </c>
      <c r="H4533">
        <v>-1.5</v>
      </c>
      <c r="I4533">
        <v>51859</v>
      </c>
      <c r="J4533">
        <v>301</v>
      </c>
      <c r="K4533">
        <v>58194</v>
      </c>
      <c r="L4533">
        <v>7</v>
      </c>
      <c r="M4533">
        <v>9</v>
      </c>
      <c r="N4533" t="s">
        <v>53</v>
      </c>
      <c r="O4533" s="3">
        <v>43971</v>
      </c>
      <c r="P4533">
        <v>-1</v>
      </c>
      <c r="T4533" t="s">
        <v>28</v>
      </c>
      <c r="U4533">
        <v>147</v>
      </c>
      <c r="V4533">
        <v>25.05</v>
      </c>
    </row>
    <row r="4534" spans="1:22" x14ac:dyDescent="0.35">
      <c r="A4534" s="3">
        <v>43962</v>
      </c>
      <c r="B4534" t="s">
        <v>50</v>
      </c>
      <c r="C4534">
        <v>30.39</v>
      </c>
      <c r="D4534">
        <v>30.97</v>
      </c>
      <c r="E4534">
        <v>29.17</v>
      </c>
      <c r="F4534">
        <v>29.35</v>
      </c>
      <c r="G4534">
        <v>29.274999999999999</v>
      </c>
      <c r="H4534">
        <v>-0.875</v>
      </c>
      <c r="I4534">
        <v>6686</v>
      </c>
      <c r="J4534">
        <v>0</v>
      </c>
      <c r="K4534">
        <v>14299</v>
      </c>
      <c r="L4534">
        <v>71</v>
      </c>
      <c r="M4534">
        <v>100</v>
      </c>
      <c r="N4534" t="s">
        <v>50</v>
      </c>
      <c r="O4534" s="3">
        <v>44062</v>
      </c>
      <c r="P4534">
        <v>-1</v>
      </c>
      <c r="T4534" t="s">
        <v>22</v>
      </c>
      <c r="U4534">
        <v>171</v>
      </c>
      <c r="V4534">
        <v>25.125</v>
      </c>
    </row>
    <row r="4535" spans="1:22" x14ac:dyDescent="0.35">
      <c r="A4535" s="3">
        <v>43962</v>
      </c>
      <c r="B4535" t="s">
        <v>47</v>
      </c>
      <c r="C4535">
        <v>28.92</v>
      </c>
      <c r="D4535">
        <v>29.51</v>
      </c>
      <c r="E4535">
        <v>28.3</v>
      </c>
      <c r="F4535">
        <v>28.51</v>
      </c>
      <c r="G4535">
        <v>28.425000000000001</v>
      </c>
      <c r="H4535">
        <v>-0.52500000000000002</v>
      </c>
      <c r="I4535">
        <v>967</v>
      </c>
      <c r="J4535">
        <v>0</v>
      </c>
      <c r="K4535">
        <v>9609</v>
      </c>
      <c r="L4535">
        <v>135</v>
      </c>
      <c r="M4535">
        <v>191</v>
      </c>
      <c r="N4535" t="s">
        <v>47</v>
      </c>
      <c r="O4535" s="3">
        <v>44153</v>
      </c>
      <c r="P4535">
        <v>-1</v>
      </c>
      <c r="T4535" t="s">
        <v>35</v>
      </c>
      <c r="U4535">
        <v>2</v>
      </c>
      <c r="V4535">
        <v>17.001100000000001</v>
      </c>
    </row>
    <row r="4536" spans="1:22" x14ac:dyDescent="0.35">
      <c r="A4536" s="3">
        <v>43962</v>
      </c>
      <c r="B4536" t="s">
        <v>52</v>
      </c>
      <c r="C4536">
        <v>30.9</v>
      </c>
      <c r="D4536">
        <v>32.08</v>
      </c>
      <c r="E4536">
        <v>28.75</v>
      </c>
      <c r="F4536">
        <v>29.28</v>
      </c>
      <c r="G4536">
        <v>29.024999999999999</v>
      </c>
      <c r="H4536">
        <v>-1.7</v>
      </c>
      <c r="I4536">
        <v>51211</v>
      </c>
      <c r="J4536">
        <v>780</v>
      </c>
      <c r="K4536">
        <v>80958</v>
      </c>
      <c r="L4536">
        <v>26</v>
      </c>
      <c r="M4536">
        <v>37</v>
      </c>
      <c r="N4536" t="s">
        <v>52</v>
      </c>
      <c r="O4536" s="3">
        <v>43999</v>
      </c>
      <c r="P4536">
        <v>-1</v>
      </c>
      <c r="T4536" t="s">
        <v>34</v>
      </c>
      <c r="U4536">
        <v>26</v>
      </c>
      <c r="V4536">
        <v>19.890999999999998</v>
      </c>
    </row>
    <row r="4537" spans="1:22" x14ac:dyDescent="0.35">
      <c r="A4537" s="3">
        <v>43962</v>
      </c>
      <c r="B4537" t="s">
        <v>49</v>
      </c>
      <c r="C4537">
        <v>30.1</v>
      </c>
      <c r="D4537">
        <v>30.75</v>
      </c>
      <c r="E4537">
        <v>29.25</v>
      </c>
      <c r="F4537">
        <v>29.46</v>
      </c>
      <c r="G4537">
        <v>29.375</v>
      </c>
      <c r="H4537">
        <v>-0.7</v>
      </c>
      <c r="I4537">
        <v>2761</v>
      </c>
      <c r="J4537">
        <v>0</v>
      </c>
      <c r="K4537">
        <v>16441</v>
      </c>
      <c r="L4537">
        <v>90</v>
      </c>
      <c r="M4537">
        <v>128</v>
      </c>
      <c r="N4537" t="s">
        <v>49</v>
      </c>
      <c r="O4537" s="3">
        <v>44090</v>
      </c>
      <c r="P4537">
        <v>-1</v>
      </c>
      <c r="S4537" s="3">
        <v>44516</v>
      </c>
      <c r="T4537" t="s">
        <v>33</v>
      </c>
      <c r="U4537">
        <v>43</v>
      </c>
      <c r="V4537">
        <v>22.044599999999999</v>
      </c>
    </row>
    <row r="4538" spans="1:22" x14ac:dyDescent="0.35">
      <c r="A4538" s="3">
        <v>43962</v>
      </c>
      <c r="B4538" t="s">
        <v>46</v>
      </c>
      <c r="C4538">
        <v>27.65</v>
      </c>
      <c r="D4538">
        <v>28.4</v>
      </c>
      <c r="E4538">
        <v>27.4</v>
      </c>
      <c r="F4538">
        <v>27.52</v>
      </c>
      <c r="G4538">
        <v>27.45</v>
      </c>
      <c r="H4538">
        <v>-0.4</v>
      </c>
      <c r="I4538">
        <v>132</v>
      </c>
      <c r="J4538">
        <v>0</v>
      </c>
      <c r="K4538">
        <v>450</v>
      </c>
      <c r="L4538">
        <v>154</v>
      </c>
      <c r="M4538">
        <v>219</v>
      </c>
      <c r="N4538" t="s">
        <v>46</v>
      </c>
      <c r="O4538" s="3">
        <v>44181</v>
      </c>
      <c r="P4538">
        <v>-1</v>
      </c>
      <c r="T4538" t="s">
        <v>32</v>
      </c>
      <c r="U4538">
        <v>63</v>
      </c>
      <c r="V4538">
        <v>23.2013</v>
      </c>
    </row>
    <row r="4539" spans="1:22" x14ac:dyDescent="0.35">
      <c r="A4539" s="3">
        <v>43959</v>
      </c>
      <c r="B4539" t="s">
        <v>46</v>
      </c>
      <c r="C4539">
        <v>28.46</v>
      </c>
      <c r="D4539">
        <v>28.65</v>
      </c>
      <c r="E4539">
        <v>27.75</v>
      </c>
      <c r="F4539">
        <v>27.85</v>
      </c>
      <c r="G4539">
        <v>27.85</v>
      </c>
      <c r="H4539">
        <v>-0.82499999999999996</v>
      </c>
      <c r="I4539">
        <v>33</v>
      </c>
      <c r="J4539">
        <v>0</v>
      </c>
      <c r="K4539">
        <v>389</v>
      </c>
      <c r="L4539">
        <v>155</v>
      </c>
      <c r="M4539">
        <v>222</v>
      </c>
      <c r="N4539" t="s">
        <v>46</v>
      </c>
      <c r="O4539" s="3">
        <v>44181</v>
      </c>
      <c r="P4539">
        <v>-1</v>
      </c>
      <c r="T4539" t="s">
        <v>31</v>
      </c>
      <c r="U4539">
        <v>81</v>
      </c>
      <c r="V4539">
        <v>24.049800000000001</v>
      </c>
    </row>
    <row r="4540" spans="1:22" x14ac:dyDescent="0.35">
      <c r="A4540" s="3">
        <v>43959</v>
      </c>
      <c r="B4540" t="s">
        <v>51</v>
      </c>
      <c r="C4540">
        <v>32.200000000000003</v>
      </c>
      <c r="D4540">
        <v>32.25</v>
      </c>
      <c r="E4540">
        <v>30.5</v>
      </c>
      <c r="F4540">
        <v>30.55</v>
      </c>
      <c r="G4540">
        <v>30.574999999999999</v>
      </c>
      <c r="H4540">
        <v>-1.5</v>
      </c>
      <c r="I4540">
        <v>8161</v>
      </c>
      <c r="J4540">
        <v>0</v>
      </c>
      <c r="K4540">
        <v>32649</v>
      </c>
      <c r="L4540">
        <v>52</v>
      </c>
      <c r="M4540">
        <v>75</v>
      </c>
      <c r="N4540" t="s">
        <v>51</v>
      </c>
      <c r="O4540" s="3">
        <v>44034</v>
      </c>
      <c r="P4540">
        <v>-1</v>
      </c>
      <c r="T4540" t="s">
        <v>30</v>
      </c>
      <c r="U4540">
        <v>107</v>
      </c>
      <c r="V4540">
        <v>24.85</v>
      </c>
    </row>
    <row r="4541" spans="1:22" x14ac:dyDescent="0.35">
      <c r="A4541" s="3">
        <v>43959</v>
      </c>
      <c r="B4541" t="s">
        <v>48</v>
      </c>
      <c r="C4541">
        <v>31.92</v>
      </c>
      <c r="D4541">
        <v>32.049999999999997</v>
      </c>
      <c r="E4541">
        <v>31</v>
      </c>
      <c r="F4541">
        <v>31</v>
      </c>
      <c r="G4541">
        <v>31.074999999999999</v>
      </c>
      <c r="H4541">
        <v>-0.85</v>
      </c>
      <c r="I4541">
        <v>1913</v>
      </c>
      <c r="J4541">
        <v>0</v>
      </c>
      <c r="K4541">
        <v>15425</v>
      </c>
      <c r="L4541">
        <v>116</v>
      </c>
      <c r="M4541">
        <v>166</v>
      </c>
      <c r="N4541" t="s">
        <v>48</v>
      </c>
      <c r="O4541" s="3">
        <v>44125</v>
      </c>
      <c r="P4541">
        <v>-1</v>
      </c>
      <c r="T4541" t="s">
        <v>29</v>
      </c>
      <c r="U4541">
        <v>127</v>
      </c>
      <c r="V4541">
        <v>25.248200000000001</v>
      </c>
    </row>
    <row r="4542" spans="1:22" x14ac:dyDescent="0.35">
      <c r="A4542" s="3">
        <v>43959</v>
      </c>
      <c r="B4542" t="s">
        <v>53</v>
      </c>
      <c r="C4542">
        <v>32.130000000000003</v>
      </c>
      <c r="D4542">
        <v>32.299999999999997</v>
      </c>
      <c r="E4542">
        <v>29.3</v>
      </c>
      <c r="F4542">
        <v>29.41</v>
      </c>
      <c r="G4542">
        <v>29.324999999999999</v>
      </c>
      <c r="H4542">
        <v>-2.8</v>
      </c>
      <c r="I4542">
        <v>49499</v>
      </c>
      <c r="J4542">
        <v>484</v>
      </c>
      <c r="K4542">
        <v>61438</v>
      </c>
      <c r="L4542">
        <v>8</v>
      </c>
      <c r="M4542">
        <v>12</v>
      </c>
      <c r="N4542" t="s">
        <v>53</v>
      </c>
      <c r="O4542" s="3">
        <v>43971</v>
      </c>
      <c r="P4542">
        <v>-1</v>
      </c>
      <c r="T4542" t="s">
        <v>28</v>
      </c>
      <c r="U4542">
        <v>146</v>
      </c>
      <c r="V4542">
        <v>25.4</v>
      </c>
    </row>
    <row r="4543" spans="1:22" x14ac:dyDescent="0.35">
      <c r="A4543" s="3">
        <v>43959</v>
      </c>
      <c r="B4543" t="s">
        <v>50</v>
      </c>
      <c r="C4543">
        <v>31.5</v>
      </c>
      <c r="D4543">
        <v>31.5</v>
      </c>
      <c r="E4543">
        <v>30.05</v>
      </c>
      <c r="F4543">
        <v>30.05</v>
      </c>
      <c r="G4543">
        <v>30.15</v>
      </c>
      <c r="H4543">
        <v>-1.2250000000000001</v>
      </c>
      <c r="I4543">
        <v>5577</v>
      </c>
      <c r="J4543">
        <v>0</v>
      </c>
      <c r="K4543">
        <v>14753</v>
      </c>
      <c r="L4543">
        <v>72</v>
      </c>
      <c r="M4543">
        <v>103</v>
      </c>
      <c r="N4543" t="s">
        <v>50</v>
      </c>
      <c r="O4543" s="3">
        <v>44062</v>
      </c>
      <c r="P4543">
        <v>-1</v>
      </c>
      <c r="T4543" t="s">
        <v>22</v>
      </c>
      <c r="U4543">
        <v>170</v>
      </c>
      <c r="V4543">
        <v>25.425000000000001</v>
      </c>
    </row>
    <row r="4544" spans="1:22" x14ac:dyDescent="0.35">
      <c r="A4544" s="3">
        <v>43959</v>
      </c>
      <c r="B4544" t="s">
        <v>47</v>
      </c>
      <c r="C4544">
        <v>29.75</v>
      </c>
      <c r="D4544">
        <v>29.85</v>
      </c>
      <c r="E4544">
        <v>28.9</v>
      </c>
      <c r="F4544">
        <v>28.9</v>
      </c>
      <c r="G4544">
        <v>28.95</v>
      </c>
      <c r="H4544">
        <v>-0.82499999999999996</v>
      </c>
      <c r="I4544">
        <v>849</v>
      </c>
      <c r="J4544">
        <v>0</v>
      </c>
      <c r="K4544">
        <v>9549</v>
      </c>
      <c r="L4544">
        <v>136</v>
      </c>
      <c r="M4544">
        <v>194</v>
      </c>
      <c r="N4544" t="s">
        <v>47</v>
      </c>
      <c r="O4544" s="3">
        <v>44153</v>
      </c>
      <c r="P4544">
        <v>-1</v>
      </c>
      <c r="T4544" t="s">
        <v>35</v>
      </c>
      <c r="U4544">
        <v>1</v>
      </c>
      <c r="V4544">
        <v>16.799099999999999</v>
      </c>
    </row>
    <row r="4545" spans="1:22" x14ac:dyDescent="0.35">
      <c r="A4545" s="3">
        <v>43959</v>
      </c>
      <c r="B4545" t="s">
        <v>52</v>
      </c>
      <c r="C4545">
        <v>32.65</v>
      </c>
      <c r="D4545">
        <v>32.770000000000003</v>
      </c>
      <c r="E4545">
        <v>30.55</v>
      </c>
      <c r="F4545">
        <v>30.67</v>
      </c>
      <c r="G4545">
        <v>30.725000000000001</v>
      </c>
      <c r="H4545">
        <v>-1.9</v>
      </c>
      <c r="I4545">
        <v>42889</v>
      </c>
      <c r="J4545">
        <v>1029</v>
      </c>
      <c r="K4545">
        <v>78566</v>
      </c>
      <c r="L4545">
        <v>27</v>
      </c>
      <c r="M4545">
        <v>40</v>
      </c>
      <c r="N4545" t="s">
        <v>52</v>
      </c>
      <c r="O4545" s="3">
        <v>43999</v>
      </c>
      <c r="P4545">
        <v>-1</v>
      </c>
      <c r="T4545" t="s">
        <v>34</v>
      </c>
      <c r="U4545">
        <v>25</v>
      </c>
      <c r="V4545">
        <v>20.0017</v>
      </c>
    </row>
    <row r="4546" spans="1:22" x14ac:dyDescent="0.35">
      <c r="A4546" s="3">
        <v>43959</v>
      </c>
      <c r="B4546" t="s">
        <v>49</v>
      </c>
      <c r="C4546">
        <v>31.25</v>
      </c>
      <c r="D4546">
        <v>31.25</v>
      </c>
      <c r="E4546">
        <v>29.98</v>
      </c>
      <c r="F4546">
        <v>30.04</v>
      </c>
      <c r="G4546">
        <v>30.074999999999999</v>
      </c>
      <c r="H4546">
        <v>-1</v>
      </c>
      <c r="I4546">
        <v>2892</v>
      </c>
      <c r="J4546">
        <v>0</v>
      </c>
      <c r="K4546">
        <v>16652</v>
      </c>
      <c r="L4546">
        <v>91</v>
      </c>
      <c r="M4546">
        <v>131</v>
      </c>
      <c r="N4546" t="s">
        <v>49</v>
      </c>
      <c r="O4546" s="3">
        <v>44090</v>
      </c>
      <c r="P4546">
        <v>-1</v>
      </c>
      <c r="S4546" s="3">
        <v>44517</v>
      </c>
      <c r="T4546" t="s">
        <v>33</v>
      </c>
      <c r="U4546">
        <v>42</v>
      </c>
      <c r="V4546">
        <v>22.427</v>
      </c>
    </row>
    <row r="4547" spans="1:22" x14ac:dyDescent="0.35">
      <c r="A4547" s="3">
        <v>43958</v>
      </c>
      <c r="B4547" t="s">
        <v>51</v>
      </c>
      <c r="C4547">
        <v>33.450000000000003</v>
      </c>
      <c r="D4547">
        <v>33.619999999999997</v>
      </c>
      <c r="E4547">
        <v>32.049999999999997</v>
      </c>
      <c r="F4547">
        <v>32.15</v>
      </c>
      <c r="G4547">
        <v>32.075000000000003</v>
      </c>
      <c r="H4547">
        <v>-1.5</v>
      </c>
      <c r="I4547">
        <v>8572</v>
      </c>
      <c r="J4547">
        <v>0</v>
      </c>
      <c r="K4547">
        <v>32681</v>
      </c>
      <c r="L4547">
        <v>53</v>
      </c>
      <c r="M4547">
        <v>76</v>
      </c>
      <c r="N4547" t="s">
        <v>51</v>
      </c>
      <c r="O4547" s="3">
        <v>44034</v>
      </c>
      <c r="P4547">
        <v>-1</v>
      </c>
      <c r="T4547" t="s">
        <v>32</v>
      </c>
      <c r="U4547">
        <v>62</v>
      </c>
      <c r="V4547">
        <v>23.602</v>
      </c>
    </row>
    <row r="4548" spans="1:22" x14ac:dyDescent="0.35">
      <c r="A4548" s="3">
        <v>43958</v>
      </c>
      <c r="B4548" t="s">
        <v>48</v>
      </c>
      <c r="C4548">
        <v>32.82</v>
      </c>
      <c r="D4548">
        <v>33.1</v>
      </c>
      <c r="E4548">
        <v>31.85</v>
      </c>
      <c r="F4548">
        <v>32</v>
      </c>
      <c r="G4548">
        <v>31.925000000000001</v>
      </c>
      <c r="H4548">
        <v>-1.2</v>
      </c>
      <c r="I4548">
        <v>1925</v>
      </c>
      <c r="J4548">
        <v>0</v>
      </c>
      <c r="K4548">
        <v>15145</v>
      </c>
      <c r="L4548">
        <v>117</v>
      </c>
      <c r="M4548">
        <v>167</v>
      </c>
      <c r="N4548" t="s">
        <v>48</v>
      </c>
      <c r="O4548" s="3">
        <v>44125</v>
      </c>
      <c r="P4548">
        <v>-1</v>
      </c>
      <c r="T4548" t="s">
        <v>31</v>
      </c>
      <c r="U4548">
        <v>80</v>
      </c>
      <c r="V4548">
        <v>24.5</v>
      </c>
    </row>
    <row r="4549" spans="1:22" x14ac:dyDescent="0.35">
      <c r="A4549" s="3">
        <v>43958</v>
      </c>
      <c r="B4549" t="s">
        <v>53</v>
      </c>
      <c r="C4549">
        <v>34.799999999999997</v>
      </c>
      <c r="D4549">
        <v>35.049999999999997</v>
      </c>
      <c r="E4549">
        <v>32.049999999999997</v>
      </c>
      <c r="F4549">
        <v>32.200000000000003</v>
      </c>
      <c r="G4549">
        <v>32.125</v>
      </c>
      <c r="H4549">
        <v>-2.65</v>
      </c>
      <c r="I4549">
        <v>50794</v>
      </c>
      <c r="J4549">
        <v>396</v>
      </c>
      <c r="K4549">
        <v>61849</v>
      </c>
      <c r="L4549">
        <v>9</v>
      </c>
      <c r="M4549">
        <v>13</v>
      </c>
      <c r="N4549" t="s">
        <v>53</v>
      </c>
      <c r="O4549" s="3">
        <v>43971</v>
      </c>
      <c r="P4549">
        <v>-1</v>
      </c>
      <c r="T4549" t="s">
        <v>30</v>
      </c>
      <c r="U4549">
        <v>106</v>
      </c>
      <c r="V4549">
        <v>25.200700000000001</v>
      </c>
    </row>
    <row r="4550" spans="1:22" x14ac:dyDescent="0.35">
      <c r="A4550" s="3">
        <v>43958</v>
      </c>
      <c r="B4550" t="s">
        <v>50</v>
      </c>
      <c r="C4550">
        <v>32.6</v>
      </c>
      <c r="D4550">
        <v>32.65</v>
      </c>
      <c r="E4550">
        <v>31.31</v>
      </c>
      <c r="F4550">
        <v>31.45</v>
      </c>
      <c r="G4550">
        <v>31.375</v>
      </c>
      <c r="H4550">
        <v>-1.3</v>
      </c>
      <c r="I4550">
        <v>6713</v>
      </c>
      <c r="J4550">
        <v>0</v>
      </c>
      <c r="K4550">
        <v>14498</v>
      </c>
      <c r="L4550">
        <v>73</v>
      </c>
      <c r="M4550">
        <v>104</v>
      </c>
      <c r="N4550" t="s">
        <v>50</v>
      </c>
      <c r="O4550" s="3">
        <v>44062</v>
      </c>
      <c r="P4550">
        <v>-1</v>
      </c>
      <c r="T4550" t="s">
        <v>29</v>
      </c>
      <c r="U4550">
        <v>126</v>
      </c>
      <c r="V4550">
        <v>25.584199999999999</v>
      </c>
    </row>
    <row r="4551" spans="1:22" x14ac:dyDescent="0.35">
      <c r="A4551" s="3">
        <v>43958</v>
      </c>
      <c r="B4551" t="s">
        <v>47</v>
      </c>
      <c r="C4551">
        <v>30.5</v>
      </c>
      <c r="D4551">
        <v>30.8</v>
      </c>
      <c r="E4551">
        <v>29.75</v>
      </c>
      <c r="F4551">
        <v>29.85</v>
      </c>
      <c r="G4551">
        <v>29.774999999999999</v>
      </c>
      <c r="H4551">
        <v>-1.05</v>
      </c>
      <c r="I4551">
        <v>822</v>
      </c>
      <c r="J4551">
        <v>0</v>
      </c>
      <c r="K4551">
        <v>9408</v>
      </c>
      <c r="L4551">
        <v>137</v>
      </c>
      <c r="M4551">
        <v>195</v>
      </c>
      <c r="N4551" t="s">
        <v>47</v>
      </c>
      <c r="O4551" s="3">
        <v>44153</v>
      </c>
      <c r="P4551">
        <v>-1</v>
      </c>
      <c r="T4551" t="s">
        <v>28</v>
      </c>
      <c r="U4551">
        <v>145</v>
      </c>
      <c r="V4551">
        <v>25.8552</v>
      </c>
    </row>
    <row r="4552" spans="1:22" x14ac:dyDescent="0.35">
      <c r="A4552" s="3">
        <v>43958</v>
      </c>
      <c r="B4552" t="s">
        <v>52</v>
      </c>
      <c r="C4552">
        <v>34.450000000000003</v>
      </c>
      <c r="D4552">
        <v>34.72</v>
      </c>
      <c r="E4552">
        <v>32.58</v>
      </c>
      <c r="F4552">
        <v>32.65</v>
      </c>
      <c r="G4552">
        <v>32.625</v>
      </c>
      <c r="H4552">
        <v>-1.95</v>
      </c>
      <c r="I4552">
        <v>40105</v>
      </c>
      <c r="J4552">
        <v>744</v>
      </c>
      <c r="K4552">
        <v>73164</v>
      </c>
      <c r="L4552">
        <v>28</v>
      </c>
      <c r="M4552">
        <v>41</v>
      </c>
      <c r="N4552" t="s">
        <v>52</v>
      </c>
      <c r="O4552" s="3">
        <v>43999</v>
      </c>
      <c r="P4552">
        <v>-1</v>
      </c>
      <c r="T4552" t="s">
        <v>22</v>
      </c>
      <c r="U4552">
        <v>169</v>
      </c>
      <c r="V4552">
        <v>25.95</v>
      </c>
    </row>
    <row r="4553" spans="1:22" x14ac:dyDescent="0.35">
      <c r="A4553" s="3">
        <v>43958</v>
      </c>
      <c r="B4553" t="s">
        <v>49</v>
      </c>
      <c r="C4553">
        <v>32.450000000000003</v>
      </c>
      <c r="D4553">
        <v>32.450000000000003</v>
      </c>
      <c r="E4553">
        <v>30.97</v>
      </c>
      <c r="F4553">
        <v>31.17</v>
      </c>
      <c r="G4553">
        <v>31.074999999999999</v>
      </c>
      <c r="H4553">
        <v>-1.35</v>
      </c>
      <c r="I4553">
        <v>5899</v>
      </c>
      <c r="J4553">
        <v>0</v>
      </c>
      <c r="K4553">
        <v>16639</v>
      </c>
      <c r="L4553">
        <v>92</v>
      </c>
      <c r="M4553">
        <v>132</v>
      </c>
      <c r="N4553" t="s">
        <v>49</v>
      </c>
      <c r="O4553" s="3">
        <v>44090</v>
      </c>
      <c r="P4553">
        <v>-1</v>
      </c>
      <c r="T4553" t="s">
        <v>35</v>
      </c>
      <c r="U4553">
        <v>0</v>
      </c>
      <c r="V4553">
        <v>16.34</v>
      </c>
    </row>
    <row r="4554" spans="1:22" x14ac:dyDescent="0.35">
      <c r="A4554" s="3">
        <v>43958</v>
      </c>
      <c r="B4554" t="s">
        <v>46</v>
      </c>
      <c r="C4554">
        <v>29.1</v>
      </c>
      <c r="D4554">
        <v>29.5</v>
      </c>
      <c r="E4554">
        <v>28.6</v>
      </c>
      <c r="F4554">
        <v>28.65</v>
      </c>
      <c r="G4554">
        <v>28.675000000000001</v>
      </c>
      <c r="H4554">
        <v>-0.9</v>
      </c>
      <c r="I4554">
        <v>29</v>
      </c>
      <c r="J4554">
        <v>0</v>
      </c>
      <c r="K4554">
        <v>375</v>
      </c>
      <c r="L4554">
        <v>156</v>
      </c>
      <c r="M4554">
        <v>223</v>
      </c>
      <c r="N4554" t="s">
        <v>46</v>
      </c>
      <c r="O4554" s="3">
        <v>44181</v>
      </c>
      <c r="P4554">
        <v>-1</v>
      </c>
      <c r="T4554" t="s">
        <v>34</v>
      </c>
      <c r="U4554">
        <v>24</v>
      </c>
      <c r="V4554">
        <v>20.2745</v>
      </c>
    </row>
    <row r="4555" spans="1:22" x14ac:dyDescent="0.35">
      <c r="A4555" s="3">
        <v>43957</v>
      </c>
      <c r="B4555" t="s">
        <v>46</v>
      </c>
      <c r="C4555">
        <v>29</v>
      </c>
      <c r="D4555">
        <v>29.57</v>
      </c>
      <c r="E4555">
        <v>28.95</v>
      </c>
      <c r="F4555">
        <v>29.55</v>
      </c>
      <c r="G4555">
        <v>29.574999999999999</v>
      </c>
      <c r="H4555">
        <v>0.3</v>
      </c>
      <c r="I4555">
        <v>29</v>
      </c>
      <c r="J4555">
        <v>0</v>
      </c>
      <c r="K4555">
        <v>365</v>
      </c>
      <c r="L4555">
        <v>157</v>
      </c>
      <c r="M4555">
        <v>224</v>
      </c>
      <c r="N4555" t="s">
        <v>46</v>
      </c>
      <c r="O4555" s="3">
        <v>44181</v>
      </c>
      <c r="P4555">
        <v>-1</v>
      </c>
      <c r="S4555" s="3">
        <v>44518</v>
      </c>
      <c r="T4555" t="s">
        <v>33</v>
      </c>
      <c r="U4555">
        <v>41</v>
      </c>
      <c r="V4555">
        <v>22.645499999999998</v>
      </c>
    </row>
    <row r="4556" spans="1:22" x14ac:dyDescent="0.35">
      <c r="A4556" s="3">
        <v>43957</v>
      </c>
      <c r="B4556" t="s">
        <v>51</v>
      </c>
      <c r="C4556">
        <v>32.9</v>
      </c>
      <c r="D4556">
        <v>33.57</v>
      </c>
      <c r="E4556">
        <v>32.21</v>
      </c>
      <c r="F4556">
        <v>33.549999999999997</v>
      </c>
      <c r="G4556">
        <v>33.575000000000003</v>
      </c>
      <c r="H4556">
        <v>0.75</v>
      </c>
      <c r="I4556">
        <v>7779</v>
      </c>
      <c r="J4556">
        <v>0</v>
      </c>
      <c r="K4556">
        <v>32755</v>
      </c>
      <c r="L4556">
        <v>54</v>
      </c>
      <c r="M4556">
        <v>77</v>
      </c>
      <c r="N4556" t="s">
        <v>51</v>
      </c>
      <c r="O4556" s="3">
        <v>44034</v>
      </c>
      <c r="P4556">
        <v>-1</v>
      </c>
      <c r="T4556" t="s">
        <v>32</v>
      </c>
      <c r="U4556">
        <v>61</v>
      </c>
      <c r="V4556">
        <v>23.8</v>
      </c>
    </row>
    <row r="4557" spans="1:22" x14ac:dyDescent="0.35">
      <c r="A4557" s="3">
        <v>43957</v>
      </c>
      <c r="B4557" t="s">
        <v>48</v>
      </c>
      <c r="C4557">
        <v>32.71</v>
      </c>
      <c r="D4557">
        <v>33.15</v>
      </c>
      <c r="E4557">
        <v>32.15</v>
      </c>
      <c r="F4557">
        <v>33.049999999999997</v>
      </c>
      <c r="G4557">
        <v>33.125</v>
      </c>
      <c r="H4557">
        <v>0.47499999999999998</v>
      </c>
      <c r="I4557">
        <v>1069</v>
      </c>
      <c r="J4557">
        <v>0</v>
      </c>
      <c r="K4557">
        <v>15158</v>
      </c>
      <c r="L4557">
        <v>118</v>
      </c>
      <c r="M4557">
        <v>168</v>
      </c>
      <c r="N4557" t="s">
        <v>48</v>
      </c>
      <c r="O4557" s="3">
        <v>44125</v>
      </c>
      <c r="P4557">
        <v>-1</v>
      </c>
      <c r="T4557" t="s">
        <v>31</v>
      </c>
      <c r="U4557">
        <v>79</v>
      </c>
      <c r="V4557">
        <v>24.6</v>
      </c>
    </row>
    <row r="4558" spans="1:22" x14ac:dyDescent="0.35">
      <c r="A4558" s="3">
        <v>43957</v>
      </c>
      <c r="B4558" t="s">
        <v>53</v>
      </c>
      <c r="C4558">
        <v>34.200000000000003</v>
      </c>
      <c r="D4558">
        <v>35.1</v>
      </c>
      <c r="E4558">
        <v>32.96</v>
      </c>
      <c r="F4558">
        <v>34.799999999999997</v>
      </c>
      <c r="G4558">
        <v>34.774999999999999</v>
      </c>
      <c r="H4558">
        <v>0.75</v>
      </c>
      <c r="I4558">
        <v>44278</v>
      </c>
      <c r="J4558">
        <v>256</v>
      </c>
      <c r="K4558">
        <v>65442</v>
      </c>
      <c r="L4558">
        <v>10</v>
      </c>
      <c r="M4558">
        <v>14</v>
      </c>
      <c r="N4558" t="s">
        <v>53</v>
      </c>
      <c r="O4558" s="3">
        <v>43971</v>
      </c>
      <c r="P4558">
        <v>-1</v>
      </c>
      <c r="T4558" t="s">
        <v>30</v>
      </c>
      <c r="U4558">
        <v>105</v>
      </c>
      <c r="V4558">
        <v>25.250499999999999</v>
      </c>
    </row>
    <row r="4559" spans="1:22" x14ac:dyDescent="0.35">
      <c r="A4559" s="3">
        <v>43957</v>
      </c>
      <c r="B4559" t="s">
        <v>50</v>
      </c>
      <c r="C4559">
        <v>32.200000000000003</v>
      </c>
      <c r="D4559">
        <v>32.67</v>
      </c>
      <c r="E4559">
        <v>31.57</v>
      </c>
      <c r="F4559">
        <v>32.65</v>
      </c>
      <c r="G4559">
        <v>32.674999999999997</v>
      </c>
      <c r="H4559">
        <v>0.55000000000000004</v>
      </c>
      <c r="I4559">
        <v>7689</v>
      </c>
      <c r="J4559">
        <v>0</v>
      </c>
      <c r="K4559">
        <v>14690</v>
      </c>
      <c r="L4559">
        <v>74</v>
      </c>
      <c r="M4559">
        <v>105</v>
      </c>
      <c r="N4559" t="s">
        <v>50</v>
      </c>
      <c r="O4559" s="3">
        <v>44062</v>
      </c>
      <c r="P4559">
        <v>-1</v>
      </c>
      <c r="T4559" t="s">
        <v>29</v>
      </c>
      <c r="U4559">
        <v>125</v>
      </c>
      <c r="V4559">
        <v>25.6</v>
      </c>
    </row>
    <row r="4560" spans="1:22" x14ac:dyDescent="0.35">
      <c r="A4560" s="3">
        <v>43957</v>
      </c>
      <c r="B4560" t="s">
        <v>47</v>
      </c>
      <c r="C4560">
        <v>30.5</v>
      </c>
      <c r="D4560">
        <v>30.9</v>
      </c>
      <c r="E4560">
        <v>29.99</v>
      </c>
      <c r="F4560">
        <v>30.83</v>
      </c>
      <c r="G4560">
        <v>30.824999999999999</v>
      </c>
      <c r="H4560">
        <v>0.42499999999999999</v>
      </c>
      <c r="I4560">
        <v>421</v>
      </c>
      <c r="J4560">
        <v>0</v>
      </c>
      <c r="K4560">
        <v>9362</v>
      </c>
      <c r="L4560">
        <v>138</v>
      </c>
      <c r="M4560">
        <v>196</v>
      </c>
      <c r="N4560" t="s">
        <v>47</v>
      </c>
      <c r="O4560" s="3">
        <v>44153</v>
      </c>
      <c r="P4560">
        <v>-1</v>
      </c>
      <c r="T4560" t="s">
        <v>28</v>
      </c>
      <c r="U4560">
        <v>144</v>
      </c>
      <c r="V4560">
        <v>25.85</v>
      </c>
    </row>
    <row r="4561" spans="1:22" x14ac:dyDescent="0.35">
      <c r="A4561" s="3">
        <v>43957</v>
      </c>
      <c r="B4561" t="s">
        <v>52</v>
      </c>
      <c r="C4561">
        <v>33.9</v>
      </c>
      <c r="D4561">
        <v>34.61</v>
      </c>
      <c r="E4561">
        <v>33.03</v>
      </c>
      <c r="F4561">
        <v>34.590000000000003</v>
      </c>
      <c r="G4561">
        <v>34.575000000000003</v>
      </c>
      <c r="H4561">
        <v>0.8</v>
      </c>
      <c r="I4561">
        <v>34688</v>
      </c>
      <c r="J4561">
        <v>384</v>
      </c>
      <c r="K4561">
        <v>68866</v>
      </c>
      <c r="L4561">
        <v>29</v>
      </c>
      <c r="M4561">
        <v>42</v>
      </c>
      <c r="N4561" t="s">
        <v>52</v>
      </c>
      <c r="O4561" s="3">
        <v>43999</v>
      </c>
      <c r="P4561">
        <v>-1</v>
      </c>
      <c r="T4561" t="s">
        <v>22</v>
      </c>
      <c r="U4561">
        <v>168</v>
      </c>
      <c r="V4561">
        <v>25.95</v>
      </c>
    </row>
    <row r="4562" spans="1:22" x14ac:dyDescent="0.35">
      <c r="A4562" s="3">
        <v>43957</v>
      </c>
      <c r="B4562" t="s">
        <v>49</v>
      </c>
      <c r="C4562">
        <v>32.1</v>
      </c>
      <c r="D4562">
        <v>32.450000000000003</v>
      </c>
      <c r="E4562">
        <v>31.48</v>
      </c>
      <c r="F4562">
        <v>32.35</v>
      </c>
      <c r="G4562">
        <v>32.424999999999997</v>
      </c>
      <c r="H4562">
        <v>0.45</v>
      </c>
      <c r="I4562">
        <v>1879</v>
      </c>
      <c r="J4562">
        <v>0</v>
      </c>
      <c r="K4562">
        <v>16701</v>
      </c>
      <c r="L4562">
        <v>93</v>
      </c>
      <c r="M4562">
        <v>133</v>
      </c>
      <c r="N4562" t="s">
        <v>49</v>
      </c>
      <c r="O4562" s="3">
        <v>44090</v>
      </c>
      <c r="P4562">
        <v>-1</v>
      </c>
      <c r="T4562" t="s">
        <v>34</v>
      </c>
      <c r="U4562">
        <v>23</v>
      </c>
      <c r="V4562">
        <v>20.499500000000001</v>
      </c>
    </row>
    <row r="4563" spans="1:22" x14ac:dyDescent="0.35">
      <c r="A4563" s="3">
        <v>43956</v>
      </c>
      <c r="B4563" t="s">
        <v>51</v>
      </c>
      <c r="C4563">
        <v>33.85</v>
      </c>
      <c r="D4563">
        <v>33.9</v>
      </c>
      <c r="E4563">
        <v>32.07</v>
      </c>
      <c r="F4563">
        <v>32.9</v>
      </c>
      <c r="G4563">
        <v>32.825000000000003</v>
      </c>
      <c r="H4563">
        <v>-0.9</v>
      </c>
      <c r="I4563">
        <v>7819</v>
      </c>
      <c r="J4563">
        <v>0</v>
      </c>
      <c r="K4563">
        <v>31801</v>
      </c>
      <c r="L4563">
        <v>55</v>
      </c>
      <c r="M4563">
        <v>78</v>
      </c>
      <c r="N4563" t="s">
        <v>51</v>
      </c>
      <c r="O4563" s="3">
        <v>44034</v>
      </c>
      <c r="P4563">
        <v>-1</v>
      </c>
      <c r="S4563" s="3">
        <v>44519</v>
      </c>
      <c r="T4563" t="s">
        <v>33</v>
      </c>
      <c r="U4563">
        <v>40</v>
      </c>
      <c r="V4563">
        <v>22.749700000000001</v>
      </c>
    </row>
    <row r="4564" spans="1:22" x14ac:dyDescent="0.35">
      <c r="A4564" s="3">
        <v>43956</v>
      </c>
      <c r="B4564" t="s">
        <v>48</v>
      </c>
      <c r="C4564">
        <v>33.39</v>
      </c>
      <c r="D4564">
        <v>33.450000000000003</v>
      </c>
      <c r="E4564">
        <v>32.15</v>
      </c>
      <c r="F4564">
        <v>32.700000000000003</v>
      </c>
      <c r="G4564">
        <v>32.65</v>
      </c>
      <c r="H4564">
        <v>-0.7</v>
      </c>
      <c r="I4564">
        <v>2074</v>
      </c>
      <c r="J4564">
        <v>0</v>
      </c>
      <c r="K4564">
        <v>15174</v>
      </c>
      <c r="L4564">
        <v>119</v>
      </c>
      <c r="M4564">
        <v>169</v>
      </c>
      <c r="N4564" t="s">
        <v>48</v>
      </c>
      <c r="O4564" s="3">
        <v>44125</v>
      </c>
      <c r="P4564">
        <v>-1</v>
      </c>
      <c r="T4564" t="s">
        <v>32</v>
      </c>
      <c r="U4564">
        <v>60</v>
      </c>
      <c r="V4564">
        <v>23.709099999999999</v>
      </c>
    </row>
    <row r="4565" spans="1:22" x14ac:dyDescent="0.35">
      <c r="A4565" s="3">
        <v>43956</v>
      </c>
      <c r="B4565" t="s">
        <v>53</v>
      </c>
      <c r="C4565">
        <v>35.75</v>
      </c>
      <c r="D4565">
        <v>36.1</v>
      </c>
      <c r="E4565">
        <v>32.85</v>
      </c>
      <c r="F4565">
        <v>34.15</v>
      </c>
      <c r="G4565">
        <v>34.024999999999999</v>
      </c>
      <c r="H4565">
        <v>-1.65</v>
      </c>
      <c r="I4565">
        <v>47509</v>
      </c>
      <c r="J4565">
        <v>0</v>
      </c>
      <c r="K4565">
        <v>67154</v>
      </c>
      <c r="L4565">
        <v>11</v>
      </c>
      <c r="M4565">
        <v>15</v>
      </c>
      <c r="N4565" t="s">
        <v>53</v>
      </c>
      <c r="O4565" s="3">
        <v>43971</v>
      </c>
      <c r="P4565">
        <v>-1</v>
      </c>
      <c r="T4565" t="s">
        <v>31</v>
      </c>
      <c r="U4565">
        <v>78</v>
      </c>
      <c r="V4565">
        <v>24.5716</v>
      </c>
    </row>
    <row r="4566" spans="1:22" x14ac:dyDescent="0.35">
      <c r="A4566" s="3">
        <v>43956</v>
      </c>
      <c r="B4566" t="s">
        <v>50</v>
      </c>
      <c r="C4566">
        <v>33.1</v>
      </c>
      <c r="D4566">
        <v>33.15</v>
      </c>
      <c r="E4566">
        <v>31.5</v>
      </c>
      <c r="F4566">
        <v>32.15</v>
      </c>
      <c r="G4566">
        <v>32.125</v>
      </c>
      <c r="H4566">
        <v>-0.95</v>
      </c>
      <c r="I4566">
        <v>6594</v>
      </c>
      <c r="J4566">
        <v>0</v>
      </c>
      <c r="K4566">
        <v>14527</v>
      </c>
      <c r="L4566">
        <v>75</v>
      </c>
      <c r="M4566">
        <v>106</v>
      </c>
      <c r="N4566" t="s">
        <v>50</v>
      </c>
      <c r="O4566" s="3">
        <v>44062</v>
      </c>
      <c r="P4566">
        <v>-1</v>
      </c>
      <c r="T4566" t="s">
        <v>30</v>
      </c>
      <c r="U4566">
        <v>104</v>
      </c>
      <c r="V4566">
        <v>25.2</v>
      </c>
    </row>
    <row r="4567" spans="1:22" x14ac:dyDescent="0.35">
      <c r="A4567" s="3">
        <v>43956</v>
      </c>
      <c r="B4567" t="s">
        <v>47</v>
      </c>
      <c r="C4567">
        <v>31.2</v>
      </c>
      <c r="D4567">
        <v>31.21</v>
      </c>
      <c r="E4567">
        <v>29.97</v>
      </c>
      <c r="F4567">
        <v>30.45</v>
      </c>
      <c r="G4567">
        <v>30.4</v>
      </c>
      <c r="H4567">
        <v>-0.67500000000000004</v>
      </c>
      <c r="I4567">
        <v>1063</v>
      </c>
      <c r="J4567">
        <v>0</v>
      </c>
      <c r="K4567">
        <v>9411</v>
      </c>
      <c r="L4567">
        <v>139</v>
      </c>
      <c r="M4567">
        <v>197</v>
      </c>
      <c r="N4567" t="s">
        <v>47</v>
      </c>
      <c r="O4567" s="3">
        <v>44153</v>
      </c>
      <c r="P4567">
        <v>-1</v>
      </c>
      <c r="T4567" t="s">
        <v>29</v>
      </c>
      <c r="U4567">
        <v>124</v>
      </c>
      <c r="V4567">
        <v>25.4984</v>
      </c>
    </row>
    <row r="4568" spans="1:22" x14ac:dyDescent="0.35">
      <c r="A4568" s="3">
        <v>43956</v>
      </c>
      <c r="B4568" t="s">
        <v>52</v>
      </c>
      <c r="C4568">
        <v>35.049999999999997</v>
      </c>
      <c r="D4568">
        <v>35.22</v>
      </c>
      <c r="E4568">
        <v>32.93</v>
      </c>
      <c r="F4568">
        <v>33.85</v>
      </c>
      <c r="G4568">
        <v>33.774999999999999</v>
      </c>
      <c r="H4568">
        <v>-1.2</v>
      </c>
      <c r="I4568">
        <v>36399</v>
      </c>
      <c r="J4568">
        <v>0</v>
      </c>
      <c r="K4568">
        <v>65527</v>
      </c>
      <c r="L4568">
        <v>30</v>
      </c>
      <c r="M4568">
        <v>43</v>
      </c>
      <c r="N4568" t="s">
        <v>52</v>
      </c>
      <c r="O4568" s="3">
        <v>43999</v>
      </c>
      <c r="P4568">
        <v>-1</v>
      </c>
      <c r="T4568" t="s">
        <v>28</v>
      </c>
      <c r="U4568">
        <v>143</v>
      </c>
      <c r="V4568">
        <v>25.7057</v>
      </c>
    </row>
    <row r="4569" spans="1:22" x14ac:dyDescent="0.35">
      <c r="A4569" s="3">
        <v>43956</v>
      </c>
      <c r="B4569" t="s">
        <v>49</v>
      </c>
      <c r="C4569">
        <v>32.700000000000003</v>
      </c>
      <c r="D4569">
        <v>32.770000000000003</v>
      </c>
      <c r="E4569">
        <v>31.37</v>
      </c>
      <c r="F4569">
        <v>31.95</v>
      </c>
      <c r="G4569">
        <v>31.975000000000001</v>
      </c>
      <c r="H4569">
        <v>-0.72499999999999998</v>
      </c>
      <c r="I4569">
        <v>3209</v>
      </c>
      <c r="J4569">
        <v>0</v>
      </c>
      <c r="K4569">
        <v>16495</v>
      </c>
      <c r="L4569">
        <v>94</v>
      </c>
      <c r="M4569">
        <v>134</v>
      </c>
      <c r="N4569" t="s">
        <v>49</v>
      </c>
      <c r="O4569" s="3">
        <v>44090</v>
      </c>
      <c r="P4569">
        <v>-1</v>
      </c>
      <c r="T4569" t="s">
        <v>22</v>
      </c>
      <c r="U4569">
        <v>167</v>
      </c>
      <c r="V4569">
        <v>25.875</v>
      </c>
    </row>
    <row r="4570" spans="1:22" x14ac:dyDescent="0.35">
      <c r="A4570" s="3">
        <v>43956</v>
      </c>
      <c r="B4570" t="s">
        <v>46</v>
      </c>
      <c r="C4570">
        <v>29.7</v>
      </c>
      <c r="D4570">
        <v>29.8</v>
      </c>
      <c r="E4570">
        <v>28.95</v>
      </c>
      <c r="F4570">
        <v>29.35</v>
      </c>
      <c r="G4570">
        <v>29.274999999999999</v>
      </c>
      <c r="H4570">
        <v>-0.625</v>
      </c>
      <c r="I4570">
        <v>33</v>
      </c>
      <c r="J4570">
        <v>0</v>
      </c>
      <c r="K4570">
        <v>331</v>
      </c>
      <c r="L4570">
        <v>158</v>
      </c>
      <c r="M4570">
        <v>225</v>
      </c>
      <c r="N4570" t="s">
        <v>46</v>
      </c>
      <c r="O4570" s="3">
        <v>44181</v>
      </c>
      <c r="P4570">
        <v>-1</v>
      </c>
      <c r="T4570" t="s">
        <v>34</v>
      </c>
      <c r="U4570">
        <v>22</v>
      </c>
      <c r="V4570">
        <v>20.799399999999999</v>
      </c>
    </row>
    <row r="4571" spans="1:22" x14ac:dyDescent="0.35">
      <c r="A4571" s="3">
        <v>43955</v>
      </c>
      <c r="B4571" t="s">
        <v>46</v>
      </c>
      <c r="C4571">
        <v>30.31</v>
      </c>
      <c r="D4571">
        <v>30.9</v>
      </c>
      <c r="E4571">
        <v>29.8</v>
      </c>
      <c r="F4571">
        <v>29.8</v>
      </c>
      <c r="G4571">
        <v>29.9</v>
      </c>
      <c r="H4571">
        <v>-0.1</v>
      </c>
      <c r="I4571">
        <v>34</v>
      </c>
      <c r="J4571">
        <v>0</v>
      </c>
      <c r="K4571">
        <v>323</v>
      </c>
      <c r="L4571">
        <v>159</v>
      </c>
      <c r="M4571">
        <v>226</v>
      </c>
      <c r="N4571" t="s">
        <v>46</v>
      </c>
      <c r="O4571" s="3">
        <v>44181</v>
      </c>
      <c r="P4571">
        <v>-1</v>
      </c>
      <c r="S4571" s="3">
        <v>44522</v>
      </c>
      <c r="T4571" t="s">
        <v>33</v>
      </c>
      <c r="U4571">
        <v>39</v>
      </c>
      <c r="V4571">
        <v>23.099799999999998</v>
      </c>
    </row>
    <row r="4572" spans="1:22" x14ac:dyDescent="0.35">
      <c r="A4572" s="3">
        <v>43955</v>
      </c>
      <c r="B4572" t="s">
        <v>51</v>
      </c>
      <c r="C4572">
        <v>34.700000000000003</v>
      </c>
      <c r="D4572">
        <v>35.47</v>
      </c>
      <c r="E4572">
        <v>33.619999999999997</v>
      </c>
      <c r="F4572">
        <v>33.82</v>
      </c>
      <c r="G4572">
        <v>33.725000000000001</v>
      </c>
      <c r="H4572">
        <v>-0.5</v>
      </c>
      <c r="I4572">
        <v>8757</v>
      </c>
      <c r="J4572">
        <v>0</v>
      </c>
      <c r="K4572">
        <v>31625</v>
      </c>
      <c r="L4572">
        <v>56</v>
      </c>
      <c r="M4572">
        <v>79</v>
      </c>
      <c r="N4572" t="s">
        <v>51</v>
      </c>
      <c r="O4572" s="3">
        <v>44034</v>
      </c>
      <c r="P4572">
        <v>-1</v>
      </c>
      <c r="T4572" t="s">
        <v>32</v>
      </c>
      <c r="U4572">
        <v>59</v>
      </c>
      <c r="V4572">
        <v>24.049900000000001</v>
      </c>
    </row>
    <row r="4573" spans="1:22" x14ac:dyDescent="0.35">
      <c r="A4573" s="3">
        <v>43955</v>
      </c>
      <c r="B4573" t="s">
        <v>48</v>
      </c>
      <c r="C4573">
        <v>33.9</v>
      </c>
      <c r="D4573">
        <v>34.47</v>
      </c>
      <c r="E4573">
        <v>33.25</v>
      </c>
      <c r="F4573">
        <v>33.380000000000003</v>
      </c>
      <c r="G4573">
        <v>33.35</v>
      </c>
      <c r="H4573">
        <v>-0.27500000000000002</v>
      </c>
      <c r="I4573">
        <v>1613</v>
      </c>
      <c r="J4573">
        <v>0</v>
      </c>
      <c r="K4573">
        <v>15207</v>
      </c>
      <c r="L4573">
        <v>120</v>
      </c>
      <c r="M4573">
        <v>170</v>
      </c>
      <c r="N4573" t="s">
        <v>48</v>
      </c>
      <c r="O4573" s="3">
        <v>44125</v>
      </c>
      <c r="P4573">
        <v>-1</v>
      </c>
      <c r="T4573" t="s">
        <v>31</v>
      </c>
      <c r="U4573">
        <v>77</v>
      </c>
      <c r="V4573">
        <v>24.85</v>
      </c>
    </row>
    <row r="4574" spans="1:22" x14ac:dyDescent="0.35">
      <c r="A4574" s="3">
        <v>43955</v>
      </c>
      <c r="B4574" t="s">
        <v>45</v>
      </c>
      <c r="C4574">
        <v>32.5</v>
      </c>
      <c r="D4574">
        <v>32.5</v>
      </c>
      <c r="E4574">
        <v>30.1</v>
      </c>
      <c r="F4574">
        <v>30.1</v>
      </c>
      <c r="G4574">
        <v>30.05</v>
      </c>
      <c r="H4574">
        <v>-0.2</v>
      </c>
      <c r="I4574">
        <v>2</v>
      </c>
      <c r="J4574">
        <v>0</v>
      </c>
      <c r="K4574">
        <v>3</v>
      </c>
      <c r="L4574">
        <v>181</v>
      </c>
      <c r="M4574">
        <v>261</v>
      </c>
      <c r="N4574" t="s">
        <v>45</v>
      </c>
      <c r="O4574" s="3">
        <v>44216</v>
      </c>
      <c r="P4574">
        <v>-1</v>
      </c>
      <c r="T4574" t="s">
        <v>30</v>
      </c>
      <c r="U4574">
        <v>103</v>
      </c>
      <c r="V4574">
        <v>25.468399999999999</v>
      </c>
    </row>
    <row r="4575" spans="1:22" x14ac:dyDescent="0.35">
      <c r="A4575" s="3">
        <v>43955</v>
      </c>
      <c r="B4575" t="s">
        <v>53</v>
      </c>
      <c r="C4575">
        <v>38</v>
      </c>
      <c r="D4575">
        <v>39.85</v>
      </c>
      <c r="E4575">
        <v>35.549999999999997</v>
      </c>
      <c r="F4575">
        <v>35.700000000000003</v>
      </c>
      <c r="G4575">
        <v>35.674999999999997</v>
      </c>
      <c r="H4575">
        <v>-1.675</v>
      </c>
      <c r="I4575">
        <v>48280</v>
      </c>
      <c r="J4575">
        <v>0</v>
      </c>
      <c r="K4575">
        <v>70181</v>
      </c>
      <c r="L4575">
        <v>12</v>
      </c>
      <c r="M4575">
        <v>16</v>
      </c>
      <c r="N4575" t="s">
        <v>53</v>
      </c>
      <c r="O4575" s="3">
        <v>43971</v>
      </c>
      <c r="P4575">
        <v>-1</v>
      </c>
      <c r="T4575" t="s">
        <v>29</v>
      </c>
      <c r="U4575">
        <v>123</v>
      </c>
      <c r="V4575">
        <v>25.7</v>
      </c>
    </row>
    <row r="4576" spans="1:22" x14ac:dyDescent="0.35">
      <c r="A4576" s="3">
        <v>43955</v>
      </c>
      <c r="B4576" t="s">
        <v>50</v>
      </c>
      <c r="C4576">
        <v>33.97</v>
      </c>
      <c r="D4576">
        <v>34.450000000000003</v>
      </c>
      <c r="E4576">
        <v>32.950000000000003</v>
      </c>
      <c r="F4576">
        <v>33.1</v>
      </c>
      <c r="G4576">
        <v>33.075000000000003</v>
      </c>
      <c r="H4576">
        <v>-0.3</v>
      </c>
      <c r="I4576">
        <v>4267</v>
      </c>
      <c r="J4576">
        <v>0</v>
      </c>
      <c r="K4576">
        <v>14030</v>
      </c>
      <c r="L4576">
        <v>76</v>
      </c>
      <c r="M4576">
        <v>107</v>
      </c>
      <c r="N4576" t="s">
        <v>50</v>
      </c>
      <c r="O4576" s="3">
        <v>44062</v>
      </c>
      <c r="P4576">
        <v>-1</v>
      </c>
      <c r="T4576" t="s">
        <v>28</v>
      </c>
      <c r="U4576">
        <v>142</v>
      </c>
      <c r="V4576">
        <v>25.9</v>
      </c>
    </row>
    <row r="4577" spans="1:22" x14ac:dyDescent="0.35">
      <c r="A4577" s="3">
        <v>43955</v>
      </c>
      <c r="B4577" t="s">
        <v>47</v>
      </c>
      <c r="C4577">
        <v>31.45</v>
      </c>
      <c r="D4577">
        <v>32.1</v>
      </c>
      <c r="E4577">
        <v>31</v>
      </c>
      <c r="F4577">
        <v>31.1</v>
      </c>
      <c r="G4577">
        <v>31.074999999999999</v>
      </c>
      <c r="H4577">
        <v>-0.2</v>
      </c>
      <c r="I4577">
        <v>945</v>
      </c>
      <c r="J4577">
        <v>0</v>
      </c>
      <c r="K4577">
        <v>9489</v>
      </c>
      <c r="L4577">
        <v>140</v>
      </c>
      <c r="M4577">
        <v>198</v>
      </c>
      <c r="N4577" t="s">
        <v>47</v>
      </c>
      <c r="O4577" s="3">
        <v>44153</v>
      </c>
      <c r="P4577">
        <v>-1</v>
      </c>
      <c r="T4577" t="s">
        <v>22</v>
      </c>
      <c r="U4577">
        <v>166</v>
      </c>
      <c r="V4577">
        <v>26.024999999999999</v>
      </c>
    </row>
    <row r="4578" spans="1:22" x14ac:dyDescent="0.35">
      <c r="A4578" s="3">
        <v>43955</v>
      </c>
      <c r="B4578" t="s">
        <v>52</v>
      </c>
      <c r="C4578">
        <v>36.549999999999997</v>
      </c>
      <c r="D4578">
        <v>37.5</v>
      </c>
      <c r="E4578">
        <v>34.85</v>
      </c>
      <c r="F4578">
        <v>35.049999999999997</v>
      </c>
      <c r="G4578">
        <v>34.975000000000001</v>
      </c>
      <c r="H4578">
        <v>-1</v>
      </c>
      <c r="I4578">
        <v>34625</v>
      </c>
      <c r="J4578">
        <v>0</v>
      </c>
      <c r="K4578">
        <v>63155</v>
      </c>
      <c r="L4578">
        <v>31</v>
      </c>
      <c r="M4578">
        <v>44</v>
      </c>
      <c r="N4578" t="s">
        <v>52</v>
      </c>
      <c r="O4578" s="3">
        <v>43999</v>
      </c>
      <c r="P4578">
        <v>-1</v>
      </c>
      <c r="T4578" t="s">
        <v>26</v>
      </c>
      <c r="U4578">
        <v>186</v>
      </c>
      <c r="V4578">
        <v>25.75</v>
      </c>
    </row>
    <row r="4579" spans="1:22" x14ac:dyDescent="0.35">
      <c r="A4579" s="3">
        <v>43955</v>
      </c>
      <c r="B4579" t="s">
        <v>49</v>
      </c>
      <c r="C4579">
        <v>33.299999999999997</v>
      </c>
      <c r="D4579">
        <v>33.909999999999997</v>
      </c>
      <c r="E4579">
        <v>32.65</v>
      </c>
      <c r="F4579">
        <v>32.75</v>
      </c>
      <c r="G4579">
        <v>32.700000000000003</v>
      </c>
      <c r="H4579">
        <v>-0.32500000000000001</v>
      </c>
      <c r="I4579">
        <v>2802</v>
      </c>
      <c r="J4579">
        <v>0</v>
      </c>
      <c r="K4579">
        <v>16401</v>
      </c>
      <c r="L4579">
        <v>95</v>
      </c>
      <c r="M4579">
        <v>135</v>
      </c>
      <c r="N4579" t="s">
        <v>49</v>
      </c>
      <c r="O4579" s="3">
        <v>44090</v>
      </c>
      <c r="P4579">
        <v>-1</v>
      </c>
      <c r="T4579" t="s">
        <v>34</v>
      </c>
      <c r="U4579">
        <v>21</v>
      </c>
      <c r="V4579">
        <v>21.152899999999999</v>
      </c>
    </row>
    <row r="4580" spans="1:22" x14ac:dyDescent="0.35">
      <c r="A4580" s="3">
        <v>43952</v>
      </c>
      <c r="B4580" t="s">
        <v>51</v>
      </c>
      <c r="C4580">
        <v>32.590000000000003</v>
      </c>
      <c r="D4580">
        <v>34.42</v>
      </c>
      <c r="E4580">
        <v>32.4</v>
      </c>
      <c r="F4580">
        <v>34.29</v>
      </c>
      <c r="G4580">
        <v>34.225000000000001</v>
      </c>
      <c r="H4580">
        <v>2.15</v>
      </c>
      <c r="I4580">
        <v>13446</v>
      </c>
      <c r="J4580">
        <v>0</v>
      </c>
      <c r="K4580">
        <v>31654</v>
      </c>
      <c r="L4580">
        <v>57</v>
      </c>
      <c r="M4580">
        <v>82</v>
      </c>
      <c r="N4580" t="s">
        <v>51</v>
      </c>
      <c r="O4580" s="3">
        <v>44034</v>
      </c>
      <c r="P4580">
        <v>-1</v>
      </c>
      <c r="S4580" s="3">
        <v>44523</v>
      </c>
      <c r="T4580" t="s">
        <v>33</v>
      </c>
      <c r="U4580">
        <v>38</v>
      </c>
      <c r="V4580">
        <v>22.665600000000001</v>
      </c>
    </row>
    <row r="4581" spans="1:22" x14ac:dyDescent="0.35">
      <c r="A4581" s="3">
        <v>43952</v>
      </c>
      <c r="B4581" t="s">
        <v>48</v>
      </c>
      <c r="C4581">
        <v>32.1</v>
      </c>
      <c r="D4581">
        <v>33.799999999999997</v>
      </c>
      <c r="E4581">
        <v>31.8</v>
      </c>
      <c r="F4581">
        <v>33.590000000000003</v>
      </c>
      <c r="G4581">
        <v>33.625</v>
      </c>
      <c r="H4581">
        <v>2.125</v>
      </c>
      <c r="I4581">
        <v>2269</v>
      </c>
      <c r="J4581">
        <v>0</v>
      </c>
      <c r="K4581">
        <v>15309</v>
      </c>
      <c r="L4581">
        <v>121</v>
      </c>
      <c r="M4581">
        <v>173</v>
      </c>
      <c r="N4581" t="s">
        <v>48</v>
      </c>
      <c r="O4581" s="3">
        <v>44125</v>
      </c>
      <c r="P4581">
        <v>-1</v>
      </c>
      <c r="T4581" t="s">
        <v>32</v>
      </c>
      <c r="U4581">
        <v>58</v>
      </c>
      <c r="V4581">
        <v>23.7759</v>
      </c>
    </row>
    <row r="4582" spans="1:22" x14ac:dyDescent="0.35">
      <c r="A4582" s="3">
        <v>43952</v>
      </c>
      <c r="B4582" t="s">
        <v>53</v>
      </c>
      <c r="C4582">
        <v>34.9</v>
      </c>
      <c r="D4582">
        <v>37.799999999999997</v>
      </c>
      <c r="E4582">
        <v>34.78</v>
      </c>
      <c r="F4582">
        <v>37.4</v>
      </c>
      <c r="G4582">
        <v>37.35</v>
      </c>
      <c r="H4582">
        <v>3.375</v>
      </c>
      <c r="I4582">
        <v>50523</v>
      </c>
      <c r="J4582">
        <v>0</v>
      </c>
      <c r="K4582">
        <v>72885</v>
      </c>
      <c r="L4582">
        <v>13</v>
      </c>
      <c r="M4582">
        <v>19</v>
      </c>
      <c r="N4582" t="s">
        <v>53</v>
      </c>
      <c r="O4582" s="3">
        <v>43971</v>
      </c>
      <c r="P4582">
        <v>-1</v>
      </c>
      <c r="T4582" t="s">
        <v>31</v>
      </c>
      <c r="U4582">
        <v>76</v>
      </c>
      <c r="V4582">
        <v>24.571200000000001</v>
      </c>
    </row>
    <row r="4583" spans="1:22" x14ac:dyDescent="0.35">
      <c r="A4583" s="3">
        <v>43952</v>
      </c>
      <c r="B4583" t="s">
        <v>50</v>
      </c>
      <c r="C4583">
        <v>31.6</v>
      </c>
      <c r="D4583">
        <v>33.57</v>
      </c>
      <c r="E4583">
        <v>31.6</v>
      </c>
      <c r="F4583">
        <v>33.450000000000003</v>
      </c>
      <c r="G4583">
        <v>33.375</v>
      </c>
      <c r="H4583">
        <v>2.0499999999999998</v>
      </c>
      <c r="I4583">
        <v>8900</v>
      </c>
      <c r="J4583">
        <v>0</v>
      </c>
      <c r="K4583">
        <v>14126</v>
      </c>
      <c r="L4583">
        <v>77</v>
      </c>
      <c r="M4583">
        <v>110</v>
      </c>
      <c r="N4583" t="s">
        <v>50</v>
      </c>
      <c r="O4583" s="3">
        <v>44062</v>
      </c>
      <c r="P4583">
        <v>-1</v>
      </c>
      <c r="T4583" t="s">
        <v>30</v>
      </c>
      <c r="U4583">
        <v>102</v>
      </c>
      <c r="V4583">
        <v>25.2</v>
      </c>
    </row>
    <row r="4584" spans="1:22" x14ac:dyDescent="0.35">
      <c r="A4584" s="3">
        <v>43952</v>
      </c>
      <c r="B4584" t="s">
        <v>47</v>
      </c>
      <c r="C4584">
        <v>29.72</v>
      </c>
      <c r="D4584">
        <v>31.45</v>
      </c>
      <c r="E4584">
        <v>29.6</v>
      </c>
      <c r="F4584">
        <v>31.27</v>
      </c>
      <c r="G4584">
        <v>31.274999999999999</v>
      </c>
      <c r="H4584">
        <v>1.95</v>
      </c>
      <c r="I4584">
        <v>948</v>
      </c>
      <c r="J4584">
        <v>0</v>
      </c>
      <c r="K4584">
        <v>9420</v>
      </c>
      <c r="L4584">
        <v>141</v>
      </c>
      <c r="M4584">
        <v>201</v>
      </c>
      <c r="N4584" t="s">
        <v>47</v>
      </c>
      <c r="O4584" s="3">
        <v>44153</v>
      </c>
      <c r="P4584">
        <v>-1</v>
      </c>
      <c r="T4584" t="s">
        <v>29</v>
      </c>
      <c r="U4584">
        <v>122</v>
      </c>
      <c r="V4584">
        <v>25.484100000000002</v>
      </c>
    </row>
    <row r="4585" spans="1:22" x14ac:dyDescent="0.35">
      <c r="A4585" s="3">
        <v>43952</v>
      </c>
      <c r="B4585" t="s">
        <v>52</v>
      </c>
      <c r="C4585">
        <v>33.869999999999997</v>
      </c>
      <c r="D4585">
        <v>36.17</v>
      </c>
      <c r="E4585">
        <v>33.74</v>
      </c>
      <c r="F4585">
        <v>36</v>
      </c>
      <c r="G4585">
        <v>35.975000000000001</v>
      </c>
      <c r="H4585">
        <v>2.75</v>
      </c>
      <c r="I4585">
        <v>40369</v>
      </c>
      <c r="J4585">
        <v>0</v>
      </c>
      <c r="K4585">
        <v>61370</v>
      </c>
      <c r="L4585">
        <v>32</v>
      </c>
      <c r="M4585">
        <v>47</v>
      </c>
      <c r="N4585" t="s">
        <v>52</v>
      </c>
      <c r="O4585" s="3">
        <v>43999</v>
      </c>
      <c r="P4585">
        <v>-1</v>
      </c>
      <c r="T4585" t="s">
        <v>28</v>
      </c>
      <c r="U4585">
        <v>141</v>
      </c>
      <c r="V4585">
        <v>25.668900000000001</v>
      </c>
    </row>
    <row r="4586" spans="1:22" x14ac:dyDescent="0.35">
      <c r="A4586" s="3">
        <v>43952</v>
      </c>
      <c r="B4586" t="s">
        <v>49</v>
      </c>
      <c r="C4586">
        <v>31.25</v>
      </c>
      <c r="D4586">
        <v>33.25</v>
      </c>
      <c r="E4586">
        <v>31.09</v>
      </c>
      <c r="F4586">
        <v>33.03</v>
      </c>
      <c r="G4586">
        <v>33.024999999999999</v>
      </c>
      <c r="H4586">
        <v>2.25</v>
      </c>
      <c r="I4586">
        <v>4650</v>
      </c>
      <c r="J4586">
        <v>0</v>
      </c>
      <c r="K4586">
        <v>16446</v>
      </c>
      <c r="L4586">
        <v>96</v>
      </c>
      <c r="M4586">
        <v>138</v>
      </c>
      <c r="N4586" t="s">
        <v>49</v>
      </c>
      <c r="O4586" s="3">
        <v>44090</v>
      </c>
      <c r="P4586">
        <v>-1</v>
      </c>
      <c r="T4586" t="s">
        <v>22</v>
      </c>
      <c r="U4586">
        <v>165</v>
      </c>
      <c r="V4586">
        <v>25.75</v>
      </c>
    </row>
    <row r="4587" spans="1:22" x14ac:dyDescent="0.35">
      <c r="A4587" s="3">
        <v>43952</v>
      </c>
      <c r="B4587" t="s">
        <v>46</v>
      </c>
      <c r="C4587">
        <v>28.5</v>
      </c>
      <c r="D4587">
        <v>30.09</v>
      </c>
      <c r="E4587">
        <v>28.3</v>
      </c>
      <c r="F4587">
        <v>30.09</v>
      </c>
      <c r="G4587">
        <v>30</v>
      </c>
      <c r="H4587">
        <v>1.9750000000000001</v>
      </c>
      <c r="I4587">
        <v>80</v>
      </c>
      <c r="J4587">
        <v>0</v>
      </c>
      <c r="K4587">
        <v>317</v>
      </c>
      <c r="L4587">
        <v>160</v>
      </c>
      <c r="M4587">
        <v>229</v>
      </c>
      <c r="N4587" t="s">
        <v>46</v>
      </c>
      <c r="O4587" s="3">
        <v>44181</v>
      </c>
      <c r="P4587">
        <v>-1</v>
      </c>
      <c r="T4587" t="s">
        <v>26</v>
      </c>
      <c r="U4587">
        <v>185</v>
      </c>
      <c r="V4587">
        <v>25.7</v>
      </c>
    </row>
    <row r="4588" spans="1:22" x14ac:dyDescent="0.35">
      <c r="A4588" s="3">
        <v>43951</v>
      </c>
      <c r="B4588" t="s">
        <v>46</v>
      </c>
      <c r="C4588">
        <v>27.4</v>
      </c>
      <c r="D4588">
        <v>28.3</v>
      </c>
      <c r="E4588">
        <v>27.33</v>
      </c>
      <c r="F4588">
        <v>28.1</v>
      </c>
      <c r="G4588">
        <v>28.024999999999999</v>
      </c>
      <c r="H4588">
        <v>0.65</v>
      </c>
      <c r="I4588">
        <v>199</v>
      </c>
      <c r="J4588">
        <v>0</v>
      </c>
      <c r="K4588">
        <v>299</v>
      </c>
      <c r="L4588">
        <v>161</v>
      </c>
      <c r="M4588">
        <v>230</v>
      </c>
      <c r="N4588" t="s">
        <v>46</v>
      </c>
      <c r="O4588" s="3">
        <v>44181</v>
      </c>
      <c r="P4588">
        <v>-1</v>
      </c>
      <c r="T4588" t="s">
        <v>34</v>
      </c>
      <c r="U4588">
        <v>20</v>
      </c>
      <c r="V4588">
        <v>20.562999999999999</v>
      </c>
    </row>
    <row r="4589" spans="1:22" x14ac:dyDescent="0.35">
      <c r="A4589" s="3">
        <v>43951</v>
      </c>
      <c r="B4589" t="s">
        <v>51</v>
      </c>
      <c r="C4589">
        <v>30.9</v>
      </c>
      <c r="D4589">
        <v>32.75</v>
      </c>
      <c r="E4589">
        <v>30.75</v>
      </c>
      <c r="F4589">
        <v>32.299999999999997</v>
      </c>
      <c r="G4589">
        <v>32.075000000000003</v>
      </c>
      <c r="H4589">
        <v>0.95</v>
      </c>
      <c r="I4589">
        <v>11733</v>
      </c>
      <c r="J4589">
        <v>0</v>
      </c>
      <c r="K4589">
        <v>28791</v>
      </c>
      <c r="L4589">
        <v>58</v>
      </c>
      <c r="M4589">
        <v>83</v>
      </c>
      <c r="N4589" t="s">
        <v>51</v>
      </c>
      <c r="O4589" s="3">
        <v>44034</v>
      </c>
      <c r="P4589">
        <v>-1</v>
      </c>
      <c r="S4589" s="3">
        <v>44524</v>
      </c>
      <c r="T4589" t="s">
        <v>33</v>
      </c>
      <c r="U4589">
        <v>37</v>
      </c>
      <c r="V4589">
        <v>22.453800000000001</v>
      </c>
    </row>
    <row r="4590" spans="1:22" x14ac:dyDescent="0.35">
      <c r="A4590" s="3">
        <v>43951</v>
      </c>
      <c r="B4590" t="s">
        <v>48</v>
      </c>
      <c r="C4590">
        <v>30.63</v>
      </c>
      <c r="D4590">
        <v>31.9</v>
      </c>
      <c r="E4590">
        <v>30.55</v>
      </c>
      <c r="F4590">
        <v>31.64</v>
      </c>
      <c r="G4590">
        <v>31.5</v>
      </c>
      <c r="H4590">
        <v>0.72499999999999998</v>
      </c>
      <c r="I4590">
        <v>1495</v>
      </c>
      <c r="J4590">
        <v>0</v>
      </c>
      <c r="K4590">
        <v>15297</v>
      </c>
      <c r="L4590">
        <v>122</v>
      </c>
      <c r="M4590">
        <v>174</v>
      </c>
      <c r="N4590" t="s">
        <v>48</v>
      </c>
      <c r="O4590" s="3">
        <v>44125</v>
      </c>
      <c r="P4590">
        <v>-1</v>
      </c>
      <c r="T4590" t="s">
        <v>32</v>
      </c>
      <c r="U4590">
        <v>57</v>
      </c>
      <c r="V4590">
        <v>23.5747</v>
      </c>
    </row>
    <row r="4591" spans="1:22" x14ac:dyDescent="0.35">
      <c r="A4591" s="3">
        <v>43951</v>
      </c>
      <c r="B4591" t="s">
        <v>53</v>
      </c>
      <c r="C4591">
        <v>31.6</v>
      </c>
      <c r="D4591">
        <v>34.85</v>
      </c>
      <c r="E4591">
        <v>31.45</v>
      </c>
      <c r="F4591">
        <v>34.6</v>
      </c>
      <c r="G4591">
        <v>33.975000000000001</v>
      </c>
      <c r="H4591">
        <v>2.0499999999999998</v>
      </c>
      <c r="I4591">
        <v>49769</v>
      </c>
      <c r="J4591">
        <v>267</v>
      </c>
      <c r="K4591">
        <v>74576</v>
      </c>
      <c r="L4591">
        <v>14</v>
      </c>
      <c r="M4591">
        <v>20</v>
      </c>
      <c r="N4591" t="s">
        <v>53</v>
      </c>
      <c r="O4591" s="3">
        <v>43971</v>
      </c>
      <c r="P4591">
        <v>-1</v>
      </c>
      <c r="T4591" t="s">
        <v>31</v>
      </c>
      <c r="U4591">
        <v>75</v>
      </c>
      <c r="V4591">
        <v>24.424700000000001</v>
      </c>
    </row>
    <row r="4592" spans="1:22" x14ac:dyDescent="0.35">
      <c r="A4592" s="3">
        <v>43951</v>
      </c>
      <c r="B4592" t="s">
        <v>50</v>
      </c>
      <c r="C4592">
        <v>30.4</v>
      </c>
      <c r="D4592">
        <v>31.9</v>
      </c>
      <c r="E4592">
        <v>30.29</v>
      </c>
      <c r="F4592">
        <v>31.55</v>
      </c>
      <c r="G4592">
        <v>31.324999999999999</v>
      </c>
      <c r="H4592">
        <v>0.75</v>
      </c>
      <c r="I4592">
        <v>5258</v>
      </c>
      <c r="J4592">
        <v>0</v>
      </c>
      <c r="K4592">
        <v>14289</v>
      </c>
      <c r="L4592">
        <v>78</v>
      </c>
      <c r="M4592">
        <v>111</v>
      </c>
      <c r="N4592" t="s">
        <v>50</v>
      </c>
      <c r="O4592" s="3">
        <v>44062</v>
      </c>
      <c r="P4592">
        <v>-1</v>
      </c>
      <c r="T4592" t="s">
        <v>30</v>
      </c>
      <c r="U4592">
        <v>101</v>
      </c>
      <c r="V4592">
        <v>25.0928</v>
      </c>
    </row>
    <row r="4593" spans="1:22" x14ac:dyDescent="0.35">
      <c r="A4593" s="3">
        <v>43951</v>
      </c>
      <c r="B4593" t="s">
        <v>47</v>
      </c>
      <c r="C4593">
        <v>28.47</v>
      </c>
      <c r="D4593">
        <v>29.7</v>
      </c>
      <c r="E4593">
        <v>28.45</v>
      </c>
      <c r="F4593">
        <v>29.4</v>
      </c>
      <c r="G4593">
        <v>29.324999999999999</v>
      </c>
      <c r="H4593">
        <v>0.77500000000000002</v>
      </c>
      <c r="I4593">
        <v>1133</v>
      </c>
      <c r="J4593">
        <v>0</v>
      </c>
      <c r="K4593">
        <v>9172</v>
      </c>
      <c r="L4593">
        <v>142</v>
      </c>
      <c r="M4593">
        <v>202</v>
      </c>
      <c r="N4593" t="s">
        <v>47</v>
      </c>
      <c r="O4593" s="3">
        <v>44153</v>
      </c>
      <c r="P4593">
        <v>-1</v>
      </c>
      <c r="T4593" t="s">
        <v>29</v>
      </c>
      <c r="U4593">
        <v>121</v>
      </c>
      <c r="V4593">
        <v>25.367000000000001</v>
      </c>
    </row>
    <row r="4594" spans="1:22" x14ac:dyDescent="0.35">
      <c r="A4594" s="3">
        <v>43951</v>
      </c>
      <c r="B4594" t="s">
        <v>52</v>
      </c>
      <c r="C4594">
        <v>31.45</v>
      </c>
      <c r="D4594">
        <v>34</v>
      </c>
      <c r="E4594">
        <v>31.35</v>
      </c>
      <c r="F4594">
        <v>33.6</v>
      </c>
      <c r="G4594">
        <v>33.225000000000001</v>
      </c>
      <c r="H4594">
        <v>1.45</v>
      </c>
      <c r="I4594">
        <v>32635</v>
      </c>
      <c r="J4594">
        <v>210</v>
      </c>
      <c r="K4594">
        <v>57406</v>
      </c>
      <c r="L4594">
        <v>33</v>
      </c>
      <c r="M4594">
        <v>48</v>
      </c>
      <c r="N4594" t="s">
        <v>52</v>
      </c>
      <c r="O4594" s="3">
        <v>43999</v>
      </c>
      <c r="P4594">
        <v>-1</v>
      </c>
      <c r="T4594" t="s">
        <v>28</v>
      </c>
      <c r="U4594">
        <v>140</v>
      </c>
      <c r="V4594">
        <v>25.605899999999998</v>
      </c>
    </row>
    <row r="4595" spans="1:22" x14ac:dyDescent="0.35">
      <c r="A4595" s="3">
        <v>43951</v>
      </c>
      <c r="B4595" t="s">
        <v>49</v>
      </c>
      <c r="C4595">
        <v>29.87</v>
      </c>
      <c r="D4595">
        <v>31.25</v>
      </c>
      <c r="E4595">
        <v>29.75</v>
      </c>
      <c r="F4595">
        <v>30.95</v>
      </c>
      <c r="G4595">
        <v>30.774999999999999</v>
      </c>
      <c r="H4595">
        <v>0.75</v>
      </c>
      <c r="I4595">
        <v>2743</v>
      </c>
      <c r="J4595">
        <v>0</v>
      </c>
      <c r="K4595">
        <v>15632</v>
      </c>
      <c r="L4595">
        <v>97</v>
      </c>
      <c r="M4595">
        <v>139</v>
      </c>
      <c r="N4595" t="s">
        <v>49</v>
      </c>
      <c r="O4595" s="3">
        <v>44090</v>
      </c>
      <c r="P4595">
        <v>-1</v>
      </c>
      <c r="T4595" t="s">
        <v>22</v>
      </c>
      <c r="U4595">
        <v>164</v>
      </c>
      <c r="V4595">
        <v>25.7</v>
      </c>
    </row>
    <row r="4596" spans="1:22" x14ac:dyDescent="0.35">
      <c r="A4596" s="3">
        <v>43950</v>
      </c>
      <c r="B4596" t="s">
        <v>51</v>
      </c>
      <c r="C4596">
        <v>32.799999999999997</v>
      </c>
      <c r="D4596">
        <v>32.869999999999997</v>
      </c>
      <c r="E4596">
        <v>30.97</v>
      </c>
      <c r="F4596">
        <v>30.97</v>
      </c>
      <c r="G4596">
        <v>31.125</v>
      </c>
      <c r="H4596">
        <v>-1.65</v>
      </c>
      <c r="I4596">
        <v>9317</v>
      </c>
      <c r="J4596">
        <v>0</v>
      </c>
      <c r="K4596">
        <v>27044</v>
      </c>
      <c r="L4596">
        <v>59</v>
      </c>
      <c r="M4596">
        <v>84</v>
      </c>
      <c r="N4596" t="s">
        <v>51</v>
      </c>
      <c r="O4596" s="3">
        <v>44034</v>
      </c>
      <c r="P4596">
        <v>-1</v>
      </c>
      <c r="T4596" t="s">
        <v>26</v>
      </c>
      <c r="U4596">
        <v>184</v>
      </c>
      <c r="V4596">
        <v>25.75</v>
      </c>
    </row>
    <row r="4597" spans="1:22" x14ac:dyDescent="0.35">
      <c r="A4597" s="3">
        <v>43950</v>
      </c>
      <c r="B4597" t="s">
        <v>48</v>
      </c>
      <c r="C4597">
        <v>31.6</v>
      </c>
      <c r="D4597">
        <v>31.6</v>
      </c>
      <c r="E4597">
        <v>30.6</v>
      </c>
      <c r="F4597">
        <v>30.7</v>
      </c>
      <c r="G4597">
        <v>30.774999999999999</v>
      </c>
      <c r="H4597">
        <v>-0.9</v>
      </c>
      <c r="I4597">
        <v>2575</v>
      </c>
      <c r="J4597">
        <v>0</v>
      </c>
      <c r="K4597">
        <v>15170</v>
      </c>
      <c r="L4597">
        <v>123</v>
      </c>
      <c r="M4597">
        <v>175</v>
      </c>
      <c r="N4597" t="s">
        <v>48</v>
      </c>
      <c r="O4597" s="3">
        <v>44125</v>
      </c>
      <c r="P4597">
        <v>-1</v>
      </c>
      <c r="T4597" t="s">
        <v>34</v>
      </c>
      <c r="U4597">
        <v>19</v>
      </c>
      <c r="V4597">
        <v>20.347999999999999</v>
      </c>
    </row>
    <row r="4598" spans="1:22" x14ac:dyDescent="0.35">
      <c r="A4598" s="3">
        <v>43950</v>
      </c>
      <c r="B4598" t="s">
        <v>45</v>
      </c>
      <c r="C4598">
        <v>28.1</v>
      </c>
      <c r="D4598">
        <v>28.1</v>
      </c>
      <c r="E4598">
        <v>28.1</v>
      </c>
      <c r="F4598">
        <v>28.1</v>
      </c>
      <c r="G4598">
        <v>31.2</v>
      </c>
      <c r="H4598">
        <v>1</v>
      </c>
      <c r="I4598">
        <v>1</v>
      </c>
      <c r="J4598">
        <v>0</v>
      </c>
      <c r="K4598">
        <v>1</v>
      </c>
      <c r="L4598">
        <v>184</v>
      </c>
      <c r="M4598">
        <v>266</v>
      </c>
      <c r="N4598" t="s">
        <v>45</v>
      </c>
      <c r="O4598" s="3">
        <v>44216</v>
      </c>
      <c r="P4598">
        <v>-1</v>
      </c>
      <c r="S4598" s="3">
        <v>44526</v>
      </c>
      <c r="T4598" t="s">
        <v>33</v>
      </c>
      <c r="U4598">
        <v>36</v>
      </c>
      <c r="V4598">
        <v>27.009599999999999</v>
      </c>
    </row>
    <row r="4599" spans="1:22" x14ac:dyDescent="0.35">
      <c r="A4599" s="3">
        <v>43950</v>
      </c>
      <c r="B4599" t="s">
        <v>53</v>
      </c>
      <c r="C4599">
        <v>34.1</v>
      </c>
      <c r="D4599">
        <v>34.270000000000003</v>
      </c>
      <c r="E4599">
        <v>31.45</v>
      </c>
      <c r="F4599">
        <v>31.75</v>
      </c>
      <c r="G4599">
        <v>31.925000000000001</v>
      </c>
      <c r="H4599">
        <v>-2.25</v>
      </c>
      <c r="I4599">
        <v>54225</v>
      </c>
      <c r="J4599">
        <v>709</v>
      </c>
      <c r="K4599">
        <v>76950</v>
      </c>
      <c r="L4599">
        <v>15</v>
      </c>
      <c r="M4599">
        <v>21</v>
      </c>
      <c r="N4599" t="s">
        <v>53</v>
      </c>
      <c r="O4599" s="3">
        <v>43971</v>
      </c>
      <c r="P4599">
        <v>-1</v>
      </c>
      <c r="T4599" t="s">
        <v>32</v>
      </c>
      <c r="U4599">
        <v>56</v>
      </c>
      <c r="V4599">
        <v>27.107099999999999</v>
      </c>
    </row>
    <row r="4600" spans="1:22" x14ac:dyDescent="0.35">
      <c r="A4600" s="3">
        <v>43950</v>
      </c>
      <c r="B4600" t="s">
        <v>50</v>
      </c>
      <c r="C4600">
        <v>31.76</v>
      </c>
      <c r="D4600">
        <v>31.8</v>
      </c>
      <c r="E4600">
        <v>30.31</v>
      </c>
      <c r="F4600">
        <v>30.43</v>
      </c>
      <c r="G4600">
        <v>30.574999999999999</v>
      </c>
      <c r="H4600">
        <v>-1.2</v>
      </c>
      <c r="I4600">
        <v>6058</v>
      </c>
      <c r="J4600">
        <v>0</v>
      </c>
      <c r="K4600">
        <v>14729</v>
      </c>
      <c r="L4600">
        <v>79</v>
      </c>
      <c r="M4600">
        <v>112</v>
      </c>
      <c r="N4600" t="s">
        <v>50</v>
      </c>
      <c r="O4600" s="3">
        <v>44062</v>
      </c>
      <c r="P4600">
        <v>-1</v>
      </c>
      <c r="T4600" t="s">
        <v>31</v>
      </c>
      <c r="U4600">
        <v>74</v>
      </c>
      <c r="V4600">
        <v>27.127099999999999</v>
      </c>
    </row>
    <row r="4601" spans="1:22" x14ac:dyDescent="0.35">
      <c r="A4601" s="3">
        <v>43950</v>
      </c>
      <c r="B4601" t="s">
        <v>47</v>
      </c>
      <c r="C4601">
        <v>29.15</v>
      </c>
      <c r="D4601">
        <v>29.45</v>
      </c>
      <c r="E4601">
        <v>28.44</v>
      </c>
      <c r="F4601">
        <v>28.55</v>
      </c>
      <c r="G4601">
        <v>28.55</v>
      </c>
      <c r="H4601">
        <v>-0.9</v>
      </c>
      <c r="I4601">
        <v>1948</v>
      </c>
      <c r="J4601">
        <v>0</v>
      </c>
      <c r="K4601">
        <v>9143</v>
      </c>
      <c r="L4601">
        <v>143</v>
      </c>
      <c r="M4601">
        <v>203</v>
      </c>
      <c r="N4601" t="s">
        <v>47</v>
      </c>
      <c r="O4601" s="3">
        <v>44153</v>
      </c>
      <c r="P4601">
        <v>-1</v>
      </c>
      <c r="T4601" t="s">
        <v>30</v>
      </c>
      <c r="U4601">
        <v>100</v>
      </c>
      <c r="V4601">
        <v>27.078399999999998</v>
      </c>
    </row>
    <row r="4602" spans="1:22" x14ac:dyDescent="0.35">
      <c r="A4602" s="3">
        <v>43950</v>
      </c>
      <c r="B4602" t="s">
        <v>52</v>
      </c>
      <c r="C4602">
        <v>33.86</v>
      </c>
      <c r="D4602">
        <v>33.9</v>
      </c>
      <c r="E4602">
        <v>31.6</v>
      </c>
      <c r="F4602">
        <v>31.62</v>
      </c>
      <c r="G4602">
        <v>31.774999999999999</v>
      </c>
      <c r="H4602">
        <v>-2.0499999999999998</v>
      </c>
      <c r="I4602">
        <v>36398</v>
      </c>
      <c r="J4602">
        <v>472</v>
      </c>
      <c r="K4602">
        <v>53301</v>
      </c>
      <c r="L4602">
        <v>34</v>
      </c>
      <c r="M4602">
        <v>49</v>
      </c>
      <c r="N4602" t="s">
        <v>52</v>
      </c>
      <c r="O4602" s="3">
        <v>43999</v>
      </c>
      <c r="P4602">
        <v>-1</v>
      </c>
      <c r="T4602" t="s">
        <v>29</v>
      </c>
      <c r="U4602">
        <v>120</v>
      </c>
      <c r="V4602">
        <v>27.112500000000001</v>
      </c>
    </row>
    <row r="4603" spans="1:22" x14ac:dyDescent="0.35">
      <c r="A4603" s="3">
        <v>43950</v>
      </c>
      <c r="B4603" t="s">
        <v>49</v>
      </c>
      <c r="C4603">
        <v>31.05</v>
      </c>
      <c r="D4603">
        <v>31.05</v>
      </c>
      <c r="E4603">
        <v>29.84</v>
      </c>
      <c r="F4603">
        <v>29.93</v>
      </c>
      <c r="G4603">
        <v>30.024999999999999</v>
      </c>
      <c r="H4603">
        <v>-1.05</v>
      </c>
      <c r="I4603">
        <v>3512</v>
      </c>
      <c r="J4603">
        <v>0</v>
      </c>
      <c r="K4603">
        <v>15390</v>
      </c>
      <c r="L4603">
        <v>98</v>
      </c>
      <c r="M4603">
        <v>140</v>
      </c>
      <c r="N4603" t="s">
        <v>49</v>
      </c>
      <c r="O4603" s="3">
        <v>44090</v>
      </c>
      <c r="P4603">
        <v>-1</v>
      </c>
      <c r="T4603" t="s">
        <v>28</v>
      </c>
      <c r="U4603">
        <v>139</v>
      </c>
      <c r="V4603">
        <v>26.807099999999998</v>
      </c>
    </row>
    <row r="4604" spans="1:22" x14ac:dyDescent="0.35">
      <c r="A4604" s="3">
        <v>43950</v>
      </c>
      <c r="B4604" t="s">
        <v>46</v>
      </c>
      <c r="C4604">
        <v>27.6</v>
      </c>
      <c r="D4604">
        <v>27.95</v>
      </c>
      <c r="E4604">
        <v>27.3</v>
      </c>
      <c r="F4604">
        <v>27.45</v>
      </c>
      <c r="G4604">
        <v>27.375</v>
      </c>
      <c r="H4604">
        <v>-0.72499999999999998</v>
      </c>
      <c r="I4604">
        <v>169</v>
      </c>
      <c r="J4604">
        <v>0</v>
      </c>
      <c r="K4604">
        <v>200</v>
      </c>
      <c r="L4604">
        <v>162</v>
      </c>
      <c r="M4604">
        <v>231</v>
      </c>
      <c r="N4604" t="s">
        <v>46</v>
      </c>
      <c r="O4604" s="3">
        <v>44181</v>
      </c>
      <c r="P4604">
        <v>-1</v>
      </c>
      <c r="T4604" t="s">
        <v>22</v>
      </c>
      <c r="U4604">
        <v>163</v>
      </c>
      <c r="V4604">
        <v>26.7</v>
      </c>
    </row>
    <row r="4605" spans="1:22" x14ac:dyDescent="0.35">
      <c r="A4605" s="3">
        <v>43949</v>
      </c>
      <c r="B4605" t="s">
        <v>46</v>
      </c>
      <c r="C4605">
        <v>28.33</v>
      </c>
      <c r="D4605">
        <v>28.33</v>
      </c>
      <c r="E4605">
        <v>27.6</v>
      </c>
      <c r="F4605">
        <v>28.2</v>
      </c>
      <c r="G4605">
        <v>28.1</v>
      </c>
      <c r="H4605">
        <v>2.5000000000000001E-2</v>
      </c>
      <c r="I4605">
        <v>59</v>
      </c>
      <c r="J4605">
        <v>0</v>
      </c>
      <c r="K4605">
        <v>172</v>
      </c>
      <c r="L4605">
        <v>163</v>
      </c>
      <c r="M4605">
        <v>232</v>
      </c>
      <c r="N4605" t="s">
        <v>46</v>
      </c>
      <c r="O4605" s="3">
        <v>44181</v>
      </c>
      <c r="P4605">
        <v>-1</v>
      </c>
      <c r="T4605" t="s">
        <v>26</v>
      </c>
      <c r="U4605">
        <v>183</v>
      </c>
      <c r="V4605">
        <v>26.4</v>
      </c>
    </row>
    <row r="4606" spans="1:22" x14ac:dyDescent="0.35">
      <c r="A4606" s="3">
        <v>43949</v>
      </c>
      <c r="B4606" t="s">
        <v>51</v>
      </c>
      <c r="C4606">
        <v>32.65</v>
      </c>
      <c r="D4606">
        <v>33.130000000000003</v>
      </c>
      <c r="E4606">
        <v>31.7</v>
      </c>
      <c r="F4606">
        <v>32.9</v>
      </c>
      <c r="G4606">
        <v>32.774999999999999</v>
      </c>
      <c r="H4606">
        <v>0.2</v>
      </c>
      <c r="I4606">
        <v>7462</v>
      </c>
      <c r="J4606">
        <v>0</v>
      </c>
      <c r="K4606">
        <v>26352</v>
      </c>
      <c r="L4606">
        <v>60</v>
      </c>
      <c r="M4606">
        <v>85</v>
      </c>
      <c r="N4606" t="s">
        <v>51</v>
      </c>
      <c r="O4606" s="3">
        <v>44034</v>
      </c>
      <c r="P4606">
        <v>-1</v>
      </c>
      <c r="T4606" t="s">
        <v>34</v>
      </c>
      <c r="U4606">
        <v>18</v>
      </c>
      <c r="V4606">
        <v>26.5412</v>
      </c>
    </row>
    <row r="4607" spans="1:22" x14ac:dyDescent="0.35">
      <c r="A4607" s="3">
        <v>43949</v>
      </c>
      <c r="B4607" t="s">
        <v>48</v>
      </c>
      <c r="C4607">
        <v>31.55</v>
      </c>
      <c r="D4607">
        <v>31.85</v>
      </c>
      <c r="E4607">
        <v>30.84</v>
      </c>
      <c r="F4607">
        <v>31.8</v>
      </c>
      <c r="G4607">
        <v>31.675000000000001</v>
      </c>
      <c r="H4607">
        <v>0.3</v>
      </c>
      <c r="I4607">
        <v>1737</v>
      </c>
      <c r="J4607">
        <v>0</v>
      </c>
      <c r="K4607">
        <v>15051</v>
      </c>
      <c r="L4607">
        <v>124</v>
      </c>
      <c r="M4607">
        <v>176</v>
      </c>
      <c r="N4607" t="s">
        <v>48</v>
      </c>
      <c r="O4607" s="3">
        <v>44125</v>
      </c>
      <c r="P4607">
        <v>-1</v>
      </c>
      <c r="S4607" s="3">
        <v>44529</v>
      </c>
      <c r="T4607" t="s">
        <v>33</v>
      </c>
      <c r="U4607">
        <v>35</v>
      </c>
      <c r="V4607">
        <v>23.747399999999999</v>
      </c>
    </row>
    <row r="4608" spans="1:22" x14ac:dyDescent="0.35">
      <c r="A4608" s="3">
        <v>43949</v>
      </c>
      <c r="B4608" t="s">
        <v>53</v>
      </c>
      <c r="C4608">
        <v>34</v>
      </c>
      <c r="D4608">
        <v>35.07</v>
      </c>
      <c r="E4608">
        <v>32.549999999999997</v>
      </c>
      <c r="F4608">
        <v>34.4</v>
      </c>
      <c r="G4608">
        <v>34.174999999999997</v>
      </c>
      <c r="H4608">
        <v>0.3</v>
      </c>
      <c r="I4608">
        <v>42651</v>
      </c>
      <c r="J4608">
        <v>530</v>
      </c>
      <c r="K4608">
        <v>77282</v>
      </c>
      <c r="L4608">
        <v>16</v>
      </c>
      <c r="M4608">
        <v>22</v>
      </c>
      <c r="N4608" t="s">
        <v>53</v>
      </c>
      <c r="O4608" s="3">
        <v>43971</v>
      </c>
      <c r="P4608">
        <v>-1</v>
      </c>
      <c r="T4608" t="s">
        <v>32</v>
      </c>
      <c r="U4608">
        <v>55</v>
      </c>
      <c r="V4608">
        <v>24.5746</v>
      </c>
    </row>
    <row r="4609" spans="1:22" x14ac:dyDescent="0.35">
      <c r="A4609" s="3">
        <v>43949</v>
      </c>
      <c r="B4609" t="s">
        <v>50</v>
      </c>
      <c r="C4609">
        <v>31.55</v>
      </c>
      <c r="D4609">
        <v>31.95</v>
      </c>
      <c r="E4609">
        <v>30.85</v>
      </c>
      <c r="F4609">
        <v>31.9</v>
      </c>
      <c r="G4609">
        <v>31.774999999999999</v>
      </c>
      <c r="H4609">
        <v>0.3</v>
      </c>
      <c r="I4609">
        <v>4519</v>
      </c>
      <c r="J4609">
        <v>0</v>
      </c>
      <c r="K4609">
        <v>13782</v>
      </c>
      <c r="L4609">
        <v>80</v>
      </c>
      <c r="M4609">
        <v>113</v>
      </c>
      <c r="N4609" t="s">
        <v>50</v>
      </c>
      <c r="O4609" s="3">
        <v>44062</v>
      </c>
      <c r="P4609">
        <v>-1</v>
      </c>
      <c r="T4609" t="s">
        <v>31</v>
      </c>
      <c r="U4609">
        <v>73</v>
      </c>
      <c r="V4609">
        <v>25.219000000000001</v>
      </c>
    </row>
    <row r="4610" spans="1:22" x14ac:dyDescent="0.35">
      <c r="A4610" s="3">
        <v>43949</v>
      </c>
      <c r="B4610" t="s">
        <v>47</v>
      </c>
      <c r="C4610">
        <v>29.55</v>
      </c>
      <c r="D4610">
        <v>29.65</v>
      </c>
      <c r="E4610">
        <v>28.65</v>
      </c>
      <c r="F4610">
        <v>29.5</v>
      </c>
      <c r="G4610">
        <v>29.45</v>
      </c>
      <c r="H4610">
        <v>0.17499999999999999</v>
      </c>
      <c r="I4610">
        <v>895</v>
      </c>
      <c r="J4610">
        <v>0</v>
      </c>
      <c r="K4610">
        <v>8878</v>
      </c>
      <c r="L4610">
        <v>144</v>
      </c>
      <c r="M4610">
        <v>204</v>
      </c>
      <c r="N4610" t="s">
        <v>47</v>
      </c>
      <c r="O4610" s="3">
        <v>44153</v>
      </c>
      <c r="P4610">
        <v>-1</v>
      </c>
      <c r="T4610" t="s">
        <v>30</v>
      </c>
      <c r="U4610">
        <v>99</v>
      </c>
      <c r="V4610">
        <v>25.6859</v>
      </c>
    </row>
    <row r="4611" spans="1:22" x14ac:dyDescent="0.35">
      <c r="A4611" s="3">
        <v>43949</v>
      </c>
      <c r="B4611" t="s">
        <v>52</v>
      </c>
      <c r="C4611">
        <v>33.520000000000003</v>
      </c>
      <c r="D4611">
        <v>34.200000000000003</v>
      </c>
      <c r="E4611">
        <v>32.369999999999997</v>
      </c>
      <c r="F4611">
        <v>33.97</v>
      </c>
      <c r="G4611">
        <v>33.825000000000003</v>
      </c>
      <c r="H4611">
        <v>0.35</v>
      </c>
      <c r="I4611">
        <v>28128</v>
      </c>
      <c r="J4611">
        <v>298</v>
      </c>
      <c r="K4611">
        <v>53222</v>
      </c>
      <c r="L4611">
        <v>35</v>
      </c>
      <c r="M4611">
        <v>50</v>
      </c>
      <c r="N4611" t="s">
        <v>52</v>
      </c>
      <c r="O4611" s="3">
        <v>43999</v>
      </c>
      <c r="P4611">
        <v>-1</v>
      </c>
      <c r="T4611" t="s">
        <v>29</v>
      </c>
      <c r="U4611">
        <v>119</v>
      </c>
      <c r="V4611">
        <v>25.8276</v>
      </c>
    </row>
    <row r="4612" spans="1:22" x14ac:dyDescent="0.35">
      <c r="A4612" s="3">
        <v>43949</v>
      </c>
      <c r="B4612" t="s">
        <v>49</v>
      </c>
      <c r="C4612">
        <v>30.5</v>
      </c>
      <c r="D4612">
        <v>31.25</v>
      </c>
      <c r="E4612">
        <v>30.2</v>
      </c>
      <c r="F4612">
        <v>31.15</v>
      </c>
      <c r="G4612">
        <v>31.074999999999999</v>
      </c>
      <c r="H4612">
        <v>0.3</v>
      </c>
      <c r="I4612">
        <v>2479</v>
      </c>
      <c r="J4612">
        <v>0</v>
      </c>
      <c r="K4612">
        <v>16217</v>
      </c>
      <c r="L4612">
        <v>99</v>
      </c>
      <c r="M4612">
        <v>141</v>
      </c>
      <c r="N4612" t="s">
        <v>49</v>
      </c>
      <c r="O4612" s="3">
        <v>44090</v>
      </c>
      <c r="P4612">
        <v>-1</v>
      </c>
      <c r="T4612" t="s">
        <v>28</v>
      </c>
      <c r="U4612">
        <v>138</v>
      </c>
      <c r="V4612">
        <v>25.768799999999999</v>
      </c>
    </row>
    <row r="4613" spans="1:22" x14ac:dyDescent="0.35">
      <c r="A4613" s="3">
        <v>43948</v>
      </c>
      <c r="B4613" t="s">
        <v>51</v>
      </c>
      <c r="C4613">
        <v>34</v>
      </c>
      <c r="D4613">
        <v>34.229999999999997</v>
      </c>
      <c r="E4613">
        <v>32.4</v>
      </c>
      <c r="F4613">
        <v>32.6</v>
      </c>
      <c r="G4613">
        <v>32.575000000000003</v>
      </c>
      <c r="H4613">
        <v>-1.6</v>
      </c>
      <c r="I4613">
        <v>11343</v>
      </c>
      <c r="J4613">
        <v>0</v>
      </c>
      <c r="K4613">
        <v>25959</v>
      </c>
      <c r="L4613">
        <v>61</v>
      </c>
      <c r="M4613">
        <v>86</v>
      </c>
      <c r="N4613" t="s">
        <v>51</v>
      </c>
      <c r="O4613" s="3">
        <v>44034</v>
      </c>
      <c r="P4613">
        <v>-1</v>
      </c>
      <c r="T4613" t="s">
        <v>22</v>
      </c>
      <c r="U4613">
        <v>162</v>
      </c>
      <c r="V4613">
        <v>25.95</v>
      </c>
    </row>
    <row r="4614" spans="1:22" x14ac:dyDescent="0.35">
      <c r="A4614" s="3">
        <v>43948</v>
      </c>
      <c r="B4614" t="s">
        <v>48</v>
      </c>
      <c r="C4614">
        <v>32.549999999999997</v>
      </c>
      <c r="D4614">
        <v>32.549999999999997</v>
      </c>
      <c r="E4614">
        <v>31.2</v>
      </c>
      <c r="F4614">
        <v>31.38</v>
      </c>
      <c r="G4614">
        <v>31.375</v>
      </c>
      <c r="H4614">
        <v>-1.1000000000000001</v>
      </c>
      <c r="I4614">
        <v>2148</v>
      </c>
      <c r="J4614">
        <v>0</v>
      </c>
      <c r="K4614">
        <v>14693</v>
      </c>
      <c r="L4614">
        <v>125</v>
      </c>
      <c r="M4614">
        <v>177</v>
      </c>
      <c r="N4614" t="s">
        <v>48</v>
      </c>
      <c r="O4614" s="3">
        <v>44125</v>
      </c>
      <c r="P4614">
        <v>-1</v>
      </c>
      <c r="T4614" t="s">
        <v>26</v>
      </c>
      <c r="U4614">
        <v>182</v>
      </c>
      <c r="V4614">
        <v>25.975000000000001</v>
      </c>
    </row>
    <row r="4615" spans="1:22" x14ac:dyDescent="0.35">
      <c r="A4615" s="3">
        <v>43948</v>
      </c>
      <c r="B4615" t="s">
        <v>53</v>
      </c>
      <c r="C4615">
        <v>36.549999999999997</v>
      </c>
      <c r="D4615">
        <v>37.15</v>
      </c>
      <c r="E4615">
        <v>33.450000000000003</v>
      </c>
      <c r="F4615">
        <v>33.950000000000003</v>
      </c>
      <c r="G4615">
        <v>33.875</v>
      </c>
      <c r="H4615">
        <v>-2.9</v>
      </c>
      <c r="I4615">
        <v>57307</v>
      </c>
      <c r="J4615">
        <v>2327</v>
      </c>
      <c r="K4615">
        <v>78360</v>
      </c>
      <c r="L4615">
        <v>17</v>
      </c>
      <c r="M4615">
        <v>23</v>
      </c>
      <c r="N4615" t="s">
        <v>53</v>
      </c>
      <c r="O4615" s="3">
        <v>43971</v>
      </c>
      <c r="P4615">
        <v>-1</v>
      </c>
      <c r="T4615" t="s">
        <v>34</v>
      </c>
      <c r="U4615">
        <v>17</v>
      </c>
      <c r="V4615">
        <v>22.2041</v>
      </c>
    </row>
    <row r="4616" spans="1:22" x14ac:dyDescent="0.35">
      <c r="A4616" s="3">
        <v>43948</v>
      </c>
      <c r="B4616" t="s">
        <v>50</v>
      </c>
      <c r="C4616">
        <v>32.6</v>
      </c>
      <c r="D4616">
        <v>32.92</v>
      </c>
      <c r="E4616">
        <v>31.25</v>
      </c>
      <c r="F4616">
        <v>31.51</v>
      </c>
      <c r="G4616">
        <v>31.475000000000001</v>
      </c>
      <c r="H4616">
        <v>-1.4</v>
      </c>
      <c r="I4616">
        <v>6916</v>
      </c>
      <c r="J4616">
        <v>0</v>
      </c>
      <c r="K4616">
        <v>13491</v>
      </c>
      <c r="L4616">
        <v>81</v>
      </c>
      <c r="M4616">
        <v>114</v>
      </c>
      <c r="N4616" t="s">
        <v>50</v>
      </c>
      <c r="O4616" s="3">
        <v>44062</v>
      </c>
      <c r="P4616">
        <v>-1</v>
      </c>
      <c r="S4616" s="3">
        <v>44530</v>
      </c>
      <c r="T4616" t="s">
        <v>33</v>
      </c>
      <c r="U4616">
        <v>34</v>
      </c>
      <c r="V4616">
        <v>26.477699999999999</v>
      </c>
    </row>
    <row r="4617" spans="1:22" x14ac:dyDescent="0.35">
      <c r="A4617" s="3">
        <v>43948</v>
      </c>
      <c r="B4617" t="s">
        <v>47</v>
      </c>
      <c r="C4617">
        <v>30.32</v>
      </c>
      <c r="D4617">
        <v>30.45</v>
      </c>
      <c r="E4617">
        <v>29.1</v>
      </c>
      <c r="F4617">
        <v>29.26</v>
      </c>
      <c r="G4617">
        <v>29.274999999999999</v>
      </c>
      <c r="H4617">
        <v>-0.95</v>
      </c>
      <c r="I4617">
        <v>675</v>
      </c>
      <c r="J4617">
        <v>0</v>
      </c>
      <c r="K4617">
        <v>8752</v>
      </c>
      <c r="L4617">
        <v>145</v>
      </c>
      <c r="M4617">
        <v>205</v>
      </c>
      <c r="N4617" t="s">
        <v>47</v>
      </c>
      <c r="O4617" s="3">
        <v>44153</v>
      </c>
      <c r="P4617">
        <v>-1</v>
      </c>
      <c r="T4617" t="s">
        <v>32</v>
      </c>
      <c r="U4617">
        <v>54</v>
      </c>
      <c r="V4617">
        <v>26.671299999999999</v>
      </c>
    </row>
    <row r="4618" spans="1:22" x14ac:dyDescent="0.35">
      <c r="A4618" s="3">
        <v>43948</v>
      </c>
      <c r="B4618" t="s">
        <v>52</v>
      </c>
      <c r="C4618">
        <v>35.35</v>
      </c>
      <c r="D4618">
        <v>35.75</v>
      </c>
      <c r="E4618">
        <v>33.15</v>
      </c>
      <c r="F4618">
        <v>33.5</v>
      </c>
      <c r="G4618">
        <v>33.475000000000001</v>
      </c>
      <c r="H4618">
        <v>-2.1</v>
      </c>
      <c r="I4618">
        <v>41861</v>
      </c>
      <c r="J4618">
        <v>1095</v>
      </c>
      <c r="K4618">
        <v>50316</v>
      </c>
      <c r="L4618">
        <v>36</v>
      </c>
      <c r="M4618">
        <v>51</v>
      </c>
      <c r="N4618" t="s">
        <v>52</v>
      </c>
      <c r="O4618" s="3">
        <v>43999</v>
      </c>
      <c r="P4618">
        <v>-1</v>
      </c>
      <c r="T4618" t="s">
        <v>31</v>
      </c>
      <c r="U4618">
        <v>72</v>
      </c>
      <c r="V4618">
        <v>26.906300000000002</v>
      </c>
    </row>
    <row r="4619" spans="1:22" x14ac:dyDescent="0.35">
      <c r="A4619" s="3">
        <v>43948</v>
      </c>
      <c r="B4619" t="s">
        <v>49</v>
      </c>
      <c r="C4619">
        <v>31.9</v>
      </c>
      <c r="D4619">
        <v>32.1</v>
      </c>
      <c r="E4619">
        <v>30.55</v>
      </c>
      <c r="F4619">
        <v>30.8</v>
      </c>
      <c r="G4619">
        <v>30.774999999999999</v>
      </c>
      <c r="H4619">
        <v>-1.25</v>
      </c>
      <c r="I4619">
        <v>4351</v>
      </c>
      <c r="J4619">
        <v>0</v>
      </c>
      <c r="K4619">
        <v>15583</v>
      </c>
      <c r="L4619">
        <v>100</v>
      </c>
      <c r="M4619">
        <v>142</v>
      </c>
      <c r="N4619" t="s">
        <v>49</v>
      </c>
      <c r="O4619" s="3">
        <v>44090</v>
      </c>
      <c r="P4619">
        <v>-1</v>
      </c>
      <c r="T4619" t="s">
        <v>30</v>
      </c>
      <c r="U4619">
        <v>98</v>
      </c>
      <c r="V4619">
        <v>27.0152</v>
      </c>
    </row>
    <row r="4620" spans="1:22" x14ac:dyDescent="0.35">
      <c r="A4620" s="3">
        <v>43948</v>
      </c>
      <c r="B4620" t="s">
        <v>46</v>
      </c>
      <c r="C4620">
        <v>29.2</v>
      </c>
      <c r="D4620">
        <v>29.2</v>
      </c>
      <c r="E4620">
        <v>27.95</v>
      </c>
      <c r="F4620">
        <v>28.02</v>
      </c>
      <c r="G4620">
        <v>28.074999999999999</v>
      </c>
      <c r="H4620">
        <v>-0.92500000000000004</v>
      </c>
      <c r="I4620">
        <v>22</v>
      </c>
      <c r="J4620">
        <v>0</v>
      </c>
      <c r="K4620">
        <v>161</v>
      </c>
      <c r="L4620">
        <v>164</v>
      </c>
      <c r="M4620">
        <v>233</v>
      </c>
      <c r="N4620" t="s">
        <v>46</v>
      </c>
      <c r="O4620" s="3">
        <v>44181</v>
      </c>
      <c r="P4620">
        <v>-1</v>
      </c>
      <c r="T4620" t="s">
        <v>29</v>
      </c>
      <c r="U4620">
        <v>118</v>
      </c>
      <c r="V4620">
        <v>26.941199999999998</v>
      </c>
    </row>
    <row r="4621" spans="1:22" x14ac:dyDescent="0.35">
      <c r="A4621" s="3">
        <v>43945</v>
      </c>
      <c r="B4621" t="s">
        <v>46</v>
      </c>
      <c r="C4621">
        <v>30.1</v>
      </c>
      <c r="D4621">
        <v>30.3</v>
      </c>
      <c r="E4621">
        <v>28.95</v>
      </c>
      <c r="F4621">
        <v>29.05</v>
      </c>
      <c r="G4621">
        <v>29</v>
      </c>
      <c r="H4621">
        <v>-1.325</v>
      </c>
      <c r="I4621">
        <v>57</v>
      </c>
      <c r="J4621">
        <v>0</v>
      </c>
      <c r="K4621">
        <v>155</v>
      </c>
      <c r="L4621">
        <v>165</v>
      </c>
      <c r="M4621">
        <v>236</v>
      </c>
      <c r="N4621" t="s">
        <v>46</v>
      </c>
      <c r="O4621" s="3">
        <v>44181</v>
      </c>
      <c r="P4621">
        <v>-1</v>
      </c>
      <c r="T4621" t="s">
        <v>28</v>
      </c>
      <c r="U4621">
        <v>137</v>
      </c>
      <c r="V4621">
        <v>26.901900000000001</v>
      </c>
    </row>
    <row r="4622" spans="1:22" x14ac:dyDescent="0.35">
      <c r="A4622" s="3">
        <v>43945</v>
      </c>
      <c r="B4622" t="s">
        <v>51</v>
      </c>
      <c r="C4622">
        <v>35.75</v>
      </c>
      <c r="D4622">
        <v>36.25</v>
      </c>
      <c r="E4622">
        <v>34.020000000000003</v>
      </c>
      <c r="F4622">
        <v>34.19</v>
      </c>
      <c r="G4622">
        <v>34.174999999999997</v>
      </c>
      <c r="H4622">
        <v>-1.5</v>
      </c>
      <c r="I4622">
        <v>9061</v>
      </c>
      <c r="J4622">
        <v>0</v>
      </c>
      <c r="K4622">
        <v>25886</v>
      </c>
      <c r="L4622">
        <v>62</v>
      </c>
      <c r="M4622">
        <v>89</v>
      </c>
      <c r="N4622" t="s">
        <v>51</v>
      </c>
      <c r="O4622" s="3">
        <v>44034</v>
      </c>
      <c r="P4622">
        <v>-1</v>
      </c>
      <c r="T4622" t="s">
        <v>22</v>
      </c>
      <c r="U4622">
        <v>161</v>
      </c>
      <c r="V4622">
        <v>27</v>
      </c>
    </row>
    <row r="4623" spans="1:22" x14ac:dyDescent="0.35">
      <c r="A4623" s="3">
        <v>43945</v>
      </c>
      <c r="B4623" t="s">
        <v>48</v>
      </c>
      <c r="C4623">
        <v>33.78</v>
      </c>
      <c r="D4623">
        <v>33.9</v>
      </c>
      <c r="E4623">
        <v>32.369999999999997</v>
      </c>
      <c r="F4623">
        <v>32.549999999999997</v>
      </c>
      <c r="G4623">
        <v>32.475000000000001</v>
      </c>
      <c r="H4623">
        <v>-1.25</v>
      </c>
      <c r="I4623">
        <v>2537</v>
      </c>
      <c r="J4623">
        <v>0</v>
      </c>
      <c r="K4623">
        <v>14320</v>
      </c>
      <c r="L4623">
        <v>126</v>
      </c>
      <c r="M4623">
        <v>180</v>
      </c>
      <c r="N4623" t="s">
        <v>48</v>
      </c>
      <c r="O4623" s="3">
        <v>44125</v>
      </c>
      <c r="P4623">
        <v>-1</v>
      </c>
      <c r="T4623" t="s">
        <v>26</v>
      </c>
      <c r="U4623">
        <v>181</v>
      </c>
      <c r="V4623">
        <v>26.875</v>
      </c>
    </row>
    <row r="4624" spans="1:22" x14ac:dyDescent="0.35">
      <c r="A4624" s="3">
        <v>43945</v>
      </c>
      <c r="B4624" t="s">
        <v>53</v>
      </c>
      <c r="C4624">
        <v>39.799999999999997</v>
      </c>
      <c r="D4624">
        <v>40.549999999999997</v>
      </c>
      <c r="E4624">
        <v>36.65</v>
      </c>
      <c r="F4624">
        <v>36.950000000000003</v>
      </c>
      <c r="G4624">
        <v>36.774999999999999</v>
      </c>
      <c r="H4624">
        <v>-2.95</v>
      </c>
      <c r="I4624">
        <v>52270</v>
      </c>
      <c r="J4624">
        <v>0</v>
      </c>
      <c r="K4624">
        <v>83435</v>
      </c>
      <c r="L4624">
        <v>18</v>
      </c>
      <c r="M4624">
        <v>26</v>
      </c>
      <c r="N4624" t="s">
        <v>53</v>
      </c>
      <c r="O4624" s="3">
        <v>43971</v>
      </c>
      <c r="P4624">
        <v>-1</v>
      </c>
      <c r="T4624" t="s">
        <v>34</v>
      </c>
      <c r="U4624">
        <v>16</v>
      </c>
      <c r="V4624">
        <v>25.686499999999999</v>
      </c>
    </row>
    <row r="4625" spans="1:22" x14ac:dyDescent="0.35">
      <c r="A4625" s="3">
        <v>43945</v>
      </c>
      <c r="B4625" t="s">
        <v>50</v>
      </c>
      <c r="C4625">
        <v>34.049999999999997</v>
      </c>
      <c r="D4625">
        <v>34.29</v>
      </c>
      <c r="E4625">
        <v>32.700000000000003</v>
      </c>
      <c r="F4625">
        <v>32.85</v>
      </c>
      <c r="G4625">
        <v>32.875</v>
      </c>
      <c r="H4625">
        <v>-1.1000000000000001</v>
      </c>
      <c r="I4625">
        <v>5291</v>
      </c>
      <c r="J4625">
        <v>0</v>
      </c>
      <c r="K4625">
        <v>13863</v>
      </c>
      <c r="L4625">
        <v>82</v>
      </c>
      <c r="M4625">
        <v>117</v>
      </c>
      <c r="N4625" t="s">
        <v>50</v>
      </c>
      <c r="O4625" s="3">
        <v>44062</v>
      </c>
      <c r="P4625">
        <v>-1</v>
      </c>
      <c r="S4625" s="3">
        <v>44531</v>
      </c>
      <c r="T4625" t="s">
        <v>33</v>
      </c>
      <c r="U4625">
        <v>33</v>
      </c>
      <c r="V4625">
        <v>27.963999999999999</v>
      </c>
    </row>
    <row r="4626" spans="1:22" x14ac:dyDescent="0.35">
      <c r="A4626" s="3">
        <v>43945</v>
      </c>
      <c r="B4626" t="s">
        <v>47</v>
      </c>
      <c r="C4626">
        <v>31.7</v>
      </c>
      <c r="D4626">
        <v>31.85</v>
      </c>
      <c r="E4626">
        <v>30.15</v>
      </c>
      <c r="F4626">
        <v>30.31</v>
      </c>
      <c r="G4626">
        <v>30.225000000000001</v>
      </c>
      <c r="H4626">
        <v>-1.375</v>
      </c>
      <c r="I4626">
        <v>1196</v>
      </c>
      <c r="J4626">
        <v>0</v>
      </c>
      <c r="K4626">
        <v>8772</v>
      </c>
      <c r="L4626">
        <v>146</v>
      </c>
      <c r="M4626">
        <v>208</v>
      </c>
      <c r="N4626" t="s">
        <v>47</v>
      </c>
      <c r="O4626" s="3">
        <v>44153</v>
      </c>
      <c r="P4626">
        <v>-1</v>
      </c>
      <c r="T4626" t="s">
        <v>32</v>
      </c>
      <c r="U4626">
        <v>53</v>
      </c>
      <c r="V4626">
        <v>27.730799999999999</v>
      </c>
    </row>
    <row r="4627" spans="1:22" x14ac:dyDescent="0.35">
      <c r="A4627" s="3">
        <v>43945</v>
      </c>
      <c r="B4627" t="s">
        <v>52</v>
      </c>
      <c r="C4627">
        <v>37.9</v>
      </c>
      <c r="D4627">
        <v>38.450000000000003</v>
      </c>
      <c r="E4627">
        <v>35.450000000000003</v>
      </c>
      <c r="F4627">
        <v>35.700000000000003</v>
      </c>
      <c r="G4627">
        <v>35.575000000000003</v>
      </c>
      <c r="H4627">
        <v>-2.15</v>
      </c>
      <c r="I4627">
        <v>31775</v>
      </c>
      <c r="J4627">
        <v>0</v>
      </c>
      <c r="K4627">
        <v>46557</v>
      </c>
      <c r="L4627">
        <v>37</v>
      </c>
      <c r="M4627">
        <v>54</v>
      </c>
      <c r="N4627" t="s">
        <v>52</v>
      </c>
      <c r="O4627" s="3">
        <v>43999</v>
      </c>
      <c r="P4627">
        <v>-1</v>
      </c>
      <c r="T4627" t="s">
        <v>31</v>
      </c>
      <c r="U4627">
        <v>71</v>
      </c>
      <c r="V4627">
        <v>27.7563</v>
      </c>
    </row>
    <row r="4628" spans="1:22" x14ac:dyDescent="0.35">
      <c r="A4628" s="3">
        <v>43945</v>
      </c>
      <c r="B4628" t="s">
        <v>49</v>
      </c>
      <c r="C4628">
        <v>33.159999999999997</v>
      </c>
      <c r="D4628">
        <v>33.270000000000003</v>
      </c>
      <c r="E4628">
        <v>31.91</v>
      </c>
      <c r="F4628">
        <v>32.049999999999997</v>
      </c>
      <c r="G4628">
        <v>32.024999999999999</v>
      </c>
      <c r="H4628">
        <v>-1.1499999999999999</v>
      </c>
      <c r="I4628">
        <v>3690</v>
      </c>
      <c r="J4628">
        <v>0</v>
      </c>
      <c r="K4628">
        <v>15343</v>
      </c>
      <c r="L4628">
        <v>101</v>
      </c>
      <c r="M4628">
        <v>145</v>
      </c>
      <c r="N4628" t="s">
        <v>49</v>
      </c>
      <c r="O4628" s="3">
        <v>44090</v>
      </c>
      <c r="P4628">
        <v>-1</v>
      </c>
      <c r="T4628" t="s">
        <v>30</v>
      </c>
      <c r="U4628">
        <v>97</v>
      </c>
      <c r="V4628">
        <v>27.627099999999999</v>
      </c>
    </row>
    <row r="4629" spans="1:22" x14ac:dyDescent="0.35">
      <c r="A4629" s="3">
        <v>43944</v>
      </c>
      <c r="B4629" t="s">
        <v>51</v>
      </c>
      <c r="C4629">
        <v>35.5</v>
      </c>
      <c r="D4629">
        <v>35.950000000000003</v>
      </c>
      <c r="E4629">
        <v>34.82</v>
      </c>
      <c r="F4629">
        <v>35.68</v>
      </c>
      <c r="G4629">
        <v>35.674999999999997</v>
      </c>
      <c r="H4629">
        <v>0.25</v>
      </c>
      <c r="I4629">
        <v>6470</v>
      </c>
      <c r="J4629">
        <v>0</v>
      </c>
      <c r="K4629">
        <v>26877</v>
      </c>
      <c r="L4629">
        <v>63</v>
      </c>
      <c r="M4629">
        <v>90</v>
      </c>
      <c r="N4629" t="s">
        <v>51</v>
      </c>
      <c r="O4629" s="3">
        <v>44034</v>
      </c>
      <c r="P4629">
        <v>-1</v>
      </c>
      <c r="T4629" t="s">
        <v>29</v>
      </c>
      <c r="U4629">
        <v>117</v>
      </c>
      <c r="V4629">
        <v>27.465399999999999</v>
      </c>
    </row>
    <row r="4630" spans="1:22" x14ac:dyDescent="0.35">
      <c r="A4630" s="3">
        <v>43944</v>
      </c>
      <c r="B4630" t="s">
        <v>48</v>
      </c>
      <c r="C4630">
        <v>33.74</v>
      </c>
      <c r="D4630">
        <v>33.950000000000003</v>
      </c>
      <c r="E4630">
        <v>33.19</v>
      </c>
      <c r="F4630">
        <v>33.68</v>
      </c>
      <c r="G4630">
        <v>33.725000000000001</v>
      </c>
      <c r="H4630">
        <v>0.05</v>
      </c>
      <c r="I4630">
        <v>1326</v>
      </c>
      <c r="J4630">
        <v>0</v>
      </c>
      <c r="K4630">
        <v>14587</v>
      </c>
      <c r="L4630">
        <v>127</v>
      </c>
      <c r="M4630">
        <v>181</v>
      </c>
      <c r="N4630" t="s">
        <v>48</v>
      </c>
      <c r="O4630" s="3">
        <v>44125</v>
      </c>
      <c r="P4630">
        <v>-1</v>
      </c>
      <c r="T4630" t="s">
        <v>28</v>
      </c>
      <c r="U4630">
        <v>136</v>
      </c>
      <c r="V4630">
        <v>27.415400000000002</v>
      </c>
    </row>
    <row r="4631" spans="1:22" x14ac:dyDescent="0.35">
      <c r="A4631" s="3">
        <v>43944</v>
      </c>
      <c r="B4631" t="s">
        <v>53</v>
      </c>
      <c r="C4631">
        <v>39.5</v>
      </c>
      <c r="D4631">
        <v>40.299999999999997</v>
      </c>
      <c r="E4631">
        <v>38.049999999999997</v>
      </c>
      <c r="F4631">
        <v>39.67</v>
      </c>
      <c r="G4631">
        <v>39.725000000000001</v>
      </c>
      <c r="H4631">
        <v>0.1</v>
      </c>
      <c r="I4631">
        <v>49046</v>
      </c>
      <c r="J4631">
        <v>0</v>
      </c>
      <c r="K4631">
        <v>88162</v>
      </c>
      <c r="L4631">
        <v>19</v>
      </c>
      <c r="M4631">
        <v>27</v>
      </c>
      <c r="N4631" t="s">
        <v>53</v>
      </c>
      <c r="O4631" s="3">
        <v>43971</v>
      </c>
      <c r="P4631">
        <v>-1</v>
      </c>
      <c r="T4631" t="s">
        <v>22</v>
      </c>
      <c r="U4631">
        <v>160</v>
      </c>
      <c r="V4631">
        <v>27.5</v>
      </c>
    </row>
    <row r="4632" spans="1:22" x14ac:dyDescent="0.35">
      <c r="A4632" s="3">
        <v>43944</v>
      </c>
      <c r="B4632" t="s">
        <v>50</v>
      </c>
      <c r="C4632">
        <v>33.799999999999997</v>
      </c>
      <c r="D4632">
        <v>34.159999999999997</v>
      </c>
      <c r="E4632">
        <v>33.26</v>
      </c>
      <c r="F4632">
        <v>34</v>
      </c>
      <c r="G4632">
        <v>33.975000000000001</v>
      </c>
      <c r="H4632">
        <v>0.15</v>
      </c>
      <c r="I4632">
        <v>4110</v>
      </c>
      <c r="J4632">
        <v>0</v>
      </c>
      <c r="K4632">
        <v>14513</v>
      </c>
      <c r="L4632">
        <v>83</v>
      </c>
      <c r="M4632">
        <v>118</v>
      </c>
      <c r="N4632" t="s">
        <v>50</v>
      </c>
      <c r="O4632" s="3">
        <v>44062</v>
      </c>
      <c r="P4632">
        <v>-1</v>
      </c>
      <c r="T4632" t="s">
        <v>26</v>
      </c>
      <c r="U4632">
        <v>180</v>
      </c>
      <c r="V4632">
        <v>27.175000000000001</v>
      </c>
    </row>
    <row r="4633" spans="1:22" x14ac:dyDescent="0.35">
      <c r="A4633" s="3">
        <v>43944</v>
      </c>
      <c r="B4633" t="s">
        <v>47</v>
      </c>
      <c r="C4633">
        <v>31.6</v>
      </c>
      <c r="D4633">
        <v>31.75</v>
      </c>
      <c r="E4633">
        <v>31.12</v>
      </c>
      <c r="F4633">
        <v>31.55</v>
      </c>
      <c r="G4633">
        <v>31.6</v>
      </c>
      <c r="H4633">
        <v>2.5000000000000001E-2</v>
      </c>
      <c r="I4633">
        <v>505</v>
      </c>
      <c r="J4633">
        <v>0</v>
      </c>
      <c r="K4633">
        <v>8667</v>
      </c>
      <c r="L4633">
        <v>147</v>
      </c>
      <c r="M4633">
        <v>209</v>
      </c>
      <c r="N4633" t="s">
        <v>47</v>
      </c>
      <c r="O4633" s="3">
        <v>44153</v>
      </c>
      <c r="P4633">
        <v>-1</v>
      </c>
      <c r="T4633" t="s">
        <v>34</v>
      </c>
      <c r="U4633">
        <v>15</v>
      </c>
      <c r="V4633">
        <v>27.830400000000001</v>
      </c>
    </row>
    <row r="4634" spans="1:22" x14ac:dyDescent="0.35">
      <c r="A4634" s="3">
        <v>43944</v>
      </c>
      <c r="B4634" t="s">
        <v>52</v>
      </c>
      <c r="C4634">
        <v>37.4</v>
      </c>
      <c r="D4634">
        <v>38.07</v>
      </c>
      <c r="E4634">
        <v>36.6</v>
      </c>
      <c r="F4634">
        <v>37.75</v>
      </c>
      <c r="G4634">
        <v>37.725000000000001</v>
      </c>
      <c r="H4634">
        <v>0.35</v>
      </c>
      <c r="I4634">
        <v>27676</v>
      </c>
      <c r="J4634">
        <v>0</v>
      </c>
      <c r="K4634">
        <v>43162</v>
      </c>
      <c r="L4634">
        <v>38</v>
      </c>
      <c r="M4634">
        <v>55</v>
      </c>
      <c r="N4634" t="s">
        <v>52</v>
      </c>
      <c r="O4634" s="3">
        <v>43999</v>
      </c>
      <c r="P4634">
        <v>-1</v>
      </c>
      <c r="S4634" s="3">
        <v>44532</v>
      </c>
      <c r="T4634" t="s">
        <v>33</v>
      </c>
      <c r="U4634">
        <v>32</v>
      </c>
      <c r="V4634">
        <v>26.905000000000001</v>
      </c>
    </row>
    <row r="4635" spans="1:22" x14ac:dyDescent="0.35">
      <c r="A4635" s="3">
        <v>43944</v>
      </c>
      <c r="B4635" t="s">
        <v>49</v>
      </c>
      <c r="C4635">
        <v>33.1</v>
      </c>
      <c r="D4635">
        <v>33.5</v>
      </c>
      <c r="E4635">
        <v>32.65</v>
      </c>
      <c r="F4635">
        <v>33.1</v>
      </c>
      <c r="G4635">
        <v>33.174999999999997</v>
      </c>
      <c r="H4635">
        <v>-0.05</v>
      </c>
      <c r="I4635">
        <v>3015</v>
      </c>
      <c r="J4635">
        <v>0</v>
      </c>
      <c r="K4635">
        <v>15622</v>
      </c>
      <c r="L4635">
        <v>102</v>
      </c>
      <c r="M4635">
        <v>146</v>
      </c>
      <c r="N4635" t="s">
        <v>49</v>
      </c>
      <c r="O4635" s="3">
        <v>44090</v>
      </c>
      <c r="P4635">
        <v>-1</v>
      </c>
      <c r="T4635" t="s">
        <v>32</v>
      </c>
      <c r="U4635">
        <v>52</v>
      </c>
      <c r="V4635">
        <v>26.967300000000002</v>
      </c>
    </row>
    <row r="4636" spans="1:22" x14ac:dyDescent="0.35">
      <c r="A4636" s="3">
        <v>43944</v>
      </c>
      <c r="B4636" t="s">
        <v>46</v>
      </c>
      <c r="C4636">
        <v>30.2</v>
      </c>
      <c r="D4636">
        <v>30.5</v>
      </c>
      <c r="E4636">
        <v>29.93</v>
      </c>
      <c r="F4636">
        <v>30.3</v>
      </c>
      <c r="G4636">
        <v>30.324999999999999</v>
      </c>
      <c r="H4636">
        <v>-0.125</v>
      </c>
      <c r="I4636">
        <v>77</v>
      </c>
      <c r="J4636">
        <v>0</v>
      </c>
      <c r="K4636">
        <v>127</v>
      </c>
      <c r="L4636">
        <v>166</v>
      </c>
      <c r="M4636">
        <v>237</v>
      </c>
      <c r="N4636" t="s">
        <v>46</v>
      </c>
      <c r="O4636" s="3">
        <v>44181</v>
      </c>
      <c r="P4636">
        <v>-1</v>
      </c>
      <c r="T4636" t="s">
        <v>31</v>
      </c>
      <c r="U4636">
        <v>70</v>
      </c>
      <c r="V4636">
        <v>27.0685</v>
      </c>
    </row>
    <row r="4637" spans="1:22" x14ac:dyDescent="0.35">
      <c r="A4637" s="3">
        <v>43943</v>
      </c>
      <c r="B4637" t="s">
        <v>46</v>
      </c>
      <c r="C4637">
        <v>30.4</v>
      </c>
      <c r="D4637">
        <v>30.75</v>
      </c>
      <c r="E4637">
        <v>30.19</v>
      </c>
      <c r="F4637">
        <v>30.3</v>
      </c>
      <c r="G4637">
        <v>30.45</v>
      </c>
      <c r="H4637">
        <v>-0.17499999999999999</v>
      </c>
      <c r="I4637">
        <v>5</v>
      </c>
      <c r="J4637">
        <v>0</v>
      </c>
      <c r="K4637">
        <v>82</v>
      </c>
      <c r="L4637">
        <v>167</v>
      </c>
      <c r="M4637">
        <v>238</v>
      </c>
      <c r="N4637" t="s">
        <v>46</v>
      </c>
      <c r="O4637" s="3">
        <v>44181</v>
      </c>
      <c r="P4637">
        <v>-1</v>
      </c>
      <c r="T4637" t="s">
        <v>30</v>
      </c>
      <c r="U4637">
        <v>96</v>
      </c>
      <c r="V4637">
        <v>27.041799999999999</v>
      </c>
    </row>
    <row r="4638" spans="1:22" x14ac:dyDescent="0.35">
      <c r="A4638" s="3">
        <v>43943</v>
      </c>
      <c r="B4638" t="s">
        <v>51</v>
      </c>
      <c r="C4638">
        <v>36.159999999999997</v>
      </c>
      <c r="D4638">
        <v>36.75</v>
      </c>
      <c r="E4638">
        <v>35.15</v>
      </c>
      <c r="F4638">
        <v>35.450000000000003</v>
      </c>
      <c r="G4638">
        <v>35.424999999999997</v>
      </c>
      <c r="H4638">
        <v>-1</v>
      </c>
      <c r="I4638">
        <v>6683</v>
      </c>
      <c r="J4638">
        <v>0</v>
      </c>
      <c r="K4638">
        <v>26691</v>
      </c>
      <c r="L4638">
        <v>64</v>
      </c>
      <c r="M4638">
        <v>91</v>
      </c>
      <c r="N4638" t="s">
        <v>51</v>
      </c>
      <c r="O4638" s="3">
        <v>44034</v>
      </c>
      <c r="P4638">
        <v>-1</v>
      </c>
      <c r="T4638" t="s">
        <v>29</v>
      </c>
      <c r="U4638">
        <v>116</v>
      </c>
      <c r="V4638">
        <v>26.895700000000001</v>
      </c>
    </row>
    <row r="4639" spans="1:22" x14ac:dyDescent="0.35">
      <c r="A4639" s="3">
        <v>43943</v>
      </c>
      <c r="B4639" t="s">
        <v>48</v>
      </c>
      <c r="C4639">
        <v>34.01</v>
      </c>
      <c r="D4639">
        <v>34.1</v>
      </c>
      <c r="E4639">
        <v>33.19</v>
      </c>
      <c r="F4639">
        <v>33.729999999999997</v>
      </c>
      <c r="G4639">
        <v>33.674999999999997</v>
      </c>
      <c r="H4639">
        <v>-0.3</v>
      </c>
      <c r="I4639">
        <v>1235</v>
      </c>
      <c r="J4639">
        <v>0</v>
      </c>
      <c r="K4639">
        <v>14414</v>
      </c>
      <c r="L4639">
        <v>128</v>
      </c>
      <c r="M4639">
        <v>182</v>
      </c>
      <c r="N4639" t="s">
        <v>48</v>
      </c>
      <c r="O4639" s="3">
        <v>44125</v>
      </c>
      <c r="P4639">
        <v>-1</v>
      </c>
      <c r="T4639" t="s">
        <v>28</v>
      </c>
      <c r="U4639">
        <v>135</v>
      </c>
      <c r="V4639">
        <v>26.861999999999998</v>
      </c>
    </row>
    <row r="4640" spans="1:22" x14ac:dyDescent="0.35">
      <c r="A4640" s="3">
        <v>43943</v>
      </c>
      <c r="B4640" t="s">
        <v>53</v>
      </c>
      <c r="C4640">
        <v>41.4</v>
      </c>
      <c r="D4640">
        <v>42.4</v>
      </c>
      <c r="E4640">
        <v>39.1</v>
      </c>
      <c r="F4640">
        <v>39.5</v>
      </c>
      <c r="G4640">
        <v>39.625</v>
      </c>
      <c r="H4640">
        <v>-2.15</v>
      </c>
      <c r="I4640">
        <v>48047</v>
      </c>
      <c r="J4640">
        <v>1026</v>
      </c>
      <c r="K4640">
        <v>91376</v>
      </c>
      <c r="L4640">
        <v>20</v>
      </c>
      <c r="M4640">
        <v>28</v>
      </c>
      <c r="N4640" t="s">
        <v>53</v>
      </c>
      <c r="O4640" s="3">
        <v>43971</v>
      </c>
      <c r="P4640">
        <v>-1</v>
      </c>
      <c r="T4640" t="s">
        <v>22</v>
      </c>
      <c r="U4640">
        <v>159</v>
      </c>
      <c r="V4640">
        <v>26.95</v>
      </c>
    </row>
    <row r="4641" spans="1:22" x14ac:dyDescent="0.35">
      <c r="A4641" s="3">
        <v>43943</v>
      </c>
      <c r="B4641" t="s">
        <v>50</v>
      </c>
      <c r="C4641">
        <v>34.35</v>
      </c>
      <c r="D4641">
        <v>34.700000000000003</v>
      </c>
      <c r="E4641">
        <v>33.4</v>
      </c>
      <c r="F4641">
        <v>33.799999999999997</v>
      </c>
      <c r="G4641">
        <v>33.825000000000003</v>
      </c>
      <c r="H4641">
        <v>-0.6</v>
      </c>
      <c r="I4641">
        <v>3534</v>
      </c>
      <c r="J4641">
        <v>0</v>
      </c>
      <c r="K4641">
        <v>14459</v>
      </c>
      <c r="L4641">
        <v>84</v>
      </c>
      <c r="M4641">
        <v>119</v>
      </c>
      <c r="N4641" t="s">
        <v>50</v>
      </c>
      <c r="O4641" s="3">
        <v>44062</v>
      </c>
      <c r="P4641">
        <v>-1</v>
      </c>
      <c r="T4641" t="s">
        <v>26</v>
      </c>
      <c r="U4641">
        <v>179</v>
      </c>
      <c r="V4641">
        <v>26.774999999999999</v>
      </c>
    </row>
    <row r="4642" spans="1:22" x14ac:dyDescent="0.35">
      <c r="A4642" s="3">
        <v>43943</v>
      </c>
      <c r="B4642" t="s">
        <v>47</v>
      </c>
      <c r="C4642">
        <v>31.9</v>
      </c>
      <c r="D4642">
        <v>31.95</v>
      </c>
      <c r="E4642">
        <v>31.15</v>
      </c>
      <c r="F4642">
        <v>31.55</v>
      </c>
      <c r="G4642">
        <v>31.574999999999999</v>
      </c>
      <c r="H4642">
        <v>-0.25</v>
      </c>
      <c r="I4642">
        <v>391</v>
      </c>
      <c r="J4642">
        <v>0</v>
      </c>
      <c r="K4642">
        <v>8582</v>
      </c>
      <c r="L4642">
        <v>148</v>
      </c>
      <c r="M4642">
        <v>210</v>
      </c>
      <c r="N4642" t="s">
        <v>47</v>
      </c>
      <c r="O4642" s="3">
        <v>44153</v>
      </c>
      <c r="P4642">
        <v>-1</v>
      </c>
      <c r="T4642" t="s">
        <v>34</v>
      </c>
      <c r="U4642">
        <v>14</v>
      </c>
      <c r="V4642">
        <v>25.9392</v>
      </c>
    </row>
    <row r="4643" spans="1:22" x14ac:dyDescent="0.35">
      <c r="A4643" s="3">
        <v>43943</v>
      </c>
      <c r="B4643" t="s">
        <v>52</v>
      </c>
      <c r="C4643">
        <v>38.549999999999997</v>
      </c>
      <c r="D4643">
        <v>39.049999999999997</v>
      </c>
      <c r="E4643">
        <v>36.92</v>
      </c>
      <c r="F4643">
        <v>37.369999999999997</v>
      </c>
      <c r="G4643">
        <v>37.375</v>
      </c>
      <c r="H4643">
        <v>-1.3</v>
      </c>
      <c r="I4643">
        <v>26079</v>
      </c>
      <c r="J4643">
        <v>256</v>
      </c>
      <c r="K4643">
        <v>40422</v>
      </c>
      <c r="L4643">
        <v>39</v>
      </c>
      <c r="M4643">
        <v>56</v>
      </c>
      <c r="N4643" t="s">
        <v>52</v>
      </c>
      <c r="O4643" s="3">
        <v>43999</v>
      </c>
      <c r="P4643">
        <v>-1</v>
      </c>
      <c r="S4643" s="3">
        <v>44533</v>
      </c>
      <c r="T4643" t="s">
        <v>33</v>
      </c>
      <c r="U4643">
        <v>31</v>
      </c>
      <c r="V4643">
        <v>28.6173</v>
      </c>
    </row>
    <row r="4644" spans="1:22" x14ac:dyDescent="0.35">
      <c r="A4644" s="3">
        <v>43943</v>
      </c>
      <c r="B4644" t="s">
        <v>49</v>
      </c>
      <c r="C4644">
        <v>33.549999999999997</v>
      </c>
      <c r="D4644">
        <v>33.770000000000003</v>
      </c>
      <c r="E4644">
        <v>32.75</v>
      </c>
      <c r="F4644">
        <v>33.22</v>
      </c>
      <c r="G4644">
        <v>33.225000000000001</v>
      </c>
      <c r="H4644">
        <v>-0.35</v>
      </c>
      <c r="I4644">
        <v>1901</v>
      </c>
      <c r="J4644">
        <v>0</v>
      </c>
      <c r="K4644">
        <v>14767</v>
      </c>
      <c r="L4644">
        <v>103</v>
      </c>
      <c r="M4644">
        <v>147</v>
      </c>
      <c r="N4644" t="s">
        <v>49</v>
      </c>
      <c r="O4644" s="3">
        <v>44090</v>
      </c>
      <c r="P4644">
        <v>-1</v>
      </c>
      <c r="T4644" t="s">
        <v>32</v>
      </c>
      <c r="U4644">
        <v>51</v>
      </c>
      <c r="V4644">
        <v>28.256399999999999</v>
      </c>
    </row>
    <row r="4645" spans="1:22" x14ac:dyDescent="0.35">
      <c r="A4645" s="3">
        <v>43942</v>
      </c>
      <c r="B4645" t="s">
        <v>51</v>
      </c>
      <c r="C4645">
        <v>34.299999999999997</v>
      </c>
      <c r="D4645">
        <v>37.299999999999997</v>
      </c>
      <c r="E4645">
        <v>33.6</v>
      </c>
      <c r="F4645">
        <v>36.35</v>
      </c>
      <c r="G4645">
        <v>36.424999999999997</v>
      </c>
      <c r="H4645">
        <v>2</v>
      </c>
      <c r="I4645">
        <v>10628</v>
      </c>
      <c r="J4645">
        <v>0</v>
      </c>
      <c r="K4645">
        <v>27790</v>
      </c>
      <c r="L4645">
        <v>65</v>
      </c>
      <c r="M4645">
        <v>92</v>
      </c>
      <c r="N4645" t="s">
        <v>51</v>
      </c>
      <c r="O4645" s="3">
        <v>44034</v>
      </c>
      <c r="P4645">
        <v>-1</v>
      </c>
      <c r="T4645" t="s">
        <v>31</v>
      </c>
      <c r="U4645">
        <v>69</v>
      </c>
      <c r="V4645">
        <v>28.116900000000001</v>
      </c>
    </row>
    <row r="4646" spans="1:22" x14ac:dyDescent="0.35">
      <c r="A4646" s="3">
        <v>43942</v>
      </c>
      <c r="B4646" t="s">
        <v>48</v>
      </c>
      <c r="C4646">
        <v>33.119999999999997</v>
      </c>
      <c r="D4646">
        <v>35.25</v>
      </c>
      <c r="E4646">
        <v>32.659999999999997</v>
      </c>
      <c r="F4646">
        <v>34</v>
      </c>
      <c r="G4646">
        <v>33.975000000000001</v>
      </c>
      <c r="H4646">
        <v>0.95</v>
      </c>
      <c r="I4646">
        <v>2920</v>
      </c>
      <c r="J4646">
        <v>0</v>
      </c>
      <c r="K4646">
        <v>14402</v>
      </c>
      <c r="L4646">
        <v>129</v>
      </c>
      <c r="M4646">
        <v>183</v>
      </c>
      <c r="N4646" t="s">
        <v>48</v>
      </c>
      <c r="O4646" s="3">
        <v>44125</v>
      </c>
      <c r="P4646">
        <v>-1</v>
      </c>
      <c r="T4646" t="s">
        <v>30</v>
      </c>
      <c r="U4646">
        <v>95</v>
      </c>
      <c r="V4646">
        <v>27.938600000000001</v>
      </c>
    </row>
    <row r="4647" spans="1:22" x14ac:dyDescent="0.35">
      <c r="A4647" s="3">
        <v>43942</v>
      </c>
      <c r="B4647" t="s">
        <v>53</v>
      </c>
      <c r="C4647">
        <v>39</v>
      </c>
      <c r="D4647">
        <v>43.35</v>
      </c>
      <c r="E4647">
        <v>37.4</v>
      </c>
      <c r="F4647">
        <v>41.7</v>
      </c>
      <c r="G4647">
        <v>41.774999999999999</v>
      </c>
      <c r="H4647">
        <v>2.7</v>
      </c>
      <c r="I4647">
        <v>75063</v>
      </c>
      <c r="J4647">
        <v>1291</v>
      </c>
      <c r="K4647">
        <v>94714</v>
      </c>
      <c r="L4647">
        <v>21</v>
      </c>
      <c r="M4647">
        <v>29</v>
      </c>
      <c r="N4647" t="s">
        <v>53</v>
      </c>
      <c r="O4647" s="3">
        <v>43971</v>
      </c>
      <c r="P4647">
        <v>-1</v>
      </c>
      <c r="T4647" t="s">
        <v>29</v>
      </c>
      <c r="U4647">
        <v>115</v>
      </c>
      <c r="V4647">
        <v>27.693999999999999</v>
      </c>
    </row>
    <row r="4648" spans="1:22" x14ac:dyDescent="0.35">
      <c r="A4648" s="3">
        <v>43942</v>
      </c>
      <c r="B4648" t="s">
        <v>50</v>
      </c>
      <c r="C4648">
        <v>32.869999999999997</v>
      </c>
      <c r="D4648">
        <v>35.31</v>
      </c>
      <c r="E4648">
        <v>32.18</v>
      </c>
      <c r="F4648">
        <v>34.409999999999997</v>
      </c>
      <c r="G4648">
        <v>34.424999999999997</v>
      </c>
      <c r="H4648">
        <v>1.55</v>
      </c>
      <c r="I4648">
        <v>6418</v>
      </c>
      <c r="J4648">
        <v>0</v>
      </c>
      <c r="K4648">
        <v>15253</v>
      </c>
      <c r="L4648">
        <v>85</v>
      </c>
      <c r="M4648">
        <v>120</v>
      </c>
      <c r="N4648" t="s">
        <v>50</v>
      </c>
      <c r="O4648" s="3">
        <v>44062</v>
      </c>
      <c r="P4648">
        <v>-1</v>
      </c>
      <c r="T4648" t="s">
        <v>28</v>
      </c>
      <c r="U4648">
        <v>134</v>
      </c>
      <c r="V4648">
        <v>27.593499999999999</v>
      </c>
    </row>
    <row r="4649" spans="1:22" x14ac:dyDescent="0.35">
      <c r="A4649" s="3">
        <v>43942</v>
      </c>
      <c r="B4649" t="s">
        <v>47</v>
      </c>
      <c r="C4649">
        <v>31.29</v>
      </c>
      <c r="D4649">
        <v>33.1</v>
      </c>
      <c r="E4649">
        <v>30.9</v>
      </c>
      <c r="F4649">
        <v>31.85</v>
      </c>
      <c r="G4649">
        <v>31.824999999999999</v>
      </c>
      <c r="H4649">
        <v>0.625</v>
      </c>
      <c r="I4649">
        <v>1286</v>
      </c>
      <c r="J4649">
        <v>0</v>
      </c>
      <c r="K4649">
        <v>8541</v>
      </c>
      <c r="L4649">
        <v>149</v>
      </c>
      <c r="M4649">
        <v>211</v>
      </c>
      <c r="N4649" t="s">
        <v>47</v>
      </c>
      <c r="O4649" s="3">
        <v>44153</v>
      </c>
      <c r="P4649">
        <v>-1</v>
      </c>
      <c r="T4649" t="s">
        <v>22</v>
      </c>
      <c r="U4649">
        <v>158</v>
      </c>
      <c r="V4649">
        <v>27.55</v>
      </c>
    </row>
    <row r="4650" spans="1:22" x14ac:dyDescent="0.35">
      <c r="A4650" s="3">
        <v>43942</v>
      </c>
      <c r="B4650" t="s">
        <v>52</v>
      </c>
      <c r="C4650">
        <v>36.049999999999997</v>
      </c>
      <c r="D4650">
        <v>39.67</v>
      </c>
      <c r="E4650">
        <v>34.909999999999997</v>
      </c>
      <c r="F4650">
        <v>38.549999999999997</v>
      </c>
      <c r="G4650">
        <v>38.674999999999997</v>
      </c>
      <c r="H4650">
        <v>2.4500000000000002</v>
      </c>
      <c r="I4650">
        <v>39375</v>
      </c>
      <c r="J4650">
        <v>246</v>
      </c>
      <c r="K4650">
        <v>36335</v>
      </c>
      <c r="L4650">
        <v>40</v>
      </c>
      <c r="M4650">
        <v>57</v>
      </c>
      <c r="N4650" t="s">
        <v>52</v>
      </c>
      <c r="O4650" s="3">
        <v>43999</v>
      </c>
      <c r="P4650">
        <v>-1</v>
      </c>
      <c r="T4650" t="s">
        <v>26</v>
      </c>
      <c r="U4650">
        <v>178</v>
      </c>
      <c r="V4650">
        <v>27.175000000000001</v>
      </c>
    </row>
    <row r="4651" spans="1:22" x14ac:dyDescent="0.35">
      <c r="A4651" s="3">
        <v>43942</v>
      </c>
      <c r="B4651" t="s">
        <v>49</v>
      </c>
      <c r="C4651">
        <v>32.299999999999997</v>
      </c>
      <c r="D4651">
        <v>34.65</v>
      </c>
      <c r="E4651">
        <v>31.67</v>
      </c>
      <c r="F4651">
        <v>33.6</v>
      </c>
      <c r="G4651">
        <v>33.575000000000003</v>
      </c>
      <c r="H4651">
        <v>1.325</v>
      </c>
      <c r="I4651">
        <v>4276</v>
      </c>
      <c r="J4651">
        <v>0</v>
      </c>
      <c r="K4651">
        <v>15135</v>
      </c>
      <c r="L4651">
        <v>104</v>
      </c>
      <c r="M4651">
        <v>148</v>
      </c>
      <c r="N4651" t="s">
        <v>49</v>
      </c>
      <c r="O4651" s="3">
        <v>44090</v>
      </c>
      <c r="P4651">
        <v>-1</v>
      </c>
      <c r="T4651" t="s">
        <v>34</v>
      </c>
      <c r="U4651">
        <v>13</v>
      </c>
      <c r="V4651">
        <v>28.7301</v>
      </c>
    </row>
    <row r="4652" spans="1:22" x14ac:dyDescent="0.35">
      <c r="A4652" s="3">
        <v>43942</v>
      </c>
      <c r="B4652" t="s">
        <v>46</v>
      </c>
      <c r="C4652">
        <v>30.3</v>
      </c>
      <c r="D4652">
        <v>30.95</v>
      </c>
      <c r="E4652">
        <v>29.5</v>
      </c>
      <c r="F4652">
        <v>30.6</v>
      </c>
      <c r="G4652">
        <v>30.625</v>
      </c>
      <c r="H4652">
        <v>0.92500000000000004</v>
      </c>
      <c r="I4652">
        <v>48</v>
      </c>
      <c r="J4652">
        <v>0</v>
      </c>
      <c r="K4652">
        <v>80</v>
      </c>
      <c r="L4652">
        <v>168</v>
      </c>
      <c r="M4652">
        <v>239</v>
      </c>
      <c r="N4652" t="s">
        <v>46</v>
      </c>
      <c r="O4652" s="3">
        <v>44181</v>
      </c>
      <c r="P4652">
        <v>-1</v>
      </c>
      <c r="S4652" s="3">
        <v>44536</v>
      </c>
      <c r="T4652" t="s">
        <v>33</v>
      </c>
      <c r="U4652">
        <v>30</v>
      </c>
      <c r="V4652">
        <v>26.650600000000001</v>
      </c>
    </row>
    <row r="4653" spans="1:22" x14ac:dyDescent="0.35">
      <c r="A4653" s="3">
        <v>43941</v>
      </c>
      <c r="B4653" t="s">
        <v>46</v>
      </c>
      <c r="C4653">
        <v>29.25</v>
      </c>
      <c r="D4653">
        <v>29.65</v>
      </c>
      <c r="E4653">
        <v>28.5</v>
      </c>
      <c r="F4653">
        <v>29.55</v>
      </c>
      <c r="G4653">
        <v>29.7</v>
      </c>
      <c r="H4653">
        <v>1.2</v>
      </c>
      <c r="I4653">
        <v>30</v>
      </c>
      <c r="J4653">
        <v>0</v>
      </c>
      <c r="K4653">
        <v>58</v>
      </c>
      <c r="L4653">
        <v>169</v>
      </c>
      <c r="M4653">
        <v>240</v>
      </c>
      <c r="N4653" t="s">
        <v>46</v>
      </c>
      <c r="O4653" s="3">
        <v>44181</v>
      </c>
      <c r="P4653">
        <v>-1</v>
      </c>
      <c r="T4653" t="s">
        <v>32</v>
      </c>
      <c r="U4653">
        <v>50</v>
      </c>
      <c r="V4653">
        <v>26.8002</v>
      </c>
    </row>
    <row r="4654" spans="1:22" x14ac:dyDescent="0.35">
      <c r="A4654" s="3">
        <v>43941</v>
      </c>
      <c r="B4654" t="s">
        <v>51</v>
      </c>
      <c r="C4654">
        <v>32.229999999999997</v>
      </c>
      <c r="D4654">
        <v>34.5</v>
      </c>
      <c r="E4654">
        <v>32.200000000000003</v>
      </c>
      <c r="F4654">
        <v>34.4</v>
      </c>
      <c r="G4654">
        <v>34.424999999999997</v>
      </c>
      <c r="H4654">
        <v>2.5</v>
      </c>
      <c r="I4654">
        <v>10624</v>
      </c>
      <c r="J4654">
        <v>0</v>
      </c>
      <c r="K4654">
        <v>27372</v>
      </c>
      <c r="L4654">
        <v>66</v>
      </c>
      <c r="M4654">
        <v>93</v>
      </c>
      <c r="N4654" t="s">
        <v>51</v>
      </c>
      <c r="O4654" s="3">
        <v>44034</v>
      </c>
      <c r="P4654">
        <v>-1</v>
      </c>
      <c r="T4654" t="s">
        <v>31</v>
      </c>
      <c r="U4654">
        <v>68</v>
      </c>
      <c r="V4654">
        <v>27.008800000000001</v>
      </c>
    </row>
    <row r="4655" spans="1:22" x14ac:dyDescent="0.35">
      <c r="A4655" s="3">
        <v>43941</v>
      </c>
      <c r="B4655" t="s">
        <v>48</v>
      </c>
      <c r="C4655">
        <v>31.47</v>
      </c>
      <c r="D4655">
        <v>33.15</v>
      </c>
      <c r="E4655">
        <v>31.47</v>
      </c>
      <c r="F4655">
        <v>33.130000000000003</v>
      </c>
      <c r="G4655">
        <v>33.024999999999999</v>
      </c>
      <c r="H4655">
        <v>1.7749999999999999</v>
      </c>
      <c r="I4655">
        <v>1736</v>
      </c>
      <c r="J4655">
        <v>0</v>
      </c>
      <c r="K4655">
        <v>14362</v>
      </c>
      <c r="L4655">
        <v>130</v>
      </c>
      <c r="M4655">
        <v>184</v>
      </c>
      <c r="N4655" t="s">
        <v>48</v>
      </c>
      <c r="O4655" s="3">
        <v>44125</v>
      </c>
      <c r="P4655">
        <v>-1</v>
      </c>
      <c r="T4655" t="s">
        <v>30</v>
      </c>
      <c r="U4655">
        <v>94</v>
      </c>
      <c r="V4655">
        <v>27.029900000000001</v>
      </c>
    </row>
    <row r="4656" spans="1:22" x14ac:dyDescent="0.35">
      <c r="A4656" s="3">
        <v>43941</v>
      </c>
      <c r="B4656" t="s">
        <v>53</v>
      </c>
      <c r="C4656">
        <v>34.9</v>
      </c>
      <c r="D4656">
        <v>39.200000000000003</v>
      </c>
      <c r="E4656">
        <v>34.840000000000003</v>
      </c>
      <c r="F4656">
        <v>39</v>
      </c>
      <c r="G4656">
        <v>39.075000000000003</v>
      </c>
      <c r="H4656">
        <v>4.5</v>
      </c>
      <c r="I4656">
        <v>49822</v>
      </c>
      <c r="J4656">
        <v>66</v>
      </c>
      <c r="K4656">
        <v>100876</v>
      </c>
      <c r="L4656">
        <v>22</v>
      </c>
      <c r="M4656">
        <v>30</v>
      </c>
      <c r="N4656" t="s">
        <v>53</v>
      </c>
      <c r="O4656" s="3">
        <v>43971</v>
      </c>
      <c r="P4656">
        <v>-1</v>
      </c>
      <c r="T4656" t="s">
        <v>29</v>
      </c>
      <c r="U4656">
        <v>114</v>
      </c>
      <c r="V4656">
        <v>26.915199999999999</v>
      </c>
    </row>
    <row r="4657" spans="1:22" x14ac:dyDescent="0.35">
      <c r="A4657" s="3">
        <v>43941</v>
      </c>
      <c r="B4657" t="s">
        <v>50</v>
      </c>
      <c r="C4657">
        <v>31.22</v>
      </c>
      <c r="D4657">
        <v>32.94</v>
      </c>
      <c r="E4657">
        <v>31.2</v>
      </c>
      <c r="F4657">
        <v>32.9</v>
      </c>
      <c r="G4657">
        <v>32.875</v>
      </c>
      <c r="H4657">
        <v>2</v>
      </c>
      <c r="I4657">
        <v>5840</v>
      </c>
      <c r="J4657">
        <v>0</v>
      </c>
      <c r="K4657">
        <v>15029</v>
      </c>
      <c r="L4657">
        <v>86</v>
      </c>
      <c r="M4657">
        <v>121</v>
      </c>
      <c r="N4657" t="s">
        <v>50</v>
      </c>
      <c r="O4657" s="3">
        <v>44062</v>
      </c>
      <c r="P4657">
        <v>-1</v>
      </c>
      <c r="T4657" t="s">
        <v>28</v>
      </c>
      <c r="U4657">
        <v>133</v>
      </c>
      <c r="V4657">
        <v>26.803599999999999</v>
      </c>
    </row>
    <row r="4658" spans="1:22" x14ac:dyDescent="0.35">
      <c r="A4658" s="3">
        <v>43941</v>
      </c>
      <c r="B4658" t="s">
        <v>47</v>
      </c>
      <c r="C4658">
        <v>29.78</v>
      </c>
      <c r="D4658">
        <v>31.3</v>
      </c>
      <c r="E4658">
        <v>29.75</v>
      </c>
      <c r="F4658">
        <v>31.3</v>
      </c>
      <c r="G4658">
        <v>31.2</v>
      </c>
      <c r="H4658">
        <v>1.65</v>
      </c>
      <c r="I4658">
        <v>740</v>
      </c>
      <c r="J4658">
        <v>0</v>
      </c>
      <c r="K4658">
        <v>8494</v>
      </c>
      <c r="L4658">
        <v>150</v>
      </c>
      <c r="M4658">
        <v>212</v>
      </c>
      <c r="N4658" t="s">
        <v>47</v>
      </c>
      <c r="O4658" s="3">
        <v>44153</v>
      </c>
      <c r="P4658">
        <v>-1</v>
      </c>
      <c r="T4658" t="s">
        <v>22</v>
      </c>
      <c r="U4658">
        <v>157</v>
      </c>
      <c r="V4658">
        <v>26.85</v>
      </c>
    </row>
    <row r="4659" spans="1:22" x14ac:dyDescent="0.35">
      <c r="A4659" s="3">
        <v>43941</v>
      </c>
      <c r="B4659" t="s">
        <v>52</v>
      </c>
      <c r="C4659">
        <v>33.56</v>
      </c>
      <c r="D4659">
        <v>36.270000000000003</v>
      </c>
      <c r="E4659">
        <v>33.35</v>
      </c>
      <c r="F4659">
        <v>36.119999999999997</v>
      </c>
      <c r="G4659">
        <v>36.225000000000001</v>
      </c>
      <c r="H4659">
        <v>3.15</v>
      </c>
      <c r="I4659">
        <v>31630</v>
      </c>
      <c r="J4659">
        <v>9</v>
      </c>
      <c r="K4659">
        <v>32428</v>
      </c>
      <c r="L4659">
        <v>41</v>
      </c>
      <c r="M4659">
        <v>58</v>
      </c>
      <c r="N4659" t="s">
        <v>52</v>
      </c>
      <c r="O4659" s="3">
        <v>43999</v>
      </c>
      <c r="P4659">
        <v>-1</v>
      </c>
      <c r="T4659" t="s">
        <v>26</v>
      </c>
      <c r="U4659">
        <v>177</v>
      </c>
      <c r="V4659">
        <v>26.625</v>
      </c>
    </row>
    <row r="4660" spans="1:22" x14ac:dyDescent="0.35">
      <c r="A4660" s="3">
        <v>43941</v>
      </c>
      <c r="B4660" t="s">
        <v>49</v>
      </c>
      <c r="C4660">
        <v>30.88</v>
      </c>
      <c r="D4660">
        <v>32.4</v>
      </c>
      <c r="E4660">
        <v>30.7</v>
      </c>
      <c r="F4660">
        <v>32.36</v>
      </c>
      <c r="G4660">
        <v>32.25</v>
      </c>
      <c r="H4660">
        <v>1.85</v>
      </c>
      <c r="I4660">
        <v>2302</v>
      </c>
      <c r="J4660">
        <v>0</v>
      </c>
      <c r="K4660">
        <v>14761</v>
      </c>
      <c r="L4660">
        <v>105</v>
      </c>
      <c r="M4660">
        <v>149</v>
      </c>
      <c r="N4660" t="s">
        <v>49</v>
      </c>
      <c r="O4660" s="3">
        <v>44090</v>
      </c>
      <c r="P4660">
        <v>-1</v>
      </c>
      <c r="T4660" t="s">
        <v>34</v>
      </c>
      <c r="U4660">
        <v>12</v>
      </c>
      <c r="V4660">
        <v>25.8521</v>
      </c>
    </row>
    <row r="4661" spans="1:22" x14ac:dyDescent="0.35">
      <c r="A4661" s="3">
        <v>43938</v>
      </c>
      <c r="B4661" t="s">
        <v>51</v>
      </c>
      <c r="C4661">
        <v>32.17</v>
      </c>
      <c r="D4661">
        <v>32.950000000000003</v>
      </c>
      <c r="E4661">
        <v>31.37</v>
      </c>
      <c r="F4661">
        <v>32.119999999999997</v>
      </c>
      <c r="G4661">
        <v>31.925000000000001</v>
      </c>
      <c r="H4661">
        <v>-1.1499999999999999</v>
      </c>
      <c r="I4661">
        <v>5720</v>
      </c>
      <c r="J4661">
        <v>0</v>
      </c>
      <c r="K4661">
        <v>28658</v>
      </c>
      <c r="L4661">
        <v>67</v>
      </c>
      <c r="M4661">
        <v>96</v>
      </c>
      <c r="N4661" t="s">
        <v>51</v>
      </c>
      <c r="O4661" s="3">
        <v>44034</v>
      </c>
      <c r="P4661">
        <v>-1</v>
      </c>
      <c r="S4661" s="3">
        <v>44537</v>
      </c>
      <c r="T4661" t="s">
        <v>33</v>
      </c>
      <c r="U4661">
        <v>29</v>
      </c>
      <c r="V4661">
        <v>24.200199999999999</v>
      </c>
    </row>
    <row r="4662" spans="1:22" x14ac:dyDescent="0.35">
      <c r="A4662" s="3">
        <v>43938</v>
      </c>
      <c r="B4662" t="s">
        <v>48</v>
      </c>
      <c r="C4662">
        <v>31.05</v>
      </c>
      <c r="D4662">
        <v>31.75</v>
      </c>
      <c r="E4662">
        <v>30.4</v>
      </c>
      <c r="F4662">
        <v>31.27</v>
      </c>
      <c r="G4662">
        <v>31.25</v>
      </c>
      <c r="H4662">
        <v>-0.47499999999999998</v>
      </c>
      <c r="I4662">
        <v>1738</v>
      </c>
      <c r="J4662">
        <v>0</v>
      </c>
      <c r="K4662">
        <v>14383</v>
      </c>
      <c r="L4662">
        <v>131</v>
      </c>
      <c r="M4662">
        <v>187</v>
      </c>
      <c r="N4662" t="s">
        <v>48</v>
      </c>
      <c r="O4662" s="3">
        <v>44125</v>
      </c>
      <c r="P4662">
        <v>-1</v>
      </c>
      <c r="T4662" t="s">
        <v>32</v>
      </c>
      <c r="U4662">
        <v>49</v>
      </c>
      <c r="V4662">
        <v>24.9983</v>
      </c>
    </row>
    <row r="4663" spans="1:22" x14ac:dyDescent="0.35">
      <c r="A4663" s="3">
        <v>43938</v>
      </c>
      <c r="B4663" t="s">
        <v>53</v>
      </c>
      <c r="C4663">
        <v>35.1</v>
      </c>
      <c r="D4663">
        <v>36.200000000000003</v>
      </c>
      <c r="E4663">
        <v>34.049999999999997</v>
      </c>
      <c r="F4663">
        <v>34.799999999999997</v>
      </c>
      <c r="G4663">
        <v>34.575000000000003</v>
      </c>
      <c r="H4663">
        <v>-1.95</v>
      </c>
      <c r="I4663">
        <v>51593</v>
      </c>
      <c r="J4663">
        <v>0</v>
      </c>
      <c r="K4663">
        <v>104302</v>
      </c>
      <c r="L4663">
        <v>23</v>
      </c>
      <c r="M4663">
        <v>33</v>
      </c>
      <c r="N4663" t="s">
        <v>53</v>
      </c>
      <c r="O4663" s="3">
        <v>43971</v>
      </c>
      <c r="P4663">
        <v>-1</v>
      </c>
      <c r="T4663" t="s">
        <v>31</v>
      </c>
      <c r="U4663">
        <v>67</v>
      </c>
      <c r="V4663">
        <v>25.553599999999999</v>
      </c>
    </row>
    <row r="4664" spans="1:22" x14ac:dyDescent="0.35">
      <c r="A4664" s="3">
        <v>43938</v>
      </c>
      <c r="B4664" t="s">
        <v>50</v>
      </c>
      <c r="C4664">
        <v>31.03</v>
      </c>
      <c r="D4664">
        <v>31.85</v>
      </c>
      <c r="E4664">
        <v>30.35</v>
      </c>
      <c r="F4664">
        <v>31.05</v>
      </c>
      <c r="G4664">
        <v>30.875</v>
      </c>
      <c r="H4664">
        <v>-0.97499999999999998</v>
      </c>
      <c r="I4664">
        <v>4295</v>
      </c>
      <c r="J4664">
        <v>0</v>
      </c>
      <c r="K4664">
        <v>14529</v>
      </c>
      <c r="L4664">
        <v>87</v>
      </c>
      <c r="M4664">
        <v>124</v>
      </c>
      <c r="N4664" t="s">
        <v>50</v>
      </c>
      <c r="O4664" s="3">
        <v>44062</v>
      </c>
      <c r="P4664">
        <v>-1</v>
      </c>
      <c r="T4664" t="s">
        <v>30</v>
      </c>
      <c r="U4664">
        <v>93</v>
      </c>
      <c r="V4664">
        <v>25.853400000000001</v>
      </c>
    </row>
    <row r="4665" spans="1:22" x14ac:dyDescent="0.35">
      <c r="A4665" s="3">
        <v>43938</v>
      </c>
      <c r="B4665" t="s">
        <v>47</v>
      </c>
      <c r="C4665">
        <v>29.35</v>
      </c>
      <c r="D4665">
        <v>30</v>
      </c>
      <c r="E4665">
        <v>28.4</v>
      </c>
      <c r="F4665">
        <v>29.55</v>
      </c>
      <c r="G4665">
        <v>29.55</v>
      </c>
      <c r="H4665">
        <v>-0.35</v>
      </c>
      <c r="I4665">
        <v>816</v>
      </c>
      <c r="J4665">
        <v>0</v>
      </c>
      <c r="K4665">
        <v>7962</v>
      </c>
      <c r="L4665">
        <v>151</v>
      </c>
      <c r="M4665">
        <v>215</v>
      </c>
      <c r="N4665" t="s">
        <v>47</v>
      </c>
      <c r="O4665" s="3">
        <v>44153</v>
      </c>
      <c r="P4665">
        <v>-1</v>
      </c>
      <c r="T4665" t="s">
        <v>29</v>
      </c>
      <c r="U4665">
        <v>113</v>
      </c>
      <c r="V4665">
        <v>25.863800000000001</v>
      </c>
    </row>
    <row r="4666" spans="1:22" x14ac:dyDescent="0.35">
      <c r="A4666" s="3">
        <v>43938</v>
      </c>
      <c r="B4666" t="s">
        <v>52</v>
      </c>
      <c r="C4666">
        <v>33.049999999999997</v>
      </c>
      <c r="D4666">
        <v>34.29</v>
      </c>
      <c r="E4666">
        <v>32.4</v>
      </c>
      <c r="F4666">
        <v>33.299999999999997</v>
      </c>
      <c r="G4666">
        <v>33.075000000000003</v>
      </c>
      <c r="H4666">
        <v>-1.35</v>
      </c>
      <c r="I4666">
        <v>28797</v>
      </c>
      <c r="J4666">
        <v>0</v>
      </c>
      <c r="K4666">
        <v>32947</v>
      </c>
      <c r="L4666">
        <v>42</v>
      </c>
      <c r="M4666">
        <v>61</v>
      </c>
      <c r="N4666" t="s">
        <v>52</v>
      </c>
      <c r="O4666" s="3">
        <v>43999</v>
      </c>
      <c r="P4666">
        <v>-1</v>
      </c>
      <c r="T4666" t="s">
        <v>28</v>
      </c>
      <c r="U4666">
        <v>132</v>
      </c>
      <c r="V4666">
        <v>25.838899999999999</v>
      </c>
    </row>
    <row r="4667" spans="1:22" x14ac:dyDescent="0.35">
      <c r="A4667" s="3">
        <v>43938</v>
      </c>
      <c r="B4667" t="s">
        <v>49</v>
      </c>
      <c r="C4667">
        <v>30.2</v>
      </c>
      <c r="D4667">
        <v>31.12</v>
      </c>
      <c r="E4667">
        <v>29.7</v>
      </c>
      <c r="F4667">
        <v>30.45</v>
      </c>
      <c r="G4667">
        <v>30.4</v>
      </c>
      <c r="H4667">
        <v>-0.72499999999999998</v>
      </c>
      <c r="I4667">
        <v>2352</v>
      </c>
      <c r="J4667">
        <v>0</v>
      </c>
      <c r="K4667">
        <v>14917</v>
      </c>
      <c r="L4667">
        <v>106</v>
      </c>
      <c r="M4667">
        <v>152</v>
      </c>
      <c r="N4667" t="s">
        <v>49</v>
      </c>
      <c r="O4667" s="3">
        <v>44090</v>
      </c>
      <c r="P4667">
        <v>-1</v>
      </c>
      <c r="T4667" t="s">
        <v>22</v>
      </c>
      <c r="U4667">
        <v>156</v>
      </c>
      <c r="V4667">
        <v>26</v>
      </c>
    </row>
    <row r="4668" spans="1:22" x14ac:dyDescent="0.35">
      <c r="A4668" s="3">
        <v>43938</v>
      </c>
      <c r="B4668" t="s">
        <v>46</v>
      </c>
      <c r="C4668">
        <v>28.5</v>
      </c>
      <c r="D4668">
        <v>28.8</v>
      </c>
      <c r="E4668">
        <v>27.8</v>
      </c>
      <c r="F4668">
        <v>28.45</v>
      </c>
      <c r="G4668">
        <v>28.5</v>
      </c>
      <c r="H4668">
        <v>-0.27500000000000002</v>
      </c>
      <c r="I4668">
        <v>16</v>
      </c>
      <c r="J4668">
        <v>0</v>
      </c>
      <c r="K4668">
        <v>46</v>
      </c>
      <c r="L4668">
        <v>170</v>
      </c>
      <c r="M4668">
        <v>243</v>
      </c>
      <c r="N4668" t="s">
        <v>46</v>
      </c>
      <c r="O4668" s="3">
        <v>44181</v>
      </c>
      <c r="P4668">
        <v>-1</v>
      </c>
      <c r="T4668" t="s">
        <v>26</v>
      </c>
      <c r="U4668">
        <v>176</v>
      </c>
      <c r="V4668">
        <v>25.85</v>
      </c>
    </row>
    <row r="4669" spans="1:22" x14ac:dyDescent="0.35">
      <c r="A4669" s="3">
        <v>43937</v>
      </c>
      <c r="B4669" t="s">
        <v>46</v>
      </c>
      <c r="C4669">
        <v>28.35</v>
      </c>
      <c r="D4669">
        <v>28.85</v>
      </c>
      <c r="E4669">
        <v>28.15</v>
      </c>
      <c r="F4669">
        <v>28.7</v>
      </c>
      <c r="G4669">
        <v>28.774999999999999</v>
      </c>
      <c r="H4669">
        <v>0.22500000000000001</v>
      </c>
      <c r="I4669">
        <v>36</v>
      </c>
      <c r="J4669">
        <v>0</v>
      </c>
      <c r="K4669">
        <v>45</v>
      </c>
      <c r="L4669">
        <v>171</v>
      </c>
      <c r="M4669">
        <v>244</v>
      </c>
      <c r="N4669" t="s">
        <v>46</v>
      </c>
      <c r="O4669" s="3">
        <v>44181</v>
      </c>
      <c r="P4669">
        <v>-1</v>
      </c>
      <c r="T4669" t="s">
        <v>34</v>
      </c>
      <c r="U4669">
        <v>11</v>
      </c>
      <c r="V4669">
        <v>22.543700000000001</v>
      </c>
    </row>
    <row r="4670" spans="1:22" x14ac:dyDescent="0.35">
      <c r="A4670" s="3">
        <v>43937</v>
      </c>
      <c r="B4670" t="s">
        <v>51</v>
      </c>
      <c r="C4670">
        <v>33.049999999999997</v>
      </c>
      <c r="D4670">
        <v>33.950000000000003</v>
      </c>
      <c r="E4670">
        <v>32.4</v>
      </c>
      <c r="F4670">
        <v>32.43</v>
      </c>
      <c r="G4670">
        <v>33.075000000000003</v>
      </c>
      <c r="H4670">
        <v>0</v>
      </c>
      <c r="I4670">
        <v>8335</v>
      </c>
      <c r="J4670">
        <v>0</v>
      </c>
      <c r="K4670">
        <v>26045</v>
      </c>
      <c r="L4670">
        <v>68</v>
      </c>
      <c r="M4670">
        <v>97</v>
      </c>
      <c r="N4670" t="s">
        <v>51</v>
      </c>
      <c r="O4670" s="3">
        <v>44034</v>
      </c>
      <c r="P4670">
        <v>-1</v>
      </c>
      <c r="S4670" s="3">
        <v>44538</v>
      </c>
      <c r="T4670" t="s">
        <v>33</v>
      </c>
      <c r="U4670">
        <v>28</v>
      </c>
      <c r="V4670">
        <v>23.019200000000001</v>
      </c>
    </row>
    <row r="4671" spans="1:22" x14ac:dyDescent="0.35">
      <c r="A4671" s="3">
        <v>43937</v>
      </c>
      <c r="B4671" t="s">
        <v>48</v>
      </c>
      <c r="C4671">
        <v>31.69</v>
      </c>
      <c r="D4671">
        <v>31.9</v>
      </c>
      <c r="E4671">
        <v>30.5</v>
      </c>
      <c r="F4671">
        <v>31.3</v>
      </c>
      <c r="G4671">
        <v>31.725000000000001</v>
      </c>
      <c r="H4671">
        <v>0.4</v>
      </c>
      <c r="I4671">
        <v>1592</v>
      </c>
      <c r="J4671">
        <v>0</v>
      </c>
      <c r="K4671">
        <v>14271</v>
      </c>
      <c r="L4671">
        <v>132</v>
      </c>
      <c r="M4671">
        <v>188</v>
      </c>
      <c r="N4671" t="s">
        <v>48</v>
      </c>
      <c r="O4671" s="3">
        <v>44125</v>
      </c>
      <c r="P4671">
        <v>-1</v>
      </c>
      <c r="T4671" t="s">
        <v>32</v>
      </c>
      <c r="U4671">
        <v>48</v>
      </c>
      <c r="V4671">
        <v>24.0745</v>
      </c>
    </row>
    <row r="4672" spans="1:22" x14ac:dyDescent="0.35">
      <c r="A4672" s="3">
        <v>43937</v>
      </c>
      <c r="B4672" t="s">
        <v>53</v>
      </c>
      <c r="C4672">
        <v>36.6</v>
      </c>
      <c r="D4672">
        <v>38</v>
      </c>
      <c r="E4672">
        <v>35.6</v>
      </c>
      <c r="F4672">
        <v>35.6</v>
      </c>
      <c r="G4672">
        <v>36.524999999999999</v>
      </c>
      <c r="H4672">
        <v>-0.05</v>
      </c>
      <c r="I4672">
        <v>44431</v>
      </c>
      <c r="J4672">
        <v>0</v>
      </c>
      <c r="K4672">
        <v>105739</v>
      </c>
      <c r="L4672">
        <v>24</v>
      </c>
      <c r="M4672">
        <v>34</v>
      </c>
      <c r="N4672" t="s">
        <v>53</v>
      </c>
      <c r="O4672" s="3">
        <v>43971</v>
      </c>
      <c r="P4672">
        <v>-1</v>
      </c>
      <c r="T4672" t="s">
        <v>31</v>
      </c>
      <c r="U4672">
        <v>66</v>
      </c>
      <c r="V4672">
        <v>24.890999999999998</v>
      </c>
    </row>
    <row r="4673" spans="1:22" x14ac:dyDescent="0.35">
      <c r="A4673" s="3">
        <v>43937</v>
      </c>
      <c r="B4673" t="s">
        <v>50</v>
      </c>
      <c r="C4673">
        <v>31.65</v>
      </c>
      <c r="D4673">
        <v>32.299999999999997</v>
      </c>
      <c r="E4673">
        <v>31.02</v>
      </c>
      <c r="F4673">
        <v>31.25</v>
      </c>
      <c r="G4673">
        <v>31.85</v>
      </c>
      <c r="H4673">
        <v>0.27500000000000002</v>
      </c>
      <c r="I4673">
        <v>4247</v>
      </c>
      <c r="J4673">
        <v>0</v>
      </c>
      <c r="K4673">
        <v>14246</v>
      </c>
      <c r="L4673">
        <v>88</v>
      </c>
      <c r="M4673">
        <v>125</v>
      </c>
      <c r="N4673" t="s">
        <v>50</v>
      </c>
      <c r="O4673" s="3">
        <v>44062</v>
      </c>
      <c r="P4673">
        <v>-1</v>
      </c>
      <c r="T4673" t="s">
        <v>30</v>
      </c>
      <c r="U4673">
        <v>92</v>
      </c>
      <c r="V4673">
        <v>25.5017</v>
      </c>
    </row>
    <row r="4674" spans="1:22" x14ac:dyDescent="0.35">
      <c r="A4674" s="3">
        <v>43937</v>
      </c>
      <c r="B4674" t="s">
        <v>47</v>
      </c>
      <c r="C4674">
        <v>29.97</v>
      </c>
      <c r="D4674">
        <v>30.1</v>
      </c>
      <c r="E4674">
        <v>28.7</v>
      </c>
      <c r="F4674">
        <v>29.77</v>
      </c>
      <c r="G4674">
        <v>29.9</v>
      </c>
      <c r="H4674">
        <v>0.3</v>
      </c>
      <c r="I4674">
        <v>754</v>
      </c>
      <c r="J4674">
        <v>0</v>
      </c>
      <c r="K4674">
        <v>8021</v>
      </c>
      <c r="L4674">
        <v>152</v>
      </c>
      <c r="M4674">
        <v>216</v>
      </c>
      <c r="N4674" t="s">
        <v>47</v>
      </c>
      <c r="O4674" s="3">
        <v>44153</v>
      </c>
      <c r="P4674">
        <v>-1</v>
      </c>
      <c r="T4674" t="s">
        <v>29</v>
      </c>
      <c r="U4674">
        <v>112</v>
      </c>
      <c r="V4674">
        <v>25.665500000000002</v>
      </c>
    </row>
    <row r="4675" spans="1:22" x14ac:dyDescent="0.35">
      <c r="A4675" s="3">
        <v>43937</v>
      </c>
      <c r="B4675" t="s">
        <v>52</v>
      </c>
      <c r="C4675">
        <v>34.6</v>
      </c>
      <c r="D4675">
        <v>35.700000000000003</v>
      </c>
      <c r="E4675">
        <v>33.65</v>
      </c>
      <c r="F4675">
        <v>33.65</v>
      </c>
      <c r="G4675">
        <v>34.424999999999997</v>
      </c>
      <c r="H4675">
        <v>-0.15</v>
      </c>
      <c r="I4675">
        <v>28030</v>
      </c>
      <c r="J4675">
        <v>0</v>
      </c>
      <c r="K4675">
        <v>28997</v>
      </c>
      <c r="L4675">
        <v>43</v>
      </c>
      <c r="M4675">
        <v>62</v>
      </c>
      <c r="N4675" t="s">
        <v>52</v>
      </c>
      <c r="O4675" s="3">
        <v>43999</v>
      </c>
      <c r="P4675">
        <v>-1</v>
      </c>
      <c r="T4675" t="s">
        <v>28</v>
      </c>
      <c r="U4675">
        <v>131</v>
      </c>
      <c r="V4675">
        <v>25.75</v>
      </c>
    </row>
    <row r="4676" spans="1:22" x14ac:dyDescent="0.35">
      <c r="A4676" s="3">
        <v>43937</v>
      </c>
      <c r="B4676" t="s">
        <v>49</v>
      </c>
      <c r="C4676">
        <v>31</v>
      </c>
      <c r="D4676">
        <v>31.42</v>
      </c>
      <c r="E4676">
        <v>30.1</v>
      </c>
      <c r="F4676">
        <v>30.69</v>
      </c>
      <c r="G4676">
        <v>31.125</v>
      </c>
      <c r="H4676">
        <v>0.27500000000000002</v>
      </c>
      <c r="I4676">
        <v>1645</v>
      </c>
      <c r="J4676">
        <v>0</v>
      </c>
      <c r="K4676">
        <v>14661</v>
      </c>
      <c r="L4676">
        <v>107</v>
      </c>
      <c r="M4676">
        <v>153</v>
      </c>
      <c r="N4676" t="s">
        <v>49</v>
      </c>
      <c r="O4676" s="3">
        <v>44090</v>
      </c>
      <c r="P4676">
        <v>-1</v>
      </c>
      <c r="T4676" t="s">
        <v>22</v>
      </c>
      <c r="U4676">
        <v>155</v>
      </c>
      <c r="V4676">
        <v>25.9</v>
      </c>
    </row>
    <row r="4677" spans="1:22" x14ac:dyDescent="0.35">
      <c r="A4677" s="3">
        <v>43936</v>
      </c>
      <c r="B4677" t="s">
        <v>51</v>
      </c>
      <c r="C4677">
        <v>31</v>
      </c>
      <c r="D4677">
        <v>33.15</v>
      </c>
      <c r="E4677">
        <v>30.95</v>
      </c>
      <c r="F4677">
        <v>33.119999999999997</v>
      </c>
      <c r="G4677">
        <v>33.075000000000003</v>
      </c>
      <c r="H4677">
        <v>2.0499999999999998</v>
      </c>
      <c r="I4677">
        <v>8480</v>
      </c>
      <c r="J4677">
        <v>0</v>
      </c>
      <c r="K4677">
        <v>26496</v>
      </c>
      <c r="L4677">
        <v>69</v>
      </c>
      <c r="M4677">
        <v>98</v>
      </c>
      <c r="N4677" t="s">
        <v>51</v>
      </c>
      <c r="O4677" s="3">
        <v>44034</v>
      </c>
      <c r="P4677">
        <v>-1</v>
      </c>
      <c r="T4677" t="s">
        <v>26</v>
      </c>
      <c r="U4677">
        <v>175</v>
      </c>
      <c r="V4677">
        <v>25.725000000000001</v>
      </c>
    </row>
    <row r="4678" spans="1:22" x14ac:dyDescent="0.35">
      <c r="A4678" s="3">
        <v>43936</v>
      </c>
      <c r="B4678" t="s">
        <v>48</v>
      </c>
      <c r="C4678">
        <v>29.89</v>
      </c>
      <c r="D4678">
        <v>31.45</v>
      </c>
      <c r="E4678">
        <v>29.6</v>
      </c>
      <c r="F4678">
        <v>31.45</v>
      </c>
      <c r="G4678">
        <v>31.324999999999999</v>
      </c>
      <c r="H4678">
        <v>1.45</v>
      </c>
      <c r="I4678">
        <v>2790</v>
      </c>
      <c r="J4678">
        <v>0</v>
      </c>
      <c r="K4678">
        <v>14163</v>
      </c>
      <c r="L4678">
        <v>133</v>
      </c>
      <c r="M4678">
        <v>189</v>
      </c>
      <c r="N4678" t="s">
        <v>48</v>
      </c>
      <c r="O4678" s="3">
        <v>44125</v>
      </c>
      <c r="P4678">
        <v>-1</v>
      </c>
      <c r="T4678" t="s">
        <v>34</v>
      </c>
      <c r="U4678">
        <v>10</v>
      </c>
      <c r="V4678">
        <v>20.826699999999999</v>
      </c>
    </row>
    <row r="4679" spans="1:22" x14ac:dyDescent="0.35">
      <c r="A4679" s="3">
        <v>43936</v>
      </c>
      <c r="B4679" t="s">
        <v>53</v>
      </c>
      <c r="C4679">
        <v>33.22</v>
      </c>
      <c r="D4679">
        <v>37.1</v>
      </c>
      <c r="E4679">
        <v>33.1</v>
      </c>
      <c r="F4679">
        <v>36.6</v>
      </c>
      <c r="G4679">
        <v>36.575000000000003</v>
      </c>
      <c r="H4679">
        <v>3.6</v>
      </c>
      <c r="I4679">
        <v>60395</v>
      </c>
      <c r="J4679">
        <v>175</v>
      </c>
      <c r="K4679">
        <v>109719</v>
      </c>
      <c r="L4679">
        <v>25</v>
      </c>
      <c r="M4679">
        <v>35</v>
      </c>
      <c r="N4679" t="s">
        <v>53</v>
      </c>
      <c r="O4679" s="3">
        <v>43971</v>
      </c>
      <c r="P4679">
        <v>-1</v>
      </c>
      <c r="S4679" s="3">
        <v>44539</v>
      </c>
      <c r="T4679" t="s">
        <v>33</v>
      </c>
      <c r="U4679">
        <v>27</v>
      </c>
      <c r="V4679">
        <v>23.5593</v>
      </c>
    </row>
    <row r="4680" spans="1:22" x14ac:dyDescent="0.35">
      <c r="A4680" s="3">
        <v>43936</v>
      </c>
      <c r="B4680" t="s">
        <v>50</v>
      </c>
      <c r="C4680">
        <v>29.91</v>
      </c>
      <c r="D4680">
        <v>31.7</v>
      </c>
      <c r="E4680">
        <v>29.85</v>
      </c>
      <c r="F4680">
        <v>31.7</v>
      </c>
      <c r="G4680">
        <v>31.574999999999999</v>
      </c>
      <c r="H4680">
        <v>1.65</v>
      </c>
      <c r="I4680">
        <v>5612</v>
      </c>
      <c r="J4680">
        <v>0</v>
      </c>
      <c r="K4680">
        <v>14539</v>
      </c>
      <c r="L4680">
        <v>89</v>
      </c>
      <c r="M4680">
        <v>126</v>
      </c>
      <c r="N4680" t="s">
        <v>50</v>
      </c>
      <c r="O4680" s="3">
        <v>44062</v>
      </c>
      <c r="P4680">
        <v>-1</v>
      </c>
      <c r="T4680" t="s">
        <v>32</v>
      </c>
      <c r="U4680">
        <v>47</v>
      </c>
      <c r="V4680">
        <v>24.352599999999999</v>
      </c>
    </row>
    <row r="4681" spans="1:22" x14ac:dyDescent="0.35">
      <c r="A4681" s="3">
        <v>43936</v>
      </c>
      <c r="B4681" t="s">
        <v>47</v>
      </c>
      <c r="C4681">
        <v>28.41</v>
      </c>
      <c r="D4681">
        <v>29.7</v>
      </c>
      <c r="E4681">
        <v>28</v>
      </c>
      <c r="F4681">
        <v>29.7</v>
      </c>
      <c r="G4681">
        <v>29.6</v>
      </c>
      <c r="H4681">
        <v>1.25</v>
      </c>
      <c r="I4681">
        <v>955</v>
      </c>
      <c r="J4681">
        <v>0</v>
      </c>
      <c r="K4681">
        <v>7831</v>
      </c>
      <c r="L4681">
        <v>153</v>
      </c>
      <c r="M4681">
        <v>217</v>
      </c>
      <c r="N4681" t="s">
        <v>47</v>
      </c>
      <c r="O4681" s="3">
        <v>44153</v>
      </c>
      <c r="P4681">
        <v>-1</v>
      </c>
      <c r="T4681" t="s">
        <v>31</v>
      </c>
      <c r="U4681">
        <v>65</v>
      </c>
      <c r="V4681">
        <v>25.104199999999999</v>
      </c>
    </row>
    <row r="4682" spans="1:22" x14ac:dyDescent="0.35">
      <c r="A4682" s="3">
        <v>43936</v>
      </c>
      <c r="B4682" t="s">
        <v>52</v>
      </c>
      <c r="C4682">
        <v>32.1</v>
      </c>
      <c r="D4682">
        <v>34.96</v>
      </c>
      <c r="E4682">
        <v>32.049999999999997</v>
      </c>
      <c r="F4682">
        <v>34.67</v>
      </c>
      <c r="G4682">
        <v>34.575000000000003</v>
      </c>
      <c r="H4682">
        <v>2.5249999999999999</v>
      </c>
      <c r="I4682">
        <v>27035</v>
      </c>
      <c r="J4682">
        <v>0</v>
      </c>
      <c r="K4682">
        <v>27624</v>
      </c>
      <c r="L4682">
        <v>44</v>
      </c>
      <c r="M4682">
        <v>63</v>
      </c>
      <c r="N4682" t="s">
        <v>52</v>
      </c>
      <c r="O4682" s="3">
        <v>43999</v>
      </c>
      <c r="P4682">
        <v>-1</v>
      </c>
      <c r="T4682" t="s">
        <v>30</v>
      </c>
      <c r="U4682">
        <v>91</v>
      </c>
      <c r="V4682">
        <v>25.6935</v>
      </c>
    </row>
    <row r="4683" spans="1:22" x14ac:dyDescent="0.35">
      <c r="A4683" s="3">
        <v>43936</v>
      </c>
      <c r="B4683" t="s">
        <v>49</v>
      </c>
      <c r="C4683">
        <v>29.33</v>
      </c>
      <c r="D4683">
        <v>30.97</v>
      </c>
      <c r="E4683">
        <v>29.2</v>
      </c>
      <c r="F4683">
        <v>30.95</v>
      </c>
      <c r="G4683">
        <v>30.85</v>
      </c>
      <c r="H4683">
        <v>1.5</v>
      </c>
      <c r="I4683">
        <v>3009</v>
      </c>
      <c r="J4683">
        <v>0</v>
      </c>
      <c r="K4683">
        <v>14696</v>
      </c>
      <c r="L4683">
        <v>108</v>
      </c>
      <c r="M4683">
        <v>154</v>
      </c>
      <c r="N4683" t="s">
        <v>49</v>
      </c>
      <c r="O4683" s="3">
        <v>44090</v>
      </c>
      <c r="P4683">
        <v>-1</v>
      </c>
      <c r="T4683" t="s">
        <v>29</v>
      </c>
      <c r="U4683">
        <v>111</v>
      </c>
      <c r="V4683">
        <v>25.878399999999999</v>
      </c>
    </row>
    <row r="4684" spans="1:22" x14ac:dyDescent="0.35">
      <c r="A4684" s="3">
        <v>43936</v>
      </c>
      <c r="B4684" t="s">
        <v>46</v>
      </c>
      <c r="C4684">
        <v>28.3</v>
      </c>
      <c r="D4684">
        <v>28.6</v>
      </c>
      <c r="E4684">
        <v>28.05</v>
      </c>
      <c r="F4684">
        <v>28.5</v>
      </c>
      <c r="G4684">
        <v>28.55</v>
      </c>
      <c r="H4684">
        <v>0.9</v>
      </c>
      <c r="I4684">
        <v>27</v>
      </c>
      <c r="J4684">
        <v>0</v>
      </c>
      <c r="K4684">
        <v>24</v>
      </c>
      <c r="L4684">
        <v>172</v>
      </c>
      <c r="M4684">
        <v>245</v>
      </c>
      <c r="N4684" t="s">
        <v>46</v>
      </c>
      <c r="O4684" s="3">
        <v>44181</v>
      </c>
      <c r="P4684">
        <v>-1</v>
      </c>
      <c r="T4684" t="s">
        <v>28</v>
      </c>
      <c r="U4684">
        <v>130</v>
      </c>
      <c r="V4684">
        <v>25.961099999999998</v>
      </c>
    </row>
    <row r="4685" spans="1:22" x14ac:dyDescent="0.35">
      <c r="A4685" s="3">
        <v>43936</v>
      </c>
      <c r="B4685" t="s">
        <v>54</v>
      </c>
      <c r="C4685">
        <v>38.299999999999997</v>
      </c>
      <c r="D4685">
        <v>42.45</v>
      </c>
      <c r="E4685">
        <v>38</v>
      </c>
      <c r="F4685">
        <v>42.4</v>
      </c>
      <c r="G4685">
        <v>42.51</v>
      </c>
      <c r="H4685">
        <v>4.6349999999999998</v>
      </c>
      <c r="I4685">
        <v>943</v>
      </c>
      <c r="J4685">
        <v>0</v>
      </c>
      <c r="K4685">
        <v>37451</v>
      </c>
      <c r="L4685">
        <v>0</v>
      </c>
      <c r="M4685">
        <v>0</v>
      </c>
      <c r="N4685" t="s">
        <v>54</v>
      </c>
      <c r="O4685" s="3">
        <v>43936</v>
      </c>
      <c r="P4685">
        <v>-1</v>
      </c>
      <c r="T4685" t="s">
        <v>22</v>
      </c>
      <c r="U4685">
        <v>154</v>
      </c>
      <c r="V4685">
        <v>26.15</v>
      </c>
    </row>
    <row r="4686" spans="1:22" x14ac:dyDescent="0.35">
      <c r="A4686" s="3">
        <v>43935</v>
      </c>
      <c r="B4686" t="s">
        <v>46</v>
      </c>
      <c r="C4686">
        <v>27.65</v>
      </c>
      <c r="D4686">
        <v>27.65</v>
      </c>
      <c r="E4686">
        <v>27.59</v>
      </c>
      <c r="F4686">
        <v>27.59</v>
      </c>
      <c r="G4686">
        <v>27.65</v>
      </c>
      <c r="H4686">
        <v>-0.27500000000000002</v>
      </c>
      <c r="I4686">
        <v>2</v>
      </c>
      <c r="J4686">
        <v>0</v>
      </c>
      <c r="K4686">
        <v>3</v>
      </c>
      <c r="L4686">
        <v>173</v>
      </c>
      <c r="M4686">
        <v>246</v>
      </c>
      <c r="N4686" t="s">
        <v>46</v>
      </c>
      <c r="O4686" s="3">
        <v>44181</v>
      </c>
      <c r="P4686">
        <v>-1</v>
      </c>
      <c r="T4686" t="s">
        <v>26</v>
      </c>
      <c r="U4686">
        <v>174</v>
      </c>
      <c r="V4686">
        <v>25.9</v>
      </c>
    </row>
    <row r="4687" spans="1:22" x14ac:dyDescent="0.35">
      <c r="A4687" s="3">
        <v>43935</v>
      </c>
      <c r="B4687" t="s">
        <v>54</v>
      </c>
      <c r="C4687">
        <v>40.799999999999997</v>
      </c>
      <c r="D4687">
        <v>41.15</v>
      </c>
      <c r="E4687">
        <v>37.1</v>
      </c>
      <c r="F4687">
        <v>37.93</v>
      </c>
      <c r="G4687">
        <v>37.875</v>
      </c>
      <c r="H4687">
        <v>-2.7</v>
      </c>
      <c r="I4687">
        <v>34835</v>
      </c>
      <c r="J4687">
        <v>0</v>
      </c>
      <c r="K4687">
        <v>43609</v>
      </c>
      <c r="L4687">
        <v>1</v>
      </c>
      <c r="M4687">
        <v>1</v>
      </c>
      <c r="N4687" t="s">
        <v>54</v>
      </c>
      <c r="O4687" s="3">
        <v>43936</v>
      </c>
      <c r="P4687">
        <v>-1</v>
      </c>
      <c r="T4687" t="s">
        <v>34</v>
      </c>
      <c r="U4687">
        <v>9</v>
      </c>
      <c r="V4687">
        <v>21.5672</v>
      </c>
    </row>
    <row r="4688" spans="1:22" x14ac:dyDescent="0.35">
      <c r="A4688" s="3">
        <v>43935</v>
      </c>
      <c r="B4688" t="s">
        <v>51</v>
      </c>
      <c r="C4688">
        <v>32.200000000000003</v>
      </c>
      <c r="D4688">
        <v>32.299999999999997</v>
      </c>
      <c r="E4688">
        <v>30.82</v>
      </c>
      <c r="F4688">
        <v>31</v>
      </c>
      <c r="G4688">
        <v>31.024999999999999</v>
      </c>
      <c r="H4688">
        <v>-1.075</v>
      </c>
      <c r="I4688">
        <v>8435</v>
      </c>
      <c r="J4688">
        <v>0</v>
      </c>
      <c r="K4688">
        <v>25669</v>
      </c>
      <c r="L4688">
        <v>70</v>
      </c>
      <c r="M4688">
        <v>99</v>
      </c>
      <c r="N4688" t="s">
        <v>51</v>
      </c>
      <c r="O4688" s="3">
        <v>44034</v>
      </c>
      <c r="P4688">
        <v>-1</v>
      </c>
      <c r="S4688" s="3">
        <v>44540</v>
      </c>
      <c r="T4688" t="s">
        <v>33</v>
      </c>
      <c r="U4688">
        <v>26</v>
      </c>
      <c r="V4688">
        <v>22.266200000000001</v>
      </c>
    </row>
    <row r="4689" spans="1:22" x14ac:dyDescent="0.35">
      <c r="A4689" s="3">
        <v>43935</v>
      </c>
      <c r="B4689" t="s">
        <v>48</v>
      </c>
      <c r="C4689">
        <v>30.3</v>
      </c>
      <c r="D4689">
        <v>30.3</v>
      </c>
      <c r="E4689">
        <v>29.43</v>
      </c>
      <c r="F4689">
        <v>29.95</v>
      </c>
      <c r="G4689">
        <v>29.875</v>
      </c>
      <c r="H4689">
        <v>-0.25</v>
      </c>
      <c r="I4689">
        <v>2680</v>
      </c>
      <c r="J4689">
        <v>0</v>
      </c>
      <c r="K4689">
        <v>14090</v>
      </c>
      <c r="L4689">
        <v>134</v>
      </c>
      <c r="M4689">
        <v>190</v>
      </c>
      <c r="N4689" t="s">
        <v>48</v>
      </c>
      <c r="O4689" s="3">
        <v>44125</v>
      </c>
      <c r="P4689">
        <v>-1</v>
      </c>
      <c r="T4689" t="s">
        <v>32</v>
      </c>
      <c r="U4689">
        <v>46</v>
      </c>
      <c r="V4689">
        <v>23.507999999999999</v>
      </c>
    </row>
    <row r="4690" spans="1:22" x14ac:dyDescent="0.35">
      <c r="A4690" s="3">
        <v>43935</v>
      </c>
      <c r="B4690" t="s">
        <v>53</v>
      </c>
      <c r="C4690">
        <v>36.200000000000003</v>
      </c>
      <c r="D4690">
        <v>36.450000000000003</v>
      </c>
      <c r="E4690">
        <v>32.99</v>
      </c>
      <c r="F4690">
        <v>33.200000000000003</v>
      </c>
      <c r="G4690">
        <v>32.975000000000001</v>
      </c>
      <c r="H4690">
        <v>-3.15</v>
      </c>
      <c r="I4690">
        <v>61471</v>
      </c>
      <c r="J4690">
        <v>0</v>
      </c>
      <c r="K4690">
        <v>107907</v>
      </c>
      <c r="L4690">
        <v>26</v>
      </c>
      <c r="M4690">
        <v>36</v>
      </c>
      <c r="N4690" t="s">
        <v>53</v>
      </c>
      <c r="O4690" s="3">
        <v>43971</v>
      </c>
      <c r="P4690">
        <v>-1</v>
      </c>
      <c r="T4690" t="s">
        <v>31</v>
      </c>
      <c r="U4690">
        <v>64</v>
      </c>
      <c r="V4690">
        <v>24.450199999999999</v>
      </c>
    </row>
    <row r="4691" spans="1:22" x14ac:dyDescent="0.35">
      <c r="A4691" s="3">
        <v>43935</v>
      </c>
      <c r="B4691" t="s">
        <v>50</v>
      </c>
      <c r="C4691">
        <v>30.9</v>
      </c>
      <c r="D4691">
        <v>31</v>
      </c>
      <c r="E4691">
        <v>29.75</v>
      </c>
      <c r="F4691">
        <v>29.9</v>
      </c>
      <c r="G4691">
        <v>29.925000000000001</v>
      </c>
      <c r="H4691">
        <v>-0.875</v>
      </c>
      <c r="I4691">
        <v>4372</v>
      </c>
      <c r="J4691">
        <v>0</v>
      </c>
      <c r="K4691">
        <v>13208</v>
      </c>
      <c r="L4691">
        <v>90</v>
      </c>
      <c r="M4691">
        <v>127</v>
      </c>
      <c r="N4691" t="s">
        <v>50</v>
      </c>
      <c r="O4691" s="3">
        <v>44062</v>
      </c>
      <c r="P4691">
        <v>-1</v>
      </c>
      <c r="T4691" t="s">
        <v>30</v>
      </c>
      <c r="U4691">
        <v>90</v>
      </c>
      <c r="V4691">
        <v>25.217600000000001</v>
      </c>
    </row>
    <row r="4692" spans="1:22" x14ac:dyDescent="0.35">
      <c r="A4692" s="3">
        <v>43935</v>
      </c>
      <c r="B4692" t="s">
        <v>47</v>
      </c>
      <c r="C4692">
        <v>28.35</v>
      </c>
      <c r="D4692">
        <v>28.65</v>
      </c>
      <c r="E4692">
        <v>27.9</v>
      </c>
      <c r="F4692">
        <v>28.4</v>
      </c>
      <c r="G4692">
        <v>28.35</v>
      </c>
      <c r="H4692">
        <v>-0.22500000000000001</v>
      </c>
      <c r="I4692">
        <v>1323</v>
      </c>
      <c r="J4692">
        <v>0</v>
      </c>
      <c r="K4692">
        <v>7638</v>
      </c>
      <c r="L4692">
        <v>154</v>
      </c>
      <c r="M4692">
        <v>218</v>
      </c>
      <c r="N4692" t="s">
        <v>47</v>
      </c>
      <c r="O4692" s="3">
        <v>44153</v>
      </c>
      <c r="P4692">
        <v>-1</v>
      </c>
      <c r="T4692" t="s">
        <v>29</v>
      </c>
      <c r="U4692">
        <v>110</v>
      </c>
      <c r="V4692">
        <v>25.4773</v>
      </c>
    </row>
    <row r="4693" spans="1:22" x14ac:dyDescent="0.35">
      <c r="A4693" s="3">
        <v>43935</v>
      </c>
      <c r="B4693" t="s">
        <v>52</v>
      </c>
      <c r="C4693">
        <v>34.049999999999997</v>
      </c>
      <c r="D4693">
        <v>34.1</v>
      </c>
      <c r="E4693">
        <v>31.95</v>
      </c>
      <c r="F4693">
        <v>32.1</v>
      </c>
      <c r="G4693">
        <v>32.049999999999997</v>
      </c>
      <c r="H4693">
        <v>-1.7749999999999999</v>
      </c>
      <c r="I4693">
        <v>16872</v>
      </c>
      <c r="J4693">
        <v>0</v>
      </c>
      <c r="K4693">
        <v>26725</v>
      </c>
      <c r="L4693">
        <v>45</v>
      </c>
      <c r="M4693">
        <v>64</v>
      </c>
      <c r="N4693" t="s">
        <v>52</v>
      </c>
      <c r="O4693" s="3">
        <v>43999</v>
      </c>
      <c r="P4693">
        <v>-1</v>
      </c>
      <c r="T4693" t="s">
        <v>28</v>
      </c>
      <c r="U4693">
        <v>129</v>
      </c>
      <c r="V4693">
        <v>25.568899999999999</v>
      </c>
    </row>
    <row r="4694" spans="1:22" x14ac:dyDescent="0.35">
      <c r="A4694" s="3">
        <v>43935</v>
      </c>
      <c r="B4694" t="s">
        <v>49</v>
      </c>
      <c r="C4694">
        <v>30.11</v>
      </c>
      <c r="D4694">
        <v>30.2</v>
      </c>
      <c r="E4694">
        <v>29.2</v>
      </c>
      <c r="F4694">
        <v>29.32</v>
      </c>
      <c r="G4694">
        <v>29.35</v>
      </c>
      <c r="H4694">
        <v>-0.7</v>
      </c>
      <c r="I4694">
        <v>3578</v>
      </c>
      <c r="J4694">
        <v>0</v>
      </c>
      <c r="K4694">
        <v>14489</v>
      </c>
      <c r="L4694">
        <v>109</v>
      </c>
      <c r="M4694">
        <v>155</v>
      </c>
      <c r="N4694" t="s">
        <v>49</v>
      </c>
      <c r="O4694" s="3">
        <v>44090</v>
      </c>
      <c r="P4694">
        <v>-1</v>
      </c>
      <c r="T4694" t="s">
        <v>22</v>
      </c>
      <c r="U4694">
        <v>153</v>
      </c>
      <c r="V4694">
        <v>25.824999999999999</v>
      </c>
    </row>
    <row r="4695" spans="1:22" x14ac:dyDescent="0.35">
      <c r="A4695" s="3">
        <v>43934</v>
      </c>
      <c r="B4695" t="s">
        <v>51</v>
      </c>
      <c r="C4695">
        <v>32.21</v>
      </c>
      <c r="D4695">
        <v>32.99</v>
      </c>
      <c r="E4695">
        <v>32</v>
      </c>
      <c r="F4695">
        <v>32.17</v>
      </c>
      <c r="G4695">
        <v>32.1</v>
      </c>
      <c r="H4695">
        <v>-0.42499999999999999</v>
      </c>
      <c r="I4695">
        <v>4823</v>
      </c>
      <c r="J4695">
        <v>0</v>
      </c>
      <c r="K4695">
        <v>24544</v>
      </c>
      <c r="L4695">
        <v>71</v>
      </c>
      <c r="M4695">
        <v>100</v>
      </c>
      <c r="N4695" t="s">
        <v>51</v>
      </c>
      <c r="O4695" s="3">
        <v>44034</v>
      </c>
      <c r="P4695">
        <v>-1</v>
      </c>
      <c r="T4695" t="s">
        <v>26</v>
      </c>
      <c r="U4695">
        <v>173</v>
      </c>
      <c r="V4695">
        <v>25.6</v>
      </c>
    </row>
    <row r="4696" spans="1:22" x14ac:dyDescent="0.35">
      <c r="A4696" s="3">
        <v>43934</v>
      </c>
      <c r="B4696" t="s">
        <v>48</v>
      </c>
      <c r="C4696">
        <v>30.55</v>
      </c>
      <c r="D4696">
        <v>30.66</v>
      </c>
      <c r="E4696">
        <v>30.1</v>
      </c>
      <c r="F4696">
        <v>30.18</v>
      </c>
      <c r="G4696">
        <v>30.125</v>
      </c>
      <c r="H4696">
        <v>-0.2</v>
      </c>
      <c r="I4696">
        <v>1286</v>
      </c>
      <c r="J4696">
        <v>0</v>
      </c>
      <c r="K4696">
        <v>13496</v>
      </c>
      <c r="L4696">
        <v>135</v>
      </c>
      <c r="M4696">
        <v>191</v>
      </c>
      <c r="N4696" t="s">
        <v>48</v>
      </c>
      <c r="O4696" s="3">
        <v>44125</v>
      </c>
      <c r="P4696">
        <v>-1</v>
      </c>
      <c r="T4696" t="s">
        <v>34</v>
      </c>
      <c r="U4696">
        <v>8</v>
      </c>
      <c r="V4696">
        <v>19.797499999999999</v>
      </c>
    </row>
    <row r="4697" spans="1:22" x14ac:dyDescent="0.35">
      <c r="A4697" s="3">
        <v>43934</v>
      </c>
      <c r="B4697" t="s">
        <v>53</v>
      </c>
      <c r="C4697">
        <v>36.75</v>
      </c>
      <c r="D4697">
        <v>38.4</v>
      </c>
      <c r="E4697">
        <v>36.07</v>
      </c>
      <c r="F4697">
        <v>36.22</v>
      </c>
      <c r="G4697">
        <v>36.125</v>
      </c>
      <c r="H4697">
        <v>-0.8</v>
      </c>
      <c r="I4697">
        <v>37603</v>
      </c>
      <c r="J4697">
        <v>0</v>
      </c>
      <c r="K4697">
        <v>107305</v>
      </c>
      <c r="L4697">
        <v>27</v>
      </c>
      <c r="M4697">
        <v>37</v>
      </c>
      <c r="N4697" t="s">
        <v>53</v>
      </c>
      <c r="O4697" s="3">
        <v>43971</v>
      </c>
      <c r="P4697">
        <v>-1</v>
      </c>
      <c r="S4697" s="3">
        <v>44543</v>
      </c>
      <c r="T4697" t="s">
        <v>33</v>
      </c>
      <c r="U4697">
        <v>25</v>
      </c>
      <c r="V4697">
        <v>23.163399999999999</v>
      </c>
    </row>
    <row r="4698" spans="1:22" x14ac:dyDescent="0.35">
      <c r="A4698" s="3">
        <v>43934</v>
      </c>
      <c r="B4698" t="s">
        <v>50</v>
      </c>
      <c r="C4698">
        <v>30.93</v>
      </c>
      <c r="D4698">
        <v>31.7</v>
      </c>
      <c r="E4698">
        <v>30.75</v>
      </c>
      <c r="F4698">
        <v>30.85</v>
      </c>
      <c r="G4698">
        <v>30.8</v>
      </c>
      <c r="H4698">
        <v>-0.35</v>
      </c>
      <c r="I4698">
        <v>2035</v>
      </c>
      <c r="J4698">
        <v>0</v>
      </c>
      <c r="K4698">
        <v>12703</v>
      </c>
      <c r="L4698">
        <v>91</v>
      </c>
      <c r="M4698">
        <v>128</v>
      </c>
      <c r="N4698" t="s">
        <v>50</v>
      </c>
      <c r="O4698" s="3">
        <v>44062</v>
      </c>
      <c r="P4698">
        <v>-1</v>
      </c>
      <c r="T4698" t="s">
        <v>32</v>
      </c>
      <c r="U4698">
        <v>45</v>
      </c>
      <c r="V4698">
        <v>24.3443</v>
      </c>
    </row>
    <row r="4699" spans="1:22" x14ac:dyDescent="0.35">
      <c r="A4699" s="3">
        <v>43934</v>
      </c>
      <c r="B4699" t="s">
        <v>47</v>
      </c>
      <c r="C4699">
        <v>28.8</v>
      </c>
      <c r="D4699">
        <v>29.08</v>
      </c>
      <c r="E4699">
        <v>28.6</v>
      </c>
      <c r="F4699">
        <v>28.6</v>
      </c>
      <c r="G4699">
        <v>28.574999999999999</v>
      </c>
      <c r="H4699">
        <v>-0.2</v>
      </c>
      <c r="I4699">
        <v>458</v>
      </c>
      <c r="J4699">
        <v>0</v>
      </c>
      <c r="K4699">
        <v>7145</v>
      </c>
      <c r="L4699">
        <v>155</v>
      </c>
      <c r="M4699">
        <v>219</v>
      </c>
      <c r="N4699" t="s">
        <v>47</v>
      </c>
      <c r="O4699" s="3">
        <v>44153</v>
      </c>
      <c r="P4699">
        <v>-1</v>
      </c>
      <c r="T4699" t="s">
        <v>31</v>
      </c>
      <c r="U4699">
        <v>63</v>
      </c>
      <c r="V4699">
        <v>25.257300000000001</v>
      </c>
    </row>
    <row r="4700" spans="1:22" x14ac:dyDescent="0.35">
      <c r="A4700" s="3">
        <v>43934</v>
      </c>
      <c r="B4700" t="s">
        <v>52</v>
      </c>
      <c r="C4700">
        <v>34.4</v>
      </c>
      <c r="D4700">
        <v>35.520000000000003</v>
      </c>
      <c r="E4700">
        <v>33.840000000000003</v>
      </c>
      <c r="F4700">
        <v>33.950000000000003</v>
      </c>
      <c r="G4700">
        <v>33.825000000000003</v>
      </c>
      <c r="H4700">
        <v>-0.82499999999999996</v>
      </c>
      <c r="I4700">
        <v>9555</v>
      </c>
      <c r="J4700">
        <v>0</v>
      </c>
      <c r="K4700">
        <v>27170</v>
      </c>
      <c r="L4700">
        <v>46</v>
      </c>
      <c r="M4700">
        <v>65</v>
      </c>
      <c r="N4700" t="s">
        <v>52</v>
      </c>
      <c r="O4700" s="3">
        <v>43999</v>
      </c>
      <c r="P4700">
        <v>-1</v>
      </c>
      <c r="T4700" t="s">
        <v>30</v>
      </c>
      <c r="U4700">
        <v>89</v>
      </c>
      <c r="V4700">
        <v>25.962199999999999</v>
      </c>
    </row>
    <row r="4701" spans="1:22" x14ac:dyDescent="0.35">
      <c r="A4701" s="3">
        <v>43934</v>
      </c>
      <c r="B4701" t="s">
        <v>49</v>
      </c>
      <c r="C4701">
        <v>30.46</v>
      </c>
      <c r="D4701">
        <v>30.7</v>
      </c>
      <c r="E4701">
        <v>30</v>
      </c>
      <c r="F4701">
        <v>30.1</v>
      </c>
      <c r="G4701">
        <v>30.05</v>
      </c>
      <c r="H4701">
        <v>-0.32500000000000001</v>
      </c>
      <c r="I4701">
        <v>1454</v>
      </c>
      <c r="J4701">
        <v>0</v>
      </c>
      <c r="K4701">
        <v>14009</v>
      </c>
      <c r="L4701">
        <v>110</v>
      </c>
      <c r="M4701">
        <v>156</v>
      </c>
      <c r="N4701" t="s">
        <v>49</v>
      </c>
      <c r="O4701" s="3">
        <v>44090</v>
      </c>
      <c r="P4701">
        <v>-1</v>
      </c>
      <c r="T4701" t="s">
        <v>29</v>
      </c>
      <c r="U4701">
        <v>109</v>
      </c>
      <c r="V4701">
        <v>26.207799999999999</v>
      </c>
    </row>
    <row r="4702" spans="1:22" x14ac:dyDescent="0.35">
      <c r="A4702" s="3">
        <v>43934</v>
      </c>
      <c r="B4702" t="s">
        <v>54</v>
      </c>
      <c r="C4702">
        <v>41.05</v>
      </c>
      <c r="D4702">
        <v>43.65</v>
      </c>
      <c r="E4702">
        <v>40.549999999999997</v>
      </c>
      <c r="F4702">
        <v>40.799999999999997</v>
      </c>
      <c r="G4702">
        <v>40.575000000000003</v>
      </c>
      <c r="H4702">
        <v>-0.7</v>
      </c>
      <c r="I4702">
        <v>26754</v>
      </c>
      <c r="J4702">
        <v>0</v>
      </c>
      <c r="K4702">
        <v>49779</v>
      </c>
      <c r="L4702">
        <v>2</v>
      </c>
      <c r="M4702">
        <v>2</v>
      </c>
      <c r="N4702" t="s">
        <v>54</v>
      </c>
      <c r="O4702" s="3">
        <v>43936</v>
      </c>
      <c r="P4702">
        <v>-1</v>
      </c>
      <c r="T4702" t="s">
        <v>28</v>
      </c>
      <c r="U4702">
        <v>128</v>
      </c>
      <c r="V4702">
        <v>26.25</v>
      </c>
    </row>
    <row r="4703" spans="1:22" x14ac:dyDescent="0.35">
      <c r="A4703" s="3">
        <v>43930</v>
      </c>
      <c r="B4703" t="s">
        <v>54</v>
      </c>
      <c r="C4703">
        <v>42.6</v>
      </c>
      <c r="D4703">
        <v>43.85</v>
      </c>
      <c r="E4703">
        <v>41.1</v>
      </c>
      <c r="F4703">
        <v>41.1</v>
      </c>
      <c r="G4703">
        <v>41.274999999999999</v>
      </c>
      <c r="H4703">
        <v>-1.1000000000000001</v>
      </c>
      <c r="I4703">
        <v>47460</v>
      </c>
      <c r="J4703">
        <v>39</v>
      </c>
      <c r="K4703">
        <v>54417</v>
      </c>
      <c r="L4703">
        <v>4</v>
      </c>
      <c r="M4703">
        <v>6</v>
      </c>
      <c r="N4703" t="s">
        <v>54</v>
      </c>
      <c r="O4703" s="3">
        <v>43936</v>
      </c>
      <c r="P4703">
        <v>-1</v>
      </c>
      <c r="T4703" t="s">
        <v>22</v>
      </c>
      <c r="U4703">
        <v>152</v>
      </c>
      <c r="V4703">
        <v>26.4</v>
      </c>
    </row>
    <row r="4704" spans="1:22" x14ac:dyDescent="0.35">
      <c r="A4704" s="3">
        <v>43930</v>
      </c>
      <c r="B4704" t="s">
        <v>51</v>
      </c>
      <c r="C4704">
        <v>33.5</v>
      </c>
      <c r="D4704">
        <v>34</v>
      </c>
      <c r="E4704">
        <v>32.43</v>
      </c>
      <c r="F4704">
        <v>32.43</v>
      </c>
      <c r="G4704">
        <v>32.524999999999999</v>
      </c>
      <c r="H4704">
        <v>-1.0249999999999999</v>
      </c>
      <c r="I4704">
        <v>3680</v>
      </c>
      <c r="J4704">
        <v>0</v>
      </c>
      <c r="K4704">
        <v>24161</v>
      </c>
      <c r="L4704">
        <v>73</v>
      </c>
      <c r="M4704">
        <v>104</v>
      </c>
      <c r="N4704" t="s">
        <v>51</v>
      </c>
      <c r="O4704" s="3">
        <v>44034</v>
      </c>
      <c r="P4704">
        <v>-1</v>
      </c>
      <c r="T4704" t="s">
        <v>26</v>
      </c>
      <c r="U4704">
        <v>172</v>
      </c>
      <c r="V4704">
        <v>26.15</v>
      </c>
    </row>
    <row r="4705" spans="1:22" x14ac:dyDescent="0.35">
      <c r="A4705" s="3">
        <v>43930</v>
      </c>
      <c r="B4705" t="s">
        <v>48</v>
      </c>
      <c r="C4705">
        <v>30.92</v>
      </c>
      <c r="D4705">
        <v>31.25</v>
      </c>
      <c r="E4705">
        <v>30.3</v>
      </c>
      <c r="F4705">
        <v>30.3</v>
      </c>
      <c r="G4705">
        <v>30.324999999999999</v>
      </c>
      <c r="H4705">
        <v>-0.6</v>
      </c>
      <c r="I4705">
        <v>1273</v>
      </c>
      <c r="J4705">
        <v>0</v>
      </c>
      <c r="K4705">
        <v>13021</v>
      </c>
      <c r="L4705">
        <v>137</v>
      </c>
      <c r="M4705">
        <v>195</v>
      </c>
      <c r="N4705" t="s">
        <v>48</v>
      </c>
      <c r="O4705" s="3">
        <v>44125</v>
      </c>
      <c r="P4705">
        <v>-1</v>
      </c>
      <c r="T4705" t="s">
        <v>34</v>
      </c>
      <c r="U4705">
        <v>7</v>
      </c>
      <c r="V4705">
        <v>20.584099999999999</v>
      </c>
    </row>
    <row r="4706" spans="1:22" x14ac:dyDescent="0.35">
      <c r="A4706" s="3">
        <v>43930</v>
      </c>
      <c r="B4706" t="s">
        <v>53</v>
      </c>
      <c r="C4706">
        <v>38.35</v>
      </c>
      <c r="D4706">
        <v>39.36</v>
      </c>
      <c r="E4706">
        <v>36.840000000000003</v>
      </c>
      <c r="F4706">
        <v>36.840000000000003</v>
      </c>
      <c r="G4706">
        <v>36.924999999999997</v>
      </c>
      <c r="H4706">
        <v>-1.375</v>
      </c>
      <c r="I4706">
        <v>49262</v>
      </c>
      <c r="J4706">
        <v>211</v>
      </c>
      <c r="K4706">
        <v>100869</v>
      </c>
      <c r="L4706">
        <v>29</v>
      </c>
      <c r="M4706">
        <v>41</v>
      </c>
      <c r="N4706" t="s">
        <v>53</v>
      </c>
      <c r="O4706" s="3">
        <v>43971</v>
      </c>
      <c r="P4706">
        <v>-1</v>
      </c>
      <c r="S4706" s="3">
        <v>44544</v>
      </c>
      <c r="T4706" t="s">
        <v>33</v>
      </c>
      <c r="U4706">
        <v>24</v>
      </c>
      <c r="V4706">
        <v>23.482800000000001</v>
      </c>
    </row>
    <row r="4707" spans="1:22" x14ac:dyDescent="0.35">
      <c r="A4707" s="3">
        <v>43930</v>
      </c>
      <c r="B4707" t="s">
        <v>50</v>
      </c>
      <c r="C4707">
        <v>31.95</v>
      </c>
      <c r="D4707">
        <v>32.4</v>
      </c>
      <c r="E4707">
        <v>31.1</v>
      </c>
      <c r="F4707">
        <v>31.14</v>
      </c>
      <c r="G4707">
        <v>31.15</v>
      </c>
      <c r="H4707">
        <v>-0.82499999999999996</v>
      </c>
      <c r="I4707">
        <v>2210</v>
      </c>
      <c r="J4707">
        <v>0</v>
      </c>
      <c r="K4707">
        <v>13005</v>
      </c>
      <c r="L4707">
        <v>93</v>
      </c>
      <c r="M4707">
        <v>132</v>
      </c>
      <c r="N4707" t="s">
        <v>50</v>
      </c>
      <c r="O4707" s="3">
        <v>44062</v>
      </c>
      <c r="P4707">
        <v>-1</v>
      </c>
      <c r="T4707" t="s">
        <v>32</v>
      </c>
      <c r="U4707">
        <v>44</v>
      </c>
      <c r="V4707">
        <v>24.6311</v>
      </c>
    </row>
    <row r="4708" spans="1:22" x14ac:dyDescent="0.35">
      <c r="A4708" s="3">
        <v>43930</v>
      </c>
      <c r="B4708" t="s">
        <v>47</v>
      </c>
      <c r="C4708">
        <v>29.29</v>
      </c>
      <c r="D4708">
        <v>29.52</v>
      </c>
      <c r="E4708">
        <v>28.75</v>
      </c>
      <c r="F4708">
        <v>28.84</v>
      </c>
      <c r="G4708">
        <v>28.774999999999999</v>
      </c>
      <c r="H4708">
        <v>-0.55000000000000004</v>
      </c>
      <c r="I4708">
        <v>414</v>
      </c>
      <c r="J4708">
        <v>0</v>
      </c>
      <c r="K4708">
        <v>6977</v>
      </c>
      <c r="L4708">
        <v>157</v>
      </c>
      <c r="M4708">
        <v>223</v>
      </c>
      <c r="N4708" t="s">
        <v>47</v>
      </c>
      <c r="O4708" s="3">
        <v>44153</v>
      </c>
      <c r="P4708">
        <v>-1</v>
      </c>
      <c r="T4708" t="s">
        <v>31</v>
      </c>
      <c r="U4708">
        <v>62</v>
      </c>
      <c r="V4708">
        <v>25.5411</v>
      </c>
    </row>
    <row r="4709" spans="1:22" x14ac:dyDescent="0.35">
      <c r="A4709" s="3">
        <v>43930</v>
      </c>
      <c r="B4709" t="s">
        <v>52</v>
      </c>
      <c r="C4709">
        <v>36.1</v>
      </c>
      <c r="D4709">
        <v>36.700000000000003</v>
      </c>
      <c r="E4709">
        <v>34.51</v>
      </c>
      <c r="F4709">
        <v>34.54</v>
      </c>
      <c r="G4709">
        <v>34.65</v>
      </c>
      <c r="H4709">
        <v>-1.425</v>
      </c>
      <c r="I4709">
        <v>15328</v>
      </c>
      <c r="J4709">
        <v>0</v>
      </c>
      <c r="K4709">
        <v>27067</v>
      </c>
      <c r="L4709">
        <v>48</v>
      </c>
      <c r="M4709">
        <v>69</v>
      </c>
      <c r="N4709" t="s">
        <v>52</v>
      </c>
      <c r="O4709" s="3">
        <v>43999</v>
      </c>
      <c r="P4709">
        <v>-1</v>
      </c>
      <c r="T4709" t="s">
        <v>30</v>
      </c>
      <c r="U4709">
        <v>88</v>
      </c>
      <c r="V4709">
        <v>26.1996</v>
      </c>
    </row>
    <row r="4710" spans="1:22" x14ac:dyDescent="0.35">
      <c r="A4710" s="3">
        <v>43930</v>
      </c>
      <c r="B4710" t="s">
        <v>49</v>
      </c>
      <c r="C4710">
        <v>31.19</v>
      </c>
      <c r="D4710">
        <v>31.4</v>
      </c>
      <c r="E4710">
        <v>30.35</v>
      </c>
      <c r="F4710">
        <v>30.37</v>
      </c>
      <c r="G4710">
        <v>30.375</v>
      </c>
      <c r="H4710">
        <v>-0.72499999999999998</v>
      </c>
      <c r="I4710">
        <v>1908</v>
      </c>
      <c r="J4710">
        <v>0</v>
      </c>
      <c r="K4710">
        <v>13958</v>
      </c>
      <c r="L4710">
        <v>112</v>
      </c>
      <c r="M4710">
        <v>160</v>
      </c>
      <c r="N4710" t="s">
        <v>49</v>
      </c>
      <c r="O4710" s="3">
        <v>44090</v>
      </c>
      <c r="P4710">
        <v>-1</v>
      </c>
      <c r="T4710" t="s">
        <v>29</v>
      </c>
      <c r="U4710">
        <v>108</v>
      </c>
      <c r="V4710">
        <v>26.35</v>
      </c>
    </row>
    <row r="4711" spans="1:22" x14ac:dyDescent="0.35">
      <c r="A4711" s="3">
        <v>43929</v>
      </c>
      <c r="B4711" t="s">
        <v>51</v>
      </c>
      <c r="C4711">
        <v>34.020000000000003</v>
      </c>
      <c r="D4711">
        <v>34.299999999999997</v>
      </c>
      <c r="E4711">
        <v>32.9</v>
      </c>
      <c r="F4711">
        <v>33.57</v>
      </c>
      <c r="G4711">
        <v>33.549999999999997</v>
      </c>
      <c r="H4711">
        <v>-0.55000000000000004</v>
      </c>
      <c r="I4711">
        <v>3334</v>
      </c>
      <c r="J4711">
        <v>11</v>
      </c>
      <c r="K4711">
        <v>24292</v>
      </c>
      <c r="L4711">
        <v>74</v>
      </c>
      <c r="M4711">
        <v>105</v>
      </c>
      <c r="N4711" t="s">
        <v>51</v>
      </c>
      <c r="O4711" s="3">
        <v>44034</v>
      </c>
      <c r="P4711">
        <v>-1</v>
      </c>
      <c r="T4711" t="s">
        <v>28</v>
      </c>
      <c r="U4711">
        <v>127</v>
      </c>
      <c r="V4711">
        <v>26.35</v>
      </c>
    </row>
    <row r="4712" spans="1:22" x14ac:dyDescent="0.35">
      <c r="A4712" s="3">
        <v>43929</v>
      </c>
      <c r="B4712" t="s">
        <v>48</v>
      </c>
      <c r="C4712">
        <v>31.52</v>
      </c>
      <c r="D4712">
        <v>31.52</v>
      </c>
      <c r="E4712">
        <v>30.54</v>
      </c>
      <c r="F4712">
        <v>30.85</v>
      </c>
      <c r="G4712">
        <v>30.925000000000001</v>
      </c>
      <c r="H4712">
        <v>-0.45</v>
      </c>
      <c r="I4712">
        <v>1309</v>
      </c>
      <c r="J4712">
        <v>41</v>
      </c>
      <c r="K4712">
        <v>12826</v>
      </c>
      <c r="L4712">
        <v>138</v>
      </c>
      <c r="M4712">
        <v>196</v>
      </c>
      <c r="N4712" t="s">
        <v>48</v>
      </c>
      <c r="O4712" s="3">
        <v>44125</v>
      </c>
      <c r="P4712">
        <v>-1</v>
      </c>
      <c r="T4712" t="s">
        <v>22</v>
      </c>
      <c r="U4712">
        <v>151</v>
      </c>
      <c r="V4712">
        <v>26.5</v>
      </c>
    </row>
    <row r="4713" spans="1:22" x14ac:dyDescent="0.35">
      <c r="A4713" s="3">
        <v>43929</v>
      </c>
      <c r="B4713" t="s">
        <v>53</v>
      </c>
      <c r="C4713">
        <v>39.6</v>
      </c>
      <c r="D4713">
        <v>40.15</v>
      </c>
      <c r="E4713">
        <v>37.71</v>
      </c>
      <c r="F4713">
        <v>38.299999999999997</v>
      </c>
      <c r="G4713">
        <v>38.299999999999997</v>
      </c>
      <c r="H4713">
        <v>-1.375</v>
      </c>
      <c r="I4713">
        <v>37862</v>
      </c>
      <c r="J4713">
        <v>0</v>
      </c>
      <c r="K4713">
        <v>96985</v>
      </c>
      <c r="L4713">
        <v>30</v>
      </c>
      <c r="M4713">
        <v>42</v>
      </c>
      <c r="N4713" t="s">
        <v>53</v>
      </c>
      <c r="O4713" s="3">
        <v>43971</v>
      </c>
      <c r="P4713">
        <v>-1</v>
      </c>
      <c r="T4713" t="s">
        <v>26</v>
      </c>
      <c r="U4713">
        <v>171</v>
      </c>
      <c r="V4713">
        <v>26.15</v>
      </c>
    </row>
    <row r="4714" spans="1:22" x14ac:dyDescent="0.35">
      <c r="A4714" s="3">
        <v>43929</v>
      </c>
      <c r="B4714" t="s">
        <v>50</v>
      </c>
      <c r="C4714">
        <v>32.49</v>
      </c>
      <c r="D4714">
        <v>32.700000000000003</v>
      </c>
      <c r="E4714">
        <v>31.45</v>
      </c>
      <c r="F4714">
        <v>32.020000000000003</v>
      </c>
      <c r="G4714">
        <v>31.975000000000001</v>
      </c>
      <c r="H4714">
        <v>-0.55000000000000004</v>
      </c>
      <c r="I4714">
        <v>1806</v>
      </c>
      <c r="J4714">
        <v>52</v>
      </c>
      <c r="K4714">
        <v>13161</v>
      </c>
      <c r="L4714">
        <v>94</v>
      </c>
      <c r="M4714">
        <v>133</v>
      </c>
      <c r="N4714" t="s">
        <v>50</v>
      </c>
      <c r="O4714" s="3">
        <v>44062</v>
      </c>
      <c r="P4714">
        <v>-1</v>
      </c>
      <c r="T4714" t="s">
        <v>34</v>
      </c>
      <c r="U4714">
        <v>6</v>
      </c>
      <c r="V4714">
        <v>21.285699999999999</v>
      </c>
    </row>
    <row r="4715" spans="1:22" x14ac:dyDescent="0.35">
      <c r="A4715" s="3">
        <v>43929</v>
      </c>
      <c r="B4715" t="s">
        <v>47</v>
      </c>
      <c r="C4715">
        <v>29.74</v>
      </c>
      <c r="D4715">
        <v>29.9</v>
      </c>
      <c r="E4715">
        <v>29</v>
      </c>
      <c r="F4715">
        <v>29.25</v>
      </c>
      <c r="G4715">
        <v>29.324999999999999</v>
      </c>
      <c r="H4715">
        <v>-0.57499999999999996</v>
      </c>
      <c r="I4715">
        <v>759</v>
      </c>
      <c r="J4715">
        <v>0</v>
      </c>
      <c r="K4715">
        <v>6901</v>
      </c>
      <c r="L4715">
        <v>158</v>
      </c>
      <c r="M4715">
        <v>224</v>
      </c>
      <c r="N4715" t="s">
        <v>47</v>
      </c>
      <c r="O4715" s="3">
        <v>44153</v>
      </c>
      <c r="P4715">
        <v>-1</v>
      </c>
      <c r="S4715" s="3">
        <v>44545</v>
      </c>
      <c r="T4715" t="s">
        <v>33</v>
      </c>
      <c r="U4715">
        <v>23</v>
      </c>
      <c r="V4715">
        <v>21.9711</v>
      </c>
    </row>
    <row r="4716" spans="1:22" x14ac:dyDescent="0.35">
      <c r="A4716" s="3">
        <v>43929</v>
      </c>
      <c r="B4716" t="s">
        <v>52</v>
      </c>
      <c r="C4716">
        <v>36.700000000000003</v>
      </c>
      <c r="D4716">
        <v>37.049999999999997</v>
      </c>
      <c r="E4716">
        <v>35.270000000000003</v>
      </c>
      <c r="F4716">
        <v>36.1</v>
      </c>
      <c r="G4716">
        <v>36.075000000000003</v>
      </c>
      <c r="H4716">
        <v>-0.6</v>
      </c>
      <c r="I4716">
        <v>7205</v>
      </c>
      <c r="J4716">
        <v>0</v>
      </c>
      <c r="K4716">
        <v>28190</v>
      </c>
      <c r="L4716">
        <v>49</v>
      </c>
      <c r="M4716">
        <v>70</v>
      </c>
      <c r="N4716" t="s">
        <v>52</v>
      </c>
      <c r="O4716" s="3">
        <v>43999</v>
      </c>
      <c r="P4716">
        <v>-1</v>
      </c>
      <c r="T4716" t="s">
        <v>32</v>
      </c>
      <c r="U4716">
        <v>43</v>
      </c>
      <c r="V4716">
        <v>23.3657</v>
      </c>
    </row>
    <row r="4717" spans="1:22" x14ac:dyDescent="0.35">
      <c r="A4717" s="3">
        <v>43929</v>
      </c>
      <c r="B4717" t="s">
        <v>49</v>
      </c>
      <c r="C4717">
        <v>31.65</v>
      </c>
      <c r="D4717">
        <v>31.75</v>
      </c>
      <c r="E4717">
        <v>30.7</v>
      </c>
      <c r="F4717">
        <v>31.15</v>
      </c>
      <c r="G4717">
        <v>31.1</v>
      </c>
      <c r="H4717">
        <v>-0.55000000000000004</v>
      </c>
      <c r="I4717">
        <v>1569</v>
      </c>
      <c r="J4717">
        <v>52</v>
      </c>
      <c r="K4717">
        <v>13648</v>
      </c>
      <c r="L4717">
        <v>113</v>
      </c>
      <c r="M4717">
        <v>161</v>
      </c>
      <c r="N4717" t="s">
        <v>49</v>
      </c>
      <c r="O4717" s="3">
        <v>44090</v>
      </c>
      <c r="P4717">
        <v>-1</v>
      </c>
      <c r="T4717" t="s">
        <v>31</v>
      </c>
      <c r="U4717">
        <v>61</v>
      </c>
      <c r="V4717">
        <v>24.419899999999998</v>
      </c>
    </row>
    <row r="4718" spans="1:22" x14ac:dyDescent="0.35">
      <c r="A4718" s="3">
        <v>43929</v>
      </c>
      <c r="B4718" t="s">
        <v>54</v>
      </c>
      <c r="C4718">
        <v>44.05</v>
      </c>
      <c r="D4718">
        <v>44.8</v>
      </c>
      <c r="E4718">
        <v>41.49</v>
      </c>
      <c r="F4718">
        <v>42.6</v>
      </c>
      <c r="G4718">
        <v>42.375</v>
      </c>
      <c r="H4718">
        <v>-1.65</v>
      </c>
      <c r="I4718">
        <v>38616</v>
      </c>
      <c r="J4718">
        <v>0</v>
      </c>
      <c r="K4718">
        <v>56213</v>
      </c>
      <c r="L4718">
        <v>5</v>
      </c>
      <c r="M4718">
        <v>7</v>
      </c>
      <c r="N4718" t="s">
        <v>54</v>
      </c>
      <c r="O4718" s="3">
        <v>43936</v>
      </c>
      <c r="P4718">
        <v>-1</v>
      </c>
      <c r="T4718" t="s">
        <v>30</v>
      </c>
      <c r="U4718">
        <v>87</v>
      </c>
      <c r="V4718">
        <v>25.250299999999999</v>
      </c>
    </row>
    <row r="4719" spans="1:22" x14ac:dyDescent="0.35">
      <c r="A4719" s="3">
        <v>43928</v>
      </c>
      <c r="B4719" t="s">
        <v>54</v>
      </c>
      <c r="C4719">
        <v>42.15</v>
      </c>
      <c r="D4719">
        <v>44.37</v>
      </c>
      <c r="E4719">
        <v>40.200000000000003</v>
      </c>
      <c r="F4719">
        <v>44.15</v>
      </c>
      <c r="G4719">
        <v>44.024999999999999</v>
      </c>
      <c r="H4719">
        <v>2.25</v>
      </c>
      <c r="I4719">
        <v>57324</v>
      </c>
      <c r="J4719">
        <v>468</v>
      </c>
      <c r="K4719">
        <v>57909</v>
      </c>
      <c r="L4719">
        <v>6</v>
      </c>
      <c r="M4719">
        <v>8</v>
      </c>
      <c r="N4719" t="s">
        <v>54</v>
      </c>
      <c r="O4719" s="3">
        <v>43936</v>
      </c>
      <c r="P4719">
        <v>-1</v>
      </c>
      <c r="T4719" t="s">
        <v>29</v>
      </c>
      <c r="U4719">
        <v>107</v>
      </c>
      <c r="V4719">
        <v>25.503499999999999</v>
      </c>
    </row>
    <row r="4720" spans="1:22" x14ac:dyDescent="0.35">
      <c r="A4720" s="3">
        <v>43928</v>
      </c>
      <c r="B4720" t="s">
        <v>46</v>
      </c>
      <c r="C4720">
        <v>28.5</v>
      </c>
      <c r="D4720">
        <v>28.5</v>
      </c>
      <c r="E4720">
        <v>28.5</v>
      </c>
      <c r="F4720">
        <v>28.5</v>
      </c>
      <c r="G4720">
        <v>28.3</v>
      </c>
      <c r="H4720">
        <v>-0.7</v>
      </c>
      <c r="I4720">
        <v>1</v>
      </c>
      <c r="J4720">
        <v>0</v>
      </c>
      <c r="K4720">
        <v>3</v>
      </c>
      <c r="L4720">
        <v>178</v>
      </c>
      <c r="M4720">
        <v>253</v>
      </c>
      <c r="N4720" t="s">
        <v>46</v>
      </c>
      <c r="O4720" s="3">
        <v>44181</v>
      </c>
      <c r="P4720">
        <v>-1</v>
      </c>
      <c r="T4720" t="s">
        <v>28</v>
      </c>
      <c r="U4720">
        <v>126</v>
      </c>
      <c r="V4720">
        <v>25.5701</v>
      </c>
    </row>
    <row r="4721" spans="1:22" x14ac:dyDescent="0.35">
      <c r="A4721" s="3">
        <v>43928</v>
      </c>
      <c r="B4721" t="s">
        <v>51</v>
      </c>
      <c r="C4721">
        <v>33.659999999999997</v>
      </c>
      <c r="D4721">
        <v>34.15</v>
      </c>
      <c r="E4721">
        <v>32.31</v>
      </c>
      <c r="F4721">
        <v>34.049999999999997</v>
      </c>
      <c r="G4721">
        <v>34.1</v>
      </c>
      <c r="H4721">
        <v>0.625</v>
      </c>
      <c r="I4721">
        <v>8361</v>
      </c>
      <c r="J4721">
        <v>0</v>
      </c>
      <c r="K4721">
        <v>24262</v>
      </c>
      <c r="L4721">
        <v>75</v>
      </c>
      <c r="M4721">
        <v>106</v>
      </c>
      <c r="N4721" t="s">
        <v>51</v>
      </c>
      <c r="O4721" s="3">
        <v>44034</v>
      </c>
      <c r="P4721">
        <v>-1</v>
      </c>
      <c r="T4721" t="s">
        <v>22</v>
      </c>
      <c r="U4721">
        <v>150</v>
      </c>
      <c r="V4721">
        <v>25.85</v>
      </c>
    </row>
    <row r="4722" spans="1:22" x14ac:dyDescent="0.35">
      <c r="A4722" s="3">
        <v>43928</v>
      </c>
      <c r="B4722" t="s">
        <v>48</v>
      </c>
      <c r="C4722">
        <v>30.33</v>
      </c>
      <c r="D4722">
        <v>31.45</v>
      </c>
      <c r="E4722">
        <v>29.73</v>
      </c>
      <c r="F4722">
        <v>31.41</v>
      </c>
      <c r="G4722">
        <v>31.375</v>
      </c>
      <c r="H4722">
        <v>1.1000000000000001</v>
      </c>
      <c r="I4722">
        <v>2401</v>
      </c>
      <c r="J4722">
        <v>0</v>
      </c>
      <c r="K4722">
        <v>12461</v>
      </c>
      <c r="L4722">
        <v>139</v>
      </c>
      <c r="M4722">
        <v>197</v>
      </c>
      <c r="N4722" t="s">
        <v>48</v>
      </c>
      <c r="O4722" s="3">
        <v>44125</v>
      </c>
      <c r="P4722">
        <v>-1</v>
      </c>
      <c r="T4722" t="s">
        <v>26</v>
      </c>
      <c r="U4722">
        <v>170</v>
      </c>
      <c r="V4722">
        <v>25.65</v>
      </c>
    </row>
    <row r="4723" spans="1:22" x14ac:dyDescent="0.35">
      <c r="A4723" s="3">
        <v>43928</v>
      </c>
      <c r="B4723" t="s">
        <v>53</v>
      </c>
      <c r="C4723">
        <v>38.200000000000003</v>
      </c>
      <c r="D4723">
        <v>39.85</v>
      </c>
      <c r="E4723">
        <v>36.4</v>
      </c>
      <c r="F4723">
        <v>39.619999999999997</v>
      </c>
      <c r="G4723">
        <v>39.674999999999997</v>
      </c>
      <c r="H4723">
        <v>1.75</v>
      </c>
      <c r="I4723">
        <v>58709</v>
      </c>
      <c r="J4723">
        <v>1315</v>
      </c>
      <c r="K4723">
        <v>95368</v>
      </c>
      <c r="L4723">
        <v>31</v>
      </c>
      <c r="M4723">
        <v>43</v>
      </c>
      <c r="N4723" t="s">
        <v>53</v>
      </c>
      <c r="O4723" s="3">
        <v>43971</v>
      </c>
      <c r="P4723">
        <v>-1</v>
      </c>
      <c r="T4723" t="s">
        <v>34</v>
      </c>
      <c r="U4723">
        <v>5</v>
      </c>
      <c r="V4723">
        <v>19.075800000000001</v>
      </c>
    </row>
    <row r="4724" spans="1:22" x14ac:dyDescent="0.35">
      <c r="A4724" s="3">
        <v>43928</v>
      </c>
      <c r="B4724" t="s">
        <v>50</v>
      </c>
      <c r="C4724">
        <v>31.93</v>
      </c>
      <c r="D4724">
        <v>32.6</v>
      </c>
      <c r="E4724">
        <v>30.85</v>
      </c>
      <c r="F4724">
        <v>32.53</v>
      </c>
      <c r="G4724">
        <v>32.524999999999999</v>
      </c>
      <c r="H4724">
        <v>0.8</v>
      </c>
      <c r="I4724">
        <v>4526</v>
      </c>
      <c r="J4724">
        <v>0</v>
      </c>
      <c r="K4724">
        <v>13163</v>
      </c>
      <c r="L4724">
        <v>95</v>
      </c>
      <c r="M4724">
        <v>134</v>
      </c>
      <c r="N4724" t="s">
        <v>50</v>
      </c>
      <c r="O4724" s="3">
        <v>44062</v>
      </c>
      <c r="P4724">
        <v>-1</v>
      </c>
      <c r="S4724" s="3">
        <v>44546</v>
      </c>
      <c r="T4724" t="s">
        <v>33</v>
      </c>
      <c r="U4724">
        <v>22</v>
      </c>
      <c r="V4724">
        <v>22.8188</v>
      </c>
    </row>
    <row r="4725" spans="1:22" x14ac:dyDescent="0.35">
      <c r="A4725" s="3">
        <v>43928</v>
      </c>
      <c r="B4725" t="s">
        <v>47</v>
      </c>
      <c r="C4725">
        <v>28.9</v>
      </c>
      <c r="D4725">
        <v>29.9</v>
      </c>
      <c r="E4725">
        <v>28.55</v>
      </c>
      <c r="F4725">
        <v>29.9</v>
      </c>
      <c r="G4725">
        <v>29.9</v>
      </c>
      <c r="H4725">
        <v>0.97499999999999998</v>
      </c>
      <c r="I4725">
        <v>806</v>
      </c>
      <c r="J4725">
        <v>0</v>
      </c>
      <c r="K4725">
        <v>6441</v>
      </c>
      <c r="L4725">
        <v>159</v>
      </c>
      <c r="M4725">
        <v>225</v>
      </c>
      <c r="N4725" t="s">
        <v>47</v>
      </c>
      <c r="O4725" s="3">
        <v>44153</v>
      </c>
      <c r="P4725">
        <v>-1</v>
      </c>
      <c r="T4725" t="s">
        <v>32</v>
      </c>
      <c r="U4725">
        <v>42</v>
      </c>
      <c r="V4725">
        <v>24.146000000000001</v>
      </c>
    </row>
    <row r="4726" spans="1:22" x14ac:dyDescent="0.35">
      <c r="A4726" s="3">
        <v>43928</v>
      </c>
      <c r="B4726" t="s">
        <v>52</v>
      </c>
      <c r="C4726">
        <v>36.15</v>
      </c>
      <c r="D4726">
        <v>36.85</v>
      </c>
      <c r="E4726">
        <v>34.299999999999997</v>
      </c>
      <c r="F4726">
        <v>36.65</v>
      </c>
      <c r="G4726">
        <v>36.674999999999997</v>
      </c>
      <c r="H4726">
        <v>0.8</v>
      </c>
      <c r="I4726">
        <v>12951</v>
      </c>
      <c r="J4726">
        <v>0</v>
      </c>
      <c r="K4726">
        <v>27559</v>
      </c>
      <c r="L4726">
        <v>50</v>
      </c>
      <c r="M4726">
        <v>71</v>
      </c>
      <c r="N4726" t="s">
        <v>52</v>
      </c>
      <c r="O4726" s="3">
        <v>43999</v>
      </c>
      <c r="P4726">
        <v>-1</v>
      </c>
      <c r="T4726" t="s">
        <v>31</v>
      </c>
      <c r="U4726">
        <v>60</v>
      </c>
      <c r="V4726">
        <v>25.145299999999999</v>
      </c>
    </row>
    <row r="4727" spans="1:22" x14ac:dyDescent="0.35">
      <c r="A4727" s="3">
        <v>43928</v>
      </c>
      <c r="B4727" t="s">
        <v>49</v>
      </c>
      <c r="C4727">
        <v>30.5</v>
      </c>
      <c r="D4727">
        <v>31.68</v>
      </c>
      <c r="E4727">
        <v>29.65</v>
      </c>
      <c r="F4727">
        <v>31.66</v>
      </c>
      <c r="G4727">
        <v>31.65</v>
      </c>
      <c r="H4727">
        <v>1.325</v>
      </c>
      <c r="I4727">
        <v>6114</v>
      </c>
      <c r="J4727">
        <v>0</v>
      </c>
      <c r="K4727">
        <v>13556</v>
      </c>
      <c r="L4727">
        <v>114</v>
      </c>
      <c r="M4727">
        <v>162</v>
      </c>
      <c r="N4727" t="s">
        <v>49</v>
      </c>
      <c r="O4727" s="3">
        <v>44090</v>
      </c>
      <c r="P4727">
        <v>-1</v>
      </c>
      <c r="T4727" t="s">
        <v>30</v>
      </c>
      <c r="U4727">
        <v>86</v>
      </c>
      <c r="V4727">
        <v>25.873899999999999</v>
      </c>
    </row>
    <row r="4728" spans="1:22" x14ac:dyDescent="0.35">
      <c r="A4728" s="3">
        <v>43927</v>
      </c>
      <c r="B4728" t="s">
        <v>46</v>
      </c>
      <c r="C4728">
        <v>30</v>
      </c>
      <c r="D4728">
        <v>30.05</v>
      </c>
      <c r="E4728">
        <v>28.79</v>
      </c>
      <c r="F4728">
        <v>28.79</v>
      </c>
      <c r="G4728">
        <v>29</v>
      </c>
      <c r="H4728">
        <v>-3.0750000000000002</v>
      </c>
      <c r="I4728">
        <v>2</v>
      </c>
      <c r="J4728">
        <v>0</v>
      </c>
      <c r="K4728">
        <v>2</v>
      </c>
      <c r="L4728">
        <v>179</v>
      </c>
      <c r="M4728">
        <v>254</v>
      </c>
      <c r="N4728" t="s">
        <v>46</v>
      </c>
      <c r="O4728" s="3">
        <v>44181</v>
      </c>
      <c r="P4728">
        <v>-1</v>
      </c>
      <c r="T4728" t="s">
        <v>29</v>
      </c>
      <c r="U4728">
        <v>106</v>
      </c>
      <c r="V4728">
        <v>26.0746</v>
      </c>
    </row>
    <row r="4729" spans="1:22" x14ac:dyDescent="0.35">
      <c r="A4729" s="3">
        <v>43927</v>
      </c>
      <c r="B4729" t="s">
        <v>51</v>
      </c>
      <c r="C4729">
        <v>34.5</v>
      </c>
      <c r="D4729">
        <v>34.85</v>
      </c>
      <c r="E4729">
        <v>33.01</v>
      </c>
      <c r="F4729">
        <v>33.65</v>
      </c>
      <c r="G4729">
        <v>33.475000000000001</v>
      </c>
      <c r="H4729">
        <v>-1.55</v>
      </c>
      <c r="I4729">
        <v>4006</v>
      </c>
      <c r="J4729">
        <v>25</v>
      </c>
      <c r="K4729">
        <v>25157</v>
      </c>
      <c r="L4729">
        <v>76</v>
      </c>
      <c r="M4729">
        <v>107</v>
      </c>
      <c r="N4729" t="s">
        <v>51</v>
      </c>
      <c r="O4729" s="3">
        <v>44034</v>
      </c>
      <c r="P4729">
        <v>-1</v>
      </c>
      <c r="T4729" t="s">
        <v>28</v>
      </c>
      <c r="U4729">
        <v>125</v>
      </c>
      <c r="V4729">
        <v>26.175000000000001</v>
      </c>
    </row>
    <row r="4730" spans="1:22" x14ac:dyDescent="0.35">
      <c r="A4730" s="3">
        <v>43927</v>
      </c>
      <c r="B4730" t="s">
        <v>48</v>
      </c>
      <c r="C4730">
        <v>31</v>
      </c>
      <c r="D4730">
        <v>31.25</v>
      </c>
      <c r="E4730">
        <v>30</v>
      </c>
      <c r="F4730">
        <v>30.37</v>
      </c>
      <c r="G4730">
        <v>30.274999999999999</v>
      </c>
      <c r="H4730">
        <v>-1</v>
      </c>
      <c r="I4730">
        <v>1326</v>
      </c>
      <c r="J4730">
        <v>0</v>
      </c>
      <c r="K4730">
        <v>11877</v>
      </c>
      <c r="L4730">
        <v>140</v>
      </c>
      <c r="M4730">
        <v>198</v>
      </c>
      <c r="N4730" t="s">
        <v>48</v>
      </c>
      <c r="O4730" s="3">
        <v>44125</v>
      </c>
      <c r="P4730">
        <v>-1</v>
      </c>
      <c r="T4730" t="s">
        <v>22</v>
      </c>
      <c r="U4730">
        <v>149</v>
      </c>
      <c r="V4730">
        <v>26.35</v>
      </c>
    </row>
    <row r="4731" spans="1:22" x14ac:dyDescent="0.35">
      <c r="A4731" s="3">
        <v>43927</v>
      </c>
      <c r="B4731" t="s">
        <v>53</v>
      </c>
      <c r="C4731">
        <v>40.700000000000003</v>
      </c>
      <c r="D4731">
        <v>40.700000000000003</v>
      </c>
      <c r="E4731">
        <v>36.9</v>
      </c>
      <c r="F4731">
        <v>38.270000000000003</v>
      </c>
      <c r="G4731">
        <v>37.924999999999997</v>
      </c>
      <c r="H4731">
        <v>-2.9750000000000001</v>
      </c>
      <c r="I4731">
        <v>47409</v>
      </c>
      <c r="J4731">
        <v>518</v>
      </c>
      <c r="K4731">
        <v>87086</v>
      </c>
      <c r="L4731">
        <v>32</v>
      </c>
      <c r="M4731">
        <v>44</v>
      </c>
      <c r="N4731" t="s">
        <v>53</v>
      </c>
      <c r="O4731" s="3">
        <v>43971</v>
      </c>
      <c r="P4731">
        <v>-1</v>
      </c>
      <c r="T4731" t="s">
        <v>26</v>
      </c>
      <c r="U4731">
        <v>169</v>
      </c>
      <c r="V4731">
        <v>26.074999999999999</v>
      </c>
    </row>
    <row r="4732" spans="1:22" x14ac:dyDescent="0.35">
      <c r="A4732" s="3">
        <v>43927</v>
      </c>
      <c r="B4732" t="s">
        <v>50</v>
      </c>
      <c r="C4732">
        <v>32.450000000000003</v>
      </c>
      <c r="D4732">
        <v>32.950000000000003</v>
      </c>
      <c r="E4732">
        <v>31.4</v>
      </c>
      <c r="F4732">
        <v>31.87</v>
      </c>
      <c r="G4732">
        <v>31.725000000000001</v>
      </c>
      <c r="H4732">
        <v>-1.35</v>
      </c>
      <c r="I4732">
        <v>2965</v>
      </c>
      <c r="J4732">
        <v>0</v>
      </c>
      <c r="K4732">
        <v>13332</v>
      </c>
      <c r="L4732">
        <v>96</v>
      </c>
      <c r="M4732">
        <v>135</v>
      </c>
      <c r="N4732" t="s">
        <v>50</v>
      </c>
      <c r="O4732" s="3">
        <v>44062</v>
      </c>
      <c r="P4732">
        <v>-1</v>
      </c>
      <c r="T4732" t="s">
        <v>34</v>
      </c>
      <c r="U4732">
        <v>4</v>
      </c>
      <c r="V4732">
        <v>20.421700000000001</v>
      </c>
    </row>
    <row r="4733" spans="1:22" x14ac:dyDescent="0.35">
      <c r="A4733" s="3">
        <v>43927</v>
      </c>
      <c r="B4733" t="s">
        <v>47</v>
      </c>
      <c r="C4733">
        <v>29.91</v>
      </c>
      <c r="D4733">
        <v>29.91</v>
      </c>
      <c r="E4733">
        <v>28.8</v>
      </c>
      <c r="F4733">
        <v>29</v>
      </c>
      <c r="G4733">
        <v>28.925000000000001</v>
      </c>
      <c r="H4733">
        <v>-1.05</v>
      </c>
      <c r="I4733">
        <v>697</v>
      </c>
      <c r="J4733">
        <v>0</v>
      </c>
      <c r="K4733">
        <v>6186</v>
      </c>
      <c r="L4733">
        <v>160</v>
      </c>
      <c r="M4733">
        <v>226</v>
      </c>
      <c r="N4733" t="s">
        <v>47</v>
      </c>
      <c r="O4733" s="3">
        <v>44153</v>
      </c>
      <c r="P4733">
        <v>-1</v>
      </c>
      <c r="S4733" s="3">
        <v>44547</v>
      </c>
      <c r="T4733" t="s">
        <v>33</v>
      </c>
      <c r="U4733">
        <v>21</v>
      </c>
      <c r="V4733">
        <v>23.573899999999998</v>
      </c>
    </row>
    <row r="4734" spans="1:22" x14ac:dyDescent="0.35">
      <c r="A4734" s="3">
        <v>43927</v>
      </c>
      <c r="B4734" t="s">
        <v>52</v>
      </c>
      <c r="C4734">
        <v>37.6</v>
      </c>
      <c r="D4734">
        <v>37.75</v>
      </c>
      <c r="E4734">
        <v>35.15</v>
      </c>
      <c r="F4734">
        <v>36.1</v>
      </c>
      <c r="G4734">
        <v>35.875</v>
      </c>
      <c r="H4734">
        <v>-2.0499999999999998</v>
      </c>
      <c r="I4734">
        <v>8438</v>
      </c>
      <c r="J4734">
        <v>75</v>
      </c>
      <c r="K4734">
        <v>26303</v>
      </c>
      <c r="L4734">
        <v>51</v>
      </c>
      <c r="M4734">
        <v>72</v>
      </c>
      <c r="N4734" t="s">
        <v>52</v>
      </c>
      <c r="O4734" s="3">
        <v>43999</v>
      </c>
      <c r="P4734">
        <v>-1</v>
      </c>
      <c r="T4734" t="s">
        <v>32</v>
      </c>
      <c r="U4734">
        <v>41</v>
      </c>
      <c r="V4734">
        <v>24.7317</v>
      </c>
    </row>
    <row r="4735" spans="1:22" x14ac:dyDescent="0.35">
      <c r="A4735" s="3">
        <v>43927</v>
      </c>
      <c r="B4735" t="s">
        <v>49</v>
      </c>
      <c r="C4735">
        <v>31.1</v>
      </c>
      <c r="D4735">
        <v>31.2</v>
      </c>
      <c r="E4735">
        <v>30.08</v>
      </c>
      <c r="F4735">
        <v>30.44</v>
      </c>
      <c r="G4735">
        <v>30.324999999999999</v>
      </c>
      <c r="H4735">
        <v>-1.175</v>
      </c>
      <c r="I4735">
        <v>2042</v>
      </c>
      <c r="J4735">
        <v>0</v>
      </c>
      <c r="K4735">
        <v>12222</v>
      </c>
      <c r="L4735">
        <v>115</v>
      </c>
      <c r="M4735">
        <v>163</v>
      </c>
      <c r="N4735" t="s">
        <v>49</v>
      </c>
      <c r="O4735" s="3">
        <v>44090</v>
      </c>
      <c r="P4735">
        <v>-1</v>
      </c>
      <c r="T4735" t="s">
        <v>31</v>
      </c>
      <c r="U4735">
        <v>59</v>
      </c>
      <c r="V4735">
        <v>25.692399999999999</v>
      </c>
    </row>
    <row r="4736" spans="1:22" x14ac:dyDescent="0.35">
      <c r="A4736" s="3">
        <v>43927</v>
      </c>
      <c r="B4736" t="s">
        <v>54</v>
      </c>
      <c r="C4736">
        <v>45</v>
      </c>
      <c r="D4736">
        <v>45</v>
      </c>
      <c r="E4736">
        <v>40.299999999999997</v>
      </c>
      <c r="F4736">
        <v>42.25</v>
      </c>
      <c r="G4736">
        <v>41.774999999999999</v>
      </c>
      <c r="H4736">
        <v>-3.15</v>
      </c>
      <c r="I4736">
        <v>49740</v>
      </c>
      <c r="J4736">
        <v>237</v>
      </c>
      <c r="K4736">
        <v>60103</v>
      </c>
      <c r="L4736">
        <v>7</v>
      </c>
      <c r="M4736">
        <v>9</v>
      </c>
      <c r="N4736" t="s">
        <v>54</v>
      </c>
      <c r="O4736" s="3">
        <v>43936</v>
      </c>
      <c r="P4736">
        <v>-1</v>
      </c>
      <c r="T4736" t="s">
        <v>30</v>
      </c>
      <c r="U4736">
        <v>85</v>
      </c>
      <c r="V4736">
        <v>26.4161</v>
      </c>
    </row>
    <row r="4737" spans="1:22" x14ac:dyDescent="0.35">
      <c r="A4737" s="3">
        <v>43924</v>
      </c>
      <c r="B4737" t="s">
        <v>54</v>
      </c>
      <c r="C4737">
        <v>47.55</v>
      </c>
      <c r="D4737">
        <v>49.05</v>
      </c>
      <c r="E4737">
        <v>44.15</v>
      </c>
      <c r="F4737">
        <v>45.1</v>
      </c>
      <c r="G4737">
        <v>44.924999999999997</v>
      </c>
      <c r="H4737">
        <v>-2.25</v>
      </c>
      <c r="I4737">
        <v>59191</v>
      </c>
      <c r="J4737">
        <v>668</v>
      </c>
      <c r="K4737">
        <v>62647</v>
      </c>
      <c r="L4737">
        <v>8</v>
      </c>
      <c r="M4737">
        <v>12</v>
      </c>
      <c r="N4737" t="s">
        <v>54</v>
      </c>
      <c r="O4737" s="3">
        <v>43936</v>
      </c>
      <c r="P4737">
        <v>-1</v>
      </c>
      <c r="T4737" t="s">
        <v>29</v>
      </c>
      <c r="U4737">
        <v>105</v>
      </c>
      <c r="V4737">
        <v>26.628799999999998</v>
      </c>
    </row>
    <row r="4738" spans="1:22" x14ac:dyDescent="0.35">
      <c r="A4738" s="3">
        <v>43924</v>
      </c>
      <c r="B4738" t="s">
        <v>51</v>
      </c>
      <c r="C4738">
        <v>35.65</v>
      </c>
      <c r="D4738">
        <v>36.159999999999997</v>
      </c>
      <c r="E4738">
        <v>34.92</v>
      </c>
      <c r="F4738">
        <v>35.200000000000003</v>
      </c>
      <c r="G4738">
        <v>35.024999999999999</v>
      </c>
      <c r="H4738">
        <v>-0.4</v>
      </c>
      <c r="I4738">
        <v>5063</v>
      </c>
      <c r="J4738">
        <v>0</v>
      </c>
      <c r="K4738">
        <v>24747</v>
      </c>
      <c r="L4738">
        <v>77</v>
      </c>
      <c r="M4738">
        <v>110</v>
      </c>
      <c r="N4738" t="s">
        <v>51</v>
      </c>
      <c r="O4738" s="3">
        <v>44034</v>
      </c>
      <c r="P4738">
        <v>-1</v>
      </c>
      <c r="T4738" t="s">
        <v>28</v>
      </c>
      <c r="U4738">
        <v>124</v>
      </c>
      <c r="V4738">
        <v>26.689499999999999</v>
      </c>
    </row>
    <row r="4739" spans="1:22" x14ac:dyDescent="0.35">
      <c r="A4739" s="3">
        <v>43924</v>
      </c>
      <c r="B4739" t="s">
        <v>48</v>
      </c>
      <c r="C4739">
        <v>31.25</v>
      </c>
      <c r="D4739">
        <v>32.049999999999997</v>
      </c>
      <c r="E4739">
        <v>31.2</v>
      </c>
      <c r="F4739">
        <v>31.4</v>
      </c>
      <c r="G4739">
        <v>31.274999999999999</v>
      </c>
      <c r="H4739">
        <v>0.05</v>
      </c>
      <c r="I4739">
        <v>1548</v>
      </c>
      <c r="J4739">
        <v>0</v>
      </c>
      <c r="K4739">
        <v>11620</v>
      </c>
      <c r="L4739">
        <v>141</v>
      </c>
      <c r="M4739">
        <v>201</v>
      </c>
      <c r="N4739" t="s">
        <v>48</v>
      </c>
      <c r="O4739" s="3">
        <v>44125</v>
      </c>
      <c r="P4739">
        <v>-1</v>
      </c>
      <c r="T4739" t="s">
        <v>22</v>
      </c>
      <c r="U4739">
        <v>148</v>
      </c>
      <c r="V4739">
        <v>26.875</v>
      </c>
    </row>
    <row r="4740" spans="1:22" x14ac:dyDescent="0.35">
      <c r="A4740" s="3">
        <v>43924</v>
      </c>
      <c r="B4740" t="s">
        <v>53</v>
      </c>
      <c r="C4740">
        <v>42.35</v>
      </c>
      <c r="D4740">
        <v>43.2</v>
      </c>
      <c r="E4740">
        <v>40.549999999999997</v>
      </c>
      <c r="F4740">
        <v>41.1</v>
      </c>
      <c r="G4740">
        <v>40.9</v>
      </c>
      <c r="H4740">
        <v>-1.125</v>
      </c>
      <c r="I4740">
        <v>43306</v>
      </c>
      <c r="J4740">
        <v>1146</v>
      </c>
      <c r="K4740">
        <v>84659</v>
      </c>
      <c r="L4740">
        <v>33</v>
      </c>
      <c r="M4740">
        <v>47</v>
      </c>
      <c r="N4740" t="s">
        <v>53</v>
      </c>
      <c r="O4740" s="3">
        <v>43971</v>
      </c>
      <c r="P4740">
        <v>-1</v>
      </c>
      <c r="T4740" t="s">
        <v>26</v>
      </c>
      <c r="U4740">
        <v>168</v>
      </c>
      <c r="V4740">
        <v>26.5</v>
      </c>
    </row>
    <row r="4741" spans="1:22" x14ac:dyDescent="0.35">
      <c r="A4741" s="3">
        <v>43924</v>
      </c>
      <c r="B4741" t="s">
        <v>50</v>
      </c>
      <c r="C4741">
        <v>33.49</v>
      </c>
      <c r="D4741">
        <v>34.049999999999997</v>
      </c>
      <c r="E4741">
        <v>32.97</v>
      </c>
      <c r="F4741">
        <v>33.21</v>
      </c>
      <c r="G4741">
        <v>33.075000000000003</v>
      </c>
      <c r="H4741">
        <v>-0.35</v>
      </c>
      <c r="I4741">
        <v>2896</v>
      </c>
      <c r="J4741">
        <v>0</v>
      </c>
      <c r="K4741">
        <v>12929</v>
      </c>
      <c r="L4741">
        <v>97</v>
      </c>
      <c r="M4741">
        <v>138</v>
      </c>
      <c r="N4741" t="s">
        <v>50</v>
      </c>
      <c r="O4741" s="3">
        <v>44062</v>
      </c>
      <c r="P4741">
        <v>-1</v>
      </c>
      <c r="T4741" t="s">
        <v>34</v>
      </c>
      <c r="U4741">
        <v>3</v>
      </c>
      <c r="V4741">
        <v>21.069099999999999</v>
      </c>
    </row>
    <row r="4742" spans="1:22" x14ac:dyDescent="0.35">
      <c r="A4742" s="3">
        <v>43924</v>
      </c>
      <c r="B4742" t="s">
        <v>47</v>
      </c>
      <c r="C4742">
        <v>30.3</v>
      </c>
      <c r="D4742">
        <v>30.8</v>
      </c>
      <c r="E4742">
        <v>29.98</v>
      </c>
      <c r="F4742">
        <v>30.25</v>
      </c>
      <c r="G4742">
        <v>29.975000000000001</v>
      </c>
      <c r="H4742">
        <v>-0.125</v>
      </c>
      <c r="I4742">
        <v>457</v>
      </c>
      <c r="J4742">
        <v>0</v>
      </c>
      <c r="K4742">
        <v>5901</v>
      </c>
      <c r="L4742">
        <v>161</v>
      </c>
      <c r="M4742">
        <v>229</v>
      </c>
      <c r="N4742" t="s">
        <v>47</v>
      </c>
      <c r="O4742" s="3">
        <v>44153</v>
      </c>
      <c r="P4742">
        <v>-1</v>
      </c>
      <c r="S4742" s="3">
        <v>44550</v>
      </c>
      <c r="T4742" t="s">
        <v>33</v>
      </c>
      <c r="U4742">
        <v>20</v>
      </c>
      <c r="V4742">
        <v>24.310700000000001</v>
      </c>
    </row>
    <row r="4743" spans="1:22" x14ac:dyDescent="0.35">
      <c r="A4743" s="3">
        <v>43924</v>
      </c>
      <c r="B4743" t="s">
        <v>52</v>
      </c>
      <c r="C4743">
        <v>38.75</v>
      </c>
      <c r="D4743">
        <v>39.25</v>
      </c>
      <c r="E4743">
        <v>37.85</v>
      </c>
      <c r="F4743">
        <v>38.049999999999997</v>
      </c>
      <c r="G4743">
        <v>37.924999999999997</v>
      </c>
      <c r="H4743">
        <v>-0.42499999999999999</v>
      </c>
      <c r="I4743">
        <v>12083</v>
      </c>
      <c r="J4743">
        <v>0</v>
      </c>
      <c r="K4743">
        <v>25765</v>
      </c>
      <c r="L4743">
        <v>52</v>
      </c>
      <c r="M4743">
        <v>75</v>
      </c>
      <c r="N4743" t="s">
        <v>52</v>
      </c>
      <c r="O4743" s="3">
        <v>43999</v>
      </c>
      <c r="P4743">
        <v>-1</v>
      </c>
      <c r="T4743" t="s">
        <v>32</v>
      </c>
      <c r="U4743">
        <v>40</v>
      </c>
      <c r="V4743">
        <v>25.2532</v>
      </c>
    </row>
    <row r="4744" spans="1:22" x14ac:dyDescent="0.35">
      <c r="A4744" s="3">
        <v>43924</v>
      </c>
      <c r="B4744" t="s">
        <v>49</v>
      </c>
      <c r="C4744">
        <v>31.7</v>
      </c>
      <c r="D4744">
        <v>32.4</v>
      </c>
      <c r="E4744">
        <v>31.5</v>
      </c>
      <c r="F4744">
        <v>31.67</v>
      </c>
      <c r="G4744">
        <v>31.5</v>
      </c>
      <c r="H4744">
        <v>-0.17499999999999999</v>
      </c>
      <c r="I4744">
        <v>2302</v>
      </c>
      <c r="J4744">
        <v>0</v>
      </c>
      <c r="K4744">
        <v>11742</v>
      </c>
      <c r="L4744">
        <v>116</v>
      </c>
      <c r="M4744">
        <v>166</v>
      </c>
      <c r="N4744" t="s">
        <v>49</v>
      </c>
      <c r="O4744" s="3">
        <v>44090</v>
      </c>
      <c r="P4744">
        <v>-1</v>
      </c>
      <c r="T4744" t="s">
        <v>31</v>
      </c>
      <c r="U4744">
        <v>58</v>
      </c>
      <c r="V4744">
        <v>25.9998</v>
      </c>
    </row>
    <row r="4745" spans="1:22" x14ac:dyDescent="0.35">
      <c r="A4745" s="3">
        <v>43923</v>
      </c>
      <c r="B4745" t="s">
        <v>51</v>
      </c>
      <c r="C4745">
        <v>36.200000000000003</v>
      </c>
      <c r="D4745">
        <v>36.5</v>
      </c>
      <c r="E4745">
        <v>35</v>
      </c>
      <c r="F4745">
        <v>35.75</v>
      </c>
      <c r="G4745">
        <v>35.424999999999997</v>
      </c>
      <c r="H4745">
        <v>-1.35</v>
      </c>
      <c r="I4745">
        <v>5728</v>
      </c>
      <c r="J4745">
        <v>0</v>
      </c>
      <c r="K4745">
        <v>24507</v>
      </c>
      <c r="L4745">
        <v>78</v>
      </c>
      <c r="M4745">
        <v>111</v>
      </c>
      <c r="N4745" t="s">
        <v>51</v>
      </c>
      <c r="O4745" s="3">
        <v>44034</v>
      </c>
      <c r="P4745">
        <v>-1</v>
      </c>
      <c r="T4745" t="s">
        <v>30</v>
      </c>
      <c r="U4745">
        <v>84</v>
      </c>
      <c r="V4745">
        <v>26.554600000000001</v>
      </c>
    </row>
    <row r="4746" spans="1:22" x14ac:dyDescent="0.35">
      <c r="A4746" s="3">
        <v>43923</v>
      </c>
      <c r="B4746" t="s">
        <v>48</v>
      </c>
      <c r="C4746">
        <v>31.49</v>
      </c>
      <c r="D4746">
        <v>31.9</v>
      </c>
      <c r="E4746">
        <v>30.65</v>
      </c>
      <c r="F4746">
        <v>31.29</v>
      </c>
      <c r="G4746">
        <v>31.225000000000001</v>
      </c>
      <c r="H4746">
        <v>-0.72499999999999998</v>
      </c>
      <c r="I4746">
        <v>1598</v>
      </c>
      <c r="J4746">
        <v>0</v>
      </c>
      <c r="K4746">
        <v>11459</v>
      </c>
      <c r="L4746">
        <v>142</v>
      </c>
      <c r="M4746">
        <v>202</v>
      </c>
      <c r="N4746" t="s">
        <v>48</v>
      </c>
      <c r="O4746" s="3">
        <v>44125</v>
      </c>
      <c r="P4746">
        <v>-1</v>
      </c>
      <c r="T4746" t="s">
        <v>29</v>
      </c>
      <c r="U4746">
        <v>104</v>
      </c>
      <c r="V4746">
        <v>26.663900000000002</v>
      </c>
    </row>
    <row r="4747" spans="1:22" x14ac:dyDescent="0.35">
      <c r="A4747" s="3">
        <v>43923</v>
      </c>
      <c r="B4747" t="s">
        <v>53</v>
      </c>
      <c r="C4747">
        <v>43.9</v>
      </c>
      <c r="D4747">
        <v>44.51</v>
      </c>
      <c r="E4747">
        <v>41.95</v>
      </c>
      <c r="F4747">
        <v>42.5</v>
      </c>
      <c r="G4747">
        <v>42.024999999999999</v>
      </c>
      <c r="H4747">
        <v>-2.6</v>
      </c>
      <c r="I4747">
        <v>43031</v>
      </c>
      <c r="J4747">
        <v>0</v>
      </c>
      <c r="K4747">
        <v>78905</v>
      </c>
      <c r="L4747">
        <v>34</v>
      </c>
      <c r="M4747">
        <v>48</v>
      </c>
      <c r="N4747" t="s">
        <v>53</v>
      </c>
      <c r="O4747" s="3">
        <v>43971</v>
      </c>
      <c r="P4747">
        <v>-1</v>
      </c>
      <c r="T4747" t="s">
        <v>28</v>
      </c>
      <c r="U4747">
        <v>123</v>
      </c>
      <c r="V4747">
        <v>26.652200000000001</v>
      </c>
    </row>
    <row r="4748" spans="1:22" x14ac:dyDescent="0.35">
      <c r="A4748" s="3">
        <v>43923</v>
      </c>
      <c r="B4748" t="s">
        <v>50</v>
      </c>
      <c r="C4748">
        <v>34</v>
      </c>
      <c r="D4748">
        <v>34.08</v>
      </c>
      <c r="E4748">
        <v>32.85</v>
      </c>
      <c r="F4748">
        <v>33.6</v>
      </c>
      <c r="G4748">
        <v>33.424999999999997</v>
      </c>
      <c r="H4748">
        <v>-0.95</v>
      </c>
      <c r="I4748">
        <v>3833</v>
      </c>
      <c r="J4748">
        <v>0</v>
      </c>
      <c r="K4748">
        <v>12703</v>
      </c>
      <c r="L4748">
        <v>98</v>
      </c>
      <c r="M4748">
        <v>139</v>
      </c>
      <c r="N4748" t="s">
        <v>50</v>
      </c>
      <c r="O4748" s="3">
        <v>44062</v>
      </c>
      <c r="P4748">
        <v>-1</v>
      </c>
      <c r="T4748" t="s">
        <v>22</v>
      </c>
      <c r="U4748">
        <v>147</v>
      </c>
      <c r="V4748">
        <v>26.85</v>
      </c>
    </row>
    <row r="4749" spans="1:22" x14ac:dyDescent="0.35">
      <c r="A4749" s="3">
        <v>43923</v>
      </c>
      <c r="B4749" t="s">
        <v>47</v>
      </c>
      <c r="C4749">
        <v>30.5</v>
      </c>
      <c r="D4749">
        <v>30.7</v>
      </c>
      <c r="E4749">
        <v>29.77</v>
      </c>
      <c r="F4749">
        <v>30.05</v>
      </c>
      <c r="G4749">
        <v>30.1</v>
      </c>
      <c r="H4749">
        <v>-0.65</v>
      </c>
      <c r="I4749">
        <v>372</v>
      </c>
      <c r="J4749">
        <v>0</v>
      </c>
      <c r="K4749">
        <v>5864</v>
      </c>
      <c r="L4749">
        <v>162</v>
      </c>
      <c r="M4749">
        <v>230</v>
      </c>
      <c r="N4749" t="s">
        <v>47</v>
      </c>
      <c r="O4749" s="3">
        <v>44153</v>
      </c>
      <c r="P4749">
        <v>-1</v>
      </c>
      <c r="T4749" t="s">
        <v>26</v>
      </c>
      <c r="U4749">
        <v>167</v>
      </c>
      <c r="V4749">
        <v>26.5</v>
      </c>
    </row>
    <row r="4750" spans="1:22" x14ac:dyDescent="0.35">
      <c r="A4750" s="3">
        <v>43923</v>
      </c>
      <c r="B4750" t="s">
        <v>52</v>
      </c>
      <c r="C4750">
        <v>39.65</v>
      </c>
      <c r="D4750">
        <v>40.06</v>
      </c>
      <c r="E4750">
        <v>38.25</v>
      </c>
      <c r="F4750">
        <v>38.770000000000003</v>
      </c>
      <c r="G4750">
        <v>38.35</v>
      </c>
      <c r="H4750">
        <v>-2.0249999999999999</v>
      </c>
      <c r="I4750">
        <v>13533</v>
      </c>
      <c r="J4750">
        <v>0</v>
      </c>
      <c r="K4750">
        <v>27339</v>
      </c>
      <c r="L4750">
        <v>53</v>
      </c>
      <c r="M4750">
        <v>76</v>
      </c>
      <c r="N4750" t="s">
        <v>52</v>
      </c>
      <c r="O4750" s="3">
        <v>43999</v>
      </c>
      <c r="P4750">
        <v>-1</v>
      </c>
      <c r="T4750" t="s">
        <v>34</v>
      </c>
      <c r="U4750">
        <v>2</v>
      </c>
      <c r="V4750">
        <v>22.808900000000001</v>
      </c>
    </row>
    <row r="4751" spans="1:22" x14ac:dyDescent="0.35">
      <c r="A4751" s="3">
        <v>43923</v>
      </c>
      <c r="B4751" t="s">
        <v>49</v>
      </c>
      <c r="C4751">
        <v>32.15</v>
      </c>
      <c r="D4751">
        <v>32.25</v>
      </c>
      <c r="E4751">
        <v>31.15</v>
      </c>
      <c r="F4751">
        <v>31.87</v>
      </c>
      <c r="G4751">
        <v>31.675000000000001</v>
      </c>
      <c r="H4751">
        <v>-0.85</v>
      </c>
      <c r="I4751">
        <v>2839</v>
      </c>
      <c r="J4751">
        <v>0</v>
      </c>
      <c r="K4751">
        <v>11296</v>
      </c>
      <c r="L4751">
        <v>117</v>
      </c>
      <c r="M4751">
        <v>167</v>
      </c>
      <c r="N4751" t="s">
        <v>49</v>
      </c>
      <c r="O4751" s="3">
        <v>44090</v>
      </c>
      <c r="P4751">
        <v>-1</v>
      </c>
      <c r="S4751" s="3">
        <v>44551</v>
      </c>
      <c r="T4751" t="s">
        <v>33</v>
      </c>
      <c r="U4751">
        <v>19</v>
      </c>
      <c r="V4751">
        <v>23.163599999999999</v>
      </c>
    </row>
    <row r="4752" spans="1:22" x14ac:dyDescent="0.35">
      <c r="A4752" s="3">
        <v>43923</v>
      </c>
      <c r="B4752" t="s">
        <v>54</v>
      </c>
      <c r="C4752">
        <v>50.5</v>
      </c>
      <c r="D4752">
        <v>51.05</v>
      </c>
      <c r="E4752">
        <v>47.05</v>
      </c>
      <c r="F4752">
        <v>47.8</v>
      </c>
      <c r="G4752">
        <v>47.174999999999997</v>
      </c>
      <c r="H4752">
        <v>-4.1500000000000004</v>
      </c>
      <c r="I4752">
        <v>53582</v>
      </c>
      <c r="J4752">
        <v>0</v>
      </c>
      <c r="K4752">
        <v>68279</v>
      </c>
      <c r="L4752">
        <v>9</v>
      </c>
      <c r="M4752">
        <v>13</v>
      </c>
      <c r="N4752" t="s">
        <v>54</v>
      </c>
      <c r="O4752" s="3">
        <v>43936</v>
      </c>
      <c r="P4752">
        <v>-1</v>
      </c>
      <c r="T4752" t="s">
        <v>32</v>
      </c>
      <c r="U4752">
        <v>39</v>
      </c>
      <c r="V4752">
        <v>24.4666</v>
      </c>
    </row>
    <row r="4753" spans="1:22" x14ac:dyDescent="0.35">
      <c r="A4753" s="3">
        <v>43922</v>
      </c>
      <c r="B4753" t="s">
        <v>54</v>
      </c>
      <c r="C4753">
        <v>48.85</v>
      </c>
      <c r="D4753">
        <v>51.75</v>
      </c>
      <c r="E4753">
        <v>47.45</v>
      </c>
      <c r="F4753">
        <v>50.47</v>
      </c>
      <c r="G4753">
        <v>51.325000000000003</v>
      </c>
      <c r="H4753">
        <v>4.55</v>
      </c>
      <c r="I4753">
        <v>57465</v>
      </c>
      <c r="J4753">
        <v>0</v>
      </c>
      <c r="K4753">
        <v>72102</v>
      </c>
      <c r="L4753">
        <v>10</v>
      </c>
      <c r="M4753">
        <v>14</v>
      </c>
      <c r="N4753" t="s">
        <v>54</v>
      </c>
      <c r="O4753" s="3">
        <v>43936</v>
      </c>
      <c r="P4753">
        <v>-1</v>
      </c>
      <c r="T4753" t="s">
        <v>31</v>
      </c>
      <c r="U4753">
        <v>57</v>
      </c>
      <c r="V4753">
        <v>25.4724</v>
      </c>
    </row>
    <row r="4754" spans="1:22" x14ac:dyDescent="0.35">
      <c r="A4754" s="3">
        <v>43922</v>
      </c>
      <c r="B4754" t="s">
        <v>51</v>
      </c>
      <c r="C4754">
        <v>34.15</v>
      </c>
      <c r="D4754">
        <v>36.909999999999997</v>
      </c>
      <c r="E4754">
        <v>33.85</v>
      </c>
      <c r="F4754">
        <v>36.31</v>
      </c>
      <c r="G4754">
        <v>36.774999999999999</v>
      </c>
      <c r="H4754">
        <v>2.85</v>
      </c>
      <c r="I4754">
        <v>6128</v>
      </c>
      <c r="J4754">
        <v>0</v>
      </c>
      <c r="K4754">
        <v>24023</v>
      </c>
      <c r="L4754">
        <v>79</v>
      </c>
      <c r="M4754">
        <v>112</v>
      </c>
      <c r="N4754" t="s">
        <v>51</v>
      </c>
      <c r="O4754" s="3">
        <v>44034</v>
      </c>
      <c r="P4754">
        <v>-1</v>
      </c>
      <c r="T4754" t="s">
        <v>30</v>
      </c>
      <c r="U4754">
        <v>83</v>
      </c>
      <c r="V4754">
        <v>26.149100000000001</v>
      </c>
    </row>
    <row r="4755" spans="1:22" x14ac:dyDescent="0.35">
      <c r="A4755" s="3">
        <v>43922</v>
      </c>
      <c r="B4755" t="s">
        <v>48</v>
      </c>
      <c r="C4755">
        <v>30.15</v>
      </c>
      <c r="D4755">
        <v>32.049999999999997</v>
      </c>
      <c r="E4755">
        <v>29.2</v>
      </c>
      <c r="F4755">
        <v>31.8</v>
      </c>
      <c r="G4755">
        <v>31.95</v>
      </c>
      <c r="H4755">
        <v>2.0249999999999999</v>
      </c>
      <c r="I4755">
        <v>3904</v>
      </c>
      <c r="J4755">
        <v>0</v>
      </c>
      <c r="K4755">
        <v>10949</v>
      </c>
      <c r="L4755">
        <v>143</v>
      </c>
      <c r="M4755">
        <v>203</v>
      </c>
      <c r="N4755" t="s">
        <v>48</v>
      </c>
      <c r="O4755" s="3">
        <v>44125</v>
      </c>
      <c r="P4755">
        <v>-1</v>
      </c>
      <c r="T4755" t="s">
        <v>29</v>
      </c>
      <c r="U4755">
        <v>103</v>
      </c>
      <c r="V4755">
        <v>26.347999999999999</v>
      </c>
    </row>
    <row r="4756" spans="1:22" x14ac:dyDescent="0.35">
      <c r="A4756" s="3">
        <v>43922</v>
      </c>
      <c r="B4756" t="s">
        <v>53</v>
      </c>
      <c r="C4756">
        <v>41.48</v>
      </c>
      <c r="D4756">
        <v>44.95</v>
      </c>
      <c r="E4756">
        <v>41.36</v>
      </c>
      <c r="F4756">
        <v>43.95</v>
      </c>
      <c r="G4756">
        <v>44.625</v>
      </c>
      <c r="H4756">
        <v>3.7</v>
      </c>
      <c r="I4756">
        <v>46422</v>
      </c>
      <c r="J4756">
        <v>0</v>
      </c>
      <c r="K4756">
        <v>75754</v>
      </c>
      <c r="L4756">
        <v>35</v>
      </c>
      <c r="M4756">
        <v>49</v>
      </c>
      <c r="N4756" t="s">
        <v>53</v>
      </c>
      <c r="O4756" s="3">
        <v>43971</v>
      </c>
      <c r="P4756">
        <v>-1</v>
      </c>
      <c r="T4756" t="s">
        <v>28</v>
      </c>
      <c r="U4756">
        <v>122</v>
      </c>
      <c r="V4756">
        <v>26.418800000000001</v>
      </c>
    </row>
    <row r="4757" spans="1:22" x14ac:dyDescent="0.35">
      <c r="A4757" s="3">
        <v>43922</v>
      </c>
      <c r="B4757" t="s">
        <v>50</v>
      </c>
      <c r="C4757">
        <v>32</v>
      </c>
      <c r="D4757">
        <v>34.49</v>
      </c>
      <c r="E4757">
        <v>31.2</v>
      </c>
      <c r="F4757">
        <v>34.020000000000003</v>
      </c>
      <c r="G4757">
        <v>34.375</v>
      </c>
      <c r="H4757">
        <v>2.7</v>
      </c>
      <c r="I4757">
        <v>3293</v>
      </c>
      <c r="J4757">
        <v>0</v>
      </c>
      <c r="K4757">
        <v>12353</v>
      </c>
      <c r="L4757">
        <v>99</v>
      </c>
      <c r="M4757">
        <v>140</v>
      </c>
      <c r="N4757" t="s">
        <v>50</v>
      </c>
      <c r="O4757" s="3">
        <v>44062</v>
      </c>
      <c r="P4757">
        <v>-1</v>
      </c>
      <c r="T4757" t="s">
        <v>22</v>
      </c>
      <c r="U4757">
        <v>146</v>
      </c>
      <c r="V4757">
        <v>26.65</v>
      </c>
    </row>
    <row r="4758" spans="1:22" x14ac:dyDescent="0.35">
      <c r="A4758" s="3">
        <v>43922</v>
      </c>
      <c r="B4758" t="s">
        <v>47</v>
      </c>
      <c r="C4758">
        <v>28.55</v>
      </c>
      <c r="D4758">
        <v>31.01</v>
      </c>
      <c r="E4758">
        <v>27.75</v>
      </c>
      <c r="F4758">
        <v>30.7</v>
      </c>
      <c r="G4758">
        <v>30.75</v>
      </c>
      <c r="H4758">
        <v>2.0499999999999998</v>
      </c>
      <c r="I4758">
        <v>2182</v>
      </c>
      <c r="J4758">
        <v>0</v>
      </c>
      <c r="K4758">
        <v>5910</v>
      </c>
      <c r="L4758">
        <v>163</v>
      </c>
      <c r="M4758">
        <v>231</v>
      </c>
      <c r="N4758" t="s">
        <v>47</v>
      </c>
      <c r="O4758" s="3">
        <v>44153</v>
      </c>
      <c r="P4758">
        <v>-1</v>
      </c>
      <c r="T4758" t="s">
        <v>26</v>
      </c>
      <c r="U4758">
        <v>166</v>
      </c>
      <c r="V4758">
        <v>26.3</v>
      </c>
    </row>
    <row r="4759" spans="1:22" x14ac:dyDescent="0.35">
      <c r="A4759" s="3">
        <v>43922</v>
      </c>
      <c r="B4759" t="s">
        <v>52</v>
      </c>
      <c r="C4759">
        <v>37.6</v>
      </c>
      <c r="D4759">
        <v>40.69</v>
      </c>
      <c r="E4759">
        <v>37.549999999999997</v>
      </c>
      <c r="F4759">
        <v>39.81</v>
      </c>
      <c r="G4759">
        <v>40.375</v>
      </c>
      <c r="H4759">
        <v>3.15</v>
      </c>
      <c r="I4759">
        <v>10653</v>
      </c>
      <c r="J4759">
        <v>0</v>
      </c>
      <c r="K4759">
        <v>28291</v>
      </c>
      <c r="L4759">
        <v>54</v>
      </c>
      <c r="M4759">
        <v>77</v>
      </c>
      <c r="N4759" t="s">
        <v>52</v>
      </c>
      <c r="O4759" s="3">
        <v>43999</v>
      </c>
      <c r="P4759">
        <v>-1</v>
      </c>
      <c r="T4759" t="s">
        <v>34</v>
      </c>
      <c r="U4759">
        <v>1</v>
      </c>
      <c r="V4759">
        <v>21.072600000000001</v>
      </c>
    </row>
    <row r="4760" spans="1:22" x14ac:dyDescent="0.35">
      <c r="A4760" s="3">
        <v>43922</v>
      </c>
      <c r="B4760" t="s">
        <v>49</v>
      </c>
      <c r="C4760">
        <v>30.4</v>
      </c>
      <c r="D4760">
        <v>32.619999999999997</v>
      </c>
      <c r="E4760">
        <v>29.55</v>
      </c>
      <c r="F4760">
        <v>32.21</v>
      </c>
      <c r="G4760">
        <v>32.524999999999999</v>
      </c>
      <c r="H4760">
        <v>2.4249999999999998</v>
      </c>
      <c r="I4760">
        <v>3559</v>
      </c>
      <c r="J4760">
        <v>0</v>
      </c>
      <c r="K4760">
        <v>10991</v>
      </c>
      <c r="L4760">
        <v>118</v>
      </c>
      <c r="M4760">
        <v>168</v>
      </c>
      <c r="N4760" t="s">
        <v>49</v>
      </c>
      <c r="O4760" s="3">
        <v>44090</v>
      </c>
      <c r="P4760">
        <v>-1</v>
      </c>
      <c r="S4760" s="3">
        <v>44552</v>
      </c>
      <c r="T4760" t="s">
        <v>33</v>
      </c>
      <c r="U4760">
        <v>18</v>
      </c>
      <c r="V4760">
        <v>21.800699999999999</v>
      </c>
    </row>
    <row r="4761" spans="1:22" x14ac:dyDescent="0.35">
      <c r="A4761" s="3">
        <v>43921</v>
      </c>
      <c r="B4761" t="s">
        <v>51</v>
      </c>
      <c r="C4761">
        <v>34.270000000000003</v>
      </c>
      <c r="D4761">
        <v>34.85</v>
      </c>
      <c r="E4761">
        <v>33.04</v>
      </c>
      <c r="F4761">
        <v>33.950000000000003</v>
      </c>
      <c r="G4761">
        <v>33.924999999999997</v>
      </c>
      <c r="H4761">
        <v>-0.375</v>
      </c>
      <c r="I4761">
        <v>7034</v>
      </c>
      <c r="J4761">
        <v>0</v>
      </c>
      <c r="K4761">
        <v>23298</v>
      </c>
      <c r="L4761">
        <v>80</v>
      </c>
      <c r="M4761">
        <v>113</v>
      </c>
      <c r="N4761" t="s">
        <v>51</v>
      </c>
      <c r="O4761" s="3">
        <v>44034</v>
      </c>
      <c r="P4761">
        <v>-1</v>
      </c>
      <c r="T4761" t="s">
        <v>32</v>
      </c>
      <c r="U4761">
        <v>38</v>
      </c>
      <c r="V4761">
        <v>23.548300000000001</v>
      </c>
    </row>
    <row r="4762" spans="1:22" x14ac:dyDescent="0.35">
      <c r="A4762" s="3">
        <v>43921</v>
      </c>
      <c r="B4762" t="s">
        <v>48</v>
      </c>
      <c r="C4762">
        <v>30</v>
      </c>
      <c r="D4762">
        <v>30.07</v>
      </c>
      <c r="E4762">
        <v>29.2</v>
      </c>
      <c r="F4762">
        <v>29.95</v>
      </c>
      <c r="G4762">
        <v>29.925000000000001</v>
      </c>
      <c r="H4762">
        <v>0.15</v>
      </c>
      <c r="I4762">
        <v>1450</v>
      </c>
      <c r="J4762">
        <v>0</v>
      </c>
      <c r="K4762">
        <v>11356</v>
      </c>
      <c r="L4762">
        <v>144</v>
      </c>
      <c r="M4762">
        <v>204</v>
      </c>
      <c r="N4762" t="s">
        <v>48</v>
      </c>
      <c r="O4762" s="3">
        <v>44125</v>
      </c>
      <c r="P4762">
        <v>-1</v>
      </c>
      <c r="T4762" t="s">
        <v>31</v>
      </c>
      <c r="U4762">
        <v>56</v>
      </c>
      <c r="V4762">
        <v>24.712599999999998</v>
      </c>
    </row>
    <row r="4763" spans="1:22" x14ac:dyDescent="0.35">
      <c r="A4763" s="3">
        <v>43921</v>
      </c>
      <c r="B4763" t="s">
        <v>53</v>
      </c>
      <c r="C4763">
        <v>42.72</v>
      </c>
      <c r="D4763">
        <v>44.05</v>
      </c>
      <c r="E4763">
        <v>40.17</v>
      </c>
      <c r="F4763">
        <v>41.2</v>
      </c>
      <c r="G4763">
        <v>40.924999999999997</v>
      </c>
      <c r="H4763">
        <v>-1.825</v>
      </c>
      <c r="I4763">
        <v>46890</v>
      </c>
      <c r="J4763">
        <v>0</v>
      </c>
      <c r="K4763">
        <v>68864</v>
      </c>
      <c r="L4763">
        <v>36</v>
      </c>
      <c r="M4763">
        <v>50</v>
      </c>
      <c r="N4763" t="s">
        <v>53</v>
      </c>
      <c r="O4763" s="3">
        <v>43971</v>
      </c>
      <c r="P4763">
        <v>-1</v>
      </c>
      <c r="T4763" t="s">
        <v>30</v>
      </c>
      <c r="U4763">
        <v>82</v>
      </c>
      <c r="V4763">
        <v>25.613399999999999</v>
      </c>
    </row>
    <row r="4764" spans="1:22" x14ac:dyDescent="0.35">
      <c r="A4764" s="3">
        <v>43921</v>
      </c>
      <c r="B4764" t="s">
        <v>50</v>
      </c>
      <c r="C4764">
        <v>31.45</v>
      </c>
      <c r="D4764">
        <v>31.8</v>
      </c>
      <c r="E4764">
        <v>30.6</v>
      </c>
      <c r="F4764">
        <v>31.65</v>
      </c>
      <c r="G4764">
        <v>31.675000000000001</v>
      </c>
      <c r="H4764">
        <v>0.25</v>
      </c>
      <c r="I4764">
        <v>3554</v>
      </c>
      <c r="J4764">
        <v>0</v>
      </c>
      <c r="K4764">
        <v>12126</v>
      </c>
      <c r="L4764">
        <v>100</v>
      </c>
      <c r="M4764">
        <v>141</v>
      </c>
      <c r="N4764" t="s">
        <v>50</v>
      </c>
      <c r="O4764" s="3">
        <v>44062</v>
      </c>
      <c r="P4764">
        <v>-1</v>
      </c>
      <c r="T4764" t="s">
        <v>29</v>
      </c>
      <c r="U4764">
        <v>102</v>
      </c>
      <c r="V4764">
        <v>25.912700000000001</v>
      </c>
    </row>
    <row r="4765" spans="1:22" x14ac:dyDescent="0.35">
      <c r="A4765" s="3">
        <v>43921</v>
      </c>
      <c r="B4765" t="s">
        <v>47</v>
      </c>
      <c r="C4765">
        <v>28.64</v>
      </c>
      <c r="D4765">
        <v>28.8</v>
      </c>
      <c r="E4765">
        <v>28</v>
      </c>
      <c r="F4765">
        <v>28.7</v>
      </c>
      <c r="G4765">
        <v>28.7</v>
      </c>
      <c r="H4765">
        <v>0.1</v>
      </c>
      <c r="I4765">
        <v>401</v>
      </c>
      <c r="J4765">
        <v>0</v>
      </c>
      <c r="K4765">
        <v>5722</v>
      </c>
      <c r="L4765">
        <v>164</v>
      </c>
      <c r="M4765">
        <v>232</v>
      </c>
      <c r="N4765" t="s">
        <v>47</v>
      </c>
      <c r="O4765" s="3">
        <v>44153</v>
      </c>
      <c r="P4765">
        <v>-1</v>
      </c>
      <c r="T4765" t="s">
        <v>28</v>
      </c>
      <c r="U4765">
        <v>121</v>
      </c>
      <c r="V4765">
        <v>26.0794</v>
      </c>
    </row>
    <row r="4766" spans="1:22" x14ac:dyDescent="0.35">
      <c r="A4766" s="3">
        <v>43921</v>
      </c>
      <c r="B4766" t="s">
        <v>52</v>
      </c>
      <c r="C4766">
        <v>38.229999999999997</v>
      </c>
      <c r="D4766">
        <v>39</v>
      </c>
      <c r="E4766">
        <v>36.049999999999997</v>
      </c>
      <c r="F4766">
        <v>37.4</v>
      </c>
      <c r="G4766">
        <v>37.225000000000001</v>
      </c>
      <c r="H4766">
        <v>-0.95</v>
      </c>
      <c r="I4766">
        <v>15202</v>
      </c>
      <c r="J4766">
        <v>0</v>
      </c>
      <c r="K4766">
        <v>28491</v>
      </c>
      <c r="L4766">
        <v>55</v>
      </c>
      <c r="M4766">
        <v>78</v>
      </c>
      <c r="N4766" t="s">
        <v>52</v>
      </c>
      <c r="O4766" s="3">
        <v>43999</v>
      </c>
      <c r="P4766">
        <v>-1</v>
      </c>
      <c r="T4766" t="s">
        <v>22</v>
      </c>
      <c r="U4766">
        <v>145</v>
      </c>
      <c r="V4766">
        <v>26.416699999999999</v>
      </c>
    </row>
    <row r="4767" spans="1:22" x14ac:dyDescent="0.35">
      <c r="A4767" s="3">
        <v>43921</v>
      </c>
      <c r="B4767" t="s">
        <v>49</v>
      </c>
      <c r="C4767">
        <v>30.1</v>
      </c>
      <c r="D4767">
        <v>30.2</v>
      </c>
      <c r="E4767">
        <v>29.15</v>
      </c>
      <c r="F4767">
        <v>30.1</v>
      </c>
      <c r="G4767">
        <v>30.1</v>
      </c>
      <c r="H4767">
        <v>0.17499999999999999</v>
      </c>
      <c r="I4767">
        <v>2760</v>
      </c>
      <c r="J4767">
        <v>0</v>
      </c>
      <c r="K4767">
        <v>10652</v>
      </c>
      <c r="L4767">
        <v>119</v>
      </c>
      <c r="M4767">
        <v>169</v>
      </c>
      <c r="N4767" t="s">
        <v>49</v>
      </c>
      <c r="O4767" s="3">
        <v>44090</v>
      </c>
      <c r="P4767">
        <v>-1</v>
      </c>
      <c r="T4767" t="s">
        <v>26</v>
      </c>
      <c r="U4767">
        <v>165</v>
      </c>
      <c r="V4767">
        <v>26.175000000000001</v>
      </c>
    </row>
    <row r="4768" spans="1:22" x14ac:dyDescent="0.35">
      <c r="A4768" s="3">
        <v>43921</v>
      </c>
      <c r="B4768" t="s">
        <v>54</v>
      </c>
      <c r="C4768">
        <v>49.6</v>
      </c>
      <c r="D4768">
        <v>51.3</v>
      </c>
      <c r="E4768">
        <v>45.9</v>
      </c>
      <c r="F4768">
        <v>47.25</v>
      </c>
      <c r="G4768">
        <v>46.774999999999999</v>
      </c>
      <c r="H4768">
        <v>-3</v>
      </c>
      <c r="I4768">
        <v>65552</v>
      </c>
      <c r="J4768">
        <v>0</v>
      </c>
      <c r="K4768">
        <v>74363</v>
      </c>
      <c r="L4768">
        <v>11</v>
      </c>
      <c r="M4768">
        <v>15</v>
      </c>
      <c r="N4768" t="s">
        <v>54</v>
      </c>
      <c r="O4768" s="3">
        <v>43936</v>
      </c>
      <c r="P4768">
        <v>-1</v>
      </c>
      <c r="T4768" t="s">
        <v>34</v>
      </c>
      <c r="U4768">
        <v>0</v>
      </c>
      <c r="V4768">
        <v>20.83</v>
      </c>
    </row>
    <row r="4769" spans="1:22" x14ac:dyDescent="0.35">
      <c r="A4769" s="3">
        <v>43920</v>
      </c>
      <c r="B4769" t="s">
        <v>54</v>
      </c>
      <c r="C4769">
        <v>55.45</v>
      </c>
      <c r="D4769">
        <v>56.65</v>
      </c>
      <c r="E4769">
        <v>49.55</v>
      </c>
      <c r="F4769">
        <v>49.65</v>
      </c>
      <c r="G4769">
        <v>49.774999999999999</v>
      </c>
      <c r="H4769">
        <v>-3.65</v>
      </c>
      <c r="I4769">
        <v>56924</v>
      </c>
      <c r="J4769">
        <v>0</v>
      </c>
      <c r="K4769">
        <v>80178</v>
      </c>
      <c r="L4769">
        <v>12</v>
      </c>
      <c r="M4769">
        <v>16</v>
      </c>
      <c r="N4769" t="s">
        <v>54</v>
      </c>
      <c r="O4769" s="3">
        <v>43936</v>
      </c>
      <c r="P4769">
        <v>-1</v>
      </c>
      <c r="S4769" s="3">
        <v>44553</v>
      </c>
      <c r="T4769" t="s">
        <v>33</v>
      </c>
      <c r="U4769">
        <v>17</v>
      </c>
      <c r="V4769">
        <v>21.651800000000001</v>
      </c>
    </row>
    <row r="4770" spans="1:22" x14ac:dyDescent="0.35">
      <c r="A4770" s="3">
        <v>43920</v>
      </c>
      <c r="B4770" t="s">
        <v>51</v>
      </c>
      <c r="C4770">
        <v>35.46</v>
      </c>
      <c r="D4770">
        <v>36.25</v>
      </c>
      <c r="E4770">
        <v>33.75</v>
      </c>
      <c r="F4770">
        <v>34.299999999999997</v>
      </c>
      <c r="G4770">
        <v>34.299999999999997</v>
      </c>
      <c r="H4770">
        <v>-1.05</v>
      </c>
      <c r="I4770">
        <v>4258</v>
      </c>
      <c r="J4770">
        <v>0</v>
      </c>
      <c r="K4770">
        <v>22301</v>
      </c>
      <c r="L4770">
        <v>81</v>
      </c>
      <c r="M4770">
        <v>114</v>
      </c>
      <c r="N4770" t="s">
        <v>51</v>
      </c>
      <c r="O4770" s="3">
        <v>44034</v>
      </c>
      <c r="P4770">
        <v>-1</v>
      </c>
      <c r="T4770" t="s">
        <v>32</v>
      </c>
      <c r="U4770">
        <v>37</v>
      </c>
      <c r="V4770">
        <v>23.3994</v>
      </c>
    </row>
    <row r="4771" spans="1:22" x14ac:dyDescent="0.35">
      <c r="A4771" s="3">
        <v>43920</v>
      </c>
      <c r="B4771" t="s">
        <v>48</v>
      </c>
      <c r="C4771">
        <v>31.4</v>
      </c>
      <c r="D4771">
        <v>31.4</v>
      </c>
      <c r="E4771">
        <v>29.5</v>
      </c>
      <c r="F4771">
        <v>29.7</v>
      </c>
      <c r="G4771">
        <v>29.774999999999999</v>
      </c>
      <c r="H4771">
        <v>-0.875</v>
      </c>
      <c r="I4771">
        <v>1917</v>
      </c>
      <c r="J4771">
        <v>700</v>
      </c>
      <c r="K4771">
        <v>11363</v>
      </c>
      <c r="L4771">
        <v>145</v>
      </c>
      <c r="M4771">
        <v>205</v>
      </c>
      <c r="N4771" t="s">
        <v>48</v>
      </c>
      <c r="O4771" s="3">
        <v>44125</v>
      </c>
      <c r="P4771">
        <v>-1</v>
      </c>
      <c r="T4771" t="s">
        <v>31</v>
      </c>
      <c r="U4771">
        <v>55</v>
      </c>
      <c r="V4771">
        <v>24.599</v>
      </c>
    </row>
    <row r="4772" spans="1:22" x14ac:dyDescent="0.35">
      <c r="A4772" s="3">
        <v>43920</v>
      </c>
      <c r="B4772" t="s">
        <v>53</v>
      </c>
      <c r="C4772">
        <v>46.45</v>
      </c>
      <c r="D4772">
        <v>46.7</v>
      </c>
      <c r="E4772">
        <v>42.05</v>
      </c>
      <c r="F4772">
        <v>42.54</v>
      </c>
      <c r="G4772">
        <v>42.75</v>
      </c>
      <c r="H4772">
        <v>-2.0750000000000002</v>
      </c>
      <c r="I4772">
        <v>34568</v>
      </c>
      <c r="J4772">
        <v>0</v>
      </c>
      <c r="K4772">
        <v>68489</v>
      </c>
      <c r="L4772">
        <v>37</v>
      </c>
      <c r="M4772">
        <v>51</v>
      </c>
      <c r="N4772" t="s">
        <v>53</v>
      </c>
      <c r="O4772" s="3">
        <v>43971</v>
      </c>
      <c r="P4772">
        <v>-1</v>
      </c>
      <c r="T4772" t="s">
        <v>30</v>
      </c>
      <c r="U4772">
        <v>81</v>
      </c>
      <c r="V4772">
        <v>25.550799999999999</v>
      </c>
    </row>
    <row r="4773" spans="1:22" x14ac:dyDescent="0.35">
      <c r="A4773" s="3">
        <v>43920</v>
      </c>
      <c r="B4773" t="s">
        <v>50</v>
      </c>
      <c r="C4773">
        <v>32.700000000000003</v>
      </c>
      <c r="D4773">
        <v>32.950000000000003</v>
      </c>
      <c r="E4773">
        <v>30.88</v>
      </c>
      <c r="F4773">
        <v>31.45</v>
      </c>
      <c r="G4773">
        <v>31.425000000000001</v>
      </c>
      <c r="H4773">
        <v>-0.82499999999999996</v>
      </c>
      <c r="I4773">
        <v>1776</v>
      </c>
      <c r="J4773">
        <v>0</v>
      </c>
      <c r="K4773">
        <v>12188</v>
      </c>
      <c r="L4773">
        <v>101</v>
      </c>
      <c r="M4773">
        <v>142</v>
      </c>
      <c r="N4773" t="s">
        <v>50</v>
      </c>
      <c r="O4773" s="3">
        <v>44062</v>
      </c>
      <c r="P4773">
        <v>-1</v>
      </c>
      <c r="T4773" t="s">
        <v>29</v>
      </c>
      <c r="U4773">
        <v>101</v>
      </c>
      <c r="V4773">
        <v>25.9512</v>
      </c>
    </row>
    <row r="4774" spans="1:22" x14ac:dyDescent="0.35">
      <c r="A4774" s="3">
        <v>43920</v>
      </c>
      <c r="B4774" t="s">
        <v>47</v>
      </c>
      <c r="C4774">
        <v>29.85</v>
      </c>
      <c r="D4774">
        <v>30.15</v>
      </c>
      <c r="E4774">
        <v>28.4</v>
      </c>
      <c r="F4774">
        <v>28.6</v>
      </c>
      <c r="G4774">
        <v>28.6</v>
      </c>
      <c r="H4774">
        <v>-0.72499999999999998</v>
      </c>
      <c r="I4774">
        <v>272</v>
      </c>
      <c r="J4774">
        <v>0</v>
      </c>
      <c r="K4774">
        <v>5718</v>
      </c>
      <c r="L4774">
        <v>165</v>
      </c>
      <c r="M4774">
        <v>233</v>
      </c>
      <c r="N4774" t="s">
        <v>47</v>
      </c>
      <c r="O4774" s="3">
        <v>44153</v>
      </c>
      <c r="P4774">
        <v>-1</v>
      </c>
      <c r="T4774" t="s">
        <v>28</v>
      </c>
      <c r="U4774">
        <v>120</v>
      </c>
      <c r="V4774">
        <v>26.0839</v>
      </c>
    </row>
    <row r="4775" spans="1:22" x14ac:dyDescent="0.35">
      <c r="A4775" s="3">
        <v>43920</v>
      </c>
      <c r="B4775" t="s">
        <v>52</v>
      </c>
      <c r="C4775">
        <v>39.61</v>
      </c>
      <c r="D4775">
        <v>40.98</v>
      </c>
      <c r="E4775">
        <v>37.25</v>
      </c>
      <c r="F4775">
        <v>38.15</v>
      </c>
      <c r="G4775">
        <v>38.174999999999997</v>
      </c>
      <c r="H4775">
        <v>-1.2749999999999999</v>
      </c>
      <c r="I4775">
        <v>7049</v>
      </c>
      <c r="J4775">
        <v>0</v>
      </c>
      <c r="K4775">
        <v>27659</v>
      </c>
      <c r="L4775">
        <v>56</v>
      </c>
      <c r="M4775">
        <v>79</v>
      </c>
      <c r="N4775" t="s">
        <v>52</v>
      </c>
      <c r="O4775" s="3">
        <v>43999</v>
      </c>
      <c r="P4775">
        <v>-1</v>
      </c>
      <c r="T4775" t="s">
        <v>22</v>
      </c>
      <c r="U4775">
        <v>144</v>
      </c>
      <c r="V4775">
        <v>26.435700000000001</v>
      </c>
    </row>
    <row r="4776" spans="1:22" x14ac:dyDescent="0.35">
      <c r="A4776" s="3">
        <v>43920</v>
      </c>
      <c r="B4776" t="s">
        <v>49</v>
      </c>
      <c r="C4776">
        <v>31.29</v>
      </c>
      <c r="D4776">
        <v>31.51</v>
      </c>
      <c r="E4776">
        <v>29.52</v>
      </c>
      <c r="F4776">
        <v>29.9</v>
      </c>
      <c r="G4776">
        <v>29.925000000000001</v>
      </c>
      <c r="H4776">
        <v>-0.92500000000000004</v>
      </c>
      <c r="I4776">
        <v>1372</v>
      </c>
      <c r="J4776">
        <v>0</v>
      </c>
      <c r="K4776">
        <v>10377</v>
      </c>
      <c r="L4776">
        <v>120</v>
      </c>
      <c r="M4776">
        <v>170</v>
      </c>
      <c r="N4776" t="s">
        <v>49</v>
      </c>
      <c r="O4776" s="3">
        <v>44090</v>
      </c>
      <c r="P4776">
        <v>-1</v>
      </c>
      <c r="T4776" t="s">
        <v>26</v>
      </c>
      <c r="U4776">
        <v>164</v>
      </c>
      <c r="V4776">
        <v>26.175000000000001</v>
      </c>
    </row>
    <row r="4777" spans="1:22" x14ac:dyDescent="0.35">
      <c r="A4777" s="3">
        <v>43917</v>
      </c>
      <c r="B4777" t="s">
        <v>51</v>
      </c>
      <c r="C4777">
        <v>32.409999999999997</v>
      </c>
      <c r="D4777">
        <v>35.6</v>
      </c>
      <c r="E4777">
        <v>32.270000000000003</v>
      </c>
      <c r="F4777">
        <v>35.35</v>
      </c>
      <c r="G4777">
        <v>35.35</v>
      </c>
      <c r="H4777">
        <v>3.0249999999999999</v>
      </c>
      <c r="I4777">
        <v>4291</v>
      </c>
      <c r="J4777">
        <v>0</v>
      </c>
      <c r="K4777">
        <v>22054</v>
      </c>
      <c r="L4777">
        <v>82</v>
      </c>
      <c r="M4777">
        <v>117</v>
      </c>
      <c r="N4777" t="s">
        <v>51</v>
      </c>
      <c r="O4777" s="3">
        <v>44034</v>
      </c>
      <c r="P4777">
        <v>-1</v>
      </c>
      <c r="S4777" s="3">
        <v>44557</v>
      </c>
      <c r="T4777" t="s">
        <v>33</v>
      </c>
      <c r="U4777">
        <v>15</v>
      </c>
      <c r="V4777">
        <v>21.005299999999998</v>
      </c>
    </row>
    <row r="4778" spans="1:22" x14ac:dyDescent="0.35">
      <c r="A4778" s="3">
        <v>43917</v>
      </c>
      <c r="B4778" t="s">
        <v>48</v>
      </c>
      <c r="C4778">
        <v>29.2</v>
      </c>
      <c r="D4778">
        <v>31.2</v>
      </c>
      <c r="E4778">
        <v>29.2</v>
      </c>
      <c r="F4778">
        <v>30.72</v>
      </c>
      <c r="G4778">
        <v>30.65</v>
      </c>
      <c r="H4778">
        <v>1.7749999999999999</v>
      </c>
      <c r="I4778">
        <v>1683</v>
      </c>
      <c r="J4778">
        <v>0</v>
      </c>
      <c r="K4778">
        <v>11562</v>
      </c>
      <c r="L4778">
        <v>146</v>
      </c>
      <c r="M4778">
        <v>208</v>
      </c>
      <c r="N4778" t="s">
        <v>48</v>
      </c>
      <c r="O4778" s="3">
        <v>44125</v>
      </c>
      <c r="P4778">
        <v>-1</v>
      </c>
      <c r="T4778" t="s">
        <v>32</v>
      </c>
      <c r="U4778">
        <v>35</v>
      </c>
      <c r="V4778">
        <v>23.030200000000001</v>
      </c>
    </row>
    <row r="4779" spans="1:22" x14ac:dyDescent="0.35">
      <c r="A4779" s="3">
        <v>43917</v>
      </c>
      <c r="B4779" t="s">
        <v>53</v>
      </c>
      <c r="C4779">
        <v>39.65</v>
      </c>
      <c r="D4779">
        <v>44.9</v>
      </c>
      <c r="E4779">
        <v>39.35</v>
      </c>
      <c r="F4779">
        <v>44.75</v>
      </c>
      <c r="G4779">
        <v>44.825000000000003</v>
      </c>
      <c r="H4779">
        <v>5.1749999999999998</v>
      </c>
      <c r="I4779">
        <v>45238</v>
      </c>
      <c r="J4779">
        <v>1035</v>
      </c>
      <c r="K4779">
        <v>67021</v>
      </c>
      <c r="L4779">
        <v>38</v>
      </c>
      <c r="M4779">
        <v>54</v>
      </c>
      <c r="N4779" t="s">
        <v>53</v>
      </c>
      <c r="O4779" s="3">
        <v>43971</v>
      </c>
      <c r="P4779">
        <v>-1</v>
      </c>
      <c r="T4779" t="s">
        <v>31</v>
      </c>
      <c r="U4779">
        <v>53</v>
      </c>
      <c r="V4779">
        <v>24.3004</v>
      </c>
    </row>
    <row r="4780" spans="1:22" x14ac:dyDescent="0.35">
      <c r="A4780" s="3">
        <v>43917</v>
      </c>
      <c r="B4780" t="s">
        <v>50</v>
      </c>
      <c r="C4780">
        <v>30.02</v>
      </c>
      <c r="D4780">
        <v>32.67</v>
      </c>
      <c r="E4780">
        <v>29.85</v>
      </c>
      <c r="F4780">
        <v>32.35</v>
      </c>
      <c r="G4780">
        <v>32.25</v>
      </c>
      <c r="H4780">
        <v>2.4249999999999998</v>
      </c>
      <c r="I4780">
        <v>2634</v>
      </c>
      <c r="J4780">
        <v>0</v>
      </c>
      <c r="K4780">
        <v>12317</v>
      </c>
      <c r="L4780">
        <v>102</v>
      </c>
      <c r="M4780">
        <v>145</v>
      </c>
      <c r="N4780" t="s">
        <v>50</v>
      </c>
      <c r="O4780" s="3">
        <v>44062</v>
      </c>
      <c r="P4780">
        <v>-1</v>
      </c>
      <c r="T4780" t="s">
        <v>30</v>
      </c>
      <c r="U4780">
        <v>79</v>
      </c>
      <c r="V4780">
        <v>25.2561</v>
      </c>
    </row>
    <row r="4781" spans="1:22" x14ac:dyDescent="0.35">
      <c r="A4781" s="3">
        <v>43917</v>
      </c>
      <c r="B4781" t="s">
        <v>47</v>
      </c>
      <c r="C4781">
        <v>28.35</v>
      </c>
      <c r="D4781">
        <v>30.05</v>
      </c>
      <c r="E4781">
        <v>28</v>
      </c>
      <c r="F4781">
        <v>29.35</v>
      </c>
      <c r="G4781">
        <v>29.324999999999999</v>
      </c>
      <c r="H4781">
        <v>1.4750000000000001</v>
      </c>
      <c r="I4781">
        <v>620</v>
      </c>
      <c r="J4781">
        <v>0</v>
      </c>
      <c r="K4781">
        <v>5709</v>
      </c>
      <c r="L4781">
        <v>166</v>
      </c>
      <c r="M4781">
        <v>236</v>
      </c>
      <c r="N4781" t="s">
        <v>47</v>
      </c>
      <c r="O4781" s="3">
        <v>44153</v>
      </c>
      <c r="P4781">
        <v>-1</v>
      </c>
      <c r="T4781" t="s">
        <v>29</v>
      </c>
      <c r="U4781">
        <v>99</v>
      </c>
      <c r="V4781">
        <v>25.697099999999999</v>
      </c>
    </row>
    <row r="4782" spans="1:22" x14ac:dyDescent="0.35">
      <c r="A4782" s="3">
        <v>43917</v>
      </c>
      <c r="B4782" t="s">
        <v>52</v>
      </c>
      <c r="C4782">
        <v>35.590000000000003</v>
      </c>
      <c r="D4782">
        <v>39.549999999999997</v>
      </c>
      <c r="E4782">
        <v>35.299999999999997</v>
      </c>
      <c r="F4782">
        <v>39.5</v>
      </c>
      <c r="G4782">
        <v>39.450000000000003</v>
      </c>
      <c r="H4782">
        <v>3.9249999999999998</v>
      </c>
      <c r="I4782">
        <v>7764</v>
      </c>
      <c r="J4782">
        <v>0</v>
      </c>
      <c r="K4782">
        <v>27617</v>
      </c>
      <c r="L4782">
        <v>57</v>
      </c>
      <c r="M4782">
        <v>82</v>
      </c>
      <c r="N4782" t="s">
        <v>52</v>
      </c>
      <c r="O4782" s="3">
        <v>43999</v>
      </c>
      <c r="P4782">
        <v>-1</v>
      </c>
      <c r="T4782" t="s">
        <v>28</v>
      </c>
      <c r="U4782">
        <v>118</v>
      </c>
      <c r="V4782">
        <v>25.8489</v>
      </c>
    </row>
    <row r="4783" spans="1:22" x14ac:dyDescent="0.35">
      <c r="A4783" s="3">
        <v>43917</v>
      </c>
      <c r="B4783" t="s">
        <v>49</v>
      </c>
      <c r="C4783">
        <v>28.8</v>
      </c>
      <c r="D4783">
        <v>31.06</v>
      </c>
      <c r="E4783">
        <v>28.8</v>
      </c>
      <c r="F4783">
        <v>30.86</v>
      </c>
      <c r="G4783">
        <v>30.85</v>
      </c>
      <c r="H4783">
        <v>2.2000000000000002</v>
      </c>
      <c r="I4783">
        <v>1937</v>
      </c>
      <c r="J4783">
        <v>0</v>
      </c>
      <c r="K4783">
        <v>10305</v>
      </c>
      <c r="L4783">
        <v>121</v>
      </c>
      <c r="M4783">
        <v>173</v>
      </c>
      <c r="N4783" t="s">
        <v>49</v>
      </c>
      <c r="O4783" s="3">
        <v>44090</v>
      </c>
      <c r="P4783">
        <v>-1</v>
      </c>
      <c r="T4783" t="s">
        <v>22</v>
      </c>
      <c r="U4783">
        <v>142</v>
      </c>
      <c r="V4783">
        <v>26.2</v>
      </c>
    </row>
    <row r="4784" spans="1:22" x14ac:dyDescent="0.35">
      <c r="A4784" s="3">
        <v>43917</v>
      </c>
      <c r="B4784" t="s">
        <v>46</v>
      </c>
      <c r="C4784">
        <v>29.25</v>
      </c>
      <c r="D4784">
        <v>29.25</v>
      </c>
      <c r="E4784">
        <v>29.25</v>
      </c>
      <c r="F4784">
        <v>29.25</v>
      </c>
      <c r="G4784">
        <v>32.024999999999999</v>
      </c>
      <c r="H4784">
        <v>2.5750000000000002</v>
      </c>
      <c r="I4784">
        <v>1</v>
      </c>
      <c r="J4784">
        <v>0</v>
      </c>
      <c r="K4784">
        <v>1</v>
      </c>
      <c r="L4784">
        <v>185</v>
      </c>
      <c r="M4784">
        <v>264</v>
      </c>
      <c r="N4784" t="s">
        <v>46</v>
      </c>
      <c r="O4784" s="3">
        <v>44181</v>
      </c>
      <c r="P4784">
        <v>-1</v>
      </c>
      <c r="T4784" t="s">
        <v>26</v>
      </c>
      <c r="U4784">
        <v>162</v>
      </c>
      <c r="V4784">
        <v>26.05</v>
      </c>
    </row>
    <row r="4785" spans="1:22" x14ac:dyDescent="0.35">
      <c r="A4785" s="3">
        <v>43917</v>
      </c>
      <c r="B4785" t="s">
        <v>54</v>
      </c>
      <c r="C4785">
        <v>46.35</v>
      </c>
      <c r="D4785">
        <v>53.65</v>
      </c>
      <c r="E4785">
        <v>45.65</v>
      </c>
      <c r="F4785">
        <v>53.4</v>
      </c>
      <c r="G4785">
        <v>53.424999999999997</v>
      </c>
      <c r="H4785">
        <v>7.55</v>
      </c>
      <c r="I4785">
        <v>63962</v>
      </c>
      <c r="J4785">
        <v>60</v>
      </c>
      <c r="K4785">
        <v>86700</v>
      </c>
      <c r="L4785">
        <v>13</v>
      </c>
      <c r="M4785">
        <v>19</v>
      </c>
      <c r="N4785" t="s">
        <v>54</v>
      </c>
      <c r="O4785" s="3">
        <v>43936</v>
      </c>
      <c r="P4785">
        <v>-1</v>
      </c>
      <c r="T4785" t="s">
        <v>27</v>
      </c>
      <c r="U4785">
        <v>186</v>
      </c>
      <c r="V4785">
        <v>26.05</v>
      </c>
    </row>
    <row r="4786" spans="1:22" x14ac:dyDescent="0.35">
      <c r="A4786" s="3">
        <v>43916</v>
      </c>
      <c r="B4786" t="s">
        <v>54</v>
      </c>
      <c r="C4786">
        <v>51.5</v>
      </c>
      <c r="D4786">
        <v>56</v>
      </c>
      <c r="E4786">
        <v>45.7</v>
      </c>
      <c r="F4786">
        <v>46.35</v>
      </c>
      <c r="G4786">
        <v>45.875</v>
      </c>
      <c r="H4786">
        <v>-5.4</v>
      </c>
      <c r="I4786">
        <v>98487</v>
      </c>
      <c r="J4786">
        <v>3979</v>
      </c>
      <c r="K4786">
        <v>88871</v>
      </c>
      <c r="L4786">
        <v>14</v>
      </c>
      <c r="M4786">
        <v>20</v>
      </c>
      <c r="N4786" t="s">
        <v>54</v>
      </c>
      <c r="O4786" s="3">
        <v>43936</v>
      </c>
      <c r="P4786">
        <v>-1</v>
      </c>
      <c r="S4786" s="3">
        <v>44558</v>
      </c>
      <c r="T4786" t="s">
        <v>33</v>
      </c>
      <c r="U4786">
        <v>15</v>
      </c>
      <c r="V4786">
        <v>20.5305</v>
      </c>
    </row>
    <row r="4787" spans="1:22" x14ac:dyDescent="0.35">
      <c r="A4787" s="3">
        <v>43916</v>
      </c>
      <c r="B4787" t="s">
        <v>51</v>
      </c>
      <c r="C4787">
        <v>35.049999999999997</v>
      </c>
      <c r="D4787">
        <v>36.450000000000003</v>
      </c>
      <c r="E4787">
        <v>31.81</v>
      </c>
      <c r="F4787">
        <v>32.35</v>
      </c>
      <c r="G4787">
        <v>32.325000000000003</v>
      </c>
      <c r="H4787">
        <v>-2.4750000000000001</v>
      </c>
      <c r="I4787">
        <v>7176</v>
      </c>
      <c r="J4787">
        <v>0</v>
      </c>
      <c r="K4787">
        <v>21682</v>
      </c>
      <c r="L4787">
        <v>83</v>
      </c>
      <c r="M4787">
        <v>118</v>
      </c>
      <c r="N4787" t="s">
        <v>51</v>
      </c>
      <c r="O4787" s="3">
        <v>44034</v>
      </c>
      <c r="P4787">
        <v>-1</v>
      </c>
      <c r="T4787" t="s">
        <v>32</v>
      </c>
      <c r="U4787">
        <v>35</v>
      </c>
      <c r="V4787">
        <v>22.630299999999998</v>
      </c>
    </row>
    <row r="4788" spans="1:22" x14ac:dyDescent="0.35">
      <c r="A4788" s="3">
        <v>43916</v>
      </c>
      <c r="B4788" t="s">
        <v>48</v>
      </c>
      <c r="C4788">
        <v>30.75</v>
      </c>
      <c r="D4788">
        <v>31.4</v>
      </c>
      <c r="E4788">
        <v>28.65</v>
      </c>
      <c r="F4788">
        <v>28.86</v>
      </c>
      <c r="G4788">
        <v>28.875</v>
      </c>
      <c r="H4788">
        <v>-1.7749999999999999</v>
      </c>
      <c r="I4788">
        <v>2243</v>
      </c>
      <c r="J4788">
        <v>0</v>
      </c>
      <c r="K4788">
        <v>11729</v>
      </c>
      <c r="L4788">
        <v>147</v>
      </c>
      <c r="M4788">
        <v>209</v>
      </c>
      <c r="N4788" t="s">
        <v>48</v>
      </c>
      <c r="O4788" s="3">
        <v>44125</v>
      </c>
      <c r="P4788">
        <v>-1</v>
      </c>
      <c r="T4788" t="s">
        <v>31</v>
      </c>
      <c r="U4788">
        <v>53</v>
      </c>
      <c r="V4788">
        <v>23.906199999999998</v>
      </c>
    </row>
    <row r="4789" spans="1:22" x14ac:dyDescent="0.35">
      <c r="A4789" s="3">
        <v>43916</v>
      </c>
      <c r="B4789" t="s">
        <v>53</v>
      </c>
      <c r="C4789">
        <v>44.2</v>
      </c>
      <c r="D4789">
        <v>47.6</v>
      </c>
      <c r="E4789">
        <v>39.549999999999997</v>
      </c>
      <c r="F4789">
        <v>39.799999999999997</v>
      </c>
      <c r="G4789">
        <v>39.65</v>
      </c>
      <c r="H4789">
        <v>-4.875</v>
      </c>
      <c r="I4789">
        <v>47833</v>
      </c>
      <c r="J4789">
        <v>2914</v>
      </c>
      <c r="K4789">
        <v>62509</v>
      </c>
      <c r="L4789">
        <v>39</v>
      </c>
      <c r="M4789">
        <v>55</v>
      </c>
      <c r="N4789" t="s">
        <v>53</v>
      </c>
      <c r="O4789" s="3">
        <v>43971</v>
      </c>
      <c r="P4789">
        <v>-1</v>
      </c>
      <c r="T4789" t="s">
        <v>30</v>
      </c>
      <c r="U4789">
        <v>79</v>
      </c>
      <c r="V4789">
        <v>24.999300000000002</v>
      </c>
    </row>
    <row r="4790" spans="1:22" x14ac:dyDescent="0.35">
      <c r="A4790" s="3">
        <v>43916</v>
      </c>
      <c r="B4790" t="s">
        <v>50</v>
      </c>
      <c r="C4790">
        <v>31.71</v>
      </c>
      <c r="D4790">
        <v>32.840000000000003</v>
      </c>
      <c r="E4790">
        <v>29.35</v>
      </c>
      <c r="F4790">
        <v>29.88</v>
      </c>
      <c r="G4790">
        <v>29.824999999999999</v>
      </c>
      <c r="H4790">
        <v>-1.85</v>
      </c>
      <c r="I4790">
        <v>4871</v>
      </c>
      <c r="J4790">
        <v>0</v>
      </c>
      <c r="K4790">
        <v>12556</v>
      </c>
      <c r="L4790">
        <v>103</v>
      </c>
      <c r="M4790">
        <v>146</v>
      </c>
      <c r="N4790" t="s">
        <v>50</v>
      </c>
      <c r="O4790" s="3">
        <v>44062</v>
      </c>
      <c r="P4790">
        <v>-1</v>
      </c>
      <c r="T4790" t="s">
        <v>29</v>
      </c>
      <c r="U4790">
        <v>99</v>
      </c>
      <c r="V4790">
        <v>25.4602</v>
      </c>
    </row>
    <row r="4791" spans="1:22" x14ac:dyDescent="0.35">
      <c r="A4791" s="3">
        <v>43916</v>
      </c>
      <c r="B4791" t="s">
        <v>47</v>
      </c>
      <c r="C4791">
        <v>29.6</v>
      </c>
      <c r="D4791">
        <v>29.7</v>
      </c>
      <c r="E4791">
        <v>27.6</v>
      </c>
      <c r="F4791">
        <v>27.7</v>
      </c>
      <c r="G4791">
        <v>27.85</v>
      </c>
      <c r="H4791">
        <v>-1.35</v>
      </c>
      <c r="I4791">
        <v>769</v>
      </c>
      <c r="J4791">
        <v>0</v>
      </c>
      <c r="K4791">
        <v>5851</v>
      </c>
      <c r="L4791">
        <v>167</v>
      </c>
      <c r="M4791">
        <v>237</v>
      </c>
      <c r="N4791" t="s">
        <v>47</v>
      </c>
      <c r="O4791" s="3">
        <v>44153</v>
      </c>
      <c r="P4791">
        <v>-1</v>
      </c>
      <c r="T4791" t="s">
        <v>28</v>
      </c>
      <c r="U4791">
        <v>118</v>
      </c>
      <c r="V4791">
        <v>25.662500000000001</v>
      </c>
    </row>
    <row r="4792" spans="1:22" x14ac:dyDescent="0.35">
      <c r="A4792" s="3">
        <v>43916</v>
      </c>
      <c r="B4792" t="s">
        <v>52</v>
      </c>
      <c r="C4792">
        <v>39.450000000000003</v>
      </c>
      <c r="D4792">
        <v>41.8</v>
      </c>
      <c r="E4792">
        <v>35.25</v>
      </c>
      <c r="F4792">
        <v>35.630000000000003</v>
      </c>
      <c r="G4792">
        <v>35.524999999999999</v>
      </c>
      <c r="H4792">
        <v>-3.7250000000000001</v>
      </c>
      <c r="I4792">
        <v>9332</v>
      </c>
      <c r="J4792">
        <v>0</v>
      </c>
      <c r="K4792">
        <v>27360</v>
      </c>
      <c r="L4792">
        <v>58</v>
      </c>
      <c r="M4792">
        <v>83</v>
      </c>
      <c r="N4792" t="s">
        <v>52</v>
      </c>
      <c r="O4792" s="3">
        <v>43999</v>
      </c>
      <c r="P4792">
        <v>-1</v>
      </c>
      <c r="T4792" t="s">
        <v>22</v>
      </c>
      <c r="U4792">
        <v>142</v>
      </c>
      <c r="V4792">
        <v>26.064299999999999</v>
      </c>
    </row>
    <row r="4793" spans="1:22" x14ac:dyDescent="0.35">
      <c r="A4793" s="3">
        <v>43916</v>
      </c>
      <c r="B4793" t="s">
        <v>49</v>
      </c>
      <c r="C4793">
        <v>30.8</v>
      </c>
      <c r="D4793">
        <v>31.25</v>
      </c>
      <c r="E4793">
        <v>28.28</v>
      </c>
      <c r="F4793">
        <v>28.81</v>
      </c>
      <c r="G4793">
        <v>28.65</v>
      </c>
      <c r="H4793">
        <v>-2.0499999999999998</v>
      </c>
      <c r="I4793">
        <v>3814</v>
      </c>
      <c r="J4793">
        <v>0</v>
      </c>
      <c r="K4793">
        <v>10506</v>
      </c>
      <c r="L4793">
        <v>122</v>
      </c>
      <c r="M4793">
        <v>174</v>
      </c>
      <c r="N4793" t="s">
        <v>49</v>
      </c>
      <c r="O4793" s="3">
        <v>44090</v>
      </c>
      <c r="P4793">
        <v>-1</v>
      </c>
      <c r="T4793" t="s">
        <v>26</v>
      </c>
      <c r="U4793">
        <v>162</v>
      </c>
      <c r="V4793">
        <v>25.975000000000001</v>
      </c>
    </row>
    <row r="4794" spans="1:22" x14ac:dyDescent="0.35">
      <c r="A4794" s="3">
        <v>43915</v>
      </c>
      <c r="B4794" t="s">
        <v>51</v>
      </c>
      <c r="C4794">
        <v>30.3</v>
      </c>
      <c r="D4794">
        <v>36.11</v>
      </c>
      <c r="E4794">
        <v>30.1</v>
      </c>
      <c r="F4794">
        <v>35.04</v>
      </c>
      <c r="G4794">
        <v>34.799999999999997</v>
      </c>
      <c r="H4794">
        <v>3.9</v>
      </c>
      <c r="I4794">
        <v>11536</v>
      </c>
      <c r="J4794">
        <v>0</v>
      </c>
      <c r="K4794">
        <v>20605</v>
      </c>
      <c r="L4794">
        <v>84</v>
      </c>
      <c r="M4794">
        <v>119</v>
      </c>
      <c r="N4794" t="s">
        <v>51</v>
      </c>
      <c r="O4794" s="3">
        <v>44034</v>
      </c>
      <c r="P4794">
        <v>-1</v>
      </c>
      <c r="T4794" t="s">
        <v>27</v>
      </c>
      <c r="U4794">
        <v>186</v>
      </c>
      <c r="V4794">
        <v>25.975000000000001</v>
      </c>
    </row>
    <row r="4795" spans="1:22" x14ac:dyDescent="0.35">
      <c r="A4795" s="3">
        <v>43915</v>
      </c>
      <c r="B4795" t="s">
        <v>48</v>
      </c>
      <c r="C4795">
        <v>26.75</v>
      </c>
      <c r="D4795">
        <v>32.15</v>
      </c>
      <c r="E4795">
        <v>26.39</v>
      </c>
      <c r="F4795">
        <v>30.92</v>
      </c>
      <c r="G4795">
        <v>30.65</v>
      </c>
      <c r="H4795">
        <v>3.65</v>
      </c>
      <c r="I4795">
        <v>3121</v>
      </c>
      <c r="J4795">
        <v>0</v>
      </c>
      <c r="K4795">
        <v>11665</v>
      </c>
      <c r="L4795">
        <v>148</v>
      </c>
      <c r="M4795">
        <v>210</v>
      </c>
      <c r="N4795" t="s">
        <v>48</v>
      </c>
      <c r="O4795" s="3">
        <v>44125</v>
      </c>
      <c r="P4795">
        <v>-1</v>
      </c>
      <c r="S4795" s="3">
        <v>44559</v>
      </c>
      <c r="T4795" t="s">
        <v>33</v>
      </c>
      <c r="U4795">
        <v>14</v>
      </c>
      <c r="V4795">
        <v>20.007200000000001</v>
      </c>
    </row>
    <row r="4796" spans="1:22" x14ac:dyDescent="0.35">
      <c r="A4796" s="3">
        <v>43915</v>
      </c>
      <c r="B4796" t="s">
        <v>53</v>
      </c>
      <c r="C4796">
        <v>39.950000000000003</v>
      </c>
      <c r="D4796">
        <v>45.75</v>
      </c>
      <c r="E4796">
        <v>37.9</v>
      </c>
      <c r="F4796">
        <v>44.52</v>
      </c>
      <c r="G4796">
        <v>44.524999999999999</v>
      </c>
      <c r="H4796">
        <v>4.375</v>
      </c>
      <c r="I4796">
        <v>67087</v>
      </c>
      <c r="J4796">
        <v>1400</v>
      </c>
      <c r="K4796">
        <v>61764</v>
      </c>
      <c r="L4796">
        <v>40</v>
      </c>
      <c r="M4796">
        <v>56</v>
      </c>
      <c r="N4796" t="s">
        <v>53</v>
      </c>
      <c r="O4796" s="3">
        <v>43971</v>
      </c>
      <c r="P4796">
        <v>-1</v>
      </c>
      <c r="T4796" t="s">
        <v>32</v>
      </c>
      <c r="U4796">
        <v>34</v>
      </c>
      <c r="V4796">
        <v>22.103999999999999</v>
      </c>
    </row>
    <row r="4797" spans="1:22" x14ac:dyDescent="0.35">
      <c r="A4797" s="3">
        <v>43915</v>
      </c>
      <c r="B4797" t="s">
        <v>50</v>
      </c>
      <c r="C4797">
        <v>27.35</v>
      </c>
      <c r="D4797">
        <v>33</v>
      </c>
      <c r="E4797">
        <v>27.1</v>
      </c>
      <c r="F4797">
        <v>31.94</v>
      </c>
      <c r="G4797">
        <v>31.675000000000001</v>
      </c>
      <c r="H4797">
        <v>3.9249999999999998</v>
      </c>
      <c r="I4797">
        <v>7669</v>
      </c>
      <c r="J4797">
        <v>0</v>
      </c>
      <c r="K4797">
        <v>13132</v>
      </c>
      <c r="L4797">
        <v>104</v>
      </c>
      <c r="M4797">
        <v>147</v>
      </c>
      <c r="N4797" t="s">
        <v>50</v>
      </c>
      <c r="O4797" s="3">
        <v>44062</v>
      </c>
      <c r="P4797">
        <v>-1</v>
      </c>
      <c r="T4797" t="s">
        <v>31</v>
      </c>
      <c r="U4797">
        <v>52</v>
      </c>
      <c r="V4797">
        <v>23.548999999999999</v>
      </c>
    </row>
    <row r="4798" spans="1:22" x14ac:dyDescent="0.35">
      <c r="A4798" s="3">
        <v>43915</v>
      </c>
      <c r="B4798" t="s">
        <v>47</v>
      </c>
      <c r="C4798">
        <v>25.27</v>
      </c>
      <c r="D4798">
        <v>30.4</v>
      </c>
      <c r="E4798">
        <v>25.27</v>
      </c>
      <c r="F4798">
        <v>29.45</v>
      </c>
      <c r="G4798">
        <v>29.2</v>
      </c>
      <c r="H4798">
        <v>3.375</v>
      </c>
      <c r="I4798">
        <v>863</v>
      </c>
      <c r="J4798">
        <v>0</v>
      </c>
      <c r="K4798">
        <v>5903</v>
      </c>
      <c r="L4798">
        <v>168</v>
      </c>
      <c r="M4798">
        <v>238</v>
      </c>
      <c r="N4798" t="s">
        <v>47</v>
      </c>
      <c r="O4798" s="3">
        <v>44153</v>
      </c>
      <c r="P4798">
        <v>-1</v>
      </c>
      <c r="T4798" t="s">
        <v>30</v>
      </c>
      <c r="U4798">
        <v>78</v>
      </c>
      <c r="V4798">
        <v>24.660699999999999</v>
      </c>
    </row>
    <row r="4799" spans="1:22" x14ac:dyDescent="0.35">
      <c r="A4799" s="3">
        <v>43915</v>
      </c>
      <c r="B4799" t="s">
        <v>52</v>
      </c>
      <c r="C4799">
        <v>35.33</v>
      </c>
      <c r="D4799">
        <v>40.65</v>
      </c>
      <c r="E4799">
        <v>34</v>
      </c>
      <c r="F4799">
        <v>39.549999999999997</v>
      </c>
      <c r="G4799">
        <v>39.25</v>
      </c>
      <c r="H4799">
        <v>3.55</v>
      </c>
      <c r="I4799">
        <v>20338</v>
      </c>
      <c r="J4799">
        <v>0</v>
      </c>
      <c r="K4799">
        <v>27955</v>
      </c>
      <c r="L4799">
        <v>59</v>
      </c>
      <c r="M4799">
        <v>84</v>
      </c>
      <c r="N4799" t="s">
        <v>52</v>
      </c>
      <c r="O4799" s="3">
        <v>43999</v>
      </c>
      <c r="P4799">
        <v>-1</v>
      </c>
      <c r="T4799" t="s">
        <v>29</v>
      </c>
      <c r="U4799">
        <v>98</v>
      </c>
      <c r="V4799">
        <v>25.200199999999999</v>
      </c>
    </row>
    <row r="4800" spans="1:22" x14ac:dyDescent="0.35">
      <c r="A4800" s="3">
        <v>43915</v>
      </c>
      <c r="B4800" t="s">
        <v>49</v>
      </c>
      <c r="C4800">
        <v>26.53</v>
      </c>
      <c r="D4800">
        <v>31.9</v>
      </c>
      <c r="E4800">
        <v>26.11</v>
      </c>
      <c r="F4800">
        <v>30.9</v>
      </c>
      <c r="G4800">
        <v>30.7</v>
      </c>
      <c r="H4800">
        <v>3.9</v>
      </c>
      <c r="I4800">
        <v>5842</v>
      </c>
      <c r="J4800">
        <v>0</v>
      </c>
      <c r="K4800">
        <v>10244</v>
      </c>
      <c r="L4800">
        <v>123</v>
      </c>
      <c r="M4800">
        <v>175</v>
      </c>
      <c r="N4800" t="s">
        <v>49</v>
      </c>
      <c r="O4800" s="3">
        <v>44090</v>
      </c>
      <c r="P4800">
        <v>-1</v>
      </c>
      <c r="T4800" t="s">
        <v>28</v>
      </c>
      <c r="U4800">
        <v>117</v>
      </c>
      <c r="V4800">
        <v>25.449400000000001</v>
      </c>
    </row>
    <row r="4801" spans="1:22" x14ac:dyDescent="0.35">
      <c r="A4801" s="3">
        <v>43915</v>
      </c>
      <c r="B4801" t="s">
        <v>54</v>
      </c>
      <c r="C4801">
        <v>47</v>
      </c>
      <c r="D4801">
        <v>54.15</v>
      </c>
      <c r="E4801">
        <v>44.2</v>
      </c>
      <c r="F4801">
        <v>51.31</v>
      </c>
      <c r="G4801">
        <v>51.274999999999999</v>
      </c>
      <c r="H4801">
        <v>3.0249999999999999</v>
      </c>
      <c r="I4801">
        <v>91253</v>
      </c>
      <c r="J4801">
        <v>2000</v>
      </c>
      <c r="K4801">
        <v>94135</v>
      </c>
      <c r="L4801">
        <v>15</v>
      </c>
      <c r="M4801">
        <v>21</v>
      </c>
      <c r="N4801" t="s">
        <v>54</v>
      </c>
      <c r="O4801" s="3">
        <v>43936</v>
      </c>
      <c r="P4801">
        <v>-1</v>
      </c>
      <c r="T4801" t="s">
        <v>22</v>
      </c>
      <c r="U4801">
        <v>141</v>
      </c>
      <c r="V4801">
        <v>25.9</v>
      </c>
    </row>
    <row r="4802" spans="1:22" x14ac:dyDescent="0.35">
      <c r="A4802" s="3">
        <v>43914</v>
      </c>
      <c r="B4802" t="s">
        <v>54</v>
      </c>
      <c r="C4802">
        <v>48.55</v>
      </c>
      <c r="D4802">
        <v>48.98</v>
      </c>
      <c r="E4802">
        <v>40.15</v>
      </c>
      <c r="F4802">
        <v>46.75</v>
      </c>
      <c r="G4802">
        <v>48.25</v>
      </c>
      <c r="H4802">
        <v>-1.2</v>
      </c>
      <c r="I4802">
        <v>119303</v>
      </c>
      <c r="J4802">
        <v>5213</v>
      </c>
      <c r="K4802">
        <v>144865</v>
      </c>
      <c r="L4802">
        <v>16</v>
      </c>
      <c r="M4802">
        <v>22</v>
      </c>
      <c r="N4802" t="s">
        <v>54</v>
      </c>
      <c r="O4802" s="3">
        <v>43936</v>
      </c>
      <c r="P4802">
        <v>-1</v>
      </c>
      <c r="T4802" t="s">
        <v>26</v>
      </c>
      <c r="U4802">
        <v>161</v>
      </c>
      <c r="V4802">
        <v>25.85</v>
      </c>
    </row>
    <row r="4803" spans="1:22" x14ac:dyDescent="0.35">
      <c r="A4803" s="3">
        <v>43914</v>
      </c>
      <c r="B4803" t="s">
        <v>51</v>
      </c>
      <c r="C4803">
        <v>33.57</v>
      </c>
      <c r="D4803">
        <v>33.950000000000003</v>
      </c>
      <c r="E4803">
        <v>28.8</v>
      </c>
      <c r="F4803">
        <v>30.37</v>
      </c>
      <c r="G4803">
        <v>30.9</v>
      </c>
      <c r="H4803">
        <v>-3.5750000000000002</v>
      </c>
      <c r="I4803">
        <v>11391</v>
      </c>
      <c r="J4803">
        <v>0</v>
      </c>
      <c r="K4803">
        <v>27198</v>
      </c>
      <c r="L4803">
        <v>85</v>
      </c>
      <c r="M4803">
        <v>120</v>
      </c>
      <c r="N4803" t="s">
        <v>51</v>
      </c>
      <c r="O4803" s="3">
        <v>44034</v>
      </c>
      <c r="P4803">
        <v>-1</v>
      </c>
      <c r="T4803" t="s">
        <v>27</v>
      </c>
      <c r="U4803">
        <v>185</v>
      </c>
      <c r="V4803">
        <v>25.975000000000001</v>
      </c>
    </row>
    <row r="4804" spans="1:22" x14ac:dyDescent="0.35">
      <c r="A4804" s="3">
        <v>43914</v>
      </c>
      <c r="B4804" t="s">
        <v>48</v>
      </c>
      <c r="C4804">
        <v>29.03</v>
      </c>
      <c r="D4804">
        <v>29.35</v>
      </c>
      <c r="E4804">
        <v>26.39</v>
      </c>
      <c r="F4804">
        <v>26.7</v>
      </c>
      <c r="G4804">
        <v>27</v>
      </c>
      <c r="H4804">
        <v>-2.5750000000000002</v>
      </c>
      <c r="I4804">
        <v>2747</v>
      </c>
      <c r="J4804">
        <v>0</v>
      </c>
      <c r="K4804">
        <v>13042</v>
      </c>
      <c r="L4804">
        <v>149</v>
      </c>
      <c r="M4804">
        <v>211</v>
      </c>
      <c r="N4804" t="s">
        <v>48</v>
      </c>
      <c r="O4804" s="3">
        <v>44125</v>
      </c>
      <c r="P4804">
        <v>-1</v>
      </c>
      <c r="S4804" s="3">
        <v>44560</v>
      </c>
      <c r="T4804" t="s">
        <v>33</v>
      </c>
      <c r="U4804">
        <v>13</v>
      </c>
      <c r="V4804">
        <v>19.943899999999999</v>
      </c>
    </row>
    <row r="4805" spans="1:22" x14ac:dyDescent="0.35">
      <c r="A4805" s="3">
        <v>43914</v>
      </c>
      <c r="B4805" t="s">
        <v>53</v>
      </c>
      <c r="C4805">
        <v>43.35</v>
      </c>
      <c r="D4805">
        <v>44.58</v>
      </c>
      <c r="E4805">
        <v>35.9</v>
      </c>
      <c r="F4805">
        <v>39.6</v>
      </c>
      <c r="G4805">
        <v>40.15</v>
      </c>
      <c r="H4805">
        <v>-5.1749999999999998</v>
      </c>
      <c r="I4805">
        <v>73319</v>
      </c>
      <c r="J4805">
        <v>4057</v>
      </c>
      <c r="K4805">
        <v>87932</v>
      </c>
      <c r="L4805">
        <v>41</v>
      </c>
      <c r="M4805">
        <v>57</v>
      </c>
      <c r="N4805" t="s">
        <v>53</v>
      </c>
      <c r="O4805" s="3">
        <v>43971</v>
      </c>
      <c r="P4805">
        <v>-1</v>
      </c>
      <c r="T4805" t="s">
        <v>32</v>
      </c>
      <c r="U4805">
        <v>33</v>
      </c>
      <c r="V4805">
        <v>22.047000000000001</v>
      </c>
    </row>
    <row r="4806" spans="1:22" x14ac:dyDescent="0.35">
      <c r="A4806" s="3">
        <v>43914</v>
      </c>
      <c r="B4806" t="s">
        <v>50</v>
      </c>
      <c r="C4806">
        <v>29.35</v>
      </c>
      <c r="D4806">
        <v>30.2</v>
      </c>
      <c r="E4806">
        <v>26.7</v>
      </c>
      <c r="F4806">
        <v>27.3</v>
      </c>
      <c r="G4806">
        <v>27.75</v>
      </c>
      <c r="H4806">
        <v>-2.95</v>
      </c>
      <c r="I4806">
        <v>6468</v>
      </c>
      <c r="J4806">
        <v>0</v>
      </c>
      <c r="K4806">
        <v>16596</v>
      </c>
      <c r="L4806">
        <v>105</v>
      </c>
      <c r="M4806">
        <v>148</v>
      </c>
      <c r="N4806" t="s">
        <v>50</v>
      </c>
      <c r="O4806" s="3">
        <v>44062</v>
      </c>
      <c r="P4806">
        <v>-1</v>
      </c>
      <c r="T4806" t="s">
        <v>31</v>
      </c>
      <c r="U4806">
        <v>51</v>
      </c>
      <c r="V4806">
        <v>23.532900000000001</v>
      </c>
    </row>
    <row r="4807" spans="1:22" x14ac:dyDescent="0.35">
      <c r="A4807" s="3">
        <v>43914</v>
      </c>
      <c r="B4807" t="s">
        <v>47</v>
      </c>
      <c r="C4807">
        <v>28</v>
      </c>
      <c r="D4807">
        <v>28.1</v>
      </c>
      <c r="E4807">
        <v>25.35</v>
      </c>
      <c r="F4807">
        <v>25.65</v>
      </c>
      <c r="G4807">
        <v>25.824999999999999</v>
      </c>
      <c r="H4807">
        <v>-2.7</v>
      </c>
      <c r="I4807">
        <v>575</v>
      </c>
      <c r="J4807">
        <v>0</v>
      </c>
      <c r="K4807">
        <v>6272</v>
      </c>
      <c r="L4807">
        <v>169</v>
      </c>
      <c r="M4807">
        <v>239</v>
      </c>
      <c r="N4807" t="s">
        <v>47</v>
      </c>
      <c r="O4807" s="3">
        <v>44153</v>
      </c>
      <c r="P4807">
        <v>-1</v>
      </c>
      <c r="T4807" t="s">
        <v>30</v>
      </c>
      <c r="U4807">
        <v>77</v>
      </c>
      <c r="V4807">
        <v>24.7318</v>
      </c>
    </row>
    <row r="4808" spans="1:22" x14ac:dyDescent="0.35">
      <c r="A4808" s="3">
        <v>43914</v>
      </c>
      <c r="B4808" t="s">
        <v>52</v>
      </c>
      <c r="C4808">
        <v>39.4</v>
      </c>
      <c r="D4808">
        <v>40.1</v>
      </c>
      <c r="E4808">
        <v>32.1</v>
      </c>
      <c r="F4808">
        <v>34.99</v>
      </c>
      <c r="G4808">
        <v>35.700000000000003</v>
      </c>
      <c r="H4808">
        <v>-4.6500000000000004</v>
      </c>
      <c r="I4808">
        <v>15923</v>
      </c>
      <c r="J4808">
        <v>0</v>
      </c>
      <c r="K4808">
        <v>33846</v>
      </c>
      <c r="L4808">
        <v>60</v>
      </c>
      <c r="M4808">
        <v>85</v>
      </c>
      <c r="N4808" t="s">
        <v>52</v>
      </c>
      <c r="O4808" s="3">
        <v>43999</v>
      </c>
      <c r="P4808">
        <v>-1</v>
      </c>
      <c r="T4808" t="s">
        <v>29</v>
      </c>
      <c r="U4808">
        <v>97</v>
      </c>
      <c r="V4808">
        <v>25.3249</v>
      </c>
    </row>
    <row r="4809" spans="1:22" x14ac:dyDescent="0.35">
      <c r="A4809" s="3">
        <v>43914</v>
      </c>
      <c r="B4809" t="s">
        <v>49</v>
      </c>
      <c r="C4809">
        <v>27.79</v>
      </c>
      <c r="D4809">
        <v>28.31</v>
      </c>
      <c r="E4809">
        <v>25.6</v>
      </c>
      <c r="F4809">
        <v>26.32</v>
      </c>
      <c r="G4809">
        <v>26.8</v>
      </c>
      <c r="H4809">
        <v>-1.7749999999999999</v>
      </c>
      <c r="I4809">
        <v>5714</v>
      </c>
      <c r="J4809">
        <v>0</v>
      </c>
      <c r="K4809">
        <v>13316</v>
      </c>
      <c r="L4809">
        <v>124</v>
      </c>
      <c r="M4809">
        <v>176</v>
      </c>
      <c r="N4809" t="s">
        <v>49</v>
      </c>
      <c r="O4809" s="3">
        <v>44090</v>
      </c>
      <c r="P4809">
        <v>-1</v>
      </c>
      <c r="T4809" t="s">
        <v>28</v>
      </c>
      <c r="U4809">
        <v>116</v>
      </c>
      <c r="V4809">
        <v>25.6</v>
      </c>
    </row>
    <row r="4810" spans="1:22" x14ac:dyDescent="0.35">
      <c r="A4810" s="3">
        <v>43913</v>
      </c>
      <c r="B4810" t="s">
        <v>51</v>
      </c>
      <c r="C4810">
        <v>44.45</v>
      </c>
      <c r="D4810">
        <v>47.26</v>
      </c>
      <c r="E4810">
        <v>33.6</v>
      </c>
      <c r="F4810">
        <v>34.25</v>
      </c>
      <c r="G4810">
        <v>34.475000000000001</v>
      </c>
      <c r="H4810">
        <v>-7.6</v>
      </c>
      <c r="I4810">
        <v>11400</v>
      </c>
      <c r="J4810">
        <v>0</v>
      </c>
      <c r="K4810">
        <v>22928</v>
      </c>
      <c r="L4810">
        <v>86</v>
      </c>
      <c r="M4810">
        <v>121</v>
      </c>
      <c r="N4810" t="s">
        <v>51</v>
      </c>
      <c r="O4810" s="3">
        <v>44034</v>
      </c>
      <c r="P4810">
        <v>-1</v>
      </c>
      <c r="T4810" t="s">
        <v>22</v>
      </c>
      <c r="U4810">
        <v>140</v>
      </c>
      <c r="V4810">
        <v>26.05</v>
      </c>
    </row>
    <row r="4811" spans="1:22" x14ac:dyDescent="0.35">
      <c r="A4811" s="3">
        <v>43913</v>
      </c>
      <c r="B4811" t="s">
        <v>48</v>
      </c>
      <c r="C4811">
        <v>34.25</v>
      </c>
      <c r="D4811">
        <v>36.200000000000003</v>
      </c>
      <c r="E4811">
        <v>29.2</v>
      </c>
      <c r="F4811">
        <v>29.2</v>
      </c>
      <c r="G4811">
        <v>29.574999999999999</v>
      </c>
      <c r="H4811">
        <v>-3.55</v>
      </c>
      <c r="I4811">
        <v>3979</v>
      </c>
      <c r="J4811">
        <v>0</v>
      </c>
      <c r="K4811">
        <v>12831</v>
      </c>
      <c r="L4811">
        <v>150</v>
      </c>
      <c r="M4811">
        <v>212</v>
      </c>
      <c r="N4811" t="s">
        <v>48</v>
      </c>
      <c r="O4811" s="3">
        <v>44125</v>
      </c>
      <c r="P4811">
        <v>-1</v>
      </c>
      <c r="T4811" t="s">
        <v>26</v>
      </c>
      <c r="U4811">
        <v>160</v>
      </c>
      <c r="V4811">
        <v>26</v>
      </c>
    </row>
    <row r="4812" spans="1:22" x14ac:dyDescent="0.35">
      <c r="A4812" s="3">
        <v>43913</v>
      </c>
      <c r="B4812" t="s">
        <v>53</v>
      </c>
      <c r="C4812">
        <v>57.85</v>
      </c>
      <c r="D4812">
        <v>63.75</v>
      </c>
      <c r="E4812">
        <v>43.8</v>
      </c>
      <c r="F4812">
        <v>44.6</v>
      </c>
      <c r="G4812">
        <v>45.325000000000003</v>
      </c>
      <c r="H4812">
        <v>-11.3</v>
      </c>
      <c r="I4812">
        <v>69249</v>
      </c>
      <c r="J4812">
        <v>607</v>
      </c>
      <c r="K4812">
        <v>58635</v>
      </c>
      <c r="L4812">
        <v>42</v>
      </c>
      <c r="M4812">
        <v>58</v>
      </c>
      <c r="N4812" t="s">
        <v>53</v>
      </c>
      <c r="O4812" s="3">
        <v>43971</v>
      </c>
      <c r="P4812">
        <v>-1</v>
      </c>
      <c r="T4812" t="s">
        <v>27</v>
      </c>
      <c r="U4812">
        <v>184</v>
      </c>
      <c r="V4812">
        <v>26.125</v>
      </c>
    </row>
    <row r="4813" spans="1:22" x14ac:dyDescent="0.35">
      <c r="A4813" s="3">
        <v>43913</v>
      </c>
      <c r="B4813" t="s">
        <v>50</v>
      </c>
      <c r="C4813">
        <v>38.1</v>
      </c>
      <c r="D4813">
        <v>40.799999999999997</v>
      </c>
      <c r="E4813">
        <v>29.81</v>
      </c>
      <c r="F4813">
        <v>30.3</v>
      </c>
      <c r="G4813">
        <v>30.7</v>
      </c>
      <c r="H4813">
        <v>-5.7249999999999996</v>
      </c>
      <c r="I4813">
        <v>6172</v>
      </c>
      <c r="J4813">
        <v>0</v>
      </c>
      <c r="K4813">
        <v>14919</v>
      </c>
      <c r="L4813">
        <v>106</v>
      </c>
      <c r="M4813">
        <v>149</v>
      </c>
      <c r="N4813" t="s">
        <v>50</v>
      </c>
      <c r="O4813" s="3">
        <v>44062</v>
      </c>
      <c r="P4813">
        <v>-1</v>
      </c>
      <c r="S4813" s="3">
        <v>44561</v>
      </c>
      <c r="T4813" t="s">
        <v>33</v>
      </c>
      <c r="U4813">
        <v>12</v>
      </c>
      <c r="V4813">
        <v>19.674499999999998</v>
      </c>
    </row>
    <row r="4814" spans="1:22" x14ac:dyDescent="0.35">
      <c r="A4814" s="3">
        <v>43913</v>
      </c>
      <c r="B4814" t="s">
        <v>47</v>
      </c>
      <c r="C4814">
        <v>34.35</v>
      </c>
      <c r="D4814">
        <v>34.450000000000003</v>
      </c>
      <c r="E4814">
        <v>28.2</v>
      </c>
      <c r="F4814">
        <v>28.2</v>
      </c>
      <c r="G4814">
        <v>28.524999999999999</v>
      </c>
      <c r="H4814">
        <v>-2.9249999999999998</v>
      </c>
      <c r="I4814">
        <v>1136</v>
      </c>
      <c r="J4814">
        <v>0</v>
      </c>
      <c r="K4814">
        <v>6216</v>
      </c>
      <c r="L4814">
        <v>170</v>
      </c>
      <c r="M4814">
        <v>240</v>
      </c>
      <c r="N4814" t="s">
        <v>47</v>
      </c>
      <c r="O4814" s="3">
        <v>44153</v>
      </c>
      <c r="P4814">
        <v>-1</v>
      </c>
      <c r="T4814" t="s">
        <v>32</v>
      </c>
      <c r="U4814">
        <v>32</v>
      </c>
      <c r="V4814">
        <v>21.970500000000001</v>
      </c>
    </row>
    <row r="4815" spans="1:22" x14ac:dyDescent="0.35">
      <c r="A4815" s="3">
        <v>43913</v>
      </c>
      <c r="B4815" t="s">
        <v>52</v>
      </c>
      <c r="C4815">
        <v>52.35</v>
      </c>
      <c r="D4815">
        <v>55.76</v>
      </c>
      <c r="E4815">
        <v>39.24</v>
      </c>
      <c r="F4815">
        <v>39.83</v>
      </c>
      <c r="G4815">
        <v>40.35</v>
      </c>
      <c r="H4815">
        <v>-9.375</v>
      </c>
      <c r="I4815">
        <v>25991</v>
      </c>
      <c r="J4815">
        <v>2500</v>
      </c>
      <c r="K4815">
        <v>29151</v>
      </c>
      <c r="L4815">
        <v>61</v>
      </c>
      <c r="M4815">
        <v>86</v>
      </c>
      <c r="N4815" t="s">
        <v>52</v>
      </c>
      <c r="O4815" s="3">
        <v>43999</v>
      </c>
      <c r="P4815">
        <v>-1</v>
      </c>
      <c r="T4815" t="s">
        <v>31</v>
      </c>
      <c r="U4815">
        <v>50</v>
      </c>
      <c r="V4815">
        <v>23.468499999999999</v>
      </c>
    </row>
    <row r="4816" spans="1:22" x14ac:dyDescent="0.35">
      <c r="A4816" s="3">
        <v>43913</v>
      </c>
      <c r="B4816" t="s">
        <v>49</v>
      </c>
      <c r="C4816">
        <v>34.4</v>
      </c>
      <c r="D4816">
        <v>36.950000000000003</v>
      </c>
      <c r="E4816">
        <v>28.04</v>
      </c>
      <c r="F4816">
        <v>28.15</v>
      </c>
      <c r="G4816">
        <v>28.574999999999999</v>
      </c>
      <c r="H4816">
        <v>-4.4000000000000004</v>
      </c>
      <c r="I4816">
        <v>5437</v>
      </c>
      <c r="J4816">
        <v>0</v>
      </c>
      <c r="K4816">
        <v>12380</v>
      </c>
      <c r="L4816">
        <v>125</v>
      </c>
      <c r="M4816">
        <v>177</v>
      </c>
      <c r="N4816" t="s">
        <v>49</v>
      </c>
      <c r="O4816" s="3">
        <v>44090</v>
      </c>
      <c r="P4816">
        <v>-1</v>
      </c>
      <c r="T4816" t="s">
        <v>30</v>
      </c>
      <c r="U4816">
        <v>76</v>
      </c>
      <c r="V4816">
        <v>24.691299999999998</v>
      </c>
    </row>
    <row r="4817" spans="1:22" x14ac:dyDescent="0.35">
      <c r="A4817" s="3">
        <v>43913</v>
      </c>
      <c r="B4817" t="s">
        <v>54</v>
      </c>
      <c r="C4817">
        <v>63.05</v>
      </c>
      <c r="D4817">
        <v>72.5</v>
      </c>
      <c r="E4817">
        <v>48.75</v>
      </c>
      <c r="F4817">
        <v>49.4</v>
      </c>
      <c r="G4817">
        <v>49.45</v>
      </c>
      <c r="H4817">
        <v>-12.074999999999999</v>
      </c>
      <c r="I4817">
        <v>151186</v>
      </c>
      <c r="J4817">
        <v>3251</v>
      </c>
      <c r="K4817">
        <v>114797</v>
      </c>
      <c r="L4817">
        <v>17</v>
      </c>
      <c r="M4817">
        <v>23</v>
      </c>
      <c r="N4817" t="s">
        <v>54</v>
      </c>
      <c r="O4817" s="3">
        <v>43936</v>
      </c>
      <c r="P4817">
        <v>-1</v>
      </c>
      <c r="T4817" t="s">
        <v>29</v>
      </c>
      <c r="U4817">
        <v>96</v>
      </c>
      <c r="V4817">
        <v>25.2468</v>
      </c>
    </row>
    <row r="4818" spans="1:22" x14ac:dyDescent="0.35">
      <c r="A4818" s="3">
        <v>43910</v>
      </c>
      <c r="B4818" t="s">
        <v>54</v>
      </c>
      <c r="C4818">
        <v>68</v>
      </c>
      <c r="D4818">
        <v>68.95</v>
      </c>
      <c r="E4818">
        <v>53.05</v>
      </c>
      <c r="F4818">
        <v>62</v>
      </c>
      <c r="G4818">
        <v>61.524999999999999</v>
      </c>
      <c r="H4818">
        <v>-4.7750000000000004</v>
      </c>
      <c r="I4818">
        <v>181252</v>
      </c>
      <c r="J4818">
        <v>11265</v>
      </c>
      <c r="K4818">
        <v>125724</v>
      </c>
      <c r="L4818">
        <v>18</v>
      </c>
      <c r="M4818">
        <v>26</v>
      </c>
      <c r="N4818" t="s">
        <v>54</v>
      </c>
      <c r="O4818" s="3">
        <v>43936</v>
      </c>
      <c r="P4818">
        <v>-1</v>
      </c>
      <c r="T4818" t="s">
        <v>28</v>
      </c>
      <c r="U4818">
        <v>115</v>
      </c>
      <c r="V4818">
        <v>25.5688</v>
      </c>
    </row>
    <row r="4819" spans="1:22" x14ac:dyDescent="0.35">
      <c r="A4819" s="3">
        <v>43910</v>
      </c>
      <c r="B4819" t="s">
        <v>50</v>
      </c>
      <c r="C4819">
        <v>37.93</v>
      </c>
      <c r="D4819">
        <v>37.93</v>
      </c>
      <c r="E4819">
        <v>32.799999999999997</v>
      </c>
      <c r="F4819">
        <v>36.57</v>
      </c>
      <c r="G4819">
        <v>36.424999999999997</v>
      </c>
      <c r="H4819">
        <v>-0.57499999999999996</v>
      </c>
      <c r="I4819">
        <v>5206</v>
      </c>
      <c r="J4819">
        <v>0</v>
      </c>
      <c r="K4819">
        <v>14826</v>
      </c>
      <c r="L4819">
        <v>107</v>
      </c>
      <c r="M4819">
        <v>152</v>
      </c>
      <c r="N4819" t="s">
        <v>50</v>
      </c>
      <c r="O4819" s="3">
        <v>44062</v>
      </c>
      <c r="P4819">
        <v>-1</v>
      </c>
      <c r="T4819" t="s">
        <v>22</v>
      </c>
      <c r="U4819">
        <v>139</v>
      </c>
      <c r="V4819">
        <v>26.15</v>
      </c>
    </row>
    <row r="4820" spans="1:22" x14ac:dyDescent="0.35">
      <c r="A4820" s="3">
        <v>43910</v>
      </c>
      <c r="B4820" t="s">
        <v>51</v>
      </c>
      <c r="C4820">
        <v>43.99</v>
      </c>
      <c r="D4820">
        <v>44.36</v>
      </c>
      <c r="E4820">
        <v>37.590000000000003</v>
      </c>
      <c r="F4820">
        <v>42.65</v>
      </c>
      <c r="G4820">
        <v>42.075000000000003</v>
      </c>
      <c r="H4820">
        <v>-0.9</v>
      </c>
      <c r="I4820">
        <v>9846</v>
      </c>
      <c r="J4820">
        <v>0</v>
      </c>
      <c r="K4820">
        <v>22372</v>
      </c>
      <c r="L4820">
        <v>87</v>
      </c>
      <c r="M4820">
        <v>124</v>
      </c>
      <c r="N4820" t="s">
        <v>51</v>
      </c>
      <c r="O4820" s="3">
        <v>44034</v>
      </c>
      <c r="P4820">
        <v>-1</v>
      </c>
      <c r="T4820" t="s">
        <v>26</v>
      </c>
      <c r="U4820">
        <v>159</v>
      </c>
      <c r="V4820">
        <v>26.05</v>
      </c>
    </row>
    <row r="4821" spans="1:22" x14ac:dyDescent="0.35">
      <c r="A4821" s="3">
        <v>43910</v>
      </c>
      <c r="B4821" t="s">
        <v>48</v>
      </c>
      <c r="C4821">
        <v>34.200000000000003</v>
      </c>
      <c r="D4821">
        <v>34.26</v>
      </c>
      <c r="E4821">
        <v>30.05</v>
      </c>
      <c r="F4821">
        <v>33.049999999999997</v>
      </c>
      <c r="G4821">
        <v>33.125</v>
      </c>
      <c r="H4821">
        <v>-0.92500000000000004</v>
      </c>
      <c r="I4821">
        <v>2840</v>
      </c>
      <c r="J4821">
        <v>0</v>
      </c>
      <c r="K4821">
        <v>11812</v>
      </c>
      <c r="L4821">
        <v>151</v>
      </c>
      <c r="M4821">
        <v>215</v>
      </c>
      <c r="N4821" t="s">
        <v>48</v>
      </c>
      <c r="O4821" s="3">
        <v>44125</v>
      </c>
      <c r="P4821">
        <v>-1</v>
      </c>
      <c r="T4821" t="s">
        <v>27</v>
      </c>
      <c r="U4821">
        <v>183</v>
      </c>
      <c r="V4821">
        <v>26.25</v>
      </c>
    </row>
    <row r="4822" spans="1:22" x14ac:dyDescent="0.35">
      <c r="A4822" s="3">
        <v>43910</v>
      </c>
      <c r="B4822" t="s">
        <v>53</v>
      </c>
      <c r="C4822">
        <v>58.85</v>
      </c>
      <c r="D4822">
        <v>60.8</v>
      </c>
      <c r="E4822">
        <v>48.3</v>
      </c>
      <c r="F4822">
        <v>56.95</v>
      </c>
      <c r="G4822">
        <v>56.625</v>
      </c>
      <c r="H4822">
        <v>-2.35</v>
      </c>
      <c r="I4822">
        <v>73543</v>
      </c>
      <c r="J4822">
        <v>1328</v>
      </c>
      <c r="K4822">
        <v>56177</v>
      </c>
      <c r="L4822">
        <v>43</v>
      </c>
      <c r="M4822">
        <v>61</v>
      </c>
      <c r="N4822" t="s">
        <v>53</v>
      </c>
      <c r="O4822" s="3">
        <v>43971</v>
      </c>
      <c r="P4822">
        <v>-1</v>
      </c>
      <c r="S4822" s="3">
        <v>44564</v>
      </c>
      <c r="T4822" t="s">
        <v>33</v>
      </c>
      <c r="U4822">
        <v>11</v>
      </c>
      <c r="V4822">
        <v>18.857800000000001</v>
      </c>
    </row>
    <row r="4823" spans="1:22" x14ac:dyDescent="0.35">
      <c r="A4823" s="3">
        <v>43910</v>
      </c>
      <c r="B4823" t="s">
        <v>47</v>
      </c>
      <c r="C4823">
        <v>32.1</v>
      </c>
      <c r="D4823">
        <v>32.200000000000003</v>
      </c>
      <c r="E4823">
        <v>28.05</v>
      </c>
      <c r="F4823">
        <v>31.6</v>
      </c>
      <c r="G4823">
        <v>31.45</v>
      </c>
      <c r="H4823">
        <v>-1.125</v>
      </c>
      <c r="I4823">
        <v>1320</v>
      </c>
      <c r="J4823">
        <v>0</v>
      </c>
      <c r="K4823">
        <v>6246</v>
      </c>
      <c r="L4823">
        <v>171</v>
      </c>
      <c r="M4823">
        <v>243</v>
      </c>
      <c r="N4823" t="s">
        <v>47</v>
      </c>
      <c r="O4823" s="3">
        <v>44153</v>
      </c>
      <c r="P4823">
        <v>-1</v>
      </c>
      <c r="T4823" t="s">
        <v>32</v>
      </c>
      <c r="U4823">
        <v>31</v>
      </c>
      <c r="V4823">
        <v>21.409500000000001</v>
      </c>
    </row>
    <row r="4824" spans="1:22" x14ac:dyDescent="0.35">
      <c r="A4824" s="3">
        <v>43910</v>
      </c>
      <c r="B4824" t="s">
        <v>52</v>
      </c>
      <c r="C4824">
        <v>51.3</v>
      </c>
      <c r="D4824">
        <v>52.12</v>
      </c>
      <c r="E4824">
        <v>42.8</v>
      </c>
      <c r="F4824">
        <v>49.95</v>
      </c>
      <c r="G4824">
        <v>49.725000000000001</v>
      </c>
      <c r="H4824">
        <v>-0.67500000000000004</v>
      </c>
      <c r="I4824">
        <v>17590</v>
      </c>
      <c r="J4824">
        <v>0</v>
      </c>
      <c r="K4824">
        <v>30823</v>
      </c>
      <c r="L4824">
        <v>62</v>
      </c>
      <c r="M4824">
        <v>89</v>
      </c>
      <c r="N4824" t="s">
        <v>52</v>
      </c>
      <c r="O4824" s="3">
        <v>43999</v>
      </c>
      <c r="P4824">
        <v>-1</v>
      </c>
      <c r="T4824" t="s">
        <v>31</v>
      </c>
      <c r="U4824">
        <v>49</v>
      </c>
      <c r="V4824">
        <v>23.0959</v>
      </c>
    </row>
    <row r="4825" spans="1:22" x14ac:dyDescent="0.35">
      <c r="A4825" s="3">
        <v>43910</v>
      </c>
      <c r="B4825" t="s">
        <v>49</v>
      </c>
      <c r="C4825">
        <v>34.049999999999997</v>
      </c>
      <c r="D4825">
        <v>34.299999999999997</v>
      </c>
      <c r="E4825">
        <v>30.4</v>
      </c>
      <c r="F4825">
        <v>33</v>
      </c>
      <c r="G4825">
        <v>32.975000000000001</v>
      </c>
      <c r="H4825">
        <v>-0.75</v>
      </c>
      <c r="I4825">
        <v>4572</v>
      </c>
      <c r="J4825">
        <v>0</v>
      </c>
      <c r="K4825">
        <v>11638</v>
      </c>
      <c r="L4825">
        <v>126</v>
      </c>
      <c r="M4825">
        <v>180</v>
      </c>
      <c r="N4825" t="s">
        <v>49</v>
      </c>
      <c r="O4825" s="3">
        <v>44090</v>
      </c>
      <c r="P4825">
        <v>-1</v>
      </c>
      <c r="T4825" t="s">
        <v>30</v>
      </c>
      <c r="U4825">
        <v>75</v>
      </c>
      <c r="V4825">
        <v>24.349399999999999</v>
      </c>
    </row>
    <row r="4826" spans="1:22" x14ac:dyDescent="0.35">
      <c r="A4826" s="3">
        <v>43909</v>
      </c>
      <c r="B4826" t="s">
        <v>51</v>
      </c>
      <c r="C4826">
        <v>44.16</v>
      </c>
      <c r="D4826">
        <v>47.79</v>
      </c>
      <c r="E4826">
        <v>40.200000000000003</v>
      </c>
      <c r="F4826">
        <v>44.36</v>
      </c>
      <c r="G4826">
        <v>42.975000000000001</v>
      </c>
      <c r="H4826">
        <v>-1.325</v>
      </c>
      <c r="I4826">
        <v>12128</v>
      </c>
      <c r="J4826">
        <v>0</v>
      </c>
      <c r="K4826">
        <v>21873</v>
      </c>
      <c r="L4826">
        <v>88</v>
      </c>
      <c r="M4826">
        <v>125</v>
      </c>
      <c r="N4826" t="s">
        <v>51</v>
      </c>
      <c r="O4826" s="3">
        <v>44034</v>
      </c>
      <c r="P4826">
        <v>-1</v>
      </c>
      <c r="T4826" t="s">
        <v>29</v>
      </c>
      <c r="U4826">
        <v>95</v>
      </c>
      <c r="V4826">
        <v>24.942599999999999</v>
      </c>
    </row>
    <row r="4827" spans="1:22" x14ac:dyDescent="0.35">
      <c r="A4827" s="3">
        <v>43909</v>
      </c>
      <c r="B4827" t="s">
        <v>48</v>
      </c>
      <c r="C4827">
        <v>33.94</v>
      </c>
      <c r="D4827">
        <v>36.950000000000003</v>
      </c>
      <c r="E4827">
        <v>32.15</v>
      </c>
      <c r="F4827">
        <v>34.4</v>
      </c>
      <c r="G4827">
        <v>34.049999999999997</v>
      </c>
      <c r="H4827">
        <v>-7.4999999999999997E-2</v>
      </c>
      <c r="I4827">
        <v>2845</v>
      </c>
      <c r="J4827">
        <v>0</v>
      </c>
      <c r="K4827">
        <v>11537</v>
      </c>
      <c r="L4827">
        <v>152</v>
      </c>
      <c r="M4827">
        <v>216</v>
      </c>
      <c r="N4827" t="s">
        <v>48</v>
      </c>
      <c r="O4827" s="3">
        <v>44125</v>
      </c>
      <c r="P4827">
        <v>-1</v>
      </c>
      <c r="T4827" t="s">
        <v>28</v>
      </c>
      <c r="U4827">
        <v>114</v>
      </c>
      <c r="V4827">
        <v>25.267499999999998</v>
      </c>
    </row>
    <row r="4828" spans="1:22" x14ac:dyDescent="0.35">
      <c r="A4828" s="3">
        <v>43909</v>
      </c>
      <c r="B4828" t="s">
        <v>53</v>
      </c>
      <c r="C4828">
        <v>60</v>
      </c>
      <c r="D4828">
        <v>66.45</v>
      </c>
      <c r="E4828">
        <v>50.83</v>
      </c>
      <c r="F4828">
        <v>59.83</v>
      </c>
      <c r="G4828">
        <v>58.975000000000001</v>
      </c>
      <c r="H4828">
        <v>-0.95</v>
      </c>
      <c r="I4828">
        <v>75577</v>
      </c>
      <c r="J4828">
        <v>410</v>
      </c>
      <c r="K4828">
        <v>56647</v>
      </c>
      <c r="L4828">
        <v>44</v>
      </c>
      <c r="M4828">
        <v>62</v>
      </c>
      <c r="N4828" t="s">
        <v>53</v>
      </c>
      <c r="O4828" s="3">
        <v>43971</v>
      </c>
      <c r="P4828">
        <v>-1</v>
      </c>
      <c r="T4828" t="s">
        <v>22</v>
      </c>
      <c r="U4828">
        <v>138</v>
      </c>
      <c r="V4828">
        <v>25.843499999999999</v>
      </c>
    </row>
    <row r="4829" spans="1:22" x14ac:dyDescent="0.35">
      <c r="A4829" s="3">
        <v>43909</v>
      </c>
      <c r="B4829" t="s">
        <v>47</v>
      </c>
      <c r="C4829">
        <v>34.299999999999997</v>
      </c>
      <c r="D4829">
        <v>35</v>
      </c>
      <c r="E4829">
        <v>30.93</v>
      </c>
      <c r="F4829">
        <v>32.549999999999997</v>
      </c>
      <c r="G4829">
        <v>32.575000000000003</v>
      </c>
      <c r="H4829">
        <v>0.35</v>
      </c>
      <c r="I4829">
        <v>1212</v>
      </c>
      <c r="J4829">
        <v>0</v>
      </c>
      <c r="K4829">
        <v>6365</v>
      </c>
      <c r="L4829">
        <v>172</v>
      </c>
      <c r="M4829">
        <v>244</v>
      </c>
      <c r="N4829" t="s">
        <v>47</v>
      </c>
      <c r="O4829" s="3">
        <v>44153</v>
      </c>
      <c r="P4829">
        <v>-1</v>
      </c>
      <c r="T4829" t="s">
        <v>26</v>
      </c>
      <c r="U4829">
        <v>158</v>
      </c>
      <c r="V4829">
        <v>25.8</v>
      </c>
    </row>
    <row r="4830" spans="1:22" x14ac:dyDescent="0.35">
      <c r="A4830" s="3">
        <v>43909</v>
      </c>
      <c r="B4830" t="s">
        <v>52</v>
      </c>
      <c r="C4830">
        <v>50.75</v>
      </c>
      <c r="D4830">
        <v>56.55</v>
      </c>
      <c r="E4830">
        <v>45.65</v>
      </c>
      <c r="F4830">
        <v>52.05</v>
      </c>
      <c r="G4830">
        <v>50.4</v>
      </c>
      <c r="H4830">
        <v>-1.1000000000000001</v>
      </c>
      <c r="I4830">
        <v>26752</v>
      </c>
      <c r="J4830">
        <v>0</v>
      </c>
      <c r="K4830">
        <v>29865</v>
      </c>
      <c r="L4830">
        <v>63</v>
      </c>
      <c r="M4830">
        <v>90</v>
      </c>
      <c r="N4830" t="s">
        <v>52</v>
      </c>
      <c r="O4830" s="3">
        <v>43999</v>
      </c>
      <c r="P4830">
        <v>-1</v>
      </c>
      <c r="T4830" t="s">
        <v>27</v>
      </c>
      <c r="U4830">
        <v>182</v>
      </c>
      <c r="V4830">
        <v>25.975000000000001</v>
      </c>
    </row>
    <row r="4831" spans="1:22" x14ac:dyDescent="0.35">
      <c r="A4831" s="3">
        <v>43909</v>
      </c>
      <c r="B4831" t="s">
        <v>49</v>
      </c>
      <c r="C4831">
        <v>34.590000000000003</v>
      </c>
      <c r="D4831">
        <v>37.6</v>
      </c>
      <c r="E4831">
        <v>31.94</v>
      </c>
      <c r="F4831">
        <v>34.33</v>
      </c>
      <c r="G4831">
        <v>33.725000000000001</v>
      </c>
      <c r="H4831">
        <v>-0.875</v>
      </c>
      <c r="I4831">
        <v>4517</v>
      </c>
      <c r="J4831">
        <v>0</v>
      </c>
      <c r="K4831">
        <v>11269</v>
      </c>
      <c r="L4831">
        <v>127</v>
      </c>
      <c r="M4831">
        <v>181</v>
      </c>
      <c r="N4831" t="s">
        <v>49</v>
      </c>
      <c r="O4831" s="3">
        <v>44090</v>
      </c>
      <c r="P4831">
        <v>-1</v>
      </c>
      <c r="S4831" s="3">
        <v>44565</v>
      </c>
      <c r="T4831" t="s">
        <v>33</v>
      </c>
      <c r="U4831">
        <v>10</v>
      </c>
      <c r="V4831">
        <v>18.869199999999999</v>
      </c>
    </row>
    <row r="4832" spans="1:22" x14ac:dyDescent="0.35">
      <c r="A4832" s="3">
        <v>43909</v>
      </c>
      <c r="B4832" t="s">
        <v>54</v>
      </c>
      <c r="C4832">
        <v>71.45</v>
      </c>
      <c r="D4832">
        <v>79.95</v>
      </c>
      <c r="E4832">
        <v>56.7</v>
      </c>
      <c r="F4832">
        <v>68.2</v>
      </c>
      <c r="G4832">
        <v>66.3</v>
      </c>
      <c r="H4832">
        <v>-4.1749999999999998</v>
      </c>
      <c r="I4832">
        <v>241977</v>
      </c>
      <c r="J4832">
        <v>7424</v>
      </c>
      <c r="K4832">
        <v>157519</v>
      </c>
      <c r="L4832">
        <v>19</v>
      </c>
      <c r="M4832">
        <v>27</v>
      </c>
      <c r="N4832" t="s">
        <v>54</v>
      </c>
      <c r="O4832" s="3">
        <v>43936</v>
      </c>
      <c r="P4832">
        <v>-1</v>
      </c>
      <c r="T4832" t="s">
        <v>32</v>
      </c>
      <c r="U4832">
        <v>30</v>
      </c>
      <c r="V4832">
        <v>21.3187</v>
      </c>
    </row>
    <row r="4833" spans="1:22" x14ac:dyDescent="0.35">
      <c r="A4833" s="3">
        <v>43909</v>
      </c>
      <c r="B4833" t="s">
        <v>50</v>
      </c>
      <c r="C4833">
        <v>37.5</v>
      </c>
      <c r="D4833">
        <v>41</v>
      </c>
      <c r="E4833">
        <v>35</v>
      </c>
      <c r="F4833">
        <v>37.840000000000003</v>
      </c>
      <c r="G4833">
        <v>37</v>
      </c>
      <c r="H4833">
        <v>-0.47499999999999998</v>
      </c>
      <c r="I4833">
        <v>7531</v>
      </c>
      <c r="J4833">
        <v>0</v>
      </c>
      <c r="K4833">
        <v>14733</v>
      </c>
      <c r="L4833">
        <v>108</v>
      </c>
      <c r="M4833">
        <v>153</v>
      </c>
      <c r="N4833" t="s">
        <v>50</v>
      </c>
      <c r="O4833" s="3">
        <v>44062</v>
      </c>
      <c r="P4833">
        <v>-1</v>
      </c>
      <c r="T4833" t="s">
        <v>31</v>
      </c>
      <c r="U4833">
        <v>48</v>
      </c>
      <c r="V4833">
        <v>23.017600000000002</v>
      </c>
    </row>
    <row r="4834" spans="1:22" x14ac:dyDescent="0.35">
      <c r="A4834" s="3">
        <v>43908</v>
      </c>
      <c r="B4834" t="s">
        <v>54</v>
      </c>
      <c r="C4834">
        <v>60.7</v>
      </c>
      <c r="D4834">
        <v>80.849999999999994</v>
      </c>
      <c r="E4834">
        <v>60.1</v>
      </c>
      <c r="F4834">
        <v>71.150000000000006</v>
      </c>
      <c r="G4834">
        <v>70.474999999999994</v>
      </c>
      <c r="H4834">
        <v>9.0500000000000007</v>
      </c>
      <c r="I4834">
        <v>226502</v>
      </c>
      <c r="J4834">
        <v>1581</v>
      </c>
      <c r="K4834">
        <v>199773</v>
      </c>
      <c r="L4834">
        <v>20</v>
      </c>
      <c r="M4834">
        <v>28</v>
      </c>
      <c r="N4834" t="s">
        <v>54</v>
      </c>
      <c r="O4834" s="3">
        <v>43936</v>
      </c>
      <c r="P4834">
        <v>-1</v>
      </c>
      <c r="T4834" t="s">
        <v>30</v>
      </c>
      <c r="U4834">
        <v>74</v>
      </c>
      <c r="V4834">
        <v>24.3035</v>
      </c>
    </row>
    <row r="4835" spans="1:22" x14ac:dyDescent="0.35">
      <c r="A4835" s="3">
        <v>43908</v>
      </c>
      <c r="B4835" t="s">
        <v>50</v>
      </c>
      <c r="C4835">
        <v>32.9</v>
      </c>
      <c r="D4835">
        <v>39.700000000000003</v>
      </c>
      <c r="E4835">
        <v>32.799999999999997</v>
      </c>
      <c r="F4835">
        <v>37.840000000000003</v>
      </c>
      <c r="G4835">
        <v>37.475000000000001</v>
      </c>
      <c r="H4835">
        <v>4.625</v>
      </c>
      <c r="I4835">
        <v>7378</v>
      </c>
      <c r="J4835">
        <v>0</v>
      </c>
      <c r="K4835">
        <v>14648</v>
      </c>
      <c r="L4835">
        <v>109</v>
      </c>
      <c r="M4835">
        <v>154</v>
      </c>
      <c r="N4835" t="s">
        <v>50</v>
      </c>
      <c r="O4835" s="3">
        <v>44062</v>
      </c>
      <c r="P4835">
        <v>-1</v>
      </c>
      <c r="T4835" t="s">
        <v>29</v>
      </c>
      <c r="U4835">
        <v>94</v>
      </c>
      <c r="V4835">
        <v>24.995200000000001</v>
      </c>
    </row>
    <row r="4836" spans="1:22" x14ac:dyDescent="0.35">
      <c r="A4836" s="3">
        <v>43908</v>
      </c>
      <c r="B4836" t="s">
        <v>55</v>
      </c>
      <c r="C4836">
        <v>70.55</v>
      </c>
      <c r="D4836">
        <v>82</v>
      </c>
      <c r="E4836">
        <v>70.25</v>
      </c>
      <c r="F4836">
        <v>81.95</v>
      </c>
      <c r="G4836">
        <v>69.760000000000005</v>
      </c>
      <c r="H4836">
        <v>0.93500000000000005</v>
      </c>
      <c r="I4836">
        <v>902</v>
      </c>
      <c r="J4836">
        <v>0</v>
      </c>
      <c r="K4836">
        <v>61878</v>
      </c>
      <c r="L4836">
        <v>0</v>
      </c>
      <c r="M4836">
        <v>0</v>
      </c>
      <c r="N4836" t="s">
        <v>55</v>
      </c>
      <c r="O4836" s="3">
        <v>43908</v>
      </c>
      <c r="P4836">
        <v>-1</v>
      </c>
      <c r="T4836" t="s">
        <v>28</v>
      </c>
      <c r="U4836">
        <v>113</v>
      </c>
      <c r="V4836">
        <v>25.317900000000002</v>
      </c>
    </row>
    <row r="4837" spans="1:22" x14ac:dyDescent="0.35">
      <c r="A4837" s="3">
        <v>43908</v>
      </c>
      <c r="B4837" t="s">
        <v>51</v>
      </c>
      <c r="C4837">
        <v>36.75</v>
      </c>
      <c r="D4837">
        <v>46.75</v>
      </c>
      <c r="E4837">
        <v>36.549999999999997</v>
      </c>
      <c r="F4837">
        <v>44.25</v>
      </c>
      <c r="G4837">
        <v>44.3</v>
      </c>
      <c r="H4837">
        <v>7.6</v>
      </c>
      <c r="I4837">
        <v>14732</v>
      </c>
      <c r="J4837">
        <v>0</v>
      </c>
      <c r="K4837">
        <v>22032</v>
      </c>
      <c r="L4837">
        <v>89</v>
      </c>
      <c r="M4837">
        <v>126</v>
      </c>
      <c r="N4837" t="s">
        <v>51</v>
      </c>
      <c r="O4837" s="3">
        <v>44034</v>
      </c>
      <c r="P4837">
        <v>-1</v>
      </c>
      <c r="T4837" t="s">
        <v>22</v>
      </c>
      <c r="U4837">
        <v>137</v>
      </c>
      <c r="V4837">
        <v>25.9253</v>
      </c>
    </row>
    <row r="4838" spans="1:22" x14ac:dyDescent="0.35">
      <c r="A4838" s="3">
        <v>43908</v>
      </c>
      <c r="B4838" t="s">
        <v>48</v>
      </c>
      <c r="C4838">
        <v>31.4</v>
      </c>
      <c r="D4838">
        <v>35.270000000000003</v>
      </c>
      <c r="E4838">
        <v>31.25</v>
      </c>
      <c r="F4838">
        <v>34.119999999999997</v>
      </c>
      <c r="G4838">
        <v>34.125</v>
      </c>
      <c r="H4838">
        <v>2.9249999999999998</v>
      </c>
      <c r="I4838">
        <v>3091</v>
      </c>
      <c r="J4838">
        <v>0</v>
      </c>
      <c r="K4838">
        <v>12287</v>
      </c>
      <c r="L4838">
        <v>153</v>
      </c>
      <c r="M4838">
        <v>217</v>
      </c>
      <c r="N4838" t="s">
        <v>48</v>
      </c>
      <c r="O4838" s="3">
        <v>44125</v>
      </c>
      <c r="P4838">
        <v>-1</v>
      </c>
      <c r="T4838" t="s">
        <v>26</v>
      </c>
      <c r="U4838">
        <v>157</v>
      </c>
      <c r="V4838">
        <v>25.95</v>
      </c>
    </row>
    <row r="4839" spans="1:22" x14ac:dyDescent="0.35">
      <c r="A4839" s="3">
        <v>43908</v>
      </c>
      <c r="B4839" t="s">
        <v>53</v>
      </c>
      <c r="C4839">
        <v>48.4</v>
      </c>
      <c r="D4839">
        <v>65.349999999999994</v>
      </c>
      <c r="E4839">
        <v>48.1</v>
      </c>
      <c r="F4839">
        <v>60.1</v>
      </c>
      <c r="G4839">
        <v>59.924999999999997</v>
      </c>
      <c r="H4839">
        <v>11.225</v>
      </c>
      <c r="I4839">
        <v>91302</v>
      </c>
      <c r="J4839">
        <v>0</v>
      </c>
      <c r="K4839">
        <v>52485</v>
      </c>
      <c r="L4839">
        <v>45</v>
      </c>
      <c r="M4839">
        <v>63</v>
      </c>
      <c r="N4839" t="s">
        <v>53</v>
      </c>
      <c r="O4839" s="3">
        <v>43971</v>
      </c>
      <c r="P4839">
        <v>-1</v>
      </c>
      <c r="T4839" t="s">
        <v>27</v>
      </c>
      <c r="U4839">
        <v>181</v>
      </c>
      <c r="V4839">
        <v>26.1</v>
      </c>
    </row>
    <row r="4840" spans="1:22" x14ac:dyDescent="0.35">
      <c r="A4840" s="3">
        <v>43908</v>
      </c>
      <c r="B4840" t="s">
        <v>47</v>
      </c>
      <c r="C4840">
        <v>30.15</v>
      </c>
      <c r="D4840">
        <v>33.299999999999997</v>
      </c>
      <c r="E4840">
        <v>29.89</v>
      </c>
      <c r="F4840">
        <v>32.299999999999997</v>
      </c>
      <c r="G4840">
        <v>32.225000000000001</v>
      </c>
      <c r="H4840">
        <v>2.2250000000000001</v>
      </c>
      <c r="I4840">
        <v>1306</v>
      </c>
      <c r="J4840">
        <v>0</v>
      </c>
      <c r="K4840">
        <v>6424</v>
      </c>
      <c r="L4840">
        <v>173</v>
      </c>
      <c r="M4840">
        <v>245</v>
      </c>
      <c r="N4840" t="s">
        <v>47</v>
      </c>
      <c r="O4840" s="3">
        <v>44153</v>
      </c>
      <c r="P4840">
        <v>-1</v>
      </c>
      <c r="S4840" s="3">
        <v>44566</v>
      </c>
      <c r="T4840" t="s">
        <v>33</v>
      </c>
      <c r="U4840">
        <v>9</v>
      </c>
      <c r="V4840">
        <v>20.7745</v>
      </c>
    </row>
    <row r="4841" spans="1:22" x14ac:dyDescent="0.35">
      <c r="A4841" s="3">
        <v>43908</v>
      </c>
      <c r="B4841" t="s">
        <v>52</v>
      </c>
      <c r="C4841">
        <v>41.8</v>
      </c>
      <c r="D4841">
        <v>56</v>
      </c>
      <c r="E4841">
        <v>41.65</v>
      </c>
      <c r="F4841">
        <v>51.77</v>
      </c>
      <c r="G4841">
        <v>51.5</v>
      </c>
      <c r="H4841">
        <v>9.4250000000000007</v>
      </c>
      <c r="I4841">
        <v>33195</v>
      </c>
      <c r="J4841">
        <v>0</v>
      </c>
      <c r="K4841">
        <v>29008</v>
      </c>
      <c r="L4841">
        <v>64</v>
      </c>
      <c r="M4841">
        <v>91</v>
      </c>
      <c r="N4841" t="s">
        <v>52</v>
      </c>
      <c r="O4841" s="3">
        <v>43999</v>
      </c>
      <c r="P4841">
        <v>-1</v>
      </c>
      <c r="T4841" t="s">
        <v>32</v>
      </c>
      <c r="U4841">
        <v>29</v>
      </c>
      <c r="V4841">
        <v>22.617100000000001</v>
      </c>
    </row>
    <row r="4842" spans="1:22" x14ac:dyDescent="0.35">
      <c r="A4842" s="3">
        <v>43908</v>
      </c>
      <c r="B4842" t="s">
        <v>49</v>
      </c>
      <c r="C4842">
        <v>31.65</v>
      </c>
      <c r="D4842">
        <v>35.75</v>
      </c>
      <c r="E4842">
        <v>31.2</v>
      </c>
      <c r="F4842">
        <v>34.82</v>
      </c>
      <c r="G4842">
        <v>34.6</v>
      </c>
      <c r="H4842">
        <v>3.375</v>
      </c>
      <c r="I4842">
        <v>5591</v>
      </c>
      <c r="J4842">
        <v>0</v>
      </c>
      <c r="K4842">
        <v>11122</v>
      </c>
      <c r="L4842">
        <v>128</v>
      </c>
      <c r="M4842">
        <v>182</v>
      </c>
      <c r="N4842" t="s">
        <v>49</v>
      </c>
      <c r="O4842" s="3">
        <v>44090</v>
      </c>
      <c r="P4842">
        <v>-1</v>
      </c>
      <c r="T4842" t="s">
        <v>31</v>
      </c>
      <c r="U4842">
        <v>47</v>
      </c>
      <c r="V4842">
        <v>23.9498</v>
      </c>
    </row>
    <row r="4843" spans="1:22" x14ac:dyDescent="0.35">
      <c r="A4843" s="3">
        <v>43907</v>
      </c>
      <c r="B4843" t="s">
        <v>51</v>
      </c>
      <c r="C4843">
        <v>34.549999999999997</v>
      </c>
      <c r="D4843">
        <v>36.799999999999997</v>
      </c>
      <c r="E4843">
        <v>31.95</v>
      </c>
      <c r="F4843">
        <v>36.51</v>
      </c>
      <c r="G4843">
        <v>36.700000000000003</v>
      </c>
      <c r="H4843">
        <v>1.7250000000000001</v>
      </c>
      <c r="I4843">
        <v>14692</v>
      </c>
      <c r="J4843">
        <v>0</v>
      </c>
      <c r="K4843">
        <v>21470</v>
      </c>
      <c r="L4843">
        <v>90</v>
      </c>
      <c r="M4843">
        <v>127</v>
      </c>
      <c r="N4843" t="s">
        <v>51</v>
      </c>
      <c r="O4843" s="3">
        <v>44034</v>
      </c>
      <c r="P4843">
        <v>-1</v>
      </c>
      <c r="T4843" t="s">
        <v>30</v>
      </c>
      <c r="U4843">
        <v>73</v>
      </c>
      <c r="V4843">
        <v>25.0611</v>
      </c>
    </row>
    <row r="4844" spans="1:22" x14ac:dyDescent="0.35">
      <c r="A4844" s="3">
        <v>43907</v>
      </c>
      <c r="B4844" t="s">
        <v>48</v>
      </c>
      <c r="C4844">
        <v>30.4</v>
      </c>
      <c r="D4844">
        <v>31.25</v>
      </c>
      <c r="E4844">
        <v>29</v>
      </c>
      <c r="F4844">
        <v>31</v>
      </c>
      <c r="G4844">
        <v>31.2</v>
      </c>
      <c r="H4844">
        <v>0.52500000000000002</v>
      </c>
      <c r="I4844">
        <v>1405</v>
      </c>
      <c r="J4844">
        <v>0</v>
      </c>
      <c r="K4844">
        <v>11124</v>
      </c>
      <c r="L4844">
        <v>154</v>
      </c>
      <c r="M4844">
        <v>218</v>
      </c>
      <c r="N4844" t="s">
        <v>48</v>
      </c>
      <c r="O4844" s="3">
        <v>44125</v>
      </c>
      <c r="P4844">
        <v>-1</v>
      </c>
      <c r="T4844" t="s">
        <v>29</v>
      </c>
      <c r="U4844">
        <v>93</v>
      </c>
      <c r="V4844">
        <v>25.6221</v>
      </c>
    </row>
    <row r="4845" spans="1:22" x14ac:dyDescent="0.35">
      <c r="A4845" s="3">
        <v>43907</v>
      </c>
      <c r="B4845" t="s">
        <v>53</v>
      </c>
      <c r="C4845">
        <v>44.85</v>
      </c>
      <c r="D4845">
        <v>48.85</v>
      </c>
      <c r="E4845">
        <v>39.799999999999997</v>
      </c>
      <c r="F4845">
        <v>48.3</v>
      </c>
      <c r="G4845">
        <v>48.7</v>
      </c>
      <c r="H4845">
        <v>3.8250000000000002</v>
      </c>
      <c r="I4845">
        <v>51191</v>
      </c>
      <c r="J4845">
        <v>0</v>
      </c>
      <c r="K4845">
        <v>48259</v>
      </c>
      <c r="L4845">
        <v>46</v>
      </c>
      <c r="M4845">
        <v>64</v>
      </c>
      <c r="N4845" t="s">
        <v>53</v>
      </c>
      <c r="O4845" s="3">
        <v>43971</v>
      </c>
      <c r="P4845">
        <v>-1</v>
      </c>
      <c r="T4845" t="s">
        <v>28</v>
      </c>
      <c r="U4845">
        <v>112</v>
      </c>
      <c r="V4845">
        <v>25.950399999999998</v>
      </c>
    </row>
    <row r="4846" spans="1:22" x14ac:dyDescent="0.35">
      <c r="A4846" s="3">
        <v>43907</v>
      </c>
      <c r="B4846" t="s">
        <v>47</v>
      </c>
      <c r="C4846">
        <v>28</v>
      </c>
      <c r="D4846">
        <v>29.95</v>
      </c>
      <c r="E4846">
        <v>27.6</v>
      </c>
      <c r="F4846">
        <v>29.8</v>
      </c>
      <c r="G4846">
        <v>30</v>
      </c>
      <c r="H4846">
        <v>1.2</v>
      </c>
      <c r="I4846">
        <v>470</v>
      </c>
      <c r="J4846">
        <v>0</v>
      </c>
      <c r="K4846">
        <v>6089</v>
      </c>
      <c r="L4846">
        <v>174</v>
      </c>
      <c r="M4846">
        <v>246</v>
      </c>
      <c r="N4846" t="s">
        <v>47</v>
      </c>
      <c r="O4846" s="3">
        <v>44153</v>
      </c>
      <c r="P4846">
        <v>-1</v>
      </c>
      <c r="T4846" t="s">
        <v>22</v>
      </c>
      <c r="U4846">
        <v>136</v>
      </c>
      <c r="V4846">
        <v>26.55</v>
      </c>
    </row>
    <row r="4847" spans="1:22" x14ac:dyDescent="0.35">
      <c r="A4847" s="3">
        <v>43907</v>
      </c>
      <c r="B4847" t="s">
        <v>52</v>
      </c>
      <c r="C4847">
        <v>38.99</v>
      </c>
      <c r="D4847">
        <v>42.1</v>
      </c>
      <c r="E4847">
        <v>35.200000000000003</v>
      </c>
      <c r="F4847">
        <v>41.74</v>
      </c>
      <c r="G4847">
        <v>42.075000000000003</v>
      </c>
      <c r="H4847">
        <v>3.125</v>
      </c>
      <c r="I4847">
        <v>32943</v>
      </c>
      <c r="J4847">
        <v>0</v>
      </c>
      <c r="K4847">
        <v>26925</v>
      </c>
      <c r="L4847">
        <v>65</v>
      </c>
      <c r="M4847">
        <v>92</v>
      </c>
      <c r="N4847" t="s">
        <v>52</v>
      </c>
      <c r="O4847" s="3">
        <v>43999</v>
      </c>
      <c r="P4847">
        <v>-1</v>
      </c>
      <c r="T4847" t="s">
        <v>26</v>
      </c>
      <c r="U4847">
        <v>156</v>
      </c>
      <c r="V4847">
        <v>26.55</v>
      </c>
    </row>
    <row r="4848" spans="1:22" x14ac:dyDescent="0.35">
      <c r="A4848" s="3">
        <v>43907</v>
      </c>
      <c r="B4848" t="s">
        <v>49</v>
      </c>
      <c r="C4848">
        <v>30.82</v>
      </c>
      <c r="D4848">
        <v>31.25</v>
      </c>
      <c r="E4848">
        <v>28.8</v>
      </c>
      <c r="F4848">
        <v>31.25</v>
      </c>
      <c r="G4848">
        <v>31.225000000000001</v>
      </c>
      <c r="H4848">
        <v>0.35</v>
      </c>
      <c r="I4848">
        <v>5331</v>
      </c>
      <c r="J4848">
        <v>0</v>
      </c>
      <c r="K4848">
        <v>11262</v>
      </c>
      <c r="L4848">
        <v>129</v>
      </c>
      <c r="M4848">
        <v>183</v>
      </c>
      <c r="N4848" t="s">
        <v>49</v>
      </c>
      <c r="O4848" s="3">
        <v>44090</v>
      </c>
      <c r="P4848">
        <v>-1</v>
      </c>
      <c r="T4848" t="s">
        <v>27</v>
      </c>
      <c r="U4848">
        <v>180</v>
      </c>
      <c r="V4848">
        <v>26.574999999999999</v>
      </c>
    </row>
    <row r="4849" spans="1:22" x14ac:dyDescent="0.35">
      <c r="A4849" s="3">
        <v>43907</v>
      </c>
      <c r="B4849" t="s">
        <v>54</v>
      </c>
      <c r="C4849">
        <v>59.15</v>
      </c>
      <c r="D4849">
        <v>63.1</v>
      </c>
      <c r="E4849">
        <v>50</v>
      </c>
      <c r="F4849">
        <v>60.7</v>
      </c>
      <c r="G4849">
        <v>61.424999999999997</v>
      </c>
      <c r="H4849">
        <v>2.2749999999999999</v>
      </c>
      <c r="I4849">
        <v>189050</v>
      </c>
      <c r="J4849">
        <v>332</v>
      </c>
      <c r="K4849">
        <v>229347</v>
      </c>
      <c r="L4849">
        <v>21</v>
      </c>
      <c r="M4849">
        <v>29</v>
      </c>
      <c r="N4849" t="s">
        <v>54</v>
      </c>
      <c r="O4849" s="3">
        <v>43936</v>
      </c>
      <c r="P4849">
        <v>-1</v>
      </c>
      <c r="S4849" s="3">
        <v>44567</v>
      </c>
      <c r="T4849" t="s">
        <v>33</v>
      </c>
      <c r="U4849">
        <v>8</v>
      </c>
      <c r="V4849">
        <v>20.849599999999999</v>
      </c>
    </row>
    <row r="4850" spans="1:22" x14ac:dyDescent="0.35">
      <c r="A4850" s="3">
        <v>43907</v>
      </c>
      <c r="B4850" t="s">
        <v>50</v>
      </c>
      <c r="C4850">
        <v>32</v>
      </c>
      <c r="D4850">
        <v>32.9</v>
      </c>
      <c r="E4850">
        <v>29.25</v>
      </c>
      <c r="F4850">
        <v>32.799999999999997</v>
      </c>
      <c r="G4850">
        <v>32.85</v>
      </c>
      <c r="H4850">
        <v>0.67500000000000004</v>
      </c>
      <c r="I4850">
        <v>6428</v>
      </c>
      <c r="J4850">
        <v>0</v>
      </c>
      <c r="K4850">
        <v>14939</v>
      </c>
      <c r="L4850">
        <v>110</v>
      </c>
      <c r="M4850">
        <v>155</v>
      </c>
      <c r="N4850" t="s">
        <v>50</v>
      </c>
      <c r="O4850" s="3">
        <v>44062</v>
      </c>
      <c r="P4850">
        <v>-1</v>
      </c>
      <c r="T4850" t="s">
        <v>32</v>
      </c>
      <c r="U4850">
        <v>28</v>
      </c>
      <c r="V4850">
        <v>22.8491</v>
      </c>
    </row>
    <row r="4851" spans="1:22" x14ac:dyDescent="0.35">
      <c r="A4851" s="3">
        <v>43907</v>
      </c>
      <c r="B4851" t="s">
        <v>55</v>
      </c>
      <c r="C4851">
        <v>72.5</v>
      </c>
      <c r="D4851">
        <v>79.05</v>
      </c>
      <c r="E4851">
        <v>64.900000000000006</v>
      </c>
      <c r="F4851">
        <v>70.55</v>
      </c>
      <c r="G4851">
        <v>68.825000000000003</v>
      </c>
      <c r="H4851">
        <v>-3.8</v>
      </c>
      <c r="I4851">
        <v>72592</v>
      </c>
      <c r="J4851">
        <v>18</v>
      </c>
      <c r="K4851">
        <v>65191</v>
      </c>
      <c r="L4851">
        <v>1</v>
      </c>
      <c r="M4851">
        <v>1</v>
      </c>
      <c r="N4851" t="s">
        <v>55</v>
      </c>
      <c r="O4851" s="3">
        <v>43908</v>
      </c>
      <c r="P4851">
        <v>-1</v>
      </c>
      <c r="T4851" t="s">
        <v>31</v>
      </c>
      <c r="U4851">
        <v>46</v>
      </c>
      <c r="V4851">
        <v>24.05</v>
      </c>
    </row>
    <row r="4852" spans="1:22" x14ac:dyDescent="0.35">
      <c r="A4852" s="3">
        <v>43906</v>
      </c>
      <c r="B4852" t="s">
        <v>54</v>
      </c>
      <c r="C4852">
        <v>43.55</v>
      </c>
      <c r="D4852">
        <v>63</v>
      </c>
      <c r="E4852">
        <v>43.55</v>
      </c>
      <c r="F4852">
        <v>58.85</v>
      </c>
      <c r="G4852">
        <v>59.15</v>
      </c>
      <c r="H4852">
        <v>15.25</v>
      </c>
      <c r="I4852">
        <v>191841</v>
      </c>
      <c r="J4852">
        <v>1618</v>
      </c>
      <c r="K4852">
        <v>234727</v>
      </c>
      <c r="L4852">
        <v>22</v>
      </c>
      <c r="M4852">
        <v>30</v>
      </c>
      <c r="N4852" t="s">
        <v>54</v>
      </c>
      <c r="O4852" s="3">
        <v>43936</v>
      </c>
      <c r="P4852">
        <v>-1</v>
      </c>
      <c r="T4852" t="s">
        <v>30</v>
      </c>
      <c r="U4852">
        <v>72</v>
      </c>
      <c r="V4852">
        <v>25.1</v>
      </c>
    </row>
    <row r="4853" spans="1:22" x14ac:dyDescent="0.35">
      <c r="A4853" s="3">
        <v>43906</v>
      </c>
      <c r="B4853" t="s">
        <v>50</v>
      </c>
      <c r="C4853">
        <v>28.3</v>
      </c>
      <c r="D4853">
        <v>32.950000000000003</v>
      </c>
      <c r="E4853">
        <v>28.05</v>
      </c>
      <c r="F4853">
        <v>32.049999999999997</v>
      </c>
      <c r="G4853">
        <v>32.174999999999997</v>
      </c>
      <c r="H4853">
        <v>5.0999999999999996</v>
      </c>
      <c r="I4853">
        <v>7239</v>
      </c>
      <c r="J4853">
        <v>0</v>
      </c>
      <c r="K4853">
        <v>15056</v>
      </c>
      <c r="L4853">
        <v>111</v>
      </c>
      <c r="M4853">
        <v>156</v>
      </c>
      <c r="N4853" t="s">
        <v>50</v>
      </c>
      <c r="O4853" s="3">
        <v>44062</v>
      </c>
      <c r="P4853">
        <v>-1</v>
      </c>
      <c r="T4853" t="s">
        <v>29</v>
      </c>
      <c r="U4853">
        <v>92</v>
      </c>
      <c r="V4853">
        <v>25.6496</v>
      </c>
    </row>
    <row r="4854" spans="1:22" x14ac:dyDescent="0.35">
      <c r="A4854" s="3">
        <v>43906</v>
      </c>
      <c r="B4854" t="s">
        <v>55</v>
      </c>
      <c r="C4854">
        <v>54</v>
      </c>
      <c r="D4854">
        <v>76.25</v>
      </c>
      <c r="E4854">
        <v>54</v>
      </c>
      <c r="F4854">
        <v>72.05</v>
      </c>
      <c r="G4854">
        <v>72.625</v>
      </c>
      <c r="H4854">
        <v>19.2</v>
      </c>
      <c r="I4854">
        <v>73205</v>
      </c>
      <c r="J4854">
        <v>178</v>
      </c>
      <c r="K4854">
        <v>75724</v>
      </c>
      <c r="L4854">
        <v>2</v>
      </c>
      <c r="M4854">
        <v>2</v>
      </c>
      <c r="N4854" t="s">
        <v>55</v>
      </c>
      <c r="O4854" s="3">
        <v>43908</v>
      </c>
      <c r="P4854">
        <v>-1</v>
      </c>
      <c r="T4854" t="s">
        <v>28</v>
      </c>
      <c r="U4854">
        <v>111</v>
      </c>
      <c r="V4854">
        <v>25.95</v>
      </c>
    </row>
    <row r="4855" spans="1:22" x14ac:dyDescent="0.35">
      <c r="A4855" s="3">
        <v>43906</v>
      </c>
      <c r="B4855" t="s">
        <v>51</v>
      </c>
      <c r="C4855">
        <v>29.6</v>
      </c>
      <c r="D4855">
        <v>35.700000000000003</v>
      </c>
      <c r="E4855">
        <v>29.55</v>
      </c>
      <c r="F4855">
        <v>34.450000000000003</v>
      </c>
      <c r="G4855">
        <v>34.975000000000001</v>
      </c>
      <c r="H4855">
        <v>6.5</v>
      </c>
      <c r="I4855">
        <v>9415</v>
      </c>
      <c r="J4855">
        <v>0</v>
      </c>
      <c r="K4855">
        <v>18310</v>
      </c>
      <c r="L4855">
        <v>91</v>
      </c>
      <c r="M4855">
        <v>128</v>
      </c>
      <c r="N4855" t="s">
        <v>51</v>
      </c>
      <c r="O4855" s="3">
        <v>44034</v>
      </c>
      <c r="P4855">
        <v>-1</v>
      </c>
      <c r="T4855" t="s">
        <v>22</v>
      </c>
      <c r="U4855">
        <v>135</v>
      </c>
      <c r="V4855">
        <v>26.55</v>
      </c>
    </row>
    <row r="4856" spans="1:22" x14ac:dyDescent="0.35">
      <c r="A4856" s="3">
        <v>43906</v>
      </c>
      <c r="B4856" t="s">
        <v>48</v>
      </c>
      <c r="C4856">
        <v>27.9</v>
      </c>
      <c r="D4856">
        <v>31.16</v>
      </c>
      <c r="E4856">
        <v>27.9</v>
      </c>
      <c r="F4856">
        <v>31</v>
      </c>
      <c r="G4856">
        <v>30.675000000000001</v>
      </c>
      <c r="H4856">
        <v>3.9750000000000001</v>
      </c>
      <c r="I4856">
        <v>2560</v>
      </c>
      <c r="J4856">
        <v>0</v>
      </c>
      <c r="K4856">
        <v>11274</v>
      </c>
      <c r="L4856">
        <v>155</v>
      </c>
      <c r="M4856">
        <v>219</v>
      </c>
      <c r="N4856" t="s">
        <v>48</v>
      </c>
      <c r="O4856" s="3">
        <v>44125</v>
      </c>
      <c r="P4856">
        <v>-1</v>
      </c>
      <c r="T4856" t="s">
        <v>26</v>
      </c>
      <c r="U4856">
        <v>155</v>
      </c>
      <c r="V4856">
        <v>26.524999999999999</v>
      </c>
    </row>
    <row r="4857" spans="1:22" x14ac:dyDescent="0.35">
      <c r="A4857" s="3">
        <v>43906</v>
      </c>
      <c r="B4857" t="s">
        <v>53</v>
      </c>
      <c r="C4857">
        <v>34.5</v>
      </c>
      <c r="D4857">
        <v>47.78</v>
      </c>
      <c r="E4857">
        <v>34.5</v>
      </c>
      <c r="F4857">
        <v>44.85</v>
      </c>
      <c r="G4857">
        <v>44.875</v>
      </c>
      <c r="H4857">
        <v>10.35</v>
      </c>
      <c r="I4857">
        <v>38782</v>
      </c>
      <c r="J4857">
        <v>0</v>
      </c>
      <c r="K4857">
        <v>45662</v>
      </c>
      <c r="L4857">
        <v>47</v>
      </c>
      <c r="M4857">
        <v>65</v>
      </c>
      <c r="N4857" t="s">
        <v>53</v>
      </c>
      <c r="O4857" s="3">
        <v>43971</v>
      </c>
      <c r="P4857">
        <v>-1</v>
      </c>
      <c r="T4857" t="s">
        <v>27</v>
      </c>
      <c r="U4857">
        <v>179</v>
      </c>
      <c r="V4857">
        <v>26.524999999999999</v>
      </c>
    </row>
    <row r="4858" spans="1:22" x14ac:dyDescent="0.35">
      <c r="A4858" s="3">
        <v>43906</v>
      </c>
      <c r="B4858" t="s">
        <v>47</v>
      </c>
      <c r="C4858">
        <v>26.45</v>
      </c>
      <c r="D4858">
        <v>30</v>
      </c>
      <c r="E4858">
        <v>26.45</v>
      </c>
      <c r="F4858">
        <v>28.85</v>
      </c>
      <c r="G4858">
        <v>28.8</v>
      </c>
      <c r="H4858">
        <v>3.15</v>
      </c>
      <c r="I4858">
        <v>496</v>
      </c>
      <c r="J4858">
        <v>0</v>
      </c>
      <c r="K4858">
        <v>6123</v>
      </c>
      <c r="L4858">
        <v>175</v>
      </c>
      <c r="M4858">
        <v>247</v>
      </c>
      <c r="N4858" t="s">
        <v>47</v>
      </c>
      <c r="O4858" s="3">
        <v>44153</v>
      </c>
      <c r="P4858">
        <v>-1</v>
      </c>
      <c r="S4858" s="3">
        <v>44568</v>
      </c>
      <c r="T4858" t="s">
        <v>33</v>
      </c>
      <c r="U4858">
        <v>7</v>
      </c>
      <c r="V4858">
        <v>20.398</v>
      </c>
    </row>
    <row r="4859" spans="1:22" x14ac:dyDescent="0.35">
      <c r="A4859" s="3">
        <v>43906</v>
      </c>
      <c r="B4859" t="s">
        <v>52</v>
      </c>
      <c r="C4859">
        <v>32</v>
      </c>
      <c r="D4859">
        <v>40.75</v>
      </c>
      <c r="E4859">
        <v>31.85</v>
      </c>
      <c r="F4859">
        <v>38.700000000000003</v>
      </c>
      <c r="G4859">
        <v>38.950000000000003</v>
      </c>
      <c r="H4859">
        <v>8.3000000000000007</v>
      </c>
      <c r="I4859">
        <v>19487</v>
      </c>
      <c r="J4859">
        <v>0</v>
      </c>
      <c r="K4859">
        <v>27865</v>
      </c>
      <c r="L4859">
        <v>66</v>
      </c>
      <c r="M4859">
        <v>93</v>
      </c>
      <c r="N4859" t="s">
        <v>52</v>
      </c>
      <c r="O4859" s="3">
        <v>43999</v>
      </c>
      <c r="P4859">
        <v>-1</v>
      </c>
      <c r="T4859" t="s">
        <v>32</v>
      </c>
      <c r="U4859">
        <v>27</v>
      </c>
      <c r="V4859">
        <v>22.020399999999999</v>
      </c>
    </row>
    <row r="4860" spans="1:22" x14ac:dyDescent="0.35">
      <c r="A4860" s="3">
        <v>43906</v>
      </c>
      <c r="B4860" t="s">
        <v>49</v>
      </c>
      <c r="C4860">
        <v>27.85</v>
      </c>
      <c r="D4860">
        <v>31.45</v>
      </c>
      <c r="E4860">
        <v>27.67</v>
      </c>
      <c r="F4860">
        <v>30.86</v>
      </c>
      <c r="G4860">
        <v>30.875</v>
      </c>
      <c r="H4860">
        <v>4.3499999999999996</v>
      </c>
      <c r="I4860">
        <v>5276</v>
      </c>
      <c r="J4860">
        <v>0</v>
      </c>
      <c r="K4860">
        <v>11685</v>
      </c>
      <c r="L4860">
        <v>130</v>
      </c>
      <c r="M4860">
        <v>184</v>
      </c>
      <c r="N4860" t="s">
        <v>49</v>
      </c>
      <c r="O4860" s="3">
        <v>44090</v>
      </c>
      <c r="P4860">
        <v>-1</v>
      </c>
      <c r="T4860" t="s">
        <v>31</v>
      </c>
      <c r="U4860">
        <v>45</v>
      </c>
      <c r="V4860">
        <v>23.394600000000001</v>
      </c>
    </row>
    <row r="4861" spans="1:22" x14ac:dyDescent="0.35">
      <c r="A4861" s="3">
        <v>43903</v>
      </c>
      <c r="B4861" t="s">
        <v>51</v>
      </c>
      <c r="C4861">
        <v>31.41</v>
      </c>
      <c r="D4861">
        <v>31.45</v>
      </c>
      <c r="E4861">
        <v>28.25</v>
      </c>
      <c r="F4861">
        <v>28.95</v>
      </c>
      <c r="G4861">
        <v>28.475000000000001</v>
      </c>
      <c r="H4861">
        <v>-2.4500000000000002</v>
      </c>
      <c r="I4861">
        <v>12177</v>
      </c>
      <c r="J4861">
        <v>0</v>
      </c>
      <c r="K4861">
        <v>19064</v>
      </c>
      <c r="L4861">
        <v>92</v>
      </c>
      <c r="M4861">
        <v>131</v>
      </c>
      <c r="N4861" t="s">
        <v>51</v>
      </c>
      <c r="O4861" s="3">
        <v>44034</v>
      </c>
      <c r="P4861">
        <v>-1</v>
      </c>
      <c r="T4861" t="s">
        <v>30</v>
      </c>
      <c r="U4861">
        <v>71</v>
      </c>
      <c r="V4861">
        <v>24.511700000000001</v>
      </c>
    </row>
    <row r="4862" spans="1:22" x14ac:dyDescent="0.35">
      <c r="A4862" s="3">
        <v>43903</v>
      </c>
      <c r="B4862" t="s">
        <v>48</v>
      </c>
      <c r="C4862">
        <v>28.65</v>
      </c>
      <c r="D4862">
        <v>28.9</v>
      </c>
      <c r="E4862">
        <v>26.6</v>
      </c>
      <c r="F4862">
        <v>26.9</v>
      </c>
      <c r="G4862">
        <v>26.7</v>
      </c>
      <c r="H4862">
        <v>-1.875</v>
      </c>
      <c r="I4862">
        <v>1509</v>
      </c>
      <c r="J4862">
        <v>0</v>
      </c>
      <c r="K4862">
        <v>11296</v>
      </c>
      <c r="L4862">
        <v>156</v>
      </c>
      <c r="M4862">
        <v>222</v>
      </c>
      <c r="N4862" t="s">
        <v>48</v>
      </c>
      <c r="O4862" s="3">
        <v>44125</v>
      </c>
      <c r="P4862">
        <v>-1</v>
      </c>
      <c r="T4862" t="s">
        <v>29</v>
      </c>
      <c r="U4862">
        <v>91</v>
      </c>
      <c r="V4862">
        <v>25.146000000000001</v>
      </c>
    </row>
    <row r="4863" spans="1:22" x14ac:dyDescent="0.35">
      <c r="A4863" s="3">
        <v>43903</v>
      </c>
      <c r="B4863" t="s">
        <v>53</v>
      </c>
      <c r="C4863">
        <v>38.15</v>
      </c>
      <c r="D4863">
        <v>39.049999999999997</v>
      </c>
      <c r="E4863">
        <v>33.229999999999997</v>
      </c>
      <c r="F4863">
        <v>35.5</v>
      </c>
      <c r="G4863">
        <v>34.524999999999999</v>
      </c>
      <c r="H4863">
        <v>-2.0499999999999998</v>
      </c>
      <c r="I4863">
        <v>43827</v>
      </c>
      <c r="J4863">
        <v>1100</v>
      </c>
      <c r="K4863">
        <v>46832</v>
      </c>
      <c r="L4863">
        <v>48</v>
      </c>
      <c r="M4863">
        <v>68</v>
      </c>
      <c r="N4863" t="s">
        <v>53</v>
      </c>
      <c r="O4863" s="3">
        <v>43971</v>
      </c>
      <c r="P4863">
        <v>-1</v>
      </c>
      <c r="T4863" t="s">
        <v>28</v>
      </c>
      <c r="U4863">
        <v>110</v>
      </c>
      <c r="V4863">
        <v>25.4422</v>
      </c>
    </row>
    <row r="4864" spans="1:22" x14ac:dyDescent="0.35">
      <c r="A4864" s="3">
        <v>43903</v>
      </c>
      <c r="B4864" t="s">
        <v>47</v>
      </c>
      <c r="C4864">
        <v>27</v>
      </c>
      <c r="D4864">
        <v>27.5</v>
      </c>
      <c r="E4864">
        <v>25.3</v>
      </c>
      <c r="F4864">
        <v>25.65</v>
      </c>
      <c r="G4864">
        <v>25.65</v>
      </c>
      <c r="H4864">
        <v>-1.175</v>
      </c>
      <c r="I4864">
        <v>273</v>
      </c>
      <c r="J4864">
        <v>0</v>
      </c>
      <c r="K4864">
        <v>6087</v>
      </c>
      <c r="L4864">
        <v>176</v>
      </c>
      <c r="M4864">
        <v>250</v>
      </c>
      <c r="N4864" t="s">
        <v>47</v>
      </c>
      <c r="O4864" s="3">
        <v>44153</v>
      </c>
      <c r="P4864">
        <v>-1</v>
      </c>
      <c r="T4864" t="s">
        <v>22</v>
      </c>
      <c r="U4864">
        <v>134</v>
      </c>
      <c r="V4864">
        <v>26.074999999999999</v>
      </c>
    </row>
    <row r="4865" spans="1:22" x14ac:dyDescent="0.35">
      <c r="A4865" s="3">
        <v>43903</v>
      </c>
      <c r="B4865" t="s">
        <v>52</v>
      </c>
      <c r="C4865">
        <v>33.85</v>
      </c>
      <c r="D4865">
        <v>34.1</v>
      </c>
      <c r="E4865">
        <v>30.25</v>
      </c>
      <c r="F4865">
        <v>31.4</v>
      </c>
      <c r="G4865">
        <v>30.65</v>
      </c>
      <c r="H4865">
        <v>-2.375</v>
      </c>
      <c r="I4865">
        <v>25216</v>
      </c>
      <c r="J4865">
        <v>0</v>
      </c>
      <c r="K4865">
        <v>29866</v>
      </c>
      <c r="L4865">
        <v>67</v>
      </c>
      <c r="M4865">
        <v>96</v>
      </c>
      <c r="N4865" t="s">
        <v>52</v>
      </c>
      <c r="O4865" s="3">
        <v>43999</v>
      </c>
      <c r="P4865">
        <v>-1</v>
      </c>
      <c r="T4865" t="s">
        <v>26</v>
      </c>
      <c r="U4865">
        <v>154</v>
      </c>
      <c r="V4865">
        <v>26.15</v>
      </c>
    </row>
    <row r="4866" spans="1:22" x14ac:dyDescent="0.35">
      <c r="A4866" s="3">
        <v>43903</v>
      </c>
      <c r="B4866" t="s">
        <v>49</v>
      </c>
      <c r="C4866">
        <v>28.85</v>
      </c>
      <c r="D4866">
        <v>28.85</v>
      </c>
      <c r="E4866">
        <v>26.4</v>
      </c>
      <c r="F4866">
        <v>26.55</v>
      </c>
      <c r="G4866">
        <v>26.524999999999999</v>
      </c>
      <c r="H4866">
        <v>-2</v>
      </c>
      <c r="I4866">
        <v>3792</v>
      </c>
      <c r="J4866">
        <v>0</v>
      </c>
      <c r="K4866">
        <v>11916</v>
      </c>
      <c r="L4866">
        <v>131</v>
      </c>
      <c r="M4866">
        <v>187</v>
      </c>
      <c r="N4866" t="s">
        <v>49</v>
      </c>
      <c r="O4866" s="3">
        <v>44090</v>
      </c>
      <c r="P4866">
        <v>-1</v>
      </c>
      <c r="T4866" t="s">
        <v>27</v>
      </c>
      <c r="U4866">
        <v>178</v>
      </c>
      <c r="V4866">
        <v>26.324999999999999</v>
      </c>
    </row>
    <row r="4867" spans="1:22" x14ac:dyDescent="0.35">
      <c r="A4867" s="3">
        <v>43903</v>
      </c>
      <c r="B4867" t="s">
        <v>54</v>
      </c>
      <c r="C4867">
        <v>49.1</v>
      </c>
      <c r="D4867">
        <v>51</v>
      </c>
      <c r="E4867">
        <v>40</v>
      </c>
      <c r="F4867">
        <v>44.8</v>
      </c>
      <c r="G4867">
        <v>43.9</v>
      </c>
      <c r="H4867">
        <v>-1.925</v>
      </c>
      <c r="I4867">
        <v>175096</v>
      </c>
      <c r="J4867">
        <v>1908</v>
      </c>
      <c r="K4867">
        <v>203625</v>
      </c>
      <c r="L4867">
        <v>23</v>
      </c>
      <c r="M4867">
        <v>33</v>
      </c>
      <c r="N4867" t="s">
        <v>54</v>
      </c>
      <c r="O4867" s="3">
        <v>43936</v>
      </c>
      <c r="P4867">
        <v>-1</v>
      </c>
      <c r="S4867" s="3">
        <v>44571</v>
      </c>
      <c r="T4867" t="s">
        <v>33</v>
      </c>
      <c r="U4867">
        <v>6</v>
      </c>
      <c r="V4867">
        <v>19.903400000000001</v>
      </c>
    </row>
    <row r="4868" spans="1:22" x14ac:dyDescent="0.35">
      <c r="A4868" s="3">
        <v>43903</v>
      </c>
      <c r="B4868" t="s">
        <v>50</v>
      </c>
      <c r="C4868">
        <v>29.9</v>
      </c>
      <c r="D4868">
        <v>30</v>
      </c>
      <c r="E4868">
        <v>26.95</v>
      </c>
      <c r="F4868">
        <v>27.2</v>
      </c>
      <c r="G4868">
        <v>27.074999999999999</v>
      </c>
      <c r="H4868">
        <v>-2.4</v>
      </c>
      <c r="I4868">
        <v>7395</v>
      </c>
      <c r="J4868">
        <v>0</v>
      </c>
      <c r="K4868">
        <v>15131</v>
      </c>
      <c r="L4868">
        <v>112</v>
      </c>
      <c r="M4868">
        <v>159</v>
      </c>
      <c r="N4868" t="s">
        <v>50</v>
      </c>
      <c r="O4868" s="3">
        <v>44062</v>
      </c>
      <c r="P4868">
        <v>-1</v>
      </c>
      <c r="T4868" t="s">
        <v>32</v>
      </c>
      <c r="U4868">
        <v>26</v>
      </c>
      <c r="V4868">
        <v>21.704899999999999</v>
      </c>
    </row>
    <row r="4869" spans="1:22" x14ac:dyDescent="0.35">
      <c r="A4869" s="3">
        <v>43903</v>
      </c>
      <c r="B4869" t="s">
        <v>55</v>
      </c>
      <c r="C4869">
        <v>60.4</v>
      </c>
      <c r="D4869">
        <v>65</v>
      </c>
      <c r="E4869">
        <v>50.9</v>
      </c>
      <c r="F4869">
        <v>54.45</v>
      </c>
      <c r="G4869">
        <v>53.424999999999997</v>
      </c>
      <c r="H4869">
        <v>-4.875</v>
      </c>
      <c r="I4869">
        <v>119572</v>
      </c>
      <c r="J4869">
        <v>1000</v>
      </c>
      <c r="K4869">
        <v>87710</v>
      </c>
      <c r="L4869">
        <v>3</v>
      </c>
      <c r="M4869">
        <v>5</v>
      </c>
      <c r="N4869" t="s">
        <v>55</v>
      </c>
      <c r="O4869" s="3">
        <v>43908</v>
      </c>
      <c r="P4869">
        <v>-1</v>
      </c>
      <c r="T4869" t="s">
        <v>31</v>
      </c>
      <c r="U4869">
        <v>44</v>
      </c>
      <c r="V4869">
        <v>23.095099999999999</v>
      </c>
    </row>
    <row r="4870" spans="1:22" x14ac:dyDescent="0.35">
      <c r="A4870" s="3">
        <v>43902</v>
      </c>
      <c r="B4870" t="s">
        <v>54</v>
      </c>
      <c r="C4870">
        <v>38.799999999999997</v>
      </c>
      <c r="D4870">
        <v>49.6</v>
      </c>
      <c r="E4870">
        <v>37.92</v>
      </c>
      <c r="F4870">
        <v>47.35</v>
      </c>
      <c r="G4870">
        <v>45.825000000000003</v>
      </c>
      <c r="H4870">
        <v>7.25</v>
      </c>
      <c r="I4870">
        <v>221597</v>
      </c>
      <c r="J4870">
        <v>302</v>
      </c>
      <c r="K4870">
        <v>206210</v>
      </c>
      <c r="L4870">
        <v>24</v>
      </c>
      <c r="M4870">
        <v>34</v>
      </c>
      <c r="N4870" t="s">
        <v>54</v>
      </c>
      <c r="O4870" s="3">
        <v>43936</v>
      </c>
      <c r="P4870">
        <v>-1</v>
      </c>
      <c r="T4870" t="s">
        <v>30</v>
      </c>
      <c r="U4870">
        <v>70</v>
      </c>
      <c r="V4870">
        <v>24.25</v>
      </c>
    </row>
    <row r="4871" spans="1:22" x14ac:dyDescent="0.35">
      <c r="A4871" s="3">
        <v>43902</v>
      </c>
      <c r="B4871" t="s">
        <v>50</v>
      </c>
      <c r="C4871">
        <v>26.73</v>
      </c>
      <c r="D4871">
        <v>29.75</v>
      </c>
      <c r="E4871">
        <v>26.4</v>
      </c>
      <c r="F4871">
        <v>29.52</v>
      </c>
      <c r="G4871">
        <v>29.475000000000001</v>
      </c>
      <c r="H4871">
        <v>2.65</v>
      </c>
      <c r="I4871">
        <v>8255</v>
      </c>
      <c r="J4871">
        <v>0</v>
      </c>
      <c r="K4871">
        <v>14356</v>
      </c>
      <c r="L4871">
        <v>113</v>
      </c>
      <c r="M4871">
        <v>160</v>
      </c>
      <c r="N4871" t="s">
        <v>50</v>
      </c>
      <c r="O4871" s="3">
        <v>44062</v>
      </c>
      <c r="P4871">
        <v>-1</v>
      </c>
      <c r="T4871" t="s">
        <v>29</v>
      </c>
      <c r="U4871">
        <v>90</v>
      </c>
      <c r="V4871">
        <v>24.8003</v>
      </c>
    </row>
    <row r="4872" spans="1:22" x14ac:dyDescent="0.35">
      <c r="A4872" s="3">
        <v>43902</v>
      </c>
      <c r="B4872" t="s">
        <v>55</v>
      </c>
      <c r="C4872">
        <v>48.1</v>
      </c>
      <c r="D4872">
        <v>60.45</v>
      </c>
      <c r="E4872">
        <v>45.25</v>
      </c>
      <c r="F4872">
        <v>59.95</v>
      </c>
      <c r="G4872">
        <v>58.3</v>
      </c>
      <c r="H4872">
        <v>11.95</v>
      </c>
      <c r="I4872">
        <v>148170</v>
      </c>
      <c r="J4872">
        <v>75</v>
      </c>
      <c r="K4872">
        <v>96501</v>
      </c>
      <c r="L4872">
        <v>4</v>
      </c>
      <c r="M4872">
        <v>6</v>
      </c>
      <c r="N4872" t="s">
        <v>55</v>
      </c>
      <c r="O4872" s="3">
        <v>43908</v>
      </c>
      <c r="P4872">
        <v>-1</v>
      </c>
      <c r="T4872" t="s">
        <v>28</v>
      </c>
      <c r="U4872">
        <v>109</v>
      </c>
      <c r="V4872">
        <v>25.147300000000001</v>
      </c>
    </row>
    <row r="4873" spans="1:22" x14ac:dyDescent="0.35">
      <c r="A4873" s="3">
        <v>43902</v>
      </c>
      <c r="B4873" t="s">
        <v>51</v>
      </c>
      <c r="C4873">
        <v>27.85</v>
      </c>
      <c r="D4873">
        <v>31.25</v>
      </c>
      <c r="E4873">
        <v>27.45</v>
      </c>
      <c r="F4873">
        <v>31</v>
      </c>
      <c r="G4873">
        <v>30.925000000000001</v>
      </c>
      <c r="H4873">
        <v>3.0750000000000002</v>
      </c>
      <c r="I4873">
        <v>14807</v>
      </c>
      <c r="J4873">
        <v>0</v>
      </c>
      <c r="K4873">
        <v>20933</v>
      </c>
      <c r="L4873">
        <v>93</v>
      </c>
      <c r="M4873">
        <v>132</v>
      </c>
      <c r="N4873" t="s">
        <v>51</v>
      </c>
      <c r="O4873" s="3">
        <v>44034</v>
      </c>
      <c r="P4873">
        <v>-1</v>
      </c>
      <c r="T4873" t="s">
        <v>22</v>
      </c>
      <c r="U4873">
        <v>133</v>
      </c>
      <c r="V4873">
        <v>25.776700000000002</v>
      </c>
    </row>
    <row r="4874" spans="1:22" x14ac:dyDescent="0.35">
      <c r="A4874" s="3">
        <v>43902</v>
      </c>
      <c r="B4874" t="s">
        <v>48</v>
      </c>
      <c r="C4874">
        <v>26.59</v>
      </c>
      <c r="D4874">
        <v>28.7</v>
      </c>
      <c r="E4874">
        <v>26.45</v>
      </c>
      <c r="F4874">
        <v>28.5</v>
      </c>
      <c r="G4874">
        <v>28.574999999999999</v>
      </c>
      <c r="H4874">
        <v>1.925</v>
      </c>
      <c r="I4874">
        <v>2145</v>
      </c>
      <c r="J4874">
        <v>0</v>
      </c>
      <c r="K4874">
        <v>11613</v>
      </c>
      <c r="L4874">
        <v>157</v>
      </c>
      <c r="M4874">
        <v>223</v>
      </c>
      <c r="N4874" t="s">
        <v>48</v>
      </c>
      <c r="O4874" s="3">
        <v>44125</v>
      </c>
      <c r="P4874">
        <v>-1</v>
      </c>
      <c r="T4874" t="s">
        <v>26</v>
      </c>
      <c r="U4874">
        <v>153</v>
      </c>
      <c r="V4874">
        <v>25.8</v>
      </c>
    </row>
    <row r="4875" spans="1:22" x14ac:dyDescent="0.35">
      <c r="A4875" s="3">
        <v>43902</v>
      </c>
      <c r="B4875" t="s">
        <v>53</v>
      </c>
      <c r="C4875">
        <v>32.200000000000003</v>
      </c>
      <c r="D4875">
        <v>38.47</v>
      </c>
      <c r="E4875">
        <v>31.75</v>
      </c>
      <c r="F4875">
        <v>37.14</v>
      </c>
      <c r="G4875">
        <v>36.575000000000003</v>
      </c>
      <c r="H4875">
        <v>4.3499999999999996</v>
      </c>
      <c r="I4875">
        <v>57000</v>
      </c>
      <c r="J4875">
        <v>0</v>
      </c>
      <c r="K4875">
        <v>48663</v>
      </c>
      <c r="L4875">
        <v>49</v>
      </c>
      <c r="M4875">
        <v>69</v>
      </c>
      <c r="N4875" t="s">
        <v>53</v>
      </c>
      <c r="O4875" s="3">
        <v>43971</v>
      </c>
      <c r="P4875">
        <v>-1</v>
      </c>
      <c r="T4875" t="s">
        <v>27</v>
      </c>
      <c r="U4875">
        <v>177</v>
      </c>
      <c r="V4875">
        <v>26.05</v>
      </c>
    </row>
    <row r="4876" spans="1:22" x14ac:dyDescent="0.35">
      <c r="A4876" s="3">
        <v>43902</v>
      </c>
      <c r="B4876" t="s">
        <v>47</v>
      </c>
      <c r="C4876">
        <v>26.7</v>
      </c>
      <c r="D4876">
        <v>27.6</v>
      </c>
      <c r="E4876">
        <v>25</v>
      </c>
      <c r="F4876">
        <v>27.12</v>
      </c>
      <c r="G4876">
        <v>26.824999999999999</v>
      </c>
      <c r="H4876">
        <v>1.675</v>
      </c>
      <c r="I4876">
        <v>217</v>
      </c>
      <c r="J4876">
        <v>0</v>
      </c>
      <c r="K4876">
        <v>6085</v>
      </c>
      <c r="L4876">
        <v>177</v>
      </c>
      <c r="M4876">
        <v>251</v>
      </c>
      <c r="N4876" t="s">
        <v>47</v>
      </c>
      <c r="O4876" s="3">
        <v>44153</v>
      </c>
      <c r="P4876">
        <v>-1</v>
      </c>
      <c r="S4876" s="3">
        <v>44572</v>
      </c>
      <c r="T4876" t="s">
        <v>33</v>
      </c>
      <c r="U4876">
        <v>5</v>
      </c>
      <c r="V4876">
        <v>18.954000000000001</v>
      </c>
    </row>
    <row r="4877" spans="1:22" x14ac:dyDescent="0.35">
      <c r="A4877" s="3">
        <v>43902</v>
      </c>
      <c r="B4877" t="s">
        <v>52</v>
      </c>
      <c r="C4877">
        <v>29.25</v>
      </c>
      <c r="D4877">
        <v>33.450000000000003</v>
      </c>
      <c r="E4877">
        <v>28.8</v>
      </c>
      <c r="F4877">
        <v>33.17</v>
      </c>
      <c r="G4877">
        <v>33.024999999999999</v>
      </c>
      <c r="H4877">
        <v>3.75</v>
      </c>
      <c r="I4877">
        <v>30158</v>
      </c>
      <c r="J4877">
        <v>0</v>
      </c>
      <c r="K4877">
        <v>30878</v>
      </c>
      <c r="L4877">
        <v>68</v>
      </c>
      <c r="M4877">
        <v>97</v>
      </c>
      <c r="N4877" t="s">
        <v>52</v>
      </c>
      <c r="O4877" s="3">
        <v>43999</v>
      </c>
      <c r="P4877">
        <v>-1</v>
      </c>
      <c r="T4877" t="s">
        <v>32</v>
      </c>
      <c r="U4877">
        <v>25</v>
      </c>
      <c r="V4877">
        <v>20.993300000000001</v>
      </c>
    </row>
    <row r="4878" spans="1:22" x14ac:dyDescent="0.35">
      <c r="A4878" s="3">
        <v>43902</v>
      </c>
      <c r="B4878" t="s">
        <v>49</v>
      </c>
      <c r="C4878">
        <v>25.77</v>
      </c>
      <c r="D4878">
        <v>28.65</v>
      </c>
      <c r="E4878">
        <v>25.6</v>
      </c>
      <c r="F4878">
        <v>28.47</v>
      </c>
      <c r="G4878">
        <v>28.524999999999999</v>
      </c>
      <c r="H4878">
        <v>2.625</v>
      </c>
      <c r="I4878">
        <v>5038</v>
      </c>
      <c r="J4878">
        <v>0</v>
      </c>
      <c r="K4878">
        <v>11344</v>
      </c>
      <c r="L4878">
        <v>132</v>
      </c>
      <c r="M4878">
        <v>188</v>
      </c>
      <c r="N4878" t="s">
        <v>49</v>
      </c>
      <c r="O4878" s="3">
        <v>44090</v>
      </c>
      <c r="P4878">
        <v>-1</v>
      </c>
      <c r="T4878" t="s">
        <v>31</v>
      </c>
      <c r="U4878">
        <v>43</v>
      </c>
      <c r="V4878">
        <v>22.55</v>
      </c>
    </row>
    <row r="4879" spans="1:22" x14ac:dyDescent="0.35">
      <c r="A4879" s="3">
        <v>43901</v>
      </c>
      <c r="B4879" t="s">
        <v>51</v>
      </c>
      <c r="C4879">
        <v>26.04</v>
      </c>
      <c r="D4879">
        <v>28.3</v>
      </c>
      <c r="E4879">
        <v>26</v>
      </c>
      <c r="F4879">
        <v>27.95</v>
      </c>
      <c r="G4879">
        <v>27.85</v>
      </c>
      <c r="H4879">
        <v>1.875</v>
      </c>
      <c r="I4879">
        <v>9282</v>
      </c>
      <c r="J4879">
        <v>0</v>
      </c>
      <c r="K4879">
        <v>22070</v>
      </c>
      <c r="L4879">
        <v>94</v>
      </c>
      <c r="M4879">
        <v>133</v>
      </c>
      <c r="N4879" t="s">
        <v>51</v>
      </c>
      <c r="O4879" s="3">
        <v>44034</v>
      </c>
      <c r="P4879">
        <v>-1</v>
      </c>
      <c r="T4879" t="s">
        <v>30</v>
      </c>
      <c r="U4879">
        <v>69</v>
      </c>
      <c r="V4879">
        <v>23.857500000000002</v>
      </c>
    </row>
    <row r="4880" spans="1:22" x14ac:dyDescent="0.35">
      <c r="A4880" s="3">
        <v>43901</v>
      </c>
      <c r="B4880" t="s">
        <v>48</v>
      </c>
      <c r="C4880">
        <v>25.7</v>
      </c>
      <c r="D4880">
        <v>27.05</v>
      </c>
      <c r="E4880">
        <v>25.7</v>
      </c>
      <c r="F4880">
        <v>26.7</v>
      </c>
      <c r="G4880">
        <v>26.65</v>
      </c>
      <c r="H4880">
        <v>1.05</v>
      </c>
      <c r="I4880">
        <v>1005</v>
      </c>
      <c r="J4880">
        <v>0</v>
      </c>
      <c r="K4880">
        <v>11562</v>
      </c>
      <c r="L4880">
        <v>158</v>
      </c>
      <c r="M4880">
        <v>224</v>
      </c>
      <c r="N4880" t="s">
        <v>48</v>
      </c>
      <c r="O4880" s="3">
        <v>44125</v>
      </c>
      <c r="P4880">
        <v>-1</v>
      </c>
      <c r="T4880" t="s">
        <v>29</v>
      </c>
      <c r="U4880">
        <v>89</v>
      </c>
      <c r="V4880">
        <v>24.470800000000001</v>
      </c>
    </row>
    <row r="4881" spans="1:22" x14ac:dyDescent="0.35">
      <c r="A4881" s="3">
        <v>43901</v>
      </c>
      <c r="B4881" t="s">
        <v>53</v>
      </c>
      <c r="C4881">
        <v>29.6</v>
      </c>
      <c r="D4881">
        <v>33.14</v>
      </c>
      <c r="E4881">
        <v>29.5</v>
      </c>
      <c r="F4881">
        <v>32.49</v>
      </c>
      <c r="G4881">
        <v>32.225000000000001</v>
      </c>
      <c r="H4881">
        <v>2.7</v>
      </c>
      <c r="I4881">
        <v>38117</v>
      </c>
      <c r="J4881">
        <v>0</v>
      </c>
      <c r="K4881">
        <v>56118</v>
      </c>
      <c r="L4881">
        <v>50</v>
      </c>
      <c r="M4881">
        <v>70</v>
      </c>
      <c r="N4881" t="s">
        <v>53</v>
      </c>
      <c r="O4881" s="3">
        <v>43971</v>
      </c>
      <c r="P4881">
        <v>-1</v>
      </c>
      <c r="T4881" t="s">
        <v>28</v>
      </c>
      <c r="U4881">
        <v>108</v>
      </c>
      <c r="V4881">
        <v>24.811299999999999</v>
      </c>
    </row>
    <row r="4882" spans="1:22" x14ac:dyDescent="0.35">
      <c r="A4882" s="3">
        <v>43901</v>
      </c>
      <c r="B4882" t="s">
        <v>47</v>
      </c>
      <c r="C4882">
        <v>23.9</v>
      </c>
      <c r="D4882">
        <v>25.7</v>
      </c>
      <c r="E4882">
        <v>23.9</v>
      </c>
      <c r="F4882">
        <v>25.16</v>
      </c>
      <c r="G4882">
        <v>25.15</v>
      </c>
      <c r="H4882">
        <v>1.3</v>
      </c>
      <c r="I4882">
        <v>328</v>
      </c>
      <c r="J4882">
        <v>0</v>
      </c>
      <c r="K4882">
        <v>6103</v>
      </c>
      <c r="L4882">
        <v>178</v>
      </c>
      <c r="M4882">
        <v>252</v>
      </c>
      <c r="N4882" t="s">
        <v>47</v>
      </c>
      <c r="O4882" s="3">
        <v>44153</v>
      </c>
      <c r="P4882">
        <v>-1</v>
      </c>
      <c r="T4882" t="s">
        <v>22</v>
      </c>
      <c r="U4882">
        <v>132</v>
      </c>
      <c r="V4882">
        <v>25.436499999999999</v>
      </c>
    </row>
    <row r="4883" spans="1:22" x14ac:dyDescent="0.35">
      <c r="A4883" s="3">
        <v>43901</v>
      </c>
      <c r="B4883" t="s">
        <v>52</v>
      </c>
      <c r="C4883">
        <v>27.3</v>
      </c>
      <c r="D4883">
        <v>29.92</v>
      </c>
      <c r="E4883">
        <v>27.25</v>
      </c>
      <c r="F4883">
        <v>29.42</v>
      </c>
      <c r="G4883">
        <v>29.274999999999999</v>
      </c>
      <c r="H4883">
        <v>2.0499999999999998</v>
      </c>
      <c r="I4883">
        <v>18765</v>
      </c>
      <c r="J4883">
        <v>0</v>
      </c>
      <c r="K4883">
        <v>28647</v>
      </c>
      <c r="L4883">
        <v>69</v>
      </c>
      <c r="M4883">
        <v>98</v>
      </c>
      <c r="N4883" t="s">
        <v>52</v>
      </c>
      <c r="O4883" s="3">
        <v>43999</v>
      </c>
      <c r="P4883">
        <v>-1</v>
      </c>
      <c r="T4883" t="s">
        <v>26</v>
      </c>
      <c r="U4883">
        <v>152</v>
      </c>
      <c r="V4883">
        <v>25.5</v>
      </c>
    </row>
    <row r="4884" spans="1:22" x14ac:dyDescent="0.35">
      <c r="A4884" s="3">
        <v>43901</v>
      </c>
      <c r="B4884" t="s">
        <v>49</v>
      </c>
      <c r="C4884">
        <v>24.77</v>
      </c>
      <c r="D4884">
        <v>26.12</v>
      </c>
      <c r="E4884">
        <v>24.75</v>
      </c>
      <c r="F4884">
        <v>25.92</v>
      </c>
      <c r="G4884">
        <v>25.9</v>
      </c>
      <c r="H4884">
        <v>1.125</v>
      </c>
      <c r="I4884">
        <v>4425</v>
      </c>
      <c r="J4884">
        <v>0</v>
      </c>
      <c r="K4884">
        <v>11411</v>
      </c>
      <c r="L4884">
        <v>133</v>
      </c>
      <c r="M4884">
        <v>189</v>
      </c>
      <c r="N4884" t="s">
        <v>49</v>
      </c>
      <c r="O4884" s="3">
        <v>44090</v>
      </c>
      <c r="P4884">
        <v>-1</v>
      </c>
      <c r="T4884" t="s">
        <v>27</v>
      </c>
      <c r="U4884">
        <v>176</v>
      </c>
      <c r="V4884">
        <v>25.774999999999999</v>
      </c>
    </row>
    <row r="4885" spans="1:22" x14ac:dyDescent="0.35">
      <c r="A4885" s="3">
        <v>43901</v>
      </c>
      <c r="B4885" t="s">
        <v>54</v>
      </c>
      <c r="C4885">
        <v>34.799999999999997</v>
      </c>
      <c r="D4885">
        <v>39.9</v>
      </c>
      <c r="E4885">
        <v>34.700000000000003</v>
      </c>
      <c r="F4885">
        <v>39.049999999999997</v>
      </c>
      <c r="G4885">
        <v>38.575000000000003</v>
      </c>
      <c r="H4885">
        <v>3.8</v>
      </c>
      <c r="I4885">
        <v>138646</v>
      </c>
      <c r="J4885">
        <v>0</v>
      </c>
      <c r="K4885">
        <v>185569</v>
      </c>
      <c r="L4885">
        <v>25</v>
      </c>
      <c r="M4885">
        <v>35</v>
      </c>
      <c r="N4885" t="s">
        <v>54</v>
      </c>
      <c r="O4885" s="3">
        <v>43936</v>
      </c>
      <c r="P4885">
        <v>-1</v>
      </c>
      <c r="S4885" s="3">
        <v>44573</v>
      </c>
      <c r="T4885" t="s">
        <v>33</v>
      </c>
      <c r="U4885">
        <v>4</v>
      </c>
      <c r="V4885">
        <v>18.581399999999999</v>
      </c>
    </row>
    <row r="4886" spans="1:22" x14ac:dyDescent="0.35">
      <c r="A4886" s="3">
        <v>43901</v>
      </c>
      <c r="B4886" t="s">
        <v>50</v>
      </c>
      <c r="C4886">
        <v>25.22</v>
      </c>
      <c r="D4886">
        <v>27.1</v>
      </c>
      <c r="E4886">
        <v>25.22</v>
      </c>
      <c r="F4886">
        <v>26.86</v>
      </c>
      <c r="G4886">
        <v>26.824999999999999</v>
      </c>
      <c r="H4886">
        <v>1.55</v>
      </c>
      <c r="I4886">
        <v>6864</v>
      </c>
      <c r="J4886">
        <v>0</v>
      </c>
      <c r="K4886">
        <v>15618</v>
      </c>
      <c r="L4886">
        <v>114</v>
      </c>
      <c r="M4886">
        <v>161</v>
      </c>
      <c r="N4886" t="s">
        <v>50</v>
      </c>
      <c r="O4886" s="3">
        <v>44062</v>
      </c>
      <c r="P4886">
        <v>-1</v>
      </c>
      <c r="T4886" t="s">
        <v>32</v>
      </c>
      <c r="U4886">
        <v>24</v>
      </c>
      <c r="V4886">
        <v>20.971299999999999</v>
      </c>
    </row>
    <row r="4887" spans="1:22" x14ac:dyDescent="0.35">
      <c r="A4887" s="3">
        <v>43901</v>
      </c>
      <c r="B4887" t="s">
        <v>55</v>
      </c>
      <c r="C4887">
        <v>42.05</v>
      </c>
      <c r="D4887">
        <v>48.8</v>
      </c>
      <c r="E4887">
        <v>41.95</v>
      </c>
      <c r="F4887">
        <v>46.95</v>
      </c>
      <c r="G4887">
        <v>46.35</v>
      </c>
      <c r="H4887">
        <v>4.5250000000000004</v>
      </c>
      <c r="I4887">
        <v>137401</v>
      </c>
      <c r="J4887">
        <v>0</v>
      </c>
      <c r="K4887">
        <v>116779</v>
      </c>
      <c r="L4887">
        <v>5</v>
      </c>
      <c r="M4887">
        <v>7</v>
      </c>
      <c r="N4887" t="s">
        <v>55</v>
      </c>
      <c r="O4887" s="3">
        <v>43908</v>
      </c>
      <c r="P4887">
        <v>-1</v>
      </c>
      <c r="T4887" t="s">
        <v>31</v>
      </c>
      <c r="U4887">
        <v>42</v>
      </c>
      <c r="V4887">
        <v>22.5427</v>
      </c>
    </row>
    <row r="4888" spans="1:22" x14ac:dyDescent="0.35">
      <c r="A4888" s="3">
        <v>43900</v>
      </c>
      <c r="B4888" t="s">
        <v>54</v>
      </c>
      <c r="C4888">
        <v>37.299999999999997</v>
      </c>
      <c r="D4888">
        <v>38.15</v>
      </c>
      <c r="E4888">
        <v>30.85</v>
      </c>
      <c r="F4888">
        <v>34.549999999999997</v>
      </c>
      <c r="G4888">
        <v>34.774999999999999</v>
      </c>
      <c r="H4888">
        <v>-1.45</v>
      </c>
      <c r="I4888">
        <v>134850</v>
      </c>
      <c r="J4888">
        <v>1768</v>
      </c>
      <c r="K4888">
        <v>177065</v>
      </c>
      <c r="L4888">
        <v>26</v>
      </c>
      <c r="M4888">
        <v>36</v>
      </c>
      <c r="N4888" t="s">
        <v>54</v>
      </c>
      <c r="O4888" s="3">
        <v>43936</v>
      </c>
      <c r="P4888">
        <v>-1</v>
      </c>
      <c r="T4888" t="s">
        <v>30</v>
      </c>
      <c r="U4888">
        <v>68</v>
      </c>
      <c r="V4888">
        <v>23.849499999999999</v>
      </c>
    </row>
    <row r="4889" spans="1:22" x14ac:dyDescent="0.35">
      <c r="A4889" s="3">
        <v>43900</v>
      </c>
      <c r="B4889" t="s">
        <v>50</v>
      </c>
      <c r="C4889">
        <v>26.31</v>
      </c>
      <c r="D4889">
        <v>26.5</v>
      </c>
      <c r="E4889">
        <v>23.85</v>
      </c>
      <c r="F4889">
        <v>25.17</v>
      </c>
      <c r="G4889">
        <v>25.274999999999999</v>
      </c>
      <c r="H4889">
        <v>-0.65</v>
      </c>
      <c r="I4889">
        <v>6191</v>
      </c>
      <c r="J4889">
        <v>0</v>
      </c>
      <c r="K4889">
        <v>16187</v>
      </c>
      <c r="L4889">
        <v>115</v>
      </c>
      <c r="M4889">
        <v>162</v>
      </c>
      <c r="N4889" t="s">
        <v>50</v>
      </c>
      <c r="O4889" s="3">
        <v>44062</v>
      </c>
      <c r="P4889">
        <v>-1</v>
      </c>
      <c r="T4889" t="s">
        <v>29</v>
      </c>
      <c r="U4889">
        <v>88</v>
      </c>
      <c r="V4889">
        <v>24.497900000000001</v>
      </c>
    </row>
    <row r="4890" spans="1:22" x14ac:dyDescent="0.35">
      <c r="A4890" s="3">
        <v>43900</v>
      </c>
      <c r="B4890" t="s">
        <v>55</v>
      </c>
      <c r="C4890">
        <v>45.8</v>
      </c>
      <c r="D4890">
        <v>47.65</v>
      </c>
      <c r="E4890">
        <v>37.25</v>
      </c>
      <c r="F4890">
        <v>41.56</v>
      </c>
      <c r="G4890">
        <v>41.825000000000003</v>
      </c>
      <c r="H4890">
        <v>-2.5499999999999998</v>
      </c>
      <c r="I4890">
        <v>150382</v>
      </c>
      <c r="J4890">
        <v>210</v>
      </c>
      <c r="K4890">
        <v>123831</v>
      </c>
      <c r="L4890">
        <v>6</v>
      </c>
      <c r="M4890">
        <v>8</v>
      </c>
      <c r="N4890" t="s">
        <v>55</v>
      </c>
      <c r="O4890" s="3">
        <v>43908</v>
      </c>
      <c r="P4890">
        <v>-1</v>
      </c>
      <c r="T4890" t="s">
        <v>28</v>
      </c>
      <c r="U4890">
        <v>107</v>
      </c>
      <c r="V4890">
        <v>24.831299999999999</v>
      </c>
    </row>
    <row r="4891" spans="1:22" x14ac:dyDescent="0.35">
      <c r="A4891" s="3">
        <v>43900</v>
      </c>
      <c r="B4891" t="s">
        <v>51</v>
      </c>
      <c r="C4891">
        <v>27.15</v>
      </c>
      <c r="D4891">
        <v>27.2</v>
      </c>
      <c r="E4891">
        <v>24.23</v>
      </c>
      <c r="F4891">
        <v>25.8</v>
      </c>
      <c r="G4891">
        <v>25.975000000000001</v>
      </c>
      <c r="H4891">
        <v>-0.6</v>
      </c>
      <c r="I4891">
        <v>8413</v>
      </c>
      <c r="J4891">
        <v>0</v>
      </c>
      <c r="K4891">
        <v>21929</v>
      </c>
      <c r="L4891">
        <v>95</v>
      </c>
      <c r="M4891">
        <v>134</v>
      </c>
      <c r="N4891" t="s">
        <v>51</v>
      </c>
      <c r="O4891" s="3">
        <v>44034</v>
      </c>
      <c r="P4891">
        <v>-1</v>
      </c>
      <c r="T4891" t="s">
        <v>22</v>
      </c>
      <c r="U4891">
        <v>131</v>
      </c>
      <c r="V4891">
        <v>25.465599999999998</v>
      </c>
    </row>
    <row r="4892" spans="1:22" x14ac:dyDescent="0.35">
      <c r="A4892" s="3">
        <v>43900</v>
      </c>
      <c r="B4892" t="s">
        <v>48</v>
      </c>
      <c r="C4892">
        <v>26.58</v>
      </c>
      <c r="D4892">
        <v>27.05</v>
      </c>
      <c r="E4892">
        <v>25.2</v>
      </c>
      <c r="F4892">
        <v>25.55</v>
      </c>
      <c r="G4892">
        <v>25.6</v>
      </c>
      <c r="H4892">
        <v>-0.85</v>
      </c>
      <c r="I4892">
        <v>986</v>
      </c>
      <c r="J4892">
        <v>0</v>
      </c>
      <c r="K4892">
        <v>11865</v>
      </c>
      <c r="L4892">
        <v>159</v>
      </c>
      <c r="M4892">
        <v>225</v>
      </c>
      <c r="N4892" t="s">
        <v>48</v>
      </c>
      <c r="O4892" s="3">
        <v>44125</v>
      </c>
      <c r="P4892">
        <v>-1</v>
      </c>
      <c r="T4892" t="s">
        <v>26</v>
      </c>
      <c r="U4892">
        <v>151</v>
      </c>
      <c r="V4892">
        <v>25.490400000000001</v>
      </c>
    </row>
    <row r="4893" spans="1:22" x14ac:dyDescent="0.35">
      <c r="A4893" s="3">
        <v>43900</v>
      </c>
      <c r="B4893" t="s">
        <v>53</v>
      </c>
      <c r="C4893">
        <v>30.95</v>
      </c>
      <c r="D4893">
        <v>31.45</v>
      </c>
      <c r="E4893">
        <v>26.55</v>
      </c>
      <c r="F4893">
        <v>29.31</v>
      </c>
      <c r="G4893">
        <v>29.524999999999999</v>
      </c>
      <c r="H4893">
        <v>-0.55000000000000004</v>
      </c>
      <c r="I4893">
        <v>41000</v>
      </c>
      <c r="J4893">
        <v>0</v>
      </c>
      <c r="K4893">
        <v>54694</v>
      </c>
      <c r="L4893">
        <v>51</v>
      </c>
      <c r="M4893">
        <v>71</v>
      </c>
      <c r="N4893" t="s">
        <v>53</v>
      </c>
      <c r="O4893" s="3">
        <v>43971</v>
      </c>
      <c r="P4893">
        <v>-1</v>
      </c>
      <c r="T4893" t="s">
        <v>27</v>
      </c>
      <c r="U4893">
        <v>175</v>
      </c>
      <c r="V4893">
        <v>25.625</v>
      </c>
    </row>
    <row r="4894" spans="1:22" x14ac:dyDescent="0.35">
      <c r="A4894" s="3">
        <v>43900</v>
      </c>
      <c r="B4894" t="s">
        <v>47</v>
      </c>
      <c r="C4894">
        <v>24.4</v>
      </c>
      <c r="D4894">
        <v>25.04</v>
      </c>
      <c r="E4894">
        <v>23.5</v>
      </c>
      <c r="F4894">
        <v>23.5</v>
      </c>
      <c r="G4894">
        <v>23.85</v>
      </c>
      <c r="H4894">
        <v>-0.92500000000000004</v>
      </c>
      <c r="I4894">
        <v>293</v>
      </c>
      <c r="J4894">
        <v>0</v>
      </c>
      <c r="K4894">
        <v>6246</v>
      </c>
      <c r="L4894">
        <v>179</v>
      </c>
      <c r="M4894">
        <v>253</v>
      </c>
      <c r="N4894" t="s">
        <v>47</v>
      </c>
      <c r="O4894" s="3">
        <v>44153</v>
      </c>
      <c r="P4894">
        <v>-1</v>
      </c>
      <c r="S4894" s="3">
        <v>44574</v>
      </c>
      <c r="T4894" t="s">
        <v>33</v>
      </c>
      <c r="U4894">
        <v>3</v>
      </c>
      <c r="V4894">
        <v>20.416699999999999</v>
      </c>
    </row>
    <row r="4895" spans="1:22" x14ac:dyDescent="0.35">
      <c r="A4895" s="3">
        <v>43900</v>
      </c>
      <c r="B4895" t="s">
        <v>52</v>
      </c>
      <c r="C4895">
        <v>28.45</v>
      </c>
      <c r="D4895">
        <v>28.65</v>
      </c>
      <c r="E4895">
        <v>25</v>
      </c>
      <c r="F4895">
        <v>27.05</v>
      </c>
      <c r="G4895">
        <v>27.225000000000001</v>
      </c>
      <c r="H4895">
        <v>-0.55000000000000004</v>
      </c>
      <c r="I4895">
        <v>14721</v>
      </c>
      <c r="J4895">
        <v>0</v>
      </c>
      <c r="K4895">
        <v>28539</v>
      </c>
      <c r="L4895">
        <v>70</v>
      </c>
      <c r="M4895">
        <v>99</v>
      </c>
      <c r="N4895" t="s">
        <v>52</v>
      </c>
      <c r="O4895" s="3">
        <v>43999</v>
      </c>
      <c r="P4895">
        <v>-1</v>
      </c>
      <c r="T4895" t="s">
        <v>32</v>
      </c>
      <c r="U4895">
        <v>23</v>
      </c>
      <c r="V4895">
        <v>22.0944</v>
      </c>
    </row>
    <row r="4896" spans="1:22" x14ac:dyDescent="0.35">
      <c r="A4896" s="3">
        <v>43900</v>
      </c>
      <c r="B4896" t="s">
        <v>49</v>
      </c>
      <c r="C4896">
        <v>25.81</v>
      </c>
      <c r="D4896">
        <v>25.9</v>
      </c>
      <c r="E4896">
        <v>23.84</v>
      </c>
      <c r="F4896">
        <v>24.7</v>
      </c>
      <c r="G4896">
        <v>24.774999999999999</v>
      </c>
      <c r="H4896">
        <v>-0.72499999999999998</v>
      </c>
      <c r="I4896">
        <v>3940</v>
      </c>
      <c r="J4896">
        <v>0</v>
      </c>
      <c r="K4896">
        <v>11279</v>
      </c>
      <c r="L4896">
        <v>134</v>
      </c>
      <c r="M4896">
        <v>190</v>
      </c>
      <c r="N4896" t="s">
        <v>49</v>
      </c>
      <c r="O4896" s="3">
        <v>44090</v>
      </c>
      <c r="P4896">
        <v>-1</v>
      </c>
      <c r="T4896" t="s">
        <v>31</v>
      </c>
      <c r="U4896">
        <v>41</v>
      </c>
      <c r="V4896">
        <v>23.4145</v>
      </c>
    </row>
    <row r="4897" spans="1:22" x14ac:dyDescent="0.35">
      <c r="A4897" s="3">
        <v>43899</v>
      </c>
      <c r="B4897" t="s">
        <v>51</v>
      </c>
      <c r="C4897">
        <v>24.3</v>
      </c>
      <c r="D4897">
        <v>28.91</v>
      </c>
      <c r="E4897">
        <v>24.3</v>
      </c>
      <c r="F4897">
        <v>27.05</v>
      </c>
      <c r="G4897">
        <v>26.574999999999999</v>
      </c>
      <c r="H4897">
        <v>2.75</v>
      </c>
      <c r="I4897">
        <v>10294</v>
      </c>
      <c r="J4897">
        <v>0</v>
      </c>
      <c r="K4897">
        <v>21074</v>
      </c>
      <c r="L4897">
        <v>96</v>
      </c>
      <c r="M4897">
        <v>135</v>
      </c>
      <c r="N4897" t="s">
        <v>51</v>
      </c>
      <c r="O4897" s="3">
        <v>44034</v>
      </c>
      <c r="P4897">
        <v>-1</v>
      </c>
      <c r="T4897" t="s">
        <v>30</v>
      </c>
      <c r="U4897">
        <v>67</v>
      </c>
      <c r="V4897">
        <v>24.549800000000001</v>
      </c>
    </row>
    <row r="4898" spans="1:22" x14ac:dyDescent="0.35">
      <c r="A4898" s="3">
        <v>43899</v>
      </c>
      <c r="B4898" t="s">
        <v>48</v>
      </c>
      <c r="C4898">
        <v>26.5</v>
      </c>
      <c r="D4898">
        <v>28.5</v>
      </c>
      <c r="E4898">
        <v>25.7</v>
      </c>
      <c r="F4898">
        <v>26.7</v>
      </c>
      <c r="G4898">
        <v>26.45</v>
      </c>
      <c r="H4898">
        <v>1.625</v>
      </c>
      <c r="I4898">
        <v>2509</v>
      </c>
      <c r="J4898">
        <v>0</v>
      </c>
      <c r="K4898">
        <v>12102</v>
      </c>
      <c r="L4898">
        <v>160</v>
      </c>
      <c r="M4898">
        <v>226</v>
      </c>
      <c r="N4898" t="s">
        <v>48</v>
      </c>
      <c r="O4898" s="3">
        <v>44125</v>
      </c>
      <c r="P4898">
        <v>-1</v>
      </c>
      <c r="T4898" t="s">
        <v>29</v>
      </c>
      <c r="U4898">
        <v>87</v>
      </c>
      <c r="V4898">
        <v>25.0702</v>
      </c>
    </row>
    <row r="4899" spans="1:22" x14ac:dyDescent="0.35">
      <c r="A4899" s="3">
        <v>43899</v>
      </c>
      <c r="B4899" t="s">
        <v>53</v>
      </c>
      <c r="C4899">
        <v>27.62</v>
      </c>
      <c r="D4899">
        <v>34.25</v>
      </c>
      <c r="E4899">
        <v>27.37</v>
      </c>
      <c r="F4899">
        <v>30.74</v>
      </c>
      <c r="G4899">
        <v>30.074999999999999</v>
      </c>
      <c r="H4899">
        <v>3.8</v>
      </c>
      <c r="I4899">
        <v>51970</v>
      </c>
      <c r="J4899">
        <v>0</v>
      </c>
      <c r="K4899">
        <v>52497</v>
      </c>
      <c r="L4899">
        <v>52</v>
      </c>
      <c r="M4899">
        <v>72</v>
      </c>
      <c r="N4899" t="s">
        <v>53</v>
      </c>
      <c r="O4899" s="3">
        <v>43971</v>
      </c>
      <c r="P4899">
        <v>-1</v>
      </c>
      <c r="T4899" t="s">
        <v>28</v>
      </c>
      <c r="U4899">
        <v>106</v>
      </c>
      <c r="V4899">
        <v>25.311699999999998</v>
      </c>
    </row>
    <row r="4900" spans="1:22" x14ac:dyDescent="0.35">
      <c r="A4900" s="3">
        <v>43899</v>
      </c>
      <c r="B4900" t="s">
        <v>47</v>
      </c>
      <c r="C4900">
        <v>24.85</v>
      </c>
      <c r="D4900">
        <v>26.45</v>
      </c>
      <c r="E4900">
        <v>24</v>
      </c>
      <c r="F4900">
        <v>24.55</v>
      </c>
      <c r="G4900">
        <v>24.774999999999999</v>
      </c>
      <c r="H4900">
        <v>1.9</v>
      </c>
      <c r="I4900">
        <v>650</v>
      </c>
      <c r="J4900">
        <v>0</v>
      </c>
      <c r="K4900">
        <v>6316</v>
      </c>
      <c r="L4900">
        <v>180</v>
      </c>
      <c r="M4900">
        <v>254</v>
      </c>
      <c r="N4900" t="s">
        <v>47</v>
      </c>
      <c r="O4900" s="3">
        <v>44153</v>
      </c>
      <c r="P4900">
        <v>-1</v>
      </c>
      <c r="T4900" t="s">
        <v>22</v>
      </c>
      <c r="U4900">
        <v>130</v>
      </c>
      <c r="V4900">
        <v>25.904499999999999</v>
      </c>
    </row>
    <row r="4901" spans="1:22" x14ac:dyDescent="0.35">
      <c r="A4901" s="3">
        <v>43899</v>
      </c>
      <c r="B4901" t="s">
        <v>52</v>
      </c>
      <c r="C4901">
        <v>26.55</v>
      </c>
      <c r="D4901">
        <v>30.75</v>
      </c>
      <c r="E4901">
        <v>25.8</v>
      </c>
      <c r="F4901">
        <v>28.35</v>
      </c>
      <c r="G4901">
        <v>27.774999999999999</v>
      </c>
      <c r="H4901">
        <v>3.1</v>
      </c>
      <c r="I4901">
        <v>19042</v>
      </c>
      <c r="J4901">
        <v>0</v>
      </c>
      <c r="K4901">
        <v>28336</v>
      </c>
      <c r="L4901">
        <v>71</v>
      </c>
      <c r="M4901">
        <v>100</v>
      </c>
      <c r="N4901" t="s">
        <v>52</v>
      </c>
      <c r="O4901" s="3">
        <v>43999</v>
      </c>
      <c r="P4901">
        <v>-1</v>
      </c>
      <c r="T4901" t="s">
        <v>26</v>
      </c>
      <c r="U4901">
        <v>150</v>
      </c>
      <c r="V4901">
        <v>25.9</v>
      </c>
    </row>
    <row r="4902" spans="1:22" x14ac:dyDescent="0.35">
      <c r="A4902" s="3">
        <v>43899</v>
      </c>
      <c r="B4902" t="s">
        <v>49</v>
      </c>
      <c r="C4902">
        <v>23.4</v>
      </c>
      <c r="D4902">
        <v>26.95</v>
      </c>
      <c r="E4902">
        <v>23.4</v>
      </c>
      <c r="F4902">
        <v>25.75</v>
      </c>
      <c r="G4902">
        <v>25.5</v>
      </c>
      <c r="H4902">
        <v>2.4</v>
      </c>
      <c r="I4902">
        <v>6268</v>
      </c>
      <c r="J4902">
        <v>0</v>
      </c>
      <c r="K4902">
        <v>10330</v>
      </c>
      <c r="L4902">
        <v>135</v>
      </c>
      <c r="M4902">
        <v>191</v>
      </c>
      <c r="N4902" t="s">
        <v>49</v>
      </c>
      <c r="O4902" s="3">
        <v>44090</v>
      </c>
      <c r="P4902">
        <v>-1</v>
      </c>
      <c r="T4902" t="s">
        <v>27</v>
      </c>
      <c r="U4902">
        <v>174</v>
      </c>
      <c r="V4902">
        <v>26.1</v>
      </c>
    </row>
    <row r="4903" spans="1:22" x14ac:dyDescent="0.35">
      <c r="A4903" s="3">
        <v>43899</v>
      </c>
      <c r="B4903" t="s">
        <v>54</v>
      </c>
      <c r="C4903">
        <v>32.299999999999997</v>
      </c>
      <c r="D4903">
        <v>41.96</v>
      </c>
      <c r="E4903">
        <v>32.07</v>
      </c>
      <c r="F4903">
        <v>37.200000000000003</v>
      </c>
      <c r="G4903">
        <v>36.225000000000001</v>
      </c>
      <c r="H4903">
        <v>5.9</v>
      </c>
      <c r="I4903">
        <v>168782</v>
      </c>
      <c r="J4903">
        <v>32</v>
      </c>
      <c r="K4903">
        <v>177993</v>
      </c>
      <c r="L4903">
        <v>27</v>
      </c>
      <c r="M4903">
        <v>37</v>
      </c>
      <c r="N4903" t="s">
        <v>54</v>
      </c>
      <c r="O4903" s="3">
        <v>43936</v>
      </c>
      <c r="P4903">
        <v>-1</v>
      </c>
      <c r="S4903" s="3">
        <v>44575</v>
      </c>
      <c r="T4903" t="s">
        <v>33</v>
      </c>
      <c r="U4903">
        <v>2</v>
      </c>
      <c r="V4903">
        <v>19.667000000000002</v>
      </c>
    </row>
    <row r="4904" spans="1:22" x14ac:dyDescent="0.35">
      <c r="A4904" s="3">
        <v>43899</v>
      </c>
      <c r="B4904" t="s">
        <v>50</v>
      </c>
      <c r="C4904">
        <v>24.39</v>
      </c>
      <c r="D4904">
        <v>27.95</v>
      </c>
      <c r="E4904">
        <v>24.25</v>
      </c>
      <c r="F4904">
        <v>26.31</v>
      </c>
      <c r="G4904">
        <v>25.925000000000001</v>
      </c>
      <c r="H4904">
        <v>2.5499999999999998</v>
      </c>
      <c r="I4904">
        <v>6347</v>
      </c>
      <c r="J4904">
        <v>0</v>
      </c>
      <c r="K4904">
        <v>15745</v>
      </c>
      <c r="L4904">
        <v>116</v>
      </c>
      <c r="M4904">
        <v>163</v>
      </c>
      <c r="N4904" t="s">
        <v>50</v>
      </c>
      <c r="O4904" s="3">
        <v>44062</v>
      </c>
      <c r="P4904">
        <v>-1</v>
      </c>
      <c r="T4904" t="s">
        <v>32</v>
      </c>
      <c r="U4904">
        <v>22</v>
      </c>
      <c r="V4904">
        <v>21.746200000000002</v>
      </c>
    </row>
    <row r="4905" spans="1:22" x14ac:dyDescent="0.35">
      <c r="A4905" s="3">
        <v>43899</v>
      </c>
      <c r="B4905" t="s">
        <v>55</v>
      </c>
      <c r="C4905">
        <v>38.9</v>
      </c>
      <c r="D4905">
        <v>53.15</v>
      </c>
      <c r="E4905">
        <v>38.75</v>
      </c>
      <c r="F4905">
        <v>45.65</v>
      </c>
      <c r="G4905">
        <v>44.375</v>
      </c>
      <c r="H4905">
        <v>8.6</v>
      </c>
      <c r="I4905">
        <v>188225</v>
      </c>
      <c r="J4905">
        <v>18</v>
      </c>
      <c r="K4905">
        <v>134442</v>
      </c>
      <c r="L4905">
        <v>7</v>
      </c>
      <c r="M4905">
        <v>9</v>
      </c>
      <c r="N4905" t="s">
        <v>55</v>
      </c>
      <c r="O4905" s="3">
        <v>43908</v>
      </c>
      <c r="P4905">
        <v>-1</v>
      </c>
      <c r="T4905" t="s">
        <v>31</v>
      </c>
      <c r="U4905">
        <v>40</v>
      </c>
      <c r="V4905">
        <v>23.012</v>
      </c>
    </row>
    <row r="4906" spans="1:22" x14ac:dyDescent="0.35">
      <c r="A4906" s="3">
        <v>43896</v>
      </c>
      <c r="B4906" t="s">
        <v>54</v>
      </c>
      <c r="C4906">
        <v>27.5</v>
      </c>
      <c r="D4906">
        <v>33.049999999999997</v>
      </c>
      <c r="E4906">
        <v>27.17</v>
      </c>
      <c r="F4906">
        <v>30.65</v>
      </c>
      <c r="G4906">
        <v>30.324999999999999</v>
      </c>
      <c r="H4906">
        <v>2.8</v>
      </c>
      <c r="I4906">
        <v>218204</v>
      </c>
      <c r="J4906">
        <v>3117</v>
      </c>
      <c r="K4906">
        <v>163972</v>
      </c>
      <c r="L4906">
        <v>28</v>
      </c>
      <c r="M4906">
        <v>40</v>
      </c>
      <c r="N4906" t="s">
        <v>54</v>
      </c>
      <c r="O4906" s="3">
        <v>43936</v>
      </c>
      <c r="P4906">
        <v>-1</v>
      </c>
      <c r="T4906" t="s">
        <v>30</v>
      </c>
      <c r="U4906">
        <v>66</v>
      </c>
      <c r="V4906">
        <v>24.162700000000001</v>
      </c>
    </row>
    <row r="4907" spans="1:22" x14ac:dyDescent="0.35">
      <c r="A4907" s="3">
        <v>43896</v>
      </c>
      <c r="B4907" t="s">
        <v>50</v>
      </c>
      <c r="C4907">
        <v>21.85</v>
      </c>
      <c r="D4907">
        <v>24.5</v>
      </c>
      <c r="E4907">
        <v>21.72</v>
      </c>
      <c r="F4907">
        <v>23.5</v>
      </c>
      <c r="G4907">
        <v>23.375</v>
      </c>
      <c r="H4907">
        <v>1.45</v>
      </c>
      <c r="I4907">
        <v>9413</v>
      </c>
      <c r="J4907">
        <v>0</v>
      </c>
      <c r="K4907">
        <v>16062</v>
      </c>
      <c r="L4907">
        <v>117</v>
      </c>
      <c r="M4907">
        <v>166</v>
      </c>
      <c r="N4907" t="s">
        <v>50</v>
      </c>
      <c r="O4907" s="3">
        <v>44062</v>
      </c>
      <c r="P4907">
        <v>-1</v>
      </c>
      <c r="T4907" t="s">
        <v>29</v>
      </c>
      <c r="U4907">
        <v>86</v>
      </c>
      <c r="V4907">
        <v>24.7516</v>
      </c>
    </row>
    <row r="4908" spans="1:22" x14ac:dyDescent="0.35">
      <c r="A4908" s="3">
        <v>43896</v>
      </c>
      <c r="B4908" t="s">
        <v>55</v>
      </c>
      <c r="C4908">
        <v>31.85</v>
      </c>
      <c r="D4908">
        <v>40.15</v>
      </c>
      <c r="E4908">
        <v>31.2</v>
      </c>
      <c r="F4908">
        <v>36.17</v>
      </c>
      <c r="G4908">
        <v>35.774999999999999</v>
      </c>
      <c r="H4908">
        <v>3.9</v>
      </c>
      <c r="I4908">
        <v>253940</v>
      </c>
      <c r="J4908">
        <v>2078</v>
      </c>
      <c r="K4908">
        <v>145767</v>
      </c>
      <c r="L4908">
        <v>8</v>
      </c>
      <c r="M4908">
        <v>12</v>
      </c>
      <c r="N4908" t="s">
        <v>55</v>
      </c>
      <c r="O4908" s="3">
        <v>43908</v>
      </c>
      <c r="P4908">
        <v>-1</v>
      </c>
      <c r="T4908" t="s">
        <v>28</v>
      </c>
      <c r="U4908">
        <v>105</v>
      </c>
      <c r="V4908">
        <v>25.048500000000001</v>
      </c>
    </row>
    <row r="4909" spans="1:22" x14ac:dyDescent="0.35">
      <c r="A4909" s="3">
        <v>43896</v>
      </c>
      <c r="B4909" t="s">
        <v>51</v>
      </c>
      <c r="C4909">
        <v>22.27</v>
      </c>
      <c r="D4909">
        <v>25.07</v>
      </c>
      <c r="E4909">
        <v>22.05</v>
      </c>
      <c r="F4909">
        <v>23.95</v>
      </c>
      <c r="G4909">
        <v>23.824999999999999</v>
      </c>
      <c r="H4909">
        <v>1.55</v>
      </c>
      <c r="I4909">
        <v>18384</v>
      </c>
      <c r="J4909">
        <v>0</v>
      </c>
      <c r="K4909">
        <v>21062</v>
      </c>
      <c r="L4909">
        <v>97</v>
      </c>
      <c r="M4909">
        <v>138</v>
      </c>
      <c r="N4909" t="s">
        <v>51</v>
      </c>
      <c r="O4909" s="3">
        <v>44034</v>
      </c>
      <c r="P4909">
        <v>-1</v>
      </c>
      <c r="T4909" t="s">
        <v>22</v>
      </c>
      <c r="U4909">
        <v>129</v>
      </c>
      <c r="V4909">
        <v>25.645499999999998</v>
      </c>
    </row>
    <row r="4910" spans="1:22" x14ac:dyDescent="0.35">
      <c r="A4910" s="3">
        <v>43896</v>
      </c>
      <c r="B4910" t="s">
        <v>48</v>
      </c>
      <c r="C4910">
        <v>23.45</v>
      </c>
      <c r="D4910">
        <v>25.61</v>
      </c>
      <c r="E4910">
        <v>23.4</v>
      </c>
      <c r="F4910">
        <v>24.85</v>
      </c>
      <c r="G4910">
        <v>24.824999999999999</v>
      </c>
      <c r="H4910">
        <v>1.375</v>
      </c>
      <c r="I4910">
        <v>1177</v>
      </c>
      <c r="J4910">
        <v>0</v>
      </c>
      <c r="K4910">
        <v>12646</v>
      </c>
      <c r="L4910">
        <v>161</v>
      </c>
      <c r="M4910">
        <v>229</v>
      </c>
      <c r="N4910" t="s">
        <v>48</v>
      </c>
      <c r="O4910" s="3">
        <v>44125</v>
      </c>
      <c r="P4910">
        <v>-1</v>
      </c>
      <c r="T4910" t="s">
        <v>26</v>
      </c>
      <c r="U4910">
        <v>149</v>
      </c>
      <c r="V4910">
        <v>25.675000000000001</v>
      </c>
    </row>
    <row r="4911" spans="1:22" x14ac:dyDescent="0.35">
      <c r="A4911" s="3">
        <v>43896</v>
      </c>
      <c r="B4911" t="s">
        <v>53</v>
      </c>
      <c r="C4911">
        <v>24.68</v>
      </c>
      <c r="D4911">
        <v>28.35</v>
      </c>
      <c r="E4911">
        <v>24.42</v>
      </c>
      <c r="F4911">
        <v>26.5</v>
      </c>
      <c r="G4911">
        <v>26.274999999999999</v>
      </c>
      <c r="H4911">
        <v>1.6</v>
      </c>
      <c r="I4911">
        <v>78078</v>
      </c>
      <c r="J4911">
        <v>0</v>
      </c>
      <c r="K4911">
        <v>55815</v>
      </c>
      <c r="L4911">
        <v>53</v>
      </c>
      <c r="M4911">
        <v>75</v>
      </c>
      <c r="N4911" t="s">
        <v>53</v>
      </c>
      <c r="O4911" s="3">
        <v>43971</v>
      </c>
      <c r="P4911">
        <v>-1</v>
      </c>
      <c r="T4911" t="s">
        <v>27</v>
      </c>
      <c r="U4911">
        <v>173</v>
      </c>
      <c r="V4911">
        <v>25.875</v>
      </c>
    </row>
    <row r="4912" spans="1:22" x14ac:dyDescent="0.35">
      <c r="A4912" s="3">
        <v>43896</v>
      </c>
      <c r="B4912" t="s">
        <v>47</v>
      </c>
      <c r="C4912">
        <v>22.17</v>
      </c>
      <c r="D4912">
        <v>23.59</v>
      </c>
      <c r="E4912">
        <v>21.85</v>
      </c>
      <c r="F4912">
        <v>22.95</v>
      </c>
      <c r="G4912">
        <v>22.875</v>
      </c>
      <c r="H4912">
        <v>1.425</v>
      </c>
      <c r="I4912">
        <v>343</v>
      </c>
      <c r="J4912">
        <v>0</v>
      </c>
      <c r="K4912">
        <v>6295</v>
      </c>
      <c r="L4912">
        <v>181</v>
      </c>
      <c r="M4912">
        <v>257</v>
      </c>
      <c r="N4912" t="s">
        <v>47</v>
      </c>
      <c r="O4912" s="3">
        <v>44153</v>
      </c>
      <c r="P4912">
        <v>-1</v>
      </c>
      <c r="S4912" s="3">
        <v>44579</v>
      </c>
      <c r="T4912" t="s">
        <v>33</v>
      </c>
      <c r="U4912">
        <v>1</v>
      </c>
      <c r="V4912">
        <v>22.619700000000002</v>
      </c>
    </row>
    <row r="4913" spans="1:22" x14ac:dyDescent="0.35">
      <c r="A4913" s="3">
        <v>43896</v>
      </c>
      <c r="B4913" t="s">
        <v>52</v>
      </c>
      <c r="C4913">
        <v>23.2</v>
      </c>
      <c r="D4913">
        <v>26.32</v>
      </c>
      <c r="E4913">
        <v>22.97</v>
      </c>
      <c r="F4913">
        <v>24.89</v>
      </c>
      <c r="G4913">
        <v>24.675000000000001</v>
      </c>
      <c r="H4913">
        <v>1.45</v>
      </c>
      <c r="I4913">
        <v>32715</v>
      </c>
      <c r="J4913">
        <v>0</v>
      </c>
      <c r="K4913">
        <v>28669</v>
      </c>
      <c r="L4913">
        <v>72</v>
      </c>
      <c r="M4913">
        <v>103</v>
      </c>
      <c r="N4913" t="s">
        <v>52</v>
      </c>
      <c r="O4913" s="3">
        <v>43999</v>
      </c>
      <c r="P4913">
        <v>-1</v>
      </c>
      <c r="T4913" t="s">
        <v>32</v>
      </c>
      <c r="U4913">
        <v>21</v>
      </c>
      <c r="V4913">
        <v>23.392199999999999</v>
      </c>
    </row>
    <row r="4914" spans="1:22" x14ac:dyDescent="0.35">
      <c r="A4914" s="3">
        <v>43896</v>
      </c>
      <c r="B4914" t="s">
        <v>49</v>
      </c>
      <c r="C4914">
        <v>21.6</v>
      </c>
      <c r="D4914">
        <v>24.05</v>
      </c>
      <c r="E4914">
        <v>21.5</v>
      </c>
      <c r="F4914">
        <v>23.23</v>
      </c>
      <c r="G4914">
        <v>23.1</v>
      </c>
      <c r="H4914">
        <v>1.4750000000000001</v>
      </c>
      <c r="I4914">
        <v>6377</v>
      </c>
      <c r="J4914">
        <v>0</v>
      </c>
      <c r="K4914">
        <v>9969</v>
      </c>
      <c r="L4914">
        <v>136</v>
      </c>
      <c r="M4914">
        <v>194</v>
      </c>
      <c r="N4914" t="s">
        <v>49</v>
      </c>
      <c r="O4914" s="3">
        <v>44090</v>
      </c>
      <c r="P4914">
        <v>-1</v>
      </c>
      <c r="T4914" t="s">
        <v>31</v>
      </c>
      <c r="U4914">
        <v>39</v>
      </c>
      <c r="V4914">
        <v>24.2136</v>
      </c>
    </row>
    <row r="4915" spans="1:22" x14ac:dyDescent="0.35">
      <c r="A4915" s="3">
        <v>43895</v>
      </c>
      <c r="B4915" t="s">
        <v>51</v>
      </c>
      <c r="C4915">
        <v>20.62</v>
      </c>
      <c r="D4915">
        <v>22.66</v>
      </c>
      <c r="E4915">
        <v>20.62</v>
      </c>
      <c r="F4915">
        <v>22.25</v>
      </c>
      <c r="G4915">
        <v>22.274999999999999</v>
      </c>
      <c r="H4915">
        <v>1.65</v>
      </c>
      <c r="I4915">
        <v>13096</v>
      </c>
      <c r="J4915">
        <v>0</v>
      </c>
      <c r="K4915">
        <v>21735</v>
      </c>
      <c r="L4915">
        <v>98</v>
      </c>
      <c r="M4915">
        <v>139</v>
      </c>
      <c r="N4915" t="s">
        <v>51</v>
      </c>
      <c r="O4915" s="3">
        <v>44034</v>
      </c>
      <c r="P4915">
        <v>-1</v>
      </c>
      <c r="T4915" t="s">
        <v>30</v>
      </c>
      <c r="U4915">
        <v>65</v>
      </c>
      <c r="V4915">
        <v>24.970800000000001</v>
      </c>
    </row>
    <row r="4916" spans="1:22" x14ac:dyDescent="0.35">
      <c r="A4916" s="3">
        <v>43895</v>
      </c>
      <c r="B4916" t="s">
        <v>48</v>
      </c>
      <c r="C4916">
        <v>22.32</v>
      </c>
      <c r="D4916">
        <v>23.65</v>
      </c>
      <c r="E4916">
        <v>22.3</v>
      </c>
      <c r="F4916">
        <v>23.45</v>
      </c>
      <c r="G4916">
        <v>23.45</v>
      </c>
      <c r="H4916">
        <v>1.2250000000000001</v>
      </c>
      <c r="I4916">
        <v>917</v>
      </c>
      <c r="J4916">
        <v>0</v>
      </c>
      <c r="K4916">
        <v>12935</v>
      </c>
      <c r="L4916">
        <v>162</v>
      </c>
      <c r="M4916">
        <v>230</v>
      </c>
      <c r="N4916" t="s">
        <v>48</v>
      </c>
      <c r="O4916" s="3">
        <v>44125</v>
      </c>
      <c r="P4916">
        <v>-1</v>
      </c>
      <c r="T4916" t="s">
        <v>29</v>
      </c>
      <c r="U4916">
        <v>85</v>
      </c>
      <c r="V4916">
        <v>25.307300000000001</v>
      </c>
    </row>
    <row r="4917" spans="1:22" x14ac:dyDescent="0.35">
      <c r="A4917" s="3">
        <v>43895</v>
      </c>
      <c r="B4917" t="s">
        <v>53</v>
      </c>
      <c r="C4917">
        <v>22.4</v>
      </c>
      <c r="D4917">
        <v>25.3</v>
      </c>
      <c r="E4917">
        <v>22.37</v>
      </c>
      <c r="F4917">
        <v>24.66</v>
      </c>
      <c r="G4917">
        <v>24.675000000000001</v>
      </c>
      <c r="H4917">
        <v>2.2999999999999998</v>
      </c>
      <c r="I4917">
        <v>46081</v>
      </c>
      <c r="J4917">
        <v>0</v>
      </c>
      <c r="K4917">
        <v>52704</v>
      </c>
      <c r="L4917">
        <v>54</v>
      </c>
      <c r="M4917">
        <v>76</v>
      </c>
      <c r="N4917" t="s">
        <v>53</v>
      </c>
      <c r="O4917" s="3">
        <v>43971</v>
      </c>
      <c r="P4917">
        <v>-1</v>
      </c>
      <c r="T4917" t="s">
        <v>28</v>
      </c>
      <c r="U4917">
        <v>104</v>
      </c>
      <c r="V4917">
        <v>25.548300000000001</v>
      </c>
    </row>
    <row r="4918" spans="1:22" x14ac:dyDescent="0.35">
      <c r="A4918" s="3">
        <v>43895</v>
      </c>
      <c r="B4918" t="s">
        <v>47</v>
      </c>
      <c r="C4918">
        <v>20.47</v>
      </c>
      <c r="D4918">
        <v>21.5</v>
      </c>
      <c r="E4918">
        <v>20.47</v>
      </c>
      <c r="F4918">
        <v>21.45</v>
      </c>
      <c r="G4918">
        <v>21.45</v>
      </c>
      <c r="H4918">
        <v>1.2250000000000001</v>
      </c>
      <c r="I4918">
        <v>375</v>
      </c>
      <c r="J4918">
        <v>0</v>
      </c>
      <c r="K4918">
        <v>6349</v>
      </c>
      <c r="L4918">
        <v>182</v>
      </c>
      <c r="M4918">
        <v>258</v>
      </c>
      <c r="N4918" t="s">
        <v>47</v>
      </c>
      <c r="O4918" s="3">
        <v>44153</v>
      </c>
      <c r="P4918">
        <v>-1</v>
      </c>
      <c r="T4918" t="s">
        <v>22</v>
      </c>
      <c r="U4918">
        <v>128</v>
      </c>
      <c r="V4918">
        <v>26.095500000000001</v>
      </c>
    </row>
    <row r="4919" spans="1:22" x14ac:dyDescent="0.35">
      <c r="A4919" s="3">
        <v>43895</v>
      </c>
      <c r="B4919" t="s">
        <v>52</v>
      </c>
      <c r="C4919">
        <v>21.4</v>
      </c>
      <c r="D4919">
        <v>23.67</v>
      </c>
      <c r="E4919">
        <v>21.35</v>
      </c>
      <c r="F4919">
        <v>23.22</v>
      </c>
      <c r="G4919">
        <v>23.225000000000001</v>
      </c>
      <c r="H4919">
        <v>1.85</v>
      </c>
      <c r="I4919">
        <v>21276</v>
      </c>
      <c r="J4919">
        <v>0</v>
      </c>
      <c r="K4919">
        <v>28530</v>
      </c>
      <c r="L4919">
        <v>73</v>
      </c>
      <c r="M4919">
        <v>104</v>
      </c>
      <c r="N4919" t="s">
        <v>52</v>
      </c>
      <c r="O4919" s="3">
        <v>43999</v>
      </c>
      <c r="P4919">
        <v>-1</v>
      </c>
      <c r="T4919" t="s">
        <v>26</v>
      </c>
      <c r="U4919">
        <v>148</v>
      </c>
      <c r="V4919">
        <v>26.024999999999999</v>
      </c>
    </row>
    <row r="4920" spans="1:22" x14ac:dyDescent="0.35">
      <c r="A4920" s="3">
        <v>43895</v>
      </c>
      <c r="B4920" t="s">
        <v>49</v>
      </c>
      <c r="C4920">
        <v>20.399999999999999</v>
      </c>
      <c r="D4920">
        <v>21.9</v>
      </c>
      <c r="E4920">
        <v>20.350000000000001</v>
      </c>
      <c r="F4920">
        <v>21.57</v>
      </c>
      <c r="G4920">
        <v>21.625</v>
      </c>
      <c r="H4920">
        <v>1.35</v>
      </c>
      <c r="I4920">
        <v>2743</v>
      </c>
      <c r="J4920">
        <v>0</v>
      </c>
      <c r="K4920">
        <v>10059</v>
      </c>
      <c r="L4920">
        <v>137</v>
      </c>
      <c r="M4920">
        <v>195</v>
      </c>
      <c r="N4920" t="s">
        <v>49</v>
      </c>
      <c r="O4920" s="3">
        <v>44090</v>
      </c>
      <c r="P4920">
        <v>-1</v>
      </c>
      <c r="T4920" t="s">
        <v>27</v>
      </c>
      <c r="U4920">
        <v>172</v>
      </c>
      <c r="V4920">
        <v>26.274999999999999</v>
      </c>
    </row>
    <row r="4921" spans="1:22" x14ac:dyDescent="0.35">
      <c r="A4921" s="3">
        <v>43895</v>
      </c>
      <c r="B4921" t="s">
        <v>54</v>
      </c>
      <c r="C4921">
        <v>24.65</v>
      </c>
      <c r="D4921">
        <v>28.45</v>
      </c>
      <c r="E4921">
        <v>24.6</v>
      </c>
      <c r="F4921">
        <v>27.52</v>
      </c>
      <c r="G4921">
        <v>27.524999999999999</v>
      </c>
      <c r="H4921">
        <v>2.9</v>
      </c>
      <c r="I4921">
        <v>154150</v>
      </c>
      <c r="J4921">
        <v>737</v>
      </c>
      <c r="K4921">
        <v>151361</v>
      </c>
      <c r="L4921">
        <v>29</v>
      </c>
      <c r="M4921">
        <v>41</v>
      </c>
      <c r="N4921" t="s">
        <v>54</v>
      </c>
      <c r="O4921" s="3">
        <v>43936</v>
      </c>
      <c r="P4921">
        <v>-1</v>
      </c>
      <c r="S4921" s="3">
        <v>44580</v>
      </c>
      <c r="T4921" t="s">
        <v>33</v>
      </c>
      <c r="U4921">
        <v>0</v>
      </c>
      <c r="V4921">
        <v>22.79</v>
      </c>
    </row>
    <row r="4922" spans="1:22" x14ac:dyDescent="0.35">
      <c r="A4922" s="3">
        <v>43895</v>
      </c>
      <c r="B4922" t="s">
        <v>50</v>
      </c>
      <c r="C4922">
        <v>20.399999999999999</v>
      </c>
      <c r="D4922">
        <v>22.22</v>
      </c>
      <c r="E4922">
        <v>20.399999999999999</v>
      </c>
      <c r="F4922">
        <v>21.87</v>
      </c>
      <c r="G4922">
        <v>21.925000000000001</v>
      </c>
      <c r="H4922">
        <v>1.55</v>
      </c>
      <c r="I4922">
        <v>6318</v>
      </c>
      <c r="J4922">
        <v>0</v>
      </c>
      <c r="K4922">
        <v>16685</v>
      </c>
      <c r="L4922">
        <v>118</v>
      </c>
      <c r="M4922">
        <v>167</v>
      </c>
      <c r="N4922" t="s">
        <v>50</v>
      </c>
      <c r="O4922" s="3">
        <v>44062</v>
      </c>
      <c r="P4922">
        <v>-1</v>
      </c>
      <c r="T4922" t="s">
        <v>32</v>
      </c>
      <c r="U4922">
        <v>20</v>
      </c>
      <c r="V4922">
        <v>24.0687</v>
      </c>
    </row>
    <row r="4923" spans="1:22" x14ac:dyDescent="0.35">
      <c r="A4923" s="3">
        <v>43895</v>
      </c>
      <c r="B4923" t="s">
        <v>55</v>
      </c>
      <c r="C4923">
        <v>27.4</v>
      </c>
      <c r="D4923">
        <v>33.25</v>
      </c>
      <c r="E4923">
        <v>27.3</v>
      </c>
      <c r="F4923">
        <v>31.7</v>
      </c>
      <c r="G4923">
        <v>31.875</v>
      </c>
      <c r="H4923">
        <v>4.45</v>
      </c>
      <c r="I4923">
        <v>210107</v>
      </c>
      <c r="J4923">
        <v>528</v>
      </c>
      <c r="K4923">
        <v>154911</v>
      </c>
      <c r="L4923">
        <v>9</v>
      </c>
      <c r="M4923">
        <v>13</v>
      </c>
      <c r="N4923" t="s">
        <v>55</v>
      </c>
      <c r="O4923" s="3">
        <v>43908</v>
      </c>
      <c r="P4923">
        <v>-1</v>
      </c>
      <c r="T4923" t="s">
        <v>31</v>
      </c>
      <c r="U4923">
        <v>38</v>
      </c>
      <c r="V4923">
        <v>24.565999999999999</v>
      </c>
    </row>
    <row r="4924" spans="1:22" x14ac:dyDescent="0.35">
      <c r="A4924" s="3">
        <v>43894</v>
      </c>
      <c r="B4924" t="s">
        <v>54</v>
      </c>
      <c r="C4924">
        <v>25.55</v>
      </c>
      <c r="D4924">
        <v>25.82</v>
      </c>
      <c r="E4924">
        <v>24</v>
      </c>
      <c r="F4924">
        <v>24.7</v>
      </c>
      <c r="G4924">
        <v>24.625</v>
      </c>
      <c r="H4924">
        <v>-0.9</v>
      </c>
      <c r="I4924">
        <v>98466</v>
      </c>
      <c r="J4924">
        <v>845</v>
      </c>
      <c r="K4924">
        <v>134964</v>
      </c>
      <c r="L4924">
        <v>30</v>
      </c>
      <c r="M4924">
        <v>42</v>
      </c>
      <c r="N4924" t="s">
        <v>54</v>
      </c>
      <c r="O4924" s="3">
        <v>43936</v>
      </c>
      <c r="P4924">
        <v>-1</v>
      </c>
      <c r="T4924" t="s">
        <v>30</v>
      </c>
      <c r="U4924">
        <v>64</v>
      </c>
      <c r="V4924">
        <v>25.1404</v>
      </c>
    </row>
    <row r="4925" spans="1:22" x14ac:dyDescent="0.35">
      <c r="A4925" s="3">
        <v>43894</v>
      </c>
      <c r="B4925" t="s">
        <v>50</v>
      </c>
      <c r="C4925">
        <v>20.52</v>
      </c>
      <c r="D4925">
        <v>20.67</v>
      </c>
      <c r="E4925">
        <v>20.02</v>
      </c>
      <c r="F4925">
        <v>20.399999999999999</v>
      </c>
      <c r="G4925">
        <v>20.375</v>
      </c>
      <c r="H4925">
        <v>-0.1</v>
      </c>
      <c r="I4925">
        <v>6047</v>
      </c>
      <c r="J4925">
        <v>0</v>
      </c>
      <c r="K4925">
        <v>16307</v>
      </c>
      <c r="L4925">
        <v>119</v>
      </c>
      <c r="M4925">
        <v>168</v>
      </c>
      <c r="N4925" t="s">
        <v>50</v>
      </c>
      <c r="O4925" s="3">
        <v>44062</v>
      </c>
      <c r="P4925">
        <v>-1</v>
      </c>
      <c r="T4925" t="s">
        <v>29</v>
      </c>
      <c r="U4925">
        <v>84</v>
      </c>
      <c r="V4925">
        <v>25.447199999999999</v>
      </c>
    </row>
    <row r="4926" spans="1:22" x14ac:dyDescent="0.35">
      <c r="A4926" s="3">
        <v>43894</v>
      </c>
      <c r="B4926" t="s">
        <v>55</v>
      </c>
      <c r="C4926">
        <v>29.3</v>
      </c>
      <c r="D4926">
        <v>29.7</v>
      </c>
      <c r="E4926">
        <v>26.6</v>
      </c>
      <c r="F4926">
        <v>27.5</v>
      </c>
      <c r="G4926">
        <v>27.425000000000001</v>
      </c>
      <c r="H4926">
        <v>-1.75</v>
      </c>
      <c r="I4926">
        <v>156139</v>
      </c>
      <c r="J4926">
        <v>845</v>
      </c>
      <c r="K4926">
        <v>158520</v>
      </c>
      <c r="L4926">
        <v>10</v>
      </c>
      <c r="M4926">
        <v>14</v>
      </c>
      <c r="N4926" t="s">
        <v>55</v>
      </c>
      <c r="O4926" s="3">
        <v>43908</v>
      </c>
      <c r="P4926">
        <v>-1</v>
      </c>
      <c r="T4926" t="s">
        <v>28</v>
      </c>
      <c r="U4926">
        <v>103</v>
      </c>
      <c r="V4926">
        <v>25.6934</v>
      </c>
    </row>
    <row r="4927" spans="1:22" x14ac:dyDescent="0.35">
      <c r="A4927" s="3">
        <v>43894</v>
      </c>
      <c r="B4927" t="s">
        <v>51</v>
      </c>
      <c r="C4927">
        <v>20.75</v>
      </c>
      <c r="D4927">
        <v>20.92</v>
      </c>
      <c r="E4927">
        <v>20.2</v>
      </c>
      <c r="F4927">
        <v>20.65</v>
      </c>
      <c r="G4927">
        <v>20.625</v>
      </c>
      <c r="H4927">
        <v>-7.4999999999999997E-2</v>
      </c>
      <c r="I4927">
        <v>7141</v>
      </c>
      <c r="J4927">
        <v>0</v>
      </c>
      <c r="K4927">
        <v>22748</v>
      </c>
      <c r="L4927">
        <v>99</v>
      </c>
      <c r="M4927">
        <v>140</v>
      </c>
      <c r="N4927" t="s">
        <v>51</v>
      </c>
      <c r="O4927" s="3">
        <v>44034</v>
      </c>
      <c r="P4927">
        <v>-1</v>
      </c>
      <c r="T4927" t="s">
        <v>22</v>
      </c>
      <c r="U4927">
        <v>127</v>
      </c>
      <c r="V4927">
        <v>26.186399999999999</v>
      </c>
    </row>
    <row r="4928" spans="1:22" x14ac:dyDescent="0.35">
      <c r="A4928" s="3">
        <v>43894</v>
      </c>
      <c r="B4928" t="s">
        <v>48</v>
      </c>
      <c r="C4928">
        <v>22.9</v>
      </c>
      <c r="D4928">
        <v>23.05</v>
      </c>
      <c r="E4928">
        <v>22.1</v>
      </c>
      <c r="F4928">
        <v>22.25</v>
      </c>
      <c r="G4928">
        <v>22.225000000000001</v>
      </c>
      <c r="H4928">
        <v>-0.67500000000000004</v>
      </c>
      <c r="I4928">
        <v>3073</v>
      </c>
      <c r="J4928">
        <v>0</v>
      </c>
      <c r="K4928">
        <v>12760</v>
      </c>
      <c r="L4928">
        <v>163</v>
      </c>
      <c r="M4928">
        <v>231</v>
      </c>
      <c r="N4928" t="s">
        <v>48</v>
      </c>
      <c r="O4928" s="3">
        <v>44125</v>
      </c>
      <c r="P4928">
        <v>-1</v>
      </c>
      <c r="T4928" t="s">
        <v>26</v>
      </c>
      <c r="U4928">
        <v>147</v>
      </c>
      <c r="V4928">
        <v>26.188500000000001</v>
      </c>
    </row>
    <row r="4929" spans="1:22" x14ac:dyDescent="0.35">
      <c r="A4929" s="3">
        <v>43894</v>
      </c>
      <c r="B4929" t="s">
        <v>53</v>
      </c>
      <c r="C4929">
        <v>22.85</v>
      </c>
      <c r="D4929">
        <v>23.07</v>
      </c>
      <c r="E4929">
        <v>21.75</v>
      </c>
      <c r="F4929">
        <v>22.4</v>
      </c>
      <c r="G4929">
        <v>22.375</v>
      </c>
      <c r="H4929">
        <v>-0.45</v>
      </c>
      <c r="I4929">
        <v>25030</v>
      </c>
      <c r="J4929">
        <v>0</v>
      </c>
      <c r="K4929">
        <v>50576</v>
      </c>
      <c r="L4929">
        <v>55</v>
      </c>
      <c r="M4929">
        <v>77</v>
      </c>
      <c r="N4929" t="s">
        <v>53</v>
      </c>
      <c r="O4929" s="3">
        <v>43971</v>
      </c>
      <c r="P4929">
        <v>-1</v>
      </c>
      <c r="T4929" t="s">
        <v>27</v>
      </c>
      <c r="U4929">
        <v>171</v>
      </c>
      <c r="V4929">
        <v>26.425000000000001</v>
      </c>
    </row>
    <row r="4930" spans="1:22" x14ac:dyDescent="0.35">
      <c r="A4930" s="3">
        <v>43894</v>
      </c>
      <c r="B4930" t="s">
        <v>47</v>
      </c>
      <c r="C4930">
        <v>20.329999999999998</v>
      </c>
      <c r="D4930">
        <v>20.5</v>
      </c>
      <c r="E4930">
        <v>20.2</v>
      </c>
      <c r="F4930">
        <v>20.3</v>
      </c>
      <c r="G4930">
        <v>20.225000000000001</v>
      </c>
      <c r="H4930">
        <v>-0.4</v>
      </c>
      <c r="I4930">
        <v>1162</v>
      </c>
      <c r="J4930">
        <v>0</v>
      </c>
      <c r="K4930">
        <v>6259</v>
      </c>
      <c r="L4930">
        <v>183</v>
      </c>
      <c r="M4930">
        <v>259</v>
      </c>
      <c r="N4930" t="s">
        <v>47</v>
      </c>
      <c r="O4930" s="3">
        <v>44153</v>
      </c>
      <c r="P4930">
        <v>-1</v>
      </c>
      <c r="S4930" s="3">
        <v>44581</v>
      </c>
      <c r="T4930" t="s">
        <v>32</v>
      </c>
      <c r="U4930">
        <v>19</v>
      </c>
      <c r="V4930">
        <v>24.965800000000002</v>
      </c>
    </row>
    <row r="4931" spans="1:22" x14ac:dyDescent="0.35">
      <c r="A4931" s="3">
        <v>43894</v>
      </c>
      <c r="B4931" t="s">
        <v>52</v>
      </c>
      <c r="C4931">
        <v>21.6</v>
      </c>
      <c r="D4931">
        <v>21.82</v>
      </c>
      <c r="E4931">
        <v>20.87</v>
      </c>
      <c r="F4931">
        <v>21.4</v>
      </c>
      <c r="G4931">
        <v>21.375</v>
      </c>
      <c r="H4931">
        <v>-0.2</v>
      </c>
      <c r="I4931">
        <v>11665</v>
      </c>
      <c r="J4931">
        <v>0</v>
      </c>
      <c r="K4931">
        <v>27447</v>
      </c>
      <c r="L4931">
        <v>74</v>
      </c>
      <c r="M4931">
        <v>105</v>
      </c>
      <c r="N4931" t="s">
        <v>52</v>
      </c>
      <c r="O4931" s="3">
        <v>43999</v>
      </c>
      <c r="P4931">
        <v>-1</v>
      </c>
      <c r="T4931" t="s">
        <v>31</v>
      </c>
      <c r="U4931">
        <v>37</v>
      </c>
      <c r="V4931">
        <v>25.106100000000001</v>
      </c>
    </row>
    <row r="4932" spans="1:22" x14ac:dyDescent="0.35">
      <c r="A4932" s="3">
        <v>43894</v>
      </c>
      <c r="B4932" t="s">
        <v>49</v>
      </c>
      <c r="C4932">
        <v>20.6</v>
      </c>
      <c r="D4932">
        <v>20.65</v>
      </c>
      <c r="E4932">
        <v>20.05</v>
      </c>
      <c r="F4932">
        <v>20.3</v>
      </c>
      <c r="G4932">
        <v>20.274999999999999</v>
      </c>
      <c r="H4932">
        <v>-0.22500000000000001</v>
      </c>
      <c r="I4932">
        <v>4109</v>
      </c>
      <c r="J4932">
        <v>0</v>
      </c>
      <c r="K4932">
        <v>9853</v>
      </c>
      <c r="L4932">
        <v>138</v>
      </c>
      <c r="M4932">
        <v>196</v>
      </c>
      <c r="N4932" t="s">
        <v>49</v>
      </c>
      <c r="O4932" s="3">
        <v>44090</v>
      </c>
      <c r="P4932">
        <v>-1</v>
      </c>
      <c r="T4932" t="s">
        <v>30</v>
      </c>
      <c r="U4932">
        <v>63</v>
      </c>
      <c r="V4932">
        <v>25.358699999999999</v>
      </c>
    </row>
    <row r="4933" spans="1:22" x14ac:dyDescent="0.35">
      <c r="A4933" s="3">
        <v>43893</v>
      </c>
      <c r="B4933" t="s">
        <v>51</v>
      </c>
      <c r="C4933">
        <v>19.75</v>
      </c>
      <c r="D4933">
        <v>20.95</v>
      </c>
      <c r="E4933">
        <v>19.350000000000001</v>
      </c>
      <c r="F4933">
        <v>20.72</v>
      </c>
      <c r="G4933">
        <v>20.7</v>
      </c>
      <c r="H4933">
        <v>0.875</v>
      </c>
      <c r="I4933">
        <v>14753</v>
      </c>
      <c r="J4933">
        <v>0</v>
      </c>
      <c r="K4933">
        <v>23092</v>
      </c>
      <c r="L4933">
        <v>100</v>
      </c>
      <c r="M4933">
        <v>141</v>
      </c>
      <c r="N4933" t="s">
        <v>51</v>
      </c>
      <c r="O4933" s="3">
        <v>44034</v>
      </c>
      <c r="P4933">
        <v>-1</v>
      </c>
      <c r="T4933" t="s">
        <v>29</v>
      </c>
      <c r="U4933">
        <v>83</v>
      </c>
      <c r="V4933">
        <v>25.557300000000001</v>
      </c>
    </row>
    <row r="4934" spans="1:22" x14ac:dyDescent="0.35">
      <c r="A4934" s="3">
        <v>43893</v>
      </c>
      <c r="B4934" t="s">
        <v>48</v>
      </c>
      <c r="C4934">
        <v>22.63</v>
      </c>
      <c r="D4934">
        <v>23.25</v>
      </c>
      <c r="E4934">
        <v>22.3</v>
      </c>
      <c r="F4934">
        <v>22.9</v>
      </c>
      <c r="G4934">
        <v>22.9</v>
      </c>
      <c r="H4934">
        <v>0.27500000000000002</v>
      </c>
      <c r="I4934">
        <v>1883</v>
      </c>
      <c r="J4934">
        <v>0</v>
      </c>
      <c r="K4934">
        <v>12215</v>
      </c>
      <c r="L4934">
        <v>164</v>
      </c>
      <c r="M4934">
        <v>232</v>
      </c>
      <c r="N4934" t="s">
        <v>48</v>
      </c>
      <c r="O4934" s="3">
        <v>44125</v>
      </c>
      <c r="P4934">
        <v>-1</v>
      </c>
      <c r="T4934" t="s">
        <v>28</v>
      </c>
      <c r="U4934">
        <v>102</v>
      </c>
      <c r="V4934">
        <v>25.7559</v>
      </c>
    </row>
    <row r="4935" spans="1:22" x14ac:dyDescent="0.35">
      <c r="A4935" s="3">
        <v>43893</v>
      </c>
      <c r="B4935" t="s">
        <v>53</v>
      </c>
      <c r="C4935">
        <v>21.3</v>
      </c>
      <c r="D4935">
        <v>23</v>
      </c>
      <c r="E4935">
        <v>20.6</v>
      </c>
      <c r="F4935">
        <v>22.82</v>
      </c>
      <c r="G4935">
        <v>22.824999999999999</v>
      </c>
      <c r="H4935">
        <v>1.55</v>
      </c>
      <c r="I4935">
        <v>46836</v>
      </c>
      <c r="J4935">
        <v>0</v>
      </c>
      <c r="K4935">
        <v>49756</v>
      </c>
      <c r="L4935">
        <v>56</v>
      </c>
      <c r="M4935">
        <v>78</v>
      </c>
      <c r="N4935" t="s">
        <v>53</v>
      </c>
      <c r="O4935" s="3">
        <v>43971</v>
      </c>
      <c r="P4935">
        <v>-1</v>
      </c>
      <c r="T4935" t="s">
        <v>22</v>
      </c>
      <c r="U4935">
        <v>126</v>
      </c>
      <c r="V4935">
        <v>26.290400000000002</v>
      </c>
    </row>
    <row r="4936" spans="1:22" x14ac:dyDescent="0.35">
      <c r="A4936" s="3">
        <v>43893</v>
      </c>
      <c r="B4936" t="s">
        <v>47</v>
      </c>
      <c r="C4936">
        <v>20.38</v>
      </c>
      <c r="D4936">
        <v>20.8</v>
      </c>
      <c r="E4936">
        <v>20.100000000000001</v>
      </c>
      <c r="F4936">
        <v>20.350000000000001</v>
      </c>
      <c r="G4936">
        <v>20.625</v>
      </c>
      <c r="H4936">
        <v>0.27500000000000002</v>
      </c>
      <c r="I4936">
        <v>602</v>
      </c>
      <c r="J4936">
        <v>0</v>
      </c>
      <c r="K4936">
        <v>6301</v>
      </c>
      <c r="L4936">
        <v>184</v>
      </c>
      <c r="M4936">
        <v>260</v>
      </c>
      <c r="N4936" t="s">
        <v>47</v>
      </c>
      <c r="O4936" s="3">
        <v>44153</v>
      </c>
      <c r="P4936">
        <v>-1</v>
      </c>
      <c r="T4936" t="s">
        <v>26</v>
      </c>
      <c r="U4936">
        <v>146</v>
      </c>
      <c r="V4936">
        <v>26.316700000000001</v>
      </c>
    </row>
    <row r="4937" spans="1:22" x14ac:dyDescent="0.35">
      <c r="A4937" s="3">
        <v>43893</v>
      </c>
      <c r="B4937" t="s">
        <v>52</v>
      </c>
      <c r="C4937">
        <v>20.350000000000001</v>
      </c>
      <c r="D4937">
        <v>21.75</v>
      </c>
      <c r="E4937">
        <v>19.8</v>
      </c>
      <c r="F4937">
        <v>21.6</v>
      </c>
      <c r="G4937">
        <v>21.574999999999999</v>
      </c>
      <c r="H4937">
        <v>1.25</v>
      </c>
      <c r="I4937">
        <v>20118</v>
      </c>
      <c r="J4937">
        <v>0</v>
      </c>
      <c r="K4937">
        <v>28038</v>
      </c>
      <c r="L4937">
        <v>75</v>
      </c>
      <c r="M4937">
        <v>106</v>
      </c>
      <c r="N4937" t="s">
        <v>52</v>
      </c>
      <c r="O4937" s="3">
        <v>43999</v>
      </c>
      <c r="P4937">
        <v>-1</v>
      </c>
      <c r="T4937" t="s">
        <v>27</v>
      </c>
      <c r="U4937">
        <v>170</v>
      </c>
      <c r="V4937">
        <v>26.55</v>
      </c>
    </row>
    <row r="4938" spans="1:22" x14ac:dyDescent="0.35">
      <c r="A4938" s="3">
        <v>43893</v>
      </c>
      <c r="B4938" t="s">
        <v>49</v>
      </c>
      <c r="C4938">
        <v>19.739999999999998</v>
      </c>
      <c r="D4938">
        <v>20.67</v>
      </c>
      <c r="E4938">
        <v>19.5</v>
      </c>
      <c r="F4938">
        <v>20.51</v>
      </c>
      <c r="G4938">
        <v>20.5</v>
      </c>
      <c r="H4938">
        <v>0.67500000000000004</v>
      </c>
      <c r="I4938">
        <v>3758</v>
      </c>
      <c r="J4938">
        <v>0</v>
      </c>
      <c r="K4938">
        <v>9994</v>
      </c>
      <c r="L4938">
        <v>139</v>
      </c>
      <c r="M4938">
        <v>197</v>
      </c>
      <c r="N4938" t="s">
        <v>49</v>
      </c>
      <c r="O4938" s="3">
        <v>44090</v>
      </c>
      <c r="P4938">
        <v>-1</v>
      </c>
      <c r="S4938" s="3">
        <v>44582</v>
      </c>
      <c r="T4938" t="s">
        <v>32</v>
      </c>
      <c r="U4938">
        <v>18</v>
      </c>
      <c r="V4938">
        <v>27.308599999999998</v>
      </c>
    </row>
    <row r="4939" spans="1:22" x14ac:dyDescent="0.35">
      <c r="A4939" s="3">
        <v>43893</v>
      </c>
      <c r="B4939" t="s">
        <v>54</v>
      </c>
      <c r="C4939">
        <v>23.25</v>
      </c>
      <c r="D4939">
        <v>25.82</v>
      </c>
      <c r="E4939">
        <v>22.41</v>
      </c>
      <c r="F4939">
        <v>25.5</v>
      </c>
      <c r="G4939">
        <v>25.524999999999999</v>
      </c>
      <c r="H4939">
        <v>2.2000000000000002</v>
      </c>
      <c r="I4939">
        <v>170154</v>
      </c>
      <c r="J4939">
        <v>1302</v>
      </c>
      <c r="K4939">
        <v>136495</v>
      </c>
      <c r="L4939">
        <v>31</v>
      </c>
      <c r="M4939">
        <v>43</v>
      </c>
      <c r="N4939" t="s">
        <v>54</v>
      </c>
      <c r="O4939" s="3">
        <v>43936</v>
      </c>
      <c r="P4939">
        <v>-1</v>
      </c>
      <c r="T4939" t="s">
        <v>31</v>
      </c>
      <c r="U4939">
        <v>36</v>
      </c>
      <c r="V4939">
        <v>26.8399</v>
      </c>
    </row>
    <row r="4940" spans="1:22" x14ac:dyDescent="0.35">
      <c r="A4940" s="3">
        <v>43893</v>
      </c>
      <c r="B4940" t="s">
        <v>50</v>
      </c>
      <c r="C4940">
        <v>19.600000000000001</v>
      </c>
      <c r="D4940">
        <v>20.67</v>
      </c>
      <c r="E4940">
        <v>19.25</v>
      </c>
      <c r="F4940">
        <v>20.5</v>
      </c>
      <c r="G4940">
        <v>20.475000000000001</v>
      </c>
      <c r="H4940">
        <v>0.85</v>
      </c>
      <c r="I4940">
        <v>6963</v>
      </c>
      <c r="J4940">
        <v>0</v>
      </c>
      <c r="K4940">
        <v>15185</v>
      </c>
      <c r="L4940">
        <v>120</v>
      </c>
      <c r="M4940">
        <v>169</v>
      </c>
      <c r="N4940" t="s">
        <v>50</v>
      </c>
      <c r="O4940" s="3">
        <v>44062</v>
      </c>
      <c r="P4940">
        <v>-1</v>
      </c>
      <c r="T4940" t="s">
        <v>30</v>
      </c>
      <c r="U4940">
        <v>62</v>
      </c>
      <c r="V4940">
        <v>26.652000000000001</v>
      </c>
    </row>
    <row r="4941" spans="1:22" x14ac:dyDescent="0.35">
      <c r="A4941" s="3">
        <v>43893</v>
      </c>
      <c r="B4941" t="s">
        <v>55</v>
      </c>
      <c r="C4941">
        <v>26.05</v>
      </c>
      <c r="D4941">
        <v>29.95</v>
      </c>
      <c r="E4941">
        <v>24.6</v>
      </c>
      <c r="F4941">
        <v>29.3</v>
      </c>
      <c r="G4941">
        <v>29.175000000000001</v>
      </c>
      <c r="H4941">
        <v>2.9</v>
      </c>
      <c r="I4941">
        <v>249564</v>
      </c>
      <c r="J4941">
        <v>930</v>
      </c>
      <c r="K4941">
        <v>169220</v>
      </c>
      <c r="L4941">
        <v>11</v>
      </c>
      <c r="M4941">
        <v>15</v>
      </c>
      <c r="N4941" t="s">
        <v>55</v>
      </c>
      <c r="O4941" s="3">
        <v>43908</v>
      </c>
      <c r="P4941">
        <v>-1</v>
      </c>
      <c r="T4941" t="s">
        <v>29</v>
      </c>
      <c r="U4941">
        <v>82</v>
      </c>
      <c r="V4941">
        <v>26.6309</v>
      </c>
    </row>
    <row r="4942" spans="1:22" x14ac:dyDescent="0.35">
      <c r="A4942" s="3">
        <v>43892</v>
      </c>
      <c r="B4942" t="s">
        <v>54</v>
      </c>
      <c r="C4942">
        <v>24.35</v>
      </c>
      <c r="D4942">
        <v>25.25</v>
      </c>
      <c r="E4942">
        <v>22.05</v>
      </c>
      <c r="F4942">
        <v>23.3</v>
      </c>
      <c r="G4942">
        <v>23.324999999999999</v>
      </c>
      <c r="H4942">
        <v>0.3</v>
      </c>
      <c r="I4942">
        <v>163740</v>
      </c>
      <c r="J4942">
        <v>177</v>
      </c>
      <c r="K4942">
        <v>122974</v>
      </c>
      <c r="L4942">
        <v>32</v>
      </c>
      <c r="M4942">
        <v>44</v>
      </c>
      <c r="N4942" t="s">
        <v>54</v>
      </c>
      <c r="O4942" s="3">
        <v>43936</v>
      </c>
      <c r="P4942">
        <v>-1</v>
      </c>
      <c r="T4942" t="s">
        <v>28</v>
      </c>
      <c r="U4942">
        <v>101</v>
      </c>
      <c r="V4942">
        <v>26.684899999999999</v>
      </c>
    </row>
    <row r="4943" spans="1:22" x14ac:dyDescent="0.35">
      <c r="A4943" s="3">
        <v>43892</v>
      </c>
      <c r="B4943" t="s">
        <v>50</v>
      </c>
      <c r="C4943">
        <v>19.850000000000001</v>
      </c>
      <c r="D4943">
        <v>20.25</v>
      </c>
      <c r="E4943">
        <v>19.100000000000001</v>
      </c>
      <c r="F4943">
        <v>19.66</v>
      </c>
      <c r="G4943">
        <v>19.625</v>
      </c>
      <c r="H4943">
        <v>0</v>
      </c>
      <c r="I4943">
        <v>8321</v>
      </c>
      <c r="J4943">
        <v>0</v>
      </c>
      <c r="K4943">
        <v>14378</v>
      </c>
      <c r="L4943">
        <v>121</v>
      </c>
      <c r="M4943">
        <v>170</v>
      </c>
      <c r="N4943" t="s">
        <v>50</v>
      </c>
      <c r="O4943" s="3">
        <v>44062</v>
      </c>
      <c r="P4943">
        <v>-1</v>
      </c>
      <c r="T4943" t="s">
        <v>22</v>
      </c>
      <c r="U4943">
        <v>125</v>
      </c>
      <c r="V4943">
        <v>27.0336</v>
      </c>
    </row>
    <row r="4944" spans="1:22" x14ac:dyDescent="0.35">
      <c r="A4944" s="3">
        <v>43892</v>
      </c>
      <c r="B4944" t="s">
        <v>55</v>
      </c>
      <c r="C4944">
        <v>29.05</v>
      </c>
      <c r="D4944">
        <v>30.2</v>
      </c>
      <c r="E4944">
        <v>24.8</v>
      </c>
      <c r="F4944">
        <v>26.15</v>
      </c>
      <c r="G4944">
        <v>26.274999999999999</v>
      </c>
      <c r="H4944">
        <v>-0.05</v>
      </c>
      <c r="I4944">
        <v>261145</v>
      </c>
      <c r="J4944">
        <v>266</v>
      </c>
      <c r="K4944">
        <v>171998</v>
      </c>
      <c r="L4944">
        <v>12</v>
      </c>
      <c r="M4944">
        <v>16</v>
      </c>
      <c r="N4944" t="s">
        <v>55</v>
      </c>
      <c r="O4944" s="3">
        <v>43908</v>
      </c>
      <c r="P4944">
        <v>-1</v>
      </c>
      <c r="T4944" t="s">
        <v>26</v>
      </c>
      <c r="U4944">
        <v>145</v>
      </c>
      <c r="V4944">
        <v>26.960899999999999</v>
      </c>
    </row>
    <row r="4945" spans="1:22" x14ac:dyDescent="0.35">
      <c r="A4945" s="3">
        <v>43892</v>
      </c>
      <c r="B4945" t="s">
        <v>51</v>
      </c>
      <c r="C4945">
        <v>20.05</v>
      </c>
      <c r="D4945">
        <v>20.65</v>
      </c>
      <c r="E4945">
        <v>19.3</v>
      </c>
      <c r="F4945">
        <v>19.88</v>
      </c>
      <c r="G4945">
        <v>19.824999999999999</v>
      </c>
      <c r="H4945">
        <v>0</v>
      </c>
      <c r="I4945">
        <v>15705</v>
      </c>
      <c r="J4945">
        <v>0</v>
      </c>
      <c r="K4945">
        <v>19032</v>
      </c>
      <c r="L4945">
        <v>101</v>
      </c>
      <c r="M4945">
        <v>142</v>
      </c>
      <c r="N4945" t="s">
        <v>51</v>
      </c>
      <c r="O4945" s="3">
        <v>44034</v>
      </c>
      <c r="P4945">
        <v>-1</v>
      </c>
      <c r="T4945" t="s">
        <v>27</v>
      </c>
      <c r="U4945">
        <v>169</v>
      </c>
      <c r="V4945">
        <v>27.175000000000001</v>
      </c>
    </row>
    <row r="4946" spans="1:22" x14ac:dyDescent="0.35">
      <c r="A4946" s="3">
        <v>43892</v>
      </c>
      <c r="B4946" t="s">
        <v>48</v>
      </c>
      <c r="C4946">
        <v>22.85</v>
      </c>
      <c r="D4946">
        <v>23.07</v>
      </c>
      <c r="E4946">
        <v>22.15</v>
      </c>
      <c r="F4946">
        <v>22.6</v>
      </c>
      <c r="G4946">
        <v>22.625</v>
      </c>
      <c r="H4946">
        <v>7.4999999999999997E-2</v>
      </c>
      <c r="I4946">
        <v>1439</v>
      </c>
      <c r="J4946">
        <v>0</v>
      </c>
      <c r="K4946">
        <v>12129</v>
      </c>
      <c r="L4946">
        <v>165</v>
      </c>
      <c r="M4946">
        <v>233</v>
      </c>
      <c r="N4946" t="s">
        <v>48</v>
      </c>
      <c r="O4946" s="3">
        <v>44125</v>
      </c>
      <c r="P4946">
        <v>-1</v>
      </c>
      <c r="S4946" s="3">
        <v>44585</v>
      </c>
      <c r="T4946" t="s">
        <v>32</v>
      </c>
      <c r="U4946">
        <v>17</v>
      </c>
      <c r="V4946">
        <v>28.068300000000001</v>
      </c>
    </row>
    <row r="4947" spans="1:22" x14ac:dyDescent="0.35">
      <c r="A4947" s="3">
        <v>43892</v>
      </c>
      <c r="B4947" t="s">
        <v>53</v>
      </c>
      <c r="C4947">
        <v>21.4</v>
      </c>
      <c r="D4947">
        <v>22.68</v>
      </c>
      <c r="E4947">
        <v>20.45</v>
      </c>
      <c r="F4947">
        <v>21.32</v>
      </c>
      <c r="G4947">
        <v>21.274999999999999</v>
      </c>
      <c r="H4947">
        <v>0</v>
      </c>
      <c r="I4947">
        <v>55693</v>
      </c>
      <c r="J4947">
        <v>0</v>
      </c>
      <c r="K4947">
        <v>46619</v>
      </c>
      <c r="L4947">
        <v>57</v>
      </c>
      <c r="M4947">
        <v>79</v>
      </c>
      <c r="N4947" t="s">
        <v>53</v>
      </c>
      <c r="O4947" s="3">
        <v>43971</v>
      </c>
      <c r="P4947">
        <v>-1</v>
      </c>
      <c r="T4947" t="s">
        <v>31</v>
      </c>
      <c r="U4947">
        <v>35</v>
      </c>
      <c r="V4947">
        <v>27.4498</v>
      </c>
    </row>
    <row r="4948" spans="1:22" x14ac:dyDescent="0.35">
      <c r="A4948" s="3">
        <v>43892</v>
      </c>
      <c r="B4948" t="s">
        <v>47</v>
      </c>
      <c r="C4948">
        <v>20.8</v>
      </c>
      <c r="D4948">
        <v>20.8</v>
      </c>
      <c r="E4948">
        <v>20.100000000000001</v>
      </c>
      <c r="F4948">
        <v>20.45</v>
      </c>
      <c r="G4948">
        <v>20.350000000000001</v>
      </c>
      <c r="H4948">
        <v>-0.125</v>
      </c>
      <c r="I4948">
        <v>61</v>
      </c>
      <c r="J4948">
        <v>0</v>
      </c>
      <c r="K4948">
        <v>6104</v>
      </c>
      <c r="L4948">
        <v>185</v>
      </c>
      <c r="M4948">
        <v>261</v>
      </c>
      <c r="N4948" t="s">
        <v>47</v>
      </c>
      <c r="O4948" s="3">
        <v>44153</v>
      </c>
      <c r="P4948">
        <v>-1</v>
      </c>
      <c r="T4948" t="s">
        <v>30</v>
      </c>
      <c r="U4948">
        <v>61</v>
      </c>
      <c r="V4948">
        <v>26.9069</v>
      </c>
    </row>
    <row r="4949" spans="1:22" x14ac:dyDescent="0.35">
      <c r="A4949" s="3">
        <v>43892</v>
      </c>
      <c r="B4949" t="s">
        <v>52</v>
      </c>
      <c r="C4949">
        <v>20.7</v>
      </c>
      <c r="D4949">
        <v>21.39</v>
      </c>
      <c r="E4949">
        <v>19.64</v>
      </c>
      <c r="F4949">
        <v>20.37</v>
      </c>
      <c r="G4949">
        <v>20.324999999999999</v>
      </c>
      <c r="H4949">
        <v>-0.05</v>
      </c>
      <c r="I4949">
        <v>23085</v>
      </c>
      <c r="J4949">
        <v>0</v>
      </c>
      <c r="K4949">
        <v>26556</v>
      </c>
      <c r="L4949">
        <v>76</v>
      </c>
      <c r="M4949">
        <v>107</v>
      </c>
      <c r="N4949" t="s">
        <v>52</v>
      </c>
      <c r="O4949" s="3">
        <v>43999</v>
      </c>
      <c r="P4949">
        <v>-1</v>
      </c>
      <c r="T4949" t="s">
        <v>29</v>
      </c>
      <c r="U4949">
        <v>81</v>
      </c>
      <c r="V4949">
        <v>26.652699999999999</v>
      </c>
    </row>
    <row r="4950" spans="1:22" x14ac:dyDescent="0.35">
      <c r="A4950" s="3">
        <v>43892</v>
      </c>
      <c r="B4950" t="s">
        <v>49</v>
      </c>
      <c r="C4950">
        <v>20.079999999999998</v>
      </c>
      <c r="D4950">
        <v>20.2</v>
      </c>
      <c r="E4950">
        <v>19.170000000000002</v>
      </c>
      <c r="F4950">
        <v>19.82</v>
      </c>
      <c r="G4950">
        <v>19.824999999999999</v>
      </c>
      <c r="H4950">
        <v>0.2</v>
      </c>
      <c r="I4950">
        <v>3807</v>
      </c>
      <c r="J4950">
        <v>0</v>
      </c>
      <c r="K4950">
        <v>9559</v>
      </c>
      <c r="L4950">
        <v>140</v>
      </c>
      <c r="M4950">
        <v>198</v>
      </c>
      <c r="N4950" t="s">
        <v>49</v>
      </c>
      <c r="O4950" s="3">
        <v>44090</v>
      </c>
      <c r="P4950">
        <v>-1</v>
      </c>
      <c r="T4950" t="s">
        <v>28</v>
      </c>
      <c r="U4950">
        <v>100</v>
      </c>
      <c r="V4950">
        <v>26.485399999999998</v>
      </c>
    </row>
    <row r="4951" spans="1:22" x14ac:dyDescent="0.35">
      <c r="A4951" s="3">
        <v>43889</v>
      </c>
      <c r="B4951" t="s">
        <v>51</v>
      </c>
      <c r="C4951">
        <v>20.45</v>
      </c>
      <c r="D4951">
        <v>21.42</v>
      </c>
      <c r="E4951">
        <v>19.7</v>
      </c>
      <c r="F4951">
        <v>19.75</v>
      </c>
      <c r="G4951">
        <v>19.824999999999999</v>
      </c>
      <c r="H4951">
        <v>-0.45</v>
      </c>
      <c r="I4951">
        <v>26599</v>
      </c>
      <c r="J4951">
        <v>0</v>
      </c>
      <c r="K4951">
        <v>20175</v>
      </c>
      <c r="L4951">
        <v>102</v>
      </c>
      <c r="M4951">
        <v>145</v>
      </c>
      <c r="N4951" t="s">
        <v>51</v>
      </c>
      <c r="O4951" s="3">
        <v>44034</v>
      </c>
      <c r="P4951">
        <v>-1</v>
      </c>
      <c r="T4951" t="s">
        <v>22</v>
      </c>
      <c r="U4951">
        <v>124</v>
      </c>
      <c r="V4951">
        <v>26.752600000000001</v>
      </c>
    </row>
    <row r="4952" spans="1:22" x14ac:dyDescent="0.35">
      <c r="A4952" s="3">
        <v>43889</v>
      </c>
      <c r="B4952" t="s">
        <v>48</v>
      </c>
      <c r="C4952">
        <v>22.9</v>
      </c>
      <c r="D4952">
        <v>23.75</v>
      </c>
      <c r="E4952">
        <v>22.45</v>
      </c>
      <c r="F4952">
        <v>22.52</v>
      </c>
      <c r="G4952">
        <v>22.55</v>
      </c>
      <c r="H4952">
        <v>-0.2</v>
      </c>
      <c r="I4952">
        <v>1585</v>
      </c>
      <c r="J4952">
        <v>0</v>
      </c>
      <c r="K4952">
        <v>11807</v>
      </c>
      <c r="L4952">
        <v>166</v>
      </c>
      <c r="M4952">
        <v>236</v>
      </c>
      <c r="N4952" t="s">
        <v>48</v>
      </c>
      <c r="O4952" s="3">
        <v>44125</v>
      </c>
      <c r="P4952">
        <v>-1</v>
      </c>
      <c r="T4952" t="s">
        <v>26</v>
      </c>
      <c r="U4952">
        <v>144</v>
      </c>
      <c r="V4952">
        <v>26.691700000000001</v>
      </c>
    </row>
    <row r="4953" spans="1:22" x14ac:dyDescent="0.35">
      <c r="A4953" s="3">
        <v>43889</v>
      </c>
      <c r="B4953" t="s">
        <v>53</v>
      </c>
      <c r="C4953">
        <v>22</v>
      </c>
      <c r="D4953">
        <v>23.55</v>
      </c>
      <c r="E4953">
        <v>21.14</v>
      </c>
      <c r="F4953">
        <v>21.2</v>
      </c>
      <c r="G4953">
        <v>21.274999999999999</v>
      </c>
      <c r="H4953">
        <v>-0.5</v>
      </c>
      <c r="I4953">
        <v>95567</v>
      </c>
      <c r="J4953">
        <v>0</v>
      </c>
      <c r="K4953">
        <v>47615</v>
      </c>
      <c r="L4953">
        <v>58</v>
      </c>
      <c r="M4953">
        <v>82</v>
      </c>
      <c r="N4953" t="s">
        <v>53</v>
      </c>
      <c r="O4953" s="3">
        <v>43971</v>
      </c>
      <c r="P4953">
        <v>-1</v>
      </c>
      <c r="T4953" t="s">
        <v>27</v>
      </c>
      <c r="U4953">
        <v>168</v>
      </c>
      <c r="V4953">
        <v>26.95</v>
      </c>
    </row>
    <row r="4954" spans="1:22" x14ac:dyDescent="0.35">
      <c r="A4954" s="3">
        <v>43889</v>
      </c>
      <c r="B4954" t="s">
        <v>47</v>
      </c>
      <c r="C4954">
        <v>20.57</v>
      </c>
      <c r="D4954">
        <v>21.16</v>
      </c>
      <c r="E4954">
        <v>20.2</v>
      </c>
      <c r="F4954">
        <v>20.260000000000002</v>
      </c>
      <c r="G4954">
        <v>20.475000000000001</v>
      </c>
      <c r="H4954">
        <v>0.05</v>
      </c>
      <c r="I4954">
        <v>414</v>
      </c>
      <c r="J4954">
        <v>0</v>
      </c>
      <c r="K4954">
        <v>6094</v>
      </c>
      <c r="L4954">
        <v>186</v>
      </c>
      <c r="M4954">
        <v>264</v>
      </c>
      <c r="N4954" t="s">
        <v>47</v>
      </c>
      <c r="O4954" s="3">
        <v>44153</v>
      </c>
      <c r="P4954">
        <v>-1</v>
      </c>
      <c r="T4954" t="s">
        <v>25</v>
      </c>
      <c r="U4954">
        <v>188</v>
      </c>
      <c r="V4954">
        <v>26.75</v>
      </c>
    </row>
    <row r="4955" spans="1:22" x14ac:dyDescent="0.35">
      <c r="A4955" s="3">
        <v>43889</v>
      </c>
      <c r="B4955" t="s">
        <v>52</v>
      </c>
      <c r="C4955">
        <v>21.15</v>
      </c>
      <c r="D4955">
        <v>22.3</v>
      </c>
      <c r="E4955">
        <v>20.27</v>
      </c>
      <c r="F4955">
        <v>20.350000000000001</v>
      </c>
      <c r="G4955">
        <v>20.375</v>
      </c>
      <c r="H4955">
        <v>-0.55000000000000004</v>
      </c>
      <c r="I4955">
        <v>43406</v>
      </c>
      <c r="J4955">
        <v>0</v>
      </c>
      <c r="K4955">
        <v>28076</v>
      </c>
      <c r="L4955">
        <v>77</v>
      </c>
      <c r="M4955">
        <v>110</v>
      </c>
      <c r="N4955" t="s">
        <v>52</v>
      </c>
      <c r="O4955" s="3">
        <v>43999</v>
      </c>
      <c r="P4955">
        <v>-1</v>
      </c>
      <c r="S4955" s="3">
        <v>44586</v>
      </c>
      <c r="T4955" t="s">
        <v>32</v>
      </c>
      <c r="U4955">
        <v>16</v>
      </c>
      <c r="V4955">
        <v>28.1645</v>
      </c>
    </row>
    <row r="4956" spans="1:22" x14ac:dyDescent="0.35">
      <c r="A4956" s="3">
        <v>43889</v>
      </c>
      <c r="B4956" t="s">
        <v>49</v>
      </c>
      <c r="C4956">
        <v>20</v>
      </c>
      <c r="D4956">
        <v>20.8</v>
      </c>
      <c r="E4956">
        <v>19.489999999999998</v>
      </c>
      <c r="F4956">
        <v>19.52</v>
      </c>
      <c r="G4956">
        <v>19.625</v>
      </c>
      <c r="H4956">
        <v>-0.17499999999999999</v>
      </c>
      <c r="I4956">
        <v>5252</v>
      </c>
      <c r="J4956">
        <v>0</v>
      </c>
      <c r="K4956">
        <v>8989</v>
      </c>
      <c r="L4956">
        <v>141</v>
      </c>
      <c r="M4956">
        <v>201</v>
      </c>
      <c r="N4956" t="s">
        <v>49</v>
      </c>
      <c r="O4956" s="3">
        <v>44090</v>
      </c>
      <c r="P4956">
        <v>-1</v>
      </c>
      <c r="T4956" t="s">
        <v>31</v>
      </c>
      <c r="U4956">
        <v>34</v>
      </c>
      <c r="V4956">
        <v>27.731300000000001</v>
      </c>
    </row>
    <row r="4957" spans="1:22" x14ac:dyDescent="0.35">
      <c r="A4957" s="3">
        <v>43889</v>
      </c>
      <c r="B4957" t="s">
        <v>54</v>
      </c>
      <c r="C4957">
        <v>23.75</v>
      </c>
      <c r="D4957">
        <v>25.7</v>
      </c>
      <c r="E4957">
        <v>22.9</v>
      </c>
      <c r="F4957">
        <v>23</v>
      </c>
      <c r="G4957">
        <v>23.024999999999999</v>
      </c>
      <c r="H4957">
        <v>-0.5</v>
      </c>
      <c r="I4957">
        <v>252493</v>
      </c>
      <c r="J4957">
        <v>2985</v>
      </c>
      <c r="K4957">
        <v>121789</v>
      </c>
      <c r="L4957">
        <v>33</v>
      </c>
      <c r="M4957">
        <v>47</v>
      </c>
      <c r="N4957" t="s">
        <v>54</v>
      </c>
      <c r="O4957" s="3">
        <v>43936</v>
      </c>
      <c r="P4957">
        <v>-1</v>
      </c>
      <c r="T4957" t="s">
        <v>30</v>
      </c>
      <c r="U4957">
        <v>60</v>
      </c>
      <c r="V4957">
        <v>27.210699999999999</v>
      </c>
    </row>
    <row r="4958" spans="1:22" x14ac:dyDescent="0.35">
      <c r="A4958" s="3">
        <v>43889</v>
      </c>
      <c r="B4958" t="s">
        <v>50</v>
      </c>
      <c r="C4958">
        <v>19.920000000000002</v>
      </c>
      <c r="D4958">
        <v>20.95</v>
      </c>
      <c r="E4958">
        <v>19.5</v>
      </c>
      <c r="F4958">
        <v>19.53</v>
      </c>
      <c r="G4958">
        <v>19.625</v>
      </c>
      <c r="H4958">
        <v>-0.22500000000000001</v>
      </c>
      <c r="I4958">
        <v>14920</v>
      </c>
      <c r="J4958">
        <v>0</v>
      </c>
      <c r="K4958">
        <v>15380</v>
      </c>
      <c r="L4958">
        <v>122</v>
      </c>
      <c r="M4958">
        <v>173</v>
      </c>
      <c r="N4958" t="s">
        <v>50</v>
      </c>
      <c r="O4958" s="3">
        <v>44062</v>
      </c>
      <c r="P4958">
        <v>-1</v>
      </c>
      <c r="T4958" t="s">
        <v>29</v>
      </c>
      <c r="U4958">
        <v>80</v>
      </c>
      <c r="V4958">
        <v>26.904199999999999</v>
      </c>
    </row>
    <row r="4959" spans="1:22" x14ac:dyDescent="0.35">
      <c r="A4959" s="3">
        <v>43889</v>
      </c>
      <c r="B4959" t="s">
        <v>55</v>
      </c>
      <c r="C4959">
        <v>26.65</v>
      </c>
      <c r="D4959">
        <v>30.05</v>
      </c>
      <c r="E4959">
        <v>25.69</v>
      </c>
      <c r="F4959">
        <v>26.1</v>
      </c>
      <c r="G4959">
        <v>26.324999999999999</v>
      </c>
      <c r="H4959">
        <v>0.05</v>
      </c>
      <c r="I4959">
        <v>407721</v>
      </c>
      <c r="J4959">
        <v>5574</v>
      </c>
      <c r="K4959">
        <v>192263</v>
      </c>
      <c r="L4959">
        <v>13</v>
      </c>
      <c r="M4959">
        <v>19</v>
      </c>
      <c r="N4959" t="s">
        <v>55</v>
      </c>
      <c r="O4959" s="3">
        <v>43908</v>
      </c>
      <c r="P4959">
        <v>-1</v>
      </c>
      <c r="T4959" t="s">
        <v>28</v>
      </c>
      <c r="U4959">
        <v>99</v>
      </c>
      <c r="V4959">
        <v>26.751799999999999</v>
      </c>
    </row>
    <row r="4960" spans="1:22" x14ac:dyDescent="0.35">
      <c r="A4960" s="3">
        <v>43888</v>
      </c>
      <c r="B4960" t="s">
        <v>54</v>
      </c>
      <c r="C4960">
        <v>21</v>
      </c>
      <c r="D4960">
        <v>23.72</v>
      </c>
      <c r="E4960">
        <v>20.77</v>
      </c>
      <c r="F4960">
        <v>23.62</v>
      </c>
      <c r="G4960">
        <v>23.524999999999999</v>
      </c>
      <c r="H4960">
        <v>2.5499999999999998</v>
      </c>
      <c r="I4960">
        <v>211311</v>
      </c>
      <c r="J4960">
        <v>4177</v>
      </c>
      <c r="K4960">
        <v>112875</v>
      </c>
      <c r="L4960">
        <v>34</v>
      </c>
      <c r="M4960">
        <v>48</v>
      </c>
      <c r="N4960" t="s">
        <v>54</v>
      </c>
      <c r="O4960" s="3">
        <v>43936</v>
      </c>
      <c r="P4960">
        <v>-1</v>
      </c>
      <c r="T4960" t="s">
        <v>22</v>
      </c>
      <c r="U4960">
        <v>123</v>
      </c>
      <c r="V4960">
        <v>26.922599999999999</v>
      </c>
    </row>
    <row r="4961" spans="1:22" x14ac:dyDescent="0.35">
      <c r="A4961" s="3">
        <v>43888</v>
      </c>
      <c r="B4961" t="s">
        <v>50</v>
      </c>
      <c r="C4961">
        <v>19.149999999999999</v>
      </c>
      <c r="D4961">
        <v>20.12</v>
      </c>
      <c r="E4961">
        <v>18.98</v>
      </c>
      <c r="F4961">
        <v>20</v>
      </c>
      <c r="G4961">
        <v>19.850000000000001</v>
      </c>
      <c r="H4961">
        <v>0.77500000000000002</v>
      </c>
      <c r="I4961">
        <v>9174</v>
      </c>
      <c r="J4961">
        <v>0</v>
      </c>
      <c r="K4961">
        <v>15439</v>
      </c>
      <c r="L4961">
        <v>123</v>
      </c>
      <c r="M4961">
        <v>174</v>
      </c>
      <c r="N4961" t="s">
        <v>50</v>
      </c>
      <c r="O4961" s="3">
        <v>44062</v>
      </c>
      <c r="P4961">
        <v>-1</v>
      </c>
      <c r="T4961" t="s">
        <v>26</v>
      </c>
      <c r="U4961">
        <v>143</v>
      </c>
      <c r="V4961">
        <v>26.85</v>
      </c>
    </row>
    <row r="4962" spans="1:22" x14ac:dyDescent="0.35">
      <c r="A4962" s="3">
        <v>43888</v>
      </c>
      <c r="B4962" t="s">
        <v>55</v>
      </c>
      <c r="C4962">
        <v>22.5</v>
      </c>
      <c r="D4962">
        <v>26.75</v>
      </c>
      <c r="E4962">
        <v>22.05</v>
      </c>
      <c r="F4962">
        <v>26.6</v>
      </c>
      <c r="G4962">
        <v>26.274999999999999</v>
      </c>
      <c r="H4962">
        <v>3.95</v>
      </c>
      <c r="I4962">
        <v>404373</v>
      </c>
      <c r="J4962">
        <v>9753</v>
      </c>
      <c r="K4962">
        <v>202794</v>
      </c>
      <c r="L4962">
        <v>14</v>
      </c>
      <c r="M4962">
        <v>20</v>
      </c>
      <c r="N4962" t="s">
        <v>55</v>
      </c>
      <c r="O4962" s="3">
        <v>43908</v>
      </c>
      <c r="P4962">
        <v>-1</v>
      </c>
      <c r="T4962" t="s">
        <v>27</v>
      </c>
      <c r="U4962">
        <v>167</v>
      </c>
      <c r="V4962">
        <v>27.024999999999999</v>
      </c>
    </row>
    <row r="4963" spans="1:22" x14ac:dyDescent="0.35">
      <c r="A4963" s="3">
        <v>43888</v>
      </c>
      <c r="B4963" t="s">
        <v>51</v>
      </c>
      <c r="C4963">
        <v>19.3</v>
      </c>
      <c r="D4963">
        <v>20.45</v>
      </c>
      <c r="E4963">
        <v>19.100000000000001</v>
      </c>
      <c r="F4963">
        <v>20.39</v>
      </c>
      <c r="G4963">
        <v>20.274999999999999</v>
      </c>
      <c r="H4963">
        <v>1.1000000000000001</v>
      </c>
      <c r="I4963">
        <v>13322</v>
      </c>
      <c r="J4963">
        <v>0</v>
      </c>
      <c r="K4963">
        <v>19554</v>
      </c>
      <c r="L4963">
        <v>103</v>
      </c>
      <c r="M4963">
        <v>146</v>
      </c>
      <c r="N4963" t="s">
        <v>51</v>
      </c>
      <c r="O4963" s="3">
        <v>44034</v>
      </c>
      <c r="P4963">
        <v>-1</v>
      </c>
      <c r="T4963" t="s">
        <v>25</v>
      </c>
      <c r="U4963">
        <v>187</v>
      </c>
      <c r="V4963">
        <v>27.024999999999999</v>
      </c>
    </row>
    <row r="4964" spans="1:22" x14ac:dyDescent="0.35">
      <c r="A4964" s="3">
        <v>43888</v>
      </c>
      <c r="B4964" t="s">
        <v>48</v>
      </c>
      <c r="C4964">
        <v>22.28</v>
      </c>
      <c r="D4964">
        <v>22.9</v>
      </c>
      <c r="E4964">
        <v>22.18</v>
      </c>
      <c r="F4964">
        <v>22.9</v>
      </c>
      <c r="G4964">
        <v>22.75</v>
      </c>
      <c r="H4964">
        <v>0.55000000000000004</v>
      </c>
      <c r="I4964">
        <v>829</v>
      </c>
      <c r="J4964">
        <v>0</v>
      </c>
      <c r="K4964">
        <v>11742</v>
      </c>
      <c r="L4964">
        <v>167</v>
      </c>
      <c r="M4964">
        <v>237</v>
      </c>
      <c r="N4964" t="s">
        <v>48</v>
      </c>
      <c r="O4964" s="3">
        <v>44125</v>
      </c>
      <c r="P4964">
        <v>-1</v>
      </c>
      <c r="S4964" s="3">
        <v>44587</v>
      </c>
      <c r="T4964" t="s">
        <v>32</v>
      </c>
      <c r="U4964">
        <v>15</v>
      </c>
      <c r="V4964">
        <v>28.632999999999999</v>
      </c>
    </row>
    <row r="4965" spans="1:22" x14ac:dyDescent="0.35">
      <c r="A4965" s="3">
        <v>43888</v>
      </c>
      <c r="B4965" t="s">
        <v>53</v>
      </c>
      <c r="C4965">
        <v>19.850000000000001</v>
      </c>
      <c r="D4965">
        <v>21.97</v>
      </c>
      <c r="E4965">
        <v>19.57</v>
      </c>
      <c r="F4965">
        <v>21.91</v>
      </c>
      <c r="G4965">
        <v>21.774999999999999</v>
      </c>
      <c r="H4965">
        <v>2.0499999999999998</v>
      </c>
      <c r="I4965">
        <v>73070</v>
      </c>
      <c r="J4965">
        <v>0</v>
      </c>
      <c r="K4965">
        <v>48755</v>
      </c>
      <c r="L4965">
        <v>59</v>
      </c>
      <c r="M4965">
        <v>83</v>
      </c>
      <c r="N4965" t="s">
        <v>53</v>
      </c>
      <c r="O4965" s="3">
        <v>43971</v>
      </c>
      <c r="P4965">
        <v>-1</v>
      </c>
      <c r="T4965" t="s">
        <v>31</v>
      </c>
      <c r="U4965">
        <v>33</v>
      </c>
      <c r="V4965">
        <v>28.1099</v>
      </c>
    </row>
    <row r="4966" spans="1:22" x14ac:dyDescent="0.35">
      <c r="A4966" s="3">
        <v>43888</v>
      </c>
      <c r="B4966" t="s">
        <v>47</v>
      </c>
      <c r="C4966">
        <v>20</v>
      </c>
      <c r="D4966">
        <v>20.57</v>
      </c>
      <c r="E4966">
        <v>19.850000000000001</v>
      </c>
      <c r="F4966">
        <v>20.52</v>
      </c>
      <c r="G4966">
        <v>20.425000000000001</v>
      </c>
      <c r="H4966">
        <v>0.6</v>
      </c>
      <c r="I4966">
        <v>199</v>
      </c>
      <c r="J4966">
        <v>0</v>
      </c>
      <c r="K4966">
        <v>6069</v>
      </c>
      <c r="L4966">
        <v>187</v>
      </c>
      <c r="M4966">
        <v>265</v>
      </c>
      <c r="N4966" t="s">
        <v>47</v>
      </c>
      <c r="O4966" s="3">
        <v>44153</v>
      </c>
      <c r="P4966">
        <v>-1</v>
      </c>
      <c r="T4966" t="s">
        <v>30</v>
      </c>
      <c r="U4966">
        <v>59</v>
      </c>
      <c r="V4966">
        <v>27.453199999999999</v>
      </c>
    </row>
    <row r="4967" spans="1:22" x14ac:dyDescent="0.35">
      <c r="A4967" s="3">
        <v>43888</v>
      </c>
      <c r="B4967" t="s">
        <v>52</v>
      </c>
      <c r="C4967">
        <v>19.5</v>
      </c>
      <c r="D4967">
        <v>21.15</v>
      </c>
      <c r="E4967">
        <v>19.3</v>
      </c>
      <c r="F4967">
        <v>21.07</v>
      </c>
      <c r="G4967">
        <v>20.925000000000001</v>
      </c>
      <c r="H4967">
        <v>1.5</v>
      </c>
      <c r="I4967">
        <v>26750</v>
      </c>
      <c r="J4967">
        <v>0</v>
      </c>
      <c r="K4967">
        <v>26233</v>
      </c>
      <c r="L4967">
        <v>78</v>
      </c>
      <c r="M4967">
        <v>111</v>
      </c>
      <c r="N4967" t="s">
        <v>52</v>
      </c>
      <c r="O4967" s="3">
        <v>43999</v>
      </c>
      <c r="P4967">
        <v>-1</v>
      </c>
      <c r="T4967" t="s">
        <v>29</v>
      </c>
      <c r="U4967">
        <v>79</v>
      </c>
      <c r="V4967">
        <v>27.0837</v>
      </c>
    </row>
    <row r="4968" spans="1:22" x14ac:dyDescent="0.35">
      <c r="A4968" s="3">
        <v>43888</v>
      </c>
      <c r="B4968" t="s">
        <v>49</v>
      </c>
      <c r="C4968">
        <v>19.29</v>
      </c>
      <c r="D4968">
        <v>20.05</v>
      </c>
      <c r="E4968">
        <v>19.12</v>
      </c>
      <c r="F4968">
        <v>19.91</v>
      </c>
      <c r="G4968">
        <v>19.8</v>
      </c>
      <c r="H4968">
        <v>0.57499999999999996</v>
      </c>
      <c r="I4968">
        <v>3269</v>
      </c>
      <c r="J4968">
        <v>0</v>
      </c>
      <c r="K4968">
        <v>8181</v>
      </c>
      <c r="L4968">
        <v>142</v>
      </c>
      <c r="M4968">
        <v>202</v>
      </c>
      <c r="N4968" t="s">
        <v>49</v>
      </c>
      <c r="O4968" s="3">
        <v>44090</v>
      </c>
      <c r="P4968">
        <v>-1</v>
      </c>
      <c r="T4968" t="s">
        <v>28</v>
      </c>
      <c r="U4968">
        <v>98</v>
      </c>
      <c r="V4968">
        <v>26.836099999999998</v>
      </c>
    </row>
    <row r="4969" spans="1:22" x14ac:dyDescent="0.35">
      <c r="A4969" s="3">
        <v>43887</v>
      </c>
      <c r="B4969" t="s">
        <v>51</v>
      </c>
      <c r="C4969">
        <v>19</v>
      </c>
      <c r="D4969">
        <v>19.37</v>
      </c>
      <c r="E4969">
        <v>18.63</v>
      </c>
      <c r="F4969">
        <v>19.22</v>
      </c>
      <c r="G4969">
        <v>19.175000000000001</v>
      </c>
      <c r="H4969">
        <v>0.1</v>
      </c>
      <c r="I4969">
        <v>12736</v>
      </c>
      <c r="J4969">
        <v>0</v>
      </c>
      <c r="K4969">
        <v>18905</v>
      </c>
      <c r="L4969">
        <v>104</v>
      </c>
      <c r="M4969">
        <v>147</v>
      </c>
      <c r="N4969" t="s">
        <v>51</v>
      </c>
      <c r="O4969" s="3">
        <v>44034</v>
      </c>
      <c r="P4969">
        <v>-1</v>
      </c>
      <c r="T4969" t="s">
        <v>22</v>
      </c>
      <c r="U4969">
        <v>122</v>
      </c>
      <c r="V4969">
        <v>27.039100000000001</v>
      </c>
    </row>
    <row r="4970" spans="1:22" x14ac:dyDescent="0.35">
      <c r="A4970" s="3">
        <v>43887</v>
      </c>
      <c r="B4970" t="s">
        <v>48</v>
      </c>
      <c r="C4970">
        <v>21.85</v>
      </c>
      <c r="D4970">
        <v>22.3</v>
      </c>
      <c r="E4970">
        <v>21.64</v>
      </c>
      <c r="F4970">
        <v>22.2</v>
      </c>
      <c r="G4970">
        <v>22.2</v>
      </c>
      <c r="H4970">
        <v>0.17499999999999999</v>
      </c>
      <c r="I4970">
        <v>1132</v>
      </c>
      <c r="J4970">
        <v>0</v>
      </c>
      <c r="K4970">
        <v>11718</v>
      </c>
      <c r="L4970">
        <v>168</v>
      </c>
      <c r="M4970">
        <v>238</v>
      </c>
      <c r="N4970" t="s">
        <v>48</v>
      </c>
      <c r="O4970" s="3">
        <v>44125</v>
      </c>
      <c r="P4970">
        <v>-1</v>
      </c>
      <c r="T4970" t="s">
        <v>26</v>
      </c>
      <c r="U4970">
        <v>142</v>
      </c>
      <c r="V4970">
        <v>26.925000000000001</v>
      </c>
    </row>
    <row r="4971" spans="1:22" x14ac:dyDescent="0.35">
      <c r="A4971" s="3">
        <v>43887</v>
      </c>
      <c r="B4971" t="s">
        <v>53</v>
      </c>
      <c r="C4971">
        <v>19.45</v>
      </c>
      <c r="D4971">
        <v>20</v>
      </c>
      <c r="E4971">
        <v>18.95</v>
      </c>
      <c r="F4971">
        <v>19.77</v>
      </c>
      <c r="G4971">
        <v>19.725000000000001</v>
      </c>
      <c r="H4971">
        <v>0.15</v>
      </c>
      <c r="I4971">
        <v>54232</v>
      </c>
      <c r="J4971">
        <v>0</v>
      </c>
      <c r="K4971">
        <v>36954</v>
      </c>
      <c r="L4971">
        <v>60</v>
      </c>
      <c r="M4971">
        <v>84</v>
      </c>
      <c r="N4971" t="s">
        <v>53</v>
      </c>
      <c r="O4971" s="3">
        <v>43971</v>
      </c>
      <c r="P4971">
        <v>-1</v>
      </c>
      <c r="T4971" t="s">
        <v>27</v>
      </c>
      <c r="U4971">
        <v>166</v>
      </c>
      <c r="V4971">
        <v>27.125</v>
      </c>
    </row>
    <row r="4972" spans="1:22" x14ac:dyDescent="0.35">
      <c r="A4972" s="3">
        <v>43887</v>
      </c>
      <c r="B4972" t="s">
        <v>47</v>
      </c>
      <c r="C4972">
        <v>19.45</v>
      </c>
      <c r="D4972">
        <v>19.899999999999999</v>
      </c>
      <c r="E4972">
        <v>19.440000000000001</v>
      </c>
      <c r="F4972">
        <v>19.850000000000001</v>
      </c>
      <c r="G4972">
        <v>19.824999999999999</v>
      </c>
      <c r="H4972">
        <v>7.4999999999999997E-2</v>
      </c>
      <c r="I4972">
        <v>219</v>
      </c>
      <c r="J4972">
        <v>0</v>
      </c>
      <c r="K4972">
        <v>6040</v>
      </c>
      <c r="L4972">
        <v>188</v>
      </c>
      <c r="M4972">
        <v>266</v>
      </c>
      <c r="N4972" t="s">
        <v>47</v>
      </c>
      <c r="O4972" s="3">
        <v>44153</v>
      </c>
      <c r="P4972">
        <v>-1</v>
      </c>
      <c r="T4972" t="s">
        <v>25</v>
      </c>
      <c r="U4972">
        <v>186</v>
      </c>
      <c r="V4972">
        <v>27.2</v>
      </c>
    </row>
    <row r="4973" spans="1:22" x14ac:dyDescent="0.35">
      <c r="A4973" s="3">
        <v>43887</v>
      </c>
      <c r="B4973" t="s">
        <v>52</v>
      </c>
      <c r="C4973">
        <v>19.149999999999999</v>
      </c>
      <c r="D4973">
        <v>19.649999999999999</v>
      </c>
      <c r="E4973">
        <v>18.77</v>
      </c>
      <c r="F4973">
        <v>19.47</v>
      </c>
      <c r="G4973">
        <v>19.425000000000001</v>
      </c>
      <c r="H4973">
        <v>0.15</v>
      </c>
      <c r="I4973">
        <v>27392</v>
      </c>
      <c r="J4973">
        <v>0</v>
      </c>
      <c r="K4973">
        <v>24479</v>
      </c>
      <c r="L4973">
        <v>79</v>
      </c>
      <c r="M4973">
        <v>112</v>
      </c>
      <c r="N4973" t="s">
        <v>52</v>
      </c>
      <c r="O4973" s="3">
        <v>43999</v>
      </c>
      <c r="P4973">
        <v>-1</v>
      </c>
      <c r="S4973" s="3">
        <v>44588</v>
      </c>
      <c r="T4973" t="s">
        <v>32</v>
      </c>
      <c r="U4973">
        <v>14</v>
      </c>
      <c r="V4973">
        <v>28.8263</v>
      </c>
    </row>
    <row r="4974" spans="1:22" x14ac:dyDescent="0.35">
      <c r="A4974" s="3">
        <v>43887</v>
      </c>
      <c r="B4974" t="s">
        <v>49</v>
      </c>
      <c r="C4974">
        <v>19.02</v>
      </c>
      <c r="D4974">
        <v>19.3</v>
      </c>
      <c r="E4974">
        <v>18.68</v>
      </c>
      <c r="F4974">
        <v>19.2</v>
      </c>
      <c r="G4974">
        <v>19.225000000000001</v>
      </c>
      <c r="H4974">
        <v>0.15</v>
      </c>
      <c r="I4974">
        <v>2683</v>
      </c>
      <c r="J4974">
        <v>0</v>
      </c>
      <c r="K4974">
        <v>8134</v>
      </c>
      <c r="L4974">
        <v>143</v>
      </c>
      <c r="M4974">
        <v>203</v>
      </c>
      <c r="N4974" t="s">
        <v>49</v>
      </c>
      <c r="O4974" s="3">
        <v>44090</v>
      </c>
      <c r="P4974">
        <v>-1</v>
      </c>
      <c r="T4974" t="s">
        <v>31</v>
      </c>
      <c r="U4974">
        <v>32</v>
      </c>
      <c r="V4974">
        <v>28.486000000000001</v>
      </c>
    </row>
    <row r="4975" spans="1:22" x14ac:dyDescent="0.35">
      <c r="A4975" s="3">
        <v>43887</v>
      </c>
      <c r="B4975" t="s">
        <v>54</v>
      </c>
      <c r="C4975">
        <v>20.75</v>
      </c>
      <c r="D4975">
        <v>21.46</v>
      </c>
      <c r="E4975">
        <v>19.98</v>
      </c>
      <c r="F4975">
        <v>21.03</v>
      </c>
      <c r="G4975">
        <v>20.975000000000001</v>
      </c>
      <c r="H4975">
        <v>0.1</v>
      </c>
      <c r="I4975">
        <v>149257</v>
      </c>
      <c r="J4975">
        <v>305</v>
      </c>
      <c r="K4975">
        <v>101495</v>
      </c>
      <c r="L4975">
        <v>35</v>
      </c>
      <c r="M4975">
        <v>49</v>
      </c>
      <c r="N4975" t="s">
        <v>54</v>
      </c>
      <c r="O4975" s="3">
        <v>43936</v>
      </c>
      <c r="P4975">
        <v>-1</v>
      </c>
      <c r="T4975" t="s">
        <v>30</v>
      </c>
      <c r="U4975">
        <v>58</v>
      </c>
      <c r="V4975">
        <v>27.757899999999999</v>
      </c>
    </row>
    <row r="4976" spans="1:22" x14ac:dyDescent="0.35">
      <c r="A4976" s="3">
        <v>43887</v>
      </c>
      <c r="B4976" t="s">
        <v>50</v>
      </c>
      <c r="C4976">
        <v>18.899999999999999</v>
      </c>
      <c r="D4976">
        <v>19.2</v>
      </c>
      <c r="E4976">
        <v>18.55</v>
      </c>
      <c r="F4976">
        <v>19.11</v>
      </c>
      <c r="G4976">
        <v>19.074999999999999</v>
      </c>
      <c r="H4976">
        <v>0.1</v>
      </c>
      <c r="I4976">
        <v>6073</v>
      </c>
      <c r="J4976">
        <v>0</v>
      </c>
      <c r="K4976">
        <v>14746</v>
      </c>
      <c r="L4976">
        <v>124</v>
      </c>
      <c r="M4976">
        <v>175</v>
      </c>
      <c r="N4976" t="s">
        <v>50</v>
      </c>
      <c r="O4976" s="3">
        <v>44062</v>
      </c>
      <c r="P4976">
        <v>-1</v>
      </c>
      <c r="T4976" t="s">
        <v>29</v>
      </c>
      <c r="U4976">
        <v>78</v>
      </c>
      <c r="V4976">
        <v>27.317799999999998</v>
      </c>
    </row>
    <row r="4977" spans="1:22" x14ac:dyDescent="0.35">
      <c r="A4977" s="3">
        <v>43887</v>
      </c>
      <c r="B4977" t="s">
        <v>55</v>
      </c>
      <c r="C4977">
        <v>22</v>
      </c>
      <c r="D4977">
        <v>23.25</v>
      </c>
      <c r="E4977">
        <v>20.88</v>
      </c>
      <c r="F4977">
        <v>22.45</v>
      </c>
      <c r="G4977">
        <v>22.324999999999999</v>
      </c>
      <c r="H4977">
        <v>0.1</v>
      </c>
      <c r="I4977">
        <v>311932</v>
      </c>
      <c r="J4977">
        <v>917</v>
      </c>
      <c r="K4977">
        <v>192883</v>
      </c>
      <c r="L4977">
        <v>15</v>
      </c>
      <c r="M4977">
        <v>21</v>
      </c>
      <c r="N4977" t="s">
        <v>55</v>
      </c>
      <c r="O4977" s="3">
        <v>43908</v>
      </c>
      <c r="P4977">
        <v>-1</v>
      </c>
      <c r="T4977" t="s">
        <v>28</v>
      </c>
      <c r="U4977">
        <v>97</v>
      </c>
      <c r="V4977">
        <v>27.034700000000001</v>
      </c>
    </row>
    <row r="4978" spans="1:22" x14ac:dyDescent="0.35">
      <c r="A4978" s="3">
        <v>43886</v>
      </c>
      <c r="B4978" t="s">
        <v>54</v>
      </c>
      <c r="C4978">
        <v>19.5</v>
      </c>
      <c r="D4978">
        <v>21.35</v>
      </c>
      <c r="E4978">
        <v>18.5</v>
      </c>
      <c r="F4978">
        <v>20.67</v>
      </c>
      <c r="G4978">
        <v>20.875</v>
      </c>
      <c r="H4978">
        <v>1.5</v>
      </c>
      <c r="I4978">
        <v>203553</v>
      </c>
      <c r="J4978">
        <v>2562</v>
      </c>
      <c r="K4978">
        <v>98514</v>
      </c>
      <c r="L4978">
        <v>36</v>
      </c>
      <c r="M4978">
        <v>50</v>
      </c>
      <c r="N4978" t="s">
        <v>54</v>
      </c>
      <c r="O4978" s="3">
        <v>43936</v>
      </c>
      <c r="P4978">
        <v>-1</v>
      </c>
      <c r="T4978" t="s">
        <v>22</v>
      </c>
      <c r="U4978">
        <v>121</v>
      </c>
      <c r="V4978">
        <v>27.121400000000001</v>
      </c>
    </row>
    <row r="4979" spans="1:22" x14ac:dyDescent="0.35">
      <c r="A4979" s="3">
        <v>43886</v>
      </c>
      <c r="B4979" t="s">
        <v>50</v>
      </c>
      <c r="C4979">
        <v>18.350000000000001</v>
      </c>
      <c r="D4979">
        <v>19.239999999999998</v>
      </c>
      <c r="E4979">
        <v>17.95</v>
      </c>
      <c r="F4979">
        <v>18.899999999999999</v>
      </c>
      <c r="G4979">
        <v>18.975000000000001</v>
      </c>
      <c r="H4979">
        <v>0.65</v>
      </c>
      <c r="I4979">
        <v>9294</v>
      </c>
      <c r="J4979">
        <v>0</v>
      </c>
      <c r="K4979">
        <v>15070</v>
      </c>
      <c r="L4979">
        <v>125</v>
      </c>
      <c r="M4979">
        <v>176</v>
      </c>
      <c r="N4979" t="s">
        <v>50</v>
      </c>
      <c r="O4979" s="3">
        <v>44062</v>
      </c>
      <c r="P4979">
        <v>-1</v>
      </c>
      <c r="T4979" t="s">
        <v>26</v>
      </c>
      <c r="U4979">
        <v>141</v>
      </c>
      <c r="V4979">
        <v>26.95</v>
      </c>
    </row>
    <row r="4980" spans="1:22" x14ac:dyDescent="0.35">
      <c r="A4980" s="3">
        <v>43886</v>
      </c>
      <c r="B4980" t="s">
        <v>55</v>
      </c>
      <c r="C4980">
        <v>20.3</v>
      </c>
      <c r="D4980">
        <v>23.15</v>
      </c>
      <c r="E4980">
        <v>18.850000000000001</v>
      </c>
      <c r="F4980">
        <v>21.95</v>
      </c>
      <c r="G4980">
        <v>22.225000000000001</v>
      </c>
      <c r="H4980">
        <v>2.15</v>
      </c>
      <c r="I4980">
        <v>419935</v>
      </c>
      <c r="J4980">
        <v>10268</v>
      </c>
      <c r="K4980">
        <v>210503</v>
      </c>
      <c r="L4980">
        <v>16</v>
      </c>
      <c r="M4980">
        <v>22</v>
      </c>
      <c r="N4980" t="s">
        <v>55</v>
      </c>
      <c r="O4980" s="3">
        <v>43908</v>
      </c>
      <c r="P4980">
        <v>-1</v>
      </c>
      <c r="T4980" t="s">
        <v>27</v>
      </c>
      <c r="U4980">
        <v>165</v>
      </c>
      <c r="V4980">
        <v>27.225000000000001</v>
      </c>
    </row>
    <row r="4981" spans="1:22" x14ac:dyDescent="0.35">
      <c r="A4981" s="3">
        <v>43886</v>
      </c>
      <c r="B4981" t="s">
        <v>51</v>
      </c>
      <c r="C4981">
        <v>18.399999999999999</v>
      </c>
      <c r="D4981">
        <v>19.37</v>
      </c>
      <c r="E4981">
        <v>17.93</v>
      </c>
      <c r="F4981">
        <v>19.02</v>
      </c>
      <c r="G4981">
        <v>19.074999999999999</v>
      </c>
      <c r="H4981">
        <v>0.7</v>
      </c>
      <c r="I4981">
        <v>11535</v>
      </c>
      <c r="J4981">
        <v>0</v>
      </c>
      <c r="K4981">
        <v>17943</v>
      </c>
      <c r="L4981">
        <v>105</v>
      </c>
      <c r="M4981">
        <v>148</v>
      </c>
      <c r="N4981" t="s">
        <v>51</v>
      </c>
      <c r="O4981" s="3">
        <v>44034</v>
      </c>
      <c r="P4981">
        <v>-1</v>
      </c>
      <c r="T4981" t="s">
        <v>25</v>
      </c>
      <c r="U4981">
        <v>185</v>
      </c>
      <c r="V4981">
        <v>27.25</v>
      </c>
    </row>
    <row r="4982" spans="1:22" x14ac:dyDescent="0.35">
      <c r="A4982" s="3">
        <v>43886</v>
      </c>
      <c r="B4982" t="s">
        <v>48</v>
      </c>
      <c r="C4982">
        <v>21.15</v>
      </c>
      <c r="D4982">
        <v>22.27</v>
      </c>
      <c r="E4982">
        <v>21</v>
      </c>
      <c r="F4982">
        <v>21.9</v>
      </c>
      <c r="G4982">
        <v>22.024999999999999</v>
      </c>
      <c r="H4982">
        <v>0.7</v>
      </c>
      <c r="I4982">
        <v>1438</v>
      </c>
      <c r="J4982">
        <v>0</v>
      </c>
      <c r="K4982">
        <v>11452</v>
      </c>
      <c r="L4982">
        <v>169</v>
      </c>
      <c r="M4982">
        <v>239</v>
      </c>
      <c r="N4982" t="s">
        <v>48</v>
      </c>
      <c r="O4982" s="3">
        <v>44125</v>
      </c>
      <c r="P4982">
        <v>-1</v>
      </c>
      <c r="S4982" s="3">
        <v>44589</v>
      </c>
      <c r="T4982" t="s">
        <v>32</v>
      </c>
      <c r="U4982">
        <v>13</v>
      </c>
      <c r="V4982">
        <v>26.8734</v>
      </c>
    </row>
    <row r="4983" spans="1:22" x14ac:dyDescent="0.35">
      <c r="A4983" s="3">
        <v>43886</v>
      </c>
      <c r="B4983" t="s">
        <v>53</v>
      </c>
      <c r="C4983">
        <v>18.45</v>
      </c>
      <c r="D4983">
        <v>20</v>
      </c>
      <c r="E4983">
        <v>17.77</v>
      </c>
      <c r="F4983">
        <v>19.45</v>
      </c>
      <c r="G4983">
        <v>19.574999999999999</v>
      </c>
      <c r="H4983">
        <v>1.1499999999999999</v>
      </c>
      <c r="I4983">
        <v>89305</v>
      </c>
      <c r="J4983">
        <v>0</v>
      </c>
      <c r="K4983">
        <v>38177</v>
      </c>
      <c r="L4983">
        <v>61</v>
      </c>
      <c r="M4983">
        <v>85</v>
      </c>
      <c r="N4983" t="s">
        <v>53</v>
      </c>
      <c r="O4983" s="3">
        <v>43971</v>
      </c>
      <c r="P4983">
        <v>-1</v>
      </c>
      <c r="T4983" t="s">
        <v>31</v>
      </c>
      <c r="U4983">
        <v>31</v>
      </c>
      <c r="V4983">
        <v>27.049299999999999</v>
      </c>
    </row>
    <row r="4984" spans="1:22" x14ac:dyDescent="0.35">
      <c r="A4984" s="3">
        <v>43886</v>
      </c>
      <c r="B4984" t="s">
        <v>47</v>
      </c>
      <c r="C4984">
        <v>18.8</v>
      </c>
      <c r="D4984">
        <v>19.899999999999999</v>
      </c>
      <c r="E4984">
        <v>18.8</v>
      </c>
      <c r="F4984">
        <v>19.8</v>
      </c>
      <c r="G4984">
        <v>19.75</v>
      </c>
      <c r="H4984">
        <v>0.6</v>
      </c>
      <c r="I4984">
        <v>449</v>
      </c>
      <c r="J4984">
        <v>0</v>
      </c>
      <c r="K4984">
        <v>5982</v>
      </c>
      <c r="L4984">
        <v>189</v>
      </c>
      <c r="M4984">
        <v>267</v>
      </c>
      <c r="N4984" t="s">
        <v>47</v>
      </c>
      <c r="O4984" s="3">
        <v>44153</v>
      </c>
      <c r="P4984">
        <v>-1</v>
      </c>
      <c r="T4984" t="s">
        <v>30</v>
      </c>
      <c r="U4984">
        <v>57</v>
      </c>
      <c r="V4984">
        <v>26.680700000000002</v>
      </c>
    </row>
    <row r="4985" spans="1:22" x14ac:dyDescent="0.35">
      <c r="A4985" s="3">
        <v>43886</v>
      </c>
      <c r="B4985" t="s">
        <v>52</v>
      </c>
      <c r="C4985">
        <v>18.399999999999999</v>
      </c>
      <c r="D4985">
        <v>19.649999999999999</v>
      </c>
      <c r="E4985">
        <v>17.87</v>
      </c>
      <c r="F4985">
        <v>19.18</v>
      </c>
      <c r="G4985">
        <v>19.274999999999999</v>
      </c>
      <c r="H4985">
        <v>0.9</v>
      </c>
      <c r="I4985">
        <v>28722</v>
      </c>
      <c r="J4985">
        <v>0</v>
      </c>
      <c r="K4985">
        <v>26414</v>
      </c>
      <c r="L4985">
        <v>80</v>
      </c>
      <c r="M4985">
        <v>113</v>
      </c>
      <c r="N4985" t="s">
        <v>52</v>
      </c>
      <c r="O4985" s="3">
        <v>43999</v>
      </c>
      <c r="P4985">
        <v>-1</v>
      </c>
      <c r="T4985" t="s">
        <v>29</v>
      </c>
      <c r="U4985">
        <v>77</v>
      </c>
      <c r="V4985">
        <v>26.3675</v>
      </c>
    </row>
    <row r="4986" spans="1:22" x14ac:dyDescent="0.35">
      <c r="A4986" s="3">
        <v>43886</v>
      </c>
      <c r="B4986" t="s">
        <v>49</v>
      </c>
      <c r="C4986">
        <v>18.5</v>
      </c>
      <c r="D4986">
        <v>19.309999999999999</v>
      </c>
      <c r="E4986">
        <v>18.149999999999999</v>
      </c>
      <c r="F4986">
        <v>18.97</v>
      </c>
      <c r="G4986">
        <v>19.074999999999999</v>
      </c>
      <c r="H4986">
        <v>0.625</v>
      </c>
      <c r="I4986">
        <v>3114</v>
      </c>
      <c r="J4986">
        <v>0</v>
      </c>
      <c r="K4986">
        <v>7999</v>
      </c>
      <c r="L4986">
        <v>144</v>
      </c>
      <c r="M4986">
        <v>204</v>
      </c>
      <c r="N4986" t="s">
        <v>49</v>
      </c>
      <c r="O4986" s="3">
        <v>44090</v>
      </c>
      <c r="P4986">
        <v>-1</v>
      </c>
      <c r="T4986" t="s">
        <v>28</v>
      </c>
      <c r="U4986">
        <v>96</v>
      </c>
      <c r="V4986">
        <v>26.124300000000002</v>
      </c>
    </row>
    <row r="4987" spans="1:22" x14ac:dyDescent="0.35">
      <c r="A4987" s="3">
        <v>43885</v>
      </c>
      <c r="B4987" t="s">
        <v>51</v>
      </c>
      <c r="C4987">
        <v>17.600000000000001</v>
      </c>
      <c r="D4987">
        <v>18.72</v>
      </c>
      <c r="E4987">
        <v>17.5</v>
      </c>
      <c r="F4987">
        <v>18.3</v>
      </c>
      <c r="G4987">
        <v>18.375</v>
      </c>
      <c r="H4987">
        <v>0.85</v>
      </c>
      <c r="I4987">
        <v>12363</v>
      </c>
      <c r="J4987">
        <v>0</v>
      </c>
      <c r="K4987">
        <v>16516</v>
      </c>
      <c r="L4987">
        <v>106</v>
      </c>
      <c r="M4987">
        <v>149</v>
      </c>
      <c r="N4987" t="s">
        <v>51</v>
      </c>
      <c r="O4987" s="3">
        <v>44034</v>
      </c>
      <c r="P4987">
        <v>-1</v>
      </c>
      <c r="T4987" t="s">
        <v>22</v>
      </c>
      <c r="U4987">
        <v>120</v>
      </c>
      <c r="V4987">
        <v>26.398</v>
      </c>
    </row>
    <row r="4988" spans="1:22" x14ac:dyDescent="0.35">
      <c r="A4988" s="3">
        <v>43885</v>
      </c>
      <c r="B4988" t="s">
        <v>48</v>
      </c>
      <c r="C4988">
        <v>20.75</v>
      </c>
      <c r="D4988">
        <v>21.58</v>
      </c>
      <c r="E4988">
        <v>20.6</v>
      </c>
      <c r="F4988">
        <v>21.37</v>
      </c>
      <c r="G4988">
        <v>21.324999999999999</v>
      </c>
      <c r="H4988">
        <v>0.72499999999999998</v>
      </c>
      <c r="I4988">
        <v>1357</v>
      </c>
      <c r="J4988">
        <v>0</v>
      </c>
      <c r="K4988">
        <v>11096</v>
      </c>
      <c r="L4988">
        <v>170</v>
      </c>
      <c r="M4988">
        <v>240</v>
      </c>
      <c r="N4988" t="s">
        <v>48</v>
      </c>
      <c r="O4988" s="3">
        <v>44125</v>
      </c>
      <c r="P4988">
        <v>-1</v>
      </c>
      <c r="T4988" t="s">
        <v>26</v>
      </c>
      <c r="U4988">
        <v>140</v>
      </c>
      <c r="V4988">
        <v>26.284500000000001</v>
      </c>
    </row>
    <row r="4989" spans="1:22" x14ac:dyDescent="0.35">
      <c r="A4989" s="3">
        <v>43885</v>
      </c>
      <c r="B4989" t="s">
        <v>53</v>
      </c>
      <c r="C4989">
        <v>17.5</v>
      </c>
      <c r="D4989">
        <v>18.71</v>
      </c>
      <c r="E4989">
        <v>17.38</v>
      </c>
      <c r="F4989">
        <v>18.399999999999999</v>
      </c>
      <c r="G4989">
        <v>18.425000000000001</v>
      </c>
      <c r="H4989">
        <v>1.25</v>
      </c>
      <c r="I4989">
        <v>43430</v>
      </c>
      <c r="J4989">
        <v>0</v>
      </c>
      <c r="K4989">
        <v>37034</v>
      </c>
      <c r="L4989">
        <v>62</v>
      </c>
      <c r="M4989">
        <v>86</v>
      </c>
      <c r="N4989" t="s">
        <v>53</v>
      </c>
      <c r="O4989" s="3">
        <v>43971</v>
      </c>
      <c r="P4989">
        <v>-1</v>
      </c>
      <c r="T4989" t="s">
        <v>27</v>
      </c>
      <c r="U4989">
        <v>164</v>
      </c>
      <c r="V4989">
        <v>26.574999999999999</v>
      </c>
    </row>
    <row r="4990" spans="1:22" x14ac:dyDescent="0.35">
      <c r="A4990" s="3">
        <v>43885</v>
      </c>
      <c r="B4990" t="s">
        <v>47</v>
      </c>
      <c r="C4990">
        <v>18.809999999999999</v>
      </c>
      <c r="D4990">
        <v>19.350000000000001</v>
      </c>
      <c r="E4990">
        <v>18.8</v>
      </c>
      <c r="F4990">
        <v>19.2</v>
      </c>
      <c r="G4990">
        <v>19.149999999999999</v>
      </c>
      <c r="H4990">
        <v>0.67500000000000004</v>
      </c>
      <c r="I4990">
        <v>236</v>
      </c>
      <c r="J4990">
        <v>0</v>
      </c>
      <c r="K4990">
        <v>5790</v>
      </c>
      <c r="L4990">
        <v>190</v>
      </c>
      <c r="M4990">
        <v>268</v>
      </c>
      <c r="N4990" t="s">
        <v>47</v>
      </c>
      <c r="O4990" s="3">
        <v>44153</v>
      </c>
      <c r="P4990">
        <v>-1</v>
      </c>
      <c r="T4990" t="s">
        <v>25</v>
      </c>
      <c r="U4990">
        <v>184</v>
      </c>
      <c r="V4990">
        <v>26.75</v>
      </c>
    </row>
    <row r="4991" spans="1:22" x14ac:dyDescent="0.35">
      <c r="A4991" s="3">
        <v>43885</v>
      </c>
      <c r="B4991" t="s">
        <v>52</v>
      </c>
      <c r="C4991">
        <v>17.600000000000001</v>
      </c>
      <c r="D4991">
        <v>18.72</v>
      </c>
      <c r="E4991">
        <v>17.52</v>
      </c>
      <c r="F4991">
        <v>18.37</v>
      </c>
      <c r="G4991">
        <v>18.375</v>
      </c>
      <c r="H4991">
        <v>1</v>
      </c>
      <c r="I4991">
        <v>25746</v>
      </c>
      <c r="J4991">
        <v>0</v>
      </c>
      <c r="K4991">
        <v>24562</v>
      </c>
      <c r="L4991">
        <v>81</v>
      </c>
      <c r="M4991">
        <v>114</v>
      </c>
      <c r="N4991" t="s">
        <v>52</v>
      </c>
      <c r="O4991" s="3">
        <v>43999</v>
      </c>
      <c r="P4991">
        <v>-1</v>
      </c>
      <c r="S4991" s="3">
        <v>44591</v>
      </c>
      <c r="T4991" t="s">
        <v>32</v>
      </c>
      <c r="U4991">
        <v>12</v>
      </c>
      <c r="V4991">
        <v>26.8734</v>
      </c>
    </row>
    <row r="4992" spans="1:22" x14ac:dyDescent="0.35">
      <c r="A4992" s="3">
        <v>43885</v>
      </c>
      <c r="B4992" t="s">
        <v>49</v>
      </c>
      <c r="C4992">
        <v>17.8</v>
      </c>
      <c r="D4992">
        <v>18.8</v>
      </c>
      <c r="E4992">
        <v>17.8</v>
      </c>
      <c r="F4992">
        <v>18.45</v>
      </c>
      <c r="G4992">
        <v>18.45</v>
      </c>
      <c r="H4992">
        <v>0.67500000000000004</v>
      </c>
      <c r="I4992">
        <v>2565</v>
      </c>
      <c r="J4992">
        <v>0</v>
      </c>
      <c r="K4992">
        <v>7572</v>
      </c>
      <c r="L4992">
        <v>145</v>
      </c>
      <c r="M4992">
        <v>205</v>
      </c>
      <c r="N4992" t="s">
        <v>49</v>
      </c>
      <c r="O4992" s="3">
        <v>44090</v>
      </c>
      <c r="P4992">
        <v>-1</v>
      </c>
      <c r="T4992" t="s">
        <v>31</v>
      </c>
      <c r="U4992">
        <v>30</v>
      </c>
      <c r="V4992">
        <v>27.049299999999999</v>
      </c>
    </row>
    <row r="4993" spans="1:22" x14ac:dyDescent="0.35">
      <c r="A4993" s="3">
        <v>43885</v>
      </c>
      <c r="B4993" t="s">
        <v>54</v>
      </c>
      <c r="C4993">
        <v>17.75</v>
      </c>
      <c r="D4993">
        <v>19.71</v>
      </c>
      <c r="E4993">
        <v>17.75</v>
      </c>
      <c r="F4993">
        <v>19.399999999999999</v>
      </c>
      <c r="G4993">
        <v>19.375</v>
      </c>
      <c r="H4993">
        <v>2.0499999999999998</v>
      </c>
      <c r="I4993">
        <v>157264</v>
      </c>
      <c r="J4993">
        <v>1327</v>
      </c>
      <c r="K4993">
        <v>90463</v>
      </c>
      <c r="L4993">
        <v>37</v>
      </c>
      <c r="M4993">
        <v>51</v>
      </c>
      <c r="N4993" t="s">
        <v>54</v>
      </c>
      <c r="O4993" s="3">
        <v>43936</v>
      </c>
      <c r="P4993">
        <v>-1</v>
      </c>
      <c r="T4993" t="s">
        <v>30</v>
      </c>
      <c r="U4993">
        <v>56</v>
      </c>
      <c r="V4993">
        <v>26.680700000000002</v>
      </c>
    </row>
    <row r="4994" spans="1:22" x14ac:dyDescent="0.35">
      <c r="A4994" s="3">
        <v>43885</v>
      </c>
      <c r="B4994" t="s">
        <v>50</v>
      </c>
      <c r="C4994">
        <v>17.7</v>
      </c>
      <c r="D4994">
        <v>18.670000000000002</v>
      </c>
      <c r="E4994">
        <v>17.55</v>
      </c>
      <c r="F4994">
        <v>18.3</v>
      </c>
      <c r="G4994">
        <v>18.324999999999999</v>
      </c>
      <c r="H4994">
        <v>0.75</v>
      </c>
      <c r="I4994">
        <v>9075</v>
      </c>
      <c r="J4994">
        <v>0</v>
      </c>
      <c r="K4994">
        <v>13701</v>
      </c>
      <c r="L4994">
        <v>126</v>
      </c>
      <c r="M4994">
        <v>177</v>
      </c>
      <c r="N4994" t="s">
        <v>50</v>
      </c>
      <c r="O4994" s="3">
        <v>44062</v>
      </c>
      <c r="P4994">
        <v>-1</v>
      </c>
      <c r="T4994" t="s">
        <v>29</v>
      </c>
      <c r="U4994">
        <v>76</v>
      </c>
      <c r="V4994">
        <v>26.3675</v>
      </c>
    </row>
    <row r="4995" spans="1:22" x14ac:dyDescent="0.35">
      <c r="A4995" s="3">
        <v>43885</v>
      </c>
      <c r="B4995" t="s">
        <v>55</v>
      </c>
      <c r="C4995">
        <v>17.899999999999999</v>
      </c>
      <c r="D4995">
        <v>20.7</v>
      </c>
      <c r="E4995">
        <v>17.850000000000001</v>
      </c>
      <c r="F4995">
        <v>20.149999999999999</v>
      </c>
      <c r="G4995">
        <v>20.074999999999999</v>
      </c>
      <c r="H4995">
        <v>3.15</v>
      </c>
      <c r="I4995">
        <v>386934</v>
      </c>
      <c r="J4995">
        <v>7533</v>
      </c>
      <c r="K4995">
        <v>233328</v>
      </c>
      <c r="L4995">
        <v>17</v>
      </c>
      <c r="M4995">
        <v>23</v>
      </c>
      <c r="N4995" t="s">
        <v>55</v>
      </c>
      <c r="O4995" s="3">
        <v>43908</v>
      </c>
      <c r="P4995">
        <v>-1</v>
      </c>
      <c r="T4995" t="s">
        <v>28</v>
      </c>
      <c r="U4995">
        <v>95</v>
      </c>
      <c r="V4995">
        <v>26.124300000000002</v>
      </c>
    </row>
    <row r="4996" spans="1:22" x14ac:dyDescent="0.35">
      <c r="A4996" s="3">
        <v>43882</v>
      </c>
      <c r="B4996" t="s">
        <v>54</v>
      </c>
      <c r="C4996">
        <v>16.850000000000001</v>
      </c>
      <c r="D4996">
        <v>17.75</v>
      </c>
      <c r="E4996">
        <v>16.82</v>
      </c>
      <c r="F4996">
        <v>17.329999999999998</v>
      </c>
      <c r="G4996">
        <v>17.324999999999999</v>
      </c>
      <c r="H4996">
        <v>0.5</v>
      </c>
      <c r="I4996">
        <v>91594</v>
      </c>
      <c r="J4996">
        <v>380</v>
      </c>
      <c r="K4996">
        <v>80557</v>
      </c>
      <c r="L4996">
        <v>38</v>
      </c>
      <c r="M4996">
        <v>54</v>
      </c>
      <c r="N4996" t="s">
        <v>54</v>
      </c>
      <c r="O4996" s="3">
        <v>43936</v>
      </c>
      <c r="P4996">
        <v>-1</v>
      </c>
      <c r="T4996" t="s">
        <v>22</v>
      </c>
      <c r="U4996">
        <v>119</v>
      </c>
      <c r="V4996">
        <v>26.398</v>
      </c>
    </row>
    <row r="4997" spans="1:22" x14ac:dyDescent="0.35">
      <c r="A4997" s="3">
        <v>43882</v>
      </c>
      <c r="B4997" t="s">
        <v>50</v>
      </c>
      <c r="C4997">
        <v>17.41</v>
      </c>
      <c r="D4997">
        <v>17.75</v>
      </c>
      <c r="E4997">
        <v>17.399999999999999</v>
      </c>
      <c r="F4997">
        <v>17.52</v>
      </c>
      <c r="G4997">
        <v>17.574999999999999</v>
      </c>
      <c r="H4997">
        <v>0.2</v>
      </c>
      <c r="I4997">
        <v>3372</v>
      </c>
      <c r="J4997">
        <v>0</v>
      </c>
      <c r="K4997">
        <v>11420</v>
      </c>
      <c r="L4997">
        <v>127</v>
      </c>
      <c r="M4997">
        <v>180</v>
      </c>
      <c r="N4997" t="s">
        <v>50</v>
      </c>
      <c r="O4997" s="3">
        <v>44062</v>
      </c>
      <c r="P4997">
        <v>-1</v>
      </c>
      <c r="T4997" t="s">
        <v>26</v>
      </c>
      <c r="U4997">
        <v>139</v>
      </c>
      <c r="V4997">
        <v>26.284500000000001</v>
      </c>
    </row>
    <row r="4998" spans="1:22" x14ac:dyDescent="0.35">
      <c r="A4998" s="3">
        <v>43882</v>
      </c>
      <c r="B4998" t="s">
        <v>55</v>
      </c>
      <c r="C4998">
        <v>16.2</v>
      </c>
      <c r="D4998">
        <v>17.55</v>
      </c>
      <c r="E4998">
        <v>16.13</v>
      </c>
      <c r="F4998">
        <v>17.05</v>
      </c>
      <c r="G4998">
        <v>16.925000000000001</v>
      </c>
      <c r="H4998">
        <v>0.85</v>
      </c>
      <c r="I4998">
        <v>217234</v>
      </c>
      <c r="J4998">
        <v>3424</v>
      </c>
      <c r="K4998">
        <v>217530</v>
      </c>
      <c r="L4998">
        <v>18</v>
      </c>
      <c r="M4998">
        <v>26</v>
      </c>
      <c r="N4998" t="s">
        <v>55</v>
      </c>
      <c r="O4998" s="3">
        <v>43908</v>
      </c>
      <c r="P4998">
        <v>-1</v>
      </c>
      <c r="T4998" t="s">
        <v>27</v>
      </c>
      <c r="U4998">
        <v>163</v>
      </c>
      <c r="V4998">
        <v>26.574999999999999</v>
      </c>
    </row>
    <row r="4999" spans="1:22" x14ac:dyDescent="0.35">
      <c r="A4999" s="3">
        <v>43882</v>
      </c>
      <c r="B4999" t="s">
        <v>51</v>
      </c>
      <c r="C4999">
        <v>17.399999999999999</v>
      </c>
      <c r="D4999">
        <v>17.73</v>
      </c>
      <c r="E4999">
        <v>17.350000000000001</v>
      </c>
      <c r="F4999">
        <v>17.48</v>
      </c>
      <c r="G4999">
        <v>17.524999999999999</v>
      </c>
      <c r="H4999">
        <v>0.2</v>
      </c>
      <c r="I4999">
        <v>7009</v>
      </c>
      <c r="J4999">
        <v>0</v>
      </c>
      <c r="K4999">
        <v>15451</v>
      </c>
      <c r="L4999">
        <v>107</v>
      </c>
      <c r="M4999">
        <v>152</v>
      </c>
      <c r="N4999" t="s">
        <v>51</v>
      </c>
      <c r="O4999" s="3">
        <v>44034</v>
      </c>
      <c r="P4999">
        <v>-1</v>
      </c>
      <c r="T4999" t="s">
        <v>25</v>
      </c>
      <c r="U4999">
        <v>183</v>
      </c>
      <c r="V4999">
        <v>26.75</v>
      </c>
    </row>
    <row r="5000" spans="1:22" x14ac:dyDescent="0.35">
      <c r="A5000" s="3">
        <v>43882</v>
      </c>
      <c r="B5000" t="s">
        <v>48</v>
      </c>
      <c r="C5000">
        <v>20.2</v>
      </c>
      <c r="D5000">
        <v>20.68</v>
      </c>
      <c r="E5000">
        <v>20.14</v>
      </c>
      <c r="F5000">
        <v>20.55</v>
      </c>
      <c r="G5000">
        <v>20.6</v>
      </c>
      <c r="H5000">
        <v>0.47499999999999998</v>
      </c>
      <c r="I5000">
        <v>2028</v>
      </c>
      <c r="J5000">
        <v>0</v>
      </c>
      <c r="K5000">
        <v>10740</v>
      </c>
      <c r="L5000">
        <v>171</v>
      </c>
      <c r="M5000">
        <v>243</v>
      </c>
      <c r="N5000" t="s">
        <v>48</v>
      </c>
      <c r="O5000" s="3">
        <v>44125</v>
      </c>
      <c r="P5000">
        <v>-1</v>
      </c>
      <c r="S5000" s="3">
        <v>44592</v>
      </c>
      <c r="T5000" t="s">
        <v>32</v>
      </c>
      <c r="U5000">
        <v>12</v>
      </c>
      <c r="V5000">
        <v>24.8523</v>
      </c>
    </row>
    <row r="5001" spans="1:22" x14ac:dyDescent="0.35">
      <c r="A5001" s="3">
        <v>43882</v>
      </c>
      <c r="B5001" t="s">
        <v>53</v>
      </c>
      <c r="C5001">
        <v>16.850000000000001</v>
      </c>
      <c r="D5001">
        <v>17.45</v>
      </c>
      <c r="E5001">
        <v>16.850000000000001</v>
      </c>
      <c r="F5001">
        <v>17.09</v>
      </c>
      <c r="G5001">
        <v>17.175000000000001</v>
      </c>
      <c r="H5001">
        <v>0.35</v>
      </c>
      <c r="I5001">
        <v>31355</v>
      </c>
      <c r="J5001">
        <v>5000</v>
      </c>
      <c r="K5001">
        <v>35202</v>
      </c>
      <c r="L5001">
        <v>63</v>
      </c>
      <c r="M5001">
        <v>89</v>
      </c>
      <c r="N5001" t="s">
        <v>53</v>
      </c>
      <c r="O5001" s="3">
        <v>43971</v>
      </c>
      <c r="P5001">
        <v>-1</v>
      </c>
      <c r="T5001" t="s">
        <v>31</v>
      </c>
      <c r="U5001">
        <v>30</v>
      </c>
      <c r="V5001">
        <v>25.544799999999999</v>
      </c>
    </row>
    <row r="5002" spans="1:22" x14ac:dyDescent="0.35">
      <c r="A5002" s="3">
        <v>43882</v>
      </c>
      <c r="B5002" t="s">
        <v>47</v>
      </c>
      <c r="C5002">
        <v>18.05</v>
      </c>
      <c r="D5002">
        <v>18.600000000000001</v>
      </c>
      <c r="E5002">
        <v>18.05</v>
      </c>
      <c r="F5002">
        <v>18.489999999999998</v>
      </c>
      <c r="G5002">
        <v>18.475000000000001</v>
      </c>
      <c r="H5002">
        <v>0.35</v>
      </c>
      <c r="I5002">
        <v>534</v>
      </c>
      <c r="J5002">
        <v>0</v>
      </c>
      <c r="K5002">
        <v>5712</v>
      </c>
      <c r="L5002">
        <v>191</v>
      </c>
      <c r="M5002">
        <v>271</v>
      </c>
      <c r="N5002" t="s">
        <v>47</v>
      </c>
      <c r="O5002" s="3">
        <v>44153</v>
      </c>
      <c r="P5002">
        <v>-1</v>
      </c>
      <c r="T5002" t="s">
        <v>30</v>
      </c>
      <c r="U5002">
        <v>56</v>
      </c>
      <c r="V5002">
        <v>25.6447</v>
      </c>
    </row>
    <row r="5003" spans="1:22" x14ac:dyDescent="0.35">
      <c r="A5003" s="3">
        <v>43882</v>
      </c>
      <c r="B5003" t="s">
        <v>52</v>
      </c>
      <c r="C5003">
        <v>17.170000000000002</v>
      </c>
      <c r="D5003">
        <v>17.61</v>
      </c>
      <c r="E5003">
        <v>17.170000000000002</v>
      </c>
      <c r="F5003">
        <v>17.309999999999999</v>
      </c>
      <c r="G5003">
        <v>17.375</v>
      </c>
      <c r="H5003">
        <v>0.2</v>
      </c>
      <c r="I5003">
        <v>9645</v>
      </c>
      <c r="J5003">
        <v>0</v>
      </c>
      <c r="K5003">
        <v>23731</v>
      </c>
      <c r="L5003">
        <v>82</v>
      </c>
      <c r="M5003">
        <v>117</v>
      </c>
      <c r="N5003" t="s">
        <v>52</v>
      </c>
      <c r="O5003" s="3">
        <v>43999</v>
      </c>
      <c r="P5003">
        <v>-1</v>
      </c>
      <c r="T5003" t="s">
        <v>29</v>
      </c>
      <c r="U5003">
        <v>76</v>
      </c>
      <c r="V5003">
        <v>25.575900000000001</v>
      </c>
    </row>
    <row r="5004" spans="1:22" x14ac:dyDescent="0.35">
      <c r="A5004" s="3">
        <v>43882</v>
      </c>
      <c r="B5004" t="s">
        <v>49</v>
      </c>
      <c r="C5004">
        <v>17.649999999999999</v>
      </c>
      <c r="D5004">
        <v>17.95</v>
      </c>
      <c r="E5004">
        <v>17.55</v>
      </c>
      <c r="F5004">
        <v>17.75</v>
      </c>
      <c r="G5004">
        <v>17.774999999999999</v>
      </c>
      <c r="H5004">
        <v>0.2</v>
      </c>
      <c r="I5004">
        <v>2211</v>
      </c>
      <c r="J5004">
        <v>0</v>
      </c>
      <c r="K5004">
        <v>7254</v>
      </c>
      <c r="L5004">
        <v>146</v>
      </c>
      <c r="M5004">
        <v>208</v>
      </c>
      <c r="N5004" t="s">
        <v>49</v>
      </c>
      <c r="O5004" s="3">
        <v>44090</v>
      </c>
      <c r="P5004">
        <v>-1</v>
      </c>
      <c r="T5004" t="s">
        <v>28</v>
      </c>
      <c r="U5004">
        <v>95</v>
      </c>
      <c r="V5004">
        <v>25.4985</v>
      </c>
    </row>
    <row r="5005" spans="1:22" x14ac:dyDescent="0.35">
      <c r="A5005" s="3">
        <v>43881</v>
      </c>
      <c r="B5005" t="s">
        <v>51</v>
      </c>
      <c r="C5005">
        <v>17.100000000000001</v>
      </c>
      <c r="D5005">
        <v>17.55</v>
      </c>
      <c r="E5005">
        <v>17.05</v>
      </c>
      <c r="F5005">
        <v>17.38</v>
      </c>
      <c r="G5005">
        <v>17.324999999999999</v>
      </c>
      <c r="H5005">
        <v>0.2</v>
      </c>
      <c r="I5005">
        <v>4493</v>
      </c>
      <c r="J5005">
        <v>0</v>
      </c>
      <c r="K5005">
        <v>14571</v>
      </c>
      <c r="L5005">
        <v>108</v>
      </c>
      <c r="M5005">
        <v>153</v>
      </c>
      <c r="N5005" t="s">
        <v>51</v>
      </c>
      <c r="O5005" s="3">
        <v>44034</v>
      </c>
      <c r="P5005">
        <v>-1</v>
      </c>
      <c r="T5005" t="s">
        <v>22</v>
      </c>
      <c r="U5005">
        <v>119</v>
      </c>
      <c r="V5005">
        <v>25.8277</v>
      </c>
    </row>
    <row r="5006" spans="1:22" x14ac:dyDescent="0.35">
      <c r="A5006" s="3">
        <v>43881</v>
      </c>
      <c r="B5006" t="s">
        <v>48</v>
      </c>
      <c r="C5006">
        <v>19.899999999999999</v>
      </c>
      <c r="D5006">
        <v>20.25</v>
      </c>
      <c r="E5006">
        <v>19.850000000000001</v>
      </c>
      <c r="F5006">
        <v>20.079999999999998</v>
      </c>
      <c r="G5006">
        <v>20.125</v>
      </c>
      <c r="H5006">
        <v>0.25</v>
      </c>
      <c r="I5006">
        <v>732</v>
      </c>
      <c r="J5006">
        <v>0</v>
      </c>
      <c r="K5006">
        <v>9881</v>
      </c>
      <c r="L5006">
        <v>172</v>
      </c>
      <c r="M5006">
        <v>244</v>
      </c>
      <c r="N5006" t="s">
        <v>48</v>
      </c>
      <c r="O5006" s="3">
        <v>44125</v>
      </c>
      <c r="P5006">
        <v>-1</v>
      </c>
      <c r="T5006" t="s">
        <v>26</v>
      </c>
      <c r="U5006">
        <v>139</v>
      </c>
      <c r="V5006">
        <v>25.75</v>
      </c>
    </row>
    <row r="5007" spans="1:22" x14ac:dyDescent="0.35">
      <c r="A5007" s="3">
        <v>43881</v>
      </c>
      <c r="B5007" t="s">
        <v>53</v>
      </c>
      <c r="C5007">
        <v>16.45</v>
      </c>
      <c r="D5007">
        <v>17.079999999999998</v>
      </c>
      <c r="E5007">
        <v>16.399999999999999</v>
      </c>
      <c r="F5007">
        <v>16.86</v>
      </c>
      <c r="G5007">
        <v>16.824999999999999</v>
      </c>
      <c r="H5007">
        <v>0.3</v>
      </c>
      <c r="I5007">
        <v>23712</v>
      </c>
      <c r="J5007">
        <v>0</v>
      </c>
      <c r="K5007">
        <v>34396</v>
      </c>
      <c r="L5007">
        <v>64</v>
      </c>
      <c r="M5007">
        <v>90</v>
      </c>
      <c r="N5007" t="s">
        <v>53</v>
      </c>
      <c r="O5007" s="3">
        <v>43971</v>
      </c>
      <c r="P5007">
        <v>-1</v>
      </c>
      <c r="T5007" t="s">
        <v>27</v>
      </c>
      <c r="U5007">
        <v>163</v>
      </c>
      <c r="V5007">
        <v>26.05</v>
      </c>
    </row>
    <row r="5008" spans="1:22" x14ac:dyDescent="0.35">
      <c r="A5008" s="3">
        <v>43881</v>
      </c>
      <c r="B5008" t="s">
        <v>47</v>
      </c>
      <c r="C5008">
        <v>18.07</v>
      </c>
      <c r="D5008">
        <v>18.16</v>
      </c>
      <c r="E5008">
        <v>18</v>
      </c>
      <c r="F5008">
        <v>18.100000000000001</v>
      </c>
      <c r="G5008">
        <v>18.125</v>
      </c>
      <c r="H5008">
        <v>0.15</v>
      </c>
      <c r="I5008">
        <v>212</v>
      </c>
      <c r="J5008">
        <v>0</v>
      </c>
      <c r="K5008">
        <v>5489</v>
      </c>
      <c r="L5008">
        <v>192</v>
      </c>
      <c r="M5008">
        <v>272</v>
      </c>
      <c r="N5008" t="s">
        <v>47</v>
      </c>
      <c r="O5008" s="3">
        <v>44153</v>
      </c>
      <c r="P5008">
        <v>-1</v>
      </c>
      <c r="T5008" t="s">
        <v>25</v>
      </c>
      <c r="U5008">
        <v>183</v>
      </c>
      <c r="V5008">
        <v>26.2</v>
      </c>
    </row>
    <row r="5009" spans="1:22" x14ac:dyDescent="0.35">
      <c r="A5009" s="3">
        <v>43881</v>
      </c>
      <c r="B5009" t="s">
        <v>52</v>
      </c>
      <c r="C5009">
        <v>16.87</v>
      </c>
      <c r="D5009">
        <v>17.38</v>
      </c>
      <c r="E5009">
        <v>16.809999999999999</v>
      </c>
      <c r="F5009">
        <v>17.170000000000002</v>
      </c>
      <c r="G5009">
        <v>17.175000000000001</v>
      </c>
      <c r="H5009">
        <v>0.25</v>
      </c>
      <c r="I5009">
        <v>9048</v>
      </c>
      <c r="J5009">
        <v>0</v>
      </c>
      <c r="K5009">
        <v>24225</v>
      </c>
      <c r="L5009">
        <v>83</v>
      </c>
      <c r="M5009">
        <v>118</v>
      </c>
      <c r="N5009" t="s">
        <v>52</v>
      </c>
      <c r="O5009" s="3">
        <v>43999</v>
      </c>
      <c r="P5009">
        <v>-1</v>
      </c>
      <c r="S5009" s="3">
        <v>44593</v>
      </c>
      <c r="T5009" t="s">
        <v>32</v>
      </c>
      <c r="U5009">
        <v>11</v>
      </c>
      <c r="V5009">
        <v>22.745799999999999</v>
      </c>
    </row>
    <row r="5010" spans="1:22" x14ac:dyDescent="0.35">
      <c r="A5010" s="3">
        <v>43881</v>
      </c>
      <c r="B5010" t="s">
        <v>49</v>
      </c>
      <c r="C5010">
        <v>17.350000000000001</v>
      </c>
      <c r="D5010">
        <v>17.71</v>
      </c>
      <c r="E5010">
        <v>17.3</v>
      </c>
      <c r="F5010">
        <v>17.600000000000001</v>
      </c>
      <c r="G5010">
        <v>17.574999999999999</v>
      </c>
      <c r="H5010">
        <v>0.2</v>
      </c>
      <c r="I5010">
        <v>1251</v>
      </c>
      <c r="J5010">
        <v>0</v>
      </c>
      <c r="K5010">
        <v>7051</v>
      </c>
      <c r="L5010">
        <v>147</v>
      </c>
      <c r="M5010">
        <v>209</v>
      </c>
      <c r="N5010" t="s">
        <v>49</v>
      </c>
      <c r="O5010" s="3">
        <v>44090</v>
      </c>
      <c r="P5010">
        <v>-1</v>
      </c>
      <c r="T5010" t="s">
        <v>31</v>
      </c>
      <c r="U5010">
        <v>29</v>
      </c>
      <c r="V5010">
        <v>23.906099999999999</v>
      </c>
    </row>
    <row r="5011" spans="1:22" x14ac:dyDescent="0.35">
      <c r="A5011" s="3">
        <v>43881</v>
      </c>
      <c r="B5011" t="s">
        <v>54</v>
      </c>
      <c r="C5011">
        <v>16.25</v>
      </c>
      <c r="D5011">
        <v>17.07</v>
      </c>
      <c r="E5011">
        <v>16.100000000000001</v>
      </c>
      <c r="F5011">
        <v>16.899999999999999</v>
      </c>
      <c r="G5011">
        <v>16.824999999999999</v>
      </c>
      <c r="H5011">
        <v>0.5</v>
      </c>
      <c r="I5011">
        <v>83633</v>
      </c>
      <c r="J5011">
        <v>25</v>
      </c>
      <c r="K5011">
        <v>73621</v>
      </c>
      <c r="L5011">
        <v>39</v>
      </c>
      <c r="M5011">
        <v>55</v>
      </c>
      <c r="N5011" t="s">
        <v>54</v>
      </c>
      <c r="O5011" s="3">
        <v>43936</v>
      </c>
      <c r="P5011">
        <v>-1</v>
      </c>
      <c r="T5011" t="s">
        <v>30</v>
      </c>
      <c r="U5011">
        <v>55</v>
      </c>
      <c r="V5011">
        <v>24.453499999999998</v>
      </c>
    </row>
    <row r="5012" spans="1:22" x14ac:dyDescent="0.35">
      <c r="A5012" s="3">
        <v>43881</v>
      </c>
      <c r="B5012" t="s">
        <v>50</v>
      </c>
      <c r="C5012">
        <v>17.14</v>
      </c>
      <c r="D5012">
        <v>17.559999999999999</v>
      </c>
      <c r="E5012">
        <v>17.11</v>
      </c>
      <c r="F5012">
        <v>17.38</v>
      </c>
      <c r="G5012">
        <v>17.375</v>
      </c>
      <c r="H5012">
        <v>0.15</v>
      </c>
      <c r="I5012">
        <v>2893</v>
      </c>
      <c r="J5012">
        <v>0</v>
      </c>
      <c r="K5012">
        <v>11224</v>
      </c>
      <c r="L5012">
        <v>128</v>
      </c>
      <c r="M5012">
        <v>181</v>
      </c>
      <c r="N5012" t="s">
        <v>50</v>
      </c>
      <c r="O5012" s="3">
        <v>44062</v>
      </c>
      <c r="P5012">
        <v>-1</v>
      </c>
      <c r="T5012" t="s">
        <v>29</v>
      </c>
      <c r="U5012">
        <v>75</v>
      </c>
      <c r="V5012">
        <v>24.590399999999999</v>
      </c>
    </row>
    <row r="5013" spans="1:22" x14ac:dyDescent="0.35">
      <c r="A5013" s="3">
        <v>43881</v>
      </c>
      <c r="B5013" t="s">
        <v>55</v>
      </c>
      <c r="C5013">
        <v>15.35</v>
      </c>
      <c r="D5013">
        <v>16.600000000000001</v>
      </c>
      <c r="E5013">
        <v>15.25</v>
      </c>
      <c r="F5013">
        <v>16.2</v>
      </c>
      <c r="G5013">
        <v>16.074999999999999</v>
      </c>
      <c r="H5013">
        <v>0.7</v>
      </c>
      <c r="I5013">
        <v>182698</v>
      </c>
      <c r="J5013">
        <v>475</v>
      </c>
      <c r="K5013">
        <v>218534</v>
      </c>
      <c r="L5013">
        <v>19</v>
      </c>
      <c r="M5013">
        <v>27</v>
      </c>
      <c r="N5013" t="s">
        <v>55</v>
      </c>
      <c r="O5013" s="3">
        <v>43908</v>
      </c>
      <c r="P5013">
        <v>-1</v>
      </c>
      <c r="T5013" t="s">
        <v>28</v>
      </c>
      <c r="U5013">
        <v>94</v>
      </c>
      <c r="V5013">
        <v>24.698899999999998</v>
      </c>
    </row>
    <row r="5014" spans="1:22" x14ac:dyDescent="0.35">
      <c r="A5014" s="3">
        <v>43880</v>
      </c>
      <c r="B5014" t="s">
        <v>54</v>
      </c>
      <c r="C5014">
        <v>16.55</v>
      </c>
      <c r="D5014">
        <v>16.55</v>
      </c>
      <c r="E5014">
        <v>16.2</v>
      </c>
      <c r="F5014">
        <v>16.27</v>
      </c>
      <c r="G5014">
        <v>16.324999999999999</v>
      </c>
      <c r="H5014">
        <v>-0.2</v>
      </c>
      <c r="I5014">
        <v>61761</v>
      </c>
      <c r="J5014">
        <v>0</v>
      </c>
      <c r="K5014">
        <v>65658</v>
      </c>
      <c r="L5014">
        <v>40</v>
      </c>
      <c r="M5014">
        <v>56</v>
      </c>
      <c r="N5014" t="s">
        <v>54</v>
      </c>
      <c r="O5014" s="3">
        <v>43936</v>
      </c>
      <c r="P5014">
        <v>-1</v>
      </c>
      <c r="T5014" t="s">
        <v>22</v>
      </c>
      <c r="U5014">
        <v>118</v>
      </c>
      <c r="V5014">
        <v>25.104900000000001</v>
      </c>
    </row>
    <row r="5015" spans="1:22" x14ac:dyDescent="0.35">
      <c r="A5015" s="3">
        <v>43880</v>
      </c>
      <c r="B5015" t="s">
        <v>50</v>
      </c>
      <c r="C5015">
        <v>17.260000000000002</v>
      </c>
      <c r="D5015">
        <v>17.260000000000002</v>
      </c>
      <c r="E5015">
        <v>17.07</v>
      </c>
      <c r="F5015">
        <v>17.170000000000002</v>
      </c>
      <c r="G5015">
        <v>17.225000000000001</v>
      </c>
      <c r="H5015">
        <v>-0.05</v>
      </c>
      <c r="I5015">
        <v>1876</v>
      </c>
      <c r="J5015">
        <v>0</v>
      </c>
      <c r="K5015">
        <v>11483</v>
      </c>
      <c r="L5015">
        <v>129</v>
      </c>
      <c r="M5015">
        <v>182</v>
      </c>
      <c r="N5015" t="s">
        <v>50</v>
      </c>
      <c r="O5015" s="3">
        <v>44062</v>
      </c>
      <c r="P5015">
        <v>-1</v>
      </c>
      <c r="T5015" t="s">
        <v>26</v>
      </c>
      <c r="U5015">
        <v>138</v>
      </c>
      <c r="V5015">
        <v>25.0962</v>
      </c>
    </row>
    <row r="5016" spans="1:22" x14ac:dyDescent="0.35">
      <c r="A5016" s="3">
        <v>43880</v>
      </c>
      <c r="B5016" t="s">
        <v>55</v>
      </c>
      <c r="C5016">
        <v>15.8</v>
      </c>
      <c r="D5016">
        <v>15.8</v>
      </c>
      <c r="E5016">
        <v>15.3</v>
      </c>
      <c r="F5016">
        <v>15.39</v>
      </c>
      <c r="G5016">
        <v>15.375</v>
      </c>
      <c r="H5016">
        <v>-0.45</v>
      </c>
      <c r="I5016">
        <v>95573</v>
      </c>
      <c r="J5016">
        <v>1614</v>
      </c>
      <c r="K5016">
        <v>224565</v>
      </c>
      <c r="L5016">
        <v>20</v>
      </c>
      <c r="M5016">
        <v>28</v>
      </c>
      <c r="N5016" t="s">
        <v>55</v>
      </c>
      <c r="O5016" s="3">
        <v>43908</v>
      </c>
      <c r="P5016">
        <v>-1</v>
      </c>
      <c r="T5016" t="s">
        <v>27</v>
      </c>
      <c r="U5016">
        <v>162</v>
      </c>
      <c r="V5016">
        <v>25.425000000000001</v>
      </c>
    </row>
    <row r="5017" spans="1:22" x14ac:dyDescent="0.35">
      <c r="A5017" s="3">
        <v>43880</v>
      </c>
      <c r="B5017" t="s">
        <v>51</v>
      </c>
      <c r="C5017">
        <v>17.2</v>
      </c>
      <c r="D5017">
        <v>17.22</v>
      </c>
      <c r="E5017">
        <v>17.03</v>
      </c>
      <c r="F5017">
        <v>17.11</v>
      </c>
      <c r="G5017">
        <v>17.125</v>
      </c>
      <c r="H5017">
        <v>-0.1</v>
      </c>
      <c r="I5017">
        <v>2553</v>
      </c>
      <c r="J5017">
        <v>0</v>
      </c>
      <c r="K5017">
        <v>15208</v>
      </c>
      <c r="L5017">
        <v>109</v>
      </c>
      <c r="M5017">
        <v>154</v>
      </c>
      <c r="N5017" t="s">
        <v>51</v>
      </c>
      <c r="O5017" s="3">
        <v>44034</v>
      </c>
      <c r="P5017">
        <v>-1</v>
      </c>
      <c r="T5017" t="s">
        <v>25</v>
      </c>
      <c r="U5017">
        <v>182</v>
      </c>
      <c r="V5017">
        <v>25.625</v>
      </c>
    </row>
    <row r="5018" spans="1:22" x14ac:dyDescent="0.35">
      <c r="A5018" s="3">
        <v>43880</v>
      </c>
      <c r="B5018" t="s">
        <v>48</v>
      </c>
      <c r="C5018">
        <v>19.86</v>
      </c>
      <c r="D5018">
        <v>19.899999999999999</v>
      </c>
      <c r="E5018">
        <v>19.8</v>
      </c>
      <c r="F5018">
        <v>19.86</v>
      </c>
      <c r="G5018">
        <v>19.875</v>
      </c>
      <c r="H5018">
        <v>-2.5000000000000001E-2</v>
      </c>
      <c r="I5018">
        <v>389</v>
      </c>
      <c r="J5018">
        <v>0</v>
      </c>
      <c r="K5018">
        <v>9590</v>
      </c>
      <c r="L5018">
        <v>173</v>
      </c>
      <c r="M5018">
        <v>245</v>
      </c>
      <c r="N5018" t="s">
        <v>48</v>
      </c>
      <c r="O5018" s="3">
        <v>44125</v>
      </c>
      <c r="P5018">
        <v>-1</v>
      </c>
      <c r="S5018" s="3">
        <v>44594</v>
      </c>
      <c r="T5018" t="s">
        <v>32</v>
      </c>
      <c r="U5018">
        <v>10</v>
      </c>
      <c r="V5018">
        <v>22.0259</v>
      </c>
    </row>
    <row r="5019" spans="1:22" x14ac:dyDescent="0.35">
      <c r="A5019" s="3">
        <v>43880</v>
      </c>
      <c r="B5019" t="s">
        <v>53</v>
      </c>
      <c r="C5019">
        <v>16.649999999999999</v>
      </c>
      <c r="D5019">
        <v>16.7</v>
      </c>
      <c r="E5019">
        <v>16.41</v>
      </c>
      <c r="F5019">
        <v>16.52</v>
      </c>
      <c r="G5019">
        <v>16.524999999999999</v>
      </c>
      <c r="H5019">
        <v>-0.15</v>
      </c>
      <c r="I5019">
        <v>18822</v>
      </c>
      <c r="J5019">
        <v>0</v>
      </c>
      <c r="K5019">
        <v>35847</v>
      </c>
      <c r="L5019">
        <v>65</v>
      </c>
      <c r="M5019">
        <v>91</v>
      </c>
      <c r="N5019" t="s">
        <v>53</v>
      </c>
      <c r="O5019" s="3">
        <v>43971</v>
      </c>
      <c r="P5019">
        <v>-1</v>
      </c>
      <c r="T5019" t="s">
        <v>31</v>
      </c>
      <c r="U5019">
        <v>28</v>
      </c>
      <c r="V5019">
        <v>23.631799999999998</v>
      </c>
    </row>
    <row r="5020" spans="1:22" x14ac:dyDescent="0.35">
      <c r="A5020" s="3">
        <v>43880</v>
      </c>
      <c r="B5020" t="s">
        <v>47</v>
      </c>
      <c r="C5020">
        <v>17.95</v>
      </c>
      <c r="D5020">
        <v>18.05</v>
      </c>
      <c r="E5020">
        <v>17.95</v>
      </c>
      <c r="F5020">
        <v>18</v>
      </c>
      <c r="G5020">
        <v>17.975000000000001</v>
      </c>
      <c r="H5020">
        <v>0</v>
      </c>
      <c r="I5020">
        <v>134</v>
      </c>
      <c r="J5020">
        <v>0</v>
      </c>
      <c r="K5020">
        <v>5384</v>
      </c>
      <c r="L5020">
        <v>193</v>
      </c>
      <c r="M5020">
        <v>273</v>
      </c>
      <c r="N5020" t="s">
        <v>47</v>
      </c>
      <c r="O5020" s="3">
        <v>44153</v>
      </c>
      <c r="P5020">
        <v>-1</v>
      </c>
      <c r="T5020" t="s">
        <v>30</v>
      </c>
      <c r="U5020">
        <v>54</v>
      </c>
      <c r="V5020">
        <v>24.416</v>
      </c>
    </row>
    <row r="5021" spans="1:22" x14ac:dyDescent="0.35">
      <c r="A5021" s="3">
        <v>43880</v>
      </c>
      <c r="B5021" t="s">
        <v>52</v>
      </c>
      <c r="C5021">
        <v>17.02</v>
      </c>
      <c r="D5021">
        <v>17.05</v>
      </c>
      <c r="E5021">
        <v>16.82</v>
      </c>
      <c r="F5021">
        <v>16.88</v>
      </c>
      <c r="G5021">
        <v>16.925000000000001</v>
      </c>
      <c r="H5021">
        <v>-0.1</v>
      </c>
      <c r="I5021">
        <v>6648</v>
      </c>
      <c r="J5021">
        <v>0</v>
      </c>
      <c r="K5021">
        <v>24212</v>
      </c>
      <c r="L5021">
        <v>84</v>
      </c>
      <c r="M5021">
        <v>119</v>
      </c>
      <c r="N5021" t="s">
        <v>52</v>
      </c>
      <c r="O5021" s="3">
        <v>43999</v>
      </c>
      <c r="P5021">
        <v>-1</v>
      </c>
      <c r="T5021" t="s">
        <v>29</v>
      </c>
      <c r="U5021">
        <v>74</v>
      </c>
      <c r="V5021">
        <v>24.715800000000002</v>
      </c>
    </row>
    <row r="5022" spans="1:22" x14ac:dyDescent="0.35">
      <c r="A5022" s="3">
        <v>43880</v>
      </c>
      <c r="B5022" t="s">
        <v>49</v>
      </c>
      <c r="C5022">
        <v>17.440000000000001</v>
      </c>
      <c r="D5022">
        <v>17.440000000000001</v>
      </c>
      <c r="E5022">
        <v>17.27</v>
      </c>
      <c r="F5022">
        <v>17.37</v>
      </c>
      <c r="G5022">
        <v>17.375</v>
      </c>
      <c r="H5022">
        <v>-0.05</v>
      </c>
      <c r="I5022">
        <v>1061</v>
      </c>
      <c r="J5022">
        <v>0</v>
      </c>
      <c r="K5022">
        <v>6995</v>
      </c>
      <c r="L5022">
        <v>148</v>
      </c>
      <c r="M5022">
        <v>210</v>
      </c>
      <c r="N5022" t="s">
        <v>49</v>
      </c>
      <c r="O5022" s="3">
        <v>44090</v>
      </c>
      <c r="P5022">
        <v>-1</v>
      </c>
      <c r="T5022" t="s">
        <v>28</v>
      </c>
      <c r="U5022">
        <v>93</v>
      </c>
      <c r="V5022">
        <v>24.8123</v>
      </c>
    </row>
    <row r="5023" spans="1:22" x14ac:dyDescent="0.35">
      <c r="A5023" s="3">
        <v>43879</v>
      </c>
      <c r="B5023" t="s">
        <v>51</v>
      </c>
      <c r="C5023">
        <v>16.940000000000001</v>
      </c>
      <c r="D5023">
        <v>17.29</v>
      </c>
      <c r="E5023">
        <v>16.8</v>
      </c>
      <c r="F5023">
        <v>17.239999999999998</v>
      </c>
      <c r="G5023">
        <v>17.225000000000001</v>
      </c>
      <c r="H5023">
        <v>0.25</v>
      </c>
      <c r="I5023">
        <v>4772</v>
      </c>
      <c r="J5023">
        <v>0</v>
      </c>
      <c r="K5023">
        <v>15140</v>
      </c>
      <c r="L5023">
        <v>110</v>
      </c>
      <c r="M5023">
        <v>155</v>
      </c>
      <c r="N5023" t="s">
        <v>51</v>
      </c>
      <c r="O5023" s="3">
        <v>44034</v>
      </c>
      <c r="P5023">
        <v>-1</v>
      </c>
      <c r="T5023" t="s">
        <v>22</v>
      </c>
      <c r="U5023">
        <v>117</v>
      </c>
      <c r="V5023">
        <v>25.256399999999999</v>
      </c>
    </row>
    <row r="5024" spans="1:22" x14ac:dyDescent="0.35">
      <c r="A5024" s="3">
        <v>43879</v>
      </c>
      <c r="B5024" t="s">
        <v>48</v>
      </c>
      <c r="C5024">
        <v>19.600000000000001</v>
      </c>
      <c r="D5024">
        <v>19.95</v>
      </c>
      <c r="E5024">
        <v>19.579999999999998</v>
      </c>
      <c r="F5024">
        <v>19.899999999999999</v>
      </c>
      <c r="G5024">
        <v>19.899999999999999</v>
      </c>
      <c r="H5024">
        <v>0.27500000000000002</v>
      </c>
      <c r="I5024">
        <v>1170</v>
      </c>
      <c r="J5024">
        <v>0</v>
      </c>
      <c r="K5024">
        <v>9399</v>
      </c>
      <c r="L5024">
        <v>174</v>
      </c>
      <c r="M5024">
        <v>246</v>
      </c>
      <c r="N5024" t="s">
        <v>48</v>
      </c>
      <c r="O5024" s="3">
        <v>44125</v>
      </c>
      <c r="P5024">
        <v>-1</v>
      </c>
      <c r="T5024" t="s">
        <v>26</v>
      </c>
      <c r="U5024">
        <v>137</v>
      </c>
      <c r="V5024">
        <v>25.214200000000002</v>
      </c>
    </row>
    <row r="5025" spans="1:22" x14ac:dyDescent="0.35">
      <c r="A5025" s="3">
        <v>43879</v>
      </c>
      <c r="B5025" t="s">
        <v>53</v>
      </c>
      <c r="C5025">
        <v>16.25</v>
      </c>
      <c r="D5025">
        <v>16.75</v>
      </c>
      <c r="E5025">
        <v>16.100000000000001</v>
      </c>
      <c r="F5025">
        <v>16.71</v>
      </c>
      <c r="G5025">
        <v>16.675000000000001</v>
      </c>
      <c r="H5025">
        <v>0.35</v>
      </c>
      <c r="I5025">
        <v>18551</v>
      </c>
      <c r="J5025">
        <v>0</v>
      </c>
      <c r="K5025">
        <v>31876</v>
      </c>
      <c r="L5025">
        <v>66</v>
      </c>
      <c r="M5025">
        <v>92</v>
      </c>
      <c r="N5025" t="s">
        <v>53</v>
      </c>
      <c r="O5025" s="3">
        <v>43971</v>
      </c>
      <c r="P5025">
        <v>-1</v>
      </c>
      <c r="T5025" t="s">
        <v>27</v>
      </c>
      <c r="U5025">
        <v>161</v>
      </c>
      <c r="V5025">
        <v>25.6</v>
      </c>
    </row>
    <row r="5026" spans="1:22" x14ac:dyDescent="0.35">
      <c r="A5026" s="3">
        <v>43879</v>
      </c>
      <c r="B5026" t="s">
        <v>47</v>
      </c>
      <c r="C5026">
        <v>17.95</v>
      </c>
      <c r="D5026">
        <v>18</v>
      </c>
      <c r="E5026">
        <v>17.850000000000001</v>
      </c>
      <c r="F5026">
        <v>17.95</v>
      </c>
      <c r="G5026">
        <v>17.975000000000001</v>
      </c>
      <c r="H5026">
        <v>0.125</v>
      </c>
      <c r="I5026">
        <v>589</v>
      </c>
      <c r="J5026">
        <v>0</v>
      </c>
      <c r="K5026">
        <v>5262</v>
      </c>
      <c r="L5026">
        <v>194</v>
      </c>
      <c r="M5026">
        <v>274</v>
      </c>
      <c r="N5026" t="s">
        <v>47</v>
      </c>
      <c r="O5026" s="3">
        <v>44153</v>
      </c>
      <c r="P5026">
        <v>-1</v>
      </c>
      <c r="T5026" t="s">
        <v>25</v>
      </c>
      <c r="U5026">
        <v>181</v>
      </c>
      <c r="V5026">
        <v>25.65</v>
      </c>
    </row>
    <row r="5027" spans="1:22" x14ac:dyDescent="0.35">
      <c r="A5027" s="3">
        <v>43879</v>
      </c>
      <c r="B5027" t="s">
        <v>52</v>
      </c>
      <c r="C5027">
        <v>16.690000000000001</v>
      </c>
      <c r="D5027">
        <v>17.100000000000001</v>
      </c>
      <c r="E5027">
        <v>16.52</v>
      </c>
      <c r="F5027">
        <v>17.100000000000001</v>
      </c>
      <c r="G5027">
        <v>17.024999999999999</v>
      </c>
      <c r="H5027">
        <v>0.3</v>
      </c>
      <c r="I5027">
        <v>9337</v>
      </c>
      <c r="J5027">
        <v>0</v>
      </c>
      <c r="K5027">
        <v>24210</v>
      </c>
      <c r="L5027">
        <v>85</v>
      </c>
      <c r="M5027">
        <v>120</v>
      </c>
      <c r="N5027" t="s">
        <v>52</v>
      </c>
      <c r="O5027" s="3">
        <v>43999</v>
      </c>
      <c r="P5027">
        <v>-1</v>
      </c>
      <c r="S5027" s="3">
        <v>44595</v>
      </c>
      <c r="T5027" t="s">
        <v>32</v>
      </c>
      <c r="U5027">
        <v>9</v>
      </c>
      <c r="V5027">
        <v>25.730599999999999</v>
      </c>
    </row>
    <row r="5028" spans="1:22" x14ac:dyDescent="0.35">
      <c r="A5028" s="3">
        <v>43879</v>
      </c>
      <c r="B5028" t="s">
        <v>49</v>
      </c>
      <c r="C5028">
        <v>17.2</v>
      </c>
      <c r="D5028">
        <v>17.46</v>
      </c>
      <c r="E5028">
        <v>17.100000000000001</v>
      </c>
      <c r="F5028">
        <v>17.41</v>
      </c>
      <c r="G5028">
        <v>17.425000000000001</v>
      </c>
      <c r="H5028">
        <v>0.2</v>
      </c>
      <c r="I5028">
        <v>1848</v>
      </c>
      <c r="J5028">
        <v>0</v>
      </c>
      <c r="K5028">
        <v>6735</v>
      </c>
      <c r="L5028">
        <v>149</v>
      </c>
      <c r="M5028">
        <v>211</v>
      </c>
      <c r="N5028" t="s">
        <v>49</v>
      </c>
      <c r="O5028" s="3">
        <v>44090</v>
      </c>
      <c r="P5028">
        <v>-1</v>
      </c>
      <c r="T5028" t="s">
        <v>31</v>
      </c>
      <c r="U5028">
        <v>27</v>
      </c>
      <c r="V5028">
        <v>26.0671</v>
      </c>
    </row>
    <row r="5029" spans="1:22" x14ac:dyDescent="0.35">
      <c r="A5029" s="3">
        <v>43879</v>
      </c>
      <c r="B5029" t="s">
        <v>54</v>
      </c>
      <c r="C5029">
        <v>16.100000000000001</v>
      </c>
      <c r="D5029">
        <v>16.600000000000001</v>
      </c>
      <c r="E5029">
        <v>15.85</v>
      </c>
      <c r="F5029">
        <v>16.55</v>
      </c>
      <c r="G5029">
        <v>16.524999999999999</v>
      </c>
      <c r="H5029">
        <v>0.4</v>
      </c>
      <c r="I5029">
        <v>40937</v>
      </c>
      <c r="J5029">
        <v>0</v>
      </c>
      <c r="K5029">
        <v>63149</v>
      </c>
      <c r="L5029">
        <v>41</v>
      </c>
      <c r="M5029">
        <v>57</v>
      </c>
      <c r="N5029" t="s">
        <v>54</v>
      </c>
      <c r="O5029" s="3">
        <v>43936</v>
      </c>
      <c r="P5029">
        <v>-1</v>
      </c>
      <c r="T5029" t="s">
        <v>30</v>
      </c>
      <c r="U5029">
        <v>53</v>
      </c>
      <c r="V5029">
        <v>26.15</v>
      </c>
    </row>
    <row r="5030" spans="1:22" x14ac:dyDescent="0.35">
      <c r="A5030" s="3">
        <v>43879</v>
      </c>
      <c r="B5030" t="s">
        <v>50</v>
      </c>
      <c r="C5030">
        <v>16.97</v>
      </c>
      <c r="D5030">
        <v>17.3</v>
      </c>
      <c r="E5030">
        <v>16.850000000000001</v>
      </c>
      <c r="F5030">
        <v>17.27</v>
      </c>
      <c r="G5030">
        <v>17.274999999999999</v>
      </c>
      <c r="H5030">
        <v>0.3</v>
      </c>
      <c r="I5030">
        <v>4383</v>
      </c>
      <c r="J5030">
        <v>0</v>
      </c>
      <c r="K5030">
        <v>11278</v>
      </c>
      <c r="L5030">
        <v>130</v>
      </c>
      <c r="M5030">
        <v>183</v>
      </c>
      <c r="N5030" t="s">
        <v>50</v>
      </c>
      <c r="O5030" s="3">
        <v>44062</v>
      </c>
      <c r="P5030">
        <v>-1</v>
      </c>
      <c r="T5030" t="s">
        <v>29</v>
      </c>
      <c r="U5030">
        <v>73</v>
      </c>
      <c r="V5030">
        <v>26.156099999999999</v>
      </c>
    </row>
    <row r="5031" spans="1:22" x14ac:dyDescent="0.35">
      <c r="A5031" s="3">
        <v>43879</v>
      </c>
      <c r="B5031" t="s">
        <v>55</v>
      </c>
      <c r="C5031">
        <v>15.4</v>
      </c>
      <c r="D5031">
        <v>16</v>
      </c>
      <c r="E5031">
        <v>15</v>
      </c>
      <c r="F5031">
        <v>15.8</v>
      </c>
      <c r="G5031">
        <v>15.824999999999999</v>
      </c>
      <c r="H5031">
        <v>0.4</v>
      </c>
      <c r="I5031">
        <v>150658</v>
      </c>
      <c r="J5031">
        <v>31</v>
      </c>
      <c r="K5031">
        <v>232971</v>
      </c>
      <c r="L5031">
        <v>21</v>
      </c>
      <c r="M5031">
        <v>29</v>
      </c>
      <c r="N5031" t="s">
        <v>55</v>
      </c>
      <c r="O5031" s="3">
        <v>43908</v>
      </c>
      <c r="P5031">
        <v>-1</v>
      </c>
      <c r="T5031" t="s">
        <v>28</v>
      </c>
      <c r="U5031">
        <v>92</v>
      </c>
      <c r="V5031">
        <v>26.1038</v>
      </c>
    </row>
    <row r="5032" spans="1:22" x14ac:dyDescent="0.35">
      <c r="A5032" s="3">
        <v>43875</v>
      </c>
      <c r="B5032" t="s">
        <v>54</v>
      </c>
      <c r="C5032">
        <v>16.3</v>
      </c>
      <c r="D5032">
        <v>16.45</v>
      </c>
      <c r="E5032">
        <v>16.079999999999998</v>
      </c>
      <c r="F5032">
        <v>16.11</v>
      </c>
      <c r="G5032">
        <v>16.125</v>
      </c>
      <c r="H5032">
        <v>-0.2</v>
      </c>
      <c r="I5032">
        <v>22333</v>
      </c>
      <c r="J5032">
        <v>0</v>
      </c>
      <c r="K5032">
        <v>61268</v>
      </c>
      <c r="L5032">
        <v>42</v>
      </c>
      <c r="M5032">
        <v>61</v>
      </c>
      <c r="N5032" t="s">
        <v>54</v>
      </c>
      <c r="O5032" s="3">
        <v>43936</v>
      </c>
      <c r="P5032">
        <v>-1</v>
      </c>
      <c r="T5032" t="s">
        <v>22</v>
      </c>
      <c r="U5032">
        <v>116</v>
      </c>
      <c r="V5032">
        <v>26.397300000000001</v>
      </c>
    </row>
    <row r="5033" spans="1:22" x14ac:dyDescent="0.35">
      <c r="A5033" s="3">
        <v>43875</v>
      </c>
      <c r="B5033" t="s">
        <v>50</v>
      </c>
      <c r="C5033">
        <v>17.100000000000001</v>
      </c>
      <c r="D5033">
        <v>17.18</v>
      </c>
      <c r="E5033">
        <v>16.95</v>
      </c>
      <c r="F5033">
        <v>16.97</v>
      </c>
      <c r="G5033">
        <v>16.975000000000001</v>
      </c>
      <c r="H5033">
        <v>-0.1</v>
      </c>
      <c r="I5033">
        <v>1799</v>
      </c>
      <c r="J5033">
        <v>0</v>
      </c>
      <c r="K5033">
        <v>9657</v>
      </c>
      <c r="L5033">
        <v>131</v>
      </c>
      <c r="M5033">
        <v>187</v>
      </c>
      <c r="N5033" t="s">
        <v>50</v>
      </c>
      <c r="O5033" s="3">
        <v>44062</v>
      </c>
      <c r="P5033">
        <v>-1</v>
      </c>
      <c r="T5033" t="s">
        <v>26</v>
      </c>
      <c r="U5033">
        <v>136</v>
      </c>
      <c r="V5033">
        <v>26.2758</v>
      </c>
    </row>
    <row r="5034" spans="1:22" x14ac:dyDescent="0.35">
      <c r="A5034" s="3">
        <v>43875</v>
      </c>
      <c r="B5034" t="s">
        <v>55</v>
      </c>
      <c r="C5034">
        <v>15.55</v>
      </c>
      <c r="D5034">
        <v>15.75</v>
      </c>
      <c r="E5034">
        <v>15.35</v>
      </c>
      <c r="F5034">
        <v>15.4</v>
      </c>
      <c r="G5034">
        <v>15.425000000000001</v>
      </c>
      <c r="H5034">
        <v>-0.15</v>
      </c>
      <c r="I5034">
        <v>75728</v>
      </c>
      <c r="J5034">
        <v>1447</v>
      </c>
      <c r="K5034">
        <v>219580</v>
      </c>
      <c r="L5034">
        <v>22</v>
      </c>
      <c r="M5034">
        <v>33</v>
      </c>
      <c r="N5034" t="s">
        <v>55</v>
      </c>
      <c r="O5034" s="3">
        <v>43908</v>
      </c>
      <c r="P5034">
        <v>-1</v>
      </c>
      <c r="T5034" t="s">
        <v>27</v>
      </c>
      <c r="U5034">
        <v>160</v>
      </c>
      <c r="V5034">
        <v>26.5</v>
      </c>
    </row>
    <row r="5035" spans="1:22" x14ac:dyDescent="0.35">
      <c r="A5035" s="3">
        <v>43875</v>
      </c>
      <c r="B5035" t="s">
        <v>51</v>
      </c>
      <c r="C5035">
        <v>17.100000000000001</v>
      </c>
      <c r="D5035">
        <v>17.16</v>
      </c>
      <c r="E5035">
        <v>16.899999999999999</v>
      </c>
      <c r="F5035">
        <v>16.95</v>
      </c>
      <c r="G5035">
        <v>16.975000000000001</v>
      </c>
      <c r="H5035">
        <v>-0.05</v>
      </c>
      <c r="I5035">
        <v>2060</v>
      </c>
      <c r="J5035">
        <v>0</v>
      </c>
      <c r="K5035">
        <v>14456</v>
      </c>
      <c r="L5035">
        <v>111</v>
      </c>
      <c r="M5035">
        <v>159</v>
      </c>
      <c r="N5035" t="s">
        <v>51</v>
      </c>
      <c r="O5035" s="3">
        <v>44034</v>
      </c>
      <c r="P5035">
        <v>-1</v>
      </c>
      <c r="T5035" t="s">
        <v>25</v>
      </c>
      <c r="U5035">
        <v>180</v>
      </c>
      <c r="V5035">
        <v>26.5</v>
      </c>
    </row>
    <row r="5036" spans="1:22" x14ac:dyDescent="0.35">
      <c r="A5036" s="3">
        <v>43875</v>
      </c>
      <c r="B5036" t="s">
        <v>48</v>
      </c>
      <c r="C5036">
        <v>19.7</v>
      </c>
      <c r="D5036">
        <v>19.79</v>
      </c>
      <c r="E5036">
        <v>19.600000000000001</v>
      </c>
      <c r="F5036">
        <v>19.600000000000001</v>
      </c>
      <c r="G5036">
        <v>19.625</v>
      </c>
      <c r="H5036">
        <v>-0.05</v>
      </c>
      <c r="I5036">
        <v>1124</v>
      </c>
      <c r="J5036">
        <v>0</v>
      </c>
      <c r="K5036">
        <v>8782</v>
      </c>
      <c r="L5036">
        <v>175</v>
      </c>
      <c r="M5036">
        <v>250</v>
      </c>
      <c r="N5036" t="s">
        <v>48</v>
      </c>
      <c r="O5036" s="3">
        <v>44125</v>
      </c>
      <c r="P5036">
        <v>-1</v>
      </c>
      <c r="S5036" s="3">
        <v>44596</v>
      </c>
      <c r="T5036" t="s">
        <v>32</v>
      </c>
      <c r="U5036">
        <v>8</v>
      </c>
      <c r="V5036">
        <v>24.261299999999999</v>
      </c>
    </row>
    <row r="5037" spans="1:22" x14ac:dyDescent="0.35">
      <c r="A5037" s="3">
        <v>43875</v>
      </c>
      <c r="B5037" t="s">
        <v>53</v>
      </c>
      <c r="C5037">
        <v>16.45</v>
      </c>
      <c r="D5037">
        <v>16.57</v>
      </c>
      <c r="E5037">
        <v>16.260000000000002</v>
      </c>
      <c r="F5037">
        <v>16.3</v>
      </c>
      <c r="G5037">
        <v>16.324999999999999</v>
      </c>
      <c r="H5037">
        <v>-0.15</v>
      </c>
      <c r="I5037">
        <v>7679</v>
      </c>
      <c r="J5037">
        <v>0</v>
      </c>
      <c r="K5037">
        <v>28962</v>
      </c>
      <c r="L5037">
        <v>67</v>
      </c>
      <c r="M5037">
        <v>96</v>
      </c>
      <c r="N5037" t="s">
        <v>53</v>
      </c>
      <c r="O5037" s="3">
        <v>43971</v>
      </c>
      <c r="P5037">
        <v>-1</v>
      </c>
      <c r="T5037" t="s">
        <v>31</v>
      </c>
      <c r="U5037">
        <v>26</v>
      </c>
      <c r="V5037">
        <v>25.148399999999999</v>
      </c>
    </row>
    <row r="5038" spans="1:22" x14ac:dyDescent="0.35">
      <c r="A5038" s="3">
        <v>43875</v>
      </c>
      <c r="B5038" t="s">
        <v>47</v>
      </c>
      <c r="C5038">
        <v>17.84</v>
      </c>
      <c r="D5038">
        <v>17.95</v>
      </c>
      <c r="E5038">
        <v>17.829999999999998</v>
      </c>
      <c r="F5038">
        <v>17.95</v>
      </c>
      <c r="G5038">
        <v>17.850000000000001</v>
      </c>
      <c r="H5038">
        <v>-0.05</v>
      </c>
      <c r="I5038">
        <v>464</v>
      </c>
      <c r="J5038">
        <v>0</v>
      </c>
      <c r="K5038">
        <v>4742</v>
      </c>
      <c r="L5038">
        <v>195</v>
      </c>
      <c r="M5038">
        <v>278</v>
      </c>
      <c r="N5038" t="s">
        <v>47</v>
      </c>
      <c r="O5038" s="3">
        <v>44153</v>
      </c>
      <c r="P5038">
        <v>-1</v>
      </c>
      <c r="T5038" t="s">
        <v>30</v>
      </c>
      <c r="U5038">
        <v>52</v>
      </c>
      <c r="V5038">
        <v>25.703700000000001</v>
      </c>
    </row>
    <row r="5039" spans="1:22" x14ac:dyDescent="0.35">
      <c r="A5039" s="3">
        <v>43875</v>
      </c>
      <c r="B5039" t="s">
        <v>52</v>
      </c>
      <c r="C5039">
        <v>16.850000000000001</v>
      </c>
      <c r="D5039">
        <v>16.95</v>
      </c>
      <c r="E5039">
        <v>16.7</v>
      </c>
      <c r="F5039">
        <v>16.7</v>
      </c>
      <c r="G5039">
        <v>16.725000000000001</v>
      </c>
      <c r="H5039">
        <v>-0.1</v>
      </c>
      <c r="I5039">
        <v>8198</v>
      </c>
      <c r="J5039">
        <v>0</v>
      </c>
      <c r="K5039">
        <v>22798</v>
      </c>
      <c r="L5039">
        <v>86</v>
      </c>
      <c r="M5039">
        <v>124</v>
      </c>
      <c r="N5039" t="s">
        <v>52</v>
      </c>
      <c r="O5039" s="3">
        <v>43999</v>
      </c>
      <c r="P5039">
        <v>-1</v>
      </c>
      <c r="T5039" t="s">
        <v>29</v>
      </c>
      <c r="U5039">
        <v>72</v>
      </c>
      <c r="V5039">
        <v>25.950500000000002</v>
      </c>
    </row>
    <row r="5040" spans="1:22" x14ac:dyDescent="0.35">
      <c r="A5040" s="3">
        <v>43875</v>
      </c>
      <c r="B5040" t="s">
        <v>49</v>
      </c>
      <c r="C5040">
        <v>17.3</v>
      </c>
      <c r="D5040">
        <v>17.38</v>
      </c>
      <c r="E5040">
        <v>17.2</v>
      </c>
      <c r="F5040">
        <v>17.22</v>
      </c>
      <c r="G5040">
        <v>17.225000000000001</v>
      </c>
      <c r="H5040">
        <v>-0.05</v>
      </c>
      <c r="I5040">
        <v>868</v>
      </c>
      <c r="J5040">
        <v>0</v>
      </c>
      <c r="K5040">
        <v>5890</v>
      </c>
      <c r="L5040">
        <v>150</v>
      </c>
      <c r="M5040">
        <v>215</v>
      </c>
      <c r="N5040" t="s">
        <v>49</v>
      </c>
      <c r="O5040" s="3">
        <v>44090</v>
      </c>
      <c r="P5040">
        <v>-1</v>
      </c>
      <c r="T5040" t="s">
        <v>28</v>
      </c>
      <c r="U5040">
        <v>91</v>
      </c>
      <c r="V5040">
        <v>26.000399999999999</v>
      </c>
    </row>
    <row r="5041" spans="1:22" x14ac:dyDescent="0.35">
      <c r="A5041" s="3">
        <v>43874</v>
      </c>
      <c r="B5041" t="s">
        <v>51</v>
      </c>
      <c r="C5041">
        <v>16.95</v>
      </c>
      <c r="D5041">
        <v>17.43</v>
      </c>
      <c r="E5041">
        <v>16.920000000000002</v>
      </c>
      <c r="F5041">
        <v>17.059999999999999</v>
      </c>
      <c r="G5041">
        <v>17.024999999999999</v>
      </c>
      <c r="H5041">
        <v>0.1</v>
      </c>
      <c r="I5041">
        <v>2886</v>
      </c>
      <c r="J5041">
        <v>0</v>
      </c>
      <c r="K5041">
        <v>14112</v>
      </c>
      <c r="L5041">
        <v>112</v>
      </c>
      <c r="M5041">
        <v>160</v>
      </c>
      <c r="N5041" t="s">
        <v>51</v>
      </c>
      <c r="O5041" s="3">
        <v>44034</v>
      </c>
      <c r="P5041">
        <v>-1</v>
      </c>
      <c r="T5041" t="s">
        <v>22</v>
      </c>
      <c r="U5041">
        <v>115</v>
      </c>
      <c r="V5041">
        <v>26.400400000000001</v>
      </c>
    </row>
    <row r="5042" spans="1:22" x14ac:dyDescent="0.35">
      <c r="A5042" s="3">
        <v>43874</v>
      </c>
      <c r="B5042" t="s">
        <v>48</v>
      </c>
      <c r="C5042">
        <v>19.59</v>
      </c>
      <c r="D5042">
        <v>19.850000000000001</v>
      </c>
      <c r="E5042">
        <v>19.55</v>
      </c>
      <c r="F5042">
        <v>19.649999999999999</v>
      </c>
      <c r="G5042">
        <v>19.675000000000001</v>
      </c>
      <c r="H5042">
        <v>0.1</v>
      </c>
      <c r="I5042">
        <v>372</v>
      </c>
      <c r="J5042">
        <v>0</v>
      </c>
      <c r="K5042">
        <v>8708</v>
      </c>
      <c r="L5042">
        <v>176</v>
      </c>
      <c r="M5042">
        <v>251</v>
      </c>
      <c r="N5042" t="s">
        <v>48</v>
      </c>
      <c r="O5042" s="3">
        <v>44125</v>
      </c>
      <c r="P5042">
        <v>-1</v>
      </c>
      <c r="T5042" t="s">
        <v>26</v>
      </c>
      <c r="U5042">
        <v>135</v>
      </c>
      <c r="V5042">
        <v>26.297499999999999</v>
      </c>
    </row>
    <row r="5043" spans="1:22" x14ac:dyDescent="0.35">
      <c r="A5043" s="3">
        <v>43874</v>
      </c>
      <c r="B5043" t="s">
        <v>53</v>
      </c>
      <c r="C5043">
        <v>16.3</v>
      </c>
      <c r="D5043">
        <v>16.91</v>
      </c>
      <c r="E5043">
        <v>16.3</v>
      </c>
      <c r="F5043">
        <v>16.45</v>
      </c>
      <c r="G5043">
        <v>16.475000000000001</v>
      </c>
      <c r="H5043">
        <v>0.2</v>
      </c>
      <c r="I5043">
        <v>13622</v>
      </c>
      <c r="J5043">
        <v>0</v>
      </c>
      <c r="K5043">
        <v>29269</v>
      </c>
      <c r="L5043">
        <v>68</v>
      </c>
      <c r="M5043">
        <v>97</v>
      </c>
      <c r="N5043" t="s">
        <v>53</v>
      </c>
      <c r="O5043" s="3">
        <v>43971</v>
      </c>
      <c r="P5043">
        <v>-1</v>
      </c>
      <c r="T5043" t="s">
        <v>27</v>
      </c>
      <c r="U5043">
        <v>159</v>
      </c>
      <c r="V5043">
        <v>26.55</v>
      </c>
    </row>
    <row r="5044" spans="1:22" x14ac:dyDescent="0.35">
      <c r="A5044" s="3">
        <v>43874</v>
      </c>
      <c r="B5044" t="s">
        <v>47</v>
      </c>
      <c r="C5044">
        <v>18</v>
      </c>
      <c r="D5044">
        <v>18</v>
      </c>
      <c r="E5044">
        <v>17.75</v>
      </c>
      <c r="F5044">
        <v>18</v>
      </c>
      <c r="G5044">
        <v>17.899999999999999</v>
      </c>
      <c r="H5044">
        <v>0.05</v>
      </c>
      <c r="I5044">
        <v>396</v>
      </c>
      <c r="J5044">
        <v>0</v>
      </c>
      <c r="K5044">
        <v>4716</v>
      </c>
      <c r="L5044">
        <v>196</v>
      </c>
      <c r="M5044">
        <v>279</v>
      </c>
      <c r="N5044" t="s">
        <v>47</v>
      </c>
      <c r="O5044" s="3">
        <v>44153</v>
      </c>
      <c r="P5044">
        <v>-1</v>
      </c>
      <c r="T5044" t="s">
        <v>25</v>
      </c>
      <c r="U5044">
        <v>179</v>
      </c>
      <c r="V5044">
        <v>26.65</v>
      </c>
    </row>
    <row r="5045" spans="1:22" x14ac:dyDescent="0.35">
      <c r="A5045" s="3">
        <v>43874</v>
      </c>
      <c r="B5045" t="s">
        <v>52</v>
      </c>
      <c r="C5045">
        <v>16.73</v>
      </c>
      <c r="D5045">
        <v>17.27</v>
      </c>
      <c r="E5045">
        <v>16.7</v>
      </c>
      <c r="F5045">
        <v>16.850000000000001</v>
      </c>
      <c r="G5045">
        <v>16.824999999999999</v>
      </c>
      <c r="H5045">
        <v>0.15</v>
      </c>
      <c r="I5045">
        <v>7341</v>
      </c>
      <c r="J5045">
        <v>0</v>
      </c>
      <c r="K5045">
        <v>21690</v>
      </c>
      <c r="L5045">
        <v>87</v>
      </c>
      <c r="M5045">
        <v>125</v>
      </c>
      <c r="N5045" t="s">
        <v>52</v>
      </c>
      <c r="O5045" s="3">
        <v>43999</v>
      </c>
      <c r="P5045">
        <v>-1</v>
      </c>
      <c r="S5045" s="3">
        <v>44599</v>
      </c>
      <c r="T5045" t="s">
        <v>32</v>
      </c>
      <c r="U5045">
        <v>7</v>
      </c>
      <c r="V5045">
        <v>23.652100000000001</v>
      </c>
    </row>
    <row r="5046" spans="1:22" x14ac:dyDescent="0.35">
      <c r="A5046" s="3">
        <v>43874</v>
      </c>
      <c r="B5046" t="s">
        <v>49</v>
      </c>
      <c r="C5046">
        <v>17.2</v>
      </c>
      <c r="D5046">
        <v>17.559999999999999</v>
      </c>
      <c r="E5046">
        <v>17.149999999999999</v>
      </c>
      <c r="F5046">
        <v>17.239999999999998</v>
      </c>
      <c r="G5046">
        <v>17.274999999999999</v>
      </c>
      <c r="H5046">
        <v>0.125</v>
      </c>
      <c r="I5046">
        <v>1149</v>
      </c>
      <c r="J5046">
        <v>0</v>
      </c>
      <c r="K5046">
        <v>5859</v>
      </c>
      <c r="L5046">
        <v>151</v>
      </c>
      <c r="M5046">
        <v>216</v>
      </c>
      <c r="N5046" t="s">
        <v>49</v>
      </c>
      <c r="O5046" s="3">
        <v>44090</v>
      </c>
      <c r="P5046">
        <v>-1</v>
      </c>
      <c r="T5046" t="s">
        <v>31</v>
      </c>
      <c r="U5046">
        <v>25</v>
      </c>
      <c r="V5046">
        <v>24.536300000000001</v>
      </c>
    </row>
    <row r="5047" spans="1:22" x14ac:dyDescent="0.35">
      <c r="A5047" s="3">
        <v>43874</v>
      </c>
      <c r="B5047" t="s">
        <v>54</v>
      </c>
      <c r="C5047">
        <v>16.12</v>
      </c>
      <c r="D5047">
        <v>16.84</v>
      </c>
      <c r="E5047">
        <v>16.100000000000001</v>
      </c>
      <c r="F5047">
        <v>16.3</v>
      </c>
      <c r="G5047">
        <v>16.324999999999999</v>
      </c>
      <c r="H5047">
        <v>0.2</v>
      </c>
      <c r="I5047">
        <v>24682</v>
      </c>
      <c r="J5047">
        <v>0</v>
      </c>
      <c r="K5047">
        <v>57698</v>
      </c>
      <c r="L5047">
        <v>43</v>
      </c>
      <c r="M5047">
        <v>62</v>
      </c>
      <c r="N5047" t="s">
        <v>54</v>
      </c>
      <c r="O5047" s="3">
        <v>43936</v>
      </c>
      <c r="P5047">
        <v>-1</v>
      </c>
      <c r="T5047" t="s">
        <v>30</v>
      </c>
      <c r="U5047">
        <v>51</v>
      </c>
      <c r="V5047">
        <v>25.1601</v>
      </c>
    </row>
    <row r="5048" spans="1:22" x14ac:dyDescent="0.35">
      <c r="A5048" s="3">
        <v>43874</v>
      </c>
      <c r="B5048" t="s">
        <v>50</v>
      </c>
      <c r="C5048">
        <v>17</v>
      </c>
      <c r="D5048">
        <v>17.41</v>
      </c>
      <c r="E5048">
        <v>16.95</v>
      </c>
      <c r="F5048">
        <v>17.100000000000001</v>
      </c>
      <c r="G5048">
        <v>17.074999999999999</v>
      </c>
      <c r="H5048">
        <v>0.1</v>
      </c>
      <c r="I5048">
        <v>2028</v>
      </c>
      <c r="J5048">
        <v>0</v>
      </c>
      <c r="K5048">
        <v>9286</v>
      </c>
      <c r="L5048">
        <v>132</v>
      </c>
      <c r="M5048">
        <v>188</v>
      </c>
      <c r="N5048" t="s">
        <v>50</v>
      </c>
      <c r="O5048" s="3">
        <v>44062</v>
      </c>
      <c r="P5048">
        <v>-1</v>
      </c>
      <c r="T5048" t="s">
        <v>29</v>
      </c>
      <c r="U5048">
        <v>71</v>
      </c>
      <c r="V5048">
        <v>25.492899999999999</v>
      </c>
    </row>
    <row r="5049" spans="1:22" x14ac:dyDescent="0.35">
      <c r="A5049" s="3">
        <v>43874</v>
      </c>
      <c r="B5049" t="s">
        <v>55</v>
      </c>
      <c r="C5049">
        <v>15.3</v>
      </c>
      <c r="D5049">
        <v>16.2</v>
      </c>
      <c r="E5049">
        <v>15.25</v>
      </c>
      <c r="F5049">
        <v>15.56</v>
      </c>
      <c r="G5049">
        <v>15.574999999999999</v>
      </c>
      <c r="H5049">
        <v>0.25</v>
      </c>
      <c r="I5049">
        <v>91210</v>
      </c>
      <c r="J5049">
        <v>0</v>
      </c>
      <c r="K5049">
        <v>209570</v>
      </c>
      <c r="L5049">
        <v>23</v>
      </c>
      <c r="M5049">
        <v>34</v>
      </c>
      <c r="N5049" t="s">
        <v>55</v>
      </c>
      <c r="O5049" s="3">
        <v>43908</v>
      </c>
      <c r="P5049">
        <v>-1</v>
      </c>
      <c r="T5049" t="s">
        <v>28</v>
      </c>
      <c r="U5049">
        <v>90</v>
      </c>
      <c r="V5049">
        <v>25.6296</v>
      </c>
    </row>
    <row r="5050" spans="1:22" x14ac:dyDescent="0.35">
      <c r="A5050" s="3">
        <v>43873</v>
      </c>
      <c r="B5050" t="s">
        <v>54</v>
      </c>
      <c r="C5050">
        <v>16.5</v>
      </c>
      <c r="D5050">
        <v>16.52</v>
      </c>
      <c r="E5050">
        <v>16.05</v>
      </c>
      <c r="F5050">
        <v>16.11</v>
      </c>
      <c r="G5050">
        <v>16.125</v>
      </c>
      <c r="H5050">
        <v>-0.35</v>
      </c>
      <c r="I5050">
        <v>25211</v>
      </c>
      <c r="J5050">
        <v>0</v>
      </c>
      <c r="K5050">
        <v>57988</v>
      </c>
      <c r="L5050">
        <v>44</v>
      </c>
      <c r="M5050">
        <v>63</v>
      </c>
      <c r="N5050" t="s">
        <v>54</v>
      </c>
      <c r="O5050" s="3">
        <v>43936</v>
      </c>
      <c r="P5050">
        <v>-1</v>
      </c>
      <c r="T5050" t="s">
        <v>22</v>
      </c>
      <c r="U5050">
        <v>114</v>
      </c>
      <c r="V5050">
        <v>26.045500000000001</v>
      </c>
    </row>
    <row r="5051" spans="1:22" x14ac:dyDescent="0.35">
      <c r="A5051" s="3">
        <v>43873</v>
      </c>
      <c r="B5051" t="s">
        <v>50</v>
      </c>
      <c r="C5051">
        <v>17.149999999999999</v>
      </c>
      <c r="D5051">
        <v>17.149999999999999</v>
      </c>
      <c r="E5051">
        <v>16.91</v>
      </c>
      <c r="F5051">
        <v>16.97</v>
      </c>
      <c r="G5051">
        <v>16.975000000000001</v>
      </c>
      <c r="H5051">
        <v>-0.2</v>
      </c>
      <c r="I5051">
        <v>2248</v>
      </c>
      <c r="J5051">
        <v>0</v>
      </c>
      <c r="K5051">
        <v>8561</v>
      </c>
      <c r="L5051">
        <v>133</v>
      </c>
      <c r="M5051">
        <v>189</v>
      </c>
      <c r="N5051" t="s">
        <v>50</v>
      </c>
      <c r="O5051" s="3">
        <v>44062</v>
      </c>
      <c r="P5051">
        <v>-1</v>
      </c>
      <c r="T5051" t="s">
        <v>26</v>
      </c>
      <c r="U5051">
        <v>134</v>
      </c>
      <c r="V5051">
        <v>25.970800000000001</v>
      </c>
    </row>
    <row r="5052" spans="1:22" x14ac:dyDescent="0.35">
      <c r="A5052" s="3">
        <v>43873</v>
      </c>
      <c r="B5052" t="s">
        <v>55</v>
      </c>
      <c r="C5052">
        <v>15.95</v>
      </c>
      <c r="D5052">
        <v>15.98</v>
      </c>
      <c r="E5052">
        <v>15.2</v>
      </c>
      <c r="F5052">
        <v>15.27</v>
      </c>
      <c r="G5052">
        <v>15.324999999999999</v>
      </c>
      <c r="H5052">
        <v>-0.6</v>
      </c>
      <c r="I5052">
        <v>103254</v>
      </c>
      <c r="J5052">
        <v>473</v>
      </c>
      <c r="K5052">
        <v>198777</v>
      </c>
      <c r="L5052">
        <v>24</v>
      </c>
      <c r="M5052">
        <v>35</v>
      </c>
      <c r="N5052" t="s">
        <v>55</v>
      </c>
      <c r="O5052" s="3">
        <v>43908</v>
      </c>
      <c r="P5052">
        <v>-1</v>
      </c>
      <c r="T5052" t="s">
        <v>27</v>
      </c>
      <c r="U5052">
        <v>158</v>
      </c>
      <c r="V5052">
        <v>26.25</v>
      </c>
    </row>
    <row r="5053" spans="1:22" x14ac:dyDescent="0.35">
      <c r="A5053" s="3">
        <v>43873</v>
      </c>
      <c r="B5053" t="s">
        <v>51</v>
      </c>
      <c r="C5053">
        <v>17.12</v>
      </c>
      <c r="D5053">
        <v>17.12</v>
      </c>
      <c r="E5053">
        <v>16.850000000000001</v>
      </c>
      <c r="F5053">
        <v>16.920000000000002</v>
      </c>
      <c r="G5053">
        <v>16.925000000000001</v>
      </c>
      <c r="H5053">
        <v>-0.2</v>
      </c>
      <c r="I5053">
        <v>3109</v>
      </c>
      <c r="J5053">
        <v>0</v>
      </c>
      <c r="K5053">
        <v>13267</v>
      </c>
      <c r="L5053">
        <v>113</v>
      </c>
      <c r="M5053">
        <v>161</v>
      </c>
      <c r="N5053" t="s">
        <v>51</v>
      </c>
      <c r="O5053" s="3">
        <v>44034</v>
      </c>
      <c r="P5053">
        <v>-1</v>
      </c>
      <c r="T5053" t="s">
        <v>25</v>
      </c>
      <c r="U5053">
        <v>178</v>
      </c>
      <c r="V5053">
        <v>26.274999999999999</v>
      </c>
    </row>
    <row r="5054" spans="1:22" x14ac:dyDescent="0.35">
      <c r="A5054" s="3">
        <v>43873</v>
      </c>
      <c r="B5054" t="s">
        <v>48</v>
      </c>
      <c r="C5054">
        <v>19.7</v>
      </c>
      <c r="D5054">
        <v>19.75</v>
      </c>
      <c r="E5054">
        <v>19.55</v>
      </c>
      <c r="F5054">
        <v>19.600000000000001</v>
      </c>
      <c r="G5054">
        <v>19.574999999999999</v>
      </c>
      <c r="H5054">
        <v>-0.15</v>
      </c>
      <c r="I5054">
        <v>331</v>
      </c>
      <c r="J5054">
        <v>0</v>
      </c>
      <c r="K5054">
        <v>8522</v>
      </c>
      <c r="L5054">
        <v>177</v>
      </c>
      <c r="M5054">
        <v>252</v>
      </c>
      <c r="N5054" t="s">
        <v>48</v>
      </c>
      <c r="O5054" s="3">
        <v>44125</v>
      </c>
      <c r="P5054">
        <v>-1</v>
      </c>
      <c r="S5054" s="3">
        <v>44600</v>
      </c>
      <c r="T5054" t="s">
        <v>32</v>
      </c>
      <c r="U5054">
        <v>6</v>
      </c>
      <c r="V5054">
        <v>22.311599999999999</v>
      </c>
    </row>
    <row r="5055" spans="1:22" x14ac:dyDescent="0.35">
      <c r="A5055" s="3">
        <v>43873</v>
      </c>
      <c r="B5055" t="s">
        <v>53</v>
      </c>
      <c r="C5055">
        <v>16.559999999999999</v>
      </c>
      <c r="D5055">
        <v>16.57</v>
      </c>
      <c r="E5055">
        <v>16.2</v>
      </c>
      <c r="F5055">
        <v>16.3</v>
      </c>
      <c r="G5055">
        <v>16.274999999999999</v>
      </c>
      <c r="H5055">
        <v>-0.3</v>
      </c>
      <c r="I5055">
        <v>10022</v>
      </c>
      <c r="J5055">
        <v>0</v>
      </c>
      <c r="K5055">
        <v>28669</v>
      </c>
      <c r="L5055">
        <v>69</v>
      </c>
      <c r="M5055">
        <v>98</v>
      </c>
      <c r="N5055" t="s">
        <v>53</v>
      </c>
      <c r="O5055" s="3">
        <v>43971</v>
      </c>
      <c r="P5055">
        <v>-1</v>
      </c>
      <c r="T5055" t="s">
        <v>31</v>
      </c>
      <c r="U5055">
        <v>24</v>
      </c>
      <c r="V5055">
        <v>23.409800000000001</v>
      </c>
    </row>
    <row r="5056" spans="1:22" x14ac:dyDescent="0.35">
      <c r="A5056" s="3">
        <v>43873</v>
      </c>
      <c r="B5056" t="s">
        <v>47</v>
      </c>
      <c r="C5056">
        <v>18.05</v>
      </c>
      <c r="D5056">
        <v>18.05</v>
      </c>
      <c r="E5056">
        <v>17.850000000000001</v>
      </c>
      <c r="F5056">
        <v>17.850000000000001</v>
      </c>
      <c r="G5056">
        <v>17.850000000000001</v>
      </c>
      <c r="H5056">
        <v>-7.4999999999999997E-2</v>
      </c>
      <c r="I5056">
        <v>331</v>
      </c>
      <c r="J5056">
        <v>0</v>
      </c>
      <c r="K5056">
        <v>4429</v>
      </c>
      <c r="L5056">
        <v>197</v>
      </c>
      <c r="M5056">
        <v>280</v>
      </c>
      <c r="N5056" t="s">
        <v>47</v>
      </c>
      <c r="O5056" s="3">
        <v>44153</v>
      </c>
      <c r="P5056">
        <v>-1</v>
      </c>
      <c r="T5056" t="s">
        <v>30</v>
      </c>
      <c r="U5056">
        <v>50</v>
      </c>
      <c r="V5056">
        <v>24.257300000000001</v>
      </c>
    </row>
    <row r="5057" spans="1:22" x14ac:dyDescent="0.35">
      <c r="A5057" s="3">
        <v>43873</v>
      </c>
      <c r="B5057" t="s">
        <v>52</v>
      </c>
      <c r="C5057">
        <v>16.95</v>
      </c>
      <c r="D5057">
        <v>16.95</v>
      </c>
      <c r="E5057">
        <v>16.600000000000001</v>
      </c>
      <c r="F5057">
        <v>16.68</v>
      </c>
      <c r="G5057">
        <v>16.675000000000001</v>
      </c>
      <c r="H5057">
        <v>-0.25</v>
      </c>
      <c r="I5057">
        <v>6978</v>
      </c>
      <c r="J5057">
        <v>0</v>
      </c>
      <c r="K5057">
        <v>20412</v>
      </c>
      <c r="L5057">
        <v>88</v>
      </c>
      <c r="M5057">
        <v>126</v>
      </c>
      <c r="N5057" t="s">
        <v>52</v>
      </c>
      <c r="O5057" s="3">
        <v>43999</v>
      </c>
      <c r="P5057">
        <v>-1</v>
      </c>
      <c r="T5057" t="s">
        <v>29</v>
      </c>
      <c r="U5057">
        <v>70</v>
      </c>
      <c r="V5057">
        <v>24.704000000000001</v>
      </c>
    </row>
    <row r="5058" spans="1:22" x14ac:dyDescent="0.35">
      <c r="A5058" s="3">
        <v>43873</v>
      </c>
      <c r="B5058" t="s">
        <v>49</v>
      </c>
      <c r="C5058">
        <v>17.350000000000001</v>
      </c>
      <c r="D5058">
        <v>17.350000000000001</v>
      </c>
      <c r="E5058">
        <v>17.14</v>
      </c>
      <c r="F5058">
        <v>17.170000000000002</v>
      </c>
      <c r="G5058">
        <v>17.149999999999999</v>
      </c>
      <c r="H5058">
        <v>-0.22500000000000001</v>
      </c>
      <c r="I5058">
        <v>2184</v>
      </c>
      <c r="J5058">
        <v>0</v>
      </c>
      <c r="K5058">
        <v>5578</v>
      </c>
      <c r="L5058">
        <v>152</v>
      </c>
      <c r="M5058">
        <v>217</v>
      </c>
      <c r="N5058" t="s">
        <v>49</v>
      </c>
      <c r="O5058" s="3">
        <v>44090</v>
      </c>
      <c r="P5058">
        <v>-1</v>
      </c>
      <c r="T5058" t="s">
        <v>28</v>
      </c>
      <c r="U5058">
        <v>89</v>
      </c>
      <c r="V5058">
        <v>25.05</v>
      </c>
    </row>
    <row r="5059" spans="1:22" x14ac:dyDescent="0.35">
      <c r="A5059" s="3">
        <v>43872</v>
      </c>
      <c r="B5059" t="s">
        <v>51</v>
      </c>
      <c r="C5059">
        <v>17.100000000000001</v>
      </c>
      <c r="D5059">
        <v>17.149999999999999</v>
      </c>
      <c r="E5059">
        <v>16.920000000000002</v>
      </c>
      <c r="F5059">
        <v>17.12</v>
      </c>
      <c r="G5059">
        <v>17.125</v>
      </c>
      <c r="H5059">
        <v>0.05</v>
      </c>
      <c r="I5059">
        <v>1607</v>
      </c>
      <c r="J5059">
        <v>0</v>
      </c>
      <c r="K5059">
        <v>12867</v>
      </c>
      <c r="L5059">
        <v>114</v>
      </c>
      <c r="M5059">
        <v>162</v>
      </c>
      <c r="N5059" t="s">
        <v>51</v>
      </c>
      <c r="O5059" s="3">
        <v>44034</v>
      </c>
      <c r="P5059">
        <v>-1</v>
      </c>
      <c r="T5059" t="s">
        <v>22</v>
      </c>
      <c r="U5059">
        <v>113</v>
      </c>
      <c r="V5059">
        <v>25.558299999999999</v>
      </c>
    </row>
    <row r="5060" spans="1:22" x14ac:dyDescent="0.35">
      <c r="A5060" s="3">
        <v>43872</v>
      </c>
      <c r="B5060" t="s">
        <v>48</v>
      </c>
      <c r="C5060">
        <v>19.649999999999999</v>
      </c>
      <c r="D5060">
        <v>19.8</v>
      </c>
      <c r="E5060">
        <v>19.600000000000001</v>
      </c>
      <c r="F5060">
        <v>19.78</v>
      </c>
      <c r="G5060">
        <v>19.725000000000001</v>
      </c>
      <c r="H5060">
        <v>0.1</v>
      </c>
      <c r="I5060">
        <v>408</v>
      </c>
      <c r="J5060">
        <v>0</v>
      </c>
      <c r="K5060">
        <v>8342</v>
      </c>
      <c r="L5060">
        <v>178</v>
      </c>
      <c r="M5060">
        <v>253</v>
      </c>
      <c r="N5060" t="s">
        <v>48</v>
      </c>
      <c r="O5060" s="3">
        <v>44125</v>
      </c>
      <c r="P5060">
        <v>-1</v>
      </c>
      <c r="T5060" t="s">
        <v>26</v>
      </c>
      <c r="U5060">
        <v>133</v>
      </c>
      <c r="V5060">
        <v>25.563099999999999</v>
      </c>
    </row>
    <row r="5061" spans="1:22" x14ac:dyDescent="0.35">
      <c r="A5061" s="3">
        <v>43872</v>
      </c>
      <c r="B5061" t="s">
        <v>53</v>
      </c>
      <c r="C5061">
        <v>16.55</v>
      </c>
      <c r="D5061">
        <v>16.600000000000001</v>
      </c>
      <c r="E5061">
        <v>16.3</v>
      </c>
      <c r="F5061">
        <v>16.55</v>
      </c>
      <c r="G5061">
        <v>16.574999999999999</v>
      </c>
      <c r="H5061">
        <v>0.05</v>
      </c>
      <c r="I5061">
        <v>9380</v>
      </c>
      <c r="J5061">
        <v>0</v>
      </c>
      <c r="K5061">
        <v>27662</v>
      </c>
      <c r="L5061">
        <v>70</v>
      </c>
      <c r="M5061">
        <v>99</v>
      </c>
      <c r="N5061" t="s">
        <v>53</v>
      </c>
      <c r="O5061" s="3">
        <v>43971</v>
      </c>
      <c r="P5061">
        <v>-1</v>
      </c>
      <c r="T5061" t="s">
        <v>27</v>
      </c>
      <c r="U5061">
        <v>157</v>
      </c>
      <c r="V5061">
        <v>25.9</v>
      </c>
    </row>
    <row r="5062" spans="1:22" x14ac:dyDescent="0.35">
      <c r="A5062" s="3">
        <v>43872</v>
      </c>
      <c r="B5062" t="s">
        <v>47</v>
      </c>
      <c r="C5062">
        <v>17.850000000000001</v>
      </c>
      <c r="D5062">
        <v>17.95</v>
      </c>
      <c r="E5062">
        <v>17.78</v>
      </c>
      <c r="F5062">
        <v>17.95</v>
      </c>
      <c r="G5062">
        <v>17.925000000000001</v>
      </c>
      <c r="H5062">
        <v>0.125</v>
      </c>
      <c r="I5062">
        <v>146</v>
      </c>
      <c r="J5062">
        <v>0</v>
      </c>
      <c r="K5062">
        <v>4163</v>
      </c>
      <c r="L5062">
        <v>198</v>
      </c>
      <c r="M5062">
        <v>281</v>
      </c>
      <c r="N5062" t="s">
        <v>47</v>
      </c>
      <c r="O5062" s="3">
        <v>44153</v>
      </c>
      <c r="P5062">
        <v>-1</v>
      </c>
      <c r="T5062" t="s">
        <v>25</v>
      </c>
      <c r="U5062">
        <v>177</v>
      </c>
      <c r="V5062">
        <v>26.05</v>
      </c>
    </row>
    <row r="5063" spans="1:22" x14ac:dyDescent="0.35">
      <c r="A5063" s="3">
        <v>43872</v>
      </c>
      <c r="B5063" t="s">
        <v>52</v>
      </c>
      <c r="C5063">
        <v>16.899999999999999</v>
      </c>
      <c r="D5063">
        <v>16.95</v>
      </c>
      <c r="E5063">
        <v>16.7</v>
      </c>
      <c r="F5063">
        <v>16.95</v>
      </c>
      <c r="G5063">
        <v>16.925000000000001</v>
      </c>
      <c r="H5063">
        <v>0.05</v>
      </c>
      <c r="I5063">
        <v>4198</v>
      </c>
      <c r="J5063">
        <v>0</v>
      </c>
      <c r="K5063">
        <v>18726</v>
      </c>
      <c r="L5063">
        <v>89</v>
      </c>
      <c r="M5063">
        <v>127</v>
      </c>
      <c r="N5063" t="s">
        <v>52</v>
      </c>
      <c r="O5063" s="3">
        <v>43999</v>
      </c>
      <c r="P5063">
        <v>-1</v>
      </c>
      <c r="S5063" s="3">
        <v>44601</v>
      </c>
      <c r="T5063" t="s">
        <v>32</v>
      </c>
      <c r="U5063">
        <v>5</v>
      </c>
      <c r="V5063">
        <v>21.156099999999999</v>
      </c>
    </row>
    <row r="5064" spans="1:22" x14ac:dyDescent="0.35">
      <c r="A5064" s="3">
        <v>43872</v>
      </c>
      <c r="B5064" t="s">
        <v>49</v>
      </c>
      <c r="C5064">
        <v>17.37</v>
      </c>
      <c r="D5064">
        <v>17.41</v>
      </c>
      <c r="E5064">
        <v>17.22</v>
      </c>
      <c r="F5064">
        <v>17.41</v>
      </c>
      <c r="G5064">
        <v>17.375</v>
      </c>
      <c r="H5064">
        <v>0.05</v>
      </c>
      <c r="I5064">
        <v>720</v>
      </c>
      <c r="J5064">
        <v>0</v>
      </c>
      <c r="K5064">
        <v>5090</v>
      </c>
      <c r="L5064">
        <v>153</v>
      </c>
      <c r="M5064">
        <v>218</v>
      </c>
      <c r="N5064" t="s">
        <v>49</v>
      </c>
      <c r="O5064" s="3">
        <v>44090</v>
      </c>
      <c r="P5064">
        <v>-1</v>
      </c>
      <c r="T5064" t="s">
        <v>31</v>
      </c>
      <c r="U5064">
        <v>23</v>
      </c>
      <c r="V5064">
        <v>22.668700000000001</v>
      </c>
    </row>
    <row r="5065" spans="1:22" x14ac:dyDescent="0.35">
      <c r="A5065" s="3">
        <v>43872</v>
      </c>
      <c r="B5065" t="s">
        <v>54</v>
      </c>
      <c r="C5065">
        <v>16.55</v>
      </c>
      <c r="D5065">
        <v>16.600000000000001</v>
      </c>
      <c r="E5065">
        <v>16.2</v>
      </c>
      <c r="F5065">
        <v>16.45</v>
      </c>
      <c r="G5065">
        <v>16.475000000000001</v>
      </c>
      <c r="H5065">
        <v>0</v>
      </c>
      <c r="I5065">
        <v>21736</v>
      </c>
      <c r="J5065">
        <v>0</v>
      </c>
      <c r="K5065">
        <v>59161</v>
      </c>
      <c r="L5065">
        <v>45</v>
      </c>
      <c r="M5065">
        <v>64</v>
      </c>
      <c r="N5065" t="s">
        <v>54</v>
      </c>
      <c r="O5065" s="3">
        <v>43936</v>
      </c>
      <c r="P5065">
        <v>-1</v>
      </c>
      <c r="T5065" t="s">
        <v>30</v>
      </c>
      <c r="U5065">
        <v>49</v>
      </c>
      <c r="V5065">
        <v>23.695</v>
      </c>
    </row>
    <row r="5066" spans="1:22" x14ac:dyDescent="0.35">
      <c r="A5066" s="3">
        <v>43872</v>
      </c>
      <c r="B5066" t="s">
        <v>50</v>
      </c>
      <c r="C5066">
        <v>17.13</v>
      </c>
      <c r="D5066">
        <v>17.2</v>
      </c>
      <c r="E5066">
        <v>16.98</v>
      </c>
      <c r="F5066">
        <v>17.2</v>
      </c>
      <c r="G5066">
        <v>17.175000000000001</v>
      </c>
      <c r="H5066">
        <v>0.05</v>
      </c>
      <c r="I5066">
        <v>1508</v>
      </c>
      <c r="J5066">
        <v>0</v>
      </c>
      <c r="K5066">
        <v>7899</v>
      </c>
      <c r="L5066">
        <v>134</v>
      </c>
      <c r="M5066">
        <v>190</v>
      </c>
      <c r="N5066" t="s">
        <v>50</v>
      </c>
      <c r="O5066" s="3">
        <v>44062</v>
      </c>
      <c r="P5066">
        <v>-1</v>
      </c>
      <c r="T5066" t="s">
        <v>29</v>
      </c>
      <c r="U5066">
        <v>69</v>
      </c>
      <c r="V5066">
        <v>24.247800000000002</v>
      </c>
    </row>
    <row r="5067" spans="1:22" x14ac:dyDescent="0.35">
      <c r="A5067" s="3">
        <v>43872</v>
      </c>
      <c r="B5067" t="s">
        <v>55</v>
      </c>
      <c r="C5067">
        <v>16</v>
      </c>
      <c r="D5067">
        <v>16.07</v>
      </c>
      <c r="E5067">
        <v>15.65</v>
      </c>
      <c r="F5067">
        <v>15.9</v>
      </c>
      <c r="G5067">
        <v>15.925000000000001</v>
      </c>
      <c r="H5067">
        <v>-0.05</v>
      </c>
      <c r="I5067">
        <v>88066</v>
      </c>
      <c r="J5067">
        <v>74</v>
      </c>
      <c r="K5067">
        <v>194201</v>
      </c>
      <c r="L5067">
        <v>25</v>
      </c>
      <c r="M5067">
        <v>36</v>
      </c>
      <c r="N5067" t="s">
        <v>55</v>
      </c>
      <c r="O5067" s="3">
        <v>43908</v>
      </c>
      <c r="P5067">
        <v>-1</v>
      </c>
      <c r="T5067" t="s">
        <v>28</v>
      </c>
      <c r="U5067">
        <v>88</v>
      </c>
      <c r="V5067">
        <v>24.599499999999999</v>
      </c>
    </row>
    <row r="5068" spans="1:22" x14ac:dyDescent="0.35">
      <c r="A5068" s="3">
        <v>43871</v>
      </c>
      <c r="B5068" t="s">
        <v>54</v>
      </c>
      <c r="C5068">
        <v>16.7</v>
      </c>
      <c r="D5068">
        <v>16.98</v>
      </c>
      <c r="E5068">
        <v>16.399999999999999</v>
      </c>
      <c r="F5068">
        <v>16.48</v>
      </c>
      <c r="G5068">
        <v>16.475000000000001</v>
      </c>
      <c r="H5068">
        <v>-0.25</v>
      </c>
      <c r="I5068">
        <v>19178</v>
      </c>
      <c r="J5068">
        <v>0</v>
      </c>
      <c r="K5068">
        <v>58772</v>
      </c>
      <c r="L5068">
        <v>46</v>
      </c>
      <c r="M5068">
        <v>65</v>
      </c>
      <c r="N5068" t="s">
        <v>54</v>
      </c>
      <c r="O5068" s="3">
        <v>43936</v>
      </c>
      <c r="P5068">
        <v>-1</v>
      </c>
      <c r="T5068" t="s">
        <v>22</v>
      </c>
      <c r="U5068">
        <v>112</v>
      </c>
      <c r="V5068">
        <v>25.146100000000001</v>
      </c>
    </row>
    <row r="5069" spans="1:22" x14ac:dyDescent="0.35">
      <c r="A5069" s="3">
        <v>43871</v>
      </c>
      <c r="B5069" t="s">
        <v>50</v>
      </c>
      <c r="C5069">
        <v>17.36</v>
      </c>
      <c r="D5069">
        <v>17.399999999999999</v>
      </c>
      <c r="E5069">
        <v>17.02</v>
      </c>
      <c r="F5069">
        <v>17.149999999999999</v>
      </c>
      <c r="G5069">
        <v>17.125</v>
      </c>
      <c r="H5069">
        <v>-0.125</v>
      </c>
      <c r="I5069">
        <v>1218</v>
      </c>
      <c r="J5069">
        <v>0</v>
      </c>
      <c r="K5069">
        <v>7732</v>
      </c>
      <c r="L5069">
        <v>135</v>
      </c>
      <c r="M5069">
        <v>191</v>
      </c>
      <c r="N5069" t="s">
        <v>50</v>
      </c>
      <c r="O5069" s="3">
        <v>44062</v>
      </c>
      <c r="P5069">
        <v>-1</v>
      </c>
      <c r="T5069" t="s">
        <v>26</v>
      </c>
      <c r="U5069">
        <v>132</v>
      </c>
      <c r="V5069">
        <v>25.1023</v>
      </c>
    </row>
    <row r="5070" spans="1:22" x14ac:dyDescent="0.35">
      <c r="A5070" s="3">
        <v>43871</v>
      </c>
      <c r="B5070" t="s">
        <v>55</v>
      </c>
      <c r="C5070">
        <v>16.25</v>
      </c>
      <c r="D5070">
        <v>16.62</v>
      </c>
      <c r="E5070">
        <v>15.85</v>
      </c>
      <c r="F5070">
        <v>15.98</v>
      </c>
      <c r="G5070">
        <v>15.975</v>
      </c>
      <c r="H5070">
        <v>-0.25</v>
      </c>
      <c r="I5070">
        <v>79949</v>
      </c>
      <c r="J5070">
        <v>171</v>
      </c>
      <c r="K5070">
        <v>188058</v>
      </c>
      <c r="L5070">
        <v>26</v>
      </c>
      <c r="M5070">
        <v>37</v>
      </c>
      <c r="N5070" t="s">
        <v>55</v>
      </c>
      <c r="O5070" s="3">
        <v>43908</v>
      </c>
      <c r="P5070">
        <v>-1</v>
      </c>
      <c r="T5070" t="s">
        <v>27</v>
      </c>
      <c r="U5070">
        <v>156</v>
      </c>
      <c r="V5070">
        <v>25.524999999999999</v>
      </c>
    </row>
    <row r="5071" spans="1:22" x14ac:dyDescent="0.35">
      <c r="A5071" s="3">
        <v>43871</v>
      </c>
      <c r="B5071" t="s">
        <v>51</v>
      </c>
      <c r="C5071">
        <v>17.25</v>
      </c>
      <c r="D5071">
        <v>17.37</v>
      </c>
      <c r="E5071">
        <v>16.97</v>
      </c>
      <c r="F5071">
        <v>17.07</v>
      </c>
      <c r="G5071">
        <v>17.074999999999999</v>
      </c>
      <c r="H5071">
        <v>-0.15</v>
      </c>
      <c r="I5071">
        <v>1526</v>
      </c>
      <c r="J5071">
        <v>0</v>
      </c>
      <c r="K5071">
        <v>12767</v>
      </c>
      <c r="L5071">
        <v>115</v>
      </c>
      <c r="M5071">
        <v>163</v>
      </c>
      <c r="N5071" t="s">
        <v>51</v>
      </c>
      <c r="O5071" s="3">
        <v>44034</v>
      </c>
      <c r="P5071">
        <v>-1</v>
      </c>
      <c r="T5071" t="s">
        <v>25</v>
      </c>
      <c r="U5071">
        <v>176</v>
      </c>
      <c r="V5071">
        <v>25.625</v>
      </c>
    </row>
    <row r="5072" spans="1:22" x14ac:dyDescent="0.35">
      <c r="A5072" s="3">
        <v>43871</v>
      </c>
      <c r="B5072" t="s">
        <v>48</v>
      </c>
      <c r="C5072">
        <v>19.899999999999999</v>
      </c>
      <c r="D5072">
        <v>19.899999999999999</v>
      </c>
      <c r="E5072">
        <v>19.579999999999998</v>
      </c>
      <c r="F5072">
        <v>19.61</v>
      </c>
      <c r="G5072">
        <v>19.625</v>
      </c>
      <c r="H5072">
        <v>-0.2</v>
      </c>
      <c r="I5072">
        <v>295</v>
      </c>
      <c r="J5072">
        <v>0</v>
      </c>
      <c r="K5072">
        <v>8118</v>
      </c>
      <c r="L5072">
        <v>179</v>
      </c>
      <c r="M5072">
        <v>254</v>
      </c>
      <c r="N5072" t="s">
        <v>48</v>
      </c>
      <c r="O5072" s="3">
        <v>44125</v>
      </c>
      <c r="P5072">
        <v>-1</v>
      </c>
      <c r="S5072" s="3">
        <v>44602</v>
      </c>
      <c r="T5072" t="s">
        <v>32</v>
      </c>
      <c r="U5072">
        <v>4</v>
      </c>
      <c r="V5072">
        <v>24.218599999999999</v>
      </c>
    </row>
    <row r="5073" spans="1:22" x14ac:dyDescent="0.35">
      <c r="A5073" s="3">
        <v>43871</v>
      </c>
      <c r="B5073" t="s">
        <v>53</v>
      </c>
      <c r="C5073">
        <v>16.7</v>
      </c>
      <c r="D5073">
        <v>16.88</v>
      </c>
      <c r="E5073">
        <v>16.420000000000002</v>
      </c>
      <c r="F5073">
        <v>16.53</v>
      </c>
      <c r="G5073">
        <v>16.524999999999999</v>
      </c>
      <c r="H5073">
        <v>-0.15</v>
      </c>
      <c r="I5073">
        <v>8300</v>
      </c>
      <c r="J5073">
        <v>0</v>
      </c>
      <c r="K5073">
        <v>27445</v>
      </c>
      <c r="L5073">
        <v>71</v>
      </c>
      <c r="M5073">
        <v>100</v>
      </c>
      <c r="N5073" t="s">
        <v>53</v>
      </c>
      <c r="O5073" s="3">
        <v>43971</v>
      </c>
      <c r="P5073">
        <v>-1</v>
      </c>
      <c r="T5073" t="s">
        <v>31</v>
      </c>
      <c r="U5073">
        <v>22</v>
      </c>
      <c r="V5073">
        <v>24.579899999999999</v>
      </c>
    </row>
    <row r="5074" spans="1:22" x14ac:dyDescent="0.35">
      <c r="A5074" s="3">
        <v>43871</v>
      </c>
      <c r="B5074" t="s">
        <v>47</v>
      </c>
      <c r="C5074">
        <v>18</v>
      </c>
      <c r="D5074">
        <v>18</v>
      </c>
      <c r="E5074">
        <v>17.8</v>
      </c>
      <c r="F5074">
        <v>17.82</v>
      </c>
      <c r="G5074">
        <v>17.8</v>
      </c>
      <c r="H5074">
        <v>-0.125</v>
      </c>
      <c r="I5074">
        <v>215</v>
      </c>
      <c r="J5074">
        <v>0</v>
      </c>
      <c r="K5074">
        <v>4051</v>
      </c>
      <c r="L5074">
        <v>199</v>
      </c>
      <c r="M5074">
        <v>282</v>
      </c>
      <c r="N5074" t="s">
        <v>47</v>
      </c>
      <c r="O5074" s="3">
        <v>44153</v>
      </c>
      <c r="P5074">
        <v>-1</v>
      </c>
      <c r="T5074" t="s">
        <v>30</v>
      </c>
      <c r="U5074">
        <v>48</v>
      </c>
      <c r="V5074">
        <v>25.063600000000001</v>
      </c>
    </row>
    <row r="5075" spans="1:22" x14ac:dyDescent="0.35">
      <c r="A5075" s="3">
        <v>43871</v>
      </c>
      <c r="B5075" t="s">
        <v>52</v>
      </c>
      <c r="C5075">
        <v>17</v>
      </c>
      <c r="D5075">
        <v>17.170000000000002</v>
      </c>
      <c r="E5075">
        <v>16.77</v>
      </c>
      <c r="F5075">
        <v>16.87</v>
      </c>
      <c r="G5075">
        <v>16.875</v>
      </c>
      <c r="H5075">
        <v>-0.15</v>
      </c>
      <c r="I5075">
        <v>3781</v>
      </c>
      <c r="J5075">
        <v>0</v>
      </c>
      <c r="K5075">
        <v>17802</v>
      </c>
      <c r="L5075">
        <v>90</v>
      </c>
      <c r="M5075">
        <v>128</v>
      </c>
      <c r="N5075" t="s">
        <v>52</v>
      </c>
      <c r="O5075" s="3">
        <v>43999</v>
      </c>
      <c r="P5075">
        <v>-1</v>
      </c>
      <c r="T5075" t="s">
        <v>29</v>
      </c>
      <c r="U5075">
        <v>68</v>
      </c>
      <c r="V5075">
        <v>25.357399999999998</v>
      </c>
    </row>
    <row r="5076" spans="1:22" x14ac:dyDescent="0.35">
      <c r="A5076" s="3">
        <v>43871</v>
      </c>
      <c r="B5076" t="s">
        <v>49</v>
      </c>
      <c r="C5076">
        <v>17.55</v>
      </c>
      <c r="D5076">
        <v>17.600000000000001</v>
      </c>
      <c r="E5076">
        <v>17.239999999999998</v>
      </c>
      <c r="F5076">
        <v>17.37</v>
      </c>
      <c r="G5076">
        <v>17.324999999999999</v>
      </c>
      <c r="H5076">
        <v>-0.125</v>
      </c>
      <c r="I5076">
        <v>703</v>
      </c>
      <c r="J5076">
        <v>0</v>
      </c>
      <c r="K5076">
        <v>4974</v>
      </c>
      <c r="L5076">
        <v>154</v>
      </c>
      <c r="M5076">
        <v>219</v>
      </c>
      <c r="N5076" t="s">
        <v>49</v>
      </c>
      <c r="O5076" s="3">
        <v>44090</v>
      </c>
      <c r="P5076">
        <v>-1</v>
      </c>
      <c r="T5076" t="s">
        <v>28</v>
      </c>
      <c r="U5076">
        <v>87</v>
      </c>
      <c r="V5076">
        <v>25.5563</v>
      </c>
    </row>
    <row r="5077" spans="1:22" x14ac:dyDescent="0.35">
      <c r="A5077" s="3">
        <v>43868</v>
      </c>
      <c r="B5077" t="s">
        <v>51</v>
      </c>
      <c r="C5077">
        <v>17</v>
      </c>
      <c r="D5077">
        <v>17.350000000000001</v>
      </c>
      <c r="E5077">
        <v>17</v>
      </c>
      <c r="F5077">
        <v>17.22</v>
      </c>
      <c r="G5077">
        <v>17.225000000000001</v>
      </c>
      <c r="H5077">
        <v>0.2</v>
      </c>
      <c r="I5077">
        <v>2708</v>
      </c>
      <c r="J5077">
        <v>0</v>
      </c>
      <c r="K5077">
        <v>12363</v>
      </c>
      <c r="L5077">
        <v>116</v>
      </c>
      <c r="M5077">
        <v>166</v>
      </c>
      <c r="N5077" t="s">
        <v>51</v>
      </c>
      <c r="O5077" s="3">
        <v>44034</v>
      </c>
      <c r="P5077">
        <v>-1</v>
      </c>
      <c r="T5077" t="s">
        <v>22</v>
      </c>
      <c r="U5077">
        <v>111</v>
      </c>
      <c r="V5077">
        <v>25.945900000000002</v>
      </c>
    </row>
    <row r="5078" spans="1:22" x14ac:dyDescent="0.35">
      <c r="A5078" s="3">
        <v>43868</v>
      </c>
      <c r="B5078" t="s">
        <v>48</v>
      </c>
      <c r="C5078">
        <v>19.8</v>
      </c>
      <c r="D5078">
        <v>19.93</v>
      </c>
      <c r="E5078">
        <v>19.75</v>
      </c>
      <c r="F5078">
        <v>19.78</v>
      </c>
      <c r="G5078">
        <v>19.824999999999999</v>
      </c>
      <c r="H5078">
        <v>0</v>
      </c>
      <c r="I5078">
        <v>247</v>
      </c>
      <c r="J5078">
        <v>0</v>
      </c>
      <c r="K5078">
        <v>7926</v>
      </c>
      <c r="L5078">
        <v>180</v>
      </c>
      <c r="M5078">
        <v>257</v>
      </c>
      <c r="N5078" t="s">
        <v>48</v>
      </c>
      <c r="O5078" s="3">
        <v>44125</v>
      </c>
      <c r="P5078">
        <v>-1</v>
      </c>
      <c r="T5078" t="s">
        <v>26</v>
      </c>
      <c r="U5078">
        <v>131</v>
      </c>
      <c r="V5078">
        <v>25.898099999999999</v>
      </c>
    </row>
    <row r="5079" spans="1:22" x14ac:dyDescent="0.35">
      <c r="A5079" s="3">
        <v>43868</v>
      </c>
      <c r="B5079" t="s">
        <v>53</v>
      </c>
      <c r="C5079">
        <v>16.350000000000001</v>
      </c>
      <c r="D5079">
        <v>16.78</v>
      </c>
      <c r="E5079">
        <v>16.34</v>
      </c>
      <c r="F5079">
        <v>16.68</v>
      </c>
      <c r="G5079">
        <v>16.675000000000001</v>
      </c>
      <c r="H5079">
        <v>0.27500000000000002</v>
      </c>
      <c r="I5079">
        <v>7375</v>
      </c>
      <c r="J5079">
        <v>0</v>
      </c>
      <c r="K5079">
        <v>26843</v>
      </c>
      <c r="L5079">
        <v>72</v>
      </c>
      <c r="M5079">
        <v>103</v>
      </c>
      <c r="N5079" t="s">
        <v>53</v>
      </c>
      <c r="O5079" s="3">
        <v>43971</v>
      </c>
      <c r="P5079">
        <v>-1</v>
      </c>
      <c r="T5079" t="s">
        <v>27</v>
      </c>
      <c r="U5079">
        <v>155</v>
      </c>
      <c r="V5079">
        <v>26.2</v>
      </c>
    </row>
    <row r="5080" spans="1:22" x14ac:dyDescent="0.35">
      <c r="A5080" s="3">
        <v>43868</v>
      </c>
      <c r="B5080" t="s">
        <v>47</v>
      </c>
      <c r="C5080">
        <v>17.87</v>
      </c>
      <c r="D5080">
        <v>18</v>
      </c>
      <c r="E5080">
        <v>17.87</v>
      </c>
      <c r="F5080">
        <v>18</v>
      </c>
      <c r="G5080">
        <v>17.925000000000001</v>
      </c>
      <c r="H5080">
        <v>0.1</v>
      </c>
      <c r="I5080">
        <v>194</v>
      </c>
      <c r="J5080">
        <v>0</v>
      </c>
      <c r="K5080">
        <v>3921</v>
      </c>
      <c r="L5080">
        <v>200</v>
      </c>
      <c r="M5080">
        <v>285</v>
      </c>
      <c r="N5080" t="s">
        <v>47</v>
      </c>
      <c r="O5080" s="3">
        <v>44153</v>
      </c>
      <c r="P5080">
        <v>-1</v>
      </c>
      <c r="T5080" t="s">
        <v>25</v>
      </c>
      <c r="U5080">
        <v>175</v>
      </c>
      <c r="V5080">
        <v>26.35</v>
      </c>
    </row>
    <row r="5081" spans="1:22" x14ac:dyDescent="0.35">
      <c r="A5081" s="3">
        <v>43868</v>
      </c>
      <c r="B5081" t="s">
        <v>52</v>
      </c>
      <c r="C5081">
        <v>16.72</v>
      </c>
      <c r="D5081">
        <v>17.11</v>
      </c>
      <c r="E5081">
        <v>16.71</v>
      </c>
      <c r="F5081">
        <v>17.010000000000002</v>
      </c>
      <c r="G5081">
        <v>17.024999999999999</v>
      </c>
      <c r="H5081">
        <v>0.25</v>
      </c>
      <c r="I5081">
        <v>4671</v>
      </c>
      <c r="J5081">
        <v>0</v>
      </c>
      <c r="K5081">
        <v>17133</v>
      </c>
      <c r="L5081">
        <v>91</v>
      </c>
      <c r="M5081">
        <v>131</v>
      </c>
      <c r="N5081" t="s">
        <v>52</v>
      </c>
      <c r="O5081" s="3">
        <v>43999</v>
      </c>
      <c r="P5081">
        <v>-1</v>
      </c>
      <c r="S5081" s="3">
        <v>44603</v>
      </c>
      <c r="T5081" t="s">
        <v>32</v>
      </c>
      <c r="U5081">
        <v>3</v>
      </c>
      <c r="V5081">
        <v>27.814</v>
      </c>
    </row>
    <row r="5082" spans="1:22" x14ac:dyDescent="0.35">
      <c r="A5082" s="3">
        <v>43868</v>
      </c>
      <c r="B5082" t="s">
        <v>49</v>
      </c>
      <c r="C5082">
        <v>17.350000000000001</v>
      </c>
      <c r="D5082">
        <v>17.600000000000001</v>
      </c>
      <c r="E5082">
        <v>17.329999999999998</v>
      </c>
      <c r="F5082">
        <v>17.47</v>
      </c>
      <c r="G5082">
        <v>17.45</v>
      </c>
      <c r="H5082">
        <v>7.4999999999999997E-2</v>
      </c>
      <c r="I5082">
        <v>447</v>
      </c>
      <c r="J5082">
        <v>0</v>
      </c>
      <c r="K5082">
        <v>4862</v>
      </c>
      <c r="L5082">
        <v>155</v>
      </c>
      <c r="M5082">
        <v>222</v>
      </c>
      <c r="N5082" t="s">
        <v>49</v>
      </c>
      <c r="O5082" s="3">
        <v>44090</v>
      </c>
      <c r="P5082">
        <v>-1</v>
      </c>
      <c r="T5082" t="s">
        <v>31</v>
      </c>
      <c r="U5082">
        <v>21</v>
      </c>
      <c r="V5082">
        <v>27.69</v>
      </c>
    </row>
    <row r="5083" spans="1:22" x14ac:dyDescent="0.35">
      <c r="A5083" s="3">
        <v>43868</v>
      </c>
      <c r="B5083" t="s">
        <v>54</v>
      </c>
      <c r="C5083">
        <v>16.350000000000001</v>
      </c>
      <c r="D5083">
        <v>16.86</v>
      </c>
      <c r="E5083">
        <v>16.3</v>
      </c>
      <c r="F5083">
        <v>16.7</v>
      </c>
      <c r="G5083">
        <v>16.725000000000001</v>
      </c>
      <c r="H5083">
        <v>0.35</v>
      </c>
      <c r="I5083">
        <v>19812</v>
      </c>
      <c r="J5083">
        <v>0</v>
      </c>
      <c r="K5083">
        <v>56984</v>
      </c>
      <c r="L5083">
        <v>47</v>
      </c>
      <c r="M5083">
        <v>68</v>
      </c>
      <c r="N5083" t="s">
        <v>54</v>
      </c>
      <c r="O5083" s="3">
        <v>43936</v>
      </c>
      <c r="P5083">
        <v>-1</v>
      </c>
      <c r="T5083" t="s">
        <v>30</v>
      </c>
      <c r="U5083">
        <v>47</v>
      </c>
      <c r="V5083">
        <v>27.026599999999998</v>
      </c>
    </row>
    <row r="5084" spans="1:22" x14ac:dyDescent="0.35">
      <c r="A5084" s="3">
        <v>43868</v>
      </c>
      <c r="B5084" t="s">
        <v>50</v>
      </c>
      <c r="C5084">
        <v>17.100000000000001</v>
      </c>
      <c r="D5084">
        <v>17.399999999999999</v>
      </c>
      <c r="E5084">
        <v>17.09</v>
      </c>
      <c r="F5084">
        <v>17.29</v>
      </c>
      <c r="G5084">
        <v>17.25</v>
      </c>
      <c r="H5084">
        <v>0.15</v>
      </c>
      <c r="I5084">
        <v>2268</v>
      </c>
      <c r="J5084">
        <v>0</v>
      </c>
      <c r="K5084">
        <v>7468</v>
      </c>
      <c r="L5084">
        <v>136</v>
      </c>
      <c r="M5084">
        <v>194</v>
      </c>
      <c r="N5084" t="s">
        <v>50</v>
      </c>
      <c r="O5084" s="3">
        <v>44062</v>
      </c>
      <c r="P5084">
        <v>-1</v>
      </c>
      <c r="T5084" t="s">
        <v>29</v>
      </c>
      <c r="U5084">
        <v>67</v>
      </c>
      <c r="V5084">
        <v>26.7377</v>
      </c>
    </row>
    <row r="5085" spans="1:22" x14ac:dyDescent="0.35">
      <c r="A5085" s="3">
        <v>43868</v>
      </c>
      <c r="B5085" t="s">
        <v>55</v>
      </c>
      <c r="C5085">
        <v>15.95</v>
      </c>
      <c r="D5085">
        <v>16.55</v>
      </c>
      <c r="E5085">
        <v>15.9</v>
      </c>
      <c r="F5085">
        <v>16.27</v>
      </c>
      <c r="G5085">
        <v>16.225000000000001</v>
      </c>
      <c r="H5085">
        <v>0.25</v>
      </c>
      <c r="I5085">
        <v>90198</v>
      </c>
      <c r="J5085">
        <v>240</v>
      </c>
      <c r="K5085">
        <v>180584</v>
      </c>
      <c r="L5085">
        <v>27</v>
      </c>
      <c r="M5085">
        <v>40</v>
      </c>
      <c r="N5085" t="s">
        <v>55</v>
      </c>
      <c r="O5085" s="3">
        <v>43908</v>
      </c>
      <c r="P5085">
        <v>-1</v>
      </c>
      <c r="T5085" t="s">
        <v>28</v>
      </c>
      <c r="U5085">
        <v>86</v>
      </c>
      <c r="V5085">
        <v>26.5581</v>
      </c>
    </row>
    <row r="5086" spans="1:22" x14ac:dyDescent="0.35">
      <c r="A5086" s="3">
        <v>43867</v>
      </c>
      <c r="B5086" t="s">
        <v>54</v>
      </c>
      <c r="C5086">
        <v>16.45</v>
      </c>
      <c r="D5086">
        <v>16.62</v>
      </c>
      <c r="E5086">
        <v>16.3</v>
      </c>
      <c r="F5086">
        <v>16.350000000000001</v>
      </c>
      <c r="G5086">
        <v>16.375</v>
      </c>
      <c r="H5086">
        <v>-0.15</v>
      </c>
      <c r="I5086">
        <v>15287</v>
      </c>
      <c r="J5086">
        <v>0</v>
      </c>
      <c r="K5086">
        <v>55064</v>
      </c>
      <c r="L5086">
        <v>48</v>
      </c>
      <c r="M5086">
        <v>69</v>
      </c>
      <c r="N5086" t="s">
        <v>54</v>
      </c>
      <c r="O5086" s="3">
        <v>43936</v>
      </c>
      <c r="P5086">
        <v>-1</v>
      </c>
      <c r="T5086" t="s">
        <v>22</v>
      </c>
      <c r="U5086">
        <v>110</v>
      </c>
      <c r="V5086">
        <v>26.730699999999999</v>
      </c>
    </row>
    <row r="5087" spans="1:22" x14ac:dyDescent="0.35">
      <c r="A5087" s="3">
        <v>43867</v>
      </c>
      <c r="B5087" t="s">
        <v>50</v>
      </c>
      <c r="C5087">
        <v>17.100000000000001</v>
      </c>
      <c r="D5087">
        <v>17.21</v>
      </c>
      <c r="E5087">
        <v>17.02</v>
      </c>
      <c r="F5087">
        <v>17.09</v>
      </c>
      <c r="G5087">
        <v>17.100000000000001</v>
      </c>
      <c r="H5087">
        <v>-7.4999999999999997E-2</v>
      </c>
      <c r="I5087">
        <v>1639</v>
      </c>
      <c r="J5087">
        <v>0</v>
      </c>
      <c r="K5087">
        <v>6775</v>
      </c>
      <c r="L5087">
        <v>137</v>
      </c>
      <c r="M5087">
        <v>195</v>
      </c>
      <c r="N5087" t="s">
        <v>50</v>
      </c>
      <c r="O5087" s="3">
        <v>44062</v>
      </c>
      <c r="P5087">
        <v>-1</v>
      </c>
      <c r="T5087" t="s">
        <v>26</v>
      </c>
      <c r="U5087">
        <v>130</v>
      </c>
      <c r="V5087">
        <v>26.573699999999999</v>
      </c>
    </row>
    <row r="5088" spans="1:22" x14ac:dyDescent="0.35">
      <c r="A5088" s="3">
        <v>43867</v>
      </c>
      <c r="B5088" t="s">
        <v>55</v>
      </c>
      <c r="C5088">
        <v>16.079999999999998</v>
      </c>
      <c r="D5088">
        <v>16.25</v>
      </c>
      <c r="E5088">
        <v>15.81</v>
      </c>
      <c r="F5088">
        <v>15.9</v>
      </c>
      <c r="G5088">
        <v>15.975</v>
      </c>
      <c r="H5088">
        <v>-0.15</v>
      </c>
      <c r="I5088">
        <v>86983</v>
      </c>
      <c r="J5088">
        <v>0</v>
      </c>
      <c r="K5088">
        <v>173088</v>
      </c>
      <c r="L5088">
        <v>28</v>
      </c>
      <c r="M5088">
        <v>41</v>
      </c>
      <c r="N5088" t="s">
        <v>55</v>
      </c>
      <c r="O5088" s="3">
        <v>43908</v>
      </c>
      <c r="P5088">
        <v>-1</v>
      </c>
      <c r="T5088" t="s">
        <v>27</v>
      </c>
      <c r="U5088">
        <v>154</v>
      </c>
      <c r="V5088">
        <v>26.925000000000001</v>
      </c>
    </row>
    <row r="5089" spans="1:22" x14ac:dyDescent="0.35">
      <c r="A5089" s="3">
        <v>43867</v>
      </c>
      <c r="B5089" t="s">
        <v>51</v>
      </c>
      <c r="C5089">
        <v>17.05</v>
      </c>
      <c r="D5089">
        <v>17.149999999999999</v>
      </c>
      <c r="E5089">
        <v>16.95</v>
      </c>
      <c r="F5089">
        <v>17</v>
      </c>
      <c r="G5089">
        <v>17.024999999999999</v>
      </c>
      <c r="H5089">
        <v>-0.1</v>
      </c>
      <c r="I5089">
        <v>2571</v>
      </c>
      <c r="J5089">
        <v>0</v>
      </c>
      <c r="K5089">
        <v>11528</v>
      </c>
      <c r="L5089">
        <v>117</v>
      </c>
      <c r="M5089">
        <v>167</v>
      </c>
      <c r="N5089" t="s">
        <v>51</v>
      </c>
      <c r="O5089" s="3">
        <v>44034</v>
      </c>
      <c r="P5089">
        <v>-1</v>
      </c>
      <c r="T5089" t="s">
        <v>25</v>
      </c>
      <c r="U5089">
        <v>174</v>
      </c>
      <c r="V5089">
        <v>27.074999999999999</v>
      </c>
    </row>
    <row r="5090" spans="1:22" x14ac:dyDescent="0.35">
      <c r="A5090" s="3">
        <v>43867</v>
      </c>
      <c r="B5090" t="s">
        <v>48</v>
      </c>
      <c r="C5090">
        <v>19.75</v>
      </c>
      <c r="D5090">
        <v>19.84</v>
      </c>
      <c r="E5090">
        <v>19.75</v>
      </c>
      <c r="F5090">
        <v>19.8</v>
      </c>
      <c r="G5090">
        <v>19.824999999999999</v>
      </c>
      <c r="H5090">
        <v>0</v>
      </c>
      <c r="I5090">
        <v>181</v>
      </c>
      <c r="J5090">
        <v>0</v>
      </c>
      <c r="K5090">
        <v>7804</v>
      </c>
      <c r="L5090">
        <v>181</v>
      </c>
      <c r="M5090">
        <v>258</v>
      </c>
      <c r="N5090" t="s">
        <v>48</v>
      </c>
      <c r="O5090" s="3">
        <v>44125</v>
      </c>
      <c r="P5090">
        <v>-1</v>
      </c>
      <c r="S5090" s="3">
        <v>44606</v>
      </c>
      <c r="T5090" t="s">
        <v>32</v>
      </c>
      <c r="U5090">
        <v>2</v>
      </c>
      <c r="V5090">
        <v>28.337399999999999</v>
      </c>
    </row>
    <row r="5091" spans="1:22" x14ac:dyDescent="0.35">
      <c r="A5091" s="3">
        <v>43867</v>
      </c>
      <c r="B5091" t="s">
        <v>53</v>
      </c>
      <c r="C5091">
        <v>16.45</v>
      </c>
      <c r="D5091">
        <v>16.62</v>
      </c>
      <c r="E5091">
        <v>16.32</v>
      </c>
      <c r="F5091">
        <v>16.350000000000001</v>
      </c>
      <c r="G5091">
        <v>16.399999999999999</v>
      </c>
      <c r="H5091">
        <v>-0.125</v>
      </c>
      <c r="I5091">
        <v>5970</v>
      </c>
      <c r="J5091">
        <v>0</v>
      </c>
      <c r="K5091">
        <v>27035</v>
      </c>
      <c r="L5091">
        <v>73</v>
      </c>
      <c r="M5091">
        <v>104</v>
      </c>
      <c r="N5091" t="s">
        <v>53</v>
      </c>
      <c r="O5091" s="3">
        <v>43971</v>
      </c>
      <c r="P5091">
        <v>-1</v>
      </c>
      <c r="T5091" t="s">
        <v>31</v>
      </c>
      <c r="U5091">
        <v>20</v>
      </c>
      <c r="V5091">
        <v>27.747599999999998</v>
      </c>
    </row>
    <row r="5092" spans="1:22" x14ac:dyDescent="0.35">
      <c r="A5092" s="3">
        <v>43867</v>
      </c>
      <c r="B5092" t="s">
        <v>47</v>
      </c>
      <c r="C5092">
        <v>17.850000000000001</v>
      </c>
      <c r="D5092">
        <v>17.920000000000002</v>
      </c>
      <c r="E5092">
        <v>17.8</v>
      </c>
      <c r="F5092">
        <v>17.899999999999999</v>
      </c>
      <c r="G5092">
        <v>17.824999999999999</v>
      </c>
      <c r="H5092">
        <v>-0.1</v>
      </c>
      <c r="I5092">
        <v>72</v>
      </c>
      <c r="J5092">
        <v>0</v>
      </c>
      <c r="K5092">
        <v>3776</v>
      </c>
      <c r="L5092">
        <v>201</v>
      </c>
      <c r="M5092">
        <v>286</v>
      </c>
      <c r="N5092" t="s">
        <v>47</v>
      </c>
      <c r="O5092" s="3">
        <v>44153</v>
      </c>
      <c r="P5092">
        <v>-1</v>
      </c>
      <c r="T5092" t="s">
        <v>30</v>
      </c>
      <c r="U5092">
        <v>46</v>
      </c>
      <c r="V5092">
        <v>27.020700000000001</v>
      </c>
    </row>
    <row r="5093" spans="1:22" x14ac:dyDescent="0.35">
      <c r="A5093" s="3">
        <v>43867</v>
      </c>
      <c r="B5093" t="s">
        <v>52</v>
      </c>
      <c r="C5093">
        <v>16.8</v>
      </c>
      <c r="D5093">
        <v>16.920000000000002</v>
      </c>
      <c r="E5093">
        <v>16.68</v>
      </c>
      <c r="F5093">
        <v>16.7</v>
      </c>
      <c r="G5093">
        <v>16.774999999999999</v>
      </c>
      <c r="H5093">
        <v>-0.1</v>
      </c>
      <c r="I5093">
        <v>3917</v>
      </c>
      <c r="J5093">
        <v>0</v>
      </c>
      <c r="K5093">
        <v>16994</v>
      </c>
      <c r="L5093">
        <v>92</v>
      </c>
      <c r="M5093">
        <v>132</v>
      </c>
      <c r="N5093" t="s">
        <v>52</v>
      </c>
      <c r="O5093" s="3">
        <v>43999</v>
      </c>
      <c r="P5093">
        <v>-1</v>
      </c>
      <c r="T5093" t="s">
        <v>29</v>
      </c>
      <c r="U5093">
        <v>66</v>
      </c>
      <c r="V5093">
        <v>26.6707</v>
      </c>
    </row>
    <row r="5094" spans="1:22" x14ac:dyDescent="0.35">
      <c r="A5094" s="3">
        <v>43867</v>
      </c>
      <c r="B5094" t="s">
        <v>49</v>
      </c>
      <c r="C5094">
        <v>17.3</v>
      </c>
      <c r="D5094">
        <v>17.47</v>
      </c>
      <c r="E5094">
        <v>17.25</v>
      </c>
      <c r="F5094">
        <v>17.350000000000001</v>
      </c>
      <c r="G5094">
        <v>17.375</v>
      </c>
      <c r="H5094">
        <v>-2.5000000000000001E-2</v>
      </c>
      <c r="I5094">
        <v>368</v>
      </c>
      <c r="J5094">
        <v>0</v>
      </c>
      <c r="K5094">
        <v>4750</v>
      </c>
      <c r="L5094">
        <v>156</v>
      </c>
      <c r="M5094">
        <v>223</v>
      </c>
      <c r="N5094" t="s">
        <v>49</v>
      </c>
      <c r="O5094" s="3">
        <v>44090</v>
      </c>
      <c r="P5094">
        <v>-1</v>
      </c>
      <c r="T5094" t="s">
        <v>28</v>
      </c>
      <c r="U5094">
        <v>85</v>
      </c>
      <c r="V5094">
        <v>26.483000000000001</v>
      </c>
    </row>
    <row r="5095" spans="1:22" x14ac:dyDescent="0.35">
      <c r="A5095" s="3">
        <v>43866</v>
      </c>
      <c r="B5095" t="s">
        <v>51</v>
      </c>
      <c r="C5095">
        <v>17.149999999999999</v>
      </c>
      <c r="D5095">
        <v>17.25</v>
      </c>
      <c r="E5095">
        <v>16.899999999999999</v>
      </c>
      <c r="F5095">
        <v>17.05</v>
      </c>
      <c r="G5095">
        <v>17.125</v>
      </c>
      <c r="H5095">
        <v>0</v>
      </c>
      <c r="I5095">
        <v>2663</v>
      </c>
      <c r="J5095">
        <v>0</v>
      </c>
      <c r="K5095">
        <v>10376</v>
      </c>
      <c r="L5095">
        <v>118</v>
      </c>
      <c r="M5095">
        <v>168</v>
      </c>
      <c r="N5095" t="s">
        <v>51</v>
      </c>
      <c r="O5095" s="3">
        <v>44034</v>
      </c>
      <c r="P5095">
        <v>-1</v>
      </c>
      <c r="T5095" t="s">
        <v>22</v>
      </c>
      <c r="U5095">
        <v>109</v>
      </c>
      <c r="V5095">
        <v>26.651399999999999</v>
      </c>
    </row>
    <row r="5096" spans="1:22" x14ac:dyDescent="0.35">
      <c r="A5096" s="3">
        <v>43866</v>
      </c>
      <c r="B5096" t="s">
        <v>48</v>
      </c>
      <c r="C5096">
        <v>19.850000000000001</v>
      </c>
      <c r="D5096">
        <v>19.899999999999999</v>
      </c>
      <c r="E5096">
        <v>19.75</v>
      </c>
      <c r="F5096">
        <v>19.79</v>
      </c>
      <c r="G5096">
        <v>19.824999999999999</v>
      </c>
      <c r="H5096">
        <v>-0.1</v>
      </c>
      <c r="I5096">
        <v>525</v>
      </c>
      <c r="J5096">
        <v>0</v>
      </c>
      <c r="K5096">
        <v>7643</v>
      </c>
      <c r="L5096">
        <v>182</v>
      </c>
      <c r="M5096">
        <v>259</v>
      </c>
      <c r="N5096" t="s">
        <v>48</v>
      </c>
      <c r="O5096" s="3">
        <v>44125</v>
      </c>
      <c r="P5096">
        <v>-1</v>
      </c>
      <c r="T5096" t="s">
        <v>26</v>
      </c>
      <c r="U5096">
        <v>129</v>
      </c>
      <c r="V5096">
        <v>26.454499999999999</v>
      </c>
    </row>
    <row r="5097" spans="1:22" x14ac:dyDescent="0.35">
      <c r="A5097" s="3">
        <v>43866</v>
      </c>
      <c r="B5097" t="s">
        <v>53</v>
      </c>
      <c r="C5097">
        <v>16.7</v>
      </c>
      <c r="D5097">
        <v>16.850000000000001</v>
      </c>
      <c r="E5097">
        <v>16.37</v>
      </c>
      <c r="F5097">
        <v>16.48</v>
      </c>
      <c r="G5097">
        <v>16.524999999999999</v>
      </c>
      <c r="H5097">
        <v>-0.15</v>
      </c>
      <c r="I5097">
        <v>6903</v>
      </c>
      <c r="J5097">
        <v>0</v>
      </c>
      <c r="K5097">
        <v>25763</v>
      </c>
      <c r="L5097">
        <v>74</v>
      </c>
      <c r="M5097">
        <v>105</v>
      </c>
      <c r="N5097" t="s">
        <v>53</v>
      </c>
      <c r="O5097" s="3">
        <v>43971</v>
      </c>
      <c r="P5097">
        <v>-1</v>
      </c>
      <c r="T5097" t="s">
        <v>27</v>
      </c>
      <c r="U5097">
        <v>153</v>
      </c>
      <c r="V5097">
        <v>26.65</v>
      </c>
    </row>
    <row r="5098" spans="1:22" x14ac:dyDescent="0.35">
      <c r="A5098" s="3">
        <v>43866</v>
      </c>
      <c r="B5098" t="s">
        <v>47</v>
      </c>
      <c r="C5098">
        <v>17.899999999999999</v>
      </c>
      <c r="D5098">
        <v>17.899999999999999</v>
      </c>
      <c r="E5098">
        <v>17.850000000000001</v>
      </c>
      <c r="F5098">
        <v>17.87</v>
      </c>
      <c r="G5098">
        <v>17.925000000000001</v>
      </c>
      <c r="H5098">
        <v>-0.05</v>
      </c>
      <c r="I5098">
        <v>76</v>
      </c>
      <c r="J5098">
        <v>0</v>
      </c>
      <c r="K5098">
        <v>3723</v>
      </c>
      <c r="L5098">
        <v>202</v>
      </c>
      <c r="M5098">
        <v>287</v>
      </c>
      <c r="N5098" t="s">
        <v>47</v>
      </c>
      <c r="O5098" s="3">
        <v>44153</v>
      </c>
      <c r="P5098">
        <v>-1</v>
      </c>
      <c r="T5098" t="s">
        <v>25</v>
      </c>
      <c r="U5098">
        <v>173</v>
      </c>
      <c r="V5098">
        <v>26.725000000000001</v>
      </c>
    </row>
    <row r="5099" spans="1:22" x14ac:dyDescent="0.35">
      <c r="A5099" s="3">
        <v>43866</v>
      </c>
      <c r="B5099" t="s">
        <v>52</v>
      </c>
      <c r="C5099">
        <v>16.98</v>
      </c>
      <c r="D5099">
        <v>17.07</v>
      </c>
      <c r="E5099">
        <v>16.670000000000002</v>
      </c>
      <c r="F5099">
        <v>16.82</v>
      </c>
      <c r="G5099">
        <v>16.875</v>
      </c>
      <c r="H5099">
        <v>-0.05</v>
      </c>
      <c r="I5099">
        <v>3441</v>
      </c>
      <c r="J5099">
        <v>0</v>
      </c>
      <c r="K5099">
        <v>16252</v>
      </c>
      <c r="L5099">
        <v>93</v>
      </c>
      <c r="M5099">
        <v>133</v>
      </c>
      <c r="N5099" t="s">
        <v>52</v>
      </c>
      <c r="O5099" s="3">
        <v>43999</v>
      </c>
      <c r="P5099">
        <v>-1</v>
      </c>
      <c r="S5099" s="3">
        <v>44607</v>
      </c>
      <c r="T5099" t="s">
        <v>32</v>
      </c>
      <c r="U5099">
        <v>1</v>
      </c>
      <c r="V5099">
        <v>25.383299999999998</v>
      </c>
    </row>
    <row r="5100" spans="1:22" x14ac:dyDescent="0.35">
      <c r="A5100" s="3">
        <v>43866</v>
      </c>
      <c r="B5100" t="s">
        <v>49</v>
      </c>
      <c r="C5100">
        <v>17.399999999999999</v>
      </c>
      <c r="D5100">
        <v>17.48</v>
      </c>
      <c r="E5100">
        <v>17.28</v>
      </c>
      <c r="F5100">
        <v>17.399999999999999</v>
      </c>
      <c r="G5100">
        <v>17.399999999999999</v>
      </c>
      <c r="H5100">
        <v>0.05</v>
      </c>
      <c r="I5100">
        <v>977</v>
      </c>
      <c r="J5100">
        <v>0</v>
      </c>
      <c r="K5100">
        <v>4837</v>
      </c>
      <c r="L5100">
        <v>157</v>
      </c>
      <c r="M5100">
        <v>224</v>
      </c>
      <c r="N5100" t="s">
        <v>49</v>
      </c>
      <c r="O5100" s="3">
        <v>44090</v>
      </c>
      <c r="P5100">
        <v>-1</v>
      </c>
      <c r="T5100" t="s">
        <v>31</v>
      </c>
      <c r="U5100">
        <v>19</v>
      </c>
      <c r="V5100">
        <v>25.548400000000001</v>
      </c>
    </row>
    <row r="5101" spans="1:22" x14ac:dyDescent="0.35">
      <c r="A5101" s="3">
        <v>43866</v>
      </c>
      <c r="B5101" t="s">
        <v>54</v>
      </c>
      <c r="C5101">
        <v>16.82</v>
      </c>
      <c r="D5101">
        <v>16.96</v>
      </c>
      <c r="E5101">
        <v>16.36</v>
      </c>
      <c r="F5101">
        <v>16.46</v>
      </c>
      <c r="G5101">
        <v>16.524999999999999</v>
      </c>
      <c r="H5101">
        <v>-0.25</v>
      </c>
      <c r="I5101">
        <v>16447</v>
      </c>
      <c r="J5101">
        <v>0</v>
      </c>
      <c r="K5101">
        <v>53349</v>
      </c>
      <c r="L5101">
        <v>49</v>
      </c>
      <c r="M5101">
        <v>70</v>
      </c>
      <c r="N5101" t="s">
        <v>54</v>
      </c>
      <c r="O5101" s="3">
        <v>43936</v>
      </c>
      <c r="P5101">
        <v>-1</v>
      </c>
      <c r="T5101" t="s">
        <v>30</v>
      </c>
      <c r="U5101">
        <v>45</v>
      </c>
      <c r="V5101">
        <v>25.614999999999998</v>
      </c>
    </row>
    <row r="5102" spans="1:22" x14ac:dyDescent="0.35">
      <c r="A5102" s="3">
        <v>43866</v>
      </c>
      <c r="B5102" t="s">
        <v>50</v>
      </c>
      <c r="C5102">
        <v>17.2</v>
      </c>
      <c r="D5102">
        <v>17.3</v>
      </c>
      <c r="E5102">
        <v>17.010000000000002</v>
      </c>
      <c r="F5102">
        <v>17.13</v>
      </c>
      <c r="G5102">
        <v>17.175000000000001</v>
      </c>
      <c r="H5102">
        <v>0</v>
      </c>
      <c r="I5102">
        <v>1085</v>
      </c>
      <c r="J5102">
        <v>0</v>
      </c>
      <c r="K5102">
        <v>6219</v>
      </c>
      <c r="L5102">
        <v>138</v>
      </c>
      <c r="M5102">
        <v>196</v>
      </c>
      <c r="N5102" t="s">
        <v>50</v>
      </c>
      <c r="O5102" s="3">
        <v>44062</v>
      </c>
      <c r="P5102">
        <v>-1</v>
      </c>
      <c r="T5102" t="s">
        <v>29</v>
      </c>
      <c r="U5102">
        <v>65</v>
      </c>
      <c r="V5102">
        <v>25.685199999999998</v>
      </c>
    </row>
    <row r="5103" spans="1:22" x14ac:dyDescent="0.35">
      <c r="A5103" s="3">
        <v>43866</v>
      </c>
      <c r="B5103" t="s">
        <v>55</v>
      </c>
      <c r="C5103">
        <v>16.55</v>
      </c>
      <c r="D5103">
        <v>16.8</v>
      </c>
      <c r="E5103">
        <v>15.97</v>
      </c>
      <c r="F5103">
        <v>16.100000000000001</v>
      </c>
      <c r="G5103">
        <v>16.125</v>
      </c>
      <c r="H5103">
        <v>-0.4</v>
      </c>
      <c r="I5103">
        <v>90853</v>
      </c>
      <c r="J5103">
        <v>1382</v>
      </c>
      <c r="K5103">
        <v>157465</v>
      </c>
      <c r="L5103">
        <v>29</v>
      </c>
      <c r="M5103">
        <v>42</v>
      </c>
      <c r="N5103" t="s">
        <v>55</v>
      </c>
      <c r="O5103" s="3">
        <v>43908</v>
      </c>
      <c r="P5103">
        <v>-1</v>
      </c>
      <c r="T5103" t="s">
        <v>28</v>
      </c>
      <c r="U5103">
        <v>84</v>
      </c>
      <c r="V5103">
        <v>25.6538</v>
      </c>
    </row>
    <row r="5104" spans="1:22" x14ac:dyDescent="0.35">
      <c r="A5104" s="3">
        <v>43865</v>
      </c>
      <c r="B5104" t="s">
        <v>54</v>
      </c>
      <c r="C5104">
        <v>17.55</v>
      </c>
      <c r="D5104">
        <v>17.63</v>
      </c>
      <c r="E5104">
        <v>16.649999999999999</v>
      </c>
      <c r="F5104">
        <v>16.79</v>
      </c>
      <c r="G5104">
        <v>16.774999999999999</v>
      </c>
      <c r="H5104">
        <v>-0.7</v>
      </c>
      <c r="I5104">
        <v>17286</v>
      </c>
      <c r="J5104">
        <v>0</v>
      </c>
      <c r="K5104">
        <v>53931</v>
      </c>
      <c r="L5104">
        <v>50</v>
      </c>
      <c r="M5104">
        <v>71</v>
      </c>
      <c r="N5104" t="s">
        <v>54</v>
      </c>
      <c r="O5104" s="3">
        <v>43936</v>
      </c>
      <c r="P5104">
        <v>-1</v>
      </c>
      <c r="T5104" t="s">
        <v>22</v>
      </c>
      <c r="U5104">
        <v>108</v>
      </c>
      <c r="V5104">
        <v>25.917400000000001</v>
      </c>
    </row>
    <row r="5105" spans="1:22" x14ac:dyDescent="0.35">
      <c r="A5105" s="3">
        <v>43865</v>
      </c>
      <c r="B5105" t="s">
        <v>50</v>
      </c>
      <c r="C5105">
        <v>17.77</v>
      </c>
      <c r="D5105">
        <v>17.8</v>
      </c>
      <c r="E5105">
        <v>17.149999999999999</v>
      </c>
      <c r="F5105">
        <v>17.2</v>
      </c>
      <c r="G5105">
        <v>17.175000000000001</v>
      </c>
      <c r="H5105">
        <v>-0.55000000000000004</v>
      </c>
      <c r="I5105">
        <v>1289</v>
      </c>
      <c r="J5105">
        <v>0</v>
      </c>
      <c r="K5105">
        <v>5925</v>
      </c>
      <c r="L5105">
        <v>139</v>
      </c>
      <c r="M5105">
        <v>197</v>
      </c>
      <c r="N5105" t="s">
        <v>50</v>
      </c>
      <c r="O5105" s="3">
        <v>44062</v>
      </c>
      <c r="P5105">
        <v>-1</v>
      </c>
      <c r="T5105" t="s">
        <v>26</v>
      </c>
      <c r="U5105">
        <v>128</v>
      </c>
      <c r="V5105">
        <v>25.720600000000001</v>
      </c>
    </row>
    <row r="5106" spans="1:22" x14ac:dyDescent="0.35">
      <c r="A5106" s="3">
        <v>43865</v>
      </c>
      <c r="B5106" t="s">
        <v>55</v>
      </c>
      <c r="C5106">
        <v>17.420000000000002</v>
      </c>
      <c r="D5106">
        <v>17.57</v>
      </c>
      <c r="E5106">
        <v>16.350000000000001</v>
      </c>
      <c r="F5106">
        <v>16.55</v>
      </c>
      <c r="G5106">
        <v>16.524999999999999</v>
      </c>
      <c r="H5106">
        <v>-0.9</v>
      </c>
      <c r="I5106">
        <v>90688</v>
      </c>
      <c r="J5106">
        <v>71</v>
      </c>
      <c r="K5106">
        <v>151475</v>
      </c>
      <c r="L5106">
        <v>30</v>
      </c>
      <c r="M5106">
        <v>43</v>
      </c>
      <c r="N5106" t="s">
        <v>55</v>
      </c>
      <c r="O5106" s="3">
        <v>43908</v>
      </c>
      <c r="P5106">
        <v>-1</v>
      </c>
      <c r="T5106" t="s">
        <v>27</v>
      </c>
      <c r="U5106">
        <v>152</v>
      </c>
      <c r="V5106">
        <v>25.925000000000001</v>
      </c>
    </row>
    <row r="5107" spans="1:22" x14ac:dyDescent="0.35">
      <c r="A5107" s="3">
        <v>43865</v>
      </c>
      <c r="B5107" t="s">
        <v>51</v>
      </c>
      <c r="C5107">
        <v>17.75</v>
      </c>
      <c r="D5107">
        <v>17.8</v>
      </c>
      <c r="E5107">
        <v>17.100000000000001</v>
      </c>
      <c r="F5107">
        <v>17.12</v>
      </c>
      <c r="G5107">
        <v>17.125</v>
      </c>
      <c r="H5107">
        <v>-0.6</v>
      </c>
      <c r="I5107">
        <v>2947</v>
      </c>
      <c r="J5107">
        <v>0</v>
      </c>
      <c r="K5107">
        <v>10324</v>
      </c>
      <c r="L5107">
        <v>119</v>
      </c>
      <c r="M5107">
        <v>169</v>
      </c>
      <c r="N5107" t="s">
        <v>51</v>
      </c>
      <c r="O5107" s="3">
        <v>44034</v>
      </c>
      <c r="P5107">
        <v>-1</v>
      </c>
      <c r="T5107" t="s">
        <v>25</v>
      </c>
      <c r="U5107">
        <v>172</v>
      </c>
      <c r="V5107">
        <v>26</v>
      </c>
    </row>
    <row r="5108" spans="1:22" x14ac:dyDescent="0.35">
      <c r="A5108" s="3">
        <v>43865</v>
      </c>
      <c r="B5108" t="s">
        <v>48</v>
      </c>
      <c r="C5108">
        <v>20</v>
      </c>
      <c r="D5108">
        <v>20.010000000000002</v>
      </c>
      <c r="E5108">
        <v>19.850000000000001</v>
      </c>
      <c r="F5108">
        <v>19.899999999999999</v>
      </c>
      <c r="G5108">
        <v>19.925000000000001</v>
      </c>
      <c r="H5108">
        <v>-0.15</v>
      </c>
      <c r="I5108">
        <v>395</v>
      </c>
      <c r="J5108">
        <v>0</v>
      </c>
      <c r="K5108">
        <v>7283</v>
      </c>
      <c r="L5108">
        <v>183</v>
      </c>
      <c r="M5108">
        <v>260</v>
      </c>
      <c r="N5108" t="s">
        <v>48</v>
      </c>
      <c r="O5108" s="3">
        <v>44125</v>
      </c>
      <c r="P5108">
        <v>-1</v>
      </c>
      <c r="S5108" s="3">
        <v>44608</v>
      </c>
      <c r="T5108" t="s">
        <v>32</v>
      </c>
      <c r="U5108">
        <v>0</v>
      </c>
      <c r="V5108">
        <v>26.37</v>
      </c>
    </row>
    <row r="5109" spans="1:22" x14ac:dyDescent="0.35">
      <c r="A5109" s="3">
        <v>43865</v>
      </c>
      <c r="B5109" t="s">
        <v>53</v>
      </c>
      <c r="C5109">
        <v>17.3</v>
      </c>
      <c r="D5109">
        <v>17.39</v>
      </c>
      <c r="E5109">
        <v>16.600000000000001</v>
      </c>
      <c r="F5109">
        <v>16.670000000000002</v>
      </c>
      <c r="G5109">
        <v>16.675000000000001</v>
      </c>
      <c r="H5109">
        <v>-0.6</v>
      </c>
      <c r="I5109">
        <v>7768</v>
      </c>
      <c r="J5109">
        <v>0</v>
      </c>
      <c r="K5109">
        <v>26154</v>
      </c>
      <c r="L5109">
        <v>75</v>
      </c>
      <c r="M5109">
        <v>106</v>
      </c>
      <c r="N5109" t="s">
        <v>53</v>
      </c>
      <c r="O5109" s="3">
        <v>43971</v>
      </c>
      <c r="P5109">
        <v>-1</v>
      </c>
      <c r="S5109" s="3">
        <v>44609</v>
      </c>
      <c r="T5109" t="s">
        <v>32</v>
      </c>
      <c r="U5109">
        <v>-1</v>
      </c>
      <c r="V5109">
        <v>26.37</v>
      </c>
    </row>
    <row r="5110" spans="1:22" x14ac:dyDescent="0.35">
      <c r="A5110" s="3">
        <v>43865</v>
      </c>
      <c r="B5110" t="s">
        <v>47</v>
      </c>
      <c r="C5110">
        <v>18.100000000000001</v>
      </c>
      <c r="D5110">
        <v>18.14</v>
      </c>
      <c r="E5110">
        <v>17.899999999999999</v>
      </c>
      <c r="F5110">
        <v>17.95</v>
      </c>
      <c r="G5110">
        <v>17.975000000000001</v>
      </c>
      <c r="H5110">
        <v>-0.17499999999999999</v>
      </c>
      <c r="I5110">
        <v>185</v>
      </c>
      <c r="J5110">
        <v>0</v>
      </c>
      <c r="K5110">
        <v>3678</v>
      </c>
      <c r="L5110">
        <v>203</v>
      </c>
      <c r="M5110">
        <v>288</v>
      </c>
      <c r="N5110" t="s">
        <v>47</v>
      </c>
      <c r="O5110" s="3">
        <v>44153</v>
      </c>
      <c r="P5110">
        <v>-1</v>
      </c>
      <c r="S5110" s="3">
        <v>44610</v>
      </c>
      <c r="T5110" t="s">
        <v>31</v>
      </c>
      <c r="U5110">
        <v>16</v>
      </c>
      <c r="V5110">
        <v>28.148199999999999</v>
      </c>
    </row>
    <row r="5111" spans="1:22" x14ac:dyDescent="0.35">
      <c r="A5111" s="3">
        <v>43865</v>
      </c>
      <c r="B5111" t="s">
        <v>52</v>
      </c>
      <c r="C5111">
        <v>17.600000000000001</v>
      </c>
      <c r="D5111">
        <v>17.63</v>
      </c>
      <c r="E5111">
        <v>16.899999999999999</v>
      </c>
      <c r="F5111">
        <v>16.940000000000001</v>
      </c>
      <c r="G5111">
        <v>16.925000000000001</v>
      </c>
      <c r="H5111">
        <v>-0.6</v>
      </c>
      <c r="I5111">
        <v>3213</v>
      </c>
      <c r="J5111">
        <v>0</v>
      </c>
      <c r="K5111">
        <v>17094</v>
      </c>
      <c r="L5111">
        <v>94</v>
      </c>
      <c r="M5111">
        <v>134</v>
      </c>
      <c r="N5111" t="s">
        <v>52</v>
      </c>
      <c r="O5111" s="3">
        <v>43999</v>
      </c>
      <c r="P5111">
        <v>-1</v>
      </c>
      <c r="T5111" t="s">
        <v>30</v>
      </c>
      <c r="U5111">
        <v>42</v>
      </c>
      <c r="V5111">
        <v>27.276700000000002</v>
      </c>
    </row>
    <row r="5112" spans="1:22" x14ac:dyDescent="0.35">
      <c r="A5112" s="3">
        <v>43865</v>
      </c>
      <c r="B5112" t="s">
        <v>49</v>
      </c>
      <c r="C5112">
        <v>17.850000000000001</v>
      </c>
      <c r="D5112">
        <v>17.95</v>
      </c>
      <c r="E5112">
        <v>17.329999999999998</v>
      </c>
      <c r="F5112">
        <v>17.37</v>
      </c>
      <c r="G5112">
        <v>17.350000000000001</v>
      </c>
      <c r="H5112">
        <v>-0.55000000000000004</v>
      </c>
      <c r="I5112">
        <v>760</v>
      </c>
      <c r="J5112">
        <v>0</v>
      </c>
      <c r="K5112">
        <v>4594</v>
      </c>
      <c r="L5112">
        <v>158</v>
      </c>
      <c r="M5112">
        <v>225</v>
      </c>
      <c r="N5112" t="s">
        <v>49</v>
      </c>
      <c r="O5112" s="3">
        <v>44090</v>
      </c>
      <c r="P5112">
        <v>-1</v>
      </c>
      <c r="T5112" t="s">
        <v>29</v>
      </c>
      <c r="U5112">
        <v>62</v>
      </c>
      <c r="V5112">
        <v>26.851700000000001</v>
      </c>
    </row>
    <row r="5113" spans="1:22" x14ac:dyDescent="0.35">
      <c r="A5113" s="3">
        <v>43864</v>
      </c>
      <c r="B5113" t="s">
        <v>51</v>
      </c>
      <c r="C5113">
        <v>17.989999999999998</v>
      </c>
      <c r="D5113">
        <v>17.989999999999998</v>
      </c>
      <c r="E5113">
        <v>17.600000000000001</v>
      </c>
      <c r="F5113">
        <v>17.75</v>
      </c>
      <c r="G5113">
        <v>17.725000000000001</v>
      </c>
      <c r="H5113">
        <v>-0.25</v>
      </c>
      <c r="I5113">
        <v>2418</v>
      </c>
      <c r="J5113">
        <v>0</v>
      </c>
      <c r="K5113">
        <v>10424</v>
      </c>
      <c r="L5113">
        <v>120</v>
      </c>
      <c r="M5113">
        <v>170</v>
      </c>
      <c r="N5113" t="s">
        <v>51</v>
      </c>
      <c r="O5113" s="3">
        <v>44034</v>
      </c>
      <c r="P5113">
        <v>-1</v>
      </c>
      <c r="T5113" t="s">
        <v>28</v>
      </c>
      <c r="U5113">
        <v>81</v>
      </c>
      <c r="V5113">
        <v>26.524100000000001</v>
      </c>
    </row>
    <row r="5114" spans="1:22" x14ac:dyDescent="0.35">
      <c r="A5114" s="3">
        <v>43864</v>
      </c>
      <c r="B5114" t="s">
        <v>48</v>
      </c>
      <c r="C5114">
        <v>20.100000000000001</v>
      </c>
      <c r="D5114">
        <v>20.149999999999999</v>
      </c>
      <c r="E5114">
        <v>19.989999999999998</v>
      </c>
      <c r="F5114">
        <v>20.07</v>
      </c>
      <c r="G5114">
        <v>20.074999999999999</v>
      </c>
      <c r="H5114">
        <v>-0.1</v>
      </c>
      <c r="I5114">
        <v>169</v>
      </c>
      <c r="J5114">
        <v>0</v>
      </c>
      <c r="K5114">
        <v>6979</v>
      </c>
      <c r="L5114">
        <v>184</v>
      </c>
      <c r="M5114">
        <v>261</v>
      </c>
      <c r="N5114" t="s">
        <v>48</v>
      </c>
      <c r="O5114" s="3">
        <v>44125</v>
      </c>
      <c r="P5114">
        <v>-1</v>
      </c>
      <c r="T5114" t="s">
        <v>22</v>
      </c>
      <c r="U5114">
        <v>105</v>
      </c>
      <c r="V5114">
        <v>26.704999999999998</v>
      </c>
    </row>
    <row r="5115" spans="1:22" x14ac:dyDescent="0.35">
      <c r="A5115" s="3">
        <v>43864</v>
      </c>
      <c r="B5115" t="s">
        <v>53</v>
      </c>
      <c r="C5115">
        <v>17.600000000000001</v>
      </c>
      <c r="D5115">
        <v>17.649999999999999</v>
      </c>
      <c r="E5115">
        <v>17.16</v>
      </c>
      <c r="F5115">
        <v>17.32</v>
      </c>
      <c r="G5115">
        <v>17.274999999999999</v>
      </c>
      <c r="H5115">
        <v>-0.3</v>
      </c>
      <c r="I5115">
        <v>9963</v>
      </c>
      <c r="J5115">
        <v>0</v>
      </c>
      <c r="K5115">
        <v>25925</v>
      </c>
      <c r="L5115">
        <v>76</v>
      </c>
      <c r="M5115">
        <v>107</v>
      </c>
      <c r="N5115" t="s">
        <v>53</v>
      </c>
      <c r="O5115" s="3">
        <v>43971</v>
      </c>
      <c r="P5115">
        <v>-1</v>
      </c>
      <c r="T5115" t="s">
        <v>26</v>
      </c>
      <c r="U5115">
        <v>125</v>
      </c>
      <c r="V5115">
        <v>26.444400000000002</v>
      </c>
    </row>
    <row r="5116" spans="1:22" x14ac:dyDescent="0.35">
      <c r="A5116" s="3">
        <v>43864</v>
      </c>
      <c r="B5116" t="s">
        <v>47</v>
      </c>
      <c r="C5116">
        <v>18.2</v>
      </c>
      <c r="D5116">
        <v>18.2</v>
      </c>
      <c r="E5116">
        <v>18.12</v>
      </c>
      <c r="F5116">
        <v>18.149999999999999</v>
      </c>
      <c r="G5116">
        <v>18.149999999999999</v>
      </c>
      <c r="H5116">
        <v>-0.05</v>
      </c>
      <c r="I5116">
        <v>233</v>
      </c>
      <c r="J5116">
        <v>0</v>
      </c>
      <c r="K5116">
        <v>3524</v>
      </c>
      <c r="L5116">
        <v>204</v>
      </c>
      <c r="M5116">
        <v>289</v>
      </c>
      <c r="N5116" t="s">
        <v>47</v>
      </c>
      <c r="O5116" s="3">
        <v>44153</v>
      </c>
      <c r="P5116">
        <v>-1</v>
      </c>
      <c r="T5116" t="s">
        <v>27</v>
      </c>
      <c r="U5116">
        <v>149</v>
      </c>
      <c r="V5116">
        <v>26.5733</v>
      </c>
    </row>
    <row r="5117" spans="1:22" x14ac:dyDescent="0.35">
      <c r="A5117" s="3">
        <v>43864</v>
      </c>
      <c r="B5117" t="s">
        <v>52</v>
      </c>
      <c r="C5117">
        <v>17.899999999999999</v>
      </c>
      <c r="D5117">
        <v>17.899999999999999</v>
      </c>
      <c r="E5117">
        <v>17.45</v>
      </c>
      <c r="F5117">
        <v>17.559999999999999</v>
      </c>
      <c r="G5117">
        <v>17.524999999999999</v>
      </c>
      <c r="H5117">
        <v>-0.32500000000000001</v>
      </c>
      <c r="I5117">
        <v>5653</v>
      </c>
      <c r="J5117">
        <v>0</v>
      </c>
      <c r="K5117">
        <v>17002</v>
      </c>
      <c r="L5117">
        <v>95</v>
      </c>
      <c r="M5117">
        <v>135</v>
      </c>
      <c r="N5117" t="s">
        <v>52</v>
      </c>
      <c r="O5117" s="3">
        <v>43999</v>
      </c>
      <c r="P5117">
        <v>-1</v>
      </c>
      <c r="T5117" t="s">
        <v>25</v>
      </c>
      <c r="U5117">
        <v>169</v>
      </c>
      <c r="V5117">
        <v>26.625</v>
      </c>
    </row>
    <row r="5118" spans="1:22" x14ac:dyDescent="0.35">
      <c r="A5118" s="3">
        <v>43864</v>
      </c>
      <c r="B5118" t="s">
        <v>49</v>
      </c>
      <c r="C5118">
        <v>18.100000000000001</v>
      </c>
      <c r="D5118">
        <v>18.100000000000001</v>
      </c>
      <c r="E5118">
        <v>17.84</v>
      </c>
      <c r="F5118">
        <v>17.899999999999999</v>
      </c>
      <c r="G5118">
        <v>17.899999999999999</v>
      </c>
      <c r="H5118">
        <v>-0.22500000000000001</v>
      </c>
      <c r="I5118">
        <v>795</v>
      </c>
      <c r="J5118">
        <v>0</v>
      </c>
      <c r="K5118">
        <v>4553</v>
      </c>
      <c r="L5118">
        <v>159</v>
      </c>
      <c r="M5118">
        <v>226</v>
      </c>
      <c r="N5118" t="s">
        <v>49</v>
      </c>
      <c r="O5118" s="3">
        <v>44090</v>
      </c>
      <c r="P5118">
        <v>-1</v>
      </c>
      <c r="S5118" s="3">
        <v>44614</v>
      </c>
      <c r="T5118" t="s">
        <v>31</v>
      </c>
      <c r="U5118">
        <v>15</v>
      </c>
      <c r="V5118">
        <v>27.960100000000001</v>
      </c>
    </row>
    <row r="5119" spans="1:22" x14ac:dyDescent="0.35">
      <c r="A5119" s="3">
        <v>43864</v>
      </c>
      <c r="B5119" t="s">
        <v>54</v>
      </c>
      <c r="C5119">
        <v>17.899999999999999</v>
      </c>
      <c r="D5119">
        <v>17.920000000000002</v>
      </c>
      <c r="E5119">
        <v>17.239999999999998</v>
      </c>
      <c r="F5119">
        <v>17.53</v>
      </c>
      <c r="G5119">
        <v>17.475000000000001</v>
      </c>
      <c r="H5119">
        <v>-0.35</v>
      </c>
      <c r="I5119">
        <v>21370</v>
      </c>
      <c r="J5119">
        <v>0</v>
      </c>
      <c r="K5119">
        <v>53607</v>
      </c>
      <c r="L5119">
        <v>51</v>
      </c>
      <c r="M5119">
        <v>72</v>
      </c>
      <c r="N5119" t="s">
        <v>54</v>
      </c>
      <c r="O5119" s="3">
        <v>43936</v>
      </c>
      <c r="P5119">
        <v>-1</v>
      </c>
      <c r="T5119" t="s">
        <v>30</v>
      </c>
      <c r="U5119">
        <v>41</v>
      </c>
      <c r="V5119">
        <v>27.085100000000001</v>
      </c>
    </row>
    <row r="5120" spans="1:22" x14ac:dyDescent="0.35">
      <c r="A5120" s="3">
        <v>43864</v>
      </c>
      <c r="B5120" t="s">
        <v>50</v>
      </c>
      <c r="C5120">
        <v>18</v>
      </c>
      <c r="D5120">
        <v>18</v>
      </c>
      <c r="E5120">
        <v>17.649999999999999</v>
      </c>
      <c r="F5120">
        <v>17.760000000000002</v>
      </c>
      <c r="G5120">
        <v>17.725000000000001</v>
      </c>
      <c r="H5120">
        <v>-0.25</v>
      </c>
      <c r="I5120">
        <v>1343</v>
      </c>
      <c r="J5120">
        <v>0</v>
      </c>
      <c r="K5120">
        <v>5860</v>
      </c>
      <c r="L5120">
        <v>140</v>
      </c>
      <c r="M5120">
        <v>198</v>
      </c>
      <c r="N5120" t="s">
        <v>50</v>
      </c>
      <c r="O5120" s="3">
        <v>44062</v>
      </c>
      <c r="P5120">
        <v>-1</v>
      </c>
      <c r="T5120" t="s">
        <v>29</v>
      </c>
      <c r="U5120">
        <v>61</v>
      </c>
      <c r="V5120">
        <v>26.647500000000001</v>
      </c>
    </row>
    <row r="5121" spans="1:22" x14ac:dyDescent="0.35">
      <c r="A5121" s="3">
        <v>43864</v>
      </c>
      <c r="B5121" t="s">
        <v>55</v>
      </c>
      <c r="C5121">
        <v>17.850000000000001</v>
      </c>
      <c r="D5121">
        <v>17.850000000000001</v>
      </c>
      <c r="E5121">
        <v>17</v>
      </c>
      <c r="F5121">
        <v>17.41</v>
      </c>
      <c r="G5121">
        <v>17.425000000000001</v>
      </c>
      <c r="H5121">
        <v>-0.3</v>
      </c>
      <c r="I5121">
        <v>114742</v>
      </c>
      <c r="J5121">
        <v>707</v>
      </c>
      <c r="K5121">
        <v>151056</v>
      </c>
      <c r="L5121">
        <v>31</v>
      </c>
      <c r="M5121">
        <v>44</v>
      </c>
      <c r="N5121" t="s">
        <v>55</v>
      </c>
      <c r="O5121" s="3">
        <v>43908</v>
      </c>
      <c r="P5121">
        <v>-1</v>
      </c>
      <c r="T5121" t="s">
        <v>28</v>
      </c>
      <c r="U5121">
        <v>80</v>
      </c>
      <c r="V5121">
        <v>26.398700000000002</v>
      </c>
    </row>
    <row r="5122" spans="1:22" x14ac:dyDescent="0.35">
      <c r="A5122" s="3">
        <v>43861</v>
      </c>
      <c r="B5122" t="s">
        <v>54</v>
      </c>
      <c r="C5122">
        <v>16.75</v>
      </c>
      <c r="D5122">
        <v>18.16</v>
      </c>
      <c r="E5122">
        <v>16.649999999999999</v>
      </c>
      <c r="F5122">
        <v>17.829999999999998</v>
      </c>
      <c r="G5122">
        <v>17.824999999999999</v>
      </c>
      <c r="H5122">
        <v>1.1000000000000001</v>
      </c>
      <c r="I5122">
        <v>35392</v>
      </c>
      <c r="J5122">
        <v>0</v>
      </c>
      <c r="K5122">
        <v>53361</v>
      </c>
      <c r="L5122">
        <v>52</v>
      </c>
      <c r="M5122">
        <v>75</v>
      </c>
      <c r="N5122" t="s">
        <v>54</v>
      </c>
      <c r="O5122" s="3">
        <v>43936</v>
      </c>
      <c r="P5122">
        <v>-1</v>
      </c>
      <c r="T5122" t="s">
        <v>22</v>
      </c>
      <c r="U5122">
        <v>104</v>
      </c>
      <c r="V5122">
        <v>26.5976</v>
      </c>
    </row>
    <row r="5123" spans="1:22" x14ac:dyDescent="0.35">
      <c r="A5123" s="3">
        <v>43861</v>
      </c>
      <c r="B5123" t="s">
        <v>50</v>
      </c>
      <c r="C5123">
        <v>17.399999999999999</v>
      </c>
      <c r="D5123">
        <v>18.07</v>
      </c>
      <c r="E5123">
        <v>17.3</v>
      </c>
      <c r="F5123">
        <v>18</v>
      </c>
      <c r="G5123">
        <v>17.975000000000001</v>
      </c>
      <c r="H5123">
        <v>0.6</v>
      </c>
      <c r="I5123">
        <v>1823</v>
      </c>
      <c r="J5123">
        <v>0</v>
      </c>
      <c r="K5123">
        <v>5795</v>
      </c>
      <c r="L5123">
        <v>141</v>
      </c>
      <c r="M5123">
        <v>201</v>
      </c>
      <c r="N5123" t="s">
        <v>50</v>
      </c>
      <c r="O5123" s="3">
        <v>44062</v>
      </c>
      <c r="P5123">
        <v>-1</v>
      </c>
      <c r="T5123" t="s">
        <v>26</v>
      </c>
      <c r="U5123">
        <v>124</v>
      </c>
      <c r="V5123">
        <v>26.35</v>
      </c>
    </row>
    <row r="5124" spans="1:22" x14ac:dyDescent="0.35">
      <c r="A5124" s="3">
        <v>43861</v>
      </c>
      <c r="B5124" t="s">
        <v>55</v>
      </c>
      <c r="C5124">
        <v>16.399999999999999</v>
      </c>
      <c r="D5124">
        <v>18.350000000000001</v>
      </c>
      <c r="E5124">
        <v>16.260000000000002</v>
      </c>
      <c r="F5124">
        <v>17.8</v>
      </c>
      <c r="G5124">
        <v>17.725000000000001</v>
      </c>
      <c r="H5124">
        <v>1.3</v>
      </c>
      <c r="I5124">
        <v>140711</v>
      </c>
      <c r="J5124">
        <v>1178</v>
      </c>
      <c r="K5124">
        <v>135742</v>
      </c>
      <c r="L5124">
        <v>32</v>
      </c>
      <c r="M5124">
        <v>47</v>
      </c>
      <c r="N5124" t="s">
        <v>55</v>
      </c>
      <c r="O5124" s="3">
        <v>43908</v>
      </c>
      <c r="P5124">
        <v>-1</v>
      </c>
      <c r="T5124" t="s">
        <v>27</v>
      </c>
      <c r="U5124">
        <v>148</v>
      </c>
      <c r="V5124">
        <v>26.45</v>
      </c>
    </row>
    <row r="5125" spans="1:22" x14ac:dyDescent="0.35">
      <c r="A5125" s="3">
        <v>43861</v>
      </c>
      <c r="B5125" t="s">
        <v>51</v>
      </c>
      <c r="C5125">
        <v>17.3</v>
      </c>
      <c r="D5125">
        <v>18.100000000000001</v>
      </c>
      <c r="E5125">
        <v>17.2</v>
      </c>
      <c r="F5125">
        <v>17.97</v>
      </c>
      <c r="G5125">
        <v>17.975000000000001</v>
      </c>
      <c r="H5125">
        <v>0.65</v>
      </c>
      <c r="I5125">
        <v>4703</v>
      </c>
      <c r="J5125">
        <v>0</v>
      </c>
      <c r="K5125">
        <v>10448</v>
      </c>
      <c r="L5125">
        <v>121</v>
      </c>
      <c r="M5125">
        <v>173</v>
      </c>
      <c r="N5125" t="s">
        <v>51</v>
      </c>
      <c r="O5125" s="3">
        <v>44034</v>
      </c>
      <c r="P5125">
        <v>-1</v>
      </c>
      <c r="T5125" t="s">
        <v>25</v>
      </c>
      <c r="U5125">
        <v>168</v>
      </c>
      <c r="V5125">
        <v>26.5</v>
      </c>
    </row>
    <row r="5126" spans="1:22" x14ac:dyDescent="0.35">
      <c r="A5126" s="3">
        <v>43861</v>
      </c>
      <c r="B5126" t="s">
        <v>48</v>
      </c>
      <c r="C5126">
        <v>19.8</v>
      </c>
      <c r="D5126">
        <v>20.25</v>
      </c>
      <c r="E5126">
        <v>19.79</v>
      </c>
      <c r="F5126">
        <v>20.25</v>
      </c>
      <c r="G5126">
        <v>20.175000000000001</v>
      </c>
      <c r="H5126">
        <v>0.45</v>
      </c>
      <c r="I5126">
        <v>150</v>
      </c>
      <c r="J5126">
        <v>0</v>
      </c>
      <c r="K5126">
        <v>6874</v>
      </c>
      <c r="L5126">
        <v>185</v>
      </c>
      <c r="M5126">
        <v>264</v>
      </c>
      <c r="N5126" t="s">
        <v>48</v>
      </c>
      <c r="O5126" s="3">
        <v>44125</v>
      </c>
      <c r="P5126">
        <v>-1</v>
      </c>
      <c r="T5126" t="s">
        <v>20</v>
      </c>
      <c r="U5126">
        <v>188</v>
      </c>
      <c r="V5126">
        <v>26.125</v>
      </c>
    </row>
    <row r="5127" spans="1:22" x14ac:dyDescent="0.35">
      <c r="A5127" s="3">
        <v>43861</v>
      </c>
      <c r="B5127" t="s">
        <v>53</v>
      </c>
      <c r="C5127">
        <v>16.75</v>
      </c>
      <c r="D5127">
        <v>17.82</v>
      </c>
      <c r="E5127">
        <v>16.66</v>
      </c>
      <c r="F5127">
        <v>17.600000000000001</v>
      </c>
      <c r="G5127">
        <v>17.574999999999999</v>
      </c>
      <c r="H5127">
        <v>0.85</v>
      </c>
      <c r="I5127">
        <v>13264</v>
      </c>
      <c r="J5127">
        <v>0</v>
      </c>
      <c r="K5127">
        <v>26068</v>
      </c>
      <c r="L5127">
        <v>77</v>
      </c>
      <c r="M5127">
        <v>110</v>
      </c>
      <c r="N5127" t="s">
        <v>53</v>
      </c>
      <c r="O5127" s="3">
        <v>43971</v>
      </c>
      <c r="P5127">
        <v>-1</v>
      </c>
      <c r="S5127" s="3">
        <v>44615</v>
      </c>
      <c r="T5127" t="s">
        <v>31</v>
      </c>
      <c r="U5127">
        <v>14</v>
      </c>
      <c r="V5127">
        <v>29.6693</v>
      </c>
    </row>
    <row r="5128" spans="1:22" x14ac:dyDescent="0.35">
      <c r="A5128" s="3">
        <v>43861</v>
      </c>
      <c r="B5128" t="s">
        <v>47</v>
      </c>
      <c r="C5128">
        <v>18.100000000000001</v>
      </c>
      <c r="D5128">
        <v>18.3</v>
      </c>
      <c r="E5128">
        <v>18.05</v>
      </c>
      <c r="F5128">
        <v>18.2</v>
      </c>
      <c r="G5128">
        <v>18.2</v>
      </c>
      <c r="H5128">
        <v>0.25</v>
      </c>
      <c r="I5128">
        <v>64</v>
      </c>
      <c r="J5128">
        <v>0</v>
      </c>
      <c r="K5128">
        <v>3316</v>
      </c>
      <c r="L5128">
        <v>205</v>
      </c>
      <c r="M5128">
        <v>292</v>
      </c>
      <c r="N5128" t="s">
        <v>47</v>
      </c>
      <c r="O5128" s="3">
        <v>44153</v>
      </c>
      <c r="P5128">
        <v>-1</v>
      </c>
      <c r="T5128" t="s">
        <v>30</v>
      </c>
      <c r="U5128">
        <v>40</v>
      </c>
      <c r="V5128">
        <v>28.513200000000001</v>
      </c>
    </row>
    <row r="5129" spans="1:22" x14ac:dyDescent="0.35">
      <c r="A5129" s="3">
        <v>43861</v>
      </c>
      <c r="B5129" t="s">
        <v>52</v>
      </c>
      <c r="C5129">
        <v>17.07</v>
      </c>
      <c r="D5129">
        <v>18</v>
      </c>
      <c r="E5129">
        <v>17.03</v>
      </c>
      <c r="F5129">
        <v>17.82</v>
      </c>
      <c r="G5129">
        <v>17.850000000000001</v>
      </c>
      <c r="H5129">
        <v>0.77500000000000002</v>
      </c>
      <c r="I5129">
        <v>8167</v>
      </c>
      <c r="J5129">
        <v>0</v>
      </c>
      <c r="K5129">
        <v>17066</v>
      </c>
      <c r="L5129">
        <v>96</v>
      </c>
      <c r="M5129">
        <v>138</v>
      </c>
      <c r="N5129" t="s">
        <v>52</v>
      </c>
      <c r="O5129" s="3">
        <v>43999</v>
      </c>
      <c r="P5129">
        <v>-1</v>
      </c>
      <c r="T5129" t="s">
        <v>29</v>
      </c>
      <c r="U5129">
        <v>60</v>
      </c>
      <c r="V5129">
        <v>27.8291</v>
      </c>
    </row>
    <row r="5130" spans="1:22" x14ac:dyDescent="0.35">
      <c r="A5130" s="3">
        <v>43861</v>
      </c>
      <c r="B5130" t="s">
        <v>49</v>
      </c>
      <c r="C5130">
        <v>17.600000000000001</v>
      </c>
      <c r="D5130">
        <v>18.2</v>
      </c>
      <c r="E5130">
        <v>17.55</v>
      </c>
      <c r="F5130">
        <v>18.11</v>
      </c>
      <c r="G5130">
        <v>18.125</v>
      </c>
      <c r="H5130">
        <v>0.52500000000000002</v>
      </c>
      <c r="I5130">
        <v>699</v>
      </c>
      <c r="J5130">
        <v>0</v>
      </c>
      <c r="K5130">
        <v>4222</v>
      </c>
      <c r="L5130">
        <v>160</v>
      </c>
      <c r="M5130">
        <v>229</v>
      </c>
      <c r="N5130" t="s">
        <v>49</v>
      </c>
      <c r="O5130" s="3">
        <v>44090</v>
      </c>
      <c r="P5130">
        <v>-1</v>
      </c>
      <c r="T5130" t="s">
        <v>28</v>
      </c>
      <c r="U5130">
        <v>79</v>
      </c>
      <c r="V5130">
        <v>27.348700000000001</v>
      </c>
    </row>
    <row r="5131" spans="1:22" x14ac:dyDescent="0.35">
      <c r="A5131" s="3">
        <v>43860</v>
      </c>
      <c r="B5131" t="s">
        <v>51</v>
      </c>
      <c r="C5131">
        <v>17.55</v>
      </c>
      <c r="D5131">
        <v>17.88</v>
      </c>
      <c r="E5131">
        <v>17.25</v>
      </c>
      <c r="F5131">
        <v>17.28</v>
      </c>
      <c r="G5131">
        <v>17.324999999999999</v>
      </c>
      <c r="H5131">
        <v>-0.25</v>
      </c>
      <c r="I5131">
        <v>2920</v>
      </c>
      <c r="J5131">
        <v>0</v>
      </c>
      <c r="K5131">
        <v>10073</v>
      </c>
      <c r="L5131">
        <v>122</v>
      </c>
      <c r="M5131">
        <v>174</v>
      </c>
      <c r="N5131" t="s">
        <v>51</v>
      </c>
      <c r="O5131" s="3">
        <v>44034</v>
      </c>
      <c r="P5131">
        <v>-1</v>
      </c>
      <c r="T5131" t="s">
        <v>22</v>
      </c>
      <c r="U5131">
        <v>103</v>
      </c>
      <c r="V5131">
        <v>27.383099999999999</v>
      </c>
    </row>
    <row r="5132" spans="1:22" x14ac:dyDescent="0.35">
      <c r="A5132" s="3">
        <v>43860</v>
      </c>
      <c r="B5132" t="s">
        <v>48</v>
      </c>
      <c r="C5132">
        <v>20</v>
      </c>
      <c r="D5132">
        <v>20.149999999999999</v>
      </c>
      <c r="E5132">
        <v>19.7</v>
      </c>
      <c r="F5132">
        <v>19.7</v>
      </c>
      <c r="G5132">
        <v>19.725000000000001</v>
      </c>
      <c r="H5132">
        <v>-0.27500000000000002</v>
      </c>
      <c r="I5132">
        <v>162</v>
      </c>
      <c r="J5132">
        <v>0</v>
      </c>
      <c r="K5132">
        <v>6836</v>
      </c>
      <c r="L5132">
        <v>186</v>
      </c>
      <c r="M5132">
        <v>265</v>
      </c>
      <c r="N5132" t="s">
        <v>48</v>
      </c>
      <c r="O5132" s="3">
        <v>44125</v>
      </c>
      <c r="P5132">
        <v>-1</v>
      </c>
      <c r="T5132" t="s">
        <v>26</v>
      </c>
      <c r="U5132">
        <v>123</v>
      </c>
      <c r="V5132">
        <v>27.031099999999999</v>
      </c>
    </row>
    <row r="5133" spans="1:22" x14ac:dyDescent="0.35">
      <c r="A5133" s="3">
        <v>43860</v>
      </c>
      <c r="B5133" t="s">
        <v>53</v>
      </c>
      <c r="C5133">
        <v>17.05</v>
      </c>
      <c r="D5133">
        <v>17.5</v>
      </c>
      <c r="E5133">
        <v>16.7</v>
      </c>
      <c r="F5133">
        <v>16.71</v>
      </c>
      <c r="G5133">
        <v>16.725000000000001</v>
      </c>
      <c r="H5133">
        <v>-0.3</v>
      </c>
      <c r="I5133">
        <v>9536</v>
      </c>
      <c r="J5133">
        <v>0</v>
      </c>
      <c r="K5133">
        <v>26140</v>
      </c>
      <c r="L5133">
        <v>78</v>
      </c>
      <c r="M5133">
        <v>111</v>
      </c>
      <c r="N5133" t="s">
        <v>53</v>
      </c>
      <c r="O5133" s="3">
        <v>43971</v>
      </c>
      <c r="P5133">
        <v>-1</v>
      </c>
      <c r="T5133" t="s">
        <v>27</v>
      </c>
      <c r="U5133">
        <v>147</v>
      </c>
      <c r="V5133">
        <v>27.0288</v>
      </c>
    </row>
    <row r="5134" spans="1:22" x14ac:dyDescent="0.35">
      <c r="A5134" s="3">
        <v>43860</v>
      </c>
      <c r="B5134" t="s">
        <v>47</v>
      </c>
      <c r="C5134">
        <v>18.2</v>
      </c>
      <c r="D5134">
        <v>18.25</v>
      </c>
      <c r="E5134">
        <v>17.989999999999998</v>
      </c>
      <c r="F5134">
        <v>17.989999999999998</v>
      </c>
      <c r="G5134">
        <v>17.95</v>
      </c>
      <c r="H5134">
        <v>-0.2</v>
      </c>
      <c r="I5134">
        <v>81</v>
      </c>
      <c r="J5134">
        <v>0</v>
      </c>
      <c r="K5134">
        <v>3274</v>
      </c>
      <c r="L5134">
        <v>206</v>
      </c>
      <c r="M5134">
        <v>293</v>
      </c>
      <c r="N5134" t="s">
        <v>47</v>
      </c>
      <c r="O5134" s="3">
        <v>44153</v>
      </c>
      <c r="P5134">
        <v>-1</v>
      </c>
      <c r="T5134" t="s">
        <v>25</v>
      </c>
      <c r="U5134">
        <v>167</v>
      </c>
      <c r="V5134">
        <v>27.05</v>
      </c>
    </row>
    <row r="5135" spans="1:22" x14ac:dyDescent="0.35">
      <c r="A5135" s="3">
        <v>43860</v>
      </c>
      <c r="B5135" t="s">
        <v>52</v>
      </c>
      <c r="C5135">
        <v>17.32</v>
      </c>
      <c r="D5135">
        <v>17.72</v>
      </c>
      <c r="E5135">
        <v>17.05</v>
      </c>
      <c r="F5135">
        <v>17.05</v>
      </c>
      <c r="G5135">
        <v>17.074999999999999</v>
      </c>
      <c r="H5135">
        <v>-0.3</v>
      </c>
      <c r="I5135">
        <v>5610</v>
      </c>
      <c r="J5135">
        <v>0</v>
      </c>
      <c r="K5135">
        <v>16176</v>
      </c>
      <c r="L5135">
        <v>97</v>
      </c>
      <c r="M5135">
        <v>139</v>
      </c>
      <c r="N5135" t="s">
        <v>52</v>
      </c>
      <c r="O5135" s="3">
        <v>43999</v>
      </c>
      <c r="P5135">
        <v>-1</v>
      </c>
      <c r="T5135" t="s">
        <v>20</v>
      </c>
      <c r="U5135">
        <v>187</v>
      </c>
      <c r="V5135">
        <v>26.824999999999999</v>
      </c>
    </row>
    <row r="5136" spans="1:22" x14ac:dyDescent="0.35">
      <c r="A5136" s="3">
        <v>43860</v>
      </c>
      <c r="B5136" t="s">
        <v>49</v>
      </c>
      <c r="C5136">
        <v>17.97</v>
      </c>
      <c r="D5136">
        <v>18.100000000000001</v>
      </c>
      <c r="E5136">
        <v>17.59</v>
      </c>
      <c r="F5136">
        <v>17.600000000000001</v>
      </c>
      <c r="G5136">
        <v>17.600000000000001</v>
      </c>
      <c r="H5136">
        <v>-0.27500000000000002</v>
      </c>
      <c r="I5136">
        <v>506</v>
      </c>
      <c r="J5136">
        <v>0</v>
      </c>
      <c r="K5136">
        <v>4005</v>
      </c>
      <c r="L5136">
        <v>161</v>
      </c>
      <c r="M5136">
        <v>230</v>
      </c>
      <c r="N5136" t="s">
        <v>49</v>
      </c>
      <c r="O5136" s="3">
        <v>44090</v>
      </c>
      <c r="P5136">
        <v>-1</v>
      </c>
      <c r="S5136" s="3">
        <v>44616</v>
      </c>
      <c r="T5136" t="s">
        <v>31</v>
      </c>
      <c r="U5136">
        <v>13</v>
      </c>
      <c r="V5136">
        <v>28.5487</v>
      </c>
    </row>
    <row r="5137" spans="1:22" x14ac:dyDescent="0.35">
      <c r="A5137" s="3">
        <v>43860</v>
      </c>
      <c r="B5137" t="s">
        <v>54</v>
      </c>
      <c r="C5137">
        <v>17.149999999999999</v>
      </c>
      <c r="D5137">
        <v>17.62</v>
      </c>
      <c r="E5137">
        <v>16.670000000000002</v>
      </c>
      <c r="F5137">
        <v>16.72</v>
      </c>
      <c r="G5137">
        <v>16.725000000000001</v>
      </c>
      <c r="H5137">
        <v>-0.35</v>
      </c>
      <c r="I5137">
        <v>25378</v>
      </c>
      <c r="J5137">
        <v>0</v>
      </c>
      <c r="K5137">
        <v>49401</v>
      </c>
      <c r="L5137">
        <v>53</v>
      </c>
      <c r="M5137">
        <v>76</v>
      </c>
      <c r="N5137" t="s">
        <v>54</v>
      </c>
      <c r="O5137" s="3">
        <v>43936</v>
      </c>
      <c r="P5137">
        <v>-1</v>
      </c>
      <c r="T5137" t="s">
        <v>30</v>
      </c>
      <c r="U5137">
        <v>39</v>
      </c>
      <c r="V5137">
        <v>27.721800000000002</v>
      </c>
    </row>
    <row r="5138" spans="1:22" x14ac:dyDescent="0.35">
      <c r="A5138" s="3">
        <v>43860</v>
      </c>
      <c r="B5138" t="s">
        <v>50</v>
      </c>
      <c r="C5138">
        <v>17.62</v>
      </c>
      <c r="D5138">
        <v>17.920000000000002</v>
      </c>
      <c r="E5138">
        <v>17.350000000000001</v>
      </c>
      <c r="F5138">
        <v>17.350000000000001</v>
      </c>
      <c r="G5138">
        <v>17.375</v>
      </c>
      <c r="H5138">
        <v>-0.3</v>
      </c>
      <c r="I5138">
        <v>1179</v>
      </c>
      <c r="J5138">
        <v>0</v>
      </c>
      <c r="K5138">
        <v>5204</v>
      </c>
      <c r="L5138">
        <v>142</v>
      </c>
      <c r="M5138">
        <v>202</v>
      </c>
      <c r="N5138" t="s">
        <v>50</v>
      </c>
      <c r="O5138" s="3">
        <v>44062</v>
      </c>
      <c r="P5138">
        <v>-1</v>
      </c>
      <c r="T5138" t="s">
        <v>29</v>
      </c>
      <c r="U5138">
        <v>59</v>
      </c>
      <c r="V5138">
        <v>27.126899999999999</v>
      </c>
    </row>
    <row r="5139" spans="1:22" x14ac:dyDescent="0.35">
      <c r="A5139" s="3">
        <v>43860</v>
      </c>
      <c r="B5139" t="s">
        <v>55</v>
      </c>
      <c r="C5139">
        <v>16.75</v>
      </c>
      <c r="D5139">
        <v>17.5</v>
      </c>
      <c r="E5139">
        <v>16.32</v>
      </c>
      <c r="F5139">
        <v>16.37</v>
      </c>
      <c r="G5139">
        <v>16.425000000000001</v>
      </c>
      <c r="H5139">
        <v>-0.35</v>
      </c>
      <c r="I5139">
        <v>98383</v>
      </c>
      <c r="J5139">
        <v>32</v>
      </c>
      <c r="K5139">
        <v>121571</v>
      </c>
      <c r="L5139">
        <v>33</v>
      </c>
      <c r="M5139">
        <v>48</v>
      </c>
      <c r="N5139" t="s">
        <v>55</v>
      </c>
      <c r="O5139" s="3">
        <v>43908</v>
      </c>
      <c r="P5139">
        <v>-1</v>
      </c>
      <c r="T5139" t="s">
        <v>28</v>
      </c>
      <c r="U5139">
        <v>78</v>
      </c>
      <c r="V5139">
        <v>26.757300000000001</v>
      </c>
    </row>
    <row r="5140" spans="1:22" x14ac:dyDescent="0.35">
      <c r="A5140" s="3">
        <v>43859</v>
      </c>
      <c r="B5140" t="s">
        <v>54</v>
      </c>
      <c r="C5140">
        <v>16.95</v>
      </c>
      <c r="D5140">
        <v>17.18</v>
      </c>
      <c r="E5140">
        <v>16.78</v>
      </c>
      <c r="F5140">
        <v>17.11</v>
      </c>
      <c r="G5140">
        <v>17.074999999999999</v>
      </c>
      <c r="H5140">
        <v>0</v>
      </c>
      <c r="I5140">
        <v>17132</v>
      </c>
      <c r="J5140">
        <v>0</v>
      </c>
      <c r="K5140">
        <v>47262</v>
      </c>
      <c r="L5140">
        <v>54</v>
      </c>
      <c r="M5140">
        <v>77</v>
      </c>
      <c r="N5140" t="s">
        <v>54</v>
      </c>
      <c r="O5140" s="3">
        <v>43936</v>
      </c>
      <c r="P5140">
        <v>-1</v>
      </c>
      <c r="T5140" t="s">
        <v>22</v>
      </c>
      <c r="U5140">
        <v>102</v>
      </c>
      <c r="V5140">
        <v>26.8553</v>
      </c>
    </row>
    <row r="5141" spans="1:22" x14ac:dyDescent="0.35">
      <c r="A5141" s="3">
        <v>43859</v>
      </c>
      <c r="B5141" t="s">
        <v>50</v>
      </c>
      <c r="C5141">
        <v>17.61</v>
      </c>
      <c r="D5141">
        <v>17.75</v>
      </c>
      <c r="E5141">
        <v>17.46</v>
      </c>
      <c r="F5141">
        <v>17.71</v>
      </c>
      <c r="G5141">
        <v>17.675000000000001</v>
      </c>
      <c r="H5141">
        <v>0.05</v>
      </c>
      <c r="I5141">
        <v>1192</v>
      </c>
      <c r="J5141">
        <v>0</v>
      </c>
      <c r="K5141">
        <v>5140</v>
      </c>
      <c r="L5141">
        <v>143</v>
      </c>
      <c r="M5141">
        <v>203</v>
      </c>
      <c r="N5141" t="s">
        <v>50</v>
      </c>
      <c r="O5141" s="3">
        <v>44062</v>
      </c>
      <c r="P5141">
        <v>-1</v>
      </c>
      <c r="T5141" t="s">
        <v>26</v>
      </c>
      <c r="U5141">
        <v>122</v>
      </c>
      <c r="V5141">
        <v>26.506599999999999</v>
      </c>
    </row>
    <row r="5142" spans="1:22" x14ac:dyDescent="0.35">
      <c r="A5142" s="3">
        <v>43859</v>
      </c>
      <c r="B5142" t="s">
        <v>55</v>
      </c>
      <c r="C5142">
        <v>16.649999999999999</v>
      </c>
      <c r="D5142">
        <v>16.899999999999999</v>
      </c>
      <c r="E5142">
        <v>16.39</v>
      </c>
      <c r="F5142">
        <v>16.8</v>
      </c>
      <c r="G5142">
        <v>16.774999999999999</v>
      </c>
      <c r="H5142">
        <v>-0.05</v>
      </c>
      <c r="I5142">
        <v>85580</v>
      </c>
      <c r="J5142">
        <v>0</v>
      </c>
      <c r="K5142">
        <v>113065</v>
      </c>
      <c r="L5142">
        <v>34</v>
      </c>
      <c r="M5142">
        <v>49</v>
      </c>
      <c r="N5142" t="s">
        <v>55</v>
      </c>
      <c r="O5142" s="3">
        <v>43908</v>
      </c>
      <c r="P5142">
        <v>-1</v>
      </c>
      <c r="T5142" t="s">
        <v>27</v>
      </c>
      <c r="U5142">
        <v>146</v>
      </c>
      <c r="V5142">
        <v>26.5871</v>
      </c>
    </row>
    <row r="5143" spans="1:22" x14ac:dyDescent="0.35">
      <c r="A5143" s="3">
        <v>43859</v>
      </c>
      <c r="B5143" t="s">
        <v>51</v>
      </c>
      <c r="C5143">
        <v>17.45</v>
      </c>
      <c r="D5143">
        <v>17.649999999999999</v>
      </c>
      <c r="E5143">
        <v>17.329999999999998</v>
      </c>
      <c r="F5143">
        <v>17.579999999999998</v>
      </c>
      <c r="G5143">
        <v>17.574999999999999</v>
      </c>
      <c r="H5143">
        <v>0.05</v>
      </c>
      <c r="I5143">
        <v>2718</v>
      </c>
      <c r="J5143">
        <v>0</v>
      </c>
      <c r="K5143">
        <v>10122</v>
      </c>
      <c r="L5143">
        <v>123</v>
      </c>
      <c r="M5143">
        <v>175</v>
      </c>
      <c r="N5143" t="s">
        <v>51</v>
      </c>
      <c r="O5143" s="3">
        <v>44034</v>
      </c>
      <c r="P5143">
        <v>-1</v>
      </c>
      <c r="T5143" t="s">
        <v>25</v>
      </c>
      <c r="U5143">
        <v>166</v>
      </c>
      <c r="V5143">
        <v>26.625</v>
      </c>
    </row>
    <row r="5144" spans="1:22" x14ac:dyDescent="0.35">
      <c r="A5144" s="3">
        <v>43859</v>
      </c>
      <c r="B5144" t="s">
        <v>48</v>
      </c>
      <c r="C5144">
        <v>19.899999999999999</v>
      </c>
      <c r="D5144">
        <v>20.05</v>
      </c>
      <c r="E5144">
        <v>19.89</v>
      </c>
      <c r="F5144">
        <v>20</v>
      </c>
      <c r="G5144">
        <v>20</v>
      </c>
      <c r="H5144">
        <v>2.5000000000000001E-2</v>
      </c>
      <c r="I5144">
        <v>216</v>
      </c>
      <c r="J5144">
        <v>0</v>
      </c>
      <c r="K5144">
        <v>6772</v>
      </c>
      <c r="L5144">
        <v>187</v>
      </c>
      <c r="M5144">
        <v>266</v>
      </c>
      <c r="N5144" t="s">
        <v>48</v>
      </c>
      <c r="O5144" s="3">
        <v>44125</v>
      </c>
      <c r="P5144">
        <v>-1</v>
      </c>
      <c r="T5144" t="s">
        <v>20</v>
      </c>
      <c r="U5144">
        <v>186</v>
      </c>
      <c r="V5144">
        <v>26.35</v>
      </c>
    </row>
    <row r="5145" spans="1:22" x14ac:dyDescent="0.35">
      <c r="A5145" s="3">
        <v>43859</v>
      </c>
      <c r="B5145" t="s">
        <v>53</v>
      </c>
      <c r="C5145">
        <v>16.899999999999999</v>
      </c>
      <c r="D5145">
        <v>17.12</v>
      </c>
      <c r="E5145">
        <v>16.77</v>
      </c>
      <c r="F5145">
        <v>17.07</v>
      </c>
      <c r="G5145">
        <v>17.024999999999999</v>
      </c>
      <c r="H5145">
        <v>0.05</v>
      </c>
      <c r="I5145">
        <v>9342</v>
      </c>
      <c r="J5145">
        <v>0</v>
      </c>
      <c r="K5145">
        <v>25946</v>
      </c>
      <c r="L5145">
        <v>79</v>
      </c>
      <c r="M5145">
        <v>112</v>
      </c>
      <c r="N5145" t="s">
        <v>53</v>
      </c>
      <c r="O5145" s="3">
        <v>43971</v>
      </c>
      <c r="P5145">
        <v>-1</v>
      </c>
      <c r="S5145" s="3">
        <v>44617</v>
      </c>
      <c r="T5145" t="s">
        <v>31</v>
      </c>
      <c r="U5145">
        <v>12</v>
      </c>
      <c r="V5145">
        <v>27.257200000000001</v>
      </c>
    </row>
    <row r="5146" spans="1:22" x14ac:dyDescent="0.35">
      <c r="A5146" s="3">
        <v>43859</v>
      </c>
      <c r="B5146" t="s">
        <v>47</v>
      </c>
      <c r="C5146">
        <v>18.02</v>
      </c>
      <c r="D5146">
        <v>18.100000000000001</v>
      </c>
      <c r="E5146">
        <v>17.989999999999998</v>
      </c>
      <c r="F5146">
        <v>18.100000000000001</v>
      </c>
      <c r="G5146">
        <v>18.149999999999999</v>
      </c>
      <c r="H5146">
        <v>7.4999999999999997E-2</v>
      </c>
      <c r="I5146">
        <v>182</v>
      </c>
      <c r="J5146">
        <v>0</v>
      </c>
      <c r="K5146">
        <v>3228</v>
      </c>
      <c r="L5146">
        <v>207</v>
      </c>
      <c r="M5146">
        <v>294</v>
      </c>
      <c r="N5146" t="s">
        <v>47</v>
      </c>
      <c r="O5146" s="3">
        <v>44153</v>
      </c>
      <c r="P5146">
        <v>-1</v>
      </c>
      <c r="T5146" t="s">
        <v>30</v>
      </c>
      <c r="U5146">
        <v>38</v>
      </c>
      <c r="V5146">
        <v>26.9481</v>
      </c>
    </row>
    <row r="5147" spans="1:22" x14ac:dyDescent="0.35">
      <c r="A5147" s="3">
        <v>43859</v>
      </c>
      <c r="B5147" t="s">
        <v>52</v>
      </c>
      <c r="C5147">
        <v>17.22</v>
      </c>
      <c r="D5147">
        <v>17.45</v>
      </c>
      <c r="E5147">
        <v>17.100000000000001</v>
      </c>
      <c r="F5147">
        <v>17.399999999999999</v>
      </c>
      <c r="G5147">
        <v>17.375</v>
      </c>
      <c r="H5147">
        <v>0.1</v>
      </c>
      <c r="I5147">
        <v>3722</v>
      </c>
      <c r="J5147">
        <v>0</v>
      </c>
      <c r="K5147">
        <v>15853</v>
      </c>
      <c r="L5147">
        <v>98</v>
      </c>
      <c r="M5147">
        <v>140</v>
      </c>
      <c r="N5147" t="s">
        <v>52</v>
      </c>
      <c r="O5147" s="3">
        <v>43999</v>
      </c>
      <c r="P5147">
        <v>-1</v>
      </c>
      <c r="T5147" t="s">
        <v>29</v>
      </c>
      <c r="U5147">
        <v>58</v>
      </c>
      <c r="V5147">
        <v>26.55</v>
      </c>
    </row>
    <row r="5148" spans="1:22" x14ac:dyDescent="0.35">
      <c r="A5148" s="3">
        <v>43859</v>
      </c>
      <c r="B5148" t="s">
        <v>49</v>
      </c>
      <c r="C5148">
        <v>17.71</v>
      </c>
      <c r="D5148">
        <v>17.95</v>
      </c>
      <c r="E5148">
        <v>17.670000000000002</v>
      </c>
      <c r="F5148">
        <v>17.899999999999999</v>
      </c>
      <c r="G5148">
        <v>17.875</v>
      </c>
      <c r="H5148">
        <v>7.4999999999999997E-2</v>
      </c>
      <c r="I5148">
        <v>490</v>
      </c>
      <c r="J5148">
        <v>0</v>
      </c>
      <c r="K5148">
        <v>3848</v>
      </c>
      <c r="L5148">
        <v>162</v>
      </c>
      <c r="M5148">
        <v>231</v>
      </c>
      <c r="N5148" t="s">
        <v>49</v>
      </c>
      <c r="O5148" s="3">
        <v>44090</v>
      </c>
      <c r="P5148">
        <v>-1</v>
      </c>
      <c r="T5148" t="s">
        <v>28</v>
      </c>
      <c r="U5148">
        <v>77</v>
      </c>
      <c r="V5148">
        <v>26.250399999999999</v>
      </c>
    </row>
    <row r="5149" spans="1:22" x14ac:dyDescent="0.35">
      <c r="A5149" s="3">
        <v>43858</v>
      </c>
      <c r="B5149" t="s">
        <v>51</v>
      </c>
      <c r="C5149">
        <v>17.82</v>
      </c>
      <c r="D5149">
        <v>17.899999999999999</v>
      </c>
      <c r="E5149">
        <v>17.45</v>
      </c>
      <c r="F5149">
        <v>17.45</v>
      </c>
      <c r="G5149">
        <v>17.524999999999999</v>
      </c>
      <c r="H5149">
        <v>-0.45</v>
      </c>
      <c r="I5149">
        <v>4628</v>
      </c>
      <c r="J5149">
        <v>0</v>
      </c>
      <c r="K5149">
        <v>9886</v>
      </c>
      <c r="L5149">
        <v>124</v>
      </c>
      <c r="M5149">
        <v>176</v>
      </c>
      <c r="N5149" t="s">
        <v>51</v>
      </c>
      <c r="O5149" s="3">
        <v>44034</v>
      </c>
      <c r="P5149">
        <v>-1</v>
      </c>
      <c r="T5149" t="s">
        <v>22</v>
      </c>
      <c r="U5149">
        <v>101</v>
      </c>
      <c r="V5149">
        <v>26.4101</v>
      </c>
    </row>
    <row r="5150" spans="1:22" x14ac:dyDescent="0.35">
      <c r="A5150" s="3">
        <v>43858</v>
      </c>
      <c r="B5150" t="s">
        <v>48</v>
      </c>
      <c r="C5150">
        <v>20.05</v>
      </c>
      <c r="D5150">
        <v>20.05</v>
      </c>
      <c r="E5150">
        <v>19.899999999999999</v>
      </c>
      <c r="F5150">
        <v>19.920000000000002</v>
      </c>
      <c r="G5150">
        <v>19.975000000000001</v>
      </c>
      <c r="H5150">
        <v>-0.15</v>
      </c>
      <c r="I5150">
        <v>304</v>
      </c>
      <c r="J5150">
        <v>0</v>
      </c>
      <c r="K5150">
        <v>6522</v>
      </c>
      <c r="L5150">
        <v>188</v>
      </c>
      <c r="M5150">
        <v>267</v>
      </c>
      <c r="N5150" t="s">
        <v>48</v>
      </c>
      <c r="O5150" s="3">
        <v>44125</v>
      </c>
      <c r="P5150">
        <v>-1</v>
      </c>
      <c r="T5150" t="s">
        <v>26</v>
      </c>
      <c r="U5150">
        <v>121</v>
      </c>
      <c r="V5150">
        <v>26.1981</v>
      </c>
    </row>
    <row r="5151" spans="1:22" x14ac:dyDescent="0.35">
      <c r="A5151" s="3">
        <v>43858</v>
      </c>
      <c r="B5151" t="s">
        <v>53</v>
      </c>
      <c r="C5151">
        <v>17.25</v>
      </c>
      <c r="D5151">
        <v>17.260000000000002</v>
      </c>
      <c r="E5151">
        <v>16.87</v>
      </c>
      <c r="F5151">
        <v>16.89</v>
      </c>
      <c r="G5151">
        <v>16.975000000000001</v>
      </c>
      <c r="H5151">
        <v>-0.45</v>
      </c>
      <c r="I5151">
        <v>13714</v>
      </c>
      <c r="J5151">
        <v>0</v>
      </c>
      <c r="K5151">
        <v>25629</v>
      </c>
      <c r="L5151">
        <v>80</v>
      </c>
      <c r="M5151">
        <v>113</v>
      </c>
      <c r="N5151" t="s">
        <v>53</v>
      </c>
      <c r="O5151" s="3">
        <v>43971</v>
      </c>
      <c r="P5151">
        <v>-1</v>
      </c>
      <c r="T5151" t="s">
        <v>27</v>
      </c>
      <c r="U5151">
        <v>145</v>
      </c>
      <c r="V5151">
        <v>26.3</v>
      </c>
    </row>
    <row r="5152" spans="1:22" x14ac:dyDescent="0.35">
      <c r="A5152" s="3">
        <v>43858</v>
      </c>
      <c r="B5152" t="s">
        <v>47</v>
      </c>
      <c r="C5152">
        <v>18.25</v>
      </c>
      <c r="D5152">
        <v>18.25</v>
      </c>
      <c r="E5152">
        <v>18</v>
      </c>
      <c r="F5152">
        <v>18.05</v>
      </c>
      <c r="G5152">
        <v>18.074999999999999</v>
      </c>
      <c r="H5152">
        <v>-7.4999999999999997E-2</v>
      </c>
      <c r="I5152">
        <v>130</v>
      </c>
      <c r="J5152">
        <v>0</v>
      </c>
      <c r="K5152">
        <v>3077</v>
      </c>
      <c r="L5152">
        <v>208</v>
      </c>
      <c r="M5152">
        <v>295</v>
      </c>
      <c r="N5152" t="s">
        <v>47</v>
      </c>
      <c r="O5152" s="3">
        <v>44153</v>
      </c>
      <c r="P5152">
        <v>-1</v>
      </c>
      <c r="T5152" t="s">
        <v>25</v>
      </c>
      <c r="U5152">
        <v>165</v>
      </c>
      <c r="V5152">
        <v>26.4</v>
      </c>
    </row>
    <row r="5153" spans="1:22" x14ac:dyDescent="0.35">
      <c r="A5153" s="3">
        <v>43858</v>
      </c>
      <c r="B5153" t="s">
        <v>52</v>
      </c>
      <c r="C5153">
        <v>17.63</v>
      </c>
      <c r="D5153">
        <v>17.649999999999999</v>
      </c>
      <c r="E5153">
        <v>17.2</v>
      </c>
      <c r="F5153">
        <v>17.2</v>
      </c>
      <c r="G5153">
        <v>17.274999999999999</v>
      </c>
      <c r="H5153">
        <v>-0.5</v>
      </c>
      <c r="I5153">
        <v>7174</v>
      </c>
      <c r="J5153">
        <v>0</v>
      </c>
      <c r="K5153">
        <v>16059</v>
      </c>
      <c r="L5153">
        <v>99</v>
      </c>
      <c r="M5153">
        <v>141</v>
      </c>
      <c r="N5153" t="s">
        <v>52</v>
      </c>
      <c r="O5153" s="3">
        <v>43999</v>
      </c>
      <c r="P5153">
        <v>-1</v>
      </c>
      <c r="T5153" t="s">
        <v>20</v>
      </c>
      <c r="U5153">
        <v>185</v>
      </c>
      <c r="V5153">
        <v>26.125</v>
      </c>
    </row>
    <row r="5154" spans="1:22" x14ac:dyDescent="0.35">
      <c r="A5154" s="3">
        <v>43858</v>
      </c>
      <c r="B5154" t="s">
        <v>49</v>
      </c>
      <c r="C5154">
        <v>17.95</v>
      </c>
      <c r="D5154">
        <v>18</v>
      </c>
      <c r="E5154">
        <v>17.8</v>
      </c>
      <c r="F5154">
        <v>17.829999999999998</v>
      </c>
      <c r="G5154">
        <v>17.8</v>
      </c>
      <c r="H5154">
        <v>-0.32500000000000001</v>
      </c>
      <c r="I5154">
        <v>178</v>
      </c>
      <c r="J5154">
        <v>0</v>
      </c>
      <c r="K5154">
        <v>3758</v>
      </c>
      <c r="L5154">
        <v>163</v>
      </c>
      <c r="M5154">
        <v>232</v>
      </c>
      <c r="N5154" t="s">
        <v>49</v>
      </c>
      <c r="O5154" s="3">
        <v>44090</v>
      </c>
      <c r="P5154">
        <v>-1</v>
      </c>
      <c r="S5154" s="3">
        <v>44619</v>
      </c>
      <c r="T5154" t="s">
        <v>31</v>
      </c>
      <c r="U5154">
        <v>11</v>
      </c>
      <c r="V5154">
        <v>27.257200000000001</v>
      </c>
    </row>
    <row r="5155" spans="1:22" x14ac:dyDescent="0.35">
      <c r="A5155" s="3">
        <v>43858</v>
      </c>
      <c r="B5155" t="s">
        <v>54</v>
      </c>
      <c r="C5155">
        <v>17.420000000000002</v>
      </c>
      <c r="D5155">
        <v>17.43</v>
      </c>
      <c r="E5155">
        <v>16.920000000000002</v>
      </c>
      <c r="F5155">
        <v>16.940000000000001</v>
      </c>
      <c r="G5155">
        <v>17.074999999999999</v>
      </c>
      <c r="H5155">
        <v>-0.45</v>
      </c>
      <c r="I5155">
        <v>23827</v>
      </c>
      <c r="J5155">
        <v>0</v>
      </c>
      <c r="K5155">
        <v>45186</v>
      </c>
      <c r="L5155">
        <v>55</v>
      </c>
      <c r="M5155">
        <v>78</v>
      </c>
      <c r="N5155" t="s">
        <v>54</v>
      </c>
      <c r="O5155" s="3">
        <v>43936</v>
      </c>
      <c r="P5155">
        <v>-1</v>
      </c>
      <c r="T5155" t="s">
        <v>30</v>
      </c>
      <c r="U5155">
        <v>37</v>
      </c>
      <c r="V5155">
        <v>26.9481</v>
      </c>
    </row>
    <row r="5156" spans="1:22" x14ac:dyDescent="0.35">
      <c r="A5156" s="3">
        <v>43858</v>
      </c>
      <c r="B5156" t="s">
        <v>50</v>
      </c>
      <c r="C5156">
        <v>17.899999999999999</v>
      </c>
      <c r="D5156">
        <v>17.899999999999999</v>
      </c>
      <c r="E5156">
        <v>17.57</v>
      </c>
      <c r="F5156">
        <v>17.57</v>
      </c>
      <c r="G5156">
        <v>17.625</v>
      </c>
      <c r="H5156">
        <v>-0.45</v>
      </c>
      <c r="I5156">
        <v>1304</v>
      </c>
      <c r="J5156">
        <v>0</v>
      </c>
      <c r="K5156">
        <v>4879</v>
      </c>
      <c r="L5156">
        <v>144</v>
      </c>
      <c r="M5156">
        <v>204</v>
      </c>
      <c r="N5156" t="s">
        <v>50</v>
      </c>
      <c r="O5156" s="3">
        <v>44062</v>
      </c>
      <c r="P5156">
        <v>-1</v>
      </c>
      <c r="T5156" t="s">
        <v>29</v>
      </c>
      <c r="U5156">
        <v>57</v>
      </c>
      <c r="V5156">
        <v>26.55</v>
      </c>
    </row>
    <row r="5157" spans="1:22" x14ac:dyDescent="0.35">
      <c r="A5157" s="3">
        <v>43858</v>
      </c>
      <c r="B5157" t="s">
        <v>55</v>
      </c>
      <c r="C5157">
        <v>17.32</v>
      </c>
      <c r="D5157">
        <v>17.32</v>
      </c>
      <c r="E5157">
        <v>16.59</v>
      </c>
      <c r="F5157">
        <v>16.63</v>
      </c>
      <c r="G5157">
        <v>16.824999999999999</v>
      </c>
      <c r="H5157">
        <v>-0.5</v>
      </c>
      <c r="I5157">
        <v>104875</v>
      </c>
      <c r="J5157">
        <v>211</v>
      </c>
      <c r="K5157">
        <v>107508</v>
      </c>
      <c r="L5157">
        <v>35</v>
      </c>
      <c r="M5157">
        <v>50</v>
      </c>
      <c r="N5157" t="s">
        <v>55</v>
      </c>
      <c r="O5157" s="3">
        <v>43908</v>
      </c>
      <c r="P5157">
        <v>-1</v>
      </c>
      <c r="T5157" t="s">
        <v>28</v>
      </c>
      <c r="U5157">
        <v>76</v>
      </c>
      <c r="V5157">
        <v>26.250399999999999</v>
      </c>
    </row>
    <row r="5158" spans="1:22" x14ac:dyDescent="0.35">
      <c r="A5158" s="3">
        <v>43857</v>
      </c>
      <c r="B5158" t="s">
        <v>54</v>
      </c>
      <c r="C5158">
        <v>16.95</v>
      </c>
      <c r="D5158">
        <v>17.52</v>
      </c>
      <c r="E5158">
        <v>16.899999999999999</v>
      </c>
      <c r="F5158">
        <v>17.39</v>
      </c>
      <c r="G5158">
        <v>17.524999999999999</v>
      </c>
      <c r="H5158">
        <v>0.85</v>
      </c>
      <c r="I5158">
        <v>37578</v>
      </c>
      <c r="J5158">
        <v>0</v>
      </c>
      <c r="K5158">
        <v>43480</v>
      </c>
      <c r="L5158">
        <v>56</v>
      </c>
      <c r="M5158">
        <v>79</v>
      </c>
      <c r="N5158" t="s">
        <v>54</v>
      </c>
      <c r="O5158" s="3">
        <v>43936</v>
      </c>
      <c r="P5158">
        <v>-1</v>
      </c>
      <c r="T5158" t="s">
        <v>22</v>
      </c>
      <c r="U5158">
        <v>100</v>
      </c>
      <c r="V5158">
        <v>26.4101</v>
      </c>
    </row>
    <row r="5159" spans="1:22" x14ac:dyDescent="0.35">
      <c r="A5159" s="3">
        <v>43857</v>
      </c>
      <c r="B5159" t="s">
        <v>50</v>
      </c>
      <c r="C5159">
        <v>17.55</v>
      </c>
      <c r="D5159">
        <v>18.100000000000001</v>
      </c>
      <c r="E5159">
        <v>17.55</v>
      </c>
      <c r="F5159">
        <v>17.89</v>
      </c>
      <c r="G5159">
        <v>18.074999999999999</v>
      </c>
      <c r="H5159">
        <v>0.6</v>
      </c>
      <c r="I5159">
        <v>2582</v>
      </c>
      <c r="J5159">
        <v>0</v>
      </c>
      <c r="K5159">
        <v>5489</v>
      </c>
      <c r="L5159">
        <v>145</v>
      </c>
      <c r="M5159">
        <v>205</v>
      </c>
      <c r="N5159" t="s">
        <v>50</v>
      </c>
      <c r="O5159" s="3">
        <v>44062</v>
      </c>
      <c r="P5159">
        <v>-1</v>
      </c>
      <c r="T5159" t="s">
        <v>26</v>
      </c>
      <c r="U5159">
        <v>120</v>
      </c>
      <c r="V5159">
        <v>26.1981</v>
      </c>
    </row>
    <row r="5160" spans="1:22" x14ac:dyDescent="0.35">
      <c r="A5160" s="3">
        <v>43857</v>
      </c>
      <c r="B5160" t="s">
        <v>55</v>
      </c>
      <c r="C5160">
        <v>16.600000000000001</v>
      </c>
      <c r="D5160">
        <v>17.350000000000001</v>
      </c>
      <c r="E5160">
        <v>16.5</v>
      </c>
      <c r="F5160">
        <v>17.3</v>
      </c>
      <c r="G5160">
        <v>17.324999999999999</v>
      </c>
      <c r="H5160">
        <v>1.1000000000000001</v>
      </c>
      <c r="I5160">
        <v>121186</v>
      </c>
      <c r="J5160">
        <v>651</v>
      </c>
      <c r="K5160">
        <v>100027</v>
      </c>
      <c r="L5160">
        <v>36</v>
      </c>
      <c r="M5160">
        <v>51</v>
      </c>
      <c r="N5160" t="s">
        <v>55</v>
      </c>
      <c r="O5160" s="3">
        <v>43908</v>
      </c>
      <c r="P5160">
        <v>-1</v>
      </c>
      <c r="T5160" t="s">
        <v>27</v>
      </c>
      <c r="U5160">
        <v>144</v>
      </c>
      <c r="V5160">
        <v>26.3</v>
      </c>
    </row>
    <row r="5161" spans="1:22" x14ac:dyDescent="0.35">
      <c r="A5161" s="3">
        <v>43857</v>
      </c>
      <c r="B5161" t="s">
        <v>51</v>
      </c>
      <c r="C5161">
        <v>17.45</v>
      </c>
      <c r="D5161">
        <v>18</v>
      </c>
      <c r="E5161">
        <v>17.45</v>
      </c>
      <c r="F5161">
        <v>17.8</v>
      </c>
      <c r="G5161">
        <v>17.975000000000001</v>
      </c>
      <c r="H5161">
        <v>0.65</v>
      </c>
      <c r="I5161">
        <v>6650</v>
      </c>
      <c r="J5161">
        <v>0</v>
      </c>
      <c r="K5161">
        <v>9693</v>
      </c>
      <c r="L5161">
        <v>125</v>
      </c>
      <c r="M5161">
        <v>177</v>
      </c>
      <c r="N5161" t="s">
        <v>51</v>
      </c>
      <c r="O5161" s="3">
        <v>44034</v>
      </c>
      <c r="P5161">
        <v>-1</v>
      </c>
      <c r="T5161" t="s">
        <v>25</v>
      </c>
      <c r="U5161">
        <v>164</v>
      </c>
      <c r="V5161">
        <v>26.4</v>
      </c>
    </row>
    <row r="5162" spans="1:22" x14ac:dyDescent="0.35">
      <c r="A5162" s="3">
        <v>43857</v>
      </c>
      <c r="B5162" t="s">
        <v>48</v>
      </c>
      <c r="C5162">
        <v>20</v>
      </c>
      <c r="D5162">
        <v>20.2</v>
      </c>
      <c r="E5162">
        <v>19.899999999999999</v>
      </c>
      <c r="F5162">
        <v>20.2</v>
      </c>
      <c r="G5162">
        <v>20.125</v>
      </c>
      <c r="H5162">
        <v>0.2</v>
      </c>
      <c r="I5162">
        <v>175</v>
      </c>
      <c r="J5162">
        <v>0</v>
      </c>
      <c r="K5162">
        <v>6437</v>
      </c>
      <c r="L5162">
        <v>189</v>
      </c>
      <c r="M5162">
        <v>268</v>
      </c>
      <c r="N5162" t="s">
        <v>48</v>
      </c>
      <c r="O5162" s="3">
        <v>44125</v>
      </c>
      <c r="P5162">
        <v>-1</v>
      </c>
      <c r="T5162" t="s">
        <v>20</v>
      </c>
      <c r="U5162">
        <v>184</v>
      </c>
      <c r="V5162">
        <v>26.125</v>
      </c>
    </row>
    <row r="5163" spans="1:22" x14ac:dyDescent="0.35">
      <c r="A5163" s="3">
        <v>43857</v>
      </c>
      <c r="B5163" t="s">
        <v>53</v>
      </c>
      <c r="C5163">
        <v>16.899999999999999</v>
      </c>
      <c r="D5163">
        <v>17.45</v>
      </c>
      <c r="E5163">
        <v>16.899999999999999</v>
      </c>
      <c r="F5163">
        <v>17.22</v>
      </c>
      <c r="G5163">
        <v>17.425000000000001</v>
      </c>
      <c r="H5163">
        <v>0.7</v>
      </c>
      <c r="I5163">
        <v>19133</v>
      </c>
      <c r="J5163">
        <v>0</v>
      </c>
      <c r="K5163">
        <v>26466</v>
      </c>
      <c r="L5163">
        <v>81</v>
      </c>
      <c r="M5163">
        <v>114</v>
      </c>
      <c r="N5163" t="s">
        <v>53</v>
      </c>
      <c r="O5163" s="3">
        <v>43971</v>
      </c>
      <c r="P5163">
        <v>-1</v>
      </c>
      <c r="S5163" s="3">
        <v>44620</v>
      </c>
      <c r="T5163" t="s">
        <v>31</v>
      </c>
      <c r="U5163">
        <v>11</v>
      </c>
      <c r="V5163">
        <v>28.616900000000001</v>
      </c>
    </row>
    <row r="5164" spans="1:22" x14ac:dyDescent="0.35">
      <c r="A5164" s="3">
        <v>43857</v>
      </c>
      <c r="B5164" t="s">
        <v>47</v>
      </c>
      <c r="C5164">
        <v>18.22</v>
      </c>
      <c r="D5164">
        <v>18.22</v>
      </c>
      <c r="E5164">
        <v>18.079999999999998</v>
      </c>
      <c r="F5164">
        <v>18.149999999999999</v>
      </c>
      <c r="G5164">
        <v>18.149999999999999</v>
      </c>
      <c r="H5164">
        <v>0.25</v>
      </c>
      <c r="I5164">
        <v>59</v>
      </c>
      <c r="J5164">
        <v>0</v>
      </c>
      <c r="K5164">
        <v>2958</v>
      </c>
      <c r="L5164">
        <v>209</v>
      </c>
      <c r="M5164">
        <v>296</v>
      </c>
      <c r="N5164" t="s">
        <v>47</v>
      </c>
      <c r="O5164" s="3">
        <v>44153</v>
      </c>
      <c r="P5164">
        <v>-1</v>
      </c>
      <c r="T5164" t="s">
        <v>30</v>
      </c>
      <c r="U5164">
        <v>37</v>
      </c>
      <c r="V5164">
        <v>28.150099999999998</v>
      </c>
    </row>
    <row r="5165" spans="1:22" x14ac:dyDescent="0.35">
      <c r="A5165" s="3">
        <v>43857</v>
      </c>
      <c r="B5165" t="s">
        <v>52</v>
      </c>
      <c r="C5165">
        <v>17.25</v>
      </c>
      <c r="D5165">
        <v>17.78</v>
      </c>
      <c r="E5165">
        <v>17.25</v>
      </c>
      <c r="F5165">
        <v>17.600000000000001</v>
      </c>
      <c r="G5165">
        <v>17.774999999999999</v>
      </c>
      <c r="H5165">
        <v>0.65</v>
      </c>
      <c r="I5165">
        <v>7728</v>
      </c>
      <c r="J5165">
        <v>0</v>
      </c>
      <c r="K5165">
        <v>15159</v>
      </c>
      <c r="L5165">
        <v>100</v>
      </c>
      <c r="M5165">
        <v>142</v>
      </c>
      <c r="N5165" t="s">
        <v>52</v>
      </c>
      <c r="O5165" s="3">
        <v>43999</v>
      </c>
      <c r="P5165">
        <v>-1</v>
      </c>
      <c r="T5165" t="s">
        <v>29</v>
      </c>
      <c r="U5165">
        <v>57</v>
      </c>
      <c r="V5165">
        <v>27.6021</v>
      </c>
    </row>
    <row r="5166" spans="1:22" x14ac:dyDescent="0.35">
      <c r="A5166" s="3">
        <v>43857</v>
      </c>
      <c r="B5166" t="s">
        <v>49</v>
      </c>
      <c r="C5166">
        <v>17.899999999999999</v>
      </c>
      <c r="D5166">
        <v>18.13</v>
      </c>
      <c r="E5166">
        <v>17.850000000000001</v>
      </c>
      <c r="F5166">
        <v>18</v>
      </c>
      <c r="G5166">
        <v>18.125</v>
      </c>
      <c r="H5166">
        <v>0.4</v>
      </c>
      <c r="I5166">
        <v>901</v>
      </c>
      <c r="J5166">
        <v>0</v>
      </c>
      <c r="K5166">
        <v>3720</v>
      </c>
      <c r="L5166">
        <v>164</v>
      </c>
      <c r="M5166">
        <v>233</v>
      </c>
      <c r="N5166" t="s">
        <v>49</v>
      </c>
      <c r="O5166" s="3">
        <v>44090</v>
      </c>
      <c r="P5166">
        <v>-1</v>
      </c>
      <c r="T5166" t="s">
        <v>28</v>
      </c>
      <c r="U5166">
        <v>76</v>
      </c>
      <c r="V5166">
        <v>27.2058</v>
      </c>
    </row>
    <row r="5167" spans="1:22" x14ac:dyDescent="0.35">
      <c r="A5167" s="3">
        <v>43854</v>
      </c>
      <c r="B5167" t="s">
        <v>51</v>
      </c>
      <c r="C5167">
        <v>17.100000000000001</v>
      </c>
      <c r="D5167">
        <v>17.45</v>
      </c>
      <c r="E5167">
        <v>16.98</v>
      </c>
      <c r="F5167">
        <v>17.350000000000001</v>
      </c>
      <c r="G5167">
        <v>17.324999999999999</v>
      </c>
      <c r="H5167">
        <v>0.25</v>
      </c>
      <c r="I5167">
        <v>2669</v>
      </c>
      <c r="J5167">
        <v>0</v>
      </c>
      <c r="K5167">
        <v>9515</v>
      </c>
      <c r="L5167">
        <v>126</v>
      </c>
      <c r="M5167">
        <v>180</v>
      </c>
      <c r="N5167" t="s">
        <v>51</v>
      </c>
      <c r="O5167" s="3">
        <v>44034</v>
      </c>
      <c r="P5167">
        <v>-1</v>
      </c>
      <c r="T5167" t="s">
        <v>22</v>
      </c>
      <c r="U5167">
        <v>100</v>
      </c>
      <c r="V5167">
        <v>27.275300000000001</v>
      </c>
    </row>
    <row r="5168" spans="1:22" x14ac:dyDescent="0.35">
      <c r="A5168" s="3">
        <v>43854</v>
      </c>
      <c r="B5168" t="s">
        <v>48</v>
      </c>
      <c r="C5168">
        <v>19.7</v>
      </c>
      <c r="D5168">
        <v>19.95</v>
      </c>
      <c r="E5168">
        <v>19.670000000000002</v>
      </c>
      <c r="F5168">
        <v>19.95</v>
      </c>
      <c r="G5168">
        <v>19.925000000000001</v>
      </c>
      <c r="H5168">
        <v>0.22500000000000001</v>
      </c>
      <c r="I5168">
        <v>213</v>
      </c>
      <c r="J5168">
        <v>0</v>
      </c>
      <c r="K5168">
        <v>6247</v>
      </c>
      <c r="L5168">
        <v>190</v>
      </c>
      <c r="M5168">
        <v>271</v>
      </c>
      <c r="N5168" t="s">
        <v>48</v>
      </c>
      <c r="O5168" s="3">
        <v>44125</v>
      </c>
      <c r="P5168">
        <v>-1</v>
      </c>
      <c r="T5168" t="s">
        <v>26</v>
      </c>
      <c r="U5168">
        <v>120</v>
      </c>
      <c r="V5168">
        <v>26.848800000000001</v>
      </c>
    </row>
    <row r="5169" spans="1:22" x14ac:dyDescent="0.35">
      <c r="A5169" s="3">
        <v>43854</v>
      </c>
      <c r="B5169" t="s">
        <v>53</v>
      </c>
      <c r="C5169">
        <v>16.48</v>
      </c>
      <c r="D5169">
        <v>16.95</v>
      </c>
      <c r="E5169">
        <v>16.329999999999998</v>
      </c>
      <c r="F5169">
        <v>16.75</v>
      </c>
      <c r="G5169">
        <v>16.725000000000001</v>
      </c>
      <c r="H5169">
        <v>0.25</v>
      </c>
      <c r="I5169">
        <v>17336</v>
      </c>
      <c r="J5169">
        <v>0</v>
      </c>
      <c r="K5169">
        <v>28895</v>
      </c>
      <c r="L5169">
        <v>82</v>
      </c>
      <c r="M5169">
        <v>117</v>
      </c>
      <c r="N5169" t="s">
        <v>53</v>
      </c>
      <c r="O5169" s="3">
        <v>43971</v>
      </c>
      <c r="P5169">
        <v>-1</v>
      </c>
      <c r="T5169" t="s">
        <v>27</v>
      </c>
      <c r="U5169">
        <v>144</v>
      </c>
      <c r="V5169">
        <v>26.843800000000002</v>
      </c>
    </row>
    <row r="5170" spans="1:22" x14ac:dyDescent="0.35">
      <c r="A5170" s="3">
        <v>43854</v>
      </c>
      <c r="B5170" t="s">
        <v>47</v>
      </c>
      <c r="C5170">
        <v>17.84</v>
      </c>
      <c r="D5170">
        <v>18</v>
      </c>
      <c r="E5170">
        <v>17.77</v>
      </c>
      <c r="F5170">
        <v>18</v>
      </c>
      <c r="G5170">
        <v>17.899999999999999</v>
      </c>
      <c r="H5170">
        <v>0.1</v>
      </c>
      <c r="I5170">
        <v>73</v>
      </c>
      <c r="J5170">
        <v>0</v>
      </c>
      <c r="K5170">
        <v>2924</v>
      </c>
      <c r="L5170">
        <v>210</v>
      </c>
      <c r="M5170">
        <v>299</v>
      </c>
      <c r="N5170" t="s">
        <v>47</v>
      </c>
      <c r="O5170" s="3">
        <v>44153</v>
      </c>
      <c r="P5170">
        <v>-1</v>
      </c>
      <c r="T5170" t="s">
        <v>25</v>
      </c>
      <c r="U5170">
        <v>164</v>
      </c>
      <c r="V5170">
        <v>26.875</v>
      </c>
    </row>
    <row r="5171" spans="1:22" x14ac:dyDescent="0.35">
      <c r="A5171" s="3">
        <v>43854</v>
      </c>
      <c r="B5171" t="s">
        <v>52</v>
      </c>
      <c r="C5171">
        <v>16.850000000000001</v>
      </c>
      <c r="D5171">
        <v>17.260000000000002</v>
      </c>
      <c r="E5171">
        <v>16.75</v>
      </c>
      <c r="F5171">
        <v>17.13</v>
      </c>
      <c r="G5171">
        <v>17.125</v>
      </c>
      <c r="H5171">
        <v>0.3</v>
      </c>
      <c r="I5171">
        <v>8839</v>
      </c>
      <c r="J5171">
        <v>0</v>
      </c>
      <c r="K5171">
        <v>15053</v>
      </c>
      <c r="L5171">
        <v>101</v>
      </c>
      <c r="M5171">
        <v>145</v>
      </c>
      <c r="N5171" t="s">
        <v>52</v>
      </c>
      <c r="O5171" s="3">
        <v>43999</v>
      </c>
      <c r="P5171">
        <v>-1</v>
      </c>
      <c r="T5171" t="s">
        <v>20</v>
      </c>
      <c r="U5171">
        <v>184</v>
      </c>
      <c r="V5171">
        <v>26.475000000000001</v>
      </c>
    </row>
    <row r="5172" spans="1:22" x14ac:dyDescent="0.35">
      <c r="A5172" s="3">
        <v>43854</v>
      </c>
      <c r="B5172" t="s">
        <v>49</v>
      </c>
      <c r="C5172">
        <v>17.5</v>
      </c>
      <c r="D5172">
        <v>17.8</v>
      </c>
      <c r="E5172">
        <v>17.440000000000001</v>
      </c>
      <c r="F5172">
        <v>17.7</v>
      </c>
      <c r="G5172">
        <v>17.725000000000001</v>
      </c>
      <c r="H5172">
        <v>0.22500000000000001</v>
      </c>
      <c r="I5172">
        <v>456</v>
      </c>
      <c r="J5172">
        <v>0</v>
      </c>
      <c r="K5172">
        <v>3263</v>
      </c>
      <c r="L5172">
        <v>165</v>
      </c>
      <c r="M5172">
        <v>236</v>
      </c>
      <c r="N5172" t="s">
        <v>49</v>
      </c>
      <c r="O5172" s="3">
        <v>44090</v>
      </c>
      <c r="P5172">
        <v>-1</v>
      </c>
      <c r="S5172" s="3">
        <v>44621</v>
      </c>
      <c r="T5172" t="s">
        <v>31</v>
      </c>
      <c r="U5172">
        <v>10</v>
      </c>
      <c r="V5172">
        <v>32.124099999999999</v>
      </c>
    </row>
    <row r="5173" spans="1:22" x14ac:dyDescent="0.35">
      <c r="A5173" s="3">
        <v>43854</v>
      </c>
      <c r="B5173" t="s">
        <v>54</v>
      </c>
      <c r="C5173">
        <v>16.3</v>
      </c>
      <c r="D5173">
        <v>16.899999999999999</v>
      </c>
      <c r="E5173">
        <v>16.100000000000001</v>
      </c>
      <c r="F5173">
        <v>16.72</v>
      </c>
      <c r="G5173">
        <v>16.675000000000001</v>
      </c>
      <c r="H5173">
        <v>0.4</v>
      </c>
      <c r="I5173">
        <v>25569</v>
      </c>
      <c r="J5173">
        <v>0</v>
      </c>
      <c r="K5173">
        <v>40690</v>
      </c>
      <c r="L5173">
        <v>57</v>
      </c>
      <c r="M5173">
        <v>82</v>
      </c>
      <c r="N5173" t="s">
        <v>54</v>
      </c>
      <c r="O5173" s="3">
        <v>43936</v>
      </c>
      <c r="P5173">
        <v>-1</v>
      </c>
      <c r="T5173" t="s">
        <v>30</v>
      </c>
      <c r="U5173">
        <v>36</v>
      </c>
      <c r="V5173">
        <v>30.676200000000001</v>
      </c>
    </row>
    <row r="5174" spans="1:22" x14ac:dyDescent="0.35">
      <c r="A5174" s="3">
        <v>43854</v>
      </c>
      <c r="B5174" t="s">
        <v>50</v>
      </c>
      <c r="C5174">
        <v>17.2</v>
      </c>
      <c r="D5174">
        <v>17.579999999999998</v>
      </c>
      <c r="E5174">
        <v>17.149999999999999</v>
      </c>
      <c r="F5174">
        <v>17.45</v>
      </c>
      <c r="G5174">
        <v>17.475000000000001</v>
      </c>
      <c r="H5174">
        <v>0.25</v>
      </c>
      <c r="I5174">
        <v>820</v>
      </c>
      <c r="J5174">
        <v>0</v>
      </c>
      <c r="K5174">
        <v>5290</v>
      </c>
      <c r="L5174">
        <v>146</v>
      </c>
      <c r="M5174">
        <v>208</v>
      </c>
      <c r="N5174" t="s">
        <v>50</v>
      </c>
      <c r="O5174" s="3">
        <v>44062</v>
      </c>
      <c r="P5174">
        <v>-1</v>
      </c>
      <c r="T5174" t="s">
        <v>29</v>
      </c>
      <c r="U5174">
        <v>56</v>
      </c>
      <c r="V5174">
        <v>29.588200000000001</v>
      </c>
    </row>
    <row r="5175" spans="1:22" x14ac:dyDescent="0.35">
      <c r="A5175" s="3">
        <v>43854</v>
      </c>
      <c r="B5175" t="s">
        <v>55</v>
      </c>
      <c r="C5175">
        <v>15.62</v>
      </c>
      <c r="D5175">
        <v>16.5</v>
      </c>
      <c r="E5175">
        <v>15.4</v>
      </c>
      <c r="F5175">
        <v>16.260000000000002</v>
      </c>
      <c r="G5175">
        <v>16.225000000000001</v>
      </c>
      <c r="H5175">
        <v>0.55000000000000004</v>
      </c>
      <c r="I5175">
        <v>113654</v>
      </c>
      <c r="J5175">
        <v>85</v>
      </c>
      <c r="K5175">
        <v>89929</v>
      </c>
      <c r="L5175">
        <v>37</v>
      </c>
      <c r="M5175">
        <v>54</v>
      </c>
      <c r="N5175" t="s">
        <v>55</v>
      </c>
      <c r="O5175" s="3">
        <v>43908</v>
      </c>
      <c r="P5175">
        <v>-1</v>
      </c>
      <c r="T5175" t="s">
        <v>28</v>
      </c>
      <c r="U5175">
        <v>75</v>
      </c>
      <c r="V5175">
        <v>28.774699999999999</v>
      </c>
    </row>
    <row r="5176" spans="1:22" x14ac:dyDescent="0.35">
      <c r="A5176" s="3">
        <v>43853</v>
      </c>
      <c r="B5176" t="s">
        <v>54</v>
      </c>
      <c r="C5176">
        <v>16.3</v>
      </c>
      <c r="D5176">
        <v>16.61</v>
      </c>
      <c r="E5176">
        <v>16.149999999999999</v>
      </c>
      <c r="F5176">
        <v>16.27</v>
      </c>
      <c r="G5176">
        <v>16.274999999999999</v>
      </c>
      <c r="H5176">
        <v>0</v>
      </c>
      <c r="I5176">
        <v>19586</v>
      </c>
      <c r="J5176">
        <v>0</v>
      </c>
      <c r="K5176">
        <v>40557</v>
      </c>
      <c r="L5176">
        <v>58</v>
      </c>
      <c r="M5176">
        <v>83</v>
      </c>
      <c r="N5176" t="s">
        <v>54</v>
      </c>
      <c r="O5176" s="3">
        <v>43936</v>
      </c>
      <c r="P5176">
        <v>-1</v>
      </c>
      <c r="T5176" t="s">
        <v>22</v>
      </c>
      <c r="U5176">
        <v>99</v>
      </c>
      <c r="V5176">
        <v>28.5411</v>
      </c>
    </row>
    <row r="5177" spans="1:22" x14ac:dyDescent="0.35">
      <c r="A5177" s="3">
        <v>43853</v>
      </c>
      <c r="B5177" t="s">
        <v>50</v>
      </c>
      <c r="C5177">
        <v>17.37</v>
      </c>
      <c r="D5177">
        <v>17.53</v>
      </c>
      <c r="E5177">
        <v>17.170000000000002</v>
      </c>
      <c r="F5177">
        <v>17.22</v>
      </c>
      <c r="G5177">
        <v>17.225000000000001</v>
      </c>
      <c r="H5177">
        <v>-0.1</v>
      </c>
      <c r="I5177">
        <v>715</v>
      </c>
      <c r="J5177">
        <v>0</v>
      </c>
      <c r="K5177">
        <v>5232</v>
      </c>
      <c r="L5177">
        <v>147</v>
      </c>
      <c r="M5177">
        <v>209</v>
      </c>
      <c r="N5177" t="s">
        <v>50</v>
      </c>
      <c r="O5177" s="3">
        <v>44062</v>
      </c>
      <c r="P5177">
        <v>-1</v>
      </c>
      <c r="T5177" t="s">
        <v>26</v>
      </c>
      <c r="U5177">
        <v>119</v>
      </c>
      <c r="V5177">
        <v>27.876000000000001</v>
      </c>
    </row>
    <row r="5178" spans="1:22" x14ac:dyDescent="0.35">
      <c r="A5178" s="3">
        <v>43853</v>
      </c>
      <c r="B5178" t="s">
        <v>55</v>
      </c>
      <c r="C5178">
        <v>15.75</v>
      </c>
      <c r="D5178">
        <v>16.059999999999999</v>
      </c>
      <c r="E5178">
        <v>15.55</v>
      </c>
      <c r="F5178">
        <v>15.63</v>
      </c>
      <c r="G5178">
        <v>15.675000000000001</v>
      </c>
      <c r="H5178">
        <v>-0.05</v>
      </c>
      <c r="I5178">
        <v>64009</v>
      </c>
      <c r="J5178">
        <v>13</v>
      </c>
      <c r="K5178">
        <v>85637</v>
      </c>
      <c r="L5178">
        <v>38</v>
      </c>
      <c r="M5178">
        <v>55</v>
      </c>
      <c r="N5178" t="s">
        <v>55</v>
      </c>
      <c r="O5178" s="3">
        <v>43908</v>
      </c>
      <c r="P5178">
        <v>-1</v>
      </c>
      <c r="T5178" t="s">
        <v>27</v>
      </c>
      <c r="U5178">
        <v>143</v>
      </c>
      <c r="V5178">
        <v>27.7</v>
      </c>
    </row>
    <row r="5179" spans="1:22" x14ac:dyDescent="0.35">
      <c r="A5179" s="3">
        <v>43853</v>
      </c>
      <c r="B5179" t="s">
        <v>51</v>
      </c>
      <c r="C5179">
        <v>17.149999999999999</v>
      </c>
      <c r="D5179">
        <v>17.38</v>
      </c>
      <c r="E5179">
        <v>17.010000000000002</v>
      </c>
      <c r="F5179">
        <v>17.12</v>
      </c>
      <c r="G5179">
        <v>17.074999999999999</v>
      </c>
      <c r="H5179">
        <v>-0.05</v>
      </c>
      <c r="I5179">
        <v>3057</v>
      </c>
      <c r="J5179">
        <v>0</v>
      </c>
      <c r="K5179">
        <v>8949</v>
      </c>
      <c r="L5179">
        <v>127</v>
      </c>
      <c r="M5179">
        <v>181</v>
      </c>
      <c r="N5179" t="s">
        <v>51</v>
      </c>
      <c r="O5179" s="3">
        <v>44034</v>
      </c>
      <c r="P5179">
        <v>-1</v>
      </c>
      <c r="T5179" t="s">
        <v>25</v>
      </c>
      <c r="U5179">
        <v>163</v>
      </c>
      <c r="V5179">
        <v>27.6</v>
      </c>
    </row>
    <row r="5180" spans="1:22" x14ac:dyDescent="0.35">
      <c r="A5180" s="3">
        <v>43853</v>
      </c>
      <c r="B5180" t="s">
        <v>48</v>
      </c>
      <c r="C5180">
        <v>19.95</v>
      </c>
      <c r="D5180">
        <v>20</v>
      </c>
      <c r="E5180">
        <v>19.690000000000001</v>
      </c>
      <c r="F5180">
        <v>19.71</v>
      </c>
      <c r="G5180">
        <v>19.7</v>
      </c>
      <c r="H5180">
        <v>-0.2</v>
      </c>
      <c r="I5180">
        <v>303</v>
      </c>
      <c r="J5180">
        <v>0</v>
      </c>
      <c r="K5180">
        <v>6191</v>
      </c>
      <c r="L5180">
        <v>191</v>
      </c>
      <c r="M5180">
        <v>272</v>
      </c>
      <c r="N5180" t="s">
        <v>48</v>
      </c>
      <c r="O5180" s="3">
        <v>44125</v>
      </c>
      <c r="P5180">
        <v>-1</v>
      </c>
      <c r="T5180" t="s">
        <v>20</v>
      </c>
      <c r="U5180">
        <v>183</v>
      </c>
      <c r="V5180">
        <v>27</v>
      </c>
    </row>
    <row r="5181" spans="1:22" x14ac:dyDescent="0.35">
      <c r="A5181" s="3">
        <v>43853</v>
      </c>
      <c r="B5181" t="s">
        <v>53</v>
      </c>
      <c r="C5181">
        <v>16.55</v>
      </c>
      <c r="D5181">
        <v>16.8</v>
      </c>
      <c r="E5181">
        <v>16.37</v>
      </c>
      <c r="F5181">
        <v>16.47</v>
      </c>
      <c r="G5181">
        <v>16.475000000000001</v>
      </c>
      <c r="H5181">
        <v>-0.05</v>
      </c>
      <c r="I5181">
        <v>7388</v>
      </c>
      <c r="J5181">
        <v>0</v>
      </c>
      <c r="K5181">
        <v>31208</v>
      </c>
      <c r="L5181">
        <v>83</v>
      </c>
      <c r="M5181">
        <v>118</v>
      </c>
      <c r="N5181" t="s">
        <v>53</v>
      </c>
      <c r="O5181" s="3">
        <v>43971</v>
      </c>
      <c r="P5181">
        <v>-1</v>
      </c>
      <c r="S5181" s="3">
        <v>44622</v>
      </c>
      <c r="T5181" t="s">
        <v>31</v>
      </c>
      <c r="U5181">
        <v>9</v>
      </c>
      <c r="V5181">
        <v>29.6145</v>
      </c>
    </row>
    <row r="5182" spans="1:22" x14ac:dyDescent="0.35">
      <c r="A5182" s="3">
        <v>43853</v>
      </c>
      <c r="B5182" t="s">
        <v>47</v>
      </c>
      <c r="C5182">
        <v>17.88</v>
      </c>
      <c r="D5182">
        <v>17.989999999999998</v>
      </c>
      <c r="E5182">
        <v>17.7</v>
      </c>
      <c r="F5182">
        <v>17.8</v>
      </c>
      <c r="G5182">
        <v>17.8</v>
      </c>
      <c r="H5182">
        <v>7.4999999999999997E-2</v>
      </c>
      <c r="I5182">
        <v>167</v>
      </c>
      <c r="J5182">
        <v>0</v>
      </c>
      <c r="K5182">
        <v>2889</v>
      </c>
      <c r="L5182">
        <v>211</v>
      </c>
      <c r="M5182">
        <v>300</v>
      </c>
      <c r="N5182" t="s">
        <v>47</v>
      </c>
      <c r="O5182" s="3">
        <v>44153</v>
      </c>
      <c r="P5182">
        <v>-1</v>
      </c>
      <c r="T5182" t="s">
        <v>30</v>
      </c>
      <c r="U5182">
        <v>35</v>
      </c>
      <c r="V5182">
        <v>29.0901</v>
      </c>
    </row>
    <row r="5183" spans="1:22" x14ac:dyDescent="0.35">
      <c r="A5183" s="3">
        <v>43853</v>
      </c>
      <c r="B5183" t="s">
        <v>52</v>
      </c>
      <c r="C5183">
        <v>16.89</v>
      </c>
      <c r="D5183">
        <v>17.149999999999999</v>
      </c>
      <c r="E5183">
        <v>16.75</v>
      </c>
      <c r="F5183">
        <v>16.86</v>
      </c>
      <c r="G5183">
        <v>16.824999999999999</v>
      </c>
      <c r="H5183">
        <v>-0.05</v>
      </c>
      <c r="I5183">
        <v>5845</v>
      </c>
      <c r="J5183">
        <v>0</v>
      </c>
      <c r="K5183">
        <v>15048</v>
      </c>
      <c r="L5183">
        <v>102</v>
      </c>
      <c r="M5183">
        <v>146</v>
      </c>
      <c r="N5183" t="s">
        <v>52</v>
      </c>
      <c r="O5183" s="3">
        <v>43999</v>
      </c>
      <c r="P5183">
        <v>-1</v>
      </c>
      <c r="T5183" t="s">
        <v>29</v>
      </c>
      <c r="U5183">
        <v>55</v>
      </c>
      <c r="V5183">
        <v>28.324200000000001</v>
      </c>
    </row>
    <row r="5184" spans="1:22" x14ac:dyDescent="0.35">
      <c r="A5184" s="3">
        <v>43853</v>
      </c>
      <c r="B5184" t="s">
        <v>49</v>
      </c>
      <c r="C5184">
        <v>17.7</v>
      </c>
      <c r="D5184">
        <v>17.8</v>
      </c>
      <c r="E5184">
        <v>17.47</v>
      </c>
      <c r="F5184">
        <v>17.5</v>
      </c>
      <c r="G5184">
        <v>17.5</v>
      </c>
      <c r="H5184">
        <v>-7.4999999999999997E-2</v>
      </c>
      <c r="I5184">
        <v>305</v>
      </c>
      <c r="J5184">
        <v>0</v>
      </c>
      <c r="K5184">
        <v>3095</v>
      </c>
      <c r="L5184">
        <v>166</v>
      </c>
      <c r="M5184">
        <v>237</v>
      </c>
      <c r="N5184" t="s">
        <v>49</v>
      </c>
      <c r="O5184" s="3">
        <v>44090</v>
      </c>
      <c r="P5184">
        <v>-1</v>
      </c>
      <c r="T5184" t="s">
        <v>28</v>
      </c>
      <c r="U5184">
        <v>74</v>
      </c>
      <c r="V5184">
        <v>27.741399999999999</v>
      </c>
    </row>
    <row r="5185" spans="1:22" x14ac:dyDescent="0.35">
      <c r="A5185" s="3">
        <v>43852</v>
      </c>
      <c r="B5185" t="s">
        <v>51</v>
      </c>
      <c r="C5185">
        <v>16.97</v>
      </c>
      <c r="D5185">
        <v>17.18</v>
      </c>
      <c r="E5185">
        <v>16.850000000000001</v>
      </c>
      <c r="F5185">
        <v>17.18</v>
      </c>
      <c r="G5185">
        <v>17.125</v>
      </c>
      <c r="H5185">
        <v>0.125</v>
      </c>
      <c r="I5185">
        <v>2658</v>
      </c>
      <c r="J5185">
        <v>0</v>
      </c>
      <c r="K5185">
        <v>8404</v>
      </c>
      <c r="L5185">
        <v>128</v>
      </c>
      <c r="M5185">
        <v>182</v>
      </c>
      <c r="N5185" t="s">
        <v>51</v>
      </c>
      <c r="O5185" s="3">
        <v>44034</v>
      </c>
      <c r="P5185">
        <v>-1</v>
      </c>
      <c r="T5185" t="s">
        <v>22</v>
      </c>
      <c r="U5185">
        <v>98</v>
      </c>
      <c r="V5185">
        <v>27.739699999999999</v>
      </c>
    </row>
    <row r="5186" spans="1:22" x14ac:dyDescent="0.35">
      <c r="A5186" s="3">
        <v>43852</v>
      </c>
      <c r="B5186" t="s">
        <v>48</v>
      </c>
      <c r="C5186">
        <v>20</v>
      </c>
      <c r="D5186">
        <v>20</v>
      </c>
      <c r="E5186">
        <v>19.850000000000001</v>
      </c>
      <c r="F5186">
        <v>19.899999999999999</v>
      </c>
      <c r="G5186">
        <v>19.899999999999999</v>
      </c>
      <c r="H5186">
        <v>-0.05</v>
      </c>
      <c r="I5186">
        <v>288</v>
      </c>
      <c r="J5186">
        <v>0</v>
      </c>
      <c r="K5186">
        <v>6006</v>
      </c>
      <c r="L5186">
        <v>192</v>
      </c>
      <c r="M5186">
        <v>273</v>
      </c>
      <c r="N5186" t="s">
        <v>48</v>
      </c>
      <c r="O5186" s="3">
        <v>44125</v>
      </c>
      <c r="P5186">
        <v>-1</v>
      </c>
      <c r="T5186" t="s">
        <v>26</v>
      </c>
      <c r="U5186">
        <v>118</v>
      </c>
      <c r="V5186">
        <v>27.241900000000001</v>
      </c>
    </row>
    <row r="5187" spans="1:22" x14ac:dyDescent="0.35">
      <c r="A5187" s="3">
        <v>43852</v>
      </c>
      <c r="B5187" t="s">
        <v>53</v>
      </c>
      <c r="C5187">
        <v>16.25</v>
      </c>
      <c r="D5187">
        <v>16.55</v>
      </c>
      <c r="E5187">
        <v>16.059999999999999</v>
      </c>
      <c r="F5187">
        <v>16.5</v>
      </c>
      <c r="G5187">
        <v>16.524999999999999</v>
      </c>
      <c r="H5187">
        <v>0.27500000000000002</v>
      </c>
      <c r="I5187">
        <v>9974</v>
      </c>
      <c r="J5187">
        <v>0</v>
      </c>
      <c r="K5187">
        <v>30565</v>
      </c>
      <c r="L5187">
        <v>84</v>
      </c>
      <c r="M5187">
        <v>119</v>
      </c>
      <c r="N5187" t="s">
        <v>53</v>
      </c>
      <c r="O5187" s="3">
        <v>43971</v>
      </c>
      <c r="P5187">
        <v>-1</v>
      </c>
      <c r="T5187" t="s">
        <v>27</v>
      </c>
      <c r="U5187">
        <v>142</v>
      </c>
      <c r="V5187">
        <v>27.175000000000001</v>
      </c>
    </row>
    <row r="5188" spans="1:22" x14ac:dyDescent="0.35">
      <c r="A5188" s="3">
        <v>43852</v>
      </c>
      <c r="B5188" t="s">
        <v>47</v>
      </c>
      <c r="C5188">
        <v>17.7</v>
      </c>
      <c r="D5188">
        <v>17.75</v>
      </c>
      <c r="E5188">
        <v>17.649999999999999</v>
      </c>
      <c r="F5188">
        <v>17.75</v>
      </c>
      <c r="G5188">
        <v>17.725000000000001</v>
      </c>
      <c r="H5188">
        <v>-7.4999999999999997E-2</v>
      </c>
      <c r="I5188">
        <v>64</v>
      </c>
      <c r="J5188">
        <v>0</v>
      </c>
      <c r="K5188">
        <v>2751</v>
      </c>
      <c r="L5188">
        <v>212</v>
      </c>
      <c r="M5188">
        <v>301</v>
      </c>
      <c r="N5188" t="s">
        <v>47</v>
      </c>
      <c r="O5188" s="3">
        <v>44153</v>
      </c>
      <c r="P5188">
        <v>-1</v>
      </c>
      <c r="T5188" t="s">
        <v>25</v>
      </c>
      <c r="U5188">
        <v>162</v>
      </c>
      <c r="V5188">
        <v>27.1</v>
      </c>
    </row>
    <row r="5189" spans="1:22" x14ac:dyDescent="0.35">
      <c r="A5189" s="3">
        <v>43852</v>
      </c>
      <c r="B5189" t="s">
        <v>52</v>
      </c>
      <c r="C5189">
        <v>16.68</v>
      </c>
      <c r="D5189">
        <v>16.899999999999999</v>
      </c>
      <c r="E5189">
        <v>16.5</v>
      </c>
      <c r="F5189">
        <v>16.88</v>
      </c>
      <c r="G5189">
        <v>16.875</v>
      </c>
      <c r="H5189">
        <v>0.2</v>
      </c>
      <c r="I5189">
        <v>5228</v>
      </c>
      <c r="J5189">
        <v>0</v>
      </c>
      <c r="K5189">
        <v>14094</v>
      </c>
      <c r="L5189">
        <v>103</v>
      </c>
      <c r="M5189">
        <v>147</v>
      </c>
      <c r="N5189" t="s">
        <v>52</v>
      </c>
      <c r="O5189" s="3">
        <v>43999</v>
      </c>
      <c r="P5189">
        <v>-1</v>
      </c>
      <c r="T5189" t="s">
        <v>20</v>
      </c>
      <c r="U5189">
        <v>182</v>
      </c>
      <c r="V5189">
        <v>26.4</v>
      </c>
    </row>
    <row r="5190" spans="1:22" x14ac:dyDescent="0.35">
      <c r="A5190" s="3">
        <v>43852</v>
      </c>
      <c r="B5190" t="s">
        <v>49</v>
      </c>
      <c r="C5190">
        <v>17.45</v>
      </c>
      <c r="D5190">
        <v>17.600000000000001</v>
      </c>
      <c r="E5190">
        <v>17.38</v>
      </c>
      <c r="F5190">
        <v>17.600000000000001</v>
      </c>
      <c r="G5190">
        <v>17.574999999999999</v>
      </c>
      <c r="H5190">
        <v>7.4999999999999997E-2</v>
      </c>
      <c r="I5190">
        <v>367</v>
      </c>
      <c r="J5190">
        <v>0</v>
      </c>
      <c r="K5190">
        <v>2988</v>
      </c>
      <c r="L5190">
        <v>167</v>
      </c>
      <c r="M5190">
        <v>238</v>
      </c>
      <c r="N5190" t="s">
        <v>49</v>
      </c>
      <c r="O5190" s="3">
        <v>44090</v>
      </c>
      <c r="P5190">
        <v>-1</v>
      </c>
      <c r="S5190" s="3">
        <v>44623</v>
      </c>
      <c r="T5190" t="s">
        <v>31</v>
      </c>
      <c r="U5190">
        <v>8</v>
      </c>
      <c r="V5190">
        <v>29.9057</v>
      </c>
    </row>
    <row r="5191" spans="1:22" x14ac:dyDescent="0.35">
      <c r="A5191" s="3">
        <v>43852</v>
      </c>
      <c r="B5191" t="s">
        <v>54</v>
      </c>
      <c r="C5191">
        <v>16.04</v>
      </c>
      <c r="D5191">
        <v>16.350000000000001</v>
      </c>
      <c r="E5191">
        <v>15.77</v>
      </c>
      <c r="F5191">
        <v>16.3</v>
      </c>
      <c r="G5191">
        <v>16.274999999999999</v>
      </c>
      <c r="H5191">
        <v>0.25</v>
      </c>
      <c r="I5191">
        <v>21832</v>
      </c>
      <c r="J5191">
        <v>0</v>
      </c>
      <c r="K5191">
        <v>38650</v>
      </c>
      <c r="L5191">
        <v>59</v>
      </c>
      <c r="M5191">
        <v>84</v>
      </c>
      <c r="N5191" t="s">
        <v>54</v>
      </c>
      <c r="O5191" s="3">
        <v>43936</v>
      </c>
      <c r="P5191">
        <v>-1</v>
      </c>
      <c r="T5191" t="s">
        <v>30</v>
      </c>
      <c r="U5191">
        <v>34</v>
      </c>
      <c r="V5191">
        <v>29.4694</v>
      </c>
    </row>
    <row r="5192" spans="1:22" x14ac:dyDescent="0.35">
      <c r="A5192" s="3">
        <v>43852</v>
      </c>
      <c r="B5192" t="s">
        <v>50</v>
      </c>
      <c r="C5192">
        <v>17.149999999999999</v>
      </c>
      <c r="D5192">
        <v>17.350000000000001</v>
      </c>
      <c r="E5192">
        <v>17.05</v>
      </c>
      <c r="F5192">
        <v>17.350000000000001</v>
      </c>
      <c r="G5192">
        <v>17.324999999999999</v>
      </c>
      <c r="H5192">
        <v>0.15</v>
      </c>
      <c r="I5192">
        <v>990</v>
      </c>
      <c r="J5192">
        <v>0</v>
      </c>
      <c r="K5192">
        <v>4881</v>
      </c>
      <c r="L5192">
        <v>148</v>
      </c>
      <c r="M5192">
        <v>210</v>
      </c>
      <c r="N5192" t="s">
        <v>50</v>
      </c>
      <c r="O5192" s="3">
        <v>44062</v>
      </c>
      <c r="P5192">
        <v>-1</v>
      </c>
      <c r="T5192" t="s">
        <v>29</v>
      </c>
      <c r="U5192">
        <v>54</v>
      </c>
      <c r="V5192">
        <v>28.738600000000002</v>
      </c>
    </row>
    <row r="5193" spans="1:22" x14ac:dyDescent="0.35">
      <c r="A5193" s="3">
        <v>43852</v>
      </c>
      <c r="B5193" t="s">
        <v>55</v>
      </c>
      <c r="C5193">
        <v>15.5</v>
      </c>
      <c r="D5193">
        <v>15.8</v>
      </c>
      <c r="E5193">
        <v>15.22</v>
      </c>
      <c r="F5193">
        <v>15.75</v>
      </c>
      <c r="G5193">
        <v>15.725</v>
      </c>
      <c r="H5193">
        <v>0.2</v>
      </c>
      <c r="I5193">
        <v>92710</v>
      </c>
      <c r="J5193">
        <v>0</v>
      </c>
      <c r="K5193">
        <v>82155</v>
      </c>
      <c r="L5193">
        <v>39</v>
      </c>
      <c r="M5193">
        <v>56</v>
      </c>
      <c r="N5193" t="s">
        <v>55</v>
      </c>
      <c r="O5193" s="3">
        <v>43908</v>
      </c>
      <c r="P5193">
        <v>-1</v>
      </c>
      <c r="T5193" t="s">
        <v>28</v>
      </c>
      <c r="U5193">
        <v>73</v>
      </c>
      <c r="V5193">
        <v>28.149899999999999</v>
      </c>
    </row>
    <row r="5194" spans="1:22" x14ac:dyDescent="0.35">
      <c r="A5194" s="3">
        <v>43851</v>
      </c>
      <c r="B5194" t="s">
        <v>54</v>
      </c>
      <c r="C5194">
        <v>16.05</v>
      </c>
      <c r="D5194">
        <v>16.29</v>
      </c>
      <c r="E5194">
        <v>15.9</v>
      </c>
      <c r="F5194">
        <v>16.05</v>
      </c>
      <c r="G5194">
        <v>16.024999999999999</v>
      </c>
      <c r="H5194">
        <v>0</v>
      </c>
      <c r="I5194">
        <v>15978</v>
      </c>
      <c r="J5194">
        <v>0</v>
      </c>
      <c r="K5194">
        <v>38910</v>
      </c>
      <c r="L5194">
        <v>60</v>
      </c>
      <c r="M5194">
        <v>85</v>
      </c>
      <c r="N5194" t="s">
        <v>54</v>
      </c>
      <c r="O5194" s="3">
        <v>43936</v>
      </c>
      <c r="P5194">
        <v>-1</v>
      </c>
      <c r="T5194" t="s">
        <v>22</v>
      </c>
      <c r="U5194">
        <v>97</v>
      </c>
      <c r="V5194">
        <v>28.0411</v>
      </c>
    </row>
    <row r="5195" spans="1:22" x14ac:dyDescent="0.35">
      <c r="A5195" s="3">
        <v>43851</v>
      </c>
      <c r="B5195" t="s">
        <v>50</v>
      </c>
      <c r="C5195">
        <v>17.2</v>
      </c>
      <c r="D5195">
        <v>17.32</v>
      </c>
      <c r="E5195">
        <v>17.13</v>
      </c>
      <c r="F5195">
        <v>17.2</v>
      </c>
      <c r="G5195">
        <v>17.175000000000001</v>
      </c>
      <c r="H5195">
        <v>0</v>
      </c>
      <c r="I5195">
        <v>984</v>
      </c>
      <c r="J5195">
        <v>0</v>
      </c>
      <c r="K5195">
        <v>4533</v>
      </c>
      <c r="L5195">
        <v>149</v>
      </c>
      <c r="M5195">
        <v>211</v>
      </c>
      <c r="N5195" t="s">
        <v>50</v>
      </c>
      <c r="O5195" s="3">
        <v>44062</v>
      </c>
      <c r="P5195">
        <v>-1</v>
      </c>
      <c r="T5195" t="s">
        <v>26</v>
      </c>
      <c r="U5195">
        <v>117</v>
      </c>
      <c r="V5195">
        <v>27.546900000000001</v>
      </c>
    </row>
    <row r="5196" spans="1:22" x14ac:dyDescent="0.35">
      <c r="A5196" s="3">
        <v>43851</v>
      </c>
      <c r="B5196" t="s">
        <v>55</v>
      </c>
      <c r="C5196">
        <v>15.37</v>
      </c>
      <c r="D5196">
        <v>15.65</v>
      </c>
      <c r="E5196">
        <v>15.24</v>
      </c>
      <c r="F5196">
        <v>15.55</v>
      </c>
      <c r="G5196">
        <v>15.525</v>
      </c>
      <c r="H5196">
        <v>0.15</v>
      </c>
      <c r="I5196">
        <v>44065</v>
      </c>
      <c r="J5196">
        <v>0</v>
      </c>
      <c r="K5196">
        <v>75029</v>
      </c>
      <c r="L5196">
        <v>40</v>
      </c>
      <c r="M5196">
        <v>57</v>
      </c>
      <c r="N5196" t="s">
        <v>55</v>
      </c>
      <c r="O5196" s="3">
        <v>43908</v>
      </c>
      <c r="P5196">
        <v>-1</v>
      </c>
      <c r="T5196" t="s">
        <v>27</v>
      </c>
      <c r="U5196">
        <v>141</v>
      </c>
      <c r="V5196">
        <v>27.43</v>
      </c>
    </row>
    <row r="5197" spans="1:22" x14ac:dyDescent="0.35">
      <c r="A5197" s="3">
        <v>43851</v>
      </c>
      <c r="B5197" t="s">
        <v>51</v>
      </c>
      <c r="C5197">
        <v>17.05</v>
      </c>
      <c r="D5197">
        <v>17.170000000000002</v>
      </c>
      <c r="E5197">
        <v>16.95</v>
      </c>
      <c r="F5197">
        <v>17</v>
      </c>
      <c r="G5197">
        <v>17</v>
      </c>
      <c r="H5197">
        <v>-2.5000000000000001E-2</v>
      </c>
      <c r="I5197">
        <v>1455</v>
      </c>
      <c r="J5197">
        <v>0</v>
      </c>
      <c r="K5197">
        <v>8140</v>
      </c>
      <c r="L5197">
        <v>129</v>
      </c>
      <c r="M5197">
        <v>183</v>
      </c>
      <c r="N5197" t="s">
        <v>51</v>
      </c>
      <c r="O5197" s="3">
        <v>44034</v>
      </c>
      <c r="P5197">
        <v>-1</v>
      </c>
      <c r="T5197" t="s">
        <v>25</v>
      </c>
      <c r="U5197">
        <v>161</v>
      </c>
      <c r="V5197">
        <v>27.35</v>
      </c>
    </row>
    <row r="5198" spans="1:22" x14ac:dyDescent="0.35">
      <c r="A5198" s="3">
        <v>43851</v>
      </c>
      <c r="B5198" t="s">
        <v>48</v>
      </c>
      <c r="C5198">
        <v>19.899999999999999</v>
      </c>
      <c r="D5198">
        <v>20</v>
      </c>
      <c r="E5198">
        <v>19.829999999999998</v>
      </c>
      <c r="F5198">
        <v>19.940000000000001</v>
      </c>
      <c r="G5198">
        <v>19.95</v>
      </c>
      <c r="H5198">
        <v>2.5000000000000001E-2</v>
      </c>
      <c r="I5198">
        <v>201</v>
      </c>
      <c r="J5198">
        <v>0</v>
      </c>
      <c r="K5198">
        <v>5866</v>
      </c>
      <c r="L5198">
        <v>193</v>
      </c>
      <c r="M5198">
        <v>274</v>
      </c>
      <c r="N5198" t="s">
        <v>48</v>
      </c>
      <c r="O5198" s="3">
        <v>44125</v>
      </c>
      <c r="P5198">
        <v>-1</v>
      </c>
      <c r="T5198" t="s">
        <v>20</v>
      </c>
      <c r="U5198">
        <v>181</v>
      </c>
      <c r="V5198">
        <v>26.675000000000001</v>
      </c>
    </row>
    <row r="5199" spans="1:22" x14ac:dyDescent="0.35">
      <c r="A5199" s="3">
        <v>43851</v>
      </c>
      <c r="B5199" t="s">
        <v>53</v>
      </c>
      <c r="C5199">
        <v>16.329999999999998</v>
      </c>
      <c r="D5199">
        <v>16.559999999999999</v>
      </c>
      <c r="E5199">
        <v>16.2</v>
      </c>
      <c r="F5199">
        <v>16.25</v>
      </c>
      <c r="G5199">
        <v>16.25</v>
      </c>
      <c r="H5199">
        <v>-7.4999999999999997E-2</v>
      </c>
      <c r="I5199">
        <v>11050</v>
      </c>
      <c r="J5199">
        <v>0</v>
      </c>
      <c r="K5199">
        <v>31704</v>
      </c>
      <c r="L5199">
        <v>85</v>
      </c>
      <c r="M5199">
        <v>120</v>
      </c>
      <c r="N5199" t="s">
        <v>53</v>
      </c>
      <c r="O5199" s="3">
        <v>43971</v>
      </c>
      <c r="P5199">
        <v>-1</v>
      </c>
      <c r="S5199" s="3">
        <v>44624</v>
      </c>
      <c r="T5199" t="s">
        <v>31</v>
      </c>
      <c r="U5199">
        <v>7</v>
      </c>
      <c r="V5199">
        <v>31.5274</v>
      </c>
    </row>
    <row r="5200" spans="1:22" x14ac:dyDescent="0.35">
      <c r="A5200" s="3">
        <v>43851</v>
      </c>
      <c r="B5200" t="s">
        <v>47</v>
      </c>
      <c r="C5200">
        <v>17.8</v>
      </c>
      <c r="D5200">
        <v>17.899999999999999</v>
      </c>
      <c r="E5200">
        <v>17.7</v>
      </c>
      <c r="F5200">
        <v>17.760000000000002</v>
      </c>
      <c r="G5200">
        <v>17.8</v>
      </c>
      <c r="H5200">
        <v>-2.5000000000000001E-2</v>
      </c>
      <c r="I5200">
        <v>69</v>
      </c>
      <c r="J5200">
        <v>0</v>
      </c>
      <c r="K5200">
        <v>2708</v>
      </c>
      <c r="L5200">
        <v>213</v>
      </c>
      <c r="M5200">
        <v>302</v>
      </c>
      <c r="N5200" t="s">
        <v>47</v>
      </c>
      <c r="O5200" s="3">
        <v>44153</v>
      </c>
      <c r="P5200">
        <v>-1</v>
      </c>
      <c r="T5200" t="s">
        <v>30</v>
      </c>
      <c r="U5200">
        <v>33</v>
      </c>
      <c r="V5200">
        <v>30.301200000000001</v>
      </c>
    </row>
    <row r="5201" spans="1:22" x14ac:dyDescent="0.35">
      <c r="A5201" s="3">
        <v>43851</v>
      </c>
      <c r="B5201" t="s">
        <v>52</v>
      </c>
      <c r="C5201">
        <v>16.760000000000002</v>
      </c>
      <c r="D5201">
        <v>16.95</v>
      </c>
      <c r="E5201">
        <v>16.649999999999999</v>
      </c>
      <c r="F5201">
        <v>16.670000000000002</v>
      </c>
      <c r="G5201">
        <v>16.675000000000001</v>
      </c>
      <c r="H5201">
        <v>-0.05</v>
      </c>
      <c r="I5201">
        <v>4136</v>
      </c>
      <c r="J5201">
        <v>0</v>
      </c>
      <c r="K5201">
        <v>14292</v>
      </c>
      <c r="L5201">
        <v>104</v>
      </c>
      <c r="M5201">
        <v>148</v>
      </c>
      <c r="N5201" t="s">
        <v>52</v>
      </c>
      <c r="O5201" s="3">
        <v>43999</v>
      </c>
      <c r="P5201">
        <v>-1</v>
      </c>
      <c r="T5201" t="s">
        <v>29</v>
      </c>
      <c r="U5201">
        <v>53</v>
      </c>
      <c r="V5201">
        <v>29.311</v>
      </c>
    </row>
    <row r="5202" spans="1:22" x14ac:dyDescent="0.35">
      <c r="A5202" s="3">
        <v>43851</v>
      </c>
      <c r="B5202" t="s">
        <v>49</v>
      </c>
      <c r="C5202">
        <v>17.5</v>
      </c>
      <c r="D5202">
        <v>17.600000000000001</v>
      </c>
      <c r="E5202">
        <v>17.399999999999999</v>
      </c>
      <c r="F5202">
        <v>17.55</v>
      </c>
      <c r="G5202">
        <v>17.5</v>
      </c>
      <c r="H5202">
        <v>2.5000000000000001E-2</v>
      </c>
      <c r="I5202">
        <v>186</v>
      </c>
      <c r="J5202">
        <v>0</v>
      </c>
      <c r="K5202">
        <v>2815</v>
      </c>
      <c r="L5202">
        <v>168</v>
      </c>
      <c r="M5202">
        <v>239</v>
      </c>
      <c r="N5202" t="s">
        <v>49</v>
      </c>
      <c r="O5202" s="3">
        <v>44090</v>
      </c>
      <c r="P5202">
        <v>-1</v>
      </c>
      <c r="T5202" t="s">
        <v>28</v>
      </c>
      <c r="U5202">
        <v>72</v>
      </c>
      <c r="V5202">
        <v>28.635999999999999</v>
      </c>
    </row>
    <row r="5203" spans="1:22" x14ac:dyDescent="0.35">
      <c r="A5203" s="3">
        <v>43847</v>
      </c>
      <c r="B5203" t="s">
        <v>51</v>
      </c>
      <c r="C5203">
        <v>16.95</v>
      </c>
      <c r="D5203">
        <v>17.100000000000001</v>
      </c>
      <c r="E5203">
        <v>16.920000000000002</v>
      </c>
      <c r="F5203">
        <v>17.010000000000002</v>
      </c>
      <c r="G5203">
        <v>17.024999999999999</v>
      </c>
      <c r="H5203">
        <v>0.05</v>
      </c>
      <c r="I5203">
        <v>1427</v>
      </c>
      <c r="J5203">
        <v>0</v>
      </c>
      <c r="K5203">
        <v>7943</v>
      </c>
      <c r="L5203">
        <v>130</v>
      </c>
      <c r="M5203">
        <v>187</v>
      </c>
      <c r="N5203" t="s">
        <v>51</v>
      </c>
      <c r="O5203" s="3">
        <v>44034</v>
      </c>
      <c r="P5203">
        <v>-1</v>
      </c>
      <c r="T5203" t="s">
        <v>22</v>
      </c>
      <c r="U5203">
        <v>96</v>
      </c>
      <c r="V5203">
        <v>28.493500000000001</v>
      </c>
    </row>
    <row r="5204" spans="1:22" x14ac:dyDescent="0.35">
      <c r="A5204" s="3">
        <v>43847</v>
      </c>
      <c r="B5204" t="s">
        <v>48</v>
      </c>
      <c r="C5204">
        <v>19.899999999999999</v>
      </c>
      <c r="D5204">
        <v>19.95</v>
      </c>
      <c r="E5204">
        <v>19.850000000000001</v>
      </c>
      <c r="F5204">
        <v>19.899999999999999</v>
      </c>
      <c r="G5204">
        <v>19.925000000000001</v>
      </c>
      <c r="H5204">
        <v>0.1</v>
      </c>
      <c r="I5204">
        <v>129</v>
      </c>
      <c r="J5204">
        <v>0</v>
      </c>
      <c r="K5204">
        <v>5771</v>
      </c>
      <c r="L5204">
        <v>194</v>
      </c>
      <c r="M5204">
        <v>278</v>
      </c>
      <c r="N5204" t="s">
        <v>48</v>
      </c>
      <c r="O5204" s="3">
        <v>44125</v>
      </c>
      <c r="P5204">
        <v>-1</v>
      </c>
      <c r="T5204" t="s">
        <v>26</v>
      </c>
      <c r="U5204">
        <v>116</v>
      </c>
      <c r="V5204">
        <v>27.8992</v>
      </c>
    </row>
    <row r="5205" spans="1:22" x14ac:dyDescent="0.35">
      <c r="A5205" s="3">
        <v>43847</v>
      </c>
      <c r="B5205" t="s">
        <v>53</v>
      </c>
      <c r="C5205">
        <v>16.2</v>
      </c>
      <c r="D5205">
        <v>16.399999999999999</v>
      </c>
      <c r="E5205">
        <v>16.149999999999999</v>
      </c>
      <c r="F5205">
        <v>16.329999999999998</v>
      </c>
      <c r="G5205">
        <v>16.324999999999999</v>
      </c>
      <c r="H5205">
        <v>0.1</v>
      </c>
      <c r="I5205">
        <v>11020</v>
      </c>
      <c r="J5205">
        <v>0</v>
      </c>
      <c r="K5205">
        <v>30878</v>
      </c>
      <c r="L5205">
        <v>86</v>
      </c>
      <c r="M5205">
        <v>124</v>
      </c>
      <c r="N5205" t="s">
        <v>53</v>
      </c>
      <c r="O5205" s="3">
        <v>43971</v>
      </c>
      <c r="P5205">
        <v>-1</v>
      </c>
      <c r="T5205" t="s">
        <v>27</v>
      </c>
      <c r="U5205">
        <v>140</v>
      </c>
      <c r="V5205">
        <v>27.731300000000001</v>
      </c>
    </row>
    <row r="5206" spans="1:22" x14ac:dyDescent="0.35">
      <c r="A5206" s="3">
        <v>43847</v>
      </c>
      <c r="B5206" t="s">
        <v>47</v>
      </c>
      <c r="C5206">
        <v>18</v>
      </c>
      <c r="D5206">
        <v>18</v>
      </c>
      <c r="E5206">
        <v>17.8</v>
      </c>
      <c r="F5206">
        <v>17.850000000000001</v>
      </c>
      <c r="G5206">
        <v>17.824999999999999</v>
      </c>
      <c r="H5206">
        <v>-0.15</v>
      </c>
      <c r="I5206">
        <v>87</v>
      </c>
      <c r="J5206">
        <v>0</v>
      </c>
      <c r="K5206">
        <v>2716</v>
      </c>
      <c r="L5206">
        <v>214</v>
      </c>
      <c r="M5206">
        <v>306</v>
      </c>
      <c r="N5206" t="s">
        <v>47</v>
      </c>
      <c r="O5206" s="3">
        <v>44153</v>
      </c>
      <c r="P5206">
        <v>-1</v>
      </c>
      <c r="T5206" t="s">
        <v>25</v>
      </c>
      <c r="U5206">
        <v>160</v>
      </c>
      <c r="V5206">
        <v>27.574999999999999</v>
      </c>
    </row>
    <row r="5207" spans="1:22" x14ac:dyDescent="0.35">
      <c r="A5207" s="3">
        <v>43847</v>
      </c>
      <c r="B5207" t="s">
        <v>52</v>
      </c>
      <c r="C5207">
        <v>16.63</v>
      </c>
      <c r="D5207">
        <v>16.8</v>
      </c>
      <c r="E5207">
        <v>16.600000000000001</v>
      </c>
      <c r="F5207">
        <v>16.75</v>
      </c>
      <c r="G5207">
        <v>16.725000000000001</v>
      </c>
      <c r="H5207">
        <v>0.1</v>
      </c>
      <c r="I5207">
        <v>3081</v>
      </c>
      <c r="J5207">
        <v>0</v>
      </c>
      <c r="K5207">
        <v>14461</v>
      </c>
      <c r="L5207">
        <v>105</v>
      </c>
      <c r="M5207">
        <v>152</v>
      </c>
      <c r="N5207" t="s">
        <v>52</v>
      </c>
      <c r="O5207" s="3">
        <v>43999</v>
      </c>
      <c r="P5207">
        <v>-1</v>
      </c>
      <c r="T5207" t="s">
        <v>20</v>
      </c>
      <c r="U5207">
        <v>180</v>
      </c>
      <c r="V5207">
        <v>26.824999999999999</v>
      </c>
    </row>
    <row r="5208" spans="1:22" x14ac:dyDescent="0.35">
      <c r="A5208" s="3">
        <v>43847</v>
      </c>
      <c r="B5208" t="s">
        <v>49</v>
      </c>
      <c r="C5208">
        <v>17.5</v>
      </c>
      <c r="D5208">
        <v>17.55</v>
      </c>
      <c r="E5208">
        <v>17.43</v>
      </c>
      <c r="F5208">
        <v>17.55</v>
      </c>
      <c r="G5208">
        <v>17.475000000000001</v>
      </c>
      <c r="H5208">
        <v>0</v>
      </c>
      <c r="I5208">
        <v>115</v>
      </c>
      <c r="J5208">
        <v>0</v>
      </c>
      <c r="K5208">
        <v>2723</v>
      </c>
      <c r="L5208">
        <v>169</v>
      </c>
      <c r="M5208">
        <v>243</v>
      </c>
      <c r="N5208" t="s">
        <v>49</v>
      </c>
      <c r="O5208" s="3">
        <v>44090</v>
      </c>
      <c r="P5208">
        <v>-1</v>
      </c>
      <c r="S5208" s="3">
        <v>44627</v>
      </c>
      <c r="T5208" t="s">
        <v>31</v>
      </c>
      <c r="U5208">
        <v>6</v>
      </c>
      <c r="V5208">
        <v>34.810499999999998</v>
      </c>
    </row>
    <row r="5209" spans="1:22" x14ac:dyDescent="0.35">
      <c r="A5209" s="3">
        <v>43847</v>
      </c>
      <c r="B5209" t="s">
        <v>54</v>
      </c>
      <c r="C5209">
        <v>15.95</v>
      </c>
      <c r="D5209">
        <v>16.149999999999999</v>
      </c>
      <c r="E5209">
        <v>15.9</v>
      </c>
      <c r="F5209">
        <v>16.05</v>
      </c>
      <c r="G5209">
        <v>16.024999999999999</v>
      </c>
      <c r="H5209">
        <v>0.05</v>
      </c>
      <c r="I5209">
        <v>12487</v>
      </c>
      <c r="J5209">
        <v>0</v>
      </c>
      <c r="K5209">
        <v>37393</v>
      </c>
      <c r="L5209">
        <v>61</v>
      </c>
      <c r="M5209">
        <v>89</v>
      </c>
      <c r="N5209" t="s">
        <v>54</v>
      </c>
      <c r="O5209" s="3">
        <v>43936</v>
      </c>
      <c r="P5209">
        <v>-1</v>
      </c>
      <c r="T5209" t="s">
        <v>30</v>
      </c>
      <c r="U5209">
        <v>32</v>
      </c>
      <c r="V5209">
        <v>32.86</v>
      </c>
    </row>
    <row r="5210" spans="1:22" x14ac:dyDescent="0.35">
      <c r="A5210" s="3">
        <v>43847</v>
      </c>
      <c r="B5210" t="s">
        <v>50</v>
      </c>
      <c r="C5210">
        <v>17.100000000000001</v>
      </c>
      <c r="D5210">
        <v>17.22</v>
      </c>
      <c r="E5210">
        <v>17.100000000000001</v>
      </c>
      <c r="F5210">
        <v>17.18</v>
      </c>
      <c r="G5210">
        <v>17.175000000000001</v>
      </c>
      <c r="H5210">
        <v>0.05</v>
      </c>
      <c r="I5210">
        <v>608</v>
      </c>
      <c r="J5210">
        <v>0</v>
      </c>
      <c r="K5210">
        <v>3811</v>
      </c>
      <c r="L5210">
        <v>150</v>
      </c>
      <c r="M5210">
        <v>215</v>
      </c>
      <c r="N5210" t="s">
        <v>50</v>
      </c>
      <c r="O5210" s="3">
        <v>44062</v>
      </c>
      <c r="P5210">
        <v>-1</v>
      </c>
      <c r="T5210" t="s">
        <v>29</v>
      </c>
      <c r="U5210">
        <v>52</v>
      </c>
      <c r="V5210">
        <v>31.4682</v>
      </c>
    </row>
    <row r="5211" spans="1:22" x14ac:dyDescent="0.35">
      <c r="A5211" s="3">
        <v>43847</v>
      </c>
      <c r="B5211" t="s">
        <v>55</v>
      </c>
      <c r="C5211">
        <v>15.32</v>
      </c>
      <c r="D5211">
        <v>15.6</v>
      </c>
      <c r="E5211">
        <v>15.28</v>
      </c>
      <c r="F5211">
        <v>15.37</v>
      </c>
      <c r="G5211">
        <v>15.375</v>
      </c>
      <c r="H5211">
        <v>0</v>
      </c>
      <c r="I5211">
        <v>36006</v>
      </c>
      <c r="J5211">
        <v>0</v>
      </c>
      <c r="K5211">
        <v>69755</v>
      </c>
      <c r="L5211">
        <v>41</v>
      </c>
      <c r="M5211">
        <v>61</v>
      </c>
      <c r="N5211" t="s">
        <v>55</v>
      </c>
      <c r="O5211" s="3">
        <v>43908</v>
      </c>
      <c r="P5211">
        <v>-1</v>
      </c>
      <c r="T5211" t="s">
        <v>28</v>
      </c>
      <c r="U5211">
        <v>71</v>
      </c>
      <c r="V5211">
        <v>30.466999999999999</v>
      </c>
    </row>
    <row r="5212" spans="1:22" x14ac:dyDescent="0.35">
      <c r="A5212" s="3">
        <v>43846</v>
      </c>
      <c r="B5212" t="s">
        <v>54</v>
      </c>
      <c r="C5212">
        <v>16.170000000000002</v>
      </c>
      <c r="D5212">
        <v>16.2</v>
      </c>
      <c r="E5212">
        <v>15.9</v>
      </c>
      <c r="F5212">
        <v>15.97</v>
      </c>
      <c r="G5212">
        <v>15.975</v>
      </c>
      <c r="H5212">
        <v>-0.2</v>
      </c>
      <c r="I5212">
        <v>12258</v>
      </c>
      <c r="J5212">
        <v>0</v>
      </c>
      <c r="K5212">
        <v>37135</v>
      </c>
      <c r="L5212">
        <v>62</v>
      </c>
      <c r="M5212">
        <v>90</v>
      </c>
      <c r="N5212" t="s">
        <v>54</v>
      </c>
      <c r="O5212" s="3">
        <v>43936</v>
      </c>
      <c r="P5212">
        <v>-1</v>
      </c>
      <c r="T5212" t="s">
        <v>22</v>
      </c>
      <c r="U5212">
        <v>95</v>
      </c>
      <c r="V5212">
        <v>30.003699999999998</v>
      </c>
    </row>
    <row r="5213" spans="1:22" x14ac:dyDescent="0.35">
      <c r="A5213" s="3">
        <v>43846</v>
      </c>
      <c r="B5213" t="s">
        <v>50</v>
      </c>
      <c r="C5213">
        <v>17.2</v>
      </c>
      <c r="D5213">
        <v>17.25</v>
      </c>
      <c r="E5213">
        <v>17.100000000000001</v>
      </c>
      <c r="F5213">
        <v>17.13</v>
      </c>
      <c r="G5213">
        <v>17.125</v>
      </c>
      <c r="H5213">
        <v>-0.15</v>
      </c>
      <c r="I5213">
        <v>341</v>
      </c>
      <c r="J5213">
        <v>0</v>
      </c>
      <c r="K5213">
        <v>3351</v>
      </c>
      <c r="L5213">
        <v>151</v>
      </c>
      <c r="M5213">
        <v>216</v>
      </c>
      <c r="N5213" t="s">
        <v>50</v>
      </c>
      <c r="O5213" s="3">
        <v>44062</v>
      </c>
      <c r="P5213">
        <v>-1</v>
      </c>
      <c r="T5213" t="s">
        <v>26</v>
      </c>
      <c r="U5213">
        <v>115</v>
      </c>
      <c r="V5213">
        <v>29.175999999999998</v>
      </c>
    </row>
    <row r="5214" spans="1:22" x14ac:dyDescent="0.35">
      <c r="A5214" s="3">
        <v>43846</v>
      </c>
      <c r="B5214" t="s">
        <v>55</v>
      </c>
      <c r="C5214">
        <v>15.57</v>
      </c>
      <c r="D5214">
        <v>15.6</v>
      </c>
      <c r="E5214">
        <v>15.26</v>
      </c>
      <c r="F5214">
        <v>15.37</v>
      </c>
      <c r="G5214">
        <v>15.375</v>
      </c>
      <c r="H5214">
        <v>-0.2</v>
      </c>
      <c r="I5214">
        <v>23150</v>
      </c>
      <c r="J5214">
        <v>0</v>
      </c>
      <c r="K5214">
        <v>64586</v>
      </c>
      <c r="L5214">
        <v>42</v>
      </c>
      <c r="M5214">
        <v>62</v>
      </c>
      <c r="N5214" t="s">
        <v>55</v>
      </c>
      <c r="O5214" s="3">
        <v>43908</v>
      </c>
      <c r="P5214">
        <v>-1</v>
      </c>
      <c r="T5214" t="s">
        <v>27</v>
      </c>
      <c r="U5214">
        <v>139</v>
      </c>
      <c r="V5214">
        <v>28.716699999999999</v>
      </c>
    </row>
    <row r="5215" spans="1:22" x14ac:dyDescent="0.35">
      <c r="A5215" s="3">
        <v>43846</v>
      </c>
      <c r="B5215" t="s">
        <v>51</v>
      </c>
      <c r="C5215">
        <v>17.12</v>
      </c>
      <c r="D5215">
        <v>17.12</v>
      </c>
      <c r="E5215">
        <v>16.920000000000002</v>
      </c>
      <c r="F5215">
        <v>16.920000000000002</v>
      </c>
      <c r="G5215">
        <v>16.975000000000001</v>
      </c>
      <c r="H5215">
        <v>-0.15</v>
      </c>
      <c r="I5215">
        <v>1168</v>
      </c>
      <c r="J5215">
        <v>0</v>
      </c>
      <c r="K5215">
        <v>7345</v>
      </c>
      <c r="L5215">
        <v>131</v>
      </c>
      <c r="M5215">
        <v>188</v>
      </c>
      <c r="N5215" t="s">
        <v>51</v>
      </c>
      <c r="O5215" s="3">
        <v>44034</v>
      </c>
      <c r="P5215">
        <v>-1</v>
      </c>
      <c r="T5215" t="s">
        <v>25</v>
      </c>
      <c r="U5215">
        <v>159</v>
      </c>
      <c r="V5215">
        <v>28.5</v>
      </c>
    </row>
    <row r="5216" spans="1:22" x14ac:dyDescent="0.35">
      <c r="A5216" s="3">
        <v>43846</v>
      </c>
      <c r="B5216" t="s">
        <v>48</v>
      </c>
      <c r="C5216">
        <v>19.95</v>
      </c>
      <c r="D5216">
        <v>19.95</v>
      </c>
      <c r="E5216">
        <v>19.75</v>
      </c>
      <c r="F5216">
        <v>19.75</v>
      </c>
      <c r="G5216">
        <v>19.824999999999999</v>
      </c>
      <c r="H5216">
        <v>-2.5000000000000001E-2</v>
      </c>
      <c r="I5216">
        <v>282</v>
      </c>
      <c r="J5216">
        <v>0</v>
      </c>
      <c r="K5216">
        <v>5674</v>
      </c>
      <c r="L5216">
        <v>195</v>
      </c>
      <c r="M5216">
        <v>279</v>
      </c>
      <c r="N5216" t="s">
        <v>48</v>
      </c>
      <c r="O5216" s="3">
        <v>44125</v>
      </c>
      <c r="P5216">
        <v>-1</v>
      </c>
      <c r="T5216" t="s">
        <v>20</v>
      </c>
      <c r="U5216">
        <v>179</v>
      </c>
      <c r="V5216">
        <v>27.5</v>
      </c>
    </row>
    <row r="5217" spans="1:22" x14ac:dyDescent="0.35">
      <c r="A5217" s="3">
        <v>43846</v>
      </c>
      <c r="B5217" t="s">
        <v>53</v>
      </c>
      <c r="C5217">
        <v>16.399999999999999</v>
      </c>
      <c r="D5217">
        <v>16.420000000000002</v>
      </c>
      <c r="E5217">
        <v>16.149999999999999</v>
      </c>
      <c r="F5217">
        <v>16.22</v>
      </c>
      <c r="G5217">
        <v>16.225000000000001</v>
      </c>
      <c r="H5217">
        <v>-0.2</v>
      </c>
      <c r="I5217">
        <v>4462</v>
      </c>
      <c r="J5217">
        <v>0</v>
      </c>
      <c r="K5217">
        <v>28592</v>
      </c>
      <c r="L5217">
        <v>87</v>
      </c>
      <c r="M5217">
        <v>125</v>
      </c>
      <c r="N5217" t="s">
        <v>53</v>
      </c>
      <c r="O5217" s="3">
        <v>43971</v>
      </c>
      <c r="P5217">
        <v>-1</v>
      </c>
      <c r="S5217" s="3">
        <v>44628</v>
      </c>
      <c r="T5217" t="s">
        <v>31</v>
      </c>
      <c r="U5217">
        <v>5</v>
      </c>
      <c r="V5217">
        <v>33.918599999999998</v>
      </c>
    </row>
    <row r="5218" spans="1:22" x14ac:dyDescent="0.35">
      <c r="A5218" s="3">
        <v>43846</v>
      </c>
      <c r="B5218" t="s">
        <v>47</v>
      </c>
      <c r="C5218">
        <v>18.25</v>
      </c>
      <c r="D5218">
        <v>18.25</v>
      </c>
      <c r="E5218">
        <v>18</v>
      </c>
      <c r="F5218">
        <v>18.12</v>
      </c>
      <c r="G5218">
        <v>17.975000000000001</v>
      </c>
      <c r="H5218">
        <v>-0.125</v>
      </c>
      <c r="I5218">
        <v>67</v>
      </c>
      <c r="J5218">
        <v>0</v>
      </c>
      <c r="K5218">
        <v>2664</v>
      </c>
      <c r="L5218">
        <v>215</v>
      </c>
      <c r="M5218">
        <v>307</v>
      </c>
      <c r="N5218" t="s">
        <v>47</v>
      </c>
      <c r="O5218" s="3">
        <v>44153</v>
      </c>
      <c r="P5218">
        <v>-1</v>
      </c>
      <c r="T5218" t="s">
        <v>30</v>
      </c>
      <c r="U5218">
        <v>31</v>
      </c>
      <c r="V5218">
        <v>32.606499999999997</v>
      </c>
    </row>
    <row r="5219" spans="1:22" x14ac:dyDescent="0.35">
      <c r="A5219" s="3">
        <v>43846</v>
      </c>
      <c r="B5219" t="s">
        <v>52</v>
      </c>
      <c r="C5219">
        <v>16.809999999999999</v>
      </c>
      <c r="D5219">
        <v>16.82</v>
      </c>
      <c r="E5219">
        <v>16.600000000000001</v>
      </c>
      <c r="F5219">
        <v>16.63</v>
      </c>
      <c r="G5219">
        <v>16.625</v>
      </c>
      <c r="H5219">
        <v>-0.2</v>
      </c>
      <c r="I5219">
        <v>2726</v>
      </c>
      <c r="J5219">
        <v>0</v>
      </c>
      <c r="K5219">
        <v>14248</v>
      </c>
      <c r="L5219">
        <v>106</v>
      </c>
      <c r="M5219">
        <v>153</v>
      </c>
      <c r="N5219" t="s">
        <v>52</v>
      </c>
      <c r="O5219" s="3">
        <v>43999</v>
      </c>
      <c r="P5219">
        <v>-1</v>
      </c>
      <c r="T5219" t="s">
        <v>29</v>
      </c>
      <c r="U5219">
        <v>51</v>
      </c>
      <c r="V5219">
        <v>31.355499999999999</v>
      </c>
    </row>
    <row r="5220" spans="1:22" x14ac:dyDescent="0.35">
      <c r="A5220" s="3">
        <v>43846</v>
      </c>
      <c r="B5220" t="s">
        <v>49</v>
      </c>
      <c r="C5220">
        <v>17.54</v>
      </c>
      <c r="D5220">
        <v>17.7</v>
      </c>
      <c r="E5220">
        <v>17.48</v>
      </c>
      <c r="F5220">
        <v>17.48</v>
      </c>
      <c r="G5220">
        <v>17.475000000000001</v>
      </c>
      <c r="H5220">
        <v>-0.125</v>
      </c>
      <c r="I5220">
        <v>189</v>
      </c>
      <c r="J5220">
        <v>0</v>
      </c>
      <c r="K5220">
        <v>2685</v>
      </c>
      <c r="L5220">
        <v>170</v>
      </c>
      <c r="M5220">
        <v>244</v>
      </c>
      <c r="N5220" t="s">
        <v>49</v>
      </c>
      <c r="O5220" s="3">
        <v>44090</v>
      </c>
      <c r="P5220">
        <v>-1</v>
      </c>
      <c r="T5220" t="s">
        <v>28</v>
      </c>
      <c r="U5220">
        <v>70</v>
      </c>
      <c r="V5220">
        <v>30.3992</v>
      </c>
    </row>
    <row r="5221" spans="1:22" x14ac:dyDescent="0.35">
      <c r="A5221" s="3">
        <v>43845</v>
      </c>
      <c r="B5221" t="s">
        <v>51</v>
      </c>
      <c r="C5221">
        <v>17.27</v>
      </c>
      <c r="D5221">
        <v>17.3</v>
      </c>
      <c r="E5221">
        <v>17.12</v>
      </c>
      <c r="F5221">
        <v>17.13</v>
      </c>
      <c r="G5221">
        <v>17.125</v>
      </c>
      <c r="H5221">
        <v>-0.125</v>
      </c>
      <c r="I5221">
        <v>1164</v>
      </c>
      <c r="J5221">
        <v>0</v>
      </c>
      <c r="K5221">
        <v>7285</v>
      </c>
      <c r="L5221">
        <v>132</v>
      </c>
      <c r="M5221">
        <v>189</v>
      </c>
      <c r="N5221" t="s">
        <v>51</v>
      </c>
      <c r="O5221" s="3">
        <v>44034</v>
      </c>
      <c r="P5221">
        <v>-1</v>
      </c>
      <c r="T5221" t="s">
        <v>22</v>
      </c>
      <c r="U5221">
        <v>94</v>
      </c>
      <c r="V5221">
        <v>29.986599999999999</v>
      </c>
    </row>
    <row r="5222" spans="1:22" x14ac:dyDescent="0.35">
      <c r="A5222" s="3">
        <v>43845</v>
      </c>
      <c r="B5222" t="s">
        <v>48</v>
      </c>
      <c r="C5222">
        <v>19.899999999999999</v>
      </c>
      <c r="D5222">
        <v>20</v>
      </c>
      <c r="E5222">
        <v>19.850000000000001</v>
      </c>
      <c r="F5222">
        <v>19.850000000000001</v>
      </c>
      <c r="G5222">
        <v>19.850000000000001</v>
      </c>
      <c r="H5222">
        <v>0</v>
      </c>
      <c r="I5222">
        <v>386</v>
      </c>
      <c r="J5222">
        <v>0</v>
      </c>
      <c r="K5222">
        <v>5576</v>
      </c>
      <c r="L5222">
        <v>196</v>
      </c>
      <c r="M5222">
        <v>280</v>
      </c>
      <c r="N5222" t="s">
        <v>48</v>
      </c>
      <c r="O5222" s="3">
        <v>44125</v>
      </c>
      <c r="P5222">
        <v>-1</v>
      </c>
      <c r="T5222" t="s">
        <v>26</v>
      </c>
      <c r="U5222">
        <v>114</v>
      </c>
      <c r="V5222">
        <v>29.1494</v>
      </c>
    </row>
    <row r="5223" spans="1:22" x14ac:dyDescent="0.35">
      <c r="A5223" s="3">
        <v>43845</v>
      </c>
      <c r="B5223" t="s">
        <v>53</v>
      </c>
      <c r="C5223">
        <v>16.55</v>
      </c>
      <c r="D5223">
        <v>16.600000000000001</v>
      </c>
      <c r="E5223">
        <v>16.399999999999999</v>
      </c>
      <c r="F5223">
        <v>16.41</v>
      </c>
      <c r="G5223">
        <v>16.425000000000001</v>
      </c>
      <c r="H5223">
        <v>-0.15</v>
      </c>
      <c r="I5223">
        <v>4764</v>
      </c>
      <c r="J5223">
        <v>0</v>
      </c>
      <c r="K5223">
        <v>28192</v>
      </c>
      <c r="L5223">
        <v>88</v>
      </c>
      <c r="M5223">
        <v>126</v>
      </c>
      <c r="N5223" t="s">
        <v>53</v>
      </c>
      <c r="O5223" s="3">
        <v>43971</v>
      </c>
      <c r="P5223">
        <v>-1</v>
      </c>
      <c r="T5223" t="s">
        <v>27</v>
      </c>
      <c r="U5223">
        <v>138</v>
      </c>
      <c r="V5223">
        <v>28.758900000000001</v>
      </c>
    </row>
    <row r="5224" spans="1:22" x14ac:dyDescent="0.35">
      <c r="A5224" s="3">
        <v>43845</v>
      </c>
      <c r="B5224" t="s">
        <v>47</v>
      </c>
      <c r="C5224">
        <v>18.3</v>
      </c>
      <c r="D5224">
        <v>18.350000000000001</v>
      </c>
      <c r="E5224">
        <v>18.100000000000001</v>
      </c>
      <c r="F5224">
        <v>18.12</v>
      </c>
      <c r="G5224">
        <v>18.100000000000001</v>
      </c>
      <c r="H5224">
        <v>-7.4999999999999997E-2</v>
      </c>
      <c r="I5224">
        <v>69</v>
      </c>
      <c r="J5224">
        <v>0</v>
      </c>
      <c r="K5224">
        <v>2637</v>
      </c>
      <c r="L5224">
        <v>216</v>
      </c>
      <c r="M5224">
        <v>308</v>
      </c>
      <c r="N5224" t="s">
        <v>47</v>
      </c>
      <c r="O5224" s="3">
        <v>44153</v>
      </c>
      <c r="P5224">
        <v>-1</v>
      </c>
      <c r="T5224" t="s">
        <v>25</v>
      </c>
      <c r="U5224">
        <v>158</v>
      </c>
      <c r="V5224">
        <v>28.45</v>
      </c>
    </row>
    <row r="5225" spans="1:22" x14ac:dyDescent="0.35">
      <c r="A5225" s="3">
        <v>43845</v>
      </c>
      <c r="B5225" t="s">
        <v>52</v>
      </c>
      <c r="C5225">
        <v>16.95</v>
      </c>
      <c r="D5225">
        <v>17</v>
      </c>
      <c r="E5225">
        <v>16.75</v>
      </c>
      <c r="F5225">
        <v>16.8</v>
      </c>
      <c r="G5225">
        <v>16.824999999999999</v>
      </c>
      <c r="H5225">
        <v>-0.15</v>
      </c>
      <c r="I5225">
        <v>2634</v>
      </c>
      <c r="J5225">
        <v>0</v>
      </c>
      <c r="K5225">
        <v>14999</v>
      </c>
      <c r="L5225">
        <v>107</v>
      </c>
      <c r="M5225">
        <v>154</v>
      </c>
      <c r="N5225" t="s">
        <v>52</v>
      </c>
      <c r="O5225" s="3">
        <v>43999</v>
      </c>
      <c r="P5225">
        <v>-1</v>
      </c>
      <c r="T5225" t="s">
        <v>20</v>
      </c>
      <c r="U5225">
        <v>178</v>
      </c>
      <c r="V5225">
        <v>27.4</v>
      </c>
    </row>
    <row r="5226" spans="1:22" x14ac:dyDescent="0.35">
      <c r="A5226" s="3">
        <v>43845</v>
      </c>
      <c r="B5226" t="s">
        <v>49</v>
      </c>
      <c r="C5226">
        <v>17.649999999999999</v>
      </c>
      <c r="D5226">
        <v>17.75</v>
      </c>
      <c r="E5226">
        <v>17.600000000000001</v>
      </c>
      <c r="F5226">
        <v>17.670000000000002</v>
      </c>
      <c r="G5226">
        <v>17.600000000000001</v>
      </c>
      <c r="H5226">
        <v>-7.4999999999999997E-2</v>
      </c>
      <c r="I5226">
        <v>113</v>
      </c>
      <c r="J5226">
        <v>0</v>
      </c>
      <c r="K5226">
        <v>2621</v>
      </c>
      <c r="L5226">
        <v>171</v>
      </c>
      <c r="M5226">
        <v>245</v>
      </c>
      <c r="N5226" t="s">
        <v>49</v>
      </c>
      <c r="O5226" s="3">
        <v>44090</v>
      </c>
      <c r="P5226">
        <v>-1</v>
      </c>
      <c r="S5226" s="3">
        <v>44629</v>
      </c>
      <c r="T5226" t="s">
        <v>31</v>
      </c>
      <c r="U5226">
        <v>4</v>
      </c>
      <c r="V5226">
        <v>32.119300000000003</v>
      </c>
    </row>
    <row r="5227" spans="1:22" x14ac:dyDescent="0.35">
      <c r="A5227" s="3">
        <v>43845</v>
      </c>
      <c r="B5227" t="s">
        <v>54</v>
      </c>
      <c r="C5227">
        <v>16.3</v>
      </c>
      <c r="D5227">
        <v>16.350000000000001</v>
      </c>
      <c r="E5227">
        <v>16.100000000000001</v>
      </c>
      <c r="F5227">
        <v>16.170000000000002</v>
      </c>
      <c r="G5227">
        <v>16.175000000000001</v>
      </c>
      <c r="H5227">
        <v>-0.125</v>
      </c>
      <c r="I5227">
        <v>9703</v>
      </c>
      <c r="J5227">
        <v>0</v>
      </c>
      <c r="K5227">
        <v>37377</v>
      </c>
      <c r="L5227">
        <v>63</v>
      </c>
      <c r="M5227">
        <v>91</v>
      </c>
      <c r="N5227" t="s">
        <v>54</v>
      </c>
      <c r="O5227" s="3">
        <v>43936</v>
      </c>
      <c r="P5227">
        <v>-1</v>
      </c>
      <c r="T5227" t="s">
        <v>30</v>
      </c>
      <c r="U5227">
        <v>30</v>
      </c>
      <c r="V5227">
        <v>31.492699999999999</v>
      </c>
    </row>
    <row r="5228" spans="1:22" x14ac:dyDescent="0.35">
      <c r="A5228" s="3">
        <v>43845</v>
      </c>
      <c r="B5228" t="s">
        <v>50</v>
      </c>
      <c r="C5228">
        <v>17.350000000000001</v>
      </c>
      <c r="D5228">
        <v>17.38</v>
      </c>
      <c r="E5228">
        <v>17.25</v>
      </c>
      <c r="F5228">
        <v>17.260000000000002</v>
      </c>
      <c r="G5228">
        <v>17.274999999999999</v>
      </c>
      <c r="H5228">
        <v>-0.1</v>
      </c>
      <c r="I5228">
        <v>545</v>
      </c>
      <c r="J5228">
        <v>0</v>
      </c>
      <c r="K5228">
        <v>3401</v>
      </c>
      <c r="L5228">
        <v>152</v>
      </c>
      <c r="M5228">
        <v>217</v>
      </c>
      <c r="N5228" t="s">
        <v>50</v>
      </c>
      <c r="O5228" s="3">
        <v>44062</v>
      </c>
      <c r="P5228">
        <v>-1</v>
      </c>
      <c r="T5228" t="s">
        <v>29</v>
      </c>
      <c r="U5228">
        <v>50</v>
      </c>
      <c r="V5228">
        <v>30.595500000000001</v>
      </c>
    </row>
    <row r="5229" spans="1:22" x14ac:dyDescent="0.35">
      <c r="A5229" s="3">
        <v>43845</v>
      </c>
      <c r="B5229" t="s">
        <v>55</v>
      </c>
      <c r="C5229">
        <v>15.65</v>
      </c>
      <c r="D5229">
        <v>15.75</v>
      </c>
      <c r="E5229">
        <v>15.5</v>
      </c>
      <c r="F5229">
        <v>15.55</v>
      </c>
      <c r="G5229">
        <v>15.574999999999999</v>
      </c>
      <c r="H5229">
        <v>-0.1</v>
      </c>
      <c r="I5229">
        <v>24106</v>
      </c>
      <c r="J5229">
        <v>0</v>
      </c>
      <c r="K5229">
        <v>61971</v>
      </c>
      <c r="L5229">
        <v>43</v>
      </c>
      <c r="M5229">
        <v>63</v>
      </c>
      <c r="N5229" t="s">
        <v>55</v>
      </c>
      <c r="O5229" s="3">
        <v>43908</v>
      </c>
      <c r="P5229">
        <v>-1</v>
      </c>
      <c r="T5229" t="s">
        <v>28</v>
      </c>
      <c r="U5229">
        <v>69</v>
      </c>
      <c r="V5229">
        <v>29.9072</v>
      </c>
    </row>
    <row r="5230" spans="1:22" x14ac:dyDescent="0.35">
      <c r="A5230" s="3">
        <v>43844</v>
      </c>
      <c r="B5230" t="s">
        <v>54</v>
      </c>
      <c r="C5230">
        <v>16.350000000000001</v>
      </c>
      <c r="D5230">
        <v>16.52</v>
      </c>
      <c r="E5230">
        <v>16.25</v>
      </c>
      <c r="F5230">
        <v>16.28</v>
      </c>
      <c r="G5230">
        <v>16.3</v>
      </c>
      <c r="H5230">
        <v>-7.4999999999999997E-2</v>
      </c>
      <c r="I5230">
        <v>7460</v>
      </c>
      <c r="J5230">
        <v>0</v>
      </c>
      <c r="K5230">
        <v>36717</v>
      </c>
      <c r="L5230">
        <v>64</v>
      </c>
      <c r="M5230">
        <v>92</v>
      </c>
      <c r="N5230" t="s">
        <v>54</v>
      </c>
      <c r="O5230" s="3">
        <v>43936</v>
      </c>
      <c r="P5230">
        <v>-1</v>
      </c>
      <c r="T5230" t="s">
        <v>22</v>
      </c>
      <c r="U5230">
        <v>93</v>
      </c>
      <c r="V5230">
        <v>29.568100000000001</v>
      </c>
    </row>
    <row r="5231" spans="1:22" x14ac:dyDescent="0.35">
      <c r="A5231" s="3">
        <v>43844</v>
      </c>
      <c r="B5231" t="s">
        <v>50</v>
      </c>
      <c r="C5231">
        <v>17.350000000000001</v>
      </c>
      <c r="D5231">
        <v>17.45</v>
      </c>
      <c r="E5231">
        <v>17.32</v>
      </c>
      <c r="F5231">
        <v>17.36</v>
      </c>
      <c r="G5231">
        <v>17.375</v>
      </c>
      <c r="H5231">
        <v>0</v>
      </c>
      <c r="I5231">
        <v>431</v>
      </c>
      <c r="J5231">
        <v>0</v>
      </c>
      <c r="K5231">
        <v>3239</v>
      </c>
      <c r="L5231">
        <v>153</v>
      </c>
      <c r="M5231">
        <v>218</v>
      </c>
      <c r="N5231" t="s">
        <v>50</v>
      </c>
      <c r="O5231" s="3">
        <v>44062</v>
      </c>
      <c r="P5231">
        <v>-1</v>
      </c>
      <c r="T5231" t="s">
        <v>26</v>
      </c>
      <c r="U5231">
        <v>113</v>
      </c>
      <c r="V5231">
        <v>28.888500000000001</v>
      </c>
    </row>
    <row r="5232" spans="1:22" x14ac:dyDescent="0.35">
      <c r="A5232" s="3">
        <v>43844</v>
      </c>
      <c r="B5232" t="s">
        <v>55</v>
      </c>
      <c r="C5232">
        <v>15.75</v>
      </c>
      <c r="D5232">
        <v>15.92</v>
      </c>
      <c r="E5232">
        <v>15.6</v>
      </c>
      <c r="F5232">
        <v>15.66</v>
      </c>
      <c r="G5232">
        <v>15.675000000000001</v>
      </c>
      <c r="H5232">
        <v>-0.1</v>
      </c>
      <c r="I5232">
        <v>26455</v>
      </c>
      <c r="J5232">
        <v>0</v>
      </c>
      <c r="K5232">
        <v>57499</v>
      </c>
      <c r="L5232">
        <v>44</v>
      </c>
      <c r="M5232">
        <v>64</v>
      </c>
      <c r="N5232" t="s">
        <v>55</v>
      </c>
      <c r="O5232" s="3">
        <v>43908</v>
      </c>
      <c r="P5232">
        <v>-1</v>
      </c>
      <c r="T5232" t="s">
        <v>27</v>
      </c>
      <c r="U5232">
        <v>137</v>
      </c>
      <c r="V5232">
        <v>28.615100000000002</v>
      </c>
    </row>
    <row r="5233" spans="1:22" x14ac:dyDescent="0.35">
      <c r="A5233" s="3">
        <v>43844</v>
      </c>
      <c r="B5233" t="s">
        <v>51</v>
      </c>
      <c r="C5233">
        <v>17.239999999999998</v>
      </c>
      <c r="D5233">
        <v>17.36</v>
      </c>
      <c r="E5233">
        <v>17.16</v>
      </c>
      <c r="F5233">
        <v>17.239999999999998</v>
      </c>
      <c r="G5233">
        <v>17.25</v>
      </c>
      <c r="H5233">
        <v>2.5000000000000001E-2</v>
      </c>
      <c r="I5233">
        <v>1634</v>
      </c>
      <c r="J5233">
        <v>0</v>
      </c>
      <c r="K5233">
        <v>7287</v>
      </c>
      <c r="L5233">
        <v>133</v>
      </c>
      <c r="M5233">
        <v>190</v>
      </c>
      <c r="N5233" t="s">
        <v>51</v>
      </c>
      <c r="O5233" s="3">
        <v>44034</v>
      </c>
      <c r="P5233">
        <v>-1</v>
      </c>
      <c r="T5233" t="s">
        <v>25</v>
      </c>
      <c r="U5233">
        <v>157</v>
      </c>
      <c r="V5233">
        <v>28.425000000000001</v>
      </c>
    </row>
    <row r="5234" spans="1:22" x14ac:dyDescent="0.35">
      <c r="A5234" s="3">
        <v>43844</v>
      </c>
      <c r="B5234" t="s">
        <v>48</v>
      </c>
      <c r="C5234">
        <v>20</v>
      </c>
      <c r="D5234">
        <v>20.05</v>
      </c>
      <c r="E5234">
        <v>19.8</v>
      </c>
      <c r="F5234">
        <v>19.8</v>
      </c>
      <c r="G5234">
        <v>19.850000000000001</v>
      </c>
      <c r="H5234">
        <v>0</v>
      </c>
      <c r="I5234">
        <v>232</v>
      </c>
      <c r="J5234">
        <v>0</v>
      </c>
      <c r="K5234">
        <v>5298</v>
      </c>
      <c r="L5234">
        <v>197</v>
      </c>
      <c r="M5234">
        <v>281</v>
      </c>
      <c r="N5234" t="s">
        <v>48</v>
      </c>
      <c r="O5234" s="3">
        <v>44125</v>
      </c>
      <c r="P5234">
        <v>-1</v>
      </c>
      <c r="T5234" t="s">
        <v>20</v>
      </c>
      <c r="U5234">
        <v>177</v>
      </c>
      <c r="V5234">
        <v>27.55</v>
      </c>
    </row>
    <row r="5235" spans="1:22" x14ac:dyDescent="0.35">
      <c r="A5235" s="3">
        <v>43844</v>
      </c>
      <c r="B5235" t="s">
        <v>53</v>
      </c>
      <c r="C5235">
        <v>16.600000000000001</v>
      </c>
      <c r="D5235">
        <v>16.77</v>
      </c>
      <c r="E5235">
        <v>16.5</v>
      </c>
      <c r="F5235">
        <v>16.559999999999999</v>
      </c>
      <c r="G5235">
        <v>16.574999999999999</v>
      </c>
      <c r="H5235">
        <v>-0.05</v>
      </c>
      <c r="I5235">
        <v>4946</v>
      </c>
      <c r="J5235">
        <v>0</v>
      </c>
      <c r="K5235">
        <v>27055</v>
      </c>
      <c r="L5235">
        <v>89</v>
      </c>
      <c r="M5235">
        <v>127</v>
      </c>
      <c r="N5235" t="s">
        <v>53</v>
      </c>
      <c r="O5235" s="3">
        <v>43971</v>
      </c>
      <c r="P5235">
        <v>-1</v>
      </c>
      <c r="S5235" s="3">
        <v>44630</v>
      </c>
      <c r="T5235" t="s">
        <v>31</v>
      </c>
      <c r="U5235">
        <v>3</v>
      </c>
      <c r="V5235">
        <v>30.415500000000002</v>
      </c>
    </row>
    <row r="5236" spans="1:22" x14ac:dyDescent="0.35">
      <c r="A5236" s="3">
        <v>43844</v>
      </c>
      <c r="B5236" t="s">
        <v>47</v>
      </c>
      <c r="C5236">
        <v>18.350000000000001</v>
      </c>
      <c r="D5236">
        <v>18.399999999999999</v>
      </c>
      <c r="E5236">
        <v>18.149999999999999</v>
      </c>
      <c r="F5236">
        <v>18.2</v>
      </c>
      <c r="G5236">
        <v>18.175000000000001</v>
      </c>
      <c r="H5236">
        <v>-0.15</v>
      </c>
      <c r="I5236">
        <v>47</v>
      </c>
      <c r="J5236">
        <v>0</v>
      </c>
      <c r="K5236">
        <v>2546</v>
      </c>
      <c r="L5236">
        <v>217</v>
      </c>
      <c r="M5236">
        <v>309</v>
      </c>
      <c r="N5236" t="s">
        <v>47</v>
      </c>
      <c r="O5236" s="3">
        <v>44153</v>
      </c>
      <c r="P5236">
        <v>-1</v>
      </c>
      <c r="T5236" t="s">
        <v>30</v>
      </c>
      <c r="U5236">
        <v>29</v>
      </c>
      <c r="V5236">
        <v>30.126300000000001</v>
      </c>
    </row>
    <row r="5237" spans="1:22" x14ac:dyDescent="0.35">
      <c r="A5237" s="3">
        <v>43844</v>
      </c>
      <c r="B5237" t="s">
        <v>52</v>
      </c>
      <c r="C5237">
        <v>16.97</v>
      </c>
      <c r="D5237">
        <v>17.100000000000001</v>
      </c>
      <c r="E5237">
        <v>16.899999999999999</v>
      </c>
      <c r="F5237">
        <v>16.97</v>
      </c>
      <c r="G5237">
        <v>16.975000000000001</v>
      </c>
      <c r="H5237">
        <v>0</v>
      </c>
      <c r="I5237">
        <v>2764</v>
      </c>
      <c r="J5237">
        <v>0</v>
      </c>
      <c r="K5237">
        <v>14619</v>
      </c>
      <c r="L5237">
        <v>108</v>
      </c>
      <c r="M5237">
        <v>155</v>
      </c>
      <c r="N5237" t="s">
        <v>52</v>
      </c>
      <c r="O5237" s="3">
        <v>43999</v>
      </c>
      <c r="P5237">
        <v>-1</v>
      </c>
      <c r="T5237" t="s">
        <v>29</v>
      </c>
      <c r="U5237">
        <v>49</v>
      </c>
      <c r="V5237">
        <v>29.75</v>
      </c>
    </row>
    <row r="5238" spans="1:22" x14ac:dyDescent="0.35">
      <c r="A5238" s="3">
        <v>43844</v>
      </c>
      <c r="B5238" t="s">
        <v>49</v>
      </c>
      <c r="C5238">
        <v>17.8</v>
      </c>
      <c r="D5238">
        <v>17.84</v>
      </c>
      <c r="E5238">
        <v>17.649999999999999</v>
      </c>
      <c r="F5238">
        <v>17.68</v>
      </c>
      <c r="G5238">
        <v>17.675000000000001</v>
      </c>
      <c r="H5238">
        <v>-2.5000000000000001E-2</v>
      </c>
      <c r="I5238">
        <v>214</v>
      </c>
      <c r="J5238">
        <v>0</v>
      </c>
      <c r="K5238">
        <v>2567</v>
      </c>
      <c r="L5238">
        <v>172</v>
      </c>
      <c r="M5238">
        <v>246</v>
      </c>
      <c r="N5238" t="s">
        <v>49</v>
      </c>
      <c r="O5238" s="3">
        <v>44090</v>
      </c>
      <c r="P5238">
        <v>-1</v>
      </c>
      <c r="T5238" t="s">
        <v>28</v>
      </c>
      <c r="U5238">
        <v>68</v>
      </c>
      <c r="V5238">
        <v>29.333100000000002</v>
      </c>
    </row>
    <row r="5239" spans="1:22" x14ac:dyDescent="0.35">
      <c r="A5239" s="3">
        <v>43843</v>
      </c>
      <c r="B5239" t="s">
        <v>51</v>
      </c>
      <c r="C5239">
        <v>17.350000000000001</v>
      </c>
      <c r="D5239">
        <v>17.350000000000001</v>
      </c>
      <c r="E5239">
        <v>17.22</v>
      </c>
      <c r="F5239">
        <v>17.239999999999998</v>
      </c>
      <c r="G5239">
        <v>17.225000000000001</v>
      </c>
      <c r="H5239">
        <v>-0.15</v>
      </c>
      <c r="I5239">
        <v>729</v>
      </c>
      <c r="J5239">
        <v>0</v>
      </c>
      <c r="K5239">
        <v>7158</v>
      </c>
      <c r="L5239">
        <v>134</v>
      </c>
      <c r="M5239">
        <v>191</v>
      </c>
      <c r="N5239" t="s">
        <v>51</v>
      </c>
      <c r="O5239" s="3">
        <v>44034</v>
      </c>
      <c r="P5239">
        <v>-1</v>
      </c>
      <c r="T5239" t="s">
        <v>22</v>
      </c>
      <c r="U5239">
        <v>92</v>
      </c>
      <c r="V5239">
        <v>29.264500000000002</v>
      </c>
    </row>
    <row r="5240" spans="1:22" x14ac:dyDescent="0.35">
      <c r="A5240" s="3">
        <v>43843</v>
      </c>
      <c r="B5240" t="s">
        <v>48</v>
      </c>
      <c r="C5240">
        <v>19.989999999999998</v>
      </c>
      <c r="D5240">
        <v>19.989999999999998</v>
      </c>
      <c r="E5240">
        <v>19.8</v>
      </c>
      <c r="F5240">
        <v>19.88</v>
      </c>
      <c r="G5240">
        <v>19.850000000000001</v>
      </c>
      <c r="H5240">
        <v>-0.2</v>
      </c>
      <c r="I5240">
        <v>311</v>
      </c>
      <c r="J5240">
        <v>0</v>
      </c>
      <c r="K5240">
        <v>5878</v>
      </c>
      <c r="L5240">
        <v>198</v>
      </c>
      <c r="M5240">
        <v>282</v>
      </c>
      <c r="N5240" t="s">
        <v>48</v>
      </c>
      <c r="O5240" s="3">
        <v>44125</v>
      </c>
      <c r="P5240">
        <v>-1</v>
      </c>
      <c r="T5240" t="s">
        <v>26</v>
      </c>
      <c r="U5240">
        <v>112</v>
      </c>
      <c r="V5240">
        <v>28.762</v>
      </c>
    </row>
    <row r="5241" spans="1:22" x14ac:dyDescent="0.35">
      <c r="A5241" s="3">
        <v>43843</v>
      </c>
      <c r="B5241" t="s">
        <v>53</v>
      </c>
      <c r="C5241">
        <v>16.75</v>
      </c>
      <c r="D5241">
        <v>16.8</v>
      </c>
      <c r="E5241">
        <v>16.600000000000001</v>
      </c>
      <c r="F5241">
        <v>16.62</v>
      </c>
      <c r="G5241">
        <v>16.625</v>
      </c>
      <c r="H5241">
        <v>-0.2</v>
      </c>
      <c r="I5241">
        <v>3462</v>
      </c>
      <c r="J5241">
        <v>0</v>
      </c>
      <c r="K5241">
        <v>27301</v>
      </c>
      <c r="L5241">
        <v>90</v>
      </c>
      <c r="M5241">
        <v>128</v>
      </c>
      <c r="N5241" t="s">
        <v>53</v>
      </c>
      <c r="O5241" s="3">
        <v>43971</v>
      </c>
      <c r="P5241">
        <v>-1</v>
      </c>
      <c r="T5241" t="s">
        <v>27</v>
      </c>
      <c r="U5241">
        <v>136</v>
      </c>
      <c r="V5241">
        <v>28.6419</v>
      </c>
    </row>
    <row r="5242" spans="1:22" x14ac:dyDescent="0.35">
      <c r="A5242" s="3">
        <v>43843</v>
      </c>
      <c r="B5242" t="s">
        <v>47</v>
      </c>
      <c r="C5242">
        <v>18.420000000000002</v>
      </c>
      <c r="D5242">
        <v>18.5</v>
      </c>
      <c r="E5242">
        <v>18.3</v>
      </c>
      <c r="F5242">
        <v>18.3</v>
      </c>
      <c r="G5242">
        <v>18.324999999999999</v>
      </c>
      <c r="H5242">
        <v>-0.22500000000000001</v>
      </c>
      <c r="I5242">
        <v>113</v>
      </c>
      <c r="J5242">
        <v>0</v>
      </c>
      <c r="K5242">
        <v>2513</v>
      </c>
      <c r="L5242">
        <v>218</v>
      </c>
      <c r="M5242">
        <v>310</v>
      </c>
      <c r="N5242" t="s">
        <v>47</v>
      </c>
      <c r="O5242" s="3">
        <v>44153</v>
      </c>
      <c r="P5242">
        <v>-1</v>
      </c>
      <c r="T5242" t="s">
        <v>25</v>
      </c>
      <c r="U5242">
        <v>156</v>
      </c>
      <c r="V5242">
        <v>28.524999999999999</v>
      </c>
    </row>
    <row r="5243" spans="1:22" x14ac:dyDescent="0.35">
      <c r="A5243" s="3">
        <v>43843</v>
      </c>
      <c r="B5243" t="s">
        <v>52</v>
      </c>
      <c r="C5243">
        <v>17.100000000000001</v>
      </c>
      <c r="D5243">
        <v>17.100000000000001</v>
      </c>
      <c r="E5243">
        <v>16.95</v>
      </c>
      <c r="F5243">
        <v>16.95</v>
      </c>
      <c r="G5243">
        <v>16.975000000000001</v>
      </c>
      <c r="H5243">
        <v>-0.15</v>
      </c>
      <c r="I5243">
        <v>2745</v>
      </c>
      <c r="J5243">
        <v>0</v>
      </c>
      <c r="K5243">
        <v>14749</v>
      </c>
      <c r="L5243">
        <v>109</v>
      </c>
      <c r="M5243">
        <v>156</v>
      </c>
      <c r="N5243" t="s">
        <v>52</v>
      </c>
      <c r="O5243" s="3">
        <v>43999</v>
      </c>
      <c r="P5243">
        <v>-1</v>
      </c>
      <c r="T5243" t="s">
        <v>20</v>
      </c>
      <c r="U5243">
        <v>176</v>
      </c>
      <c r="V5243">
        <v>27.6</v>
      </c>
    </row>
    <row r="5244" spans="1:22" x14ac:dyDescent="0.35">
      <c r="A5244" s="3">
        <v>43843</v>
      </c>
      <c r="B5244" t="s">
        <v>49</v>
      </c>
      <c r="C5244">
        <v>17.899999999999999</v>
      </c>
      <c r="D5244">
        <v>17.91</v>
      </c>
      <c r="E5244">
        <v>17.7</v>
      </c>
      <c r="F5244">
        <v>17.72</v>
      </c>
      <c r="G5244">
        <v>17.7</v>
      </c>
      <c r="H5244">
        <v>-0.25</v>
      </c>
      <c r="I5244">
        <v>329</v>
      </c>
      <c r="J5244">
        <v>0</v>
      </c>
      <c r="K5244">
        <v>2622</v>
      </c>
      <c r="L5244">
        <v>173</v>
      </c>
      <c r="M5244">
        <v>247</v>
      </c>
      <c r="N5244" t="s">
        <v>49</v>
      </c>
      <c r="O5244" s="3">
        <v>44090</v>
      </c>
      <c r="P5244">
        <v>-1</v>
      </c>
      <c r="S5244" s="3">
        <v>44631</v>
      </c>
      <c r="T5244" t="s">
        <v>31</v>
      </c>
      <c r="U5244">
        <v>2</v>
      </c>
      <c r="V5244">
        <v>31.002400000000002</v>
      </c>
    </row>
    <row r="5245" spans="1:22" x14ac:dyDescent="0.35">
      <c r="A5245" s="3">
        <v>43843</v>
      </c>
      <c r="B5245" t="s">
        <v>54</v>
      </c>
      <c r="C5245">
        <v>16.52</v>
      </c>
      <c r="D5245">
        <v>16.55</v>
      </c>
      <c r="E5245">
        <v>16.34</v>
      </c>
      <c r="F5245">
        <v>16.36</v>
      </c>
      <c r="G5245">
        <v>16.375</v>
      </c>
      <c r="H5245">
        <v>-0.2</v>
      </c>
      <c r="I5245">
        <v>7101</v>
      </c>
      <c r="J5245">
        <v>0</v>
      </c>
      <c r="K5245">
        <v>37428</v>
      </c>
      <c r="L5245">
        <v>65</v>
      </c>
      <c r="M5245">
        <v>93</v>
      </c>
      <c r="N5245" t="s">
        <v>54</v>
      </c>
      <c r="O5245" s="3">
        <v>43936</v>
      </c>
      <c r="P5245">
        <v>-1</v>
      </c>
      <c r="T5245" t="s">
        <v>30</v>
      </c>
      <c r="U5245">
        <v>28</v>
      </c>
      <c r="V5245">
        <v>30.78</v>
      </c>
    </row>
    <row r="5246" spans="1:22" x14ac:dyDescent="0.35">
      <c r="A5246" s="3">
        <v>43843</v>
      </c>
      <c r="B5246" t="s">
        <v>50</v>
      </c>
      <c r="C5246">
        <v>17.46</v>
      </c>
      <c r="D5246">
        <v>17.489999999999998</v>
      </c>
      <c r="E5246">
        <v>17.350000000000001</v>
      </c>
      <c r="F5246">
        <v>17.350000000000001</v>
      </c>
      <c r="G5246">
        <v>17.375</v>
      </c>
      <c r="H5246">
        <v>-0.15</v>
      </c>
      <c r="I5246">
        <v>503</v>
      </c>
      <c r="J5246">
        <v>0</v>
      </c>
      <c r="K5246">
        <v>3296</v>
      </c>
      <c r="L5246">
        <v>154</v>
      </c>
      <c r="M5246">
        <v>219</v>
      </c>
      <c r="N5246" t="s">
        <v>50</v>
      </c>
      <c r="O5246" s="3">
        <v>44062</v>
      </c>
      <c r="P5246">
        <v>-1</v>
      </c>
      <c r="T5246" t="s">
        <v>29</v>
      </c>
      <c r="U5246">
        <v>48</v>
      </c>
      <c r="V5246">
        <v>30.219100000000001</v>
      </c>
    </row>
    <row r="5247" spans="1:22" x14ac:dyDescent="0.35">
      <c r="A5247" s="3">
        <v>43843</v>
      </c>
      <c r="B5247" t="s">
        <v>55</v>
      </c>
      <c r="C5247">
        <v>16.010000000000002</v>
      </c>
      <c r="D5247">
        <v>16.010000000000002</v>
      </c>
      <c r="E5247">
        <v>15.73</v>
      </c>
      <c r="F5247">
        <v>15.8</v>
      </c>
      <c r="G5247">
        <v>15.775</v>
      </c>
      <c r="H5247">
        <v>-0.3</v>
      </c>
      <c r="I5247">
        <v>20720</v>
      </c>
      <c r="J5247">
        <v>0</v>
      </c>
      <c r="K5247">
        <v>58591</v>
      </c>
      <c r="L5247">
        <v>45</v>
      </c>
      <c r="M5247">
        <v>65</v>
      </c>
      <c r="N5247" t="s">
        <v>55</v>
      </c>
      <c r="O5247" s="3">
        <v>43908</v>
      </c>
      <c r="P5247">
        <v>-1</v>
      </c>
      <c r="T5247" t="s">
        <v>28</v>
      </c>
      <c r="U5247">
        <v>67</v>
      </c>
      <c r="V5247">
        <v>29.805700000000002</v>
      </c>
    </row>
    <row r="5248" spans="1:22" x14ac:dyDescent="0.35">
      <c r="A5248" s="3">
        <v>43840</v>
      </c>
      <c r="B5248" t="s">
        <v>54</v>
      </c>
      <c r="C5248">
        <v>16.66</v>
      </c>
      <c r="D5248">
        <v>16.73</v>
      </c>
      <c r="E5248">
        <v>16.5</v>
      </c>
      <c r="F5248">
        <v>16.559999999999999</v>
      </c>
      <c r="G5248">
        <v>16.574999999999999</v>
      </c>
      <c r="H5248">
        <v>-0.1</v>
      </c>
      <c r="I5248">
        <v>7809</v>
      </c>
      <c r="J5248">
        <v>0</v>
      </c>
      <c r="K5248">
        <v>34915</v>
      </c>
      <c r="L5248">
        <v>66</v>
      </c>
      <c r="M5248">
        <v>96</v>
      </c>
      <c r="N5248" t="s">
        <v>54</v>
      </c>
      <c r="O5248" s="3">
        <v>43936</v>
      </c>
      <c r="P5248">
        <v>-1</v>
      </c>
      <c r="T5248" t="s">
        <v>22</v>
      </c>
      <c r="U5248">
        <v>91</v>
      </c>
      <c r="V5248">
        <v>29.594000000000001</v>
      </c>
    </row>
    <row r="5249" spans="1:22" x14ac:dyDescent="0.35">
      <c r="A5249" s="3">
        <v>43840</v>
      </c>
      <c r="B5249" t="s">
        <v>50</v>
      </c>
      <c r="C5249">
        <v>17.55</v>
      </c>
      <c r="D5249">
        <v>17.600000000000001</v>
      </c>
      <c r="E5249">
        <v>17.399999999999999</v>
      </c>
      <c r="F5249">
        <v>17.510000000000002</v>
      </c>
      <c r="G5249">
        <v>17.524999999999999</v>
      </c>
      <c r="H5249">
        <v>0</v>
      </c>
      <c r="I5249">
        <v>179</v>
      </c>
      <c r="J5249">
        <v>0</v>
      </c>
      <c r="K5249">
        <v>3067</v>
      </c>
      <c r="L5249">
        <v>155</v>
      </c>
      <c r="M5249">
        <v>222</v>
      </c>
      <c r="N5249" t="s">
        <v>50</v>
      </c>
      <c r="O5249" s="3">
        <v>44062</v>
      </c>
      <c r="P5249">
        <v>-1</v>
      </c>
      <c r="T5249" t="s">
        <v>26</v>
      </c>
      <c r="U5249">
        <v>111</v>
      </c>
      <c r="V5249">
        <v>28.9727</v>
      </c>
    </row>
    <row r="5250" spans="1:22" x14ac:dyDescent="0.35">
      <c r="A5250" s="3">
        <v>43840</v>
      </c>
      <c r="B5250" t="s">
        <v>55</v>
      </c>
      <c r="C5250">
        <v>16.149999999999999</v>
      </c>
      <c r="D5250">
        <v>16.2</v>
      </c>
      <c r="E5250">
        <v>15.9</v>
      </c>
      <c r="F5250">
        <v>16.04</v>
      </c>
      <c r="G5250">
        <v>16.074999999999999</v>
      </c>
      <c r="H5250">
        <v>-0.05</v>
      </c>
      <c r="I5250">
        <v>27138</v>
      </c>
      <c r="J5250">
        <v>0</v>
      </c>
      <c r="K5250">
        <v>54792</v>
      </c>
      <c r="L5250">
        <v>46</v>
      </c>
      <c r="M5250">
        <v>68</v>
      </c>
      <c r="N5250" t="s">
        <v>55</v>
      </c>
      <c r="O5250" s="3">
        <v>43908</v>
      </c>
      <c r="P5250">
        <v>-1</v>
      </c>
      <c r="T5250" t="s">
        <v>27</v>
      </c>
      <c r="U5250">
        <v>135</v>
      </c>
      <c r="V5250">
        <v>28.763200000000001</v>
      </c>
    </row>
    <row r="5251" spans="1:22" x14ac:dyDescent="0.35">
      <c r="A5251" s="3">
        <v>43840</v>
      </c>
      <c r="B5251" t="s">
        <v>51</v>
      </c>
      <c r="C5251">
        <v>17.420000000000002</v>
      </c>
      <c r="D5251">
        <v>17.5</v>
      </c>
      <c r="E5251">
        <v>17.32</v>
      </c>
      <c r="F5251">
        <v>17.38</v>
      </c>
      <c r="G5251">
        <v>17.375</v>
      </c>
      <c r="H5251">
        <v>-0.05</v>
      </c>
      <c r="I5251">
        <v>440</v>
      </c>
      <c r="J5251">
        <v>0</v>
      </c>
      <c r="K5251">
        <v>7026</v>
      </c>
      <c r="L5251">
        <v>135</v>
      </c>
      <c r="M5251">
        <v>194</v>
      </c>
      <c r="N5251" t="s">
        <v>51</v>
      </c>
      <c r="O5251" s="3">
        <v>44034</v>
      </c>
      <c r="P5251">
        <v>-1</v>
      </c>
      <c r="T5251" t="s">
        <v>25</v>
      </c>
      <c r="U5251">
        <v>155</v>
      </c>
      <c r="V5251">
        <v>28.625</v>
      </c>
    </row>
    <row r="5252" spans="1:22" x14ac:dyDescent="0.35">
      <c r="A5252" s="3">
        <v>43840</v>
      </c>
      <c r="B5252" t="s">
        <v>48</v>
      </c>
      <c r="C5252">
        <v>19.920000000000002</v>
      </c>
      <c r="D5252">
        <v>20.100000000000001</v>
      </c>
      <c r="E5252">
        <v>19.89</v>
      </c>
      <c r="F5252">
        <v>20.100000000000001</v>
      </c>
      <c r="G5252">
        <v>20.05</v>
      </c>
      <c r="H5252">
        <v>-2.5000000000000001E-2</v>
      </c>
      <c r="I5252">
        <v>330</v>
      </c>
      <c r="J5252">
        <v>0</v>
      </c>
      <c r="K5252">
        <v>5675</v>
      </c>
      <c r="L5252">
        <v>199</v>
      </c>
      <c r="M5252">
        <v>285</v>
      </c>
      <c r="N5252" t="s">
        <v>48</v>
      </c>
      <c r="O5252" s="3">
        <v>44125</v>
      </c>
      <c r="P5252">
        <v>-1</v>
      </c>
      <c r="T5252" t="s">
        <v>20</v>
      </c>
      <c r="U5252">
        <v>175</v>
      </c>
      <c r="V5252">
        <v>27.574999999999999</v>
      </c>
    </row>
    <row r="5253" spans="1:22" x14ac:dyDescent="0.35">
      <c r="A5253" s="3">
        <v>43840</v>
      </c>
      <c r="B5253" t="s">
        <v>53</v>
      </c>
      <c r="C5253">
        <v>16.86</v>
      </c>
      <c r="D5253">
        <v>16.95</v>
      </c>
      <c r="E5253">
        <v>16.7</v>
      </c>
      <c r="F5253">
        <v>16.8</v>
      </c>
      <c r="G5253">
        <v>16.824999999999999</v>
      </c>
      <c r="H5253">
        <v>-0.05</v>
      </c>
      <c r="I5253">
        <v>4053</v>
      </c>
      <c r="J5253">
        <v>0</v>
      </c>
      <c r="K5253">
        <v>26291</v>
      </c>
      <c r="L5253">
        <v>91</v>
      </c>
      <c r="M5253">
        <v>131</v>
      </c>
      <c r="N5253" t="s">
        <v>53</v>
      </c>
      <c r="O5253" s="3">
        <v>43971</v>
      </c>
      <c r="P5253">
        <v>-1</v>
      </c>
      <c r="S5253" s="3">
        <v>44634</v>
      </c>
      <c r="T5253" t="s">
        <v>31</v>
      </c>
      <c r="U5253">
        <v>1</v>
      </c>
      <c r="V5253">
        <v>31.803599999999999</v>
      </c>
    </row>
    <row r="5254" spans="1:22" x14ac:dyDescent="0.35">
      <c r="A5254" s="3">
        <v>43840</v>
      </c>
      <c r="B5254" t="s">
        <v>47</v>
      </c>
      <c r="C5254">
        <v>18.420000000000002</v>
      </c>
      <c r="D5254">
        <v>18.600000000000001</v>
      </c>
      <c r="E5254">
        <v>18.39</v>
      </c>
      <c r="F5254">
        <v>18.52</v>
      </c>
      <c r="G5254">
        <v>18.55</v>
      </c>
      <c r="H5254">
        <v>2.5000000000000001E-2</v>
      </c>
      <c r="I5254">
        <v>117</v>
      </c>
      <c r="J5254">
        <v>0</v>
      </c>
      <c r="K5254">
        <v>2406</v>
      </c>
      <c r="L5254">
        <v>219</v>
      </c>
      <c r="M5254">
        <v>313</v>
      </c>
      <c r="N5254" t="s">
        <v>47</v>
      </c>
      <c r="O5254" s="3">
        <v>44153</v>
      </c>
      <c r="P5254">
        <v>-1</v>
      </c>
      <c r="T5254" t="s">
        <v>30</v>
      </c>
      <c r="U5254">
        <v>27</v>
      </c>
      <c r="V5254">
        <v>31.723500000000001</v>
      </c>
    </row>
    <row r="5255" spans="1:22" x14ac:dyDescent="0.35">
      <c r="A5255" s="3">
        <v>43840</v>
      </c>
      <c r="B5255" t="s">
        <v>52</v>
      </c>
      <c r="C5255">
        <v>17.170000000000002</v>
      </c>
      <c r="D5255">
        <v>17.27</v>
      </c>
      <c r="E5255">
        <v>17.05</v>
      </c>
      <c r="F5255">
        <v>17.13</v>
      </c>
      <c r="G5255">
        <v>17.125</v>
      </c>
      <c r="H5255">
        <v>-0.05</v>
      </c>
      <c r="I5255">
        <v>1449</v>
      </c>
      <c r="J5255">
        <v>0</v>
      </c>
      <c r="K5255">
        <v>14214</v>
      </c>
      <c r="L5255">
        <v>110</v>
      </c>
      <c r="M5255">
        <v>159</v>
      </c>
      <c r="N5255" t="s">
        <v>52</v>
      </c>
      <c r="O5255" s="3">
        <v>43999</v>
      </c>
      <c r="P5255">
        <v>-1</v>
      </c>
      <c r="T5255" t="s">
        <v>29</v>
      </c>
      <c r="U5255">
        <v>47</v>
      </c>
      <c r="V5255">
        <v>30.998100000000001</v>
      </c>
    </row>
    <row r="5256" spans="1:22" x14ac:dyDescent="0.35">
      <c r="A5256" s="3">
        <v>43840</v>
      </c>
      <c r="B5256" t="s">
        <v>49</v>
      </c>
      <c r="C5256">
        <v>17.87</v>
      </c>
      <c r="D5256">
        <v>18.05</v>
      </c>
      <c r="E5256">
        <v>17.78</v>
      </c>
      <c r="F5256">
        <v>17.940000000000001</v>
      </c>
      <c r="G5256">
        <v>17.95</v>
      </c>
      <c r="H5256">
        <v>-2.5000000000000001E-2</v>
      </c>
      <c r="I5256">
        <v>250</v>
      </c>
      <c r="J5256">
        <v>0</v>
      </c>
      <c r="K5256">
        <v>2215</v>
      </c>
      <c r="L5256">
        <v>174</v>
      </c>
      <c r="M5256">
        <v>250</v>
      </c>
      <c r="N5256" t="s">
        <v>49</v>
      </c>
      <c r="O5256" s="3">
        <v>44090</v>
      </c>
      <c r="P5256">
        <v>-1</v>
      </c>
      <c r="T5256" t="s">
        <v>28</v>
      </c>
      <c r="U5256">
        <v>66</v>
      </c>
      <c r="V5256">
        <v>30.2362</v>
      </c>
    </row>
    <row r="5257" spans="1:22" x14ac:dyDescent="0.35">
      <c r="A5257" s="3">
        <v>43839</v>
      </c>
      <c r="B5257" t="s">
        <v>51</v>
      </c>
      <c r="C5257">
        <v>17.649999999999999</v>
      </c>
      <c r="D5257">
        <v>17.649999999999999</v>
      </c>
      <c r="E5257">
        <v>17.399999999999999</v>
      </c>
      <c r="F5257">
        <v>17.420000000000002</v>
      </c>
      <c r="G5257">
        <v>17.425000000000001</v>
      </c>
      <c r="H5257">
        <v>-0.2</v>
      </c>
      <c r="I5257">
        <v>769</v>
      </c>
      <c r="J5257">
        <v>0</v>
      </c>
      <c r="K5257">
        <v>6950</v>
      </c>
      <c r="L5257">
        <v>136</v>
      </c>
      <c r="M5257">
        <v>195</v>
      </c>
      <c r="N5257" t="s">
        <v>51</v>
      </c>
      <c r="O5257" s="3">
        <v>44034</v>
      </c>
      <c r="P5257">
        <v>-1</v>
      </c>
      <c r="T5257" t="s">
        <v>22</v>
      </c>
      <c r="U5257">
        <v>90</v>
      </c>
      <c r="V5257">
        <v>30.055499999999999</v>
      </c>
    </row>
    <row r="5258" spans="1:22" x14ac:dyDescent="0.35">
      <c r="A5258" s="3">
        <v>43839</v>
      </c>
      <c r="B5258" t="s">
        <v>48</v>
      </c>
      <c r="C5258">
        <v>19.899999999999999</v>
      </c>
      <c r="D5258">
        <v>20.22</v>
      </c>
      <c r="E5258">
        <v>19.899999999999999</v>
      </c>
      <c r="F5258">
        <v>20.05</v>
      </c>
      <c r="G5258">
        <v>20.074999999999999</v>
      </c>
      <c r="H5258">
        <v>0.1</v>
      </c>
      <c r="I5258">
        <v>1518</v>
      </c>
      <c r="J5258">
        <v>0</v>
      </c>
      <c r="K5258">
        <v>4606</v>
      </c>
      <c r="L5258">
        <v>200</v>
      </c>
      <c r="M5258">
        <v>286</v>
      </c>
      <c r="N5258" t="s">
        <v>48</v>
      </c>
      <c r="O5258" s="3">
        <v>44125</v>
      </c>
      <c r="P5258">
        <v>-1</v>
      </c>
      <c r="T5258" t="s">
        <v>26</v>
      </c>
      <c r="U5258">
        <v>110</v>
      </c>
      <c r="V5258">
        <v>29.548100000000002</v>
      </c>
    </row>
    <row r="5259" spans="1:22" x14ac:dyDescent="0.35">
      <c r="A5259" s="3">
        <v>43839</v>
      </c>
      <c r="B5259" t="s">
        <v>53</v>
      </c>
      <c r="C5259">
        <v>17.059999999999999</v>
      </c>
      <c r="D5259">
        <v>17.100000000000001</v>
      </c>
      <c r="E5259">
        <v>16.809999999999999</v>
      </c>
      <c r="F5259">
        <v>16.87</v>
      </c>
      <c r="G5259">
        <v>16.875</v>
      </c>
      <c r="H5259">
        <v>-0.2</v>
      </c>
      <c r="I5259">
        <v>4155</v>
      </c>
      <c r="J5259">
        <v>0</v>
      </c>
      <c r="K5259">
        <v>26274</v>
      </c>
      <c r="L5259">
        <v>92</v>
      </c>
      <c r="M5259">
        <v>132</v>
      </c>
      <c r="N5259" t="s">
        <v>53</v>
      </c>
      <c r="O5259" s="3">
        <v>43971</v>
      </c>
      <c r="P5259">
        <v>-1</v>
      </c>
      <c r="T5259" t="s">
        <v>27</v>
      </c>
      <c r="U5259">
        <v>134</v>
      </c>
      <c r="V5259">
        <v>29.416699999999999</v>
      </c>
    </row>
    <row r="5260" spans="1:22" x14ac:dyDescent="0.35">
      <c r="A5260" s="3">
        <v>43839</v>
      </c>
      <c r="B5260" t="s">
        <v>47</v>
      </c>
      <c r="C5260">
        <v>18.739999999999998</v>
      </c>
      <c r="D5260">
        <v>18.739999999999998</v>
      </c>
      <c r="E5260">
        <v>18.5</v>
      </c>
      <c r="F5260">
        <v>18.5</v>
      </c>
      <c r="G5260">
        <v>18.524999999999999</v>
      </c>
      <c r="H5260">
        <v>-0.05</v>
      </c>
      <c r="I5260">
        <v>494</v>
      </c>
      <c r="J5260">
        <v>0</v>
      </c>
      <c r="K5260">
        <v>2294</v>
      </c>
      <c r="L5260">
        <v>220</v>
      </c>
      <c r="M5260">
        <v>314</v>
      </c>
      <c r="N5260" t="s">
        <v>47</v>
      </c>
      <c r="O5260" s="3">
        <v>44153</v>
      </c>
      <c r="P5260">
        <v>-1</v>
      </c>
      <c r="T5260" t="s">
        <v>25</v>
      </c>
      <c r="U5260">
        <v>154</v>
      </c>
      <c r="V5260">
        <v>29.3</v>
      </c>
    </row>
    <row r="5261" spans="1:22" x14ac:dyDescent="0.35">
      <c r="A5261" s="3">
        <v>43839</v>
      </c>
      <c r="B5261" t="s">
        <v>52</v>
      </c>
      <c r="C5261">
        <v>17.38</v>
      </c>
      <c r="D5261">
        <v>17.399999999999999</v>
      </c>
      <c r="E5261">
        <v>17.149999999999999</v>
      </c>
      <c r="F5261">
        <v>17.170000000000002</v>
      </c>
      <c r="G5261">
        <v>17.175000000000001</v>
      </c>
      <c r="H5261">
        <v>-0.2</v>
      </c>
      <c r="I5261">
        <v>1795</v>
      </c>
      <c r="J5261">
        <v>0</v>
      </c>
      <c r="K5261">
        <v>13962</v>
      </c>
      <c r="L5261">
        <v>111</v>
      </c>
      <c r="M5261">
        <v>160</v>
      </c>
      <c r="N5261" t="s">
        <v>52</v>
      </c>
      <c r="O5261" s="3">
        <v>43999</v>
      </c>
      <c r="P5261">
        <v>-1</v>
      </c>
      <c r="T5261" t="s">
        <v>20</v>
      </c>
      <c r="U5261">
        <v>174</v>
      </c>
      <c r="V5261">
        <v>28.175000000000001</v>
      </c>
    </row>
    <row r="5262" spans="1:22" x14ac:dyDescent="0.35">
      <c r="A5262" s="3">
        <v>43839</v>
      </c>
      <c r="B5262" t="s">
        <v>49</v>
      </c>
      <c r="C5262">
        <v>18.100000000000001</v>
      </c>
      <c r="D5262">
        <v>18.18</v>
      </c>
      <c r="E5262">
        <v>17.96</v>
      </c>
      <c r="F5262">
        <v>18</v>
      </c>
      <c r="G5262">
        <v>17.975000000000001</v>
      </c>
      <c r="H5262">
        <v>-0.125</v>
      </c>
      <c r="I5262">
        <v>559</v>
      </c>
      <c r="J5262">
        <v>0</v>
      </c>
      <c r="K5262">
        <v>2048</v>
      </c>
      <c r="L5262">
        <v>175</v>
      </c>
      <c r="M5262">
        <v>251</v>
      </c>
      <c r="N5262" t="s">
        <v>49</v>
      </c>
      <c r="O5262" s="3">
        <v>44090</v>
      </c>
      <c r="P5262">
        <v>-1</v>
      </c>
      <c r="S5262" s="3">
        <v>44635</v>
      </c>
      <c r="T5262" t="s">
        <v>31</v>
      </c>
      <c r="U5262">
        <v>0</v>
      </c>
      <c r="V5262">
        <v>32.28</v>
      </c>
    </row>
    <row r="5263" spans="1:22" x14ac:dyDescent="0.35">
      <c r="A5263" s="3">
        <v>43839</v>
      </c>
      <c r="B5263" t="s">
        <v>54</v>
      </c>
      <c r="C5263">
        <v>16.89</v>
      </c>
      <c r="D5263">
        <v>16.95</v>
      </c>
      <c r="E5263">
        <v>16.63</v>
      </c>
      <c r="F5263">
        <v>16.66</v>
      </c>
      <c r="G5263">
        <v>16.675000000000001</v>
      </c>
      <c r="H5263">
        <v>-0.25</v>
      </c>
      <c r="I5263">
        <v>8297</v>
      </c>
      <c r="J5263">
        <v>0</v>
      </c>
      <c r="K5263">
        <v>33887</v>
      </c>
      <c r="L5263">
        <v>67</v>
      </c>
      <c r="M5263">
        <v>97</v>
      </c>
      <c r="N5263" t="s">
        <v>54</v>
      </c>
      <c r="O5263" s="3">
        <v>43936</v>
      </c>
      <c r="P5263">
        <v>-1</v>
      </c>
      <c r="T5263" t="s">
        <v>30</v>
      </c>
      <c r="U5263">
        <v>26</v>
      </c>
      <c r="V5263">
        <v>30.726099999999999</v>
      </c>
    </row>
    <row r="5264" spans="1:22" x14ac:dyDescent="0.35">
      <c r="A5264" s="3">
        <v>43839</v>
      </c>
      <c r="B5264" t="s">
        <v>50</v>
      </c>
      <c r="C5264">
        <v>17.739999999999998</v>
      </c>
      <c r="D5264">
        <v>17.75</v>
      </c>
      <c r="E5264">
        <v>17.52</v>
      </c>
      <c r="F5264">
        <v>17.55</v>
      </c>
      <c r="G5264">
        <v>17.524999999999999</v>
      </c>
      <c r="H5264">
        <v>-0.22500000000000001</v>
      </c>
      <c r="I5264">
        <v>252</v>
      </c>
      <c r="J5264">
        <v>0</v>
      </c>
      <c r="K5264">
        <v>3024</v>
      </c>
      <c r="L5264">
        <v>156</v>
      </c>
      <c r="M5264">
        <v>223</v>
      </c>
      <c r="N5264" t="s">
        <v>50</v>
      </c>
      <c r="O5264" s="3">
        <v>44062</v>
      </c>
      <c r="P5264">
        <v>-1</v>
      </c>
      <c r="T5264" t="s">
        <v>29</v>
      </c>
      <c r="U5264">
        <v>46</v>
      </c>
      <c r="V5264">
        <v>30.229199999999999</v>
      </c>
    </row>
    <row r="5265" spans="1:22" x14ac:dyDescent="0.35">
      <c r="A5265" s="3">
        <v>43839</v>
      </c>
      <c r="B5265" t="s">
        <v>55</v>
      </c>
      <c r="C5265">
        <v>16.43</v>
      </c>
      <c r="D5265">
        <v>16.45</v>
      </c>
      <c r="E5265">
        <v>16.100000000000001</v>
      </c>
      <c r="F5265">
        <v>16.14</v>
      </c>
      <c r="G5265">
        <v>16.125</v>
      </c>
      <c r="H5265">
        <v>-0.3</v>
      </c>
      <c r="I5265">
        <v>23241</v>
      </c>
      <c r="J5265">
        <v>0</v>
      </c>
      <c r="K5265">
        <v>52957</v>
      </c>
      <c r="L5265">
        <v>47</v>
      </c>
      <c r="M5265">
        <v>69</v>
      </c>
      <c r="N5265" t="s">
        <v>55</v>
      </c>
      <c r="O5265" s="3">
        <v>43908</v>
      </c>
      <c r="P5265">
        <v>-1</v>
      </c>
      <c r="T5265" t="s">
        <v>28</v>
      </c>
      <c r="U5265">
        <v>65</v>
      </c>
      <c r="V5265">
        <v>29.788799999999998</v>
      </c>
    </row>
    <row r="5266" spans="1:22" x14ac:dyDescent="0.35">
      <c r="A5266" s="3">
        <v>43838</v>
      </c>
      <c r="B5266" t="s">
        <v>54</v>
      </c>
      <c r="C5266">
        <v>17.399999999999999</v>
      </c>
      <c r="D5266">
        <v>18.28</v>
      </c>
      <c r="E5266">
        <v>16.84</v>
      </c>
      <c r="F5266">
        <v>16.93</v>
      </c>
      <c r="G5266">
        <v>16.925000000000001</v>
      </c>
      <c r="H5266">
        <v>-0.3</v>
      </c>
      <c r="I5266">
        <v>14095</v>
      </c>
      <c r="J5266">
        <v>0</v>
      </c>
      <c r="K5266">
        <v>33702</v>
      </c>
      <c r="L5266">
        <v>68</v>
      </c>
      <c r="M5266">
        <v>98</v>
      </c>
      <c r="N5266" t="s">
        <v>54</v>
      </c>
      <c r="O5266" s="3">
        <v>43936</v>
      </c>
      <c r="P5266">
        <v>-1</v>
      </c>
      <c r="T5266" t="s">
        <v>22</v>
      </c>
      <c r="U5266">
        <v>89</v>
      </c>
      <c r="V5266">
        <v>29.5916</v>
      </c>
    </row>
    <row r="5267" spans="1:22" x14ac:dyDescent="0.35">
      <c r="A5267" s="3">
        <v>43838</v>
      </c>
      <c r="B5267" t="s">
        <v>50</v>
      </c>
      <c r="C5267">
        <v>18.05</v>
      </c>
      <c r="D5267">
        <v>18.5</v>
      </c>
      <c r="E5267">
        <v>17.7</v>
      </c>
      <c r="F5267">
        <v>17.75</v>
      </c>
      <c r="G5267">
        <v>17.75</v>
      </c>
      <c r="H5267">
        <v>-0.15</v>
      </c>
      <c r="I5267">
        <v>2146</v>
      </c>
      <c r="J5267">
        <v>0</v>
      </c>
      <c r="K5267">
        <v>2957</v>
      </c>
      <c r="L5267">
        <v>157</v>
      </c>
      <c r="M5267">
        <v>224</v>
      </c>
      <c r="N5267" t="s">
        <v>50</v>
      </c>
      <c r="O5267" s="3">
        <v>44062</v>
      </c>
      <c r="P5267">
        <v>-1</v>
      </c>
      <c r="T5267" t="s">
        <v>26</v>
      </c>
      <c r="U5267">
        <v>109</v>
      </c>
      <c r="V5267">
        <v>28.991700000000002</v>
      </c>
    </row>
    <row r="5268" spans="1:22" x14ac:dyDescent="0.35">
      <c r="A5268" s="3">
        <v>43838</v>
      </c>
      <c r="B5268" t="s">
        <v>55</v>
      </c>
      <c r="C5268">
        <v>17</v>
      </c>
      <c r="D5268">
        <v>18.100000000000001</v>
      </c>
      <c r="E5268">
        <v>16.32</v>
      </c>
      <c r="F5268">
        <v>16.45</v>
      </c>
      <c r="G5268">
        <v>16.425000000000001</v>
      </c>
      <c r="H5268">
        <v>-0.4</v>
      </c>
      <c r="I5268">
        <v>35989</v>
      </c>
      <c r="J5268">
        <v>0</v>
      </c>
      <c r="K5268">
        <v>53752</v>
      </c>
      <c r="L5268">
        <v>48</v>
      </c>
      <c r="M5268">
        <v>70</v>
      </c>
      <c r="N5268" t="s">
        <v>55</v>
      </c>
      <c r="O5268" s="3">
        <v>43908</v>
      </c>
      <c r="P5268">
        <v>-1</v>
      </c>
      <c r="T5268" t="s">
        <v>27</v>
      </c>
      <c r="U5268">
        <v>133</v>
      </c>
      <c r="V5268">
        <v>28.798500000000001</v>
      </c>
    </row>
    <row r="5269" spans="1:22" x14ac:dyDescent="0.35">
      <c r="A5269" s="3">
        <v>43838</v>
      </c>
      <c r="B5269" t="s">
        <v>51</v>
      </c>
      <c r="C5269">
        <v>17.96</v>
      </c>
      <c r="D5269">
        <v>18.5</v>
      </c>
      <c r="E5269">
        <v>17.55</v>
      </c>
      <c r="F5269">
        <v>17.66</v>
      </c>
      <c r="G5269">
        <v>17.625</v>
      </c>
      <c r="H5269">
        <v>-0.2</v>
      </c>
      <c r="I5269">
        <v>3695</v>
      </c>
      <c r="J5269">
        <v>0</v>
      </c>
      <c r="K5269">
        <v>7047</v>
      </c>
      <c r="L5269">
        <v>137</v>
      </c>
      <c r="M5269">
        <v>196</v>
      </c>
      <c r="N5269" t="s">
        <v>51</v>
      </c>
      <c r="O5269" s="3">
        <v>44034</v>
      </c>
      <c r="P5269">
        <v>-1</v>
      </c>
      <c r="T5269" t="s">
        <v>25</v>
      </c>
      <c r="U5269">
        <v>153</v>
      </c>
      <c r="V5269">
        <v>28.77</v>
      </c>
    </row>
    <row r="5270" spans="1:22" x14ac:dyDescent="0.35">
      <c r="A5270" s="3">
        <v>43838</v>
      </c>
      <c r="B5270" t="s">
        <v>48</v>
      </c>
      <c r="C5270">
        <v>20</v>
      </c>
      <c r="D5270">
        <v>20.25</v>
      </c>
      <c r="E5270">
        <v>19.8</v>
      </c>
      <c r="F5270">
        <v>19.95</v>
      </c>
      <c r="G5270">
        <v>19.975000000000001</v>
      </c>
      <c r="H5270">
        <v>-0.05</v>
      </c>
      <c r="I5270">
        <v>2261</v>
      </c>
      <c r="J5270">
        <v>0</v>
      </c>
      <c r="K5270">
        <v>3389</v>
      </c>
      <c r="L5270">
        <v>201</v>
      </c>
      <c r="M5270">
        <v>287</v>
      </c>
      <c r="N5270" t="s">
        <v>48</v>
      </c>
      <c r="O5270" s="3">
        <v>44125</v>
      </c>
      <c r="P5270">
        <v>-1</v>
      </c>
      <c r="T5270" t="s">
        <v>20</v>
      </c>
      <c r="U5270">
        <v>173</v>
      </c>
      <c r="V5270">
        <v>27.916699999999999</v>
      </c>
    </row>
    <row r="5271" spans="1:22" x14ac:dyDescent="0.35">
      <c r="A5271" s="3">
        <v>43838</v>
      </c>
      <c r="B5271" t="s">
        <v>53</v>
      </c>
      <c r="C5271">
        <v>17.5</v>
      </c>
      <c r="D5271">
        <v>18.25</v>
      </c>
      <c r="E5271">
        <v>17</v>
      </c>
      <c r="F5271">
        <v>17.07</v>
      </c>
      <c r="G5271">
        <v>17.074999999999999</v>
      </c>
      <c r="H5271">
        <v>-0.3</v>
      </c>
      <c r="I5271">
        <v>7279</v>
      </c>
      <c r="J5271">
        <v>0</v>
      </c>
      <c r="K5271">
        <v>26375</v>
      </c>
      <c r="L5271">
        <v>93</v>
      </c>
      <c r="M5271">
        <v>133</v>
      </c>
      <c r="N5271" t="s">
        <v>53</v>
      </c>
      <c r="O5271" s="3">
        <v>43971</v>
      </c>
      <c r="P5271">
        <v>-1</v>
      </c>
      <c r="S5271" s="3">
        <v>44636</v>
      </c>
      <c r="T5271" t="s">
        <v>30</v>
      </c>
      <c r="U5271">
        <v>25</v>
      </c>
      <c r="V5271">
        <v>27.5411</v>
      </c>
    </row>
    <row r="5272" spans="1:22" x14ac:dyDescent="0.35">
      <c r="A5272" s="3">
        <v>43838</v>
      </c>
      <c r="B5272" t="s">
        <v>47</v>
      </c>
      <c r="C5272">
        <v>19.100000000000001</v>
      </c>
      <c r="D5272">
        <v>19.149999999999999</v>
      </c>
      <c r="E5272">
        <v>18.600000000000001</v>
      </c>
      <c r="F5272">
        <v>18.61</v>
      </c>
      <c r="G5272">
        <v>18.574999999999999</v>
      </c>
      <c r="H5272">
        <v>-0.27500000000000002</v>
      </c>
      <c r="I5272">
        <v>1120</v>
      </c>
      <c r="J5272">
        <v>0</v>
      </c>
      <c r="K5272">
        <v>1863</v>
      </c>
      <c r="L5272">
        <v>221</v>
      </c>
      <c r="M5272">
        <v>315</v>
      </c>
      <c r="N5272" t="s">
        <v>47</v>
      </c>
      <c r="O5272" s="3">
        <v>44153</v>
      </c>
      <c r="P5272">
        <v>-1</v>
      </c>
      <c r="T5272" t="s">
        <v>29</v>
      </c>
      <c r="U5272">
        <v>45</v>
      </c>
      <c r="V5272">
        <v>27.9725</v>
      </c>
    </row>
    <row r="5273" spans="1:22" x14ac:dyDescent="0.35">
      <c r="A5273" s="3">
        <v>43838</v>
      </c>
      <c r="B5273" t="s">
        <v>52</v>
      </c>
      <c r="C5273">
        <v>17.75</v>
      </c>
      <c r="D5273">
        <v>18.399999999999999</v>
      </c>
      <c r="E5273">
        <v>17.32</v>
      </c>
      <c r="F5273">
        <v>17.399999999999999</v>
      </c>
      <c r="G5273">
        <v>17.375</v>
      </c>
      <c r="H5273">
        <v>-0.25</v>
      </c>
      <c r="I5273">
        <v>5147</v>
      </c>
      <c r="J5273">
        <v>0</v>
      </c>
      <c r="K5273">
        <v>14100</v>
      </c>
      <c r="L5273">
        <v>112</v>
      </c>
      <c r="M5273">
        <v>161</v>
      </c>
      <c r="N5273" t="s">
        <v>52</v>
      </c>
      <c r="O5273" s="3">
        <v>43999</v>
      </c>
      <c r="P5273">
        <v>-1</v>
      </c>
      <c r="T5273" t="s">
        <v>28</v>
      </c>
      <c r="U5273">
        <v>64</v>
      </c>
      <c r="V5273">
        <v>28.111000000000001</v>
      </c>
    </row>
    <row r="5274" spans="1:22" x14ac:dyDescent="0.35">
      <c r="A5274" s="3">
        <v>43838</v>
      </c>
      <c r="B5274" t="s">
        <v>49</v>
      </c>
      <c r="C5274">
        <v>18.350000000000001</v>
      </c>
      <c r="D5274">
        <v>18.7</v>
      </c>
      <c r="E5274">
        <v>18.05</v>
      </c>
      <c r="F5274">
        <v>18.149999999999999</v>
      </c>
      <c r="G5274">
        <v>18.100000000000001</v>
      </c>
      <c r="H5274">
        <v>-0.15</v>
      </c>
      <c r="I5274">
        <v>1133</v>
      </c>
      <c r="J5274">
        <v>0</v>
      </c>
      <c r="K5274">
        <v>1603</v>
      </c>
      <c r="L5274">
        <v>176</v>
      </c>
      <c r="M5274">
        <v>252</v>
      </c>
      <c r="N5274" t="s">
        <v>49</v>
      </c>
      <c r="O5274" s="3">
        <v>44090</v>
      </c>
      <c r="P5274">
        <v>-1</v>
      </c>
      <c r="T5274" t="s">
        <v>22</v>
      </c>
      <c r="U5274">
        <v>88</v>
      </c>
      <c r="V5274">
        <v>28.2453</v>
      </c>
    </row>
    <row r="5275" spans="1:22" x14ac:dyDescent="0.35">
      <c r="A5275" s="3">
        <v>43837</v>
      </c>
      <c r="B5275" t="s">
        <v>51</v>
      </c>
      <c r="C5275">
        <v>17.97</v>
      </c>
      <c r="D5275">
        <v>18.05</v>
      </c>
      <c r="E5275">
        <v>17.75</v>
      </c>
      <c r="F5275">
        <v>17.920000000000002</v>
      </c>
      <c r="G5275">
        <v>17.824999999999999</v>
      </c>
      <c r="H5275">
        <v>-0.15</v>
      </c>
      <c r="I5275">
        <v>1940</v>
      </c>
      <c r="J5275">
        <v>0</v>
      </c>
      <c r="K5275">
        <v>6505</v>
      </c>
      <c r="L5275">
        <v>138</v>
      </c>
      <c r="M5275">
        <v>197</v>
      </c>
      <c r="N5275" t="s">
        <v>51</v>
      </c>
      <c r="O5275" s="3">
        <v>44034</v>
      </c>
      <c r="P5275">
        <v>-1</v>
      </c>
      <c r="T5275" t="s">
        <v>26</v>
      </c>
      <c r="U5275">
        <v>108</v>
      </c>
      <c r="V5275">
        <v>27.932200000000002</v>
      </c>
    </row>
    <row r="5276" spans="1:22" x14ac:dyDescent="0.35">
      <c r="A5276" s="3">
        <v>43837</v>
      </c>
      <c r="B5276" t="s">
        <v>48</v>
      </c>
      <c r="C5276">
        <v>19.850000000000001</v>
      </c>
      <c r="D5276">
        <v>20.02</v>
      </c>
      <c r="E5276">
        <v>19.850000000000001</v>
      </c>
      <c r="F5276">
        <v>20</v>
      </c>
      <c r="G5276">
        <v>20.024999999999999</v>
      </c>
      <c r="H5276">
        <v>2.5000000000000001E-2</v>
      </c>
      <c r="I5276">
        <v>68</v>
      </c>
      <c r="J5276">
        <v>0</v>
      </c>
      <c r="K5276">
        <v>1226</v>
      </c>
      <c r="L5276">
        <v>202</v>
      </c>
      <c r="M5276">
        <v>288</v>
      </c>
      <c r="N5276" t="s">
        <v>48</v>
      </c>
      <c r="O5276" s="3">
        <v>44125</v>
      </c>
      <c r="P5276">
        <v>-1</v>
      </c>
      <c r="T5276" t="s">
        <v>27</v>
      </c>
      <c r="U5276">
        <v>132</v>
      </c>
      <c r="V5276">
        <v>28.004999999999999</v>
      </c>
    </row>
    <row r="5277" spans="1:22" x14ac:dyDescent="0.35">
      <c r="A5277" s="3">
        <v>43837</v>
      </c>
      <c r="B5277" t="s">
        <v>53</v>
      </c>
      <c r="C5277">
        <v>17.47</v>
      </c>
      <c r="D5277">
        <v>17.559999999999999</v>
      </c>
      <c r="E5277">
        <v>17.3</v>
      </c>
      <c r="F5277">
        <v>17.46</v>
      </c>
      <c r="G5277">
        <v>17.375</v>
      </c>
      <c r="H5277">
        <v>-0.05</v>
      </c>
      <c r="I5277">
        <v>3933</v>
      </c>
      <c r="J5277">
        <v>0</v>
      </c>
      <c r="K5277">
        <v>26091</v>
      </c>
      <c r="L5277">
        <v>94</v>
      </c>
      <c r="M5277">
        <v>134</v>
      </c>
      <c r="N5277" t="s">
        <v>53</v>
      </c>
      <c r="O5277" s="3">
        <v>43971</v>
      </c>
      <c r="P5277">
        <v>-1</v>
      </c>
      <c r="T5277" t="s">
        <v>25</v>
      </c>
      <c r="U5277">
        <v>152</v>
      </c>
      <c r="V5277">
        <v>28.1</v>
      </c>
    </row>
    <row r="5278" spans="1:22" x14ac:dyDescent="0.35">
      <c r="A5278" s="3">
        <v>43837</v>
      </c>
      <c r="B5278" t="s">
        <v>47</v>
      </c>
      <c r="C5278">
        <v>18.82</v>
      </c>
      <c r="D5278">
        <v>18.87</v>
      </c>
      <c r="E5278">
        <v>18.649999999999999</v>
      </c>
      <c r="F5278">
        <v>18.86</v>
      </c>
      <c r="G5278">
        <v>18.850000000000001</v>
      </c>
      <c r="H5278">
        <v>0.15</v>
      </c>
      <c r="I5278">
        <v>23</v>
      </c>
      <c r="J5278">
        <v>0</v>
      </c>
      <c r="K5278">
        <v>792</v>
      </c>
      <c r="L5278">
        <v>222</v>
      </c>
      <c r="M5278">
        <v>316</v>
      </c>
      <c r="N5278" t="s">
        <v>47</v>
      </c>
      <c r="O5278" s="3">
        <v>44153</v>
      </c>
      <c r="P5278">
        <v>-1</v>
      </c>
      <c r="T5278" t="s">
        <v>20</v>
      </c>
      <c r="U5278">
        <v>172</v>
      </c>
      <c r="V5278">
        <v>27.375</v>
      </c>
    </row>
    <row r="5279" spans="1:22" x14ac:dyDescent="0.35">
      <c r="A5279" s="3">
        <v>43837</v>
      </c>
      <c r="B5279" t="s">
        <v>52</v>
      </c>
      <c r="C5279">
        <v>17.75</v>
      </c>
      <c r="D5279">
        <v>17.850000000000001</v>
      </c>
      <c r="E5279">
        <v>17.57</v>
      </c>
      <c r="F5279">
        <v>17.75</v>
      </c>
      <c r="G5279">
        <v>17.625</v>
      </c>
      <c r="H5279">
        <v>-0.1</v>
      </c>
      <c r="I5279">
        <v>2405</v>
      </c>
      <c r="J5279">
        <v>0</v>
      </c>
      <c r="K5279">
        <v>13732</v>
      </c>
      <c r="L5279">
        <v>113</v>
      </c>
      <c r="M5279">
        <v>162</v>
      </c>
      <c r="N5279" t="s">
        <v>52</v>
      </c>
      <c r="O5279" s="3">
        <v>43999</v>
      </c>
      <c r="P5279">
        <v>-1</v>
      </c>
      <c r="S5279" s="3">
        <v>44637</v>
      </c>
      <c r="T5279" t="s">
        <v>30</v>
      </c>
      <c r="U5279">
        <v>24</v>
      </c>
      <c r="V5279">
        <v>27.1143</v>
      </c>
    </row>
    <row r="5280" spans="1:22" x14ac:dyDescent="0.35">
      <c r="A5280" s="3">
        <v>43837</v>
      </c>
      <c r="B5280" t="s">
        <v>49</v>
      </c>
      <c r="C5280">
        <v>18.37</v>
      </c>
      <c r="D5280">
        <v>18.37</v>
      </c>
      <c r="E5280">
        <v>18.190000000000001</v>
      </c>
      <c r="F5280">
        <v>18.2</v>
      </c>
      <c r="G5280">
        <v>18.25</v>
      </c>
      <c r="H5280">
        <v>-0.05</v>
      </c>
      <c r="I5280">
        <v>38</v>
      </c>
      <c r="J5280">
        <v>0</v>
      </c>
      <c r="K5280">
        <v>560</v>
      </c>
      <c r="L5280">
        <v>177</v>
      </c>
      <c r="M5280">
        <v>253</v>
      </c>
      <c r="N5280" t="s">
        <v>49</v>
      </c>
      <c r="O5280" s="3">
        <v>44090</v>
      </c>
      <c r="P5280">
        <v>-1</v>
      </c>
      <c r="T5280" t="s">
        <v>29</v>
      </c>
      <c r="U5280">
        <v>44</v>
      </c>
      <c r="V5280">
        <v>27.459299999999999</v>
      </c>
    </row>
    <row r="5281" spans="1:22" x14ac:dyDescent="0.35">
      <c r="A5281" s="3">
        <v>43837</v>
      </c>
      <c r="B5281" t="s">
        <v>54</v>
      </c>
      <c r="C5281">
        <v>17.350000000000001</v>
      </c>
      <c r="D5281">
        <v>17.45</v>
      </c>
      <c r="E5281">
        <v>17.149999999999999</v>
      </c>
      <c r="F5281">
        <v>17.36</v>
      </c>
      <c r="G5281">
        <v>17.225000000000001</v>
      </c>
      <c r="H5281">
        <v>-0.05</v>
      </c>
      <c r="I5281">
        <v>5298</v>
      </c>
      <c r="J5281">
        <v>0</v>
      </c>
      <c r="K5281">
        <v>32144</v>
      </c>
      <c r="L5281">
        <v>69</v>
      </c>
      <c r="M5281">
        <v>99</v>
      </c>
      <c r="N5281" t="s">
        <v>54</v>
      </c>
      <c r="O5281" s="3">
        <v>43936</v>
      </c>
      <c r="P5281">
        <v>-1</v>
      </c>
      <c r="T5281" t="s">
        <v>28</v>
      </c>
      <c r="U5281">
        <v>63</v>
      </c>
      <c r="V5281">
        <v>27.660499999999999</v>
      </c>
    </row>
    <row r="5282" spans="1:22" x14ac:dyDescent="0.35">
      <c r="A5282" s="3">
        <v>43837</v>
      </c>
      <c r="B5282" t="s">
        <v>50</v>
      </c>
      <c r="C5282">
        <v>18.07</v>
      </c>
      <c r="D5282">
        <v>18.149999999999999</v>
      </c>
      <c r="E5282">
        <v>17.829999999999998</v>
      </c>
      <c r="F5282">
        <v>18</v>
      </c>
      <c r="G5282">
        <v>17.899999999999999</v>
      </c>
      <c r="H5282">
        <v>-0.17499999999999999</v>
      </c>
      <c r="I5282">
        <v>665</v>
      </c>
      <c r="J5282">
        <v>0</v>
      </c>
      <c r="K5282">
        <v>2650</v>
      </c>
      <c r="L5282">
        <v>158</v>
      </c>
      <c r="M5282">
        <v>225</v>
      </c>
      <c r="N5282" t="s">
        <v>50</v>
      </c>
      <c r="O5282" s="3">
        <v>44062</v>
      </c>
      <c r="P5282">
        <v>-1</v>
      </c>
      <c r="T5282" t="s">
        <v>22</v>
      </c>
      <c r="U5282">
        <v>87</v>
      </c>
      <c r="V5282">
        <v>27.849799999999998</v>
      </c>
    </row>
    <row r="5283" spans="1:22" x14ac:dyDescent="0.35">
      <c r="A5283" s="3">
        <v>43837</v>
      </c>
      <c r="B5283" t="s">
        <v>55</v>
      </c>
      <c r="C5283">
        <v>16.899999999999999</v>
      </c>
      <c r="D5283">
        <v>17.03</v>
      </c>
      <c r="E5283">
        <v>16.7</v>
      </c>
      <c r="F5283">
        <v>16.95</v>
      </c>
      <c r="G5283">
        <v>16.824999999999999</v>
      </c>
      <c r="H5283">
        <v>-0.05</v>
      </c>
      <c r="I5283">
        <v>18365</v>
      </c>
      <c r="J5283">
        <v>0</v>
      </c>
      <c r="K5283">
        <v>53318</v>
      </c>
      <c r="L5283">
        <v>49</v>
      </c>
      <c r="M5283">
        <v>71</v>
      </c>
      <c r="N5283" t="s">
        <v>55</v>
      </c>
      <c r="O5283" s="3">
        <v>43908</v>
      </c>
      <c r="P5283">
        <v>-1</v>
      </c>
      <c r="T5283" t="s">
        <v>26</v>
      </c>
      <c r="U5283">
        <v>107</v>
      </c>
      <c r="V5283">
        <v>27.572199999999999</v>
      </c>
    </row>
    <row r="5284" spans="1:22" x14ac:dyDescent="0.35">
      <c r="A5284" s="3">
        <v>43836</v>
      </c>
      <c r="B5284" t="s">
        <v>54</v>
      </c>
      <c r="C5284">
        <v>17.45</v>
      </c>
      <c r="D5284">
        <v>17.7</v>
      </c>
      <c r="E5284">
        <v>17.2</v>
      </c>
      <c r="F5284">
        <v>17.350000000000001</v>
      </c>
      <c r="G5284">
        <v>17.274999999999999</v>
      </c>
      <c r="H5284">
        <v>-0.05</v>
      </c>
      <c r="I5284">
        <v>6795</v>
      </c>
      <c r="J5284">
        <v>0</v>
      </c>
      <c r="K5284">
        <v>32043</v>
      </c>
      <c r="L5284">
        <v>70</v>
      </c>
      <c r="M5284">
        <v>100</v>
      </c>
      <c r="N5284" t="s">
        <v>54</v>
      </c>
      <c r="O5284" s="3">
        <v>43936</v>
      </c>
      <c r="P5284">
        <v>-1</v>
      </c>
      <c r="T5284" t="s">
        <v>27</v>
      </c>
      <c r="U5284">
        <v>131</v>
      </c>
      <c r="V5284">
        <v>27.65</v>
      </c>
    </row>
    <row r="5285" spans="1:22" x14ac:dyDescent="0.35">
      <c r="A5285" s="3">
        <v>43836</v>
      </c>
      <c r="B5285" t="s">
        <v>50</v>
      </c>
      <c r="C5285">
        <v>18.149999999999999</v>
      </c>
      <c r="D5285">
        <v>18.350000000000001</v>
      </c>
      <c r="E5285">
        <v>18.03</v>
      </c>
      <c r="F5285">
        <v>18.05</v>
      </c>
      <c r="G5285">
        <v>18.074999999999999</v>
      </c>
      <c r="H5285">
        <v>0</v>
      </c>
      <c r="I5285">
        <v>341</v>
      </c>
      <c r="J5285">
        <v>0</v>
      </c>
      <c r="K5285">
        <v>2269</v>
      </c>
      <c r="L5285">
        <v>159</v>
      </c>
      <c r="M5285">
        <v>226</v>
      </c>
      <c r="N5285" t="s">
        <v>50</v>
      </c>
      <c r="O5285" s="3">
        <v>44062</v>
      </c>
      <c r="P5285">
        <v>-1</v>
      </c>
      <c r="T5285" t="s">
        <v>25</v>
      </c>
      <c r="U5285">
        <v>151</v>
      </c>
      <c r="V5285">
        <v>27.76</v>
      </c>
    </row>
    <row r="5286" spans="1:22" x14ac:dyDescent="0.35">
      <c r="A5286" s="3">
        <v>43836</v>
      </c>
      <c r="B5286" t="s">
        <v>55</v>
      </c>
      <c r="C5286">
        <v>17.05</v>
      </c>
      <c r="D5286">
        <v>17.329999999999998</v>
      </c>
      <c r="E5286">
        <v>16.760000000000002</v>
      </c>
      <c r="F5286">
        <v>16.899999999999999</v>
      </c>
      <c r="G5286">
        <v>16.875</v>
      </c>
      <c r="H5286">
        <v>0</v>
      </c>
      <c r="I5286">
        <v>22026</v>
      </c>
      <c r="J5286">
        <v>0</v>
      </c>
      <c r="K5286">
        <v>53321</v>
      </c>
      <c r="L5286">
        <v>50</v>
      </c>
      <c r="M5286">
        <v>72</v>
      </c>
      <c r="N5286" t="s">
        <v>55</v>
      </c>
      <c r="O5286" s="3">
        <v>43908</v>
      </c>
      <c r="P5286">
        <v>-1</v>
      </c>
      <c r="T5286" t="s">
        <v>20</v>
      </c>
      <c r="U5286">
        <v>171</v>
      </c>
      <c r="V5286">
        <v>27.1</v>
      </c>
    </row>
    <row r="5287" spans="1:22" x14ac:dyDescent="0.35">
      <c r="A5287" s="3">
        <v>43836</v>
      </c>
      <c r="B5287" t="s">
        <v>51</v>
      </c>
      <c r="C5287">
        <v>18.100000000000001</v>
      </c>
      <c r="D5287">
        <v>18.260000000000002</v>
      </c>
      <c r="E5287">
        <v>17.899999999999999</v>
      </c>
      <c r="F5287">
        <v>17.97</v>
      </c>
      <c r="G5287">
        <v>17.975000000000001</v>
      </c>
      <c r="H5287">
        <v>-0.05</v>
      </c>
      <c r="I5287">
        <v>823</v>
      </c>
      <c r="J5287">
        <v>0</v>
      </c>
      <c r="K5287">
        <v>6217</v>
      </c>
      <c r="L5287">
        <v>139</v>
      </c>
      <c r="M5287">
        <v>198</v>
      </c>
      <c r="N5287" t="s">
        <v>51</v>
      </c>
      <c r="O5287" s="3">
        <v>44034</v>
      </c>
      <c r="P5287">
        <v>-1</v>
      </c>
      <c r="S5287" s="3">
        <v>44638</v>
      </c>
      <c r="T5287" t="s">
        <v>30</v>
      </c>
      <c r="U5287">
        <v>23</v>
      </c>
      <c r="V5287">
        <v>25.640599999999999</v>
      </c>
    </row>
    <row r="5288" spans="1:22" x14ac:dyDescent="0.35">
      <c r="A5288" s="3">
        <v>43836</v>
      </c>
      <c r="B5288" t="s">
        <v>48</v>
      </c>
      <c r="C5288">
        <v>19.920000000000002</v>
      </c>
      <c r="D5288">
        <v>20.03</v>
      </c>
      <c r="E5288">
        <v>19.920000000000002</v>
      </c>
      <c r="F5288">
        <v>20</v>
      </c>
      <c r="G5288">
        <v>20</v>
      </c>
      <c r="H5288">
        <v>7.4999999999999997E-2</v>
      </c>
      <c r="I5288">
        <v>69</v>
      </c>
      <c r="J5288">
        <v>0</v>
      </c>
      <c r="K5288">
        <v>1196</v>
      </c>
      <c r="L5288">
        <v>203</v>
      </c>
      <c r="M5288">
        <v>289</v>
      </c>
      <c r="N5288" t="s">
        <v>48</v>
      </c>
      <c r="O5288" s="3">
        <v>44125</v>
      </c>
      <c r="P5288">
        <v>-1</v>
      </c>
      <c r="T5288" t="s">
        <v>29</v>
      </c>
      <c r="U5288">
        <v>43</v>
      </c>
      <c r="V5288">
        <v>26.218499999999999</v>
      </c>
    </row>
    <row r="5289" spans="1:22" x14ac:dyDescent="0.35">
      <c r="A5289" s="3">
        <v>43836</v>
      </c>
      <c r="B5289" t="s">
        <v>53</v>
      </c>
      <c r="C5289">
        <v>17.600000000000001</v>
      </c>
      <c r="D5289">
        <v>17.82</v>
      </c>
      <c r="E5289">
        <v>17.350000000000001</v>
      </c>
      <c r="F5289">
        <v>17.47</v>
      </c>
      <c r="G5289">
        <v>17.425000000000001</v>
      </c>
      <c r="H5289">
        <v>-0.05</v>
      </c>
      <c r="I5289">
        <v>5180</v>
      </c>
      <c r="J5289">
        <v>0</v>
      </c>
      <c r="K5289">
        <v>25200</v>
      </c>
      <c r="L5289">
        <v>95</v>
      </c>
      <c r="M5289">
        <v>135</v>
      </c>
      <c r="N5289" t="s">
        <v>53</v>
      </c>
      <c r="O5289" s="3">
        <v>43971</v>
      </c>
      <c r="P5289">
        <v>-1</v>
      </c>
      <c r="T5289" t="s">
        <v>28</v>
      </c>
      <c r="U5289">
        <v>62</v>
      </c>
      <c r="V5289">
        <v>26.528500000000001</v>
      </c>
    </row>
    <row r="5290" spans="1:22" x14ac:dyDescent="0.35">
      <c r="A5290" s="3">
        <v>43836</v>
      </c>
      <c r="B5290" t="s">
        <v>47</v>
      </c>
      <c r="C5290">
        <v>19</v>
      </c>
      <c r="D5290">
        <v>19</v>
      </c>
      <c r="E5290">
        <v>18.7</v>
      </c>
      <c r="F5290">
        <v>18.7</v>
      </c>
      <c r="G5290">
        <v>18.7</v>
      </c>
      <c r="H5290">
        <v>-7.4999999999999997E-2</v>
      </c>
      <c r="I5290">
        <v>44</v>
      </c>
      <c r="J5290">
        <v>0</v>
      </c>
      <c r="K5290">
        <v>775</v>
      </c>
      <c r="L5290">
        <v>223</v>
      </c>
      <c r="M5290">
        <v>317</v>
      </c>
      <c r="N5290" t="s">
        <v>47</v>
      </c>
      <c r="O5290" s="3">
        <v>44153</v>
      </c>
      <c r="P5290">
        <v>-1</v>
      </c>
      <c r="T5290" t="s">
        <v>22</v>
      </c>
      <c r="U5290">
        <v>86</v>
      </c>
      <c r="V5290">
        <v>26.927900000000001</v>
      </c>
    </row>
    <row r="5291" spans="1:22" x14ac:dyDescent="0.35">
      <c r="A5291" s="3">
        <v>43836</v>
      </c>
      <c r="B5291" t="s">
        <v>52</v>
      </c>
      <c r="C5291">
        <v>17.899999999999999</v>
      </c>
      <c r="D5291">
        <v>18.05</v>
      </c>
      <c r="E5291">
        <v>17.68</v>
      </c>
      <c r="F5291">
        <v>17.75</v>
      </c>
      <c r="G5291">
        <v>17.725000000000001</v>
      </c>
      <c r="H5291">
        <v>-0.05</v>
      </c>
      <c r="I5291">
        <v>2006</v>
      </c>
      <c r="J5291">
        <v>0</v>
      </c>
      <c r="K5291">
        <v>13750</v>
      </c>
      <c r="L5291">
        <v>114</v>
      </c>
      <c r="M5291">
        <v>163</v>
      </c>
      <c r="N5291" t="s">
        <v>52</v>
      </c>
      <c r="O5291" s="3">
        <v>43999</v>
      </c>
      <c r="P5291">
        <v>-1</v>
      </c>
      <c r="T5291" t="s">
        <v>26</v>
      </c>
      <c r="U5291">
        <v>106</v>
      </c>
      <c r="V5291">
        <v>26.815100000000001</v>
      </c>
    </row>
    <row r="5292" spans="1:22" x14ac:dyDescent="0.35">
      <c r="A5292" s="3">
        <v>43836</v>
      </c>
      <c r="B5292" t="s">
        <v>49</v>
      </c>
      <c r="C5292">
        <v>18.45</v>
      </c>
      <c r="D5292">
        <v>18.55</v>
      </c>
      <c r="E5292">
        <v>18.25</v>
      </c>
      <c r="F5292">
        <v>18.260000000000002</v>
      </c>
      <c r="G5292">
        <v>18.3</v>
      </c>
      <c r="H5292">
        <v>-7.4999999999999997E-2</v>
      </c>
      <c r="I5292">
        <v>65</v>
      </c>
      <c r="J5292">
        <v>0</v>
      </c>
      <c r="K5292">
        <v>565</v>
      </c>
      <c r="L5292">
        <v>178</v>
      </c>
      <c r="M5292">
        <v>254</v>
      </c>
      <c r="N5292" t="s">
        <v>49</v>
      </c>
      <c r="O5292" s="3">
        <v>44090</v>
      </c>
      <c r="P5292">
        <v>-1</v>
      </c>
      <c r="T5292" t="s">
        <v>27</v>
      </c>
      <c r="U5292">
        <v>130</v>
      </c>
      <c r="V5292">
        <v>27.022400000000001</v>
      </c>
    </row>
    <row r="5293" spans="1:22" x14ac:dyDescent="0.35">
      <c r="A5293" s="3">
        <v>43833</v>
      </c>
      <c r="B5293" t="s">
        <v>51</v>
      </c>
      <c r="C5293">
        <v>17.75</v>
      </c>
      <c r="D5293">
        <v>18.27</v>
      </c>
      <c r="E5293">
        <v>17.7</v>
      </c>
      <c r="F5293">
        <v>18</v>
      </c>
      <c r="G5293">
        <v>18.024999999999999</v>
      </c>
      <c r="H5293">
        <v>0.3</v>
      </c>
      <c r="I5293">
        <v>1455</v>
      </c>
      <c r="J5293">
        <v>0</v>
      </c>
      <c r="K5293">
        <v>6187</v>
      </c>
      <c r="L5293">
        <v>140</v>
      </c>
      <c r="M5293">
        <v>201</v>
      </c>
      <c r="N5293" t="s">
        <v>51</v>
      </c>
      <c r="O5293" s="3">
        <v>44034</v>
      </c>
      <c r="P5293">
        <v>-1</v>
      </c>
      <c r="T5293" t="s">
        <v>25</v>
      </c>
      <c r="U5293">
        <v>150</v>
      </c>
      <c r="V5293">
        <v>27.1739</v>
      </c>
    </row>
    <row r="5294" spans="1:22" x14ac:dyDescent="0.35">
      <c r="A5294" s="3">
        <v>43833</v>
      </c>
      <c r="B5294" t="s">
        <v>48</v>
      </c>
      <c r="C5294">
        <v>19.95</v>
      </c>
      <c r="D5294">
        <v>19.96</v>
      </c>
      <c r="E5294">
        <v>19.8</v>
      </c>
      <c r="F5294">
        <v>19.899999999999999</v>
      </c>
      <c r="G5294">
        <v>19.925000000000001</v>
      </c>
      <c r="H5294">
        <v>7.4999999999999997E-2</v>
      </c>
      <c r="I5294">
        <v>41</v>
      </c>
      <c r="J5294">
        <v>0</v>
      </c>
      <c r="K5294">
        <v>1153</v>
      </c>
      <c r="L5294">
        <v>204</v>
      </c>
      <c r="M5294">
        <v>292</v>
      </c>
      <c r="N5294" t="s">
        <v>48</v>
      </c>
      <c r="O5294" s="3">
        <v>44125</v>
      </c>
      <c r="P5294">
        <v>-1</v>
      </c>
      <c r="T5294" t="s">
        <v>20</v>
      </c>
      <c r="U5294">
        <v>170</v>
      </c>
      <c r="V5294">
        <v>26.75</v>
      </c>
    </row>
    <row r="5295" spans="1:22" x14ac:dyDescent="0.35">
      <c r="A5295" s="3">
        <v>43833</v>
      </c>
      <c r="B5295" t="s">
        <v>53</v>
      </c>
      <c r="C5295">
        <v>17.170000000000002</v>
      </c>
      <c r="D5295">
        <v>17.850000000000001</v>
      </c>
      <c r="E5295">
        <v>17.149999999999999</v>
      </c>
      <c r="F5295">
        <v>17.5</v>
      </c>
      <c r="G5295">
        <v>17.475000000000001</v>
      </c>
      <c r="H5295">
        <v>0.3</v>
      </c>
      <c r="I5295">
        <v>7979</v>
      </c>
      <c r="J5295">
        <v>0</v>
      </c>
      <c r="K5295">
        <v>24391</v>
      </c>
      <c r="L5295">
        <v>96</v>
      </c>
      <c r="M5295">
        <v>138</v>
      </c>
      <c r="N5295" t="s">
        <v>53</v>
      </c>
      <c r="O5295" s="3">
        <v>43971</v>
      </c>
      <c r="P5295">
        <v>-1</v>
      </c>
      <c r="S5295" s="3">
        <v>44641</v>
      </c>
      <c r="T5295" t="s">
        <v>30</v>
      </c>
      <c r="U5295">
        <v>22</v>
      </c>
      <c r="V5295">
        <v>25.481999999999999</v>
      </c>
    </row>
    <row r="5296" spans="1:22" x14ac:dyDescent="0.35">
      <c r="A5296" s="3">
        <v>43833</v>
      </c>
      <c r="B5296" t="s">
        <v>47</v>
      </c>
      <c r="C5296">
        <v>18.850000000000001</v>
      </c>
      <c r="D5296">
        <v>18.850000000000001</v>
      </c>
      <c r="E5296">
        <v>18.77</v>
      </c>
      <c r="F5296">
        <v>18.84</v>
      </c>
      <c r="G5296">
        <v>18.774999999999999</v>
      </c>
      <c r="H5296">
        <v>0.1</v>
      </c>
      <c r="I5296">
        <v>8</v>
      </c>
      <c r="J5296">
        <v>0</v>
      </c>
      <c r="K5296">
        <v>748</v>
      </c>
      <c r="L5296">
        <v>224</v>
      </c>
      <c r="M5296">
        <v>320</v>
      </c>
      <c r="N5296" t="s">
        <v>47</v>
      </c>
      <c r="O5296" s="3">
        <v>44153</v>
      </c>
      <c r="P5296">
        <v>-1</v>
      </c>
      <c r="T5296" t="s">
        <v>29</v>
      </c>
      <c r="U5296">
        <v>42</v>
      </c>
      <c r="V5296">
        <v>26.173100000000002</v>
      </c>
    </row>
    <row r="5297" spans="1:22" x14ac:dyDescent="0.35">
      <c r="A5297" s="3">
        <v>43833</v>
      </c>
      <c r="B5297" t="s">
        <v>52</v>
      </c>
      <c r="C5297">
        <v>17.43</v>
      </c>
      <c r="D5297">
        <v>18.100000000000001</v>
      </c>
      <c r="E5297">
        <v>17.43</v>
      </c>
      <c r="F5297">
        <v>17.77</v>
      </c>
      <c r="G5297">
        <v>17.774999999999999</v>
      </c>
      <c r="H5297">
        <v>0.3</v>
      </c>
      <c r="I5297">
        <v>5413</v>
      </c>
      <c r="J5297">
        <v>0</v>
      </c>
      <c r="K5297">
        <v>13259</v>
      </c>
      <c r="L5297">
        <v>115</v>
      </c>
      <c r="M5297">
        <v>166</v>
      </c>
      <c r="N5297" t="s">
        <v>52</v>
      </c>
      <c r="O5297" s="3">
        <v>43999</v>
      </c>
      <c r="P5297">
        <v>-1</v>
      </c>
      <c r="T5297" t="s">
        <v>28</v>
      </c>
      <c r="U5297">
        <v>61</v>
      </c>
      <c r="V5297">
        <v>26.6432</v>
      </c>
    </row>
    <row r="5298" spans="1:22" x14ac:dyDescent="0.35">
      <c r="A5298" s="3">
        <v>43833</v>
      </c>
      <c r="B5298" t="s">
        <v>49</v>
      </c>
      <c r="C5298">
        <v>18.399999999999999</v>
      </c>
      <c r="D5298">
        <v>18.559999999999999</v>
      </c>
      <c r="E5298">
        <v>18.309999999999999</v>
      </c>
      <c r="F5298">
        <v>18.37</v>
      </c>
      <c r="G5298">
        <v>18.375</v>
      </c>
      <c r="H5298">
        <v>0.15</v>
      </c>
      <c r="I5298">
        <v>63</v>
      </c>
      <c r="J5298">
        <v>0</v>
      </c>
      <c r="K5298">
        <v>550</v>
      </c>
      <c r="L5298">
        <v>179</v>
      </c>
      <c r="M5298">
        <v>257</v>
      </c>
      <c r="N5298" t="s">
        <v>49</v>
      </c>
      <c r="O5298" s="3">
        <v>44090</v>
      </c>
      <c r="P5298">
        <v>-1</v>
      </c>
      <c r="T5298" t="s">
        <v>22</v>
      </c>
      <c r="U5298">
        <v>85</v>
      </c>
      <c r="V5298">
        <v>27.036999999999999</v>
      </c>
    </row>
    <row r="5299" spans="1:22" x14ac:dyDescent="0.35">
      <c r="A5299" s="3">
        <v>43833</v>
      </c>
      <c r="B5299" t="s">
        <v>54</v>
      </c>
      <c r="C5299">
        <v>17.02</v>
      </c>
      <c r="D5299">
        <v>17.78</v>
      </c>
      <c r="E5299">
        <v>17</v>
      </c>
      <c r="F5299">
        <v>17.32</v>
      </c>
      <c r="G5299">
        <v>17.324999999999999</v>
      </c>
      <c r="H5299">
        <v>0.3</v>
      </c>
      <c r="I5299">
        <v>14285</v>
      </c>
      <c r="J5299">
        <v>0</v>
      </c>
      <c r="K5299">
        <v>31124</v>
      </c>
      <c r="L5299">
        <v>71</v>
      </c>
      <c r="M5299">
        <v>103</v>
      </c>
      <c r="N5299" t="s">
        <v>54</v>
      </c>
      <c r="O5299" s="3">
        <v>43936</v>
      </c>
      <c r="P5299">
        <v>-1</v>
      </c>
      <c r="T5299" t="s">
        <v>26</v>
      </c>
      <c r="U5299">
        <v>105</v>
      </c>
      <c r="V5299">
        <v>26.890499999999999</v>
      </c>
    </row>
    <row r="5300" spans="1:22" x14ac:dyDescent="0.35">
      <c r="A5300" s="3">
        <v>43833</v>
      </c>
      <c r="B5300" t="s">
        <v>50</v>
      </c>
      <c r="C5300">
        <v>17.850000000000001</v>
      </c>
      <c r="D5300">
        <v>18.350000000000001</v>
      </c>
      <c r="E5300">
        <v>17.850000000000001</v>
      </c>
      <c r="F5300">
        <v>18.079999999999998</v>
      </c>
      <c r="G5300">
        <v>18.074999999999999</v>
      </c>
      <c r="H5300">
        <v>0.25</v>
      </c>
      <c r="I5300">
        <v>339</v>
      </c>
      <c r="J5300">
        <v>0</v>
      </c>
      <c r="K5300">
        <v>2271</v>
      </c>
      <c r="L5300">
        <v>160</v>
      </c>
      <c r="M5300">
        <v>229</v>
      </c>
      <c r="N5300" t="s">
        <v>50</v>
      </c>
      <c r="O5300" s="3">
        <v>44062</v>
      </c>
      <c r="P5300">
        <v>-1</v>
      </c>
      <c r="T5300" t="s">
        <v>27</v>
      </c>
      <c r="U5300">
        <v>129</v>
      </c>
      <c r="V5300">
        <v>27.092500000000001</v>
      </c>
    </row>
    <row r="5301" spans="1:22" x14ac:dyDescent="0.35">
      <c r="A5301" s="3">
        <v>43833</v>
      </c>
      <c r="B5301" t="s">
        <v>55</v>
      </c>
      <c r="C5301">
        <v>16.489999999999998</v>
      </c>
      <c r="D5301">
        <v>17.41</v>
      </c>
      <c r="E5301">
        <v>16.45</v>
      </c>
      <c r="F5301">
        <v>16.87</v>
      </c>
      <c r="G5301">
        <v>16.875</v>
      </c>
      <c r="H5301">
        <v>0.35</v>
      </c>
      <c r="I5301">
        <v>34879</v>
      </c>
      <c r="J5301">
        <v>0</v>
      </c>
      <c r="K5301">
        <v>54147</v>
      </c>
      <c r="L5301">
        <v>51</v>
      </c>
      <c r="M5301">
        <v>75</v>
      </c>
      <c r="N5301" t="s">
        <v>55</v>
      </c>
      <c r="O5301" s="3">
        <v>43908</v>
      </c>
      <c r="P5301">
        <v>-1</v>
      </c>
      <c r="T5301" t="s">
        <v>25</v>
      </c>
      <c r="U5301">
        <v>149</v>
      </c>
      <c r="V5301">
        <v>27.226900000000001</v>
      </c>
    </row>
    <row r="5302" spans="1:22" x14ac:dyDescent="0.35">
      <c r="A5302" s="3">
        <v>43832</v>
      </c>
      <c r="B5302" t="s">
        <v>54</v>
      </c>
      <c r="C5302">
        <v>17.45</v>
      </c>
      <c r="D5302">
        <v>17.45</v>
      </c>
      <c r="E5302">
        <v>16.899999999999999</v>
      </c>
      <c r="F5302">
        <v>17.02</v>
      </c>
      <c r="G5302">
        <v>17.024999999999999</v>
      </c>
      <c r="H5302">
        <v>-0.4</v>
      </c>
      <c r="I5302">
        <v>11064</v>
      </c>
      <c r="J5302">
        <v>0</v>
      </c>
      <c r="K5302">
        <v>30907</v>
      </c>
      <c r="L5302">
        <v>72</v>
      </c>
      <c r="M5302">
        <v>104</v>
      </c>
      <c r="N5302" t="s">
        <v>54</v>
      </c>
      <c r="O5302" s="3">
        <v>43936</v>
      </c>
      <c r="P5302">
        <v>-1</v>
      </c>
      <c r="T5302" t="s">
        <v>20</v>
      </c>
      <c r="U5302">
        <v>169</v>
      </c>
      <c r="V5302">
        <v>26.55</v>
      </c>
    </row>
    <row r="5303" spans="1:22" x14ac:dyDescent="0.35">
      <c r="A5303" s="3">
        <v>43832</v>
      </c>
      <c r="B5303" t="s">
        <v>50</v>
      </c>
      <c r="C5303">
        <v>18.149999999999999</v>
      </c>
      <c r="D5303">
        <v>18.149999999999999</v>
      </c>
      <c r="E5303">
        <v>17.739999999999998</v>
      </c>
      <c r="F5303">
        <v>17.79</v>
      </c>
      <c r="G5303">
        <v>17.824999999999999</v>
      </c>
      <c r="H5303">
        <v>-0.35</v>
      </c>
      <c r="I5303">
        <v>412</v>
      </c>
      <c r="J5303">
        <v>0</v>
      </c>
      <c r="K5303">
        <v>2263</v>
      </c>
      <c r="L5303">
        <v>161</v>
      </c>
      <c r="M5303">
        <v>230</v>
      </c>
      <c r="N5303" t="s">
        <v>50</v>
      </c>
      <c r="O5303" s="3">
        <v>44062</v>
      </c>
      <c r="P5303">
        <v>-1</v>
      </c>
      <c r="T5303" t="s">
        <v>21</v>
      </c>
      <c r="U5303">
        <v>193</v>
      </c>
      <c r="V5303">
        <v>26.55</v>
      </c>
    </row>
    <row r="5304" spans="1:22" x14ac:dyDescent="0.35">
      <c r="A5304" s="3">
        <v>43832</v>
      </c>
      <c r="B5304" t="s">
        <v>55</v>
      </c>
      <c r="C5304">
        <v>16.95</v>
      </c>
      <c r="D5304">
        <v>17</v>
      </c>
      <c r="E5304">
        <v>16.36</v>
      </c>
      <c r="F5304">
        <v>16.5</v>
      </c>
      <c r="G5304">
        <v>16.524999999999999</v>
      </c>
      <c r="H5304">
        <v>-0.4</v>
      </c>
      <c r="I5304">
        <v>32614</v>
      </c>
      <c r="J5304">
        <v>0</v>
      </c>
      <c r="K5304">
        <v>50689</v>
      </c>
      <c r="L5304">
        <v>52</v>
      </c>
      <c r="M5304">
        <v>76</v>
      </c>
      <c r="N5304" t="s">
        <v>55</v>
      </c>
      <c r="O5304" s="3">
        <v>43908</v>
      </c>
      <c r="P5304">
        <v>-1</v>
      </c>
      <c r="S5304" s="3">
        <v>44642</v>
      </c>
      <c r="T5304" t="s">
        <v>30</v>
      </c>
      <c r="U5304">
        <v>21</v>
      </c>
      <c r="V5304">
        <v>24.998899999999999</v>
      </c>
    </row>
    <row r="5305" spans="1:22" x14ac:dyDescent="0.35">
      <c r="A5305" s="3">
        <v>43832</v>
      </c>
      <c r="B5305" t="s">
        <v>51</v>
      </c>
      <c r="C5305">
        <v>18.02</v>
      </c>
      <c r="D5305">
        <v>18.100000000000001</v>
      </c>
      <c r="E5305">
        <v>17.62</v>
      </c>
      <c r="F5305">
        <v>17.68</v>
      </c>
      <c r="G5305">
        <v>17.725000000000001</v>
      </c>
      <c r="H5305">
        <v>-0.4</v>
      </c>
      <c r="I5305">
        <v>1035</v>
      </c>
      <c r="J5305">
        <v>0</v>
      </c>
      <c r="K5305">
        <v>5930</v>
      </c>
      <c r="L5305">
        <v>141</v>
      </c>
      <c r="M5305">
        <v>202</v>
      </c>
      <c r="N5305" t="s">
        <v>51</v>
      </c>
      <c r="O5305" s="3">
        <v>44034</v>
      </c>
      <c r="P5305">
        <v>-1</v>
      </c>
      <c r="T5305" t="s">
        <v>29</v>
      </c>
      <c r="U5305">
        <v>41</v>
      </c>
      <c r="V5305">
        <v>25.718599999999999</v>
      </c>
    </row>
    <row r="5306" spans="1:22" x14ac:dyDescent="0.35">
      <c r="A5306" s="3">
        <v>43832</v>
      </c>
      <c r="B5306" t="s">
        <v>48</v>
      </c>
      <c r="C5306">
        <v>19.809999999999999</v>
      </c>
      <c r="D5306">
        <v>19.850000000000001</v>
      </c>
      <c r="E5306">
        <v>19.7</v>
      </c>
      <c r="F5306">
        <v>19.8</v>
      </c>
      <c r="G5306">
        <v>19.850000000000001</v>
      </c>
      <c r="H5306">
        <v>0.1</v>
      </c>
      <c r="I5306">
        <v>242</v>
      </c>
      <c r="J5306">
        <v>0</v>
      </c>
      <c r="K5306">
        <v>1140</v>
      </c>
      <c r="L5306">
        <v>205</v>
      </c>
      <c r="M5306">
        <v>293</v>
      </c>
      <c r="N5306" t="s">
        <v>48</v>
      </c>
      <c r="O5306" s="3">
        <v>44125</v>
      </c>
      <c r="P5306">
        <v>-1</v>
      </c>
      <c r="T5306" t="s">
        <v>28</v>
      </c>
      <c r="U5306">
        <v>60</v>
      </c>
      <c r="V5306">
        <v>26.166699999999999</v>
      </c>
    </row>
    <row r="5307" spans="1:22" x14ac:dyDescent="0.35">
      <c r="A5307" s="3">
        <v>43832</v>
      </c>
      <c r="B5307" t="s">
        <v>53</v>
      </c>
      <c r="C5307">
        <v>17.55</v>
      </c>
      <c r="D5307">
        <v>17.600000000000001</v>
      </c>
      <c r="E5307">
        <v>17.05</v>
      </c>
      <c r="F5307">
        <v>17.149999999999999</v>
      </c>
      <c r="G5307">
        <v>17.175000000000001</v>
      </c>
      <c r="H5307">
        <v>-0.4</v>
      </c>
      <c r="I5307">
        <v>9126</v>
      </c>
      <c r="J5307">
        <v>0</v>
      </c>
      <c r="K5307">
        <v>23437</v>
      </c>
      <c r="L5307">
        <v>97</v>
      </c>
      <c r="M5307">
        <v>139</v>
      </c>
      <c r="N5307" t="s">
        <v>53</v>
      </c>
      <c r="O5307" s="3">
        <v>43971</v>
      </c>
      <c r="P5307">
        <v>-1</v>
      </c>
      <c r="T5307" t="s">
        <v>22</v>
      </c>
      <c r="U5307">
        <v>84</v>
      </c>
      <c r="V5307">
        <v>26.636399999999998</v>
      </c>
    </row>
    <row r="5308" spans="1:22" x14ac:dyDescent="0.35">
      <c r="A5308" s="3">
        <v>43832</v>
      </c>
      <c r="B5308" t="s">
        <v>47</v>
      </c>
      <c r="C5308">
        <v>18.96</v>
      </c>
      <c r="D5308">
        <v>18.96</v>
      </c>
      <c r="E5308">
        <v>18.649999999999999</v>
      </c>
      <c r="F5308">
        <v>18.649999999999999</v>
      </c>
      <c r="G5308">
        <v>18.675000000000001</v>
      </c>
      <c r="H5308">
        <v>-0.125</v>
      </c>
      <c r="I5308">
        <v>82</v>
      </c>
      <c r="J5308">
        <v>0</v>
      </c>
      <c r="K5308">
        <v>745</v>
      </c>
      <c r="L5308">
        <v>225</v>
      </c>
      <c r="M5308">
        <v>321</v>
      </c>
      <c r="N5308" t="s">
        <v>47</v>
      </c>
      <c r="O5308" s="3">
        <v>44153</v>
      </c>
      <c r="P5308">
        <v>-1</v>
      </c>
      <c r="T5308" t="s">
        <v>26</v>
      </c>
      <c r="U5308">
        <v>104</v>
      </c>
      <c r="V5308">
        <v>26.503</v>
      </c>
    </row>
    <row r="5309" spans="1:22" x14ac:dyDescent="0.35">
      <c r="A5309" s="3">
        <v>43832</v>
      </c>
      <c r="B5309" t="s">
        <v>52</v>
      </c>
      <c r="C5309">
        <v>17.809999999999999</v>
      </c>
      <c r="D5309">
        <v>17.899999999999999</v>
      </c>
      <c r="E5309">
        <v>17.36</v>
      </c>
      <c r="F5309">
        <v>17.43</v>
      </c>
      <c r="G5309">
        <v>17.475000000000001</v>
      </c>
      <c r="H5309">
        <v>-0.4</v>
      </c>
      <c r="I5309">
        <v>4012</v>
      </c>
      <c r="J5309">
        <v>0</v>
      </c>
      <c r="K5309">
        <v>11670</v>
      </c>
      <c r="L5309">
        <v>116</v>
      </c>
      <c r="M5309">
        <v>167</v>
      </c>
      <c r="N5309" t="s">
        <v>52</v>
      </c>
      <c r="O5309" s="3">
        <v>43999</v>
      </c>
      <c r="P5309">
        <v>-1</v>
      </c>
      <c r="T5309" t="s">
        <v>27</v>
      </c>
      <c r="U5309">
        <v>128</v>
      </c>
      <c r="V5309">
        <v>26.7425</v>
      </c>
    </row>
    <row r="5310" spans="1:22" x14ac:dyDescent="0.35">
      <c r="A5310" s="3">
        <v>43832</v>
      </c>
      <c r="B5310" t="s">
        <v>49</v>
      </c>
      <c r="C5310">
        <v>18.37</v>
      </c>
      <c r="D5310">
        <v>18.440000000000001</v>
      </c>
      <c r="E5310">
        <v>18.170000000000002</v>
      </c>
      <c r="F5310">
        <v>18.2</v>
      </c>
      <c r="G5310">
        <v>18.225000000000001</v>
      </c>
      <c r="H5310">
        <v>-0.27500000000000002</v>
      </c>
      <c r="I5310">
        <v>155</v>
      </c>
      <c r="J5310">
        <v>0</v>
      </c>
      <c r="K5310">
        <v>524</v>
      </c>
      <c r="L5310">
        <v>180</v>
      </c>
      <c r="M5310">
        <v>258</v>
      </c>
      <c r="N5310" t="s">
        <v>49</v>
      </c>
      <c r="O5310" s="3">
        <v>44090</v>
      </c>
      <c r="P5310">
        <v>-1</v>
      </c>
      <c r="T5310" t="s">
        <v>25</v>
      </c>
      <c r="U5310">
        <v>148</v>
      </c>
      <c r="V5310">
        <v>26.883299999999998</v>
      </c>
    </row>
    <row r="5311" spans="1:22" x14ac:dyDescent="0.35">
      <c r="A5311" s="3">
        <v>43830</v>
      </c>
      <c r="B5311" t="s">
        <v>51</v>
      </c>
      <c r="C5311">
        <v>18.47</v>
      </c>
      <c r="D5311">
        <v>18.55</v>
      </c>
      <c r="E5311">
        <v>18.100000000000001</v>
      </c>
      <c r="F5311">
        <v>18.100000000000001</v>
      </c>
      <c r="G5311">
        <v>18.125</v>
      </c>
      <c r="H5311">
        <v>-0.35</v>
      </c>
      <c r="I5311">
        <v>594</v>
      </c>
      <c r="J5311">
        <v>0</v>
      </c>
      <c r="K5311">
        <v>5826</v>
      </c>
      <c r="L5311">
        <v>142</v>
      </c>
      <c r="M5311">
        <v>204</v>
      </c>
      <c r="N5311" t="s">
        <v>51</v>
      </c>
      <c r="O5311" s="3">
        <v>44034</v>
      </c>
      <c r="P5311">
        <v>-1</v>
      </c>
      <c r="T5311" t="s">
        <v>20</v>
      </c>
      <c r="U5311">
        <v>168</v>
      </c>
      <c r="V5311">
        <v>26.274999999999999</v>
      </c>
    </row>
    <row r="5312" spans="1:22" x14ac:dyDescent="0.35">
      <c r="A5312" s="3">
        <v>43830</v>
      </c>
      <c r="B5312" t="s">
        <v>48</v>
      </c>
      <c r="C5312">
        <v>19.850000000000001</v>
      </c>
      <c r="D5312">
        <v>20</v>
      </c>
      <c r="E5312">
        <v>19.75</v>
      </c>
      <c r="F5312">
        <v>19.760000000000002</v>
      </c>
      <c r="G5312">
        <v>19.75</v>
      </c>
      <c r="H5312">
        <v>-0.125</v>
      </c>
      <c r="I5312">
        <v>84</v>
      </c>
      <c r="J5312">
        <v>0</v>
      </c>
      <c r="K5312">
        <v>995</v>
      </c>
      <c r="L5312">
        <v>206</v>
      </c>
      <c r="M5312">
        <v>295</v>
      </c>
      <c r="N5312" t="s">
        <v>48</v>
      </c>
      <c r="O5312" s="3">
        <v>44125</v>
      </c>
      <c r="P5312">
        <v>-1</v>
      </c>
      <c r="T5312" t="s">
        <v>21</v>
      </c>
      <c r="U5312">
        <v>192</v>
      </c>
      <c r="V5312">
        <v>25.725000000000001</v>
      </c>
    </row>
    <row r="5313" spans="1:22" x14ac:dyDescent="0.35">
      <c r="A5313" s="3">
        <v>43830</v>
      </c>
      <c r="B5313" t="s">
        <v>53</v>
      </c>
      <c r="C5313">
        <v>18.02</v>
      </c>
      <c r="D5313">
        <v>18.100000000000001</v>
      </c>
      <c r="E5313">
        <v>17.559999999999999</v>
      </c>
      <c r="F5313">
        <v>17.57</v>
      </c>
      <c r="G5313">
        <v>17.574999999999999</v>
      </c>
      <c r="H5313">
        <v>-0.45</v>
      </c>
      <c r="I5313">
        <v>3060</v>
      </c>
      <c r="J5313">
        <v>0</v>
      </c>
      <c r="K5313">
        <v>21107</v>
      </c>
      <c r="L5313">
        <v>98</v>
      </c>
      <c r="M5313">
        <v>141</v>
      </c>
      <c r="N5313" t="s">
        <v>53</v>
      </c>
      <c r="O5313" s="3">
        <v>43971</v>
      </c>
      <c r="P5313">
        <v>-1</v>
      </c>
      <c r="S5313" s="3">
        <v>44643</v>
      </c>
      <c r="T5313" t="s">
        <v>30</v>
      </c>
      <c r="U5313">
        <v>20</v>
      </c>
      <c r="V5313">
        <v>24.892499999999998</v>
      </c>
    </row>
    <row r="5314" spans="1:22" x14ac:dyDescent="0.35">
      <c r="A5314" s="3">
        <v>43830</v>
      </c>
      <c r="B5314" t="s">
        <v>47</v>
      </c>
      <c r="C5314">
        <v>18.89</v>
      </c>
      <c r="D5314">
        <v>19.100000000000001</v>
      </c>
      <c r="E5314">
        <v>18.8</v>
      </c>
      <c r="F5314">
        <v>18.8</v>
      </c>
      <c r="G5314">
        <v>18.8</v>
      </c>
      <c r="H5314">
        <v>-0.15</v>
      </c>
      <c r="I5314">
        <v>131</v>
      </c>
      <c r="J5314">
        <v>0</v>
      </c>
      <c r="K5314">
        <v>682</v>
      </c>
      <c r="L5314">
        <v>226</v>
      </c>
      <c r="M5314">
        <v>323</v>
      </c>
      <c r="N5314" t="s">
        <v>47</v>
      </c>
      <c r="O5314" s="3">
        <v>44153</v>
      </c>
      <c r="P5314">
        <v>-1</v>
      </c>
      <c r="T5314" t="s">
        <v>29</v>
      </c>
      <c r="U5314">
        <v>40</v>
      </c>
      <c r="V5314">
        <v>25.7515</v>
      </c>
    </row>
    <row r="5315" spans="1:22" x14ac:dyDescent="0.35">
      <c r="A5315" s="3">
        <v>43830</v>
      </c>
      <c r="B5315" t="s">
        <v>52</v>
      </c>
      <c r="C5315">
        <v>18.3</v>
      </c>
      <c r="D5315">
        <v>18.37</v>
      </c>
      <c r="E5315">
        <v>17.86</v>
      </c>
      <c r="F5315">
        <v>17.89</v>
      </c>
      <c r="G5315">
        <v>17.875</v>
      </c>
      <c r="H5315">
        <v>-0.45</v>
      </c>
      <c r="I5315">
        <v>2343</v>
      </c>
      <c r="J5315">
        <v>0</v>
      </c>
      <c r="K5315">
        <v>11325</v>
      </c>
      <c r="L5315">
        <v>117</v>
      </c>
      <c r="M5315">
        <v>169</v>
      </c>
      <c r="N5315" t="s">
        <v>52</v>
      </c>
      <c r="O5315" s="3">
        <v>43999</v>
      </c>
      <c r="P5315">
        <v>-1</v>
      </c>
      <c r="T5315" t="s">
        <v>28</v>
      </c>
      <c r="U5315">
        <v>59</v>
      </c>
      <c r="V5315">
        <v>26.153300000000002</v>
      </c>
    </row>
    <row r="5316" spans="1:22" x14ac:dyDescent="0.35">
      <c r="A5316" s="3">
        <v>43830</v>
      </c>
      <c r="B5316" t="s">
        <v>49</v>
      </c>
      <c r="C5316">
        <v>18.61</v>
      </c>
      <c r="D5316">
        <v>18.8</v>
      </c>
      <c r="E5316">
        <v>18.48</v>
      </c>
      <c r="F5316">
        <v>18.489999999999998</v>
      </c>
      <c r="G5316">
        <v>18.5</v>
      </c>
      <c r="H5316">
        <v>-0.15</v>
      </c>
      <c r="I5316">
        <v>117</v>
      </c>
      <c r="J5316">
        <v>0</v>
      </c>
      <c r="K5316">
        <v>467</v>
      </c>
      <c r="L5316">
        <v>181</v>
      </c>
      <c r="M5316">
        <v>260</v>
      </c>
      <c r="N5316" t="s">
        <v>49</v>
      </c>
      <c r="O5316" s="3">
        <v>44090</v>
      </c>
      <c r="P5316">
        <v>-1</v>
      </c>
      <c r="T5316" t="s">
        <v>22</v>
      </c>
      <c r="U5316">
        <v>83</v>
      </c>
      <c r="V5316">
        <v>26.624500000000001</v>
      </c>
    </row>
    <row r="5317" spans="1:22" x14ac:dyDescent="0.35">
      <c r="A5317" s="3">
        <v>43830</v>
      </c>
      <c r="B5317" t="s">
        <v>54</v>
      </c>
      <c r="C5317">
        <v>17.87</v>
      </c>
      <c r="D5317">
        <v>17.97</v>
      </c>
      <c r="E5317">
        <v>17.399999999999999</v>
      </c>
      <c r="F5317">
        <v>17.43</v>
      </c>
      <c r="G5317">
        <v>17.425000000000001</v>
      </c>
      <c r="H5317">
        <v>-0.47499999999999998</v>
      </c>
      <c r="I5317">
        <v>7028</v>
      </c>
      <c r="J5317">
        <v>0</v>
      </c>
      <c r="K5317">
        <v>28088</v>
      </c>
      <c r="L5317">
        <v>73</v>
      </c>
      <c r="M5317">
        <v>106</v>
      </c>
      <c r="N5317" t="s">
        <v>54</v>
      </c>
      <c r="O5317" s="3">
        <v>43936</v>
      </c>
      <c r="P5317">
        <v>-1</v>
      </c>
      <c r="T5317" t="s">
        <v>26</v>
      </c>
      <c r="U5317">
        <v>103</v>
      </c>
      <c r="V5317">
        <v>26.553599999999999</v>
      </c>
    </row>
    <row r="5318" spans="1:22" x14ac:dyDescent="0.35">
      <c r="A5318" s="3">
        <v>43830</v>
      </c>
      <c r="B5318" t="s">
        <v>50</v>
      </c>
      <c r="C5318">
        <v>18.5</v>
      </c>
      <c r="D5318">
        <v>18.61</v>
      </c>
      <c r="E5318">
        <v>18.18</v>
      </c>
      <c r="F5318">
        <v>18.18</v>
      </c>
      <c r="G5318">
        <v>18.175000000000001</v>
      </c>
      <c r="H5318">
        <v>-0.35</v>
      </c>
      <c r="I5318">
        <v>200</v>
      </c>
      <c r="J5318">
        <v>0</v>
      </c>
      <c r="K5318">
        <v>2326</v>
      </c>
      <c r="L5318">
        <v>162</v>
      </c>
      <c r="M5318">
        <v>232</v>
      </c>
      <c r="N5318" t="s">
        <v>50</v>
      </c>
      <c r="O5318" s="3">
        <v>44062</v>
      </c>
      <c r="P5318">
        <v>-1</v>
      </c>
      <c r="T5318" t="s">
        <v>27</v>
      </c>
      <c r="U5318">
        <v>127</v>
      </c>
      <c r="V5318">
        <v>26.75</v>
      </c>
    </row>
    <row r="5319" spans="1:22" x14ac:dyDescent="0.35">
      <c r="A5319" s="3">
        <v>43830</v>
      </c>
      <c r="B5319" t="s">
        <v>55</v>
      </c>
      <c r="C5319">
        <v>17.45</v>
      </c>
      <c r="D5319">
        <v>17.62</v>
      </c>
      <c r="E5319">
        <v>16.899999999999999</v>
      </c>
      <c r="F5319">
        <v>16.91</v>
      </c>
      <c r="G5319">
        <v>16.925000000000001</v>
      </c>
      <c r="H5319">
        <v>-0.6</v>
      </c>
      <c r="I5319">
        <v>14096</v>
      </c>
      <c r="J5319">
        <v>0</v>
      </c>
      <c r="K5319">
        <v>47402</v>
      </c>
      <c r="L5319">
        <v>53</v>
      </c>
      <c r="M5319">
        <v>78</v>
      </c>
      <c r="N5319" t="s">
        <v>55</v>
      </c>
      <c r="O5319" s="3">
        <v>43908</v>
      </c>
      <c r="P5319">
        <v>-1</v>
      </c>
      <c r="T5319" t="s">
        <v>25</v>
      </c>
      <c r="U5319">
        <v>147</v>
      </c>
      <c r="V5319">
        <v>26.9</v>
      </c>
    </row>
    <row r="5320" spans="1:22" x14ac:dyDescent="0.35">
      <c r="A5320" s="3">
        <v>43829</v>
      </c>
      <c r="B5320" t="s">
        <v>54</v>
      </c>
      <c r="C5320">
        <v>17.55</v>
      </c>
      <c r="D5320">
        <v>17.95</v>
      </c>
      <c r="E5320">
        <v>17.489999999999998</v>
      </c>
      <c r="F5320">
        <v>17.850000000000001</v>
      </c>
      <c r="G5320">
        <v>17.899999999999999</v>
      </c>
      <c r="H5320">
        <v>0.27500000000000002</v>
      </c>
      <c r="I5320">
        <v>6493</v>
      </c>
      <c r="J5320">
        <v>0</v>
      </c>
      <c r="K5320">
        <v>28058</v>
      </c>
      <c r="L5320">
        <v>74</v>
      </c>
      <c r="M5320">
        <v>107</v>
      </c>
      <c r="N5320" t="s">
        <v>54</v>
      </c>
      <c r="O5320" s="3">
        <v>43936</v>
      </c>
      <c r="P5320">
        <v>-1</v>
      </c>
      <c r="T5320" t="s">
        <v>20</v>
      </c>
      <c r="U5320">
        <v>167</v>
      </c>
      <c r="V5320">
        <v>26.324999999999999</v>
      </c>
    </row>
    <row r="5321" spans="1:22" x14ac:dyDescent="0.35">
      <c r="A5321" s="3">
        <v>43829</v>
      </c>
      <c r="B5321" t="s">
        <v>50</v>
      </c>
      <c r="C5321">
        <v>18.27</v>
      </c>
      <c r="D5321">
        <v>18.55</v>
      </c>
      <c r="E5321">
        <v>18.22</v>
      </c>
      <c r="F5321">
        <v>18.52</v>
      </c>
      <c r="G5321">
        <v>18.524999999999999</v>
      </c>
      <c r="H5321">
        <v>0.25</v>
      </c>
      <c r="I5321">
        <v>417</v>
      </c>
      <c r="J5321">
        <v>0</v>
      </c>
      <c r="K5321">
        <v>2322</v>
      </c>
      <c r="L5321">
        <v>163</v>
      </c>
      <c r="M5321">
        <v>233</v>
      </c>
      <c r="N5321" t="s">
        <v>50</v>
      </c>
      <c r="O5321" s="3">
        <v>44062</v>
      </c>
      <c r="P5321">
        <v>-1</v>
      </c>
      <c r="T5321" t="s">
        <v>21</v>
      </c>
      <c r="U5321">
        <v>191</v>
      </c>
      <c r="V5321">
        <v>25.774999999999999</v>
      </c>
    </row>
    <row r="5322" spans="1:22" x14ac:dyDescent="0.35">
      <c r="A5322" s="3">
        <v>43829</v>
      </c>
      <c r="B5322" t="s">
        <v>55</v>
      </c>
      <c r="C5322">
        <v>17.100000000000001</v>
      </c>
      <c r="D5322">
        <v>17.55</v>
      </c>
      <c r="E5322">
        <v>17</v>
      </c>
      <c r="F5322">
        <v>17.45</v>
      </c>
      <c r="G5322">
        <v>17.524999999999999</v>
      </c>
      <c r="H5322">
        <v>0.35</v>
      </c>
      <c r="I5322">
        <v>12943</v>
      </c>
      <c r="J5322">
        <v>0</v>
      </c>
      <c r="K5322">
        <v>47327</v>
      </c>
      <c r="L5322">
        <v>54</v>
      </c>
      <c r="M5322">
        <v>79</v>
      </c>
      <c r="N5322" t="s">
        <v>55</v>
      </c>
      <c r="O5322" s="3">
        <v>43908</v>
      </c>
      <c r="P5322">
        <v>-1</v>
      </c>
      <c r="S5322" s="3">
        <v>44644</v>
      </c>
      <c r="T5322" t="s">
        <v>30</v>
      </c>
      <c r="U5322">
        <v>19</v>
      </c>
      <c r="V5322">
        <v>24.2654</v>
      </c>
    </row>
    <row r="5323" spans="1:22" x14ac:dyDescent="0.35">
      <c r="A5323" s="3">
        <v>43829</v>
      </c>
      <c r="B5323" t="s">
        <v>51</v>
      </c>
      <c r="C5323">
        <v>18.16</v>
      </c>
      <c r="D5323">
        <v>18.52</v>
      </c>
      <c r="E5323">
        <v>18.149999999999999</v>
      </c>
      <c r="F5323">
        <v>18.46</v>
      </c>
      <c r="G5323">
        <v>18.475000000000001</v>
      </c>
      <c r="H5323">
        <v>0.25</v>
      </c>
      <c r="I5323">
        <v>1031</v>
      </c>
      <c r="J5323">
        <v>0</v>
      </c>
      <c r="K5323">
        <v>5868</v>
      </c>
      <c r="L5323">
        <v>143</v>
      </c>
      <c r="M5323">
        <v>205</v>
      </c>
      <c r="N5323" t="s">
        <v>51</v>
      </c>
      <c r="O5323" s="3">
        <v>44034</v>
      </c>
      <c r="P5323">
        <v>-1</v>
      </c>
      <c r="T5323" t="s">
        <v>29</v>
      </c>
      <c r="U5323">
        <v>39</v>
      </c>
      <c r="V5323">
        <v>25.451799999999999</v>
      </c>
    </row>
    <row r="5324" spans="1:22" x14ac:dyDescent="0.35">
      <c r="A5324" s="3">
        <v>43829</v>
      </c>
      <c r="B5324" t="s">
        <v>48</v>
      </c>
      <c r="C5324">
        <v>19.68</v>
      </c>
      <c r="D5324">
        <v>19.95</v>
      </c>
      <c r="E5324">
        <v>19.579999999999998</v>
      </c>
      <c r="F5324">
        <v>19.95</v>
      </c>
      <c r="G5324">
        <v>19.875</v>
      </c>
      <c r="H5324">
        <v>-0.05</v>
      </c>
      <c r="I5324">
        <v>202</v>
      </c>
      <c r="J5324">
        <v>0</v>
      </c>
      <c r="K5324">
        <v>949</v>
      </c>
      <c r="L5324">
        <v>207</v>
      </c>
      <c r="M5324">
        <v>296</v>
      </c>
      <c r="N5324" t="s">
        <v>48</v>
      </c>
      <c r="O5324" s="3">
        <v>44125</v>
      </c>
      <c r="P5324">
        <v>-1</v>
      </c>
      <c r="T5324" t="s">
        <v>28</v>
      </c>
      <c r="U5324">
        <v>58</v>
      </c>
      <c r="V5324">
        <v>25.991900000000001</v>
      </c>
    </row>
    <row r="5325" spans="1:22" x14ac:dyDescent="0.35">
      <c r="A5325" s="3">
        <v>43829</v>
      </c>
      <c r="B5325" t="s">
        <v>53</v>
      </c>
      <c r="C5325">
        <v>17.75</v>
      </c>
      <c r="D5325">
        <v>18.07</v>
      </c>
      <c r="E5325">
        <v>17.649999999999999</v>
      </c>
      <c r="F5325">
        <v>18</v>
      </c>
      <c r="G5325">
        <v>18.024999999999999</v>
      </c>
      <c r="H5325">
        <v>0.25</v>
      </c>
      <c r="I5325">
        <v>3692</v>
      </c>
      <c r="J5325">
        <v>0</v>
      </c>
      <c r="K5325">
        <v>21094</v>
      </c>
      <c r="L5325">
        <v>99</v>
      </c>
      <c r="M5325">
        <v>142</v>
      </c>
      <c r="N5325" t="s">
        <v>53</v>
      </c>
      <c r="O5325" s="3">
        <v>43971</v>
      </c>
      <c r="P5325">
        <v>-1</v>
      </c>
      <c r="T5325" t="s">
        <v>22</v>
      </c>
      <c r="U5325">
        <v>82</v>
      </c>
      <c r="V5325">
        <v>26.449300000000001</v>
      </c>
    </row>
    <row r="5326" spans="1:22" x14ac:dyDescent="0.35">
      <c r="A5326" s="3">
        <v>43829</v>
      </c>
      <c r="B5326" t="s">
        <v>47</v>
      </c>
      <c r="C5326">
        <v>18.8</v>
      </c>
      <c r="D5326">
        <v>19</v>
      </c>
      <c r="E5326">
        <v>18.71</v>
      </c>
      <c r="F5326">
        <v>18.95</v>
      </c>
      <c r="G5326">
        <v>18.95</v>
      </c>
      <c r="H5326">
        <v>0.2</v>
      </c>
      <c r="I5326">
        <v>254</v>
      </c>
      <c r="J5326">
        <v>0</v>
      </c>
      <c r="K5326">
        <v>638</v>
      </c>
      <c r="L5326">
        <v>227</v>
      </c>
      <c r="M5326">
        <v>324</v>
      </c>
      <c r="N5326" t="s">
        <v>47</v>
      </c>
      <c r="O5326" s="3">
        <v>44153</v>
      </c>
      <c r="P5326">
        <v>-1</v>
      </c>
      <c r="T5326" t="s">
        <v>26</v>
      </c>
      <c r="U5326">
        <v>102</v>
      </c>
      <c r="V5326">
        <v>26.4404</v>
      </c>
    </row>
    <row r="5327" spans="1:22" x14ac:dyDescent="0.35">
      <c r="A5327" s="3">
        <v>43829</v>
      </c>
      <c r="B5327" t="s">
        <v>52</v>
      </c>
      <c r="C5327">
        <v>17.97</v>
      </c>
      <c r="D5327">
        <v>18.329999999999998</v>
      </c>
      <c r="E5327">
        <v>17.899999999999999</v>
      </c>
      <c r="F5327">
        <v>18.3</v>
      </c>
      <c r="G5327">
        <v>18.324999999999999</v>
      </c>
      <c r="H5327">
        <v>0.3</v>
      </c>
      <c r="I5327">
        <v>1627</v>
      </c>
      <c r="J5327">
        <v>0</v>
      </c>
      <c r="K5327">
        <v>10981</v>
      </c>
      <c r="L5327">
        <v>118</v>
      </c>
      <c r="M5327">
        <v>170</v>
      </c>
      <c r="N5327" t="s">
        <v>52</v>
      </c>
      <c r="O5327" s="3">
        <v>43999</v>
      </c>
      <c r="P5327">
        <v>-1</v>
      </c>
      <c r="T5327" t="s">
        <v>27</v>
      </c>
      <c r="U5327">
        <v>126</v>
      </c>
      <c r="V5327">
        <v>26.688500000000001</v>
      </c>
    </row>
    <row r="5328" spans="1:22" x14ac:dyDescent="0.35">
      <c r="A5328" s="3">
        <v>43829</v>
      </c>
      <c r="B5328" t="s">
        <v>49</v>
      </c>
      <c r="C5328">
        <v>18.5</v>
      </c>
      <c r="D5328">
        <v>18.75</v>
      </c>
      <c r="E5328">
        <v>18.41</v>
      </c>
      <c r="F5328">
        <v>18.72</v>
      </c>
      <c r="G5328">
        <v>18.649999999999999</v>
      </c>
      <c r="H5328">
        <v>0.1</v>
      </c>
      <c r="I5328">
        <v>286</v>
      </c>
      <c r="J5328">
        <v>0</v>
      </c>
      <c r="K5328">
        <v>422</v>
      </c>
      <c r="L5328">
        <v>182</v>
      </c>
      <c r="M5328">
        <v>261</v>
      </c>
      <c r="N5328" t="s">
        <v>49</v>
      </c>
      <c r="O5328" s="3">
        <v>44090</v>
      </c>
      <c r="P5328">
        <v>-1</v>
      </c>
      <c r="T5328" t="s">
        <v>25</v>
      </c>
      <c r="U5328">
        <v>146</v>
      </c>
      <c r="V5328">
        <v>26.895</v>
      </c>
    </row>
    <row r="5329" spans="1:22" x14ac:dyDescent="0.35">
      <c r="A5329" s="3">
        <v>43826</v>
      </c>
      <c r="B5329" t="s">
        <v>51</v>
      </c>
      <c r="C5329">
        <v>18</v>
      </c>
      <c r="D5329">
        <v>18.3</v>
      </c>
      <c r="E5329">
        <v>17.97</v>
      </c>
      <c r="F5329">
        <v>18.2</v>
      </c>
      <c r="G5329">
        <v>18.225000000000001</v>
      </c>
      <c r="H5329">
        <v>0.25</v>
      </c>
      <c r="I5329">
        <v>1485</v>
      </c>
      <c r="J5329">
        <v>0</v>
      </c>
      <c r="K5329">
        <v>5610</v>
      </c>
      <c r="L5329">
        <v>144</v>
      </c>
      <c r="M5329">
        <v>208</v>
      </c>
      <c r="N5329" t="s">
        <v>51</v>
      </c>
      <c r="O5329" s="3">
        <v>44034</v>
      </c>
      <c r="P5329">
        <v>-1</v>
      </c>
      <c r="T5329" t="s">
        <v>20</v>
      </c>
      <c r="U5329">
        <v>166</v>
      </c>
      <c r="V5329">
        <v>26.324999999999999</v>
      </c>
    </row>
    <row r="5330" spans="1:22" x14ac:dyDescent="0.35">
      <c r="A5330" s="3">
        <v>43826</v>
      </c>
      <c r="B5330" t="s">
        <v>48</v>
      </c>
      <c r="C5330">
        <v>19.52</v>
      </c>
      <c r="D5330">
        <v>19.649999999999999</v>
      </c>
      <c r="E5330">
        <v>19.45</v>
      </c>
      <c r="F5330">
        <v>19.649999999999999</v>
      </c>
      <c r="G5330">
        <v>19.925000000000001</v>
      </c>
      <c r="H5330">
        <v>0.35</v>
      </c>
      <c r="I5330">
        <v>40</v>
      </c>
      <c r="J5330">
        <v>0</v>
      </c>
      <c r="K5330">
        <v>839</v>
      </c>
      <c r="L5330">
        <v>208</v>
      </c>
      <c r="M5330">
        <v>299</v>
      </c>
      <c r="N5330" t="s">
        <v>48</v>
      </c>
      <c r="O5330" s="3">
        <v>44125</v>
      </c>
      <c r="P5330">
        <v>-1</v>
      </c>
      <c r="T5330" t="s">
        <v>21</v>
      </c>
      <c r="U5330">
        <v>190</v>
      </c>
      <c r="V5330">
        <v>25.75</v>
      </c>
    </row>
    <row r="5331" spans="1:22" x14ac:dyDescent="0.35">
      <c r="A5331" s="3">
        <v>43826</v>
      </c>
      <c r="B5331" t="s">
        <v>53</v>
      </c>
      <c r="C5331">
        <v>17.45</v>
      </c>
      <c r="D5331">
        <v>17.850000000000001</v>
      </c>
      <c r="E5331">
        <v>17.350000000000001</v>
      </c>
      <c r="F5331">
        <v>17.75</v>
      </c>
      <c r="G5331">
        <v>17.774999999999999</v>
      </c>
      <c r="H5331">
        <v>0.4</v>
      </c>
      <c r="I5331">
        <v>6182</v>
      </c>
      <c r="J5331">
        <v>0</v>
      </c>
      <c r="K5331">
        <v>21143</v>
      </c>
      <c r="L5331">
        <v>100</v>
      </c>
      <c r="M5331">
        <v>145</v>
      </c>
      <c r="N5331" t="s">
        <v>53</v>
      </c>
      <c r="O5331" s="3">
        <v>43971</v>
      </c>
      <c r="P5331">
        <v>-1</v>
      </c>
      <c r="S5331" s="3">
        <v>44645</v>
      </c>
      <c r="T5331" t="s">
        <v>30</v>
      </c>
      <c r="U5331">
        <v>18</v>
      </c>
      <c r="V5331">
        <v>23.455200000000001</v>
      </c>
    </row>
    <row r="5332" spans="1:22" x14ac:dyDescent="0.35">
      <c r="A5332" s="3">
        <v>43826</v>
      </c>
      <c r="B5332" t="s">
        <v>47</v>
      </c>
      <c r="C5332">
        <v>18.760000000000002</v>
      </c>
      <c r="D5332">
        <v>18.850000000000001</v>
      </c>
      <c r="E5332">
        <v>18.7</v>
      </c>
      <c r="F5332">
        <v>18.850000000000001</v>
      </c>
      <c r="G5332">
        <v>18.75</v>
      </c>
      <c r="H5332">
        <v>0.05</v>
      </c>
      <c r="I5332">
        <v>37</v>
      </c>
      <c r="J5332">
        <v>0</v>
      </c>
      <c r="K5332">
        <v>488</v>
      </c>
      <c r="L5332">
        <v>228</v>
      </c>
      <c r="M5332">
        <v>327</v>
      </c>
      <c r="N5332" t="s">
        <v>47</v>
      </c>
      <c r="O5332" s="3">
        <v>44153</v>
      </c>
      <c r="P5332">
        <v>-1</v>
      </c>
      <c r="T5332" t="s">
        <v>29</v>
      </c>
      <c r="U5332">
        <v>38</v>
      </c>
      <c r="V5332">
        <v>24.856400000000001</v>
      </c>
    </row>
    <row r="5333" spans="1:22" x14ac:dyDescent="0.35">
      <c r="A5333" s="3">
        <v>43826</v>
      </c>
      <c r="B5333" t="s">
        <v>52</v>
      </c>
      <c r="C5333">
        <v>17.75</v>
      </c>
      <c r="D5333">
        <v>18.100000000000001</v>
      </c>
      <c r="E5333">
        <v>17.66</v>
      </c>
      <c r="F5333">
        <v>18</v>
      </c>
      <c r="G5333">
        <v>18.024999999999999</v>
      </c>
      <c r="H5333">
        <v>0.35</v>
      </c>
      <c r="I5333">
        <v>4627</v>
      </c>
      <c r="J5333">
        <v>0</v>
      </c>
      <c r="K5333">
        <v>10547</v>
      </c>
      <c r="L5333">
        <v>119</v>
      </c>
      <c r="M5333">
        <v>173</v>
      </c>
      <c r="N5333" t="s">
        <v>52</v>
      </c>
      <c r="O5333" s="3">
        <v>43999</v>
      </c>
      <c r="P5333">
        <v>-1</v>
      </c>
      <c r="T5333" t="s">
        <v>28</v>
      </c>
      <c r="U5333">
        <v>57</v>
      </c>
      <c r="V5333">
        <v>25.4985</v>
      </c>
    </row>
    <row r="5334" spans="1:22" x14ac:dyDescent="0.35">
      <c r="A5334" s="3">
        <v>43826</v>
      </c>
      <c r="B5334" t="s">
        <v>49</v>
      </c>
      <c r="C5334">
        <v>18.39</v>
      </c>
      <c r="D5334">
        <v>18.600000000000001</v>
      </c>
      <c r="E5334">
        <v>18.39</v>
      </c>
      <c r="F5334">
        <v>18.600000000000001</v>
      </c>
      <c r="G5334">
        <v>18.55</v>
      </c>
      <c r="H5334">
        <v>0.15</v>
      </c>
      <c r="I5334">
        <v>65</v>
      </c>
      <c r="J5334">
        <v>0</v>
      </c>
      <c r="K5334">
        <v>301</v>
      </c>
      <c r="L5334">
        <v>183</v>
      </c>
      <c r="M5334">
        <v>264</v>
      </c>
      <c r="N5334" t="s">
        <v>49</v>
      </c>
      <c r="O5334" s="3">
        <v>44090</v>
      </c>
      <c r="P5334">
        <v>-1</v>
      </c>
      <c r="T5334" t="s">
        <v>22</v>
      </c>
      <c r="U5334">
        <v>81</v>
      </c>
      <c r="V5334">
        <v>26.0502</v>
      </c>
    </row>
    <row r="5335" spans="1:22" x14ac:dyDescent="0.35">
      <c r="A5335" s="3">
        <v>43826</v>
      </c>
      <c r="B5335" t="s">
        <v>54</v>
      </c>
      <c r="C5335">
        <v>17.329999999999998</v>
      </c>
      <c r="D5335">
        <v>17.670000000000002</v>
      </c>
      <c r="E5335">
        <v>17.22</v>
      </c>
      <c r="F5335">
        <v>17.559999999999999</v>
      </c>
      <c r="G5335">
        <v>17.625</v>
      </c>
      <c r="H5335">
        <v>0.4</v>
      </c>
      <c r="I5335">
        <v>6946</v>
      </c>
      <c r="J5335">
        <v>0</v>
      </c>
      <c r="K5335">
        <v>28982</v>
      </c>
      <c r="L5335">
        <v>75</v>
      </c>
      <c r="M5335">
        <v>110</v>
      </c>
      <c r="N5335" t="s">
        <v>54</v>
      </c>
      <c r="O5335" s="3">
        <v>43936</v>
      </c>
      <c r="P5335">
        <v>-1</v>
      </c>
      <c r="T5335" t="s">
        <v>26</v>
      </c>
      <c r="U5335">
        <v>101</v>
      </c>
      <c r="V5335">
        <v>26.092099999999999</v>
      </c>
    </row>
    <row r="5336" spans="1:22" x14ac:dyDescent="0.35">
      <c r="A5336" s="3">
        <v>43826</v>
      </c>
      <c r="B5336" t="s">
        <v>50</v>
      </c>
      <c r="C5336">
        <v>18.149999999999999</v>
      </c>
      <c r="D5336">
        <v>18.329999999999998</v>
      </c>
      <c r="E5336">
        <v>18.05</v>
      </c>
      <c r="F5336">
        <v>18.25</v>
      </c>
      <c r="G5336">
        <v>18.274999999999999</v>
      </c>
      <c r="H5336">
        <v>0.22500000000000001</v>
      </c>
      <c r="I5336">
        <v>534</v>
      </c>
      <c r="J5336">
        <v>0</v>
      </c>
      <c r="K5336">
        <v>2228</v>
      </c>
      <c r="L5336">
        <v>164</v>
      </c>
      <c r="M5336">
        <v>236</v>
      </c>
      <c r="N5336" t="s">
        <v>50</v>
      </c>
      <c r="O5336" s="3">
        <v>44062</v>
      </c>
      <c r="P5336">
        <v>-1</v>
      </c>
      <c r="T5336" t="s">
        <v>27</v>
      </c>
      <c r="U5336">
        <v>125</v>
      </c>
      <c r="V5336">
        <v>26.4</v>
      </c>
    </row>
    <row r="5337" spans="1:22" x14ac:dyDescent="0.35">
      <c r="A5337" s="3">
        <v>43826</v>
      </c>
      <c r="B5337" t="s">
        <v>55</v>
      </c>
      <c r="C5337">
        <v>16.850000000000001</v>
      </c>
      <c r="D5337">
        <v>17.23</v>
      </c>
      <c r="E5337">
        <v>16.7</v>
      </c>
      <c r="F5337">
        <v>17.13</v>
      </c>
      <c r="G5337">
        <v>17.175000000000001</v>
      </c>
      <c r="H5337">
        <v>0.4</v>
      </c>
      <c r="I5337">
        <v>13554</v>
      </c>
      <c r="J5337">
        <v>0</v>
      </c>
      <c r="K5337">
        <v>46500</v>
      </c>
      <c r="L5337">
        <v>55</v>
      </c>
      <c r="M5337">
        <v>82</v>
      </c>
      <c r="N5337" t="s">
        <v>55</v>
      </c>
      <c r="O5337" s="3">
        <v>43908</v>
      </c>
      <c r="P5337">
        <v>-1</v>
      </c>
      <c r="T5337" t="s">
        <v>25</v>
      </c>
      <c r="U5337">
        <v>145</v>
      </c>
      <c r="V5337">
        <v>26.6172</v>
      </c>
    </row>
    <row r="5338" spans="1:22" x14ac:dyDescent="0.35">
      <c r="A5338" s="3">
        <v>43825</v>
      </c>
      <c r="B5338" t="s">
        <v>54</v>
      </c>
      <c r="C5338">
        <v>17.25</v>
      </c>
      <c r="D5338">
        <v>17.350000000000001</v>
      </c>
      <c r="E5338">
        <v>17.149999999999999</v>
      </c>
      <c r="F5338">
        <v>17.29</v>
      </c>
      <c r="G5338">
        <v>17.225000000000001</v>
      </c>
      <c r="H5338">
        <v>0</v>
      </c>
      <c r="I5338">
        <v>3730</v>
      </c>
      <c r="J5338">
        <v>0</v>
      </c>
      <c r="K5338">
        <v>29113</v>
      </c>
      <c r="L5338">
        <v>76</v>
      </c>
      <c r="M5338">
        <v>111</v>
      </c>
      <c r="N5338" t="s">
        <v>54</v>
      </c>
      <c r="O5338" s="3">
        <v>43936</v>
      </c>
      <c r="P5338">
        <v>-1</v>
      </c>
      <c r="T5338" t="s">
        <v>20</v>
      </c>
      <c r="U5338">
        <v>165</v>
      </c>
      <c r="V5338">
        <v>26.05</v>
      </c>
    </row>
    <row r="5339" spans="1:22" x14ac:dyDescent="0.35">
      <c r="A5339" s="3">
        <v>43825</v>
      </c>
      <c r="B5339" t="s">
        <v>50</v>
      </c>
      <c r="C5339">
        <v>18.100000000000001</v>
      </c>
      <c r="D5339">
        <v>18.149999999999999</v>
      </c>
      <c r="E5339">
        <v>18.02</v>
      </c>
      <c r="F5339">
        <v>18.05</v>
      </c>
      <c r="G5339">
        <v>18.05</v>
      </c>
      <c r="H5339">
        <v>-0.1</v>
      </c>
      <c r="I5339">
        <v>361</v>
      </c>
      <c r="J5339">
        <v>0</v>
      </c>
      <c r="K5339">
        <v>2052</v>
      </c>
      <c r="L5339">
        <v>165</v>
      </c>
      <c r="M5339">
        <v>237</v>
      </c>
      <c r="N5339" t="s">
        <v>50</v>
      </c>
      <c r="O5339" s="3">
        <v>44062</v>
      </c>
      <c r="P5339">
        <v>-1</v>
      </c>
      <c r="T5339" t="s">
        <v>21</v>
      </c>
      <c r="U5339">
        <v>189</v>
      </c>
      <c r="V5339">
        <v>25.574999999999999</v>
      </c>
    </row>
    <row r="5340" spans="1:22" x14ac:dyDescent="0.35">
      <c r="A5340" s="3">
        <v>43825</v>
      </c>
      <c r="B5340" t="s">
        <v>55</v>
      </c>
      <c r="C5340">
        <v>16.8</v>
      </c>
      <c r="D5340">
        <v>16.850000000000001</v>
      </c>
      <c r="E5340">
        <v>16.670000000000002</v>
      </c>
      <c r="F5340">
        <v>16.82</v>
      </c>
      <c r="G5340">
        <v>16.774999999999999</v>
      </c>
      <c r="H5340">
        <v>0.05</v>
      </c>
      <c r="I5340">
        <v>7103</v>
      </c>
      <c r="J5340">
        <v>0</v>
      </c>
      <c r="K5340">
        <v>44888</v>
      </c>
      <c r="L5340">
        <v>56</v>
      </c>
      <c r="M5340">
        <v>83</v>
      </c>
      <c r="N5340" t="s">
        <v>55</v>
      </c>
      <c r="O5340" s="3">
        <v>43908</v>
      </c>
      <c r="P5340">
        <v>-1</v>
      </c>
      <c r="S5340" s="3">
        <v>44648</v>
      </c>
      <c r="T5340" t="s">
        <v>30</v>
      </c>
      <c r="U5340">
        <v>17</v>
      </c>
      <c r="V5340">
        <v>22.994599999999998</v>
      </c>
    </row>
    <row r="5341" spans="1:22" x14ac:dyDescent="0.35">
      <c r="A5341" s="3">
        <v>43825</v>
      </c>
      <c r="B5341" t="s">
        <v>51</v>
      </c>
      <c r="C5341">
        <v>18.03</v>
      </c>
      <c r="D5341">
        <v>18.03</v>
      </c>
      <c r="E5341">
        <v>17.91</v>
      </c>
      <c r="F5341">
        <v>17.97</v>
      </c>
      <c r="G5341">
        <v>17.975000000000001</v>
      </c>
      <c r="H5341">
        <v>-0.05</v>
      </c>
      <c r="I5341">
        <v>899</v>
      </c>
      <c r="J5341">
        <v>0</v>
      </c>
      <c r="K5341">
        <v>5309</v>
      </c>
      <c r="L5341">
        <v>145</v>
      </c>
      <c r="M5341">
        <v>209</v>
      </c>
      <c r="N5341" t="s">
        <v>51</v>
      </c>
      <c r="O5341" s="3">
        <v>44034</v>
      </c>
      <c r="P5341">
        <v>-1</v>
      </c>
      <c r="T5341" t="s">
        <v>29</v>
      </c>
      <c r="U5341">
        <v>37</v>
      </c>
      <c r="V5341">
        <v>24.611499999999999</v>
      </c>
    </row>
    <row r="5342" spans="1:22" x14ac:dyDescent="0.35">
      <c r="A5342" s="3">
        <v>43825</v>
      </c>
      <c r="B5342" t="s">
        <v>48</v>
      </c>
      <c r="C5342">
        <v>19.55</v>
      </c>
      <c r="D5342">
        <v>19.649999999999999</v>
      </c>
      <c r="E5342">
        <v>19.5</v>
      </c>
      <c r="F5342">
        <v>19.55</v>
      </c>
      <c r="G5342">
        <v>19.574999999999999</v>
      </c>
      <c r="H5342">
        <v>-2.5000000000000001E-2</v>
      </c>
      <c r="I5342">
        <v>143</v>
      </c>
      <c r="J5342">
        <v>0</v>
      </c>
      <c r="K5342">
        <v>812</v>
      </c>
      <c r="L5342">
        <v>209</v>
      </c>
      <c r="M5342">
        <v>300</v>
      </c>
      <c r="N5342" t="s">
        <v>48</v>
      </c>
      <c r="O5342" s="3">
        <v>44125</v>
      </c>
      <c r="P5342">
        <v>-1</v>
      </c>
      <c r="T5342" t="s">
        <v>28</v>
      </c>
      <c r="U5342">
        <v>56</v>
      </c>
      <c r="V5342">
        <v>25.261299999999999</v>
      </c>
    </row>
    <row r="5343" spans="1:22" x14ac:dyDescent="0.35">
      <c r="A5343" s="3">
        <v>43825</v>
      </c>
      <c r="B5343" t="s">
        <v>53</v>
      </c>
      <c r="C5343">
        <v>17.45</v>
      </c>
      <c r="D5343">
        <v>17.45</v>
      </c>
      <c r="E5343">
        <v>17.3</v>
      </c>
      <c r="F5343">
        <v>17.420000000000002</v>
      </c>
      <c r="G5343">
        <v>17.375</v>
      </c>
      <c r="H5343">
        <v>0</v>
      </c>
      <c r="I5343">
        <v>3270</v>
      </c>
      <c r="J5343">
        <v>0</v>
      </c>
      <c r="K5343">
        <v>19840</v>
      </c>
      <c r="L5343">
        <v>101</v>
      </c>
      <c r="M5343">
        <v>146</v>
      </c>
      <c r="N5343" t="s">
        <v>53</v>
      </c>
      <c r="O5343" s="3">
        <v>43971</v>
      </c>
      <c r="P5343">
        <v>-1</v>
      </c>
      <c r="T5343" t="s">
        <v>22</v>
      </c>
      <c r="U5343">
        <v>80</v>
      </c>
      <c r="V5343">
        <v>25.863700000000001</v>
      </c>
    </row>
    <row r="5344" spans="1:22" x14ac:dyDescent="0.35">
      <c r="A5344" s="3">
        <v>43825</v>
      </c>
      <c r="B5344" t="s">
        <v>47</v>
      </c>
      <c r="C5344">
        <v>18.829999999999998</v>
      </c>
      <c r="D5344">
        <v>18.88</v>
      </c>
      <c r="E5344">
        <v>18.71</v>
      </c>
      <c r="F5344">
        <v>18.75</v>
      </c>
      <c r="G5344">
        <v>18.7</v>
      </c>
      <c r="H5344">
        <v>-2.5000000000000001E-2</v>
      </c>
      <c r="I5344">
        <v>121</v>
      </c>
      <c r="J5344">
        <v>0</v>
      </c>
      <c r="K5344">
        <v>465</v>
      </c>
      <c r="L5344">
        <v>229</v>
      </c>
      <c r="M5344">
        <v>328</v>
      </c>
      <c r="N5344" t="s">
        <v>47</v>
      </c>
      <c r="O5344" s="3">
        <v>44153</v>
      </c>
      <c r="P5344">
        <v>-1</v>
      </c>
      <c r="T5344" t="s">
        <v>26</v>
      </c>
      <c r="U5344">
        <v>100</v>
      </c>
      <c r="V5344">
        <v>25.988800000000001</v>
      </c>
    </row>
    <row r="5345" spans="1:22" x14ac:dyDescent="0.35">
      <c r="A5345" s="3">
        <v>43825</v>
      </c>
      <c r="B5345" t="s">
        <v>52</v>
      </c>
      <c r="C5345">
        <v>17.739999999999998</v>
      </c>
      <c r="D5345">
        <v>17.75</v>
      </c>
      <c r="E5345">
        <v>17.62</v>
      </c>
      <c r="F5345">
        <v>17.73</v>
      </c>
      <c r="G5345">
        <v>17.675000000000001</v>
      </c>
      <c r="H5345">
        <v>-0.05</v>
      </c>
      <c r="I5345">
        <v>1784</v>
      </c>
      <c r="J5345">
        <v>0</v>
      </c>
      <c r="K5345">
        <v>11161</v>
      </c>
      <c r="L5345">
        <v>120</v>
      </c>
      <c r="M5345">
        <v>174</v>
      </c>
      <c r="N5345" t="s">
        <v>52</v>
      </c>
      <c r="O5345" s="3">
        <v>43999</v>
      </c>
      <c r="P5345">
        <v>-1</v>
      </c>
      <c r="T5345" t="s">
        <v>27</v>
      </c>
      <c r="U5345">
        <v>124</v>
      </c>
      <c r="V5345">
        <v>26.351299999999998</v>
      </c>
    </row>
    <row r="5346" spans="1:22" x14ac:dyDescent="0.35">
      <c r="A5346" s="3">
        <v>43825</v>
      </c>
      <c r="B5346" t="s">
        <v>49</v>
      </c>
      <c r="C5346">
        <v>18.55</v>
      </c>
      <c r="D5346">
        <v>18.55</v>
      </c>
      <c r="E5346">
        <v>18.399999999999999</v>
      </c>
      <c r="F5346">
        <v>18.41</v>
      </c>
      <c r="G5346">
        <v>18.399999999999999</v>
      </c>
      <c r="H5346">
        <v>-7.4999999999999997E-2</v>
      </c>
      <c r="I5346">
        <v>48</v>
      </c>
      <c r="J5346">
        <v>0</v>
      </c>
      <c r="K5346">
        <v>267</v>
      </c>
      <c r="L5346">
        <v>184</v>
      </c>
      <c r="M5346">
        <v>265</v>
      </c>
      <c r="N5346" t="s">
        <v>49</v>
      </c>
      <c r="O5346" s="3">
        <v>44090</v>
      </c>
      <c r="P5346">
        <v>-1</v>
      </c>
      <c r="T5346" t="s">
        <v>25</v>
      </c>
      <c r="U5346">
        <v>144</v>
      </c>
      <c r="V5346">
        <v>26.5672</v>
      </c>
    </row>
    <row r="5347" spans="1:22" x14ac:dyDescent="0.35">
      <c r="A5347" s="3">
        <v>43823</v>
      </c>
      <c r="B5347" t="s">
        <v>51</v>
      </c>
      <c r="C5347">
        <v>18</v>
      </c>
      <c r="D5347">
        <v>18.079999999999998</v>
      </c>
      <c r="E5347">
        <v>17.96</v>
      </c>
      <c r="F5347">
        <v>18.05</v>
      </c>
      <c r="G5347">
        <v>18.024999999999999</v>
      </c>
      <c r="H5347">
        <v>0</v>
      </c>
      <c r="I5347">
        <v>373</v>
      </c>
      <c r="J5347">
        <v>0</v>
      </c>
      <c r="K5347">
        <v>5250</v>
      </c>
      <c r="L5347">
        <v>146</v>
      </c>
      <c r="M5347">
        <v>211</v>
      </c>
      <c r="N5347" t="s">
        <v>51</v>
      </c>
      <c r="O5347" s="3">
        <v>44034</v>
      </c>
      <c r="P5347">
        <v>-1</v>
      </c>
      <c r="T5347" t="s">
        <v>20</v>
      </c>
      <c r="U5347">
        <v>164</v>
      </c>
      <c r="V5347">
        <v>26.05</v>
      </c>
    </row>
    <row r="5348" spans="1:22" x14ac:dyDescent="0.35">
      <c r="A5348" s="3">
        <v>43823</v>
      </c>
      <c r="B5348" t="s">
        <v>48</v>
      </c>
      <c r="C5348">
        <v>19.510000000000002</v>
      </c>
      <c r="D5348">
        <v>19.63</v>
      </c>
      <c r="E5348">
        <v>19.45</v>
      </c>
      <c r="F5348">
        <v>19.59</v>
      </c>
      <c r="G5348">
        <v>19.600000000000001</v>
      </c>
      <c r="H5348">
        <v>2.5000000000000001E-2</v>
      </c>
      <c r="I5348">
        <v>70</v>
      </c>
      <c r="J5348">
        <v>0</v>
      </c>
      <c r="K5348">
        <v>699</v>
      </c>
      <c r="L5348">
        <v>210</v>
      </c>
      <c r="M5348">
        <v>302</v>
      </c>
      <c r="N5348" t="s">
        <v>48</v>
      </c>
      <c r="O5348" s="3">
        <v>44125</v>
      </c>
      <c r="P5348">
        <v>-1</v>
      </c>
      <c r="T5348" t="s">
        <v>21</v>
      </c>
      <c r="U5348">
        <v>188</v>
      </c>
      <c r="V5348">
        <v>25.5</v>
      </c>
    </row>
    <row r="5349" spans="1:22" x14ac:dyDescent="0.35">
      <c r="A5349" s="3">
        <v>43823</v>
      </c>
      <c r="B5349" t="s">
        <v>53</v>
      </c>
      <c r="C5349">
        <v>17.399999999999999</v>
      </c>
      <c r="D5349">
        <v>17.48</v>
      </c>
      <c r="E5349">
        <v>17.350000000000001</v>
      </c>
      <c r="F5349">
        <v>17.399999999999999</v>
      </c>
      <c r="G5349">
        <v>17.375</v>
      </c>
      <c r="H5349">
        <v>-0.05</v>
      </c>
      <c r="I5349">
        <v>1793</v>
      </c>
      <c r="J5349">
        <v>0</v>
      </c>
      <c r="K5349">
        <v>19310</v>
      </c>
      <c r="L5349">
        <v>102</v>
      </c>
      <c r="M5349">
        <v>148</v>
      </c>
      <c r="N5349" t="s">
        <v>53</v>
      </c>
      <c r="O5349" s="3">
        <v>43971</v>
      </c>
      <c r="P5349">
        <v>-1</v>
      </c>
      <c r="S5349" s="3">
        <v>44649</v>
      </c>
      <c r="T5349" t="s">
        <v>30</v>
      </c>
      <c r="U5349">
        <v>16</v>
      </c>
      <c r="V5349">
        <v>21.7532</v>
      </c>
    </row>
    <row r="5350" spans="1:22" x14ac:dyDescent="0.35">
      <c r="A5350" s="3">
        <v>43823</v>
      </c>
      <c r="B5350" t="s">
        <v>47</v>
      </c>
      <c r="C5350">
        <v>18.809999999999999</v>
      </c>
      <c r="D5350">
        <v>18.940000000000001</v>
      </c>
      <c r="E5350">
        <v>18.7</v>
      </c>
      <c r="F5350">
        <v>18.77</v>
      </c>
      <c r="G5350">
        <v>18.725000000000001</v>
      </c>
      <c r="H5350">
        <v>-2.5000000000000001E-2</v>
      </c>
      <c r="I5350">
        <v>60</v>
      </c>
      <c r="J5350">
        <v>0</v>
      </c>
      <c r="K5350">
        <v>377</v>
      </c>
      <c r="L5350">
        <v>230</v>
      </c>
      <c r="M5350">
        <v>330</v>
      </c>
      <c r="N5350" t="s">
        <v>47</v>
      </c>
      <c r="O5350" s="3">
        <v>44153</v>
      </c>
      <c r="P5350">
        <v>-1</v>
      </c>
      <c r="T5350" t="s">
        <v>29</v>
      </c>
      <c r="U5350">
        <v>36</v>
      </c>
      <c r="V5350">
        <v>23.714500000000001</v>
      </c>
    </row>
    <row r="5351" spans="1:22" x14ac:dyDescent="0.35">
      <c r="A5351" s="3">
        <v>43823</v>
      </c>
      <c r="B5351" t="s">
        <v>52</v>
      </c>
      <c r="C5351">
        <v>17.7</v>
      </c>
      <c r="D5351">
        <v>17.8</v>
      </c>
      <c r="E5351">
        <v>17.66</v>
      </c>
      <c r="F5351">
        <v>17.739999999999998</v>
      </c>
      <c r="G5351">
        <v>17.725000000000001</v>
      </c>
      <c r="H5351">
        <v>0</v>
      </c>
      <c r="I5351">
        <v>653</v>
      </c>
      <c r="J5351">
        <v>0</v>
      </c>
      <c r="K5351">
        <v>10995</v>
      </c>
      <c r="L5351">
        <v>121</v>
      </c>
      <c r="M5351">
        <v>176</v>
      </c>
      <c r="N5351" t="s">
        <v>52</v>
      </c>
      <c r="O5351" s="3">
        <v>43999</v>
      </c>
      <c r="P5351">
        <v>-1</v>
      </c>
      <c r="T5351" t="s">
        <v>28</v>
      </c>
      <c r="U5351">
        <v>55</v>
      </c>
      <c r="V5351">
        <v>24.601800000000001</v>
      </c>
    </row>
    <row r="5352" spans="1:22" x14ac:dyDescent="0.35">
      <c r="A5352" s="3">
        <v>43823</v>
      </c>
      <c r="B5352" t="s">
        <v>49</v>
      </c>
      <c r="C5352">
        <v>18.5</v>
      </c>
      <c r="D5352">
        <v>18.559999999999999</v>
      </c>
      <c r="E5352">
        <v>18.48</v>
      </c>
      <c r="F5352">
        <v>18.489999999999998</v>
      </c>
      <c r="G5352">
        <v>18.475000000000001</v>
      </c>
      <c r="H5352">
        <v>2.5000000000000001E-2</v>
      </c>
      <c r="I5352">
        <v>25</v>
      </c>
      <c r="J5352">
        <v>0</v>
      </c>
      <c r="K5352">
        <v>232</v>
      </c>
      <c r="L5352">
        <v>185</v>
      </c>
      <c r="M5352">
        <v>267</v>
      </c>
      <c r="N5352" t="s">
        <v>49</v>
      </c>
      <c r="O5352" s="3">
        <v>44090</v>
      </c>
      <c r="P5352">
        <v>-1</v>
      </c>
      <c r="T5352" t="s">
        <v>22</v>
      </c>
      <c r="U5352">
        <v>79</v>
      </c>
      <c r="V5352">
        <v>25.3995</v>
      </c>
    </row>
    <row r="5353" spans="1:22" x14ac:dyDescent="0.35">
      <c r="A5353" s="3">
        <v>43823</v>
      </c>
      <c r="B5353" t="s">
        <v>54</v>
      </c>
      <c r="C5353">
        <v>17.25</v>
      </c>
      <c r="D5353">
        <v>17.37</v>
      </c>
      <c r="E5353">
        <v>17.2</v>
      </c>
      <c r="F5353">
        <v>17.25</v>
      </c>
      <c r="G5353">
        <v>17.225000000000001</v>
      </c>
      <c r="H5353">
        <v>-0.05</v>
      </c>
      <c r="I5353">
        <v>1291</v>
      </c>
      <c r="J5353">
        <v>0</v>
      </c>
      <c r="K5353">
        <v>29048</v>
      </c>
      <c r="L5353">
        <v>77</v>
      </c>
      <c r="M5353">
        <v>113</v>
      </c>
      <c r="N5353" t="s">
        <v>54</v>
      </c>
      <c r="O5353" s="3">
        <v>43936</v>
      </c>
      <c r="P5353">
        <v>-1</v>
      </c>
      <c r="T5353" t="s">
        <v>26</v>
      </c>
      <c r="U5353">
        <v>99</v>
      </c>
      <c r="V5353">
        <v>25.599499999999999</v>
      </c>
    </row>
    <row r="5354" spans="1:22" x14ac:dyDescent="0.35">
      <c r="A5354" s="3">
        <v>43823</v>
      </c>
      <c r="B5354" t="s">
        <v>50</v>
      </c>
      <c r="C5354">
        <v>18.16</v>
      </c>
      <c r="D5354">
        <v>18.22</v>
      </c>
      <c r="E5354">
        <v>18.100000000000001</v>
      </c>
      <c r="F5354">
        <v>18.100000000000001</v>
      </c>
      <c r="G5354">
        <v>18.149999999999999</v>
      </c>
      <c r="H5354">
        <v>2.5000000000000001E-2</v>
      </c>
      <c r="I5354">
        <v>92</v>
      </c>
      <c r="J5354">
        <v>0</v>
      </c>
      <c r="K5354">
        <v>1937</v>
      </c>
      <c r="L5354">
        <v>166</v>
      </c>
      <c r="M5354">
        <v>239</v>
      </c>
      <c r="N5354" t="s">
        <v>50</v>
      </c>
      <c r="O5354" s="3">
        <v>44062</v>
      </c>
      <c r="P5354">
        <v>-1</v>
      </c>
      <c r="T5354" t="s">
        <v>27</v>
      </c>
      <c r="U5354">
        <v>123</v>
      </c>
      <c r="V5354">
        <v>26.017299999999999</v>
      </c>
    </row>
    <row r="5355" spans="1:22" x14ac:dyDescent="0.35">
      <c r="A5355" s="3">
        <v>43823</v>
      </c>
      <c r="B5355" t="s">
        <v>55</v>
      </c>
      <c r="C5355">
        <v>16.73</v>
      </c>
      <c r="D5355">
        <v>16.88</v>
      </c>
      <c r="E5355">
        <v>16.7</v>
      </c>
      <c r="F5355">
        <v>16.75</v>
      </c>
      <c r="G5355">
        <v>16.725000000000001</v>
      </c>
      <c r="H5355">
        <v>-0.05</v>
      </c>
      <c r="I5355">
        <v>8183</v>
      </c>
      <c r="J5355">
        <v>0</v>
      </c>
      <c r="K5355">
        <v>43821</v>
      </c>
      <c r="L5355">
        <v>57</v>
      </c>
      <c r="M5355">
        <v>85</v>
      </c>
      <c r="N5355" t="s">
        <v>55</v>
      </c>
      <c r="O5355" s="3">
        <v>43908</v>
      </c>
      <c r="P5355">
        <v>-1</v>
      </c>
      <c r="T5355" t="s">
        <v>25</v>
      </c>
      <c r="U5355">
        <v>143</v>
      </c>
      <c r="V5355">
        <v>26.370799999999999</v>
      </c>
    </row>
    <row r="5356" spans="1:22" x14ac:dyDescent="0.35">
      <c r="A5356" s="3">
        <v>43822</v>
      </c>
      <c r="B5356" t="s">
        <v>54</v>
      </c>
      <c r="C5356">
        <v>17.260000000000002</v>
      </c>
      <c r="D5356">
        <v>17.350000000000001</v>
      </c>
      <c r="E5356">
        <v>17.149999999999999</v>
      </c>
      <c r="F5356">
        <v>17.2</v>
      </c>
      <c r="G5356">
        <v>17.274999999999999</v>
      </c>
      <c r="H5356">
        <v>0</v>
      </c>
      <c r="I5356">
        <v>5418</v>
      </c>
      <c r="J5356">
        <v>0</v>
      </c>
      <c r="K5356">
        <v>29594</v>
      </c>
      <c r="L5356">
        <v>78</v>
      </c>
      <c r="M5356">
        <v>114</v>
      </c>
      <c r="N5356" t="s">
        <v>54</v>
      </c>
      <c r="O5356" s="3">
        <v>43936</v>
      </c>
      <c r="P5356">
        <v>-1</v>
      </c>
      <c r="T5356" t="s">
        <v>20</v>
      </c>
      <c r="U5356">
        <v>163</v>
      </c>
      <c r="V5356">
        <v>25.824999999999999</v>
      </c>
    </row>
    <row r="5357" spans="1:22" x14ac:dyDescent="0.35">
      <c r="A5357" s="3">
        <v>43822</v>
      </c>
      <c r="B5357" t="s">
        <v>50</v>
      </c>
      <c r="C5357">
        <v>18</v>
      </c>
      <c r="D5357">
        <v>18.149999999999999</v>
      </c>
      <c r="E5357">
        <v>18</v>
      </c>
      <c r="F5357">
        <v>18.12</v>
      </c>
      <c r="G5357">
        <v>18.125</v>
      </c>
      <c r="H5357">
        <v>-2.5000000000000001E-2</v>
      </c>
      <c r="I5357">
        <v>160</v>
      </c>
      <c r="J5357">
        <v>0</v>
      </c>
      <c r="K5357">
        <v>1896</v>
      </c>
      <c r="L5357">
        <v>167</v>
      </c>
      <c r="M5357">
        <v>240</v>
      </c>
      <c r="N5357" t="s">
        <v>50</v>
      </c>
      <c r="O5357" s="3">
        <v>44062</v>
      </c>
      <c r="P5357">
        <v>-1</v>
      </c>
      <c r="T5357" t="s">
        <v>21</v>
      </c>
      <c r="U5357">
        <v>187</v>
      </c>
      <c r="V5357">
        <v>25.25</v>
      </c>
    </row>
    <row r="5358" spans="1:22" x14ac:dyDescent="0.35">
      <c r="A5358" s="3">
        <v>43822</v>
      </c>
      <c r="B5358" t="s">
        <v>55</v>
      </c>
      <c r="C5358">
        <v>16.7</v>
      </c>
      <c r="D5358">
        <v>16.899999999999999</v>
      </c>
      <c r="E5358">
        <v>16.62</v>
      </c>
      <c r="F5358">
        <v>16.75</v>
      </c>
      <c r="G5358">
        <v>16.774999999999999</v>
      </c>
      <c r="H5358">
        <v>0.05</v>
      </c>
      <c r="I5358">
        <v>16089</v>
      </c>
      <c r="J5358">
        <v>0</v>
      </c>
      <c r="K5358">
        <v>43966</v>
      </c>
      <c r="L5358">
        <v>58</v>
      </c>
      <c r="M5358">
        <v>86</v>
      </c>
      <c r="N5358" t="s">
        <v>55</v>
      </c>
      <c r="O5358" s="3">
        <v>43908</v>
      </c>
      <c r="P5358">
        <v>-1</v>
      </c>
      <c r="S5358" s="3">
        <v>44650</v>
      </c>
      <c r="T5358" t="s">
        <v>30</v>
      </c>
      <c r="U5358">
        <v>15</v>
      </c>
      <c r="V5358">
        <v>22.07</v>
      </c>
    </row>
    <row r="5359" spans="1:22" x14ac:dyDescent="0.35">
      <c r="A5359" s="3">
        <v>43822</v>
      </c>
      <c r="B5359" t="s">
        <v>51</v>
      </c>
      <c r="C5359">
        <v>17.95</v>
      </c>
      <c r="D5359">
        <v>18.05</v>
      </c>
      <c r="E5359">
        <v>17.93</v>
      </c>
      <c r="F5359">
        <v>17.989999999999998</v>
      </c>
      <c r="G5359">
        <v>18.024999999999999</v>
      </c>
      <c r="H5359">
        <v>0.05</v>
      </c>
      <c r="I5359">
        <v>808</v>
      </c>
      <c r="J5359">
        <v>0</v>
      </c>
      <c r="K5359">
        <v>5118</v>
      </c>
      <c r="L5359">
        <v>147</v>
      </c>
      <c r="M5359">
        <v>212</v>
      </c>
      <c r="N5359" t="s">
        <v>51</v>
      </c>
      <c r="O5359" s="3">
        <v>44034</v>
      </c>
      <c r="P5359">
        <v>-1</v>
      </c>
      <c r="T5359" t="s">
        <v>29</v>
      </c>
      <c r="U5359">
        <v>35</v>
      </c>
      <c r="V5359">
        <v>24.073499999999999</v>
      </c>
    </row>
    <row r="5360" spans="1:22" x14ac:dyDescent="0.35">
      <c r="A5360" s="3">
        <v>43822</v>
      </c>
      <c r="B5360" t="s">
        <v>48</v>
      </c>
      <c r="C5360">
        <v>19.45</v>
      </c>
      <c r="D5360">
        <v>19.66</v>
      </c>
      <c r="E5360">
        <v>19.2</v>
      </c>
      <c r="F5360">
        <v>19.57</v>
      </c>
      <c r="G5360">
        <v>19.574999999999999</v>
      </c>
      <c r="H5360">
        <v>2.5000000000000001E-2</v>
      </c>
      <c r="I5360">
        <v>94</v>
      </c>
      <c r="J5360">
        <v>0</v>
      </c>
      <c r="K5360">
        <v>646</v>
      </c>
      <c r="L5360">
        <v>211</v>
      </c>
      <c r="M5360">
        <v>303</v>
      </c>
      <c r="N5360" t="s">
        <v>48</v>
      </c>
      <c r="O5360" s="3">
        <v>44125</v>
      </c>
      <c r="P5360">
        <v>-1</v>
      </c>
      <c r="T5360" t="s">
        <v>28</v>
      </c>
      <c r="U5360">
        <v>54</v>
      </c>
      <c r="V5360">
        <v>24.8721</v>
      </c>
    </row>
    <row r="5361" spans="1:22" x14ac:dyDescent="0.35">
      <c r="A5361" s="3">
        <v>43822</v>
      </c>
      <c r="B5361" t="s">
        <v>53</v>
      </c>
      <c r="C5361">
        <v>17.37</v>
      </c>
      <c r="D5361">
        <v>17.45</v>
      </c>
      <c r="E5361">
        <v>17.3</v>
      </c>
      <c r="F5361">
        <v>17.36</v>
      </c>
      <c r="G5361">
        <v>17.425000000000001</v>
      </c>
      <c r="H5361">
        <v>0</v>
      </c>
      <c r="I5361">
        <v>3588</v>
      </c>
      <c r="J5361">
        <v>0</v>
      </c>
      <c r="K5361">
        <v>19260</v>
      </c>
      <c r="L5361">
        <v>103</v>
      </c>
      <c r="M5361">
        <v>149</v>
      </c>
      <c r="N5361" t="s">
        <v>53</v>
      </c>
      <c r="O5361" s="3">
        <v>43971</v>
      </c>
      <c r="P5361">
        <v>-1</v>
      </c>
      <c r="T5361" t="s">
        <v>22</v>
      </c>
      <c r="U5361">
        <v>78</v>
      </c>
      <c r="V5361">
        <v>25.6294</v>
      </c>
    </row>
    <row r="5362" spans="1:22" x14ac:dyDescent="0.35">
      <c r="A5362" s="3">
        <v>43822</v>
      </c>
      <c r="B5362" t="s">
        <v>47</v>
      </c>
      <c r="C5362">
        <v>18.920000000000002</v>
      </c>
      <c r="D5362">
        <v>18.920000000000002</v>
      </c>
      <c r="E5362">
        <v>18.760000000000002</v>
      </c>
      <c r="F5362">
        <v>18.850000000000001</v>
      </c>
      <c r="G5362">
        <v>18.75</v>
      </c>
      <c r="H5362">
        <v>0</v>
      </c>
      <c r="I5362">
        <v>57</v>
      </c>
      <c r="J5362">
        <v>0</v>
      </c>
      <c r="K5362">
        <v>335</v>
      </c>
      <c r="L5362">
        <v>231</v>
      </c>
      <c r="M5362">
        <v>331</v>
      </c>
      <c r="N5362" t="s">
        <v>47</v>
      </c>
      <c r="O5362" s="3">
        <v>44153</v>
      </c>
      <c r="P5362">
        <v>-1</v>
      </c>
      <c r="T5362" t="s">
        <v>26</v>
      </c>
      <c r="U5362">
        <v>98</v>
      </c>
      <c r="V5362">
        <v>25.831099999999999</v>
      </c>
    </row>
    <row r="5363" spans="1:22" x14ac:dyDescent="0.35">
      <c r="A5363" s="3">
        <v>43822</v>
      </c>
      <c r="B5363" t="s">
        <v>52</v>
      </c>
      <c r="C5363">
        <v>17.7</v>
      </c>
      <c r="D5363">
        <v>17.77</v>
      </c>
      <c r="E5363">
        <v>17.649999999999999</v>
      </c>
      <c r="F5363">
        <v>17.68</v>
      </c>
      <c r="G5363">
        <v>17.725000000000001</v>
      </c>
      <c r="H5363">
        <v>2.5000000000000001E-2</v>
      </c>
      <c r="I5363">
        <v>1350</v>
      </c>
      <c r="J5363">
        <v>0</v>
      </c>
      <c r="K5363">
        <v>10964</v>
      </c>
      <c r="L5363">
        <v>122</v>
      </c>
      <c r="M5363">
        <v>177</v>
      </c>
      <c r="N5363" t="s">
        <v>52</v>
      </c>
      <c r="O5363" s="3">
        <v>43999</v>
      </c>
      <c r="P5363">
        <v>-1</v>
      </c>
      <c r="T5363" t="s">
        <v>27</v>
      </c>
      <c r="U5363">
        <v>122</v>
      </c>
      <c r="V5363">
        <v>26.228300000000001</v>
      </c>
    </row>
    <row r="5364" spans="1:22" x14ac:dyDescent="0.35">
      <c r="A5364" s="3">
        <v>43822</v>
      </c>
      <c r="B5364" t="s">
        <v>49</v>
      </c>
      <c r="C5364">
        <v>18</v>
      </c>
      <c r="D5364">
        <v>18.55</v>
      </c>
      <c r="E5364">
        <v>18</v>
      </c>
      <c r="F5364">
        <v>18.48</v>
      </c>
      <c r="G5364">
        <v>18.45</v>
      </c>
      <c r="H5364">
        <v>2.5000000000000001E-2</v>
      </c>
      <c r="I5364">
        <v>35</v>
      </c>
      <c r="J5364">
        <v>0</v>
      </c>
      <c r="K5364">
        <v>217</v>
      </c>
      <c r="L5364">
        <v>186</v>
      </c>
      <c r="M5364">
        <v>268</v>
      </c>
      <c r="N5364" t="s">
        <v>49</v>
      </c>
      <c r="O5364" s="3">
        <v>44090</v>
      </c>
      <c r="P5364">
        <v>-1</v>
      </c>
      <c r="T5364" t="s">
        <v>25</v>
      </c>
      <c r="U5364">
        <v>142</v>
      </c>
      <c r="V5364">
        <v>26.5</v>
      </c>
    </row>
    <row r="5365" spans="1:22" x14ac:dyDescent="0.35">
      <c r="A5365" s="3">
        <v>43819</v>
      </c>
      <c r="B5365" t="s">
        <v>51</v>
      </c>
      <c r="C5365">
        <v>17.989999999999998</v>
      </c>
      <c r="D5365">
        <v>18.02</v>
      </c>
      <c r="E5365">
        <v>17.899999999999999</v>
      </c>
      <c r="F5365">
        <v>18</v>
      </c>
      <c r="G5365">
        <v>17.975000000000001</v>
      </c>
      <c r="H5365">
        <v>0</v>
      </c>
      <c r="I5365">
        <v>643</v>
      </c>
      <c r="J5365">
        <v>0</v>
      </c>
      <c r="K5365">
        <v>4991</v>
      </c>
      <c r="L5365">
        <v>148</v>
      </c>
      <c r="M5365">
        <v>215</v>
      </c>
      <c r="N5365" t="s">
        <v>51</v>
      </c>
      <c r="O5365" s="3">
        <v>44034</v>
      </c>
      <c r="P5365">
        <v>-1</v>
      </c>
      <c r="T5365" t="s">
        <v>20</v>
      </c>
      <c r="U5365">
        <v>162</v>
      </c>
      <c r="V5365">
        <v>25.95</v>
      </c>
    </row>
    <row r="5366" spans="1:22" x14ac:dyDescent="0.35">
      <c r="A5366" s="3">
        <v>43819</v>
      </c>
      <c r="B5366" t="s">
        <v>48</v>
      </c>
      <c r="C5366">
        <v>19.45</v>
      </c>
      <c r="D5366">
        <v>19.55</v>
      </c>
      <c r="E5366">
        <v>19.45</v>
      </c>
      <c r="F5366">
        <v>19.5</v>
      </c>
      <c r="G5366">
        <v>19.55</v>
      </c>
      <c r="H5366">
        <v>-2.5000000000000001E-2</v>
      </c>
      <c r="I5366">
        <v>26</v>
      </c>
      <c r="J5366">
        <v>0</v>
      </c>
      <c r="K5366">
        <v>570</v>
      </c>
      <c r="L5366">
        <v>212</v>
      </c>
      <c r="M5366">
        <v>306</v>
      </c>
      <c r="N5366" t="s">
        <v>48</v>
      </c>
      <c r="O5366" s="3">
        <v>44125</v>
      </c>
      <c r="P5366">
        <v>-1</v>
      </c>
      <c r="T5366" t="s">
        <v>21</v>
      </c>
      <c r="U5366">
        <v>186</v>
      </c>
      <c r="V5366">
        <v>25.425000000000001</v>
      </c>
    </row>
    <row r="5367" spans="1:22" x14ac:dyDescent="0.35">
      <c r="A5367" s="3">
        <v>43819</v>
      </c>
      <c r="B5367" t="s">
        <v>53</v>
      </c>
      <c r="C5367">
        <v>17.350000000000001</v>
      </c>
      <c r="D5367">
        <v>17.420000000000002</v>
      </c>
      <c r="E5367">
        <v>17.25</v>
      </c>
      <c r="F5367">
        <v>17.41</v>
      </c>
      <c r="G5367">
        <v>17.425000000000001</v>
      </c>
      <c r="H5367">
        <v>0.05</v>
      </c>
      <c r="I5367">
        <v>4185</v>
      </c>
      <c r="J5367">
        <v>0</v>
      </c>
      <c r="K5367">
        <v>19044</v>
      </c>
      <c r="L5367">
        <v>104</v>
      </c>
      <c r="M5367">
        <v>152</v>
      </c>
      <c r="N5367" t="s">
        <v>53</v>
      </c>
      <c r="O5367" s="3">
        <v>43971</v>
      </c>
      <c r="P5367">
        <v>-1</v>
      </c>
      <c r="S5367" s="3">
        <v>44651</v>
      </c>
      <c r="T5367" t="s">
        <v>30</v>
      </c>
      <c r="U5367">
        <v>14</v>
      </c>
      <c r="V5367">
        <v>23.469000000000001</v>
      </c>
    </row>
    <row r="5368" spans="1:22" x14ac:dyDescent="0.35">
      <c r="A5368" s="3">
        <v>43819</v>
      </c>
      <c r="B5368" t="s">
        <v>47</v>
      </c>
      <c r="C5368">
        <v>18.87</v>
      </c>
      <c r="D5368">
        <v>18.87</v>
      </c>
      <c r="E5368">
        <v>18.75</v>
      </c>
      <c r="F5368">
        <v>18.8</v>
      </c>
      <c r="G5368">
        <v>18.75</v>
      </c>
      <c r="H5368">
        <v>0</v>
      </c>
      <c r="I5368">
        <v>13</v>
      </c>
      <c r="J5368">
        <v>0</v>
      </c>
      <c r="K5368">
        <v>280</v>
      </c>
      <c r="L5368">
        <v>232</v>
      </c>
      <c r="M5368">
        <v>334</v>
      </c>
      <c r="N5368" t="s">
        <v>47</v>
      </c>
      <c r="O5368" s="3">
        <v>44153</v>
      </c>
      <c r="P5368">
        <v>-1</v>
      </c>
      <c r="T5368" t="s">
        <v>29</v>
      </c>
      <c r="U5368">
        <v>34</v>
      </c>
      <c r="V5368">
        <v>24.9877</v>
      </c>
    </row>
    <row r="5369" spans="1:22" x14ac:dyDescent="0.35">
      <c r="A5369" s="3">
        <v>43819</v>
      </c>
      <c r="B5369" t="s">
        <v>52</v>
      </c>
      <c r="C5369">
        <v>17.72</v>
      </c>
      <c r="D5369">
        <v>17.75</v>
      </c>
      <c r="E5369">
        <v>17.600000000000001</v>
      </c>
      <c r="F5369">
        <v>17.72</v>
      </c>
      <c r="G5369">
        <v>17.7</v>
      </c>
      <c r="H5369">
        <v>-2.5000000000000001E-2</v>
      </c>
      <c r="I5369">
        <v>1428</v>
      </c>
      <c r="J5369">
        <v>0</v>
      </c>
      <c r="K5369">
        <v>11110</v>
      </c>
      <c r="L5369">
        <v>123</v>
      </c>
      <c r="M5369">
        <v>180</v>
      </c>
      <c r="N5369" t="s">
        <v>52</v>
      </c>
      <c r="O5369" s="3">
        <v>43999</v>
      </c>
      <c r="P5369">
        <v>-1</v>
      </c>
      <c r="T5369" t="s">
        <v>28</v>
      </c>
      <c r="U5369">
        <v>53</v>
      </c>
      <c r="V5369">
        <v>25.4773</v>
      </c>
    </row>
    <row r="5370" spans="1:22" x14ac:dyDescent="0.35">
      <c r="A5370" s="3">
        <v>43819</v>
      </c>
      <c r="B5370" t="s">
        <v>49</v>
      </c>
      <c r="C5370">
        <v>18.55</v>
      </c>
      <c r="D5370">
        <v>18.55</v>
      </c>
      <c r="E5370">
        <v>18.399999999999999</v>
      </c>
      <c r="F5370">
        <v>18.489999999999998</v>
      </c>
      <c r="G5370">
        <v>18.425000000000001</v>
      </c>
      <c r="H5370">
        <v>-0.05</v>
      </c>
      <c r="I5370">
        <v>15</v>
      </c>
      <c r="J5370">
        <v>0</v>
      </c>
      <c r="K5370">
        <v>197</v>
      </c>
      <c r="L5370">
        <v>187</v>
      </c>
      <c r="M5370">
        <v>271</v>
      </c>
      <c r="N5370" t="s">
        <v>49</v>
      </c>
      <c r="O5370" s="3">
        <v>44090</v>
      </c>
      <c r="P5370">
        <v>-1</v>
      </c>
      <c r="T5370" t="s">
        <v>22</v>
      </c>
      <c r="U5370">
        <v>77</v>
      </c>
      <c r="V5370">
        <v>26.105499999999999</v>
      </c>
    </row>
    <row r="5371" spans="1:22" x14ac:dyDescent="0.35">
      <c r="A5371" s="3">
        <v>43819</v>
      </c>
      <c r="B5371" t="s">
        <v>54</v>
      </c>
      <c r="C5371">
        <v>17.22</v>
      </c>
      <c r="D5371">
        <v>17.3</v>
      </c>
      <c r="E5371">
        <v>17.07</v>
      </c>
      <c r="F5371">
        <v>17.27</v>
      </c>
      <c r="G5371">
        <v>17.274999999999999</v>
      </c>
      <c r="H5371">
        <v>0.05</v>
      </c>
      <c r="I5371">
        <v>5617</v>
      </c>
      <c r="J5371">
        <v>0</v>
      </c>
      <c r="K5371">
        <v>28691</v>
      </c>
      <c r="L5371">
        <v>79</v>
      </c>
      <c r="M5371">
        <v>117</v>
      </c>
      <c r="N5371" t="s">
        <v>54</v>
      </c>
      <c r="O5371" s="3">
        <v>43936</v>
      </c>
      <c r="P5371">
        <v>-1</v>
      </c>
      <c r="T5371" t="s">
        <v>26</v>
      </c>
      <c r="U5371">
        <v>97</v>
      </c>
      <c r="V5371">
        <v>26.254899999999999</v>
      </c>
    </row>
    <row r="5372" spans="1:22" x14ac:dyDescent="0.35">
      <c r="A5372" s="3">
        <v>43819</v>
      </c>
      <c r="B5372" t="s">
        <v>50</v>
      </c>
      <c r="C5372">
        <v>18.100000000000001</v>
      </c>
      <c r="D5372">
        <v>18.2</v>
      </c>
      <c r="E5372">
        <v>18.05</v>
      </c>
      <c r="F5372">
        <v>18.13</v>
      </c>
      <c r="G5372">
        <v>18.149999999999999</v>
      </c>
      <c r="H5372">
        <v>2.5000000000000001E-2</v>
      </c>
      <c r="I5372">
        <v>102</v>
      </c>
      <c r="J5372">
        <v>0</v>
      </c>
      <c r="K5372">
        <v>1804</v>
      </c>
      <c r="L5372">
        <v>168</v>
      </c>
      <c r="M5372">
        <v>243</v>
      </c>
      <c r="N5372" t="s">
        <v>50</v>
      </c>
      <c r="O5372" s="3">
        <v>44062</v>
      </c>
      <c r="P5372">
        <v>-1</v>
      </c>
      <c r="T5372" t="s">
        <v>27</v>
      </c>
      <c r="U5372">
        <v>121</v>
      </c>
      <c r="V5372">
        <v>26.601400000000002</v>
      </c>
    </row>
    <row r="5373" spans="1:22" x14ac:dyDescent="0.35">
      <c r="A5373" s="3">
        <v>43819</v>
      </c>
      <c r="B5373" t="s">
        <v>55</v>
      </c>
      <c r="C5373">
        <v>16.600000000000001</v>
      </c>
      <c r="D5373">
        <v>16.75</v>
      </c>
      <c r="E5373">
        <v>16.5</v>
      </c>
      <c r="F5373">
        <v>16.73</v>
      </c>
      <c r="G5373">
        <v>16.725000000000001</v>
      </c>
      <c r="H5373">
        <v>0.1</v>
      </c>
      <c r="I5373">
        <v>14800</v>
      </c>
      <c r="J5373">
        <v>0</v>
      </c>
      <c r="K5373">
        <v>44079</v>
      </c>
      <c r="L5373">
        <v>59</v>
      </c>
      <c r="M5373">
        <v>89</v>
      </c>
      <c r="N5373" t="s">
        <v>55</v>
      </c>
      <c r="O5373" s="3">
        <v>43908</v>
      </c>
      <c r="P5373">
        <v>-1</v>
      </c>
      <c r="T5373" t="s">
        <v>25</v>
      </c>
      <c r="U5373">
        <v>141</v>
      </c>
      <c r="V5373">
        <v>26.861499999999999</v>
      </c>
    </row>
    <row r="5374" spans="1:22" x14ac:dyDescent="0.35">
      <c r="A5374" s="3">
        <v>43818</v>
      </c>
      <c r="B5374" t="s">
        <v>54</v>
      </c>
      <c r="C5374">
        <v>17.45</v>
      </c>
      <c r="D5374">
        <v>17.48</v>
      </c>
      <c r="E5374">
        <v>17.18</v>
      </c>
      <c r="F5374">
        <v>17.22</v>
      </c>
      <c r="G5374">
        <v>17.225000000000001</v>
      </c>
      <c r="H5374">
        <v>-0.2</v>
      </c>
      <c r="I5374">
        <v>9877</v>
      </c>
      <c r="J5374">
        <v>0</v>
      </c>
      <c r="K5374">
        <v>29230</v>
      </c>
      <c r="L5374">
        <v>80</v>
      </c>
      <c r="M5374">
        <v>118</v>
      </c>
      <c r="N5374" t="s">
        <v>54</v>
      </c>
      <c r="O5374" s="3">
        <v>43936</v>
      </c>
      <c r="P5374">
        <v>-1</v>
      </c>
      <c r="T5374" t="s">
        <v>20</v>
      </c>
      <c r="U5374">
        <v>161</v>
      </c>
      <c r="V5374">
        <v>26.3</v>
      </c>
    </row>
    <row r="5375" spans="1:22" x14ac:dyDescent="0.35">
      <c r="A5375" s="3">
        <v>43818</v>
      </c>
      <c r="B5375" t="s">
        <v>50</v>
      </c>
      <c r="C5375">
        <v>18.25</v>
      </c>
      <c r="D5375">
        <v>18.25</v>
      </c>
      <c r="E5375">
        <v>18.079999999999998</v>
      </c>
      <c r="F5375">
        <v>18.100000000000001</v>
      </c>
      <c r="G5375">
        <v>18.125</v>
      </c>
      <c r="H5375">
        <v>-0.125</v>
      </c>
      <c r="I5375">
        <v>201</v>
      </c>
      <c r="J5375">
        <v>0</v>
      </c>
      <c r="K5375">
        <v>1795</v>
      </c>
      <c r="L5375">
        <v>169</v>
      </c>
      <c r="M5375">
        <v>244</v>
      </c>
      <c r="N5375" t="s">
        <v>50</v>
      </c>
      <c r="O5375" s="3">
        <v>44062</v>
      </c>
      <c r="P5375">
        <v>-1</v>
      </c>
      <c r="T5375" t="s">
        <v>21</v>
      </c>
      <c r="U5375">
        <v>185</v>
      </c>
      <c r="V5375">
        <v>25.625</v>
      </c>
    </row>
    <row r="5376" spans="1:22" x14ac:dyDescent="0.35">
      <c r="A5376" s="3">
        <v>43818</v>
      </c>
      <c r="B5376" t="s">
        <v>55</v>
      </c>
      <c r="C5376">
        <v>16.87</v>
      </c>
      <c r="D5376">
        <v>16.91</v>
      </c>
      <c r="E5376">
        <v>16.600000000000001</v>
      </c>
      <c r="F5376">
        <v>16.62</v>
      </c>
      <c r="G5376">
        <v>16.625</v>
      </c>
      <c r="H5376">
        <v>-0.2</v>
      </c>
      <c r="I5376">
        <v>17108</v>
      </c>
      <c r="J5376">
        <v>0</v>
      </c>
      <c r="K5376">
        <v>44518</v>
      </c>
      <c r="L5376">
        <v>60</v>
      </c>
      <c r="M5376">
        <v>90</v>
      </c>
      <c r="N5376" t="s">
        <v>55</v>
      </c>
      <c r="O5376" s="3">
        <v>43908</v>
      </c>
      <c r="P5376">
        <v>-1</v>
      </c>
      <c r="S5376" s="3">
        <v>44652</v>
      </c>
      <c r="T5376" t="s">
        <v>30</v>
      </c>
      <c r="U5376">
        <v>13</v>
      </c>
      <c r="V5376">
        <v>22.3324</v>
      </c>
    </row>
    <row r="5377" spans="1:22" x14ac:dyDescent="0.35">
      <c r="A5377" s="3">
        <v>43818</v>
      </c>
      <c r="B5377" t="s">
        <v>51</v>
      </c>
      <c r="C5377">
        <v>18.12</v>
      </c>
      <c r="D5377">
        <v>18.149999999999999</v>
      </c>
      <c r="E5377">
        <v>17.95</v>
      </c>
      <c r="F5377">
        <v>17.989999999999998</v>
      </c>
      <c r="G5377">
        <v>17.975000000000001</v>
      </c>
      <c r="H5377">
        <v>-0.15</v>
      </c>
      <c r="I5377">
        <v>820</v>
      </c>
      <c r="J5377">
        <v>0</v>
      </c>
      <c r="K5377">
        <v>4863</v>
      </c>
      <c r="L5377">
        <v>149</v>
      </c>
      <c r="M5377">
        <v>216</v>
      </c>
      <c r="N5377" t="s">
        <v>51</v>
      </c>
      <c r="O5377" s="3">
        <v>44034</v>
      </c>
      <c r="P5377">
        <v>-1</v>
      </c>
      <c r="T5377" t="s">
        <v>29</v>
      </c>
      <c r="U5377">
        <v>33</v>
      </c>
      <c r="V5377">
        <v>24.214099999999998</v>
      </c>
    </row>
    <row r="5378" spans="1:22" x14ac:dyDescent="0.35">
      <c r="A5378" s="3">
        <v>43818</v>
      </c>
      <c r="B5378" t="s">
        <v>48</v>
      </c>
      <c r="C5378">
        <v>19.3</v>
      </c>
      <c r="D5378">
        <v>19.600000000000001</v>
      </c>
      <c r="E5378">
        <v>19.3</v>
      </c>
      <c r="F5378">
        <v>19.55</v>
      </c>
      <c r="G5378">
        <v>19.574999999999999</v>
      </c>
      <c r="H5378">
        <v>0.22500000000000001</v>
      </c>
      <c r="I5378">
        <v>48</v>
      </c>
      <c r="J5378">
        <v>0</v>
      </c>
      <c r="K5378">
        <v>549</v>
      </c>
      <c r="L5378">
        <v>213</v>
      </c>
      <c r="M5378">
        <v>307</v>
      </c>
      <c r="N5378" t="s">
        <v>48</v>
      </c>
      <c r="O5378" s="3">
        <v>44125</v>
      </c>
      <c r="P5378">
        <v>-1</v>
      </c>
      <c r="T5378" t="s">
        <v>28</v>
      </c>
      <c r="U5378">
        <v>52</v>
      </c>
      <c r="V5378">
        <v>25.040500000000002</v>
      </c>
    </row>
    <row r="5379" spans="1:22" x14ac:dyDescent="0.35">
      <c r="A5379" s="3">
        <v>43818</v>
      </c>
      <c r="B5379" t="s">
        <v>53</v>
      </c>
      <c r="C5379">
        <v>17.579999999999998</v>
      </c>
      <c r="D5379">
        <v>17.63</v>
      </c>
      <c r="E5379">
        <v>17.350000000000001</v>
      </c>
      <c r="F5379">
        <v>17.37</v>
      </c>
      <c r="G5379">
        <v>17.375</v>
      </c>
      <c r="H5379">
        <v>-0.2</v>
      </c>
      <c r="I5379">
        <v>5157</v>
      </c>
      <c r="J5379">
        <v>0</v>
      </c>
      <c r="K5379">
        <v>18818</v>
      </c>
      <c r="L5379">
        <v>105</v>
      </c>
      <c r="M5379">
        <v>153</v>
      </c>
      <c r="N5379" t="s">
        <v>53</v>
      </c>
      <c r="O5379" s="3">
        <v>43971</v>
      </c>
      <c r="P5379">
        <v>-1</v>
      </c>
      <c r="T5379" t="s">
        <v>22</v>
      </c>
      <c r="U5379">
        <v>76</v>
      </c>
      <c r="V5379">
        <v>25.85</v>
      </c>
    </row>
    <row r="5380" spans="1:22" x14ac:dyDescent="0.35">
      <c r="A5380" s="3">
        <v>43818</v>
      </c>
      <c r="B5380" t="s">
        <v>47</v>
      </c>
      <c r="C5380">
        <v>18.93</v>
      </c>
      <c r="D5380">
        <v>19.05</v>
      </c>
      <c r="E5380">
        <v>18.75</v>
      </c>
      <c r="F5380">
        <v>18.8</v>
      </c>
      <c r="G5380">
        <v>18.75</v>
      </c>
      <c r="H5380">
        <v>0</v>
      </c>
      <c r="I5380">
        <v>34</v>
      </c>
      <c r="J5380">
        <v>0</v>
      </c>
      <c r="K5380">
        <v>267</v>
      </c>
      <c r="L5380">
        <v>233</v>
      </c>
      <c r="M5380">
        <v>335</v>
      </c>
      <c r="N5380" t="s">
        <v>47</v>
      </c>
      <c r="O5380" s="3">
        <v>44153</v>
      </c>
      <c r="P5380">
        <v>-1</v>
      </c>
      <c r="T5380" t="s">
        <v>26</v>
      </c>
      <c r="U5380">
        <v>96</v>
      </c>
      <c r="V5380">
        <v>26.091799999999999</v>
      </c>
    </row>
    <row r="5381" spans="1:22" x14ac:dyDescent="0.35">
      <c r="A5381" s="3">
        <v>43818</v>
      </c>
      <c r="B5381" t="s">
        <v>52</v>
      </c>
      <c r="C5381">
        <v>17.850000000000001</v>
      </c>
      <c r="D5381">
        <v>17.920000000000002</v>
      </c>
      <c r="E5381">
        <v>17.649999999999999</v>
      </c>
      <c r="F5381">
        <v>17.7</v>
      </c>
      <c r="G5381">
        <v>17.725000000000001</v>
      </c>
      <c r="H5381">
        <v>-0.15</v>
      </c>
      <c r="I5381">
        <v>3224</v>
      </c>
      <c r="J5381">
        <v>0</v>
      </c>
      <c r="K5381">
        <v>10884</v>
      </c>
      <c r="L5381">
        <v>124</v>
      </c>
      <c r="M5381">
        <v>181</v>
      </c>
      <c r="N5381" t="s">
        <v>52</v>
      </c>
      <c r="O5381" s="3">
        <v>43999</v>
      </c>
      <c r="P5381">
        <v>-1</v>
      </c>
      <c r="T5381" t="s">
        <v>27</v>
      </c>
      <c r="U5381">
        <v>120</v>
      </c>
      <c r="V5381">
        <v>26.5</v>
      </c>
    </row>
    <row r="5382" spans="1:22" x14ac:dyDescent="0.35">
      <c r="A5382" s="3">
        <v>43818</v>
      </c>
      <c r="B5382" t="s">
        <v>49</v>
      </c>
      <c r="C5382">
        <v>18.510000000000002</v>
      </c>
      <c r="D5382">
        <v>18.600000000000001</v>
      </c>
      <c r="E5382">
        <v>18.510000000000002</v>
      </c>
      <c r="F5382">
        <v>18.52</v>
      </c>
      <c r="G5382">
        <v>18.475000000000001</v>
      </c>
      <c r="H5382">
        <v>-0.1</v>
      </c>
      <c r="I5382">
        <v>4</v>
      </c>
      <c r="J5382">
        <v>0</v>
      </c>
      <c r="K5382">
        <v>190</v>
      </c>
      <c r="L5382">
        <v>188</v>
      </c>
      <c r="M5382">
        <v>272</v>
      </c>
      <c r="N5382" t="s">
        <v>49</v>
      </c>
      <c r="O5382" s="3">
        <v>44090</v>
      </c>
      <c r="P5382">
        <v>-1</v>
      </c>
      <c r="T5382" t="s">
        <v>25</v>
      </c>
      <c r="U5382">
        <v>140</v>
      </c>
      <c r="V5382">
        <v>26.8</v>
      </c>
    </row>
    <row r="5383" spans="1:22" x14ac:dyDescent="0.35">
      <c r="A5383" s="3">
        <v>43817</v>
      </c>
      <c r="B5383" t="s">
        <v>51</v>
      </c>
      <c r="C5383">
        <v>18.149999999999999</v>
      </c>
      <c r="D5383">
        <v>18.170000000000002</v>
      </c>
      <c r="E5383">
        <v>18.02</v>
      </c>
      <c r="F5383">
        <v>18.12</v>
      </c>
      <c r="G5383">
        <v>18.125</v>
      </c>
      <c r="H5383">
        <v>-2.5000000000000001E-2</v>
      </c>
      <c r="I5383">
        <v>987</v>
      </c>
      <c r="J5383">
        <v>0</v>
      </c>
      <c r="K5383">
        <v>4921</v>
      </c>
      <c r="L5383">
        <v>150</v>
      </c>
      <c r="M5383">
        <v>217</v>
      </c>
      <c r="N5383" t="s">
        <v>51</v>
      </c>
      <c r="O5383" s="3">
        <v>44034</v>
      </c>
      <c r="P5383">
        <v>-1</v>
      </c>
      <c r="T5383" t="s">
        <v>20</v>
      </c>
      <c r="U5383">
        <v>160</v>
      </c>
      <c r="V5383">
        <v>26.15</v>
      </c>
    </row>
    <row r="5384" spans="1:22" x14ac:dyDescent="0.35">
      <c r="A5384" s="3">
        <v>43817</v>
      </c>
      <c r="B5384" t="s">
        <v>48</v>
      </c>
      <c r="C5384">
        <v>19.149999999999999</v>
      </c>
      <c r="D5384">
        <v>19.45</v>
      </c>
      <c r="E5384">
        <v>18.899999999999999</v>
      </c>
      <c r="F5384">
        <v>19.3</v>
      </c>
      <c r="G5384">
        <v>19.350000000000001</v>
      </c>
      <c r="H5384">
        <v>0.05</v>
      </c>
      <c r="I5384">
        <v>380</v>
      </c>
      <c r="J5384">
        <v>0</v>
      </c>
      <c r="K5384">
        <v>507</v>
      </c>
      <c r="L5384">
        <v>214</v>
      </c>
      <c r="M5384">
        <v>308</v>
      </c>
      <c r="N5384" t="s">
        <v>48</v>
      </c>
      <c r="O5384" s="3">
        <v>44125</v>
      </c>
      <c r="P5384">
        <v>-1</v>
      </c>
      <c r="T5384" t="s">
        <v>21</v>
      </c>
      <c r="U5384">
        <v>184</v>
      </c>
      <c r="V5384">
        <v>25.45</v>
      </c>
    </row>
    <row r="5385" spans="1:22" x14ac:dyDescent="0.35">
      <c r="A5385" s="3">
        <v>43817</v>
      </c>
      <c r="B5385" t="s">
        <v>53</v>
      </c>
      <c r="C5385">
        <v>17.64</v>
      </c>
      <c r="D5385">
        <v>17.649999999999999</v>
      </c>
      <c r="E5385">
        <v>17.45</v>
      </c>
      <c r="F5385">
        <v>17.579999999999998</v>
      </c>
      <c r="G5385">
        <v>17.574999999999999</v>
      </c>
      <c r="H5385">
        <v>-0.05</v>
      </c>
      <c r="I5385">
        <v>6919</v>
      </c>
      <c r="J5385">
        <v>0</v>
      </c>
      <c r="K5385">
        <v>19213</v>
      </c>
      <c r="L5385">
        <v>106</v>
      </c>
      <c r="M5385">
        <v>154</v>
      </c>
      <c r="N5385" t="s">
        <v>53</v>
      </c>
      <c r="O5385" s="3">
        <v>43971</v>
      </c>
      <c r="P5385">
        <v>-1</v>
      </c>
      <c r="S5385" s="3">
        <v>44655</v>
      </c>
      <c r="T5385" t="s">
        <v>30</v>
      </c>
      <c r="U5385">
        <v>12</v>
      </c>
      <c r="V5385">
        <v>20.9619</v>
      </c>
    </row>
    <row r="5386" spans="1:22" x14ac:dyDescent="0.35">
      <c r="A5386" s="3">
        <v>43817</v>
      </c>
      <c r="B5386" t="s">
        <v>47</v>
      </c>
      <c r="C5386">
        <v>18.95</v>
      </c>
      <c r="D5386">
        <v>19.149999999999999</v>
      </c>
      <c r="E5386">
        <v>18.79</v>
      </c>
      <c r="F5386">
        <v>18.809999999999999</v>
      </c>
      <c r="G5386">
        <v>18.75</v>
      </c>
      <c r="H5386">
        <v>-7.4999999999999997E-2</v>
      </c>
      <c r="I5386">
        <v>182</v>
      </c>
      <c r="J5386">
        <v>0</v>
      </c>
      <c r="K5386">
        <v>234</v>
      </c>
      <c r="L5386">
        <v>234</v>
      </c>
      <c r="M5386">
        <v>336</v>
      </c>
      <c r="N5386" t="s">
        <v>47</v>
      </c>
      <c r="O5386" s="3">
        <v>44153</v>
      </c>
      <c r="P5386">
        <v>-1</v>
      </c>
      <c r="T5386" t="s">
        <v>29</v>
      </c>
      <c r="U5386">
        <v>32</v>
      </c>
      <c r="V5386">
        <v>23.147500000000001</v>
      </c>
    </row>
    <row r="5387" spans="1:22" x14ac:dyDescent="0.35">
      <c r="A5387" s="3">
        <v>43817</v>
      </c>
      <c r="B5387" t="s">
        <v>52</v>
      </c>
      <c r="C5387">
        <v>17.899999999999999</v>
      </c>
      <c r="D5387">
        <v>17.920000000000002</v>
      </c>
      <c r="E5387">
        <v>17.75</v>
      </c>
      <c r="F5387">
        <v>17.87</v>
      </c>
      <c r="G5387">
        <v>17.875</v>
      </c>
      <c r="H5387">
        <v>-0.05</v>
      </c>
      <c r="I5387">
        <v>1835</v>
      </c>
      <c r="J5387">
        <v>0</v>
      </c>
      <c r="K5387">
        <v>11264</v>
      </c>
      <c r="L5387">
        <v>125</v>
      </c>
      <c r="M5387">
        <v>182</v>
      </c>
      <c r="N5387" t="s">
        <v>52</v>
      </c>
      <c r="O5387" s="3">
        <v>43999</v>
      </c>
      <c r="P5387">
        <v>-1</v>
      </c>
      <c r="T5387" t="s">
        <v>28</v>
      </c>
      <c r="U5387">
        <v>51</v>
      </c>
      <c r="V5387">
        <v>24.367599999999999</v>
      </c>
    </row>
    <row r="5388" spans="1:22" x14ac:dyDescent="0.35">
      <c r="A5388" s="3">
        <v>43817</v>
      </c>
      <c r="B5388" t="s">
        <v>49</v>
      </c>
      <c r="C5388">
        <v>18.84</v>
      </c>
      <c r="D5388">
        <v>18.88</v>
      </c>
      <c r="E5388">
        <v>18.5</v>
      </c>
      <c r="F5388">
        <v>18.600000000000001</v>
      </c>
      <c r="G5388">
        <v>18.574999999999999</v>
      </c>
      <c r="H5388">
        <v>-7.4999999999999997E-2</v>
      </c>
      <c r="I5388">
        <v>157</v>
      </c>
      <c r="J5388">
        <v>0</v>
      </c>
      <c r="K5388">
        <v>186</v>
      </c>
      <c r="L5388">
        <v>189</v>
      </c>
      <c r="M5388">
        <v>273</v>
      </c>
      <c r="N5388" t="s">
        <v>49</v>
      </c>
      <c r="O5388" s="3">
        <v>44090</v>
      </c>
      <c r="P5388">
        <v>-1</v>
      </c>
      <c r="T5388" t="s">
        <v>22</v>
      </c>
      <c r="U5388">
        <v>75</v>
      </c>
      <c r="V5388">
        <v>25.3995</v>
      </c>
    </row>
    <row r="5389" spans="1:22" x14ac:dyDescent="0.35">
      <c r="A5389" s="3">
        <v>43817</v>
      </c>
      <c r="B5389" t="s">
        <v>54</v>
      </c>
      <c r="C5389">
        <v>17.5</v>
      </c>
      <c r="D5389">
        <v>17.52</v>
      </c>
      <c r="E5389">
        <v>17.3</v>
      </c>
      <c r="F5389">
        <v>17.399999999999999</v>
      </c>
      <c r="G5389">
        <v>17.425000000000001</v>
      </c>
      <c r="H5389">
        <v>-0.05</v>
      </c>
      <c r="I5389">
        <v>8934</v>
      </c>
      <c r="J5389">
        <v>0</v>
      </c>
      <c r="K5389">
        <v>28661</v>
      </c>
      <c r="L5389">
        <v>81</v>
      </c>
      <c r="M5389">
        <v>119</v>
      </c>
      <c r="N5389" t="s">
        <v>54</v>
      </c>
      <c r="O5389" s="3">
        <v>43936</v>
      </c>
      <c r="P5389">
        <v>-1</v>
      </c>
      <c r="T5389" t="s">
        <v>26</v>
      </c>
      <c r="U5389">
        <v>95</v>
      </c>
      <c r="V5389">
        <v>25.697700000000001</v>
      </c>
    </row>
    <row r="5390" spans="1:22" x14ac:dyDescent="0.35">
      <c r="A5390" s="3">
        <v>43817</v>
      </c>
      <c r="B5390" t="s">
        <v>50</v>
      </c>
      <c r="C5390">
        <v>18.25</v>
      </c>
      <c r="D5390">
        <v>18.260000000000002</v>
      </c>
      <c r="E5390">
        <v>18.149999999999999</v>
      </c>
      <c r="F5390">
        <v>18.25</v>
      </c>
      <c r="G5390">
        <v>18.25</v>
      </c>
      <c r="H5390">
        <v>2.5000000000000001E-2</v>
      </c>
      <c r="I5390">
        <v>876</v>
      </c>
      <c r="J5390">
        <v>0</v>
      </c>
      <c r="K5390">
        <v>1731</v>
      </c>
      <c r="L5390">
        <v>170</v>
      </c>
      <c r="M5390">
        <v>245</v>
      </c>
      <c r="N5390" t="s">
        <v>50</v>
      </c>
      <c r="O5390" s="3">
        <v>44062</v>
      </c>
      <c r="P5390">
        <v>-1</v>
      </c>
      <c r="T5390" t="s">
        <v>27</v>
      </c>
      <c r="U5390">
        <v>119</v>
      </c>
      <c r="V5390">
        <v>26.1432</v>
      </c>
    </row>
    <row r="5391" spans="1:22" x14ac:dyDescent="0.35">
      <c r="A5391" s="3">
        <v>43817</v>
      </c>
      <c r="B5391" t="s">
        <v>55</v>
      </c>
      <c r="C5391">
        <v>16.899999999999999</v>
      </c>
      <c r="D5391">
        <v>16.95</v>
      </c>
      <c r="E5391">
        <v>16.73</v>
      </c>
      <c r="F5391">
        <v>16.8</v>
      </c>
      <c r="G5391">
        <v>16.824999999999999</v>
      </c>
      <c r="H5391">
        <v>-0.05</v>
      </c>
      <c r="I5391">
        <v>13005</v>
      </c>
      <c r="J5391">
        <v>0</v>
      </c>
      <c r="K5391">
        <v>42784</v>
      </c>
      <c r="L5391">
        <v>61</v>
      </c>
      <c r="M5391">
        <v>91</v>
      </c>
      <c r="N5391" t="s">
        <v>55</v>
      </c>
      <c r="O5391" s="3">
        <v>43908</v>
      </c>
      <c r="P5391">
        <v>-1</v>
      </c>
      <c r="T5391" t="s">
        <v>25</v>
      </c>
      <c r="U5391">
        <v>139</v>
      </c>
      <c r="V5391">
        <v>26.418199999999999</v>
      </c>
    </row>
    <row r="5392" spans="1:22" x14ac:dyDescent="0.35">
      <c r="A5392" s="3">
        <v>43816</v>
      </c>
      <c r="B5392" t="s">
        <v>54</v>
      </c>
      <c r="C5392">
        <v>17.350000000000001</v>
      </c>
      <c r="D5392">
        <v>17.57</v>
      </c>
      <c r="E5392">
        <v>17.3</v>
      </c>
      <c r="F5392">
        <v>17.48</v>
      </c>
      <c r="G5392">
        <v>17.475000000000001</v>
      </c>
      <c r="H5392">
        <v>0.15</v>
      </c>
      <c r="I5392">
        <v>10196</v>
      </c>
      <c r="J5392">
        <v>0</v>
      </c>
      <c r="K5392">
        <v>29485</v>
      </c>
      <c r="L5392">
        <v>82</v>
      </c>
      <c r="M5392">
        <v>120</v>
      </c>
      <c r="N5392" t="s">
        <v>54</v>
      </c>
      <c r="O5392" s="3">
        <v>43936</v>
      </c>
      <c r="P5392">
        <v>-1</v>
      </c>
      <c r="T5392" t="s">
        <v>20</v>
      </c>
      <c r="U5392">
        <v>159</v>
      </c>
      <c r="V5392">
        <v>25.9</v>
      </c>
    </row>
    <row r="5393" spans="1:22" x14ac:dyDescent="0.35">
      <c r="A5393" s="3">
        <v>43816</v>
      </c>
      <c r="B5393" t="s">
        <v>50</v>
      </c>
      <c r="C5393">
        <v>18.149999999999999</v>
      </c>
      <c r="D5393">
        <v>18.32</v>
      </c>
      <c r="E5393">
        <v>18.13</v>
      </c>
      <c r="F5393">
        <v>18.239999999999998</v>
      </c>
      <c r="G5393">
        <v>18.225000000000001</v>
      </c>
      <c r="H5393">
        <v>0.15</v>
      </c>
      <c r="I5393">
        <v>432</v>
      </c>
      <c r="J5393">
        <v>0</v>
      </c>
      <c r="K5393">
        <v>1169</v>
      </c>
      <c r="L5393">
        <v>171</v>
      </c>
      <c r="M5393">
        <v>246</v>
      </c>
      <c r="N5393" t="s">
        <v>50</v>
      </c>
      <c r="O5393" s="3">
        <v>44062</v>
      </c>
      <c r="P5393">
        <v>-1</v>
      </c>
      <c r="T5393" t="s">
        <v>21</v>
      </c>
      <c r="U5393">
        <v>183</v>
      </c>
      <c r="V5393">
        <v>25.225000000000001</v>
      </c>
    </row>
    <row r="5394" spans="1:22" x14ac:dyDescent="0.35">
      <c r="A5394" s="3">
        <v>43816</v>
      </c>
      <c r="B5394" t="s">
        <v>55</v>
      </c>
      <c r="C5394">
        <v>16.8</v>
      </c>
      <c r="D5394">
        <v>17</v>
      </c>
      <c r="E5394">
        <v>16.72</v>
      </c>
      <c r="F5394">
        <v>16.899999999999999</v>
      </c>
      <c r="G5394">
        <v>16.875</v>
      </c>
      <c r="H5394">
        <v>0.1</v>
      </c>
      <c r="I5394">
        <v>15930</v>
      </c>
      <c r="J5394">
        <v>0</v>
      </c>
      <c r="K5394">
        <v>43314</v>
      </c>
      <c r="L5394">
        <v>62</v>
      </c>
      <c r="M5394">
        <v>92</v>
      </c>
      <c r="N5394" t="s">
        <v>55</v>
      </c>
      <c r="O5394" s="3">
        <v>43908</v>
      </c>
      <c r="P5394">
        <v>-1</v>
      </c>
      <c r="S5394" s="3">
        <v>44656</v>
      </c>
      <c r="T5394" t="s">
        <v>30</v>
      </c>
      <c r="U5394">
        <v>11</v>
      </c>
      <c r="V5394">
        <v>23.2559</v>
      </c>
    </row>
    <row r="5395" spans="1:22" x14ac:dyDescent="0.35">
      <c r="A5395" s="3">
        <v>43816</v>
      </c>
      <c r="B5395" t="s">
        <v>51</v>
      </c>
      <c r="C5395">
        <v>17.95</v>
      </c>
      <c r="D5395">
        <v>18.25</v>
      </c>
      <c r="E5395">
        <v>17.95</v>
      </c>
      <c r="F5395">
        <v>18.14</v>
      </c>
      <c r="G5395">
        <v>18.149999999999999</v>
      </c>
      <c r="H5395">
        <v>0.17499999999999999</v>
      </c>
      <c r="I5395">
        <v>1809</v>
      </c>
      <c r="J5395">
        <v>0</v>
      </c>
      <c r="K5395">
        <v>4387</v>
      </c>
      <c r="L5395">
        <v>151</v>
      </c>
      <c r="M5395">
        <v>218</v>
      </c>
      <c r="N5395" t="s">
        <v>51</v>
      </c>
      <c r="O5395" s="3">
        <v>44034</v>
      </c>
      <c r="P5395">
        <v>-1</v>
      </c>
      <c r="T5395" t="s">
        <v>29</v>
      </c>
      <c r="U5395">
        <v>31</v>
      </c>
      <c r="V5395">
        <v>24.841200000000001</v>
      </c>
    </row>
    <row r="5396" spans="1:22" x14ac:dyDescent="0.35">
      <c r="A5396" s="3">
        <v>43816</v>
      </c>
      <c r="B5396" t="s">
        <v>48</v>
      </c>
      <c r="C5396">
        <v>19.329999999999998</v>
      </c>
      <c r="D5396">
        <v>19.37</v>
      </c>
      <c r="E5396">
        <v>19.09</v>
      </c>
      <c r="F5396">
        <v>19.21</v>
      </c>
      <c r="G5396">
        <v>19.3</v>
      </c>
      <c r="H5396">
        <v>0.22500000000000001</v>
      </c>
      <c r="I5396">
        <v>59</v>
      </c>
      <c r="J5396">
        <v>0</v>
      </c>
      <c r="K5396">
        <v>135</v>
      </c>
      <c r="L5396">
        <v>215</v>
      </c>
      <c r="M5396">
        <v>309</v>
      </c>
      <c r="N5396" t="s">
        <v>48</v>
      </c>
      <c r="O5396" s="3">
        <v>44125</v>
      </c>
      <c r="P5396">
        <v>-1</v>
      </c>
      <c r="T5396" t="s">
        <v>28</v>
      </c>
      <c r="U5396">
        <v>50</v>
      </c>
      <c r="V5396">
        <v>25.6493</v>
      </c>
    </row>
    <row r="5397" spans="1:22" x14ac:dyDescent="0.35">
      <c r="A5397" s="3">
        <v>43816</v>
      </c>
      <c r="B5397" t="s">
        <v>53</v>
      </c>
      <c r="C5397">
        <v>17.45</v>
      </c>
      <c r="D5397">
        <v>17.72</v>
      </c>
      <c r="E5397">
        <v>17.43</v>
      </c>
      <c r="F5397">
        <v>17.600000000000001</v>
      </c>
      <c r="G5397">
        <v>17.625</v>
      </c>
      <c r="H5397">
        <v>0.2</v>
      </c>
      <c r="I5397">
        <v>7553</v>
      </c>
      <c r="J5397">
        <v>0</v>
      </c>
      <c r="K5397">
        <v>19299</v>
      </c>
      <c r="L5397">
        <v>107</v>
      </c>
      <c r="M5397">
        <v>155</v>
      </c>
      <c r="N5397" t="s">
        <v>53</v>
      </c>
      <c r="O5397" s="3">
        <v>43971</v>
      </c>
      <c r="P5397">
        <v>-1</v>
      </c>
      <c r="T5397" t="s">
        <v>22</v>
      </c>
      <c r="U5397">
        <v>74</v>
      </c>
      <c r="V5397">
        <v>26.405899999999999</v>
      </c>
    </row>
    <row r="5398" spans="1:22" x14ac:dyDescent="0.35">
      <c r="A5398" s="3">
        <v>43816</v>
      </c>
      <c r="B5398" t="s">
        <v>47</v>
      </c>
      <c r="C5398">
        <v>18.989999999999998</v>
      </c>
      <c r="D5398">
        <v>19.07</v>
      </c>
      <c r="E5398">
        <v>18.8</v>
      </c>
      <c r="F5398">
        <v>18.899999999999999</v>
      </c>
      <c r="G5398">
        <v>18.824999999999999</v>
      </c>
      <c r="H5398">
        <v>0.15</v>
      </c>
      <c r="I5398">
        <v>36</v>
      </c>
      <c r="J5398">
        <v>0</v>
      </c>
      <c r="K5398">
        <v>54</v>
      </c>
      <c r="L5398">
        <v>235</v>
      </c>
      <c r="M5398">
        <v>337</v>
      </c>
      <c r="N5398" t="s">
        <v>47</v>
      </c>
      <c r="O5398" s="3">
        <v>44153</v>
      </c>
      <c r="P5398">
        <v>-1</v>
      </c>
      <c r="T5398" t="s">
        <v>26</v>
      </c>
      <c r="U5398">
        <v>94</v>
      </c>
      <c r="V5398">
        <v>26.561699999999998</v>
      </c>
    </row>
    <row r="5399" spans="1:22" x14ac:dyDescent="0.35">
      <c r="A5399" s="3">
        <v>43816</v>
      </c>
      <c r="B5399" t="s">
        <v>52</v>
      </c>
      <c r="C5399">
        <v>17.649999999999999</v>
      </c>
      <c r="D5399">
        <v>17.95</v>
      </c>
      <c r="E5399">
        <v>17.61</v>
      </c>
      <c r="F5399">
        <v>17.899999999999999</v>
      </c>
      <c r="G5399">
        <v>17.925000000000001</v>
      </c>
      <c r="H5399">
        <v>0.3</v>
      </c>
      <c r="I5399">
        <v>6031</v>
      </c>
      <c r="J5399">
        <v>0</v>
      </c>
      <c r="K5399">
        <v>11548</v>
      </c>
      <c r="L5399">
        <v>126</v>
      </c>
      <c r="M5399">
        <v>183</v>
      </c>
      <c r="N5399" t="s">
        <v>52</v>
      </c>
      <c r="O5399" s="3">
        <v>43999</v>
      </c>
      <c r="P5399">
        <v>-1</v>
      </c>
      <c r="T5399" t="s">
        <v>27</v>
      </c>
      <c r="U5399">
        <v>118</v>
      </c>
      <c r="V5399">
        <v>26.928999999999998</v>
      </c>
    </row>
    <row r="5400" spans="1:22" x14ac:dyDescent="0.35">
      <c r="A5400" s="3">
        <v>43816</v>
      </c>
      <c r="B5400" t="s">
        <v>49</v>
      </c>
      <c r="C5400">
        <v>18.53</v>
      </c>
      <c r="D5400">
        <v>18.53</v>
      </c>
      <c r="E5400">
        <v>18.53</v>
      </c>
      <c r="F5400">
        <v>18.53</v>
      </c>
      <c r="G5400">
        <v>18.649999999999999</v>
      </c>
      <c r="H5400">
        <v>0.1</v>
      </c>
      <c r="I5400">
        <v>20</v>
      </c>
      <c r="J5400">
        <v>0</v>
      </c>
      <c r="K5400">
        <v>32</v>
      </c>
      <c r="L5400">
        <v>190</v>
      </c>
      <c r="M5400">
        <v>274</v>
      </c>
      <c r="N5400" t="s">
        <v>49</v>
      </c>
      <c r="O5400" s="3">
        <v>44090</v>
      </c>
      <c r="P5400">
        <v>-1</v>
      </c>
      <c r="T5400" t="s">
        <v>25</v>
      </c>
      <c r="U5400">
        <v>138</v>
      </c>
      <c r="V5400">
        <v>27.177800000000001</v>
      </c>
    </row>
    <row r="5401" spans="1:22" x14ac:dyDescent="0.35">
      <c r="A5401" s="3">
        <v>43815</v>
      </c>
      <c r="B5401" t="s">
        <v>51</v>
      </c>
      <c r="C5401">
        <v>18.149999999999999</v>
      </c>
      <c r="D5401">
        <v>18.149999999999999</v>
      </c>
      <c r="E5401">
        <v>17.920000000000002</v>
      </c>
      <c r="F5401">
        <v>17.95</v>
      </c>
      <c r="G5401">
        <v>17.975000000000001</v>
      </c>
      <c r="H5401">
        <v>-0.15</v>
      </c>
      <c r="I5401">
        <v>594</v>
      </c>
      <c r="J5401">
        <v>0</v>
      </c>
      <c r="K5401">
        <v>4335</v>
      </c>
      <c r="L5401">
        <v>152</v>
      </c>
      <c r="M5401">
        <v>219</v>
      </c>
      <c r="N5401" t="s">
        <v>51</v>
      </c>
      <c r="O5401" s="3">
        <v>44034</v>
      </c>
      <c r="P5401">
        <v>-1</v>
      </c>
      <c r="T5401" t="s">
        <v>20</v>
      </c>
      <c r="U5401">
        <v>158</v>
      </c>
      <c r="V5401">
        <v>26.55</v>
      </c>
    </row>
    <row r="5402" spans="1:22" x14ac:dyDescent="0.35">
      <c r="A5402" s="3">
        <v>43815</v>
      </c>
      <c r="B5402" t="s">
        <v>48</v>
      </c>
      <c r="C5402">
        <v>18.850000000000001</v>
      </c>
      <c r="D5402">
        <v>19.100000000000001</v>
      </c>
      <c r="E5402">
        <v>18.850000000000001</v>
      </c>
      <c r="F5402">
        <v>19.100000000000001</v>
      </c>
      <c r="G5402">
        <v>19.074999999999999</v>
      </c>
      <c r="H5402">
        <v>-0.15</v>
      </c>
      <c r="I5402">
        <v>23</v>
      </c>
      <c r="J5402">
        <v>0</v>
      </c>
      <c r="K5402">
        <v>78</v>
      </c>
      <c r="L5402">
        <v>216</v>
      </c>
      <c r="M5402">
        <v>310</v>
      </c>
      <c r="N5402" t="s">
        <v>48</v>
      </c>
      <c r="O5402" s="3">
        <v>44125</v>
      </c>
      <c r="P5402">
        <v>-1</v>
      </c>
      <c r="T5402" t="s">
        <v>21</v>
      </c>
      <c r="U5402">
        <v>182</v>
      </c>
      <c r="V5402">
        <v>25.7</v>
      </c>
    </row>
    <row r="5403" spans="1:22" x14ac:dyDescent="0.35">
      <c r="A5403" s="3">
        <v>43815</v>
      </c>
      <c r="B5403" t="s">
        <v>53</v>
      </c>
      <c r="C5403">
        <v>17.66</v>
      </c>
      <c r="D5403">
        <v>17.670000000000002</v>
      </c>
      <c r="E5403">
        <v>17.399999999999999</v>
      </c>
      <c r="F5403">
        <v>17.420000000000002</v>
      </c>
      <c r="G5403">
        <v>17.425000000000001</v>
      </c>
      <c r="H5403">
        <v>-0.2</v>
      </c>
      <c r="I5403">
        <v>4568</v>
      </c>
      <c r="J5403">
        <v>0</v>
      </c>
      <c r="K5403">
        <v>19737</v>
      </c>
      <c r="L5403">
        <v>108</v>
      </c>
      <c r="M5403">
        <v>156</v>
      </c>
      <c r="N5403" t="s">
        <v>53</v>
      </c>
      <c r="O5403" s="3">
        <v>43971</v>
      </c>
      <c r="P5403">
        <v>-1</v>
      </c>
      <c r="S5403" s="3">
        <v>44657</v>
      </c>
      <c r="T5403" t="s">
        <v>30</v>
      </c>
      <c r="U5403">
        <v>10</v>
      </c>
      <c r="V5403">
        <v>23.702200000000001</v>
      </c>
    </row>
    <row r="5404" spans="1:22" x14ac:dyDescent="0.35">
      <c r="A5404" s="3">
        <v>43815</v>
      </c>
      <c r="B5404" t="s">
        <v>52</v>
      </c>
      <c r="C5404">
        <v>17.850000000000001</v>
      </c>
      <c r="D5404">
        <v>17.850000000000001</v>
      </c>
      <c r="E5404">
        <v>17.600000000000001</v>
      </c>
      <c r="F5404">
        <v>17.62</v>
      </c>
      <c r="G5404">
        <v>17.625</v>
      </c>
      <c r="H5404">
        <v>-0.2</v>
      </c>
      <c r="I5404">
        <v>2749</v>
      </c>
      <c r="J5404">
        <v>0</v>
      </c>
      <c r="K5404">
        <v>10782</v>
      </c>
      <c r="L5404">
        <v>127</v>
      </c>
      <c r="M5404">
        <v>184</v>
      </c>
      <c r="N5404" t="s">
        <v>52</v>
      </c>
      <c r="O5404" s="3">
        <v>43999</v>
      </c>
      <c r="P5404">
        <v>-1</v>
      </c>
      <c r="T5404" t="s">
        <v>29</v>
      </c>
      <c r="U5404">
        <v>30</v>
      </c>
      <c r="V5404">
        <v>25.336300000000001</v>
      </c>
    </row>
    <row r="5405" spans="1:22" x14ac:dyDescent="0.35">
      <c r="A5405" s="3">
        <v>43815</v>
      </c>
      <c r="B5405" t="s">
        <v>54</v>
      </c>
      <c r="C5405">
        <v>17.55</v>
      </c>
      <c r="D5405">
        <v>17.600000000000001</v>
      </c>
      <c r="E5405">
        <v>17.25</v>
      </c>
      <c r="F5405">
        <v>17.32</v>
      </c>
      <c r="G5405">
        <v>17.324999999999999</v>
      </c>
      <c r="H5405">
        <v>-0.25</v>
      </c>
      <c r="I5405">
        <v>9803</v>
      </c>
      <c r="J5405">
        <v>0</v>
      </c>
      <c r="K5405">
        <v>28605</v>
      </c>
      <c r="L5405">
        <v>83</v>
      </c>
      <c r="M5405">
        <v>121</v>
      </c>
      <c r="N5405" t="s">
        <v>54</v>
      </c>
      <c r="O5405" s="3">
        <v>43936</v>
      </c>
      <c r="P5405">
        <v>-1</v>
      </c>
      <c r="T5405" t="s">
        <v>28</v>
      </c>
      <c r="U5405">
        <v>49</v>
      </c>
      <c r="V5405">
        <v>26.035</v>
      </c>
    </row>
    <row r="5406" spans="1:22" x14ac:dyDescent="0.35">
      <c r="A5406" s="3">
        <v>43815</v>
      </c>
      <c r="B5406" t="s">
        <v>50</v>
      </c>
      <c r="C5406">
        <v>18.079999999999998</v>
      </c>
      <c r="D5406">
        <v>18.2</v>
      </c>
      <c r="E5406">
        <v>18.04</v>
      </c>
      <c r="F5406">
        <v>18.100000000000001</v>
      </c>
      <c r="G5406">
        <v>18.074999999999999</v>
      </c>
      <c r="H5406">
        <v>-0.17499999999999999</v>
      </c>
      <c r="I5406">
        <v>236</v>
      </c>
      <c r="J5406">
        <v>0</v>
      </c>
      <c r="K5406">
        <v>846</v>
      </c>
      <c r="L5406">
        <v>172</v>
      </c>
      <c r="M5406">
        <v>247</v>
      </c>
      <c r="N5406" t="s">
        <v>50</v>
      </c>
      <c r="O5406" s="3">
        <v>44062</v>
      </c>
      <c r="P5406">
        <v>-1</v>
      </c>
      <c r="T5406" t="s">
        <v>22</v>
      </c>
      <c r="U5406">
        <v>73</v>
      </c>
      <c r="V5406">
        <v>26.704799999999999</v>
      </c>
    </row>
    <row r="5407" spans="1:22" x14ac:dyDescent="0.35">
      <c r="A5407" s="3">
        <v>43815</v>
      </c>
      <c r="B5407" t="s">
        <v>55</v>
      </c>
      <c r="C5407">
        <v>17</v>
      </c>
      <c r="D5407">
        <v>17.02</v>
      </c>
      <c r="E5407">
        <v>16.7</v>
      </c>
      <c r="F5407">
        <v>16.760000000000002</v>
      </c>
      <c r="G5407">
        <v>16.774999999999999</v>
      </c>
      <c r="H5407">
        <v>-0.2</v>
      </c>
      <c r="I5407">
        <v>14492</v>
      </c>
      <c r="J5407">
        <v>0</v>
      </c>
      <c r="K5407">
        <v>40596</v>
      </c>
      <c r="L5407">
        <v>63</v>
      </c>
      <c r="M5407">
        <v>93</v>
      </c>
      <c r="N5407" t="s">
        <v>55</v>
      </c>
      <c r="O5407" s="3">
        <v>43908</v>
      </c>
      <c r="P5407">
        <v>-1</v>
      </c>
      <c r="T5407" t="s">
        <v>26</v>
      </c>
      <c r="U5407">
        <v>93</v>
      </c>
      <c r="V5407">
        <v>26.85</v>
      </c>
    </row>
    <row r="5408" spans="1:22" x14ac:dyDescent="0.35">
      <c r="A5408" s="3">
        <v>43812</v>
      </c>
      <c r="B5408" t="s">
        <v>54</v>
      </c>
      <c r="C5408">
        <v>17.850000000000001</v>
      </c>
      <c r="D5408">
        <v>18.100000000000001</v>
      </c>
      <c r="E5408">
        <v>17.5</v>
      </c>
      <c r="F5408">
        <v>17.600000000000001</v>
      </c>
      <c r="G5408">
        <v>17.574999999999999</v>
      </c>
      <c r="H5408">
        <v>-0.35</v>
      </c>
      <c r="I5408">
        <v>8671</v>
      </c>
      <c r="J5408">
        <v>0</v>
      </c>
      <c r="K5408">
        <v>25781</v>
      </c>
      <c r="L5408">
        <v>84</v>
      </c>
      <c r="M5408">
        <v>124</v>
      </c>
      <c r="N5408" t="s">
        <v>54</v>
      </c>
      <c r="O5408" s="3">
        <v>43936</v>
      </c>
      <c r="P5408">
        <v>-1</v>
      </c>
      <c r="T5408" t="s">
        <v>27</v>
      </c>
      <c r="U5408">
        <v>117</v>
      </c>
      <c r="V5408">
        <v>27.128499999999999</v>
      </c>
    </row>
    <row r="5409" spans="1:22" x14ac:dyDescent="0.35">
      <c r="A5409" s="3">
        <v>43812</v>
      </c>
      <c r="B5409" t="s">
        <v>50</v>
      </c>
      <c r="C5409">
        <v>18.5</v>
      </c>
      <c r="D5409">
        <v>18.62</v>
      </c>
      <c r="E5409">
        <v>18.22</v>
      </c>
      <c r="F5409">
        <v>18.239999999999998</v>
      </c>
      <c r="G5409">
        <v>18.25</v>
      </c>
      <c r="H5409">
        <v>-0.35</v>
      </c>
      <c r="I5409">
        <v>52</v>
      </c>
      <c r="J5409">
        <v>0</v>
      </c>
      <c r="K5409">
        <v>683</v>
      </c>
      <c r="L5409">
        <v>173</v>
      </c>
      <c r="M5409">
        <v>250</v>
      </c>
      <c r="N5409" t="s">
        <v>50</v>
      </c>
      <c r="O5409" s="3">
        <v>44062</v>
      </c>
      <c r="P5409">
        <v>-1</v>
      </c>
      <c r="T5409" t="s">
        <v>25</v>
      </c>
      <c r="U5409">
        <v>137</v>
      </c>
      <c r="V5409">
        <v>27.3</v>
      </c>
    </row>
    <row r="5410" spans="1:22" x14ac:dyDescent="0.35">
      <c r="A5410" s="3">
        <v>43812</v>
      </c>
      <c r="B5410" t="s">
        <v>47</v>
      </c>
      <c r="C5410">
        <v>19.399999999999999</v>
      </c>
      <c r="D5410">
        <v>19.399999999999999</v>
      </c>
      <c r="E5410">
        <v>19.07</v>
      </c>
      <c r="F5410">
        <v>19.13</v>
      </c>
      <c r="G5410">
        <v>18.975000000000001</v>
      </c>
      <c r="H5410">
        <v>-0.15</v>
      </c>
      <c r="I5410">
        <v>16</v>
      </c>
      <c r="J5410">
        <v>0</v>
      </c>
      <c r="K5410">
        <v>20</v>
      </c>
      <c r="L5410">
        <v>237</v>
      </c>
      <c r="M5410">
        <v>341</v>
      </c>
      <c r="N5410" t="s">
        <v>47</v>
      </c>
      <c r="O5410" s="3">
        <v>44153</v>
      </c>
      <c r="P5410">
        <v>-1</v>
      </c>
      <c r="T5410" t="s">
        <v>20</v>
      </c>
      <c r="U5410">
        <v>157</v>
      </c>
      <c r="V5410">
        <v>26.7</v>
      </c>
    </row>
    <row r="5411" spans="1:22" x14ac:dyDescent="0.35">
      <c r="A5411" s="3">
        <v>43812</v>
      </c>
      <c r="B5411" t="s">
        <v>55</v>
      </c>
      <c r="C5411">
        <v>17.399999999999999</v>
      </c>
      <c r="D5411">
        <v>17.600000000000001</v>
      </c>
      <c r="E5411">
        <v>16.899999999999999</v>
      </c>
      <c r="F5411">
        <v>17.07</v>
      </c>
      <c r="G5411">
        <v>16.975000000000001</v>
      </c>
      <c r="H5411">
        <v>-0.4</v>
      </c>
      <c r="I5411">
        <v>17223</v>
      </c>
      <c r="J5411">
        <v>0</v>
      </c>
      <c r="K5411">
        <v>38499</v>
      </c>
      <c r="L5411">
        <v>64</v>
      </c>
      <c r="M5411">
        <v>96</v>
      </c>
      <c r="N5411" t="s">
        <v>55</v>
      </c>
      <c r="O5411" s="3">
        <v>43908</v>
      </c>
      <c r="P5411">
        <v>-1</v>
      </c>
      <c r="T5411" t="s">
        <v>21</v>
      </c>
      <c r="U5411">
        <v>181</v>
      </c>
      <c r="V5411">
        <v>25.9</v>
      </c>
    </row>
    <row r="5412" spans="1:22" x14ac:dyDescent="0.35">
      <c r="A5412" s="3">
        <v>43812</v>
      </c>
      <c r="B5412" t="s">
        <v>49</v>
      </c>
      <c r="C5412">
        <v>18.7</v>
      </c>
      <c r="D5412">
        <v>19.13</v>
      </c>
      <c r="E5412">
        <v>18.7</v>
      </c>
      <c r="F5412">
        <v>18.7</v>
      </c>
      <c r="G5412">
        <v>18.75</v>
      </c>
      <c r="H5412">
        <v>-0.35</v>
      </c>
      <c r="I5412">
        <v>16</v>
      </c>
      <c r="J5412">
        <v>0</v>
      </c>
      <c r="K5412">
        <v>12</v>
      </c>
      <c r="L5412">
        <v>192</v>
      </c>
      <c r="M5412">
        <v>278</v>
      </c>
      <c r="N5412" t="s">
        <v>49</v>
      </c>
      <c r="O5412" s="3">
        <v>44090</v>
      </c>
      <c r="P5412">
        <v>-1</v>
      </c>
      <c r="S5412" s="3">
        <v>44658</v>
      </c>
      <c r="T5412" t="s">
        <v>30</v>
      </c>
      <c r="U5412">
        <v>9</v>
      </c>
      <c r="V5412">
        <v>22.976900000000001</v>
      </c>
    </row>
    <row r="5413" spans="1:22" x14ac:dyDescent="0.35">
      <c r="A5413" s="3">
        <v>43812</v>
      </c>
      <c r="B5413" t="s">
        <v>51</v>
      </c>
      <c r="C5413">
        <v>18.38</v>
      </c>
      <c r="D5413">
        <v>18.55</v>
      </c>
      <c r="E5413">
        <v>18.100000000000001</v>
      </c>
      <c r="F5413">
        <v>18.14</v>
      </c>
      <c r="G5413">
        <v>18.125</v>
      </c>
      <c r="H5413">
        <v>-0.35</v>
      </c>
      <c r="I5413">
        <v>519</v>
      </c>
      <c r="J5413">
        <v>0</v>
      </c>
      <c r="K5413">
        <v>4064</v>
      </c>
      <c r="L5413">
        <v>153</v>
      </c>
      <c r="M5413">
        <v>222</v>
      </c>
      <c r="N5413" t="s">
        <v>51</v>
      </c>
      <c r="O5413" s="3">
        <v>44034</v>
      </c>
      <c r="P5413">
        <v>-1</v>
      </c>
      <c r="T5413" t="s">
        <v>29</v>
      </c>
      <c r="U5413">
        <v>29</v>
      </c>
      <c r="V5413">
        <v>24.712800000000001</v>
      </c>
    </row>
    <row r="5414" spans="1:22" x14ac:dyDescent="0.35">
      <c r="A5414" s="3">
        <v>43812</v>
      </c>
      <c r="B5414" t="s">
        <v>48</v>
      </c>
      <c r="C5414">
        <v>19.41</v>
      </c>
      <c r="D5414">
        <v>19.45</v>
      </c>
      <c r="E5414">
        <v>19.05</v>
      </c>
      <c r="F5414">
        <v>19.149999999999999</v>
      </c>
      <c r="G5414">
        <v>19.225000000000001</v>
      </c>
      <c r="H5414">
        <v>-0.25</v>
      </c>
      <c r="I5414">
        <v>39</v>
      </c>
      <c r="J5414">
        <v>0</v>
      </c>
      <c r="K5414">
        <v>56</v>
      </c>
      <c r="L5414">
        <v>217</v>
      </c>
      <c r="M5414">
        <v>313</v>
      </c>
      <c r="N5414" t="s">
        <v>48</v>
      </c>
      <c r="O5414" s="3">
        <v>44125</v>
      </c>
      <c r="P5414">
        <v>-1</v>
      </c>
      <c r="T5414" t="s">
        <v>28</v>
      </c>
      <c r="U5414">
        <v>48</v>
      </c>
      <c r="V5414">
        <v>25.65</v>
      </c>
    </row>
    <row r="5415" spans="1:22" x14ac:dyDescent="0.35">
      <c r="A5415" s="3">
        <v>43812</v>
      </c>
      <c r="B5415" t="s">
        <v>53</v>
      </c>
      <c r="C5415">
        <v>17.96</v>
      </c>
      <c r="D5415">
        <v>18.149999999999999</v>
      </c>
      <c r="E5415">
        <v>17.600000000000001</v>
      </c>
      <c r="F5415">
        <v>17.7</v>
      </c>
      <c r="G5415">
        <v>17.625</v>
      </c>
      <c r="H5415">
        <v>-0.4</v>
      </c>
      <c r="I5415">
        <v>4624</v>
      </c>
      <c r="J5415">
        <v>0</v>
      </c>
      <c r="K5415">
        <v>19020</v>
      </c>
      <c r="L5415">
        <v>109</v>
      </c>
      <c r="M5415">
        <v>159</v>
      </c>
      <c r="N5415" t="s">
        <v>53</v>
      </c>
      <c r="O5415" s="3">
        <v>43971</v>
      </c>
      <c r="P5415">
        <v>-1</v>
      </c>
      <c r="T5415" t="s">
        <v>22</v>
      </c>
      <c r="U5415">
        <v>72</v>
      </c>
      <c r="V5415">
        <v>26.432700000000001</v>
      </c>
    </row>
    <row r="5416" spans="1:22" x14ac:dyDescent="0.35">
      <c r="A5416" s="3">
        <v>43812</v>
      </c>
      <c r="B5416" t="s">
        <v>52</v>
      </c>
      <c r="C5416">
        <v>18.100000000000001</v>
      </c>
      <c r="D5416">
        <v>18.3</v>
      </c>
      <c r="E5416">
        <v>17.8</v>
      </c>
      <c r="F5416">
        <v>17.86</v>
      </c>
      <c r="G5416">
        <v>17.824999999999999</v>
      </c>
      <c r="H5416">
        <v>-0.375</v>
      </c>
      <c r="I5416">
        <v>1619</v>
      </c>
      <c r="J5416">
        <v>0</v>
      </c>
      <c r="K5416">
        <v>10828</v>
      </c>
      <c r="L5416">
        <v>128</v>
      </c>
      <c r="M5416">
        <v>187</v>
      </c>
      <c r="N5416" t="s">
        <v>52</v>
      </c>
      <c r="O5416" s="3">
        <v>43999</v>
      </c>
      <c r="P5416">
        <v>-1</v>
      </c>
      <c r="T5416" t="s">
        <v>26</v>
      </c>
      <c r="U5416">
        <v>92</v>
      </c>
      <c r="V5416">
        <v>26.650500000000001</v>
      </c>
    </row>
    <row r="5417" spans="1:22" x14ac:dyDescent="0.35">
      <c r="A5417" s="3">
        <v>43811</v>
      </c>
      <c r="B5417" t="s">
        <v>51</v>
      </c>
      <c r="C5417">
        <v>18.75</v>
      </c>
      <c r="D5417">
        <v>18.850000000000001</v>
      </c>
      <c r="E5417">
        <v>18.43</v>
      </c>
      <c r="F5417">
        <v>18.45</v>
      </c>
      <c r="G5417">
        <v>18.475000000000001</v>
      </c>
      <c r="H5417">
        <v>-0.3</v>
      </c>
      <c r="I5417">
        <v>543</v>
      </c>
      <c r="J5417">
        <v>0</v>
      </c>
      <c r="K5417">
        <v>4042</v>
      </c>
      <c r="L5417">
        <v>154</v>
      </c>
      <c r="M5417">
        <v>223</v>
      </c>
      <c r="N5417" t="s">
        <v>51</v>
      </c>
      <c r="O5417" s="3">
        <v>44034</v>
      </c>
      <c r="P5417">
        <v>-1</v>
      </c>
      <c r="T5417" t="s">
        <v>27</v>
      </c>
      <c r="U5417">
        <v>116</v>
      </c>
      <c r="V5417">
        <v>26.9788</v>
      </c>
    </row>
    <row r="5418" spans="1:22" x14ac:dyDescent="0.35">
      <c r="A5418" s="3">
        <v>43811</v>
      </c>
      <c r="B5418" t="s">
        <v>48</v>
      </c>
      <c r="C5418">
        <v>19.05</v>
      </c>
      <c r="D5418">
        <v>19.05</v>
      </c>
      <c r="E5418">
        <v>19.05</v>
      </c>
      <c r="F5418">
        <v>19.05</v>
      </c>
      <c r="G5418">
        <v>19.475000000000001</v>
      </c>
      <c r="H5418">
        <v>-0.125</v>
      </c>
      <c r="I5418">
        <v>15</v>
      </c>
      <c r="J5418">
        <v>0</v>
      </c>
      <c r="K5418">
        <v>18</v>
      </c>
      <c r="L5418">
        <v>218</v>
      </c>
      <c r="M5418">
        <v>314</v>
      </c>
      <c r="N5418" t="s">
        <v>48</v>
      </c>
      <c r="O5418" s="3">
        <v>44125</v>
      </c>
      <c r="P5418">
        <v>-1</v>
      </c>
      <c r="T5418" t="s">
        <v>25</v>
      </c>
      <c r="U5418">
        <v>136</v>
      </c>
      <c r="V5418">
        <v>27.2</v>
      </c>
    </row>
    <row r="5419" spans="1:22" x14ac:dyDescent="0.35">
      <c r="A5419" s="3">
        <v>43811</v>
      </c>
      <c r="B5419" t="s">
        <v>53</v>
      </c>
      <c r="C5419">
        <v>18.420000000000002</v>
      </c>
      <c r="D5419">
        <v>18.52</v>
      </c>
      <c r="E5419">
        <v>17.97</v>
      </c>
      <c r="F5419">
        <v>18.02</v>
      </c>
      <c r="G5419">
        <v>18.024999999999999</v>
      </c>
      <c r="H5419">
        <v>-0.35</v>
      </c>
      <c r="I5419">
        <v>4234</v>
      </c>
      <c r="J5419">
        <v>0</v>
      </c>
      <c r="K5419">
        <v>19257</v>
      </c>
      <c r="L5419">
        <v>110</v>
      </c>
      <c r="M5419">
        <v>160</v>
      </c>
      <c r="N5419" t="s">
        <v>53</v>
      </c>
      <c r="O5419" s="3">
        <v>43971</v>
      </c>
      <c r="P5419">
        <v>-1</v>
      </c>
      <c r="T5419" t="s">
        <v>20</v>
      </c>
      <c r="U5419">
        <v>156</v>
      </c>
      <c r="V5419">
        <v>26.574999999999999</v>
      </c>
    </row>
    <row r="5420" spans="1:22" x14ac:dyDescent="0.35">
      <c r="A5420" s="3">
        <v>43811</v>
      </c>
      <c r="B5420" t="s">
        <v>52</v>
      </c>
      <c r="C5420">
        <v>18.55</v>
      </c>
      <c r="D5420">
        <v>18.649999999999999</v>
      </c>
      <c r="E5420">
        <v>18.149999999999999</v>
      </c>
      <c r="F5420">
        <v>18.2</v>
      </c>
      <c r="G5420">
        <v>18.2</v>
      </c>
      <c r="H5420">
        <v>-0.32500000000000001</v>
      </c>
      <c r="I5420">
        <v>1105</v>
      </c>
      <c r="J5420">
        <v>0</v>
      </c>
      <c r="K5420">
        <v>10779</v>
      </c>
      <c r="L5420">
        <v>129</v>
      </c>
      <c r="M5420">
        <v>188</v>
      </c>
      <c r="N5420" t="s">
        <v>52</v>
      </c>
      <c r="O5420" s="3">
        <v>43999</v>
      </c>
      <c r="P5420">
        <v>-1</v>
      </c>
      <c r="T5420" t="s">
        <v>21</v>
      </c>
      <c r="U5420">
        <v>180</v>
      </c>
      <c r="V5420">
        <v>25.75</v>
      </c>
    </row>
    <row r="5421" spans="1:22" x14ac:dyDescent="0.35">
      <c r="A5421" s="3">
        <v>43811</v>
      </c>
      <c r="B5421" t="s">
        <v>54</v>
      </c>
      <c r="C5421">
        <v>18.32</v>
      </c>
      <c r="D5421">
        <v>18.47</v>
      </c>
      <c r="E5421">
        <v>17.850000000000001</v>
      </c>
      <c r="F5421">
        <v>17.95</v>
      </c>
      <c r="G5421">
        <v>17.925000000000001</v>
      </c>
      <c r="H5421">
        <v>-0.4</v>
      </c>
      <c r="I5421">
        <v>7058</v>
      </c>
      <c r="J5421">
        <v>0</v>
      </c>
      <c r="K5421">
        <v>24861</v>
      </c>
      <c r="L5421">
        <v>85</v>
      </c>
      <c r="M5421">
        <v>125</v>
      </c>
      <c r="N5421" t="s">
        <v>54</v>
      </c>
      <c r="O5421" s="3">
        <v>43936</v>
      </c>
      <c r="P5421">
        <v>-1</v>
      </c>
      <c r="S5421" s="3">
        <v>44659</v>
      </c>
      <c r="T5421" t="s">
        <v>30</v>
      </c>
      <c r="U5421">
        <v>8</v>
      </c>
      <c r="V5421">
        <v>22.8475</v>
      </c>
    </row>
    <row r="5422" spans="1:22" x14ac:dyDescent="0.35">
      <c r="A5422" s="3">
        <v>43811</v>
      </c>
      <c r="B5422" t="s">
        <v>50</v>
      </c>
      <c r="C5422">
        <v>18.63</v>
      </c>
      <c r="D5422">
        <v>18.850000000000001</v>
      </c>
      <c r="E5422">
        <v>18.600000000000001</v>
      </c>
      <c r="F5422">
        <v>18.62</v>
      </c>
      <c r="G5422">
        <v>18.600000000000001</v>
      </c>
      <c r="H5422">
        <v>-0.25</v>
      </c>
      <c r="I5422">
        <v>62</v>
      </c>
      <c r="J5422">
        <v>0</v>
      </c>
      <c r="K5422">
        <v>649</v>
      </c>
      <c r="L5422">
        <v>174</v>
      </c>
      <c r="M5422">
        <v>251</v>
      </c>
      <c r="N5422" t="s">
        <v>50</v>
      </c>
      <c r="O5422" s="3">
        <v>44062</v>
      </c>
      <c r="P5422">
        <v>-1</v>
      </c>
      <c r="T5422" t="s">
        <v>29</v>
      </c>
      <c r="U5422">
        <v>28</v>
      </c>
      <c r="V5422">
        <v>24.748899999999999</v>
      </c>
    </row>
    <row r="5423" spans="1:22" x14ac:dyDescent="0.35">
      <c r="A5423" s="3">
        <v>43811</v>
      </c>
      <c r="B5423" t="s">
        <v>47</v>
      </c>
      <c r="C5423">
        <v>19</v>
      </c>
      <c r="D5423">
        <v>19.2</v>
      </c>
      <c r="E5423">
        <v>19</v>
      </c>
      <c r="F5423">
        <v>19.2</v>
      </c>
      <c r="G5423">
        <v>19.125</v>
      </c>
      <c r="H5423">
        <v>-0.35</v>
      </c>
      <c r="I5423">
        <v>4</v>
      </c>
      <c r="J5423">
        <v>0</v>
      </c>
      <c r="K5423">
        <v>4</v>
      </c>
      <c r="L5423">
        <v>238</v>
      </c>
      <c r="M5423">
        <v>342</v>
      </c>
      <c r="N5423" t="s">
        <v>47</v>
      </c>
      <c r="O5423" s="3">
        <v>44153</v>
      </c>
      <c r="P5423">
        <v>-1</v>
      </c>
      <c r="T5423" t="s">
        <v>28</v>
      </c>
      <c r="U5423">
        <v>47</v>
      </c>
      <c r="V5423">
        <v>25.652100000000001</v>
      </c>
    </row>
    <row r="5424" spans="1:22" x14ac:dyDescent="0.35">
      <c r="A5424" s="3">
        <v>43811</v>
      </c>
      <c r="B5424" t="s">
        <v>55</v>
      </c>
      <c r="C5424">
        <v>17.82</v>
      </c>
      <c r="D5424">
        <v>18</v>
      </c>
      <c r="E5424">
        <v>17.3</v>
      </c>
      <c r="F5424">
        <v>17.45</v>
      </c>
      <c r="G5424">
        <v>17.375</v>
      </c>
      <c r="H5424">
        <v>-0.45</v>
      </c>
      <c r="I5424">
        <v>14902</v>
      </c>
      <c r="J5424">
        <v>0</v>
      </c>
      <c r="K5424">
        <v>34985</v>
      </c>
      <c r="L5424">
        <v>65</v>
      </c>
      <c r="M5424">
        <v>97</v>
      </c>
      <c r="N5424" t="s">
        <v>55</v>
      </c>
      <c r="O5424" s="3">
        <v>43908</v>
      </c>
      <c r="P5424">
        <v>-1</v>
      </c>
      <c r="T5424" t="s">
        <v>22</v>
      </c>
      <c r="U5424">
        <v>71</v>
      </c>
      <c r="V5424">
        <v>26.4968</v>
      </c>
    </row>
    <row r="5425" spans="1:22" x14ac:dyDescent="0.35">
      <c r="A5425" s="3">
        <v>43811</v>
      </c>
      <c r="B5425" t="s">
        <v>49</v>
      </c>
      <c r="C5425">
        <v>18.850000000000001</v>
      </c>
      <c r="D5425">
        <v>18.850000000000001</v>
      </c>
      <c r="E5425">
        <v>18.850000000000001</v>
      </c>
      <c r="F5425">
        <v>18.850000000000001</v>
      </c>
      <c r="G5425">
        <v>19.100000000000001</v>
      </c>
      <c r="H5425">
        <v>-0.27500000000000002</v>
      </c>
      <c r="I5425">
        <v>1</v>
      </c>
      <c r="J5425">
        <v>0</v>
      </c>
      <c r="K5425">
        <v>1</v>
      </c>
      <c r="L5425">
        <v>193</v>
      </c>
      <c r="M5425">
        <v>279</v>
      </c>
      <c r="N5425" t="s">
        <v>49</v>
      </c>
      <c r="O5425" s="3">
        <v>44090</v>
      </c>
      <c r="P5425">
        <v>-1</v>
      </c>
      <c r="T5425" t="s">
        <v>26</v>
      </c>
      <c r="U5425">
        <v>91</v>
      </c>
      <c r="V5425">
        <v>26.735600000000002</v>
      </c>
    </row>
    <row r="5426" spans="1:22" x14ac:dyDescent="0.35">
      <c r="A5426" s="3">
        <v>43810</v>
      </c>
      <c r="B5426" t="s">
        <v>54</v>
      </c>
      <c r="C5426">
        <v>18.559999999999999</v>
      </c>
      <c r="D5426">
        <v>18.649999999999999</v>
      </c>
      <c r="E5426">
        <v>18.27</v>
      </c>
      <c r="F5426">
        <v>18.32</v>
      </c>
      <c r="G5426">
        <v>18.324999999999999</v>
      </c>
      <c r="H5426">
        <v>-0.2</v>
      </c>
      <c r="I5426">
        <v>6157</v>
      </c>
      <c r="J5426">
        <v>0</v>
      </c>
      <c r="K5426">
        <v>24403</v>
      </c>
      <c r="L5426">
        <v>86</v>
      </c>
      <c r="M5426">
        <v>126</v>
      </c>
      <c r="N5426" t="s">
        <v>54</v>
      </c>
      <c r="O5426" s="3">
        <v>43936</v>
      </c>
      <c r="P5426">
        <v>-1</v>
      </c>
      <c r="T5426" t="s">
        <v>27</v>
      </c>
      <c r="U5426">
        <v>115</v>
      </c>
      <c r="V5426">
        <v>27.1</v>
      </c>
    </row>
    <row r="5427" spans="1:22" x14ac:dyDescent="0.35">
      <c r="A5427" s="3">
        <v>43810</v>
      </c>
      <c r="B5427" t="s">
        <v>50</v>
      </c>
      <c r="C5427">
        <v>19.14</v>
      </c>
      <c r="D5427">
        <v>19.14</v>
      </c>
      <c r="E5427">
        <v>18.87</v>
      </c>
      <c r="F5427">
        <v>18.87</v>
      </c>
      <c r="G5427">
        <v>18.850000000000001</v>
      </c>
      <c r="H5427">
        <v>-0.2</v>
      </c>
      <c r="I5427">
        <v>82</v>
      </c>
      <c r="J5427">
        <v>0</v>
      </c>
      <c r="K5427">
        <v>595</v>
      </c>
      <c r="L5427">
        <v>175</v>
      </c>
      <c r="M5427">
        <v>252</v>
      </c>
      <c r="N5427" t="s">
        <v>50</v>
      </c>
      <c r="O5427" s="3">
        <v>44062</v>
      </c>
      <c r="P5427">
        <v>-1</v>
      </c>
      <c r="T5427" t="s">
        <v>25</v>
      </c>
      <c r="U5427">
        <v>135</v>
      </c>
      <c r="V5427">
        <v>27.38</v>
      </c>
    </row>
    <row r="5428" spans="1:22" x14ac:dyDescent="0.35">
      <c r="A5428" s="3">
        <v>43810</v>
      </c>
      <c r="B5428" t="s">
        <v>55</v>
      </c>
      <c r="C5428">
        <v>18.100000000000001</v>
      </c>
      <c r="D5428">
        <v>18.2</v>
      </c>
      <c r="E5428">
        <v>17.75</v>
      </c>
      <c r="F5428">
        <v>17.82</v>
      </c>
      <c r="G5428">
        <v>17.824999999999999</v>
      </c>
      <c r="H5428">
        <v>-0.2</v>
      </c>
      <c r="I5428">
        <v>7347</v>
      </c>
      <c r="J5428">
        <v>0</v>
      </c>
      <c r="K5428">
        <v>32743</v>
      </c>
      <c r="L5428">
        <v>66</v>
      </c>
      <c r="M5428">
        <v>98</v>
      </c>
      <c r="N5428" t="s">
        <v>55</v>
      </c>
      <c r="O5428" s="3">
        <v>43908</v>
      </c>
      <c r="P5428">
        <v>-1</v>
      </c>
      <c r="T5428" t="s">
        <v>20</v>
      </c>
      <c r="U5428">
        <v>155</v>
      </c>
      <c r="V5428">
        <v>26.7</v>
      </c>
    </row>
    <row r="5429" spans="1:22" x14ac:dyDescent="0.35">
      <c r="A5429" s="3">
        <v>43810</v>
      </c>
      <c r="B5429" t="s">
        <v>51</v>
      </c>
      <c r="C5429">
        <v>19</v>
      </c>
      <c r="D5429">
        <v>19.05</v>
      </c>
      <c r="E5429">
        <v>18.75</v>
      </c>
      <c r="F5429">
        <v>18.75</v>
      </c>
      <c r="G5429">
        <v>18.774999999999999</v>
      </c>
      <c r="H5429">
        <v>-0.15</v>
      </c>
      <c r="I5429">
        <v>424</v>
      </c>
      <c r="J5429">
        <v>0</v>
      </c>
      <c r="K5429">
        <v>3958</v>
      </c>
      <c r="L5429">
        <v>155</v>
      </c>
      <c r="M5429">
        <v>224</v>
      </c>
      <c r="N5429" t="s">
        <v>51</v>
      </c>
      <c r="O5429" s="3">
        <v>44034</v>
      </c>
      <c r="P5429">
        <v>-1</v>
      </c>
      <c r="T5429" t="s">
        <v>21</v>
      </c>
      <c r="U5429">
        <v>179</v>
      </c>
      <c r="V5429">
        <v>25.824999999999999</v>
      </c>
    </row>
    <row r="5430" spans="1:22" x14ac:dyDescent="0.35">
      <c r="A5430" s="3">
        <v>43810</v>
      </c>
      <c r="B5430" t="s">
        <v>53</v>
      </c>
      <c r="C5430">
        <v>18.62</v>
      </c>
      <c r="D5430">
        <v>18.72</v>
      </c>
      <c r="E5430">
        <v>18.350000000000001</v>
      </c>
      <c r="F5430">
        <v>18.399999999999999</v>
      </c>
      <c r="G5430">
        <v>18.375</v>
      </c>
      <c r="H5430">
        <v>-0.2</v>
      </c>
      <c r="I5430">
        <v>3026</v>
      </c>
      <c r="J5430">
        <v>0</v>
      </c>
      <c r="K5430">
        <v>19458</v>
      </c>
      <c r="L5430">
        <v>111</v>
      </c>
      <c r="M5430">
        <v>161</v>
      </c>
      <c r="N5430" t="s">
        <v>53</v>
      </c>
      <c r="O5430" s="3">
        <v>43971</v>
      </c>
      <c r="P5430">
        <v>-1</v>
      </c>
      <c r="S5430" s="3">
        <v>44662</v>
      </c>
      <c r="T5430" t="s">
        <v>30</v>
      </c>
      <c r="U5430">
        <v>7</v>
      </c>
      <c r="V5430">
        <v>24.7042</v>
      </c>
    </row>
    <row r="5431" spans="1:22" x14ac:dyDescent="0.35">
      <c r="A5431" s="3">
        <v>43810</v>
      </c>
      <c r="B5431" t="s">
        <v>52</v>
      </c>
      <c r="C5431">
        <v>18.75</v>
      </c>
      <c r="D5431">
        <v>18.82</v>
      </c>
      <c r="E5431">
        <v>18.5</v>
      </c>
      <c r="F5431">
        <v>18.52</v>
      </c>
      <c r="G5431">
        <v>18.524999999999999</v>
      </c>
      <c r="H5431">
        <v>-0.15</v>
      </c>
      <c r="I5431">
        <v>738</v>
      </c>
      <c r="J5431">
        <v>0</v>
      </c>
      <c r="K5431">
        <v>10644</v>
      </c>
      <c r="L5431">
        <v>130</v>
      </c>
      <c r="M5431">
        <v>189</v>
      </c>
      <c r="N5431" t="s">
        <v>52</v>
      </c>
      <c r="O5431" s="3">
        <v>43999</v>
      </c>
      <c r="P5431">
        <v>-1</v>
      </c>
      <c r="T5431" t="s">
        <v>29</v>
      </c>
      <c r="U5431">
        <v>27</v>
      </c>
      <c r="V5431">
        <v>25.921900000000001</v>
      </c>
    </row>
    <row r="5432" spans="1:22" x14ac:dyDescent="0.35">
      <c r="A5432" s="3">
        <v>43809</v>
      </c>
      <c r="B5432" t="s">
        <v>51</v>
      </c>
      <c r="C5432">
        <v>19.010000000000002</v>
      </c>
      <c r="D5432">
        <v>19.100000000000001</v>
      </c>
      <c r="E5432">
        <v>18.850000000000001</v>
      </c>
      <c r="F5432">
        <v>18.95</v>
      </c>
      <c r="G5432">
        <v>18.925000000000001</v>
      </c>
      <c r="H5432">
        <v>-0.05</v>
      </c>
      <c r="I5432">
        <v>322</v>
      </c>
      <c r="J5432">
        <v>0</v>
      </c>
      <c r="K5432">
        <v>3840</v>
      </c>
      <c r="L5432">
        <v>156</v>
      </c>
      <c r="M5432">
        <v>225</v>
      </c>
      <c r="N5432" t="s">
        <v>51</v>
      </c>
      <c r="O5432" s="3">
        <v>44034</v>
      </c>
      <c r="P5432">
        <v>-1</v>
      </c>
      <c r="T5432" t="s">
        <v>28</v>
      </c>
      <c r="U5432">
        <v>46</v>
      </c>
      <c r="V5432">
        <v>26.617799999999999</v>
      </c>
    </row>
    <row r="5433" spans="1:22" x14ac:dyDescent="0.35">
      <c r="A5433" s="3">
        <v>43809</v>
      </c>
      <c r="B5433" t="s">
        <v>53</v>
      </c>
      <c r="C5433">
        <v>18.649999999999999</v>
      </c>
      <c r="D5433">
        <v>18.82</v>
      </c>
      <c r="E5433">
        <v>18.47</v>
      </c>
      <c r="F5433">
        <v>18.61</v>
      </c>
      <c r="G5433">
        <v>18.574999999999999</v>
      </c>
      <c r="H5433">
        <v>-0.1</v>
      </c>
      <c r="I5433">
        <v>2890</v>
      </c>
      <c r="J5433">
        <v>0</v>
      </c>
      <c r="K5433">
        <v>19731</v>
      </c>
      <c r="L5433">
        <v>112</v>
      </c>
      <c r="M5433">
        <v>162</v>
      </c>
      <c r="N5433" t="s">
        <v>53</v>
      </c>
      <c r="O5433" s="3">
        <v>43971</v>
      </c>
      <c r="P5433">
        <v>-1</v>
      </c>
      <c r="T5433" t="s">
        <v>22</v>
      </c>
      <c r="U5433">
        <v>70</v>
      </c>
      <c r="V5433">
        <v>27.282900000000001</v>
      </c>
    </row>
    <row r="5434" spans="1:22" x14ac:dyDescent="0.35">
      <c r="A5434" s="3">
        <v>43809</v>
      </c>
      <c r="B5434" t="s">
        <v>47</v>
      </c>
      <c r="C5434">
        <v>19.899999999999999</v>
      </c>
      <c r="D5434">
        <v>19.899999999999999</v>
      </c>
      <c r="E5434">
        <v>19.850000000000001</v>
      </c>
      <c r="F5434">
        <v>19.899999999999999</v>
      </c>
      <c r="G5434">
        <v>19.45</v>
      </c>
      <c r="H5434">
        <v>0.32500000000000001</v>
      </c>
      <c r="I5434">
        <v>1</v>
      </c>
      <c r="J5434">
        <v>0</v>
      </c>
      <c r="K5434">
        <v>1</v>
      </c>
      <c r="L5434">
        <v>240</v>
      </c>
      <c r="M5434">
        <v>344</v>
      </c>
      <c r="N5434" t="s">
        <v>47</v>
      </c>
      <c r="O5434" s="3">
        <v>44153</v>
      </c>
      <c r="P5434">
        <v>-1</v>
      </c>
      <c r="T5434" t="s">
        <v>26</v>
      </c>
      <c r="U5434">
        <v>90</v>
      </c>
      <c r="V5434">
        <v>27.398399999999999</v>
      </c>
    </row>
    <row r="5435" spans="1:22" x14ac:dyDescent="0.35">
      <c r="A5435" s="3">
        <v>43809</v>
      </c>
      <c r="B5435" t="s">
        <v>52</v>
      </c>
      <c r="C5435">
        <v>18.8</v>
      </c>
      <c r="D5435">
        <v>18.91</v>
      </c>
      <c r="E5435">
        <v>18.61</v>
      </c>
      <c r="F5435">
        <v>18.72</v>
      </c>
      <c r="G5435">
        <v>18.675000000000001</v>
      </c>
      <c r="H5435">
        <v>-0.1</v>
      </c>
      <c r="I5435">
        <v>871</v>
      </c>
      <c r="J5435">
        <v>0</v>
      </c>
      <c r="K5435">
        <v>10421</v>
      </c>
      <c r="L5435">
        <v>131</v>
      </c>
      <c r="M5435">
        <v>190</v>
      </c>
      <c r="N5435" t="s">
        <v>52</v>
      </c>
      <c r="O5435" s="3">
        <v>43999</v>
      </c>
      <c r="P5435">
        <v>-1</v>
      </c>
      <c r="T5435" t="s">
        <v>27</v>
      </c>
      <c r="U5435">
        <v>114</v>
      </c>
      <c r="V5435">
        <v>27.7</v>
      </c>
    </row>
    <row r="5436" spans="1:22" x14ac:dyDescent="0.35">
      <c r="A5436" s="3">
        <v>43809</v>
      </c>
      <c r="B5436" t="s">
        <v>54</v>
      </c>
      <c r="C5436">
        <v>18.579999999999998</v>
      </c>
      <c r="D5436">
        <v>18.73</v>
      </c>
      <c r="E5436">
        <v>18.36</v>
      </c>
      <c r="F5436">
        <v>18.55</v>
      </c>
      <c r="G5436">
        <v>18.524999999999999</v>
      </c>
      <c r="H5436">
        <v>-0.05</v>
      </c>
      <c r="I5436">
        <v>6533</v>
      </c>
      <c r="J5436">
        <v>0</v>
      </c>
      <c r="K5436">
        <v>23059</v>
      </c>
      <c r="L5436">
        <v>87</v>
      </c>
      <c r="M5436">
        <v>127</v>
      </c>
      <c r="N5436" t="s">
        <v>54</v>
      </c>
      <c r="O5436" s="3">
        <v>43936</v>
      </c>
      <c r="P5436">
        <v>-1</v>
      </c>
      <c r="T5436" t="s">
        <v>25</v>
      </c>
      <c r="U5436">
        <v>134</v>
      </c>
      <c r="V5436">
        <v>27.85</v>
      </c>
    </row>
    <row r="5437" spans="1:22" x14ac:dyDescent="0.35">
      <c r="A5437" s="3">
        <v>43809</v>
      </c>
      <c r="B5437" t="s">
        <v>48</v>
      </c>
      <c r="C5437">
        <v>20.05</v>
      </c>
      <c r="D5437">
        <v>20.05</v>
      </c>
      <c r="E5437">
        <v>19.2</v>
      </c>
      <c r="F5437">
        <v>19.7</v>
      </c>
      <c r="G5437">
        <v>19.675000000000001</v>
      </c>
      <c r="H5437">
        <v>-0.6</v>
      </c>
      <c r="I5437">
        <v>3</v>
      </c>
      <c r="J5437">
        <v>0</v>
      </c>
      <c r="K5437">
        <v>3</v>
      </c>
      <c r="L5437">
        <v>220</v>
      </c>
      <c r="M5437">
        <v>316</v>
      </c>
      <c r="N5437" t="s">
        <v>48</v>
      </c>
      <c r="O5437" s="3">
        <v>44125</v>
      </c>
      <c r="P5437">
        <v>-1</v>
      </c>
      <c r="T5437" t="s">
        <v>20</v>
      </c>
      <c r="U5437">
        <v>154</v>
      </c>
      <c r="V5437">
        <v>27.15</v>
      </c>
    </row>
    <row r="5438" spans="1:22" x14ac:dyDescent="0.35">
      <c r="A5438" s="3">
        <v>43809</v>
      </c>
      <c r="B5438" t="s">
        <v>50</v>
      </c>
      <c r="C5438">
        <v>19.079999999999998</v>
      </c>
      <c r="D5438">
        <v>19.16</v>
      </c>
      <c r="E5438">
        <v>18.97</v>
      </c>
      <c r="F5438">
        <v>19.100000000000001</v>
      </c>
      <c r="G5438">
        <v>19.05</v>
      </c>
      <c r="H5438">
        <v>-2.5000000000000001E-2</v>
      </c>
      <c r="I5438">
        <v>208</v>
      </c>
      <c r="J5438">
        <v>0</v>
      </c>
      <c r="K5438">
        <v>519</v>
      </c>
      <c r="L5438">
        <v>176</v>
      </c>
      <c r="M5438">
        <v>253</v>
      </c>
      <c r="N5438" t="s">
        <v>50</v>
      </c>
      <c r="O5438" s="3">
        <v>44062</v>
      </c>
      <c r="P5438">
        <v>-1</v>
      </c>
      <c r="T5438" t="s">
        <v>21</v>
      </c>
      <c r="U5438">
        <v>178</v>
      </c>
      <c r="V5438">
        <v>26.2</v>
      </c>
    </row>
    <row r="5439" spans="1:22" x14ac:dyDescent="0.35">
      <c r="A5439" s="3">
        <v>43809</v>
      </c>
      <c r="B5439" t="s">
        <v>55</v>
      </c>
      <c r="C5439">
        <v>18.05</v>
      </c>
      <c r="D5439">
        <v>18.25</v>
      </c>
      <c r="E5439">
        <v>17.850000000000001</v>
      </c>
      <c r="F5439">
        <v>18.07</v>
      </c>
      <c r="G5439">
        <v>18.024999999999999</v>
      </c>
      <c r="H5439">
        <v>-0.05</v>
      </c>
      <c r="I5439">
        <v>11431</v>
      </c>
      <c r="J5439">
        <v>0</v>
      </c>
      <c r="K5439">
        <v>32106</v>
      </c>
      <c r="L5439">
        <v>67</v>
      </c>
      <c r="M5439">
        <v>99</v>
      </c>
      <c r="N5439" t="s">
        <v>55</v>
      </c>
      <c r="O5439" s="3">
        <v>43908</v>
      </c>
      <c r="P5439">
        <v>-1</v>
      </c>
      <c r="S5439" s="3">
        <v>44663</v>
      </c>
      <c r="T5439" t="s">
        <v>30</v>
      </c>
      <c r="U5439">
        <v>6</v>
      </c>
      <c r="V5439">
        <v>25.0641</v>
      </c>
    </row>
    <row r="5440" spans="1:22" x14ac:dyDescent="0.35">
      <c r="A5440" s="3">
        <v>43808</v>
      </c>
      <c r="B5440" t="s">
        <v>54</v>
      </c>
      <c r="C5440">
        <v>18.190000000000001</v>
      </c>
      <c r="D5440">
        <v>18.600000000000001</v>
      </c>
      <c r="E5440">
        <v>18.18</v>
      </c>
      <c r="F5440">
        <v>18.55</v>
      </c>
      <c r="G5440">
        <v>18.574999999999999</v>
      </c>
      <c r="H5440">
        <v>0.35</v>
      </c>
      <c r="I5440">
        <v>4245</v>
      </c>
      <c r="J5440">
        <v>0</v>
      </c>
      <c r="K5440">
        <v>21815</v>
      </c>
      <c r="L5440">
        <v>88</v>
      </c>
      <c r="M5440">
        <v>128</v>
      </c>
      <c r="N5440" t="s">
        <v>54</v>
      </c>
      <c r="O5440" s="3">
        <v>43936</v>
      </c>
      <c r="P5440">
        <v>-1</v>
      </c>
      <c r="T5440" t="s">
        <v>29</v>
      </c>
      <c r="U5440">
        <v>26</v>
      </c>
      <c r="V5440">
        <v>26.204699999999999</v>
      </c>
    </row>
    <row r="5441" spans="1:22" x14ac:dyDescent="0.35">
      <c r="A5441" s="3">
        <v>43808</v>
      </c>
      <c r="B5441" t="s">
        <v>48</v>
      </c>
      <c r="C5441">
        <v>19.5</v>
      </c>
      <c r="D5441">
        <v>19.55</v>
      </c>
      <c r="E5441">
        <v>19.5</v>
      </c>
      <c r="F5441">
        <v>19.5</v>
      </c>
      <c r="G5441">
        <v>20.274999999999999</v>
      </c>
      <c r="H5441">
        <v>0</v>
      </c>
      <c r="I5441">
        <v>1</v>
      </c>
      <c r="J5441">
        <v>0</v>
      </c>
      <c r="K5441">
        <v>1</v>
      </c>
      <c r="L5441">
        <v>221</v>
      </c>
      <c r="M5441">
        <v>317</v>
      </c>
      <c r="N5441" t="s">
        <v>48</v>
      </c>
      <c r="O5441" s="3">
        <v>44125</v>
      </c>
      <c r="P5441">
        <v>-1</v>
      </c>
      <c r="T5441" t="s">
        <v>28</v>
      </c>
      <c r="U5441">
        <v>45</v>
      </c>
      <c r="V5441">
        <v>26.847799999999999</v>
      </c>
    </row>
    <row r="5442" spans="1:22" x14ac:dyDescent="0.35">
      <c r="A5442" s="3">
        <v>43808</v>
      </c>
      <c r="B5442" t="s">
        <v>50</v>
      </c>
      <c r="C5442">
        <v>18.899999999999999</v>
      </c>
      <c r="D5442">
        <v>19.05</v>
      </c>
      <c r="E5442">
        <v>18.899999999999999</v>
      </c>
      <c r="F5442">
        <v>18.98</v>
      </c>
      <c r="G5442">
        <v>19.074999999999999</v>
      </c>
      <c r="H5442">
        <v>0.22500000000000001</v>
      </c>
      <c r="I5442">
        <v>117</v>
      </c>
      <c r="J5442">
        <v>0</v>
      </c>
      <c r="K5442">
        <v>401</v>
      </c>
      <c r="L5442">
        <v>177</v>
      </c>
      <c r="M5442">
        <v>254</v>
      </c>
      <c r="N5442" t="s">
        <v>50</v>
      </c>
      <c r="O5442" s="3">
        <v>44062</v>
      </c>
      <c r="P5442">
        <v>-1</v>
      </c>
      <c r="T5442" t="s">
        <v>22</v>
      </c>
      <c r="U5442">
        <v>69</v>
      </c>
      <c r="V5442">
        <v>27.496200000000002</v>
      </c>
    </row>
    <row r="5443" spans="1:22" x14ac:dyDescent="0.35">
      <c r="A5443" s="3">
        <v>43808</v>
      </c>
      <c r="B5443" t="s">
        <v>55</v>
      </c>
      <c r="C5443">
        <v>17.63</v>
      </c>
      <c r="D5443">
        <v>18.100000000000001</v>
      </c>
      <c r="E5443">
        <v>17.63</v>
      </c>
      <c r="F5443">
        <v>18.07</v>
      </c>
      <c r="G5443">
        <v>18.074999999999999</v>
      </c>
      <c r="H5443">
        <v>0.4</v>
      </c>
      <c r="I5443">
        <v>8804</v>
      </c>
      <c r="J5443">
        <v>0</v>
      </c>
      <c r="K5443">
        <v>33629</v>
      </c>
      <c r="L5443">
        <v>68</v>
      </c>
      <c r="M5443">
        <v>100</v>
      </c>
      <c r="N5443" t="s">
        <v>55</v>
      </c>
      <c r="O5443" s="3">
        <v>43908</v>
      </c>
      <c r="P5443">
        <v>-1</v>
      </c>
      <c r="T5443" t="s">
        <v>26</v>
      </c>
      <c r="U5443">
        <v>89</v>
      </c>
      <c r="V5443">
        <v>27.6</v>
      </c>
    </row>
    <row r="5444" spans="1:22" x14ac:dyDescent="0.35">
      <c r="A5444" s="3">
        <v>43808</v>
      </c>
      <c r="B5444" t="s">
        <v>51</v>
      </c>
      <c r="C5444">
        <v>18.8</v>
      </c>
      <c r="D5444">
        <v>19.02</v>
      </c>
      <c r="E5444">
        <v>18.77</v>
      </c>
      <c r="F5444">
        <v>19.02</v>
      </c>
      <c r="G5444">
        <v>18.975000000000001</v>
      </c>
      <c r="H5444">
        <v>0.17499999999999999</v>
      </c>
      <c r="I5444">
        <v>681</v>
      </c>
      <c r="J5444">
        <v>0</v>
      </c>
      <c r="K5444">
        <v>3746</v>
      </c>
      <c r="L5444">
        <v>157</v>
      </c>
      <c r="M5444">
        <v>226</v>
      </c>
      <c r="N5444" t="s">
        <v>51</v>
      </c>
      <c r="O5444" s="3">
        <v>44034</v>
      </c>
      <c r="P5444">
        <v>-1</v>
      </c>
      <c r="T5444" t="s">
        <v>27</v>
      </c>
      <c r="U5444">
        <v>113</v>
      </c>
      <c r="V5444">
        <v>27.8535</v>
      </c>
    </row>
    <row r="5445" spans="1:22" x14ac:dyDescent="0.35">
      <c r="A5445" s="3">
        <v>43808</v>
      </c>
      <c r="B5445" t="s">
        <v>53</v>
      </c>
      <c r="C5445">
        <v>18.420000000000002</v>
      </c>
      <c r="D5445">
        <v>18.7</v>
      </c>
      <c r="E5445">
        <v>18.37</v>
      </c>
      <c r="F5445">
        <v>18.68</v>
      </c>
      <c r="G5445">
        <v>18.675000000000001</v>
      </c>
      <c r="H5445">
        <v>0.25</v>
      </c>
      <c r="I5445">
        <v>1969</v>
      </c>
      <c r="J5445">
        <v>0</v>
      </c>
      <c r="K5445">
        <v>20058</v>
      </c>
      <c r="L5445">
        <v>113</v>
      </c>
      <c r="M5445">
        <v>163</v>
      </c>
      <c r="N5445" t="s">
        <v>53</v>
      </c>
      <c r="O5445" s="3">
        <v>43971</v>
      </c>
      <c r="P5445">
        <v>-1</v>
      </c>
      <c r="T5445" t="s">
        <v>25</v>
      </c>
      <c r="U5445">
        <v>133</v>
      </c>
      <c r="V5445">
        <v>28.05</v>
      </c>
    </row>
    <row r="5446" spans="1:22" x14ac:dyDescent="0.35">
      <c r="A5446" s="3">
        <v>43808</v>
      </c>
      <c r="B5446" t="s">
        <v>47</v>
      </c>
      <c r="C5446">
        <v>19</v>
      </c>
      <c r="D5446">
        <v>19</v>
      </c>
      <c r="E5446">
        <v>19</v>
      </c>
      <c r="F5446">
        <v>19</v>
      </c>
      <c r="G5446">
        <v>19.125</v>
      </c>
      <c r="H5446">
        <v>0</v>
      </c>
      <c r="I5446">
        <v>1</v>
      </c>
      <c r="J5446">
        <v>0</v>
      </c>
      <c r="K5446">
        <v>1</v>
      </c>
      <c r="L5446">
        <v>241</v>
      </c>
      <c r="M5446">
        <v>345</v>
      </c>
      <c r="N5446" t="s">
        <v>47</v>
      </c>
      <c r="O5446" s="3">
        <v>44153</v>
      </c>
      <c r="P5446">
        <v>-1</v>
      </c>
      <c r="T5446" t="s">
        <v>20</v>
      </c>
      <c r="U5446">
        <v>153</v>
      </c>
      <c r="V5446">
        <v>27.4</v>
      </c>
    </row>
    <row r="5447" spans="1:22" x14ac:dyDescent="0.35">
      <c r="A5447" s="3">
        <v>43808</v>
      </c>
      <c r="B5447" t="s">
        <v>52</v>
      </c>
      <c r="C5447">
        <v>18.579999999999998</v>
      </c>
      <c r="D5447">
        <v>18.829999999999998</v>
      </c>
      <c r="E5447">
        <v>18.5</v>
      </c>
      <c r="F5447">
        <v>18.79</v>
      </c>
      <c r="G5447">
        <v>18.774999999999999</v>
      </c>
      <c r="H5447">
        <v>0.25</v>
      </c>
      <c r="I5447">
        <v>963</v>
      </c>
      <c r="J5447">
        <v>0</v>
      </c>
      <c r="K5447">
        <v>10208</v>
      </c>
      <c r="L5447">
        <v>132</v>
      </c>
      <c r="M5447">
        <v>191</v>
      </c>
      <c r="N5447" t="s">
        <v>52</v>
      </c>
      <c r="O5447" s="3">
        <v>43999</v>
      </c>
      <c r="P5447">
        <v>-1</v>
      </c>
      <c r="T5447" t="s">
        <v>21</v>
      </c>
      <c r="U5447">
        <v>177</v>
      </c>
      <c r="V5447">
        <v>26.4</v>
      </c>
    </row>
    <row r="5448" spans="1:22" x14ac:dyDescent="0.35">
      <c r="A5448" s="3">
        <v>43805</v>
      </c>
      <c r="B5448" t="s">
        <v>51</v>
      </c>
      <c r="C5448">
        <v>19.03</v>
      </c>
      <c r="D5448">
        <v>19.100000000000001</v>
      </c>
      <c r="E5448">
        <v>18.71</v>
      </c>
      <c r="F5448">
        <v>18.79</v>
      </c>
      <c r="G5448">
        <v>18.8</v>
      </c>
      <c r="H5448">
        <v>-0.2</v>
      </c>
      <c r="I5448">
        <v>277</v>
      </c>
      <c r="J5448">
        <v>0</v>
      </c>
      <c r="K5448">
        <v>3386</v>
      </c>
      <c r="L5448">
        <v>158</v>
      </c>
      <c r="M5448">
        <v>229</v>
      </c>
      <c r="N5448" t="s">
        <v>51</v>
      </c>
      <c r="O5448" s="3">
        <v>44034</v>
      </c>
      <c r="P5448">
        <v>-1</v>
      </c>
      <c r="S5448" s="3">
        <v>44664</v>
      </c>
      <c r="T5448" t="s">
        <v>30</v>
      </c>
      <c r="U5448">
        <v>5</v>
      </c>
      <c r="V5448">
        <v>22.6858</v>
      </c>
    </row>
    <row r="5449" spans="1:22" x14ac:dyDescent="0.35">
      <c r="A5449" s="3">
        <v>43805</v>
      </c>
      <c r="B5449" t="s">
        <v>53</v>
      </c>
      <c r="C5449">
        <v>18.649999999999999</v>
      </c>
      <c r="D5449">
        <v>18.7</v>
      </c>
      <c r="E5449">
        <v>18.3</v>
      </c>
      <c r="F5449">
        <v>18.38</v>
      </c>
      <c r="G5449">
        <v>18.425000000000001</v>
      </c>
      <c r="H5449">
        <v>-0.25</v>
      </c>
      <c r="I5449">
        <v>2807</v>
      </c>
      <c r="J5449">
        <v>0</v>
      </c>
      <c r="K5449">
        <v>20612</v>
      </c>
      <c r="L5449">
        <v>114</v>
      </c>
      <c r="M5449">
        <v>166</v>
      </c>
      <c r="N5449" t="s">
        <v>53</v>
      </c>
      <c r="O5449" s="3">
        <v>43971</v>
      </c>
      <c r="P5449">
        <v>-1</v>
      </c>
      <c r="T5449" t="s">
        <v>29</v>
      </c>
      <c r="U5449">
        <v>25</v>
      </c>
      <c r="V5449">
        <v>24.428899999999999</v>
      </c>
    </row>
    <row r="5450" spans="1:22" x14ac:dyDescent="0.35">
      <c r="A5450" s="3">
        <v>43805</v>
      </c>
      <c r="B5450" t="s">
        <v>52</v>
      </c>
      <c r="C5450">
        <v>18.8</v>
      </c>
      <c r="D5450">
        <v>18.850000000000001</v>
      </c>
      <c r="E5450">
        <v>18.43</v>
      </c>
      <c r="F5450">
        <v>18.52</v>
      </c>
      <c r="G5450">
        <v>18.524999999999999</v>
      </c>
      <c r="H5450">
        <v>-0.25</v>
      </c>
      <c r="I5450">
        <v>1023</v>
      </c>
      <c r="J5450">
        <v>0</v>
      </c>
      <c r="K5450">
        <v>9924</v>
      </c>
      <c r="L5450">
        <v>133</v>
      </c>
      <c r="M5450">
        <v>194</v>
      </c>
      <c r="N5450" t="s">
        <v>52</v>
      </c>
      <c r="O5450" s="3">
        <v>43999</v>
      </c>
      <c r="P5450">
        <v>-1</v>
      </c>
      <c r="T5450" t="s">
        <v>28</v>
      </c>
      <c r="U5450">
        <v>44</v>
      </c>
      <c r="V5450">
        <v>25.7499</v>
      </c>
    </row>
    <row r="5451" spans="1:22" x14ac:dyDescent="0.35">
      <c r="A5451" s="3">
        <v>43805</v>
      </c>
      <c r="B5451" t="s">
        <v>54</v>
      </c>
      <c r="C5451">
        <v>18.510000000000002</v>
      </c>
      <c r="D5451">
        <v>18.53</v>
      </c>
      <c r="E5451">
        <v>18.12</v>
      </c>
      <c r="F5451">
        <v>18.190000000000001</v>
      </c>
      <c r="G5451">
        <v>18.225000000000001</v>
      </c>
      <c r="H5451">
        <v>-0.3</v>
      </c>
      <c r="I5451">
        <v>6861</v>
      </c>
      <c r="J5451">
        <v>0</v>
      </c>
      <c r="K5451">
        <v>21639</v>
      </c>
      <c r="L5451">
        <v>89</v>
      </c>
      <c r="M5451">
        <v>131</v>
      </c>
      <c r="N5451" t="s">
        <v>54</v>
      </c>
      <c r="O5451" s="3">
        <v>43936</v>
      </c>
      <c r="P5451">
        <v>-1</v>
      </c>
      <c r="T5451" t="s">
        <v>22</v>
      </c>
      <c r="U5451">
        <v>68</v>
      </c>
      <c r="V5451">
        <v>26.6828</v>
      </c>
    </row>
    <row r="5452" spans="1:22" x14ac:dyDescent="0.35">
      <c r="A5452" s="3">
        <v>43805</v>
      </c>
      <c r="B5452" t="s">
        <v>50</v>
      </c>
      <c r="C5452">
        <v>19.04</v>
      </c>
      <c r="D5452">
        <v>19.04</v>
      </c>
      <c r="E5452">
        <v>18.87</v>
      </c>
      <c r="F5452">
        <v>18.87</v>
      </c>
      <c r="G5452">
        <v>18.850000000000001</v>
      </c>
      <c r="H5452">
        <v>-0.27500000000000002</v>
      </c>
      <c r="I5452">
        <v>28</v>
      </c>
      <c r="J5452">
        <v>0</v>
      </c>
      <c r="K5452">
        <v>321</v>
      </c>
      <c r="L5452">
        <v>178</v>
      </c>
      <c r="M5452">
        <v>257</v>
      </c>
      <c r="N5452" t="s">
        <v>50</v>
      </c>
      <c r="O5452" s="3">
        <v>44062</v>
      </c>
      <c r="P5452">
        <v>-1</v>
      </c>
      <c r="T5452" t="s">
        <v>26</v>
      </c>
      <c r="U5452">
        <v>88</v>
      </c>
      <c r="V5452">
        <v>26.9</v>
      </c>
    </row>
    <row r="5453" spans="1:22" x14ac:dyDescent="0.35">
      <c r="A5453" s="3">
        <v>43805</v>
      </c>
      <c r="B5453" t="s">
        <v>55</v>
      </c>
      <c r="C5453">
        <v>18.059999999999999</v>
      </c>
      <c r="D5453">
        <v>18.059999999999999</v>
      </c>
      <c r="E5453">
        <v>17.600000000000001</v>
      </c>
      <c r="F5453">
        <v>17.63</v>
      </c>
      <c r="G5453">
        <v>17.675000000000001</v>
      </c>
      <c r="H5453">
        <v>-0.4</v>
      </c>
      <c r="I5453">
        <v>7594</v>
      </c>
      <c r="J5453">
        <v>0</v>
      </c>
      <c r="K5453">
        <v>33787</v>
      </c>
      <c r="L5453">
        <v>69</v>
      </c>
      <c r="M5453">
        <v>103</v>
      </c>
      <c r="N5453" t="s">
        <v>55</v>
      </c>
      <c r="O5453" s="3">
        <v>43908</v>
      </c>
      <c r="P5453">
        <v>-1</v>
      </c>
      <c r="T5453" t="s">
        <v>27</v>
      </c>
      <c r="U5453">
        <v>112</v>
      </c>
      <c r="V5453">
        <v>27.3</v>
      </c>
    </row>
    <row r="5454" spans="1:22" x14ac:dyDescent="0.35">
      <c r="A5454" s="3">
        <v>43804</v>
      </c>
      <c r="B5454" t="s">
        <v>54</v>
      </c>
      <c r="C5454">
        <v>18.61</v>
      </c>
      <c r="D5454">
        <v>18.7</v>
      </c>
      <c r="E5454">
        <v>18.5</v>
      </c>
      <c r="F5454">
        <v>18.55</v>
      </c>
      <c r="G5454">
        <v>18.524999999999999</v>
      </c>
      <c r="H5454">
        <v>-0.1</v>
      </c>
      <c r="I5454">
        <v>4874</v>
      </c>
      <c r="J5454">
        <v>0</v>
      </c>
      <c r="K5454">
        <v>20826</v>
      </c>
      <c r="L5454">
        <v>90</v>
      </c>
      <c r="M5454">
        <v>132</v>
      </c>
      <c r="N5454" t="s">
        <v>54</v>
      </c>
      <c r="O5454" s="3">
        <v>43936</v>
      </c>
      <c r="P5454">
        <v>-1</v>
      </c>
      <c r="T5454" t="s">
        <v>25</v>
      </c>
      <c r="U5454">
        <v>132</v>
      </c>
      <c r="V5454">
        <v>27.5656</v>
      </c>
    </row>
    <row r="5455" spans="1:22" x14ac:dyDescent="0.35">
      <c r="A5455" s="3">
        <v>43804</v>
      </c>
      <c r="B5455" t="s">
        <v>50</v>
      </c>
      <c r="C5455">
        <v>19.07</v>
      </c>
      <c r="D5455">
        <v>19.07</v>
      </c>
      <c r="E5455">
        <v>19.07</v>
      </c>
      <c r="F5455">
        <v>19.07</v>
      </c>
      <c r="G5455">
        <v>19.125</v>
      </c>
      <c r="H5455">
        <v>-0.05</v>
      </c>
      <c r="I5455">
        <v>1</v>
      </c>
      <c r="J5455">
        <v>0</v>
      </c>
      <c r="K5455">
        <v>300</v>
      </c>
      <c r="L5455">
        <v>179</v>
      </c>
      <c r="M5455">
        <v>258</v>
      </c>
      <c r="N5455" t="s">
        <v>50</v>
      </c>
      <c r="O5455" s="3">
        <v>44062</v>
      </c>
      <c r="P5455">
        <v>-1</v>
      </c>
      <c r="T5455" t="s">
        <v>20</v>
      </c>
      <c r="U5455">
        <v>152</v>
      </c>
      <c r="V5455">
        <v>26.975000000000001</v>
      </c>
    </row>
    <row r="5456" spans="1:22" x14ac:dyDescent="0.35">
      <c r="A5456" s="3">
        <v>43804</v>
      </c>
      <c r="B5456" t="s">
        <v>55</v>
      </c>
      <c r="C5456">
        <v>18.22</v>
      </c>
      <c r="D5456">
        <v>18.309999999999999</v>
      </c>
      <c r="E5456">
        <v>18</v>
      </c>
      <c r="F5456">
        <v>18.07</v>
      </c>
      <c r="G5456">
        <v>18.074999999999999</v>
      </c>
      <c r="H5456">
        <v>-0.15</v>
      </c>
      <c r="I5456">
        <v>8799</v>
      </c>
      <c r="J5456">
        <v>0</v>
      </c>
      <c r="K5456">
        <v>32956</v>
      </c>
      <c r="L5456">
        <v>70</v>
      </c>
      <c r="M5456">
        <v>104</v>
      </c>
      <c r="N5456" t="s">
        <v>55</v>
      </c>
      <c r="O5456" s="3">
        <v>43908</v>
      </c>
      <c r="P5456">
        <v>-1</v>
      </c>
      <c r="T5456" t="s">
        <v>21</v>
      </c>
      <c r="U5456">
        <v>176</v>
      </c>
      <c r="V5456">
        <v>26.125</v>
      </c>
    </row>
    <row r="5457" spans="1:22" x14ac:dyDescent="0.35">
      <c r="A5457" s="3">
        <v>43804</v>
      </c>
      <c r="B5457" t="s">
        <v>51</v>
      </c>
      <c r="C5457">
        <v>19.059999999999999</v>
      </c>
      <c r="D5457">
        <v>19.149999999999999</v>
      </c>
      <c r="E5457">
        <v>18.95</v>
      </c>
      <c r="F5457">
        <v>18.95</v>
      </c>
      <c r="G5457">
        <v>19</v>
      </c>
      <c r="H5457">
        <v>-0.125</v>
      </c>
      <c r="I5457">
        <v>109</v>
      </c>
      <c r="J5457">
        <v>0</v>
      </c>
      <c r="K5457">
        <v>3307</v>
      </c>
      <c r="L5457">
        <v>159</v>
      </c>
      <c r="M5457">
        <v>230</v>
      </c>
      <c r="N5457" t="s">
        <v>51</v>
      </c>
      <c r="O5457" s="3">
        <v>44034</v>
      </c>
      <c r="P5457">
        <v>-1</v>
      </c>
      <c r="S5457" s="3">
        <v>44665</v>
      </c>
      <c r="T5457" t="s">
        <v>30</v>
      </c>
      <c r="U5457">
        <v>4</v>
      </c>
      <c r="V5457">
        <v>23.421099999999999</v>
      </c>
    </row>
    <row r="5458" spans="1:22" x14ac:dyDescent="0.35">
      <c r="A5458" s="3">
        <v>43804</v>
      </c>
      <c r="B5458" t="s">
        <v>53</v>
      </c>
      <c r="C5458">
        <v>18.8</v>
      </c>
      <c r="D5458">
        <v>18.829999999999998</v>
      </c>
      <c r="E5458">
        <v>18.649999999999999</v>
      </c>
      <c r="F5458">
        <v>18.71</v>
      </c>
      <c r="G5458">
        <v>18.675000000000001</v>
      </c>
      <c r="H5458">
        <v>-0.125</v>
      </c>
      <c r="I5458">
        <v>1681</v>
      </c>
      <c r="J5458">
        <v>0</v>
      </c>
      <c r="K5458">
        <v>20809</v>
      </c>
      <c r="L5458">
        <v>115</v>
      </c>
      <c r="M5458">
        <v>167</v>
      </c>
      <c r="N5458" t="s">
        <v>53</v>
      </c>
      <c r="O5458" s="3">
        <v>43971</v>
      </c>
      <c r="P5458">
        <v>-1</v>
      </c>
      <c r="T5458" t="s">
        <v>29</v>
      </c>
      <c r="U5458">
        <v>24</v>
      </c>
      <c r="V5458">
        <v>25.098299999999998</v>
      </c>
    </row>
    <row r="5459" spans="1:22" x14ac:dyDescent="0.35">
      <c r="A5459" s="3">
        <v>43804</v>
      </c>
      <c r="B5459" t="s">
        <v>52</v>
      </c>
      <c r="C5459">
        <v>18.89</v>
      </c>
      <c r="D5459">
        <v>18.940000000000001</v>
      </c>
      <c r="E5459">
        <v>18.77</v>
      </c>
      <c r="F5459">
        <v>18.829999999999998</v>
      </c>
      <c r="G5459">
        <v>18.774999999999999</v>
      </c>
      <c r="H5459">
        <v>-0.1</v>
      </c>
      <c r="I5459">
        <v>785</v>
      </c>
      <c r="J5459">
        <v>0</v>
      </c>
      <c r="K5459">
        <v>9867</v>
      </c>
      <c r="L5459">
        <v>134</v>
      </c>
      <c r="M5459">
        <v>195</v>
      </c>
      <c r="N5459" t="s">
        <v>52</v>
      </c>
      <c r="O5459" s="3">
        <v>43999</v>
      </c>
      <c r="P5459">
        <v>-1</v>
      </c>
      <c r="T5459" t="s">
        <v>28</v>
      </c>
      <c r="U5459">
        <v>43</v>
      </c>
      <c r="V5459">
        <v>26.151599999999998</v>
      </c>
    </row>
    <row r="5460" spans="1:22" x14ac:dyDescent="0.35">
      <c r="A5460" s="3">
        <v>43803</v>
      </c>
      <c r="B5460" t="s">
        <v>51</v>
      </c>
      <c r="C5460">
        <v>19.350000000000001</v>
      </c>
      <c r="D5460">
        <v>19.420000000000002</v>
      </c>
      <c r="E5460">
        <v>19.05</v>
      </c>
      <c r="F5460">
        <v>19.100000000000001</v>
      </c>
      <c r="G5460">
        <v>19.125</v>
      </c>
      <c r="H5460">
        <v>-0.2</v>
      </c>
      <c r="I5460">
        <v>320</v>
      </c>
      <c r="J5460">
        <v>0</v>
      </c>
      <c r="K5460">
        <v>3271</v>
      </c>
      <c r="L5460">
        <v>160</v>
      </c>
      <c r="M5460">
        <v>231</v>
      </c>
      <c r="N5460" t="s">
        <v>51</v>
      </c>
      <c r="O5460" s="3">
        <v>44034</v>
      </c>
      <c r="P5460">
        <v>-1</v>
      </c>
      <c r="T5460" t="s">
        <v>22</v>
      </c>
      <c r="U5460">
        <v>67</v>
      </c>
      <c r="V5460">
        <v>27.1</v>
      </c>
    </row>
    <row r="5461" spans="1:22" x14ac:dyDescent="0.35">
      <c r="A5461" s="3">
        <v>43803</v>
      </c>
      <c r="B5461" t="s">
        <v>53</v>
      </c>
      <c r="C5461">
        <v>19.059999999999999</v>
      </c>
      <c r="D5461">
        <v>19.149999999999999</v>
      </c>
      <c r="E5461">
        <v>18.71</v>
      </c>
      <c r="F5461">
        <v>18.78</v>
      </c>
      <c r="G5461">
        <v>18.8</v>
      </c>
      <c r="H5461">
        <v>-0.22500000000000001</v>
      </c>
      <c r="I5461">
        <v>3236</v>
      </c>
      <c r="J5461">
        <v>0</v>
      </c>
      <c r="K5461">
        <v>20545</v>
      </c>
      <c r="L5461">
        <v>116</v>
      </c>
      <c r="M5461">
        <v>168</v>
      </c>
      <c r="N5461" t="s">
        <v>53</v>
      </c>
      <c r="O5461" s="3">
        <v>43971</v>
      </c>
      <c r="P5461">
        <v>-1</v>
      </c>
      <c r="T5461" t="s">
        <v>26</v>
      </c>
      <c r="U5461">
        <v>87</v>
      </c>
      <c r="V5461">
        <v>27.337399999999999</v>
      </c>
    </row>
    <row r="5462" spans="1:22" x14ac:dyDescent="0.35">
      <c r="A5462" s="3">
        <v>43803</v>
      </c>
      <c r="B5462" t="s">
        <v>52</v>
      </c>
      <c r="C5462">
        <v>19.149999999999999</v>
      </c>
      <c r="D5462">
        <v>19.2</v>
      </c>
      <c r="E5462">
        <v>18.829999999999998</v>
      </c>
      <c r="F5462">
        <v>18.920000000000002</v>
      </c>
      <c r="G5462">
        <v>18.875</v>
      </c>
      <c r="H5462">
        <v>-0.25</v>
      </c>
      <c r="I5462">
        <v>1409</v>
      </c>
      <c r="J5462">
        <v>0</v>
      </c>
      <c r="K5462">
        <v>9745</v>
      </c>
      <c r="L5462">
        <v>135</v>
      </c>
      <c r="M5462">
        <v>196</v>
      </c>
      <c r="N5462" t="s">
        <v>52</v>
      </c>
      <c r="O5462" s="3">
        <v>43999</v>
      </c>
      <c r="P5462">
        <v>-1</v>
      </c>
      <c r="T5462" t="s">
        <v>27</v>
      </c>
      <c r="U5462">
        <v>111</v>
      </c>
      <c r="V5462">
        <v>27.700800000000001</v>
      </c>
    </row>
    <row r="5463" spans="1:22" x14ac:dyDescent="0.35">
      <c r="A5463" s="3">
        <v>43803</v>
      </c>
      <c r="B5463" t="s">
        <v>54</v>
      </c>
      <c r="C5463">
        <v>18.91</v>
      </c>
      <c r="D5463">
        <v>19</v>
      </c>
      <c r="E5463">
        <v>18.5</v>
      </c>
      <c r="F5463">
        <v>18.61</v>
      </c>
      <c r="G5463">
        <v>18.625</v>
      </c>
      <c r="H5463">
        <v>-0.25</v>
      </c>
      <c r="I5463">
        <v>5388</v>
      </c>
      <c r="J5463">
        <v>0</v>
      </c>
      <c r="K5463">
        <v>19212</v>
      </c>
      <c r="L5463">
        <v>91</v>
      </c>
      <c r="M5463">
        <v>133</v>
      </c>
      <c r="N5463" t="s">
        <v>54</v>
      </c>
      <c r="O5463" s="3">
        <v>43936</v>
      </c>
      <c r="P5463">
        <v>-1</v>
      </c>
      <c r="T5463" t="s">
        <v>25</v>
      </c>
      <c r="U5463">
        <v>131</v>
      </c>
      <c r="V5463">
        <v>27.971699999999998</v>
      </c>
    </row>
    <row r="5464" spans="1:22" x14ac:dyDescent="0.35">
      <c r="A5464" s="3">
        <v>43803</v>
      </c>
      <c r="B5464" t="s">
        <v>50</v>
      </c>
      <c r="C5464">
        <v>19.260000000000002</v>
      </c>
      <c r="D5464">
        <v>19.3</v>
      </c>
      <c r="E5464">
        <v>19.170000000000002</v>
      </c>
      <c r="F5464">
        <v>19.18</v>
      </c>
      <c r="G5464">
        <v>19.175000000000001</v>
      </c>
      <c r="H5464">
        <v>-0.2</v>
      </c>
      <c r="I5464">
        <v>32</v>
      </c>
      <c r="J5464">
        <v>0</v>
      </c>
      <c r="K5464">
        <v>299</v>
      </c>
      <c r="L5464">
        <v>180</v>
      </c>
      <c r="M5464">
        <v>259</v>
      </c>
      <c r="N5464" t="s">
        <v>50</v>
      </c>
      <c r="O5464" s="3">
        <v>44062</v>
      </c>
      <c r="P5464">
        <v>-1</v>
      </c>
      <c r="T5464" t="s">
        <v>20</v>
      </c>
      <c r="U5464">
        <v>151</v>
      </c>
      <c r="V5464">
        <v>27.324999999999999</v>
      </c>
    </row>
    <row r="5465" spans="1:22" x14ac:dyDescent="0.35">
      <c r="A5465" s="3">
        <v>43803</v>
      </c>
      <c r="B5465" t="s">
        <v>55</v>
      </c>
      <c r="C5465">
        <v>18.52</v>
      </c>
      <c r="D5465">
        <v>18.649999999999999</v>
      </c>
      <c r="E5465">
        <v>18.07</v>
      </c>
      <c r="F5465">
        <v>18.2</v>
      </c>
      <c r="G5465">
        <v>18.225000000000001</v>
      </c>
      <c r="H5465">
        <v>-0.3</v>
      </c>
      <c r="I5465">
        <v>14120</v>
      </c>
      <c r="J5465">
        <v>0</v>
      </c>
      <c r="K5465">
        <v>31594</v>
      </c>
      <c r="L5465">
        <v>71</v>
      </c>
      <c r="M5465">
        <v>105</v>
      </c>
      <c r="N5465" t="s">
        <v>55</v>
      </c>
      <c r="O5465" s="3">
        <v>43908</v>
      </c>
      <c r="P5465">
        <v>-1</v>
      </c>
      <c r="T5465" t="s">
        <v>21</v>
      </c>
      <c r="U5465">
        <v>175</v>
      </c>
      <c r="V5465">
        <v>26.375</v>
      </c>
    </row>
    <row r="5466" spans="1:22" x14ac:dyDescent="0.35">
      <c r="A5466" s="3">
        <v>43802</v>
      </c>
      <c r="B5466" t="s">
        <v>54</v>
      </c>
      <c r="C5466">
        <v>18.61</v>
      </c>
      <c r="D5466">
        <v>19.170000000000002</v>
      </c>
      <c r="E5466">
        <v>18.510000000000002</v>
      </c>
      <c r="F5466">
        <v>18.899999999999999</v>
      </c>
      <c r="G5466">
        <v>18.875</v>
      </c>
      <c r="H5466">
        <v>0.15</v>
      </c>
      <c r="I5466">
        <v>9587</v>
      </c>
      <c r="J5466">
        <v>0</v>
      </c>
      <c r="K5466">
        <v>19247</v>
      </c>
      <c r="L5466">
        <v>92</v>
      </c>
      <c r="M5466">
        <v>134</v>
      </c>
      <c r="N5466" t="s">
        <v>54</v>
      </c>
      <c r="O5466" s="3">
        <v>43936</v>
      </c>
      <c r="P5466">
        <v>-1</v>
      </c>
      <c r="S5466" s="3">
        <v>44669</v>
      </c>
      <c r="T5466" t="s">
        <v>30</v>
      </c>
      <c r="U5466">
        <v>2</v>
      </c>
      <c r="V5466">
        <v>22.951799999999999</v>
      </c>
    </row>
    <row r="5467" spans="1:22" x14ac:dyDescent="0.35">
      <c r="A5467" s="3">
        <v>43802</v>
      </c>
      <c r="B5467" t="s">
        <v>50</v>
      </c>
      <c r="C5467">
        <v>19</v>
      </c>
      <c r="D5467">
        <v>19.5</v>
      </c>
      <c r="E5467">
        <v>19</v>
      </c>
      <c r="F5467">
        <v>19.440000000000001</v>
      </c>
      <c r="G5467">
        <v>19.375</v>
      </c>
      <c r="H5467">
        <v>0.32500000000000001</v>
      </c>
      <c r="I5467">
        <v>49</v>
      </c>
      <c r="J5467">
        <v>0</v>
      </c>
      <c r="K5467">
        <v>270</v>
      </c>
      <c r="L5467">
        <v>181</v>
      </c>
      <c r="M5467">
        <v>260</v>
      </c>
      <c r="N5467" t="s">
        <v>50</v>
      </c>
      <c r="O5467" s="3">
        <v>44062</v>
      </c>
      <c r="P5467">
        <v>-1</v>
      </c>
      <c r="T5467" t="s">
        <v>29</v>
      </c>
      <c r="U5467">
        <v>22</v>
      </c>
      <c r="V5467">
        <v>24.7867</v>
      </c>
    </row>
    <row r="5468" spans="1:22" x14ac:dyDescent="0.35">
      <c r="A5468" s="3">
        <v>43802</v>
      </c>
      <c r="B5468" t="s">
        <v>55</v>
      </c>
      <c r="C5468">
        <v>18.190000000000001</v>
      </c>
      <c r="D5468">
        <v>18.8</v>
      </c>
      <c r="E5468">
        <v>18.100000000000001</v>
      </c>
      <c r="F5468">
        <v>18.5</v>
      </c>
      <c r="G5468">
        <v>18.524999999999999</v>
      </c>
      <c r="H5468">
        <v>0.25</v>
      </c>
      <c r="I5468">
        <v>19741</v>
      </c>
      <c r="J5468">
        <v>0</v>
      </c>
      <c r="K5468">
        <v>30872</v>
      </c>
      <c r="L5468">
        <v>72</v>
      </c>
      <c r="M5468">
        <v>106</v>
      </c>
      <c r="N5468" t="s">
        <v>55</v>
      </c>
      <c r="O5468" s="3">
        <v>43908</v>
      </c>
      <c r="P5468">
        <v>-1</v>
      </c>
      <c r="T5468" t="s">
        <v>28</v>
      </c>
      <c r="U5468">
        <v>41</v>
      </c>
      <c r="V5468">
        <v>25.9709</v>
      </c>
    </row>
    <row r="5469" spans="1:22" x14ac:dyDescent="0.35">
      <c r="A5469" s="3">
        <v>43802</v>
      </c>
      <c r="B5469" t="s">
        <v>51</v>
      </c>
      <c r="C5469">
        <v>19</v>
      </c>
      <c r="D5469">
        <v>19.5</v>
      </c>
      <c r="E5469">
        <v>18.98</v>
      </c>
      <c r="F5469">
        <v>19.350000000000001</v>
      </c>
      <c r="G5469">
        <v>19.324999999999999</v>
      </c>
      <c r="H5469">
        <v>0.27500000000000002</v>
      </c>
      <c r="I5469">
        <v>816</v>
      </c>
      <c r="J5469">
        <v>0</v>
      </c>
      <c r="K5469">
        <v>3170</v>
      </c>
      <c r="L5469">
        <v>161</v>
      </c>
      <c r="M5469">
        <v>232</v>
      </c>
      <c r="N5469" t="s">
        <v>51</v>
      </c>
      <c r="O5469" s="3">
        <v>44034</v>
      </c>
      <c r="P5469">
        <v>-1</v>
      </c>
      <c r="T5469" t="s">
        <v>22</v>
      </c>
      <c r="U5469">
        <v>65</v>
      </c>
      <c r="V5469">
        <v>27</v>
      </c>
    </row>
    <row r="5470" spans="1:22" x14ac:dyDescent="0.35">
      <c r="A5470" s="3">
        <v>43802</v>
      </c>
      <c r="B5470" t="s">
        <v>53</v>
      </c>
      <c r="C5470">
        <v>18.760000000000002</v>
      </c>
      <c r="D5470">
        <v>19.3</v>
      </c>
      <c r="E5470">
        <v>18.670000000000002</v>
      </c>
      <c r="F5470">
        <v>19.07</v>
      </c>
      <c r="G5470">
        <v>19.024999999999999</v>
      </c>
      <c r="H5470">
        <v>0.2</v>
      </c>
      <c r="I5470">
        <v>5563</v>
      </c>
      <c r="J5470">
        <v>0</v>
      </c>
      <c r="K5470">
        <v>19761</v>
      </c>
      <c r="L5470">
        <v>117</v>
      </c>
      <c r="M5470">
        <v>169</v>
      </c>
      <c r="N5470" t="s">
        <v>53</v>
      </c>
      <c r="O5470" s="3">
        <v>43971</v>
      </c>
      <c r="P5470">
        <v>-1</v>
      </c>
      <c r="T5470" t="s">
        <v>26</v>
      </c>
      <c r="U5470">
        <v>85</v>
      </c>
      <c r="V5470">
        <v>27.3</v>
      </c>
    </row>
    <row r="5471" spans="1:22" x14ac:dyDescent="0.35">
      <c r="A5471" s="3">
        <v>43802</v>
      </c>
      <c r="B5471" t="s">
        <v>52</v>
      </c>
      <c r="C5471">
        <v>18.87</v>
      </c>
      <c r="D5471">
        <v>19.37</v>
      </c>
      <c r="E5471">
        <v>18.8</v>
      </c>
      <c r="F5471">
        <v>19.170000000000002</v>
      </c>
      <c r="G5471">
        <v>19.125</v>
      </c>
      <c r="H5471">
        <v>0.2</v>
      </c>
      <c r="I5471">
        <v>1820</v>
      </c>
      <c r="J5471">
        <v>0</v>
      </c>
      <c r="K5471">
        <v>9152</v>
      </c>
      <c r="L5471">
        <v>136</v>
      </c>
      <c r="M5471">
        <v>197</v>
      </c>
      <c r="N5471" t="s">
        <v>52</v>
      </c>
      <c r="O5471" s="3">
        <v>43999</v>
      </c>
      <c r="P5471">
        <v>-1</v>
      </c>
      <c r="T5471" t="s">
        <v>27</v>
      </c>
      <c r="U5471">
        <v>109</v>
      </c>
      <c r="V5471">
        <v>27.799199999999999</v>
      </c>
    </row>
    <row r="5472" spans="1:22" x14ac:dyDescent="0.35">
      <c r="A5472" s="3">
        <v>43801</v>
      </c>
      <c r="B5472" t="s">
        <v>51</v>
      </c>
      <c r="C5472">
        <v>18.649999999999999</v>
      </c>
      <c r="D5472">
        <v>19.05</v>
      </c>
      <c r="E5472">
        <v>18.55</v>
      </c>
      <c r="F5472">
        <v>19.05</v>
      </c>
      <c r="G5472">
        <v>19.05</v>
      </c>
      <c r="H5472">
        <v>0.4</v>
      </c>
      <c r="I5472">
        <v>594</v>
      </c>
      <c r="J5472">
        <v>0</v>
      </c>
      <c r="K5472">
        <v>2795</v>
      </c>
      <c r="L5472">
        <v>162</v>
      </c>
      <c r="M5472">
        <v>233</v>
      </c>
      <c r="N5472" t="s">
        <v>51</v>
      </c>
      <c r="O5472" s="3">
        <v>44034</v>
      </c>
      <c r="P5472">
        <v>-1</v>
      </c>
      <c r="T5472" t="s">
        <v>25</v>
      </c>
      <c r="U5472">
        <v>129</v>
      </c>
      <c r="V5472">
        <v>28.086200000000002</v>
      </c>
    </row>
    <row r="5473" spans="1:22" x14ac:dyDescent="0.35">
      <c r="A5473" s="3">
        <v>43801</v>
      </c>
      <c r="B5473" t="s">
        <v>53</v>
      </c>
      <c r="C5473">
        <v>18.37</v>
      </c>
      <c r="D5473">
        <v>18.86</v>
      </c>
      <c r="E5473">
        <v>18.25</v>
      </c>
      <c r="F5473">
        <v>18.82</v>
      </c>
      <c r="G5473">
        <v>18.824999999999999</v>
      </c>
      <c r="H5473">
        <v>0.45</v>
      </c>
      <c r="I5473">
        <v>6354</v>
      </c>
      <c r="J5473">
        <v>0</v>
      </c>
      <c r="K5473">
        <v>18140</v>
      </c>
      <c r="L5473">
        <v>118</v>
      </c>
      <c r="M5473">
        <v>170</v>
      </c>
      <c r="N5473" t="s">
        <v>53</v>
      </c>
      <c r="O5473" s="3">
        <v>43971</v>
      </c>
      <c r="P5473">
        <v>-1</v>
      </c>
      <c r="T5473" t="s">
        <v>20</v>
      </c>
      <c r="U5473">
        <v>149</v>
      </c>
      <c r="V5473">
        <v>27.45</v>
      </c>
    </row>
    <row r="5474" spans="1:22" x14ac:dyDescent="0.35">
      <c r="A5474" s="3">
        <v>43801</v>
      </c>
      <c r="B5474" t="s">
        <v>52</v>
      </c>
      <c r="C5474">
        <v>18.45</v>
      </c>
      <c r="D5474">
        <v>18.95</v>
      </c>
      <c r="E5474">
        <v>18.39</v>
      </c>
      <c r="F5474">
        <v>18.91</v>
      </c>
      <c r="G5474">
        <v>18.925000000000001</v>
      </c>
      <c r="H5474">
        <v>0.42499999999999999</v>
      </c>
      <c r="I5474">
        <v>1694</v>
      </c>
      <c r="J5474">
        <v>0</v>
      </c>
      <c r="K5474">
        <v>8589</v>
      </c>
      <c r="L5474">
        <v>137</v>
      </c>
      <c r="M5474">
        <v>198</v>
      </c>
      <c r="N5474" t="s">
        <v>52</v>
      </c>
      <c r="O5474" s="3">
        <v>43999</v>
      </c>
      <c r="P5474">
        <v>-1</v>
      </c>
      <c r="T5474" t="s">
        <v>21</v>
      </c>
      <c r="U5474">
        <v>173</v>
      </c>
      <c r="V5474">
        <v>26.55</v>
      </c>
    </row>
    <row r="5475" spans="1:22" x14ac:dyDescent="0.35">
      <c r="A5475" s="3">
        <v>43801</v>
      </c>
      <c r="B5475" t="s">
        <v>54</v>
      </c>
      <c r="C5475">
        <v>18.22</v>
      </c>
      <c r="D5475">
        <v>18.71</v>
      </c>
      <c r="E5475">
        <v>18.05</v>
      </c>
      <c r="F5475">
        <v>18.63</v>
      </c>
      <c r="G5475">
        <v>18.725000000000001</v>
      </c>
      <c r="H5475">
        <v>0.5</v>
      </c>
      <c r="I5475">
        <v>9903</v>
      </c>
      <c r="J5475">
        <v>0</v>
      </c>
      <c r="K5475">
        <v>20241</v>
      </c>
      <c r="L5475">
        <v>93</v>
      </c>
      <c r="M5475">
        <v>135</v>
      </c>
      <c r="N5475" t="s">
        <v>54</v>
      </c>
      <c r="O5475" s="3">
        <v>43936</v>
      </c>
      <c r="P5475">
        <v>-1</v>
      </c>
      <c r="S5475" s="3">
        <v>44670</v>
      </c>
      <c r="T5475" t="s">
        <v>30</v>
      </c>
      <c r="U5475">
        <v>1</v>
      </c>
      <c r="V5475">
        <v>21.148900000000001</v>
      </c>
    </row>
    <row r="5476" spans="1:22" x14ac:dyDescent="0.35">
      <c r="A5476" s="3">
        <v>43801</v>
      </c>
      <c r="B5476" t="s">
        <v>50</v>
      </c>
      <c r="C5476">
        <v>18.8</v>
      </c>
      <c r="D5476">
        <v>19.100000000000001</v>
      </c>
      <c r="E5476">
        <v>18.77</v>
      </c>
      <c r="F5476">
        <v>19.100000000000001</v>
      </c>
      <c r="G5476">
        <v>19.05</v>
      </c>
      <c r="H5476">
        <v>0.42499999999999999</v>
      </c>
      <c r="I5476">
        <v>129</v>
      </c>
      <c r="J5476">
        <v>0</v>
      </c>
      <c r="K5476">
        <v>230</v>
      </c>
      <c r="L5476">
        <v>182</v>
      </c>
      <c r="M5476">
        <v>261</v>
      </c>
      <c r="N5476" t="s">
        <v>50</v>
      </c>
      <c r="O5476" s="3">
        <v>44062</v>
      </c>
      <c r="P5476">
        <v>-1</v>
      </c>
      <c r="T5476" t="s">
        <v>29</v>
      </c>
      <c r="U5476">
        <v>21</v>
      </c>
      <c r="V5476">
        <v>23.541599999999999</v>
      </c>
    </row>
    <row r="5477" spans="1:22" x14ac:dyDescent="0.35">
      <c r="A5477" s="3">
        <v>43801</v>
      </c>
      <c r="B5477" t="s">
        <v>55</v>
      </c>
      <c r="C5477">
        <v>17.82</v>
      </c>
      <c r="D5477">
        <v>18.3</v>
      </c>
      <c r="E5477">
        <v>17.649999999999999</v>
      </c>
      <c r="F5477">
        <v>18.21</v>
      </c>
      <c r="G5477">
        <v>18.274999999999999</v>
      </c>
      <c r="H5477">
        <v>0.4</v>
      </c>
      <c r="I5477">
        <v>19151</v>
      </c>
      <c r="J5477">
        <v>0</v>
      </c>
      <c r="K5477">
        <v>33015</v>
      </c>
      <c r="L5477">
        <v>73</v>
      </c>
      <c r="M5477">
        <v>107</v>
      </c>
      <c r="N5477" t="s">
        <v>55</v>
      </c>
      <c r="O5477" s="3">
        <v>43908</v>
      </c>
      <c r="P5477">
        <v>-1</v>
      </c>
      <c r="T5477" t="s">
        <v>28</v>
      </c>
      <c r="U5477">
        <v>40</v>
      </c>
      <c r="V5477">
        <v>24.982900000000001</v>
      </c>
    </row>
    <row r="5478" spans="1:22" x14ac:dyDescent="0.35">
      <c r="A5478" s="3">
        <v>43798</v>
      </c>
      <c r="B5478" t="s">
        <v>54</v>
      </c>
      <c r="C5478">
        <v>17.95</v>
      </c>
      <c r="D5478">
        <v>18.25</v>
      </c>
      <c r="E5478">
        <v>17.95</v>
      </c>
      <c r="F5478">
        <v>18.25</v>
      </c>
      <c r="G5478">
        <v>18.225000000000001</v>
      </c>
      <c r="H5478">
        <v>0.2</v>
      </c>
      <c r="I5478">
        <v>3169</v>
      </c>
      <c r="J5478">
        <v>0</v>
      </c>
      <c r="K5478">
        <v>18555</v>
      </c>
      <c r="L5478">
        <v>94</v>
      </c>
      <c r="M5478">
        <v>138</v>
      </c>
      <c r="N5478" t="s">
        <v>54</v>
      </c>
      <c r="O5478" s="3">
        <v>43936</v>
      </c>
      <c r="P5478">
        <v>-1</v>
      </c>
      <c r="T5478" t="s">
        <v>22</v>
      </c>
      <c r="U5478">
        <v>64</v>
      </c>
      <c r="V5478">
        <v>26.198599999999999</v>
      </c>
    </row>
    <row r="5479" spans="1:22" x14ac:dyDescent="0.35">
      <c r="A5479" s="3">
        <v>43798</v>
      </c>
      <c r="B5479" t="s">
        <v>50</v>
      </c>
      <c r="C5479">
        <v>18.73</v>
      </c>
      <c r="D5479">
        <v>18.8</v>
      </c>
      <c r="E5479">
        <v>18.66</v>
      </c>
      <c r="F5479">
        <v>18.66</v>
      </c>
      <c r="G5479">
        <v>18.625</v>
      </c>
      <c r="H5479">
        <v>7.4999999999999997E-2</v>
      </c>
      <c r="I5479">
        <v>39</v>
      </c>
      <c r="J5479">
        <v>0</v>
      </c>
      <c r="K5479">
        <v>135</v>
      </c>
      <c r="L5479">
        <v>183</v>
      </c>
      <c r="M5479">
        <v>264</v>
      </c>
      <c r="N5479" t="s">
        <v>50</v>
      </c>
      <c r="O5479" s="3">
        <v>44062</v>
      </c>
      <c r="P5479">
        <v>-1</v>
      </c>
      <c r="T5479" t="s">
        <v>26</v>
      </c>
      <c r="U5479">
        <v>84</v>
      </c>
      <c r="V5479">
        <v>26.599599999999999</v>
      </c>
    </row>
    <row r="5480" spans="1:22" x14ac:dyDescent="0.35">
      <c r="A5480" s="3">
        <v>43798</v>
      </c>
      <c r="B5480" t="s">
        <v>55</v>
      </c>
      <c r="C5480">
        <v>17.600000000000001</v>
      </c>
      <c r="D5480">
        <v>17.87</v>
      </c>
      <c r="E5480">
        <v>17.600000000000001</v>
      </c>
      <c r="F5480">
        <v>17.86</v>
      </c>
      <c r="G5480">
        <v>17.875</v>
      </c>
      <c r="H5480">
        <v>0.3</v>
      </c>
      <c r="I5480">
        <v>4411</v>
      </c>
      <c r="J5480">
        <v>0</v>
      </c>
      <c r="K5480">
        <v>34261</v>
      </c>
      <c r="L5480">
        <v>74</v>
      </c>
      <c r="M5480">
        <v>110</v>
      </c>
      <c r="N5480" t="s">
        <v>55</v>
      </c>
      <c r="O5480" s="3">
        <v>43908</v>
      </c>
      <c r="P5480">
        <v>-1</v>
      </c>
      <c r="T5480" t="s">
        <v>27</v>
      </c>
      <c r="U5480">
        <v>108</v>
      </c>
      <c r="V5480">
        <v>27.151399999999999</v>
      </c>
    </row>
    <row r="5481" spans="1:22" x14ac:dyDescent="0.35">
      <c r="A5481" s="3">
        <v>43798</v>
      </c>
      <c r="B5481" t="s">
        <v>51</v>
      </c>
      <c r="C5481">
        <v>18.600000000000001</v>
      </c>
      <c r="D5481">
        <v>18.7</v>
      </c>
      <c r="E5481">
        <v>18.55</v>
      </c>
      <c r="F5481">
        <v>18.649999999999999</v>
      </c>
      <c r="G5481">
        <v>18.649999999999999</v>
      </c>
      <c r="H5481">
        <v>0.1</v>
      </c>
      <c r="I5481">
        <v>193</v>
      </c>
      <c r="J5481">
        <v>0</v>
      </c>
      <c r="K5481">
        <v>2562</v>
      </c>
      <c r="L5481">
        <v>163</v>
      </c>
      <c r="M5481">
        <v>236</v>
      </c>
      <c r="N5481" t="s">
        <v>51</v>
      </c>
      <c r="O5481" s="3">
        <v>44034</v>
      </c>
      <c r="P5481">
        <v>-1</v>
      </c>
      <c r="T5481" t="s">
        <v>25</v>
      </c>
      <c r="U5481">
        <v>128</v>
      </c>
      <c r="V5481">
        <v>27.55</v>
      </c>
    </row>
    <row r="5482" spans="1:22" x14ac:dyDescent="0.35">
      <c r="A5482" s="3">
        <v>43798</v>
      </c>
      <c r="B5482" t="s">
        <v>53</v>
      </c>
      <c r="C5482">
        <v>18.3</v>
      </c>
      <c r="D5482">
        <v>18.399999999999999</v>
      </c>
      <c r="E5482">
        <v>18.25</v>
      </c>
      <c r="F5482">
        <v>18.399999999999999</v>
      </c>
      <c r="G5482">
        <v>18.375</v>
      </c>
      <c r="H5482">
        <v>0.15</v>
      </c>
      <c r="I5482">
        <v>1412</v>
      </c>
      <c r="J5482">
        <v>0</v>
      </c>
      <c r="K5482">
        <v>16652</v>
      </c>
      <c r="L5482">
        <v>119</v>
      </c>
      <c r="M5482">
        <v>173</v>
      </c>
      <c r="N5482" t="s">
        <v>53</v>
      </c>
      <c r="O5482" s="3">
        <v>43971</v>
      </c>
      <c r="P5482">
        <v>-1</v>
      </c>
      <c r="T5482" t="s">
        <v>20</v>
      </c>
      <c r="U5482">
        <v>148</v>
      </c>
      <c r="V5482">
        <v>26.95</v>
      </c>
    </row>
    <row r="5483" spans="1:22" x14ac:dyDescent="0.35">
      <c r="A5483" s="3">
        <v>43798</v>
      </c>
      <c r="B5483" t="s">
        <v>52</v>
      </c>
      <c r="C5483">
        <v>18.399999999999999</v>
      </c>
      <c r="D5483">
        <v>18.5</v>
      </c>
      <c r="E5483">
        <v>18.350000000000001</v>
      </c>
      <c r="F5483">
        <v>18.5</v>
      </c>
      <c r="G5483">
        <v>18.5</v>
      </c>
      <c r="H5483">
        <v>0.17499999999999999</v>
      </c>
      <c r="I5483">
        <v>708</v>
      </c>
      <c r="J5483">
        <v>0</v>
      </c>
      <c r="K5483">
        <v>7908</v>
      </c>
      <c r="L5483">
        <v>138</v>
      </c>
      <c r="M5483">
        <v>201</v>
      </c>
      <c r="N5483" t="s">
        <v>52</v>
      </c>
      <c r="O5483" s="3">
        <v>43999</v>
      </c>
      <c r="P5483">
        <v>-1</v>
      </c>
      <c r="T5483" t="s">
        <v>21</v>
      </c>
      <c r="U5483">
        <v>172</v>
      </c>
      <c r="V5483">
        <v>26.1</v>
      </c>
    </row>
    <row r="5484" spans="1:22" x14ac:dyDescent="0.35">
      <c r="A5484" s="3">
        <v>43796</v>
      </c>
      <c r="B5484" t="s">
        <v>51</v>
      </c>
      <c r="C5484">
        <v>18.5</v>
      </c>
      <c r="D5484">
        <v>18.559999999999999</v>
      </c>
      <c r="E5484">
        <v>18.45</v>
      </c>
      <c r="F5484">
        <v>18.54</v>
      </c>
      <c r="G5484">
        <v>18.55</v>
      </c>
      <c r="H5484">
        <v>2.5000000000000001E-2</v>
      </c>
      <c r="I5484">
        <v>689</v>
      </c>
      <c r="J5484">
        <v>0</v>
      </c>
      <c r="K5484">
        <v>2498</v>
      </c>
      <c r="L5484">
        <v>164</v>
      </c>
      <c r="M5484">
        <v>238</v>
      </c>
      <c r="N5484" t="s">
        <v>51</v>
      </c>
      <c r="O5484" s="3">
        <v>44034</v>
      </c>
      <c r="P5484">
        <v>-1</v>
      </c>
      <c r="S5484" s="3">
        <v>44671</v>
      </c>
      <c r="T5484" t="s">
        <v>30</v>
      </c>
      <c r="U5484">
        <v>0</v>
      </c>
      <c r="V5484">
        <v>20.3</v>
      </c>
    </row>
    <row r="5485" spans="1:22" x14ac:dyDescent="0.35">
      <c r="A5485" s="3">
        <v>43796</v>
      </c>
      <c r="B5485" t="s">
        <v>53</v>
      </c>
      <c r="C5485">
        <v>18.2</v>
      </c>
      <c r="D5485">
        <v>18.25</v>
      </c>
      <c r="E5485">
        <v>18.12</v>
      </c>
      <c r="F5485">
        <v>18.2</v>
      </c>
      <c r="G5485">
        <v>18.225000000000001</v>
      </c>
      <c r="H5485">
        <v>0.05</v>
      </c>
      <c r="I5485">
        <v>2168</v>
      </c>
      <c r="J5485">
        <v>0</v>
      </c>
      <c r="K5485">
        <v>16469</v>
      </c>
      <c r="L5485">
        <v>120</v>
      </c>
      <c r="M5485">
        <v>175</v>
      </c>
      <c r="N5485" t="s">
        <v>53</v>
      </c>
      <c r="O5485" s="3">
        <v>43971</v>
      </c>
      <c r="P5485">
        <v>-1</v>
      </c>
      <c r="T5485" t="s">
        <v>29</v>
      </c>
      <c r="U5485">
        <v>20</v>
      </c>
      <c r="V5485">
        <v>22.991900000000001</v>
      </c>
    </row>
    <row r="5486" spans="1:22" x14ac:dyDescent="0.35">
      <c r="A5486" s="3">
        <v>43796</v>
      </c>
      <c r="B5486" t="s">
        <v>52</v>
      </c>
      <c r="C5486">
        <v>18.3</v>
      </c>
      <c r="D5486">
        <v>18.36</v>
      </c>
      <c r="E5486">
        <v>18.25</v>
      </c>
      <c r="F5486">
        <v>18.350000000000001</v>
      </c>
      <c r="G5486">
        <v>18.324999999999999</v>
      </c>
      <c r="H5486">
        <v>0</v>
      </c>
      <c r="I5486">
        <v>1395</v>
      </c>
      <c r="J5486">
        <v>0</v>
      </c>
      <c r="K5486">
        <v>7906</v>
      </c>
      <c r="L5486">
        <v>139</v>
      </c>
      <c r="M5486">
        <v>203</v>
      </c>
      <c r="N5486" t="s">
        <v>52</v>
      </c>
      <c r="O5486" s="3">
        <v>43999</v>
      </c>
      <c r="P5486">
        <v>-1</v>
      </c>
      <c r="T5486" t="s">
        <v>28</v>
      </c>
      <c r="U5486">
        <v>39</v>
      </c>
      <c r="V5486">
        <v>24.497900000000001</v>
      </c>
    </row>
    <row r="5487" spans="1:22" x14ac:dyDescent="0.35">
      <c r="A5487" s="3">
        <v>43796</v>
      </c>
      <c r="B5487" t="s">
        <v>54</v>
      </c>
      <c r="C5487">
        <v>17.97</v>
      </c>
      <c r="D5487">
        <v>18.02</v>
      </c>
      <c r="E5487">
        <v>17.899999999999999</v>
      </c>
      <c r="F5487">
        <v>17.989999999999998</v>
      </c>
      <c r="G5487">
        <v>18.024999999999999</v>
      </c>
      <c r="H5487">
        <v>0.05</v>
      </c>
      <c r="I5487">
        <v>3158</v>
      </c>
      <c r="J5487">
        <v>0</v>
      </c>
      <c r="K5487">
        <v>18404</v>
      </c>
      <c r="L5487">
        <v>95</v>
      </c>
      <c r="M5487">
        <v>140</v>
      </c>
      <c r="N5487" t="s">
        <v>54</v>
      </c>
      <c r="O5487" s="3">
        <v>43936</v>
      </c>
      <c r="P5487">
        <v>-1</v>
      </c>
      <c r="T5487" t="s">
        <v>22</v>
      </c>
      <c r="U5487">
        <v>63</v>
      </c>
      <c r="V5487">
        <v>25.743200000000002</v>
      </c>
    </row>
    <row r="5488" spans="1:22" x14ac:dyDescent="0.35">
      <c r="A5488" s="3">
        <v>43796</v>
      </c>
      <c r="B5488" t="s">
        <v>50</v>
      </c>
      <c r="C5488">
        <v>18.600000000000001</v>
      </c>
      <c r="D5488">
        <v>18.649999999999999</v>
      </c>
      <c r="E5488">
        <v>18.55</v>
      </c>
      <c r="F5488">
        <v>18.61</v>
      </c>
      <c r="G5488">
        <v>18.55</v>
      </c>
      <c r="H5488">
        <v>0</v>
      </c>
      <c r="I5488">
        <v>108</v>
      </c>
      <c r="J5488">
        <v>0</v>
      </c>
      <c r="K5488">
        <v>105</v>
      </c>
      <c r="L5488">
        <v>184</v>
      </c>
      <c r="M5488">
        <v>266</v>
      </c>
      <c r="N5488" t="s">
        <v>50</v>
      </c>
      <c r="O5488" s="3">
        <v>44062</v>
      </c>
      <c r="P5488">
        <v>-1</v>
      </c>
      <c r="T5488" t="s">
        <v>26</v>
      </c>
      <c r="U5488">
        <v>83</v>
      </c>
      <c r="V5488">
        <v>26.169899999999998</v>
      </c>
    </row>
    <row r="5489" spans="1:22" x14ac:dyDescent="0.35">
      <c r="A5489" s="3">
        <v>43796</v>
      </c>
      <c r="B5489" t="s">
        <v>55</v>
      </c>
      <c r="C5489">
        <v>17.559999999999999</v>
      </c>
      <c r="D5489">
        <v>17.63</v>
      </c>
      <c r="E5489">
        <v>17.5</v>
      </c>
      <c r="F5489">
        <v>17.57</v>
      </c>
      <c r="G5489">
        <v>17.574999999999999</v>
      </c>
      <c r="H5489">
        <v>0</v>
      </c>
      <c r="I5489">
        <v>3996</v>
      </c>
      <c r="J5489">
        <v>0</v>
      </c>
      <c r="K5489">
        <v>34616</v>
      </c>
      <c r="L5489">
        <v>75</v>
      </c>
      <c r="M5489">
        <v>112</v>
      </c>
      <c r="N5489" t="s">
        <v>55</v>
      </c>
      <c r="O5489" s="3">
        <v>43908</v>
      </c>
      <c r="P5489">
        <v>-1</v>
      </c>
      <c r="T5489" t="s">
        <v>27</v>
      </c>
      <c r="U5489">
        <v>107</v>
      </c>
      <c r="V5489">
        <v>26.8263</v>
      </c>
    </row>
    <row r="5490" spans="1:22" x14ac:dyDescent="0.35">
      <c r="A5490" s="3">
        <v>43795</v>
      </c>
      <c r="B5490" t="s">
        <v>54</v>
      </c>
      <c r="C5490">
        <v>18.100000000000001</v>
      </c>
      <c r="D5490">
        <v>18.149999999999999</v>
      </c>
      <c r="E5490">
        <v>17.95</v>
      </c>
      <c r="F5490">
        <v>17.96</v>
      </c>
      <c r="G5490">
        <v>17.975000000000001</v>
      </c>
      <c r="H5490">
        <v>-0.1</v>
      </c>
      <c r="I5490">
        <v>4545</v>
      </c>
      <c r="J5490">
        <v>0</v>
      </c>
      <c r="K5490">
        <v>18008</v>
      </c>
      <c r="L5490">
        <v>96</v>
      </c>
      <c r="M5490">
        <v>141</v>
      </c>
      <c r="N5490" t="s">
        <v>54</v>
      </c>
      <c r="O5490" s="3">
        <v>43936</v>
      </c>
      <c r="P5490">
        <v>-1</v>
      </c>
      <c r="T5490" t="s">
        <v>25</v>
      </c>
      <c r="U5490">
        <v>127</v>
      </c>
      <c r="V5490">
        <v>27.212499999999999</v>
      </c>
    </row>
    <row r="5491" spans="1:22" x14ac:dyDescent="0.35">
      <c r="A5491" s="3">
        <v>43795</v>
      </c>
      <c r="B5491" t="s">
        <v>50</v>
      </c>
      <c r="C5491">
        <v>18.649999999999999</v>
      </c>
      <c r="D5491">
        <v>18.7</v>
      </c>
      <c r="E5491">
        <v>18.61</v>
      </c>
      <c r="F5491">
        <v>18.649999999999999</v>
      </c>
      <c r="G5491">
        <v>18.55</v>
      </c>
      <c r="H5491">
        <v>-0.2</v>
      </c>
      <c r="I5491">
        <v>25</v>
      </c>
      <c r="J5491">
        <v>0</v>
      </c>
      <c r="K5491">
        <v>19</v>
      </c>
      <c r="L5491">
        <v>185</v>
      </c>
      <c r="M5491">
        <v>267</v>
      </c>
      <c r="N5491" t="s">
        <v>50</v>
      </c>
      <c r="O5491" s="3">
        <v>44062</v>
      </c>
      <c r="P5491">
        <v>-1</v>
      </c>
      <c r="T5491" t="s">
        <v>20</v>
      </c>
      <c r="U5491">
        <v>147</v>
      </c>
      <c r="V5491">
        <v>26.7</v>
      </c>
    </row>
    <row r="5492" spans="1:22" x14ac:dyDescent="0.35">
      <c r="A5492" s="3">
        <v>43795</v>
      </c>
      <c r="B5492" t="s">
        <v>55</v>
      </c>
      <c r="C5492">
        <v>17.71</v>
      </c>
      <c r="D5492">
        <v>17.75</v>
      </c>
      <c r="E5492">
        <v>17.53</v>
      </c>
      <c r="F5492">
        <v>17.600000000000001</v>
      </c>
      <c r="G5492">
        <v>17.574999999999999</v>
      </c>
      <c r="H5492">
        <v>-0.15</v>
      </c>
      <c r="I5492">
        <v>5791</v>
      </c>
      <c r="J5492">
        <v>0</v>
      </c>
      <c r="K5492">
        <v>34755</v>
      </c>
      <c r="L5492">
        <v>76</v>
      </c>
      <c r="M5492">
        <v>113</v>
      </c>
      <c r="N5492" t="s">
        <v>55</v>
      </c>
      <c r="O5492" s="3">
        <v>43908</v>
      </c>
      <c r="P5492">
        <v>-1</v>
      </c>
      <c r="T5492" t="s">
        <v>21</v>
      </c>
      <c r="U5492">
        <v>171</v>
      </c>
      <c r="V5492">
        <v>25.85</v>
      </c>
    </row>
    <row r="5493" spans="1:22" x14ac:dyDescent="0.35">
      <c r="A5493" s="3">
        <v>43795</v>
      </c>
      <c r="B5493" t="s">
        <v>51</v>
      </c>
      <c r="C5493">
        <v>18.55</v>
      </c>
      <c r="D5493">
        <v>18.649999999999999</v>
      </c>
      <c r="E5493">
        <v>18.48</v>
      </c>
      <c r="F5493">
        <v>18.55</v>
      </c>
      <c r="G5493">
        <v>18.524999999999999</v>
      </c>
      <c r="H5493">
        <v>-0.1</v>
      </c>
      <c r="I5493">
        <v>1010</v>
      </c>
      <c r="J5493">
        <v>0</v>
      </c>
      <c r="K5493">
        <v>2170</v>
      </c>
      <c r="L5493">
        <v>165</v>
      </c>
      <c r="M5493">
        <v>239</v>
      </c>
      <c r="N5493" t="s">
        <v>51</v>
      </c>
      <c r="O5493" s="3">
        <v>44034</v>
      </c>
      <c r="P5493">
        <v>-1</v>
      </c>
      <c r="S5493" s="3">
        <v>44672</v>
      </c>
      <c r="T5493" t="s">
        <v>29</v>
      </c>
      <c r="U5493">
        <v>19</v>
      </c>
      <c r="V5493">
        <v>24.6907</v>
      </c>
    </row>
    <row r="5494" spans="1:22" x14ac:dyDescent="0.35">
      <c r="A5494" s="3">
        <v>43795</v>
      </c>
      <c r="B5494" t="s">
        <v>53</v>
      </c>
      <c r="C5494">
        <v>18.28</v>
      </c>
      <c r="D5494">
        <v>18.34</v>
      </c>
      <c r="E5494">
        <v>18.16</v>
      </c>
      <c r="F5494">
        <v>18.18</v>
      </c>
      <c r="G5494">
        <v>18.175000000000001</v>
      </c>
      <c r="H5494">
        <v>-0.15</v>
      </c>
      <c r="I5494">
        <v>2109</v>
      </c>
      <c r="J5494">
        <v>0</v>
      </c>
      <c r="K5494">
        <v>16145</v>
      </c>
      <c r="L5494">
        <v>121</v>
      </c>
      <c r="M5494">
        <v>176</v>
      </c>
      <c r="N5494" t="s">
        <v>53</v>
      </c>
      <c r="O5494" s="3">
        <v>43971</v>
      </c>
      <c r="P5494">
        <v>-1</v>
      </c>
      <c r="T5494" t="s">
        <v>28</v>
      </c>
      <c r="U5494">
        <v>38</v>
      </c>
      <c r="V5494">
        <v>25.985499999999998</v>
      </c>
    </row>
    <row r="5495" spans="1:22" x14ac:dyDescent="0.35">
      <c r="A5495" s="3">
        <v>43795</v>
      </c>
      <c r="B5495" t="s">
        <v>52</v>
      </c>
      <c r="C5495">
        <v>18.45</v>
      </c>
      <c r="D5495">
        <v>18.45</v>
      </c>
      <c r="E5495">
        <v>18.28</v>
      </c>
      <c r="F5495">
        <v>18.350000000000001</v>
      </c>
      <c r="G5495">
        <v>18.324999999999999</v>
      </c>
      <c r="H5495">
        <v>-0.1</v>
      </c>
      <c r="I5495">
        <v>1552</v>
      </c>
      <c r="J5495">
        <v>0</v>
      </c>
      <c r="K5495">
        <v>7447</v>
      </c>
      <c r="L5495">
        <v>140</v>
      </c>
      <c r="M5495">
        <v>204</v>
      </c>
      <c r="N5495" t="s">
        <v>52</v>
      </c>
      <c r="O5495" s="3">
        <v>43999</v>
      </c>
      <c r="P5495">
        <v>-1</v>
      </c>
      <c r="T5495" t="s">
        <v>22</v>
      </c>
      <c r="U5495">
        <v>62</v>
      </c>
      <c r="V5495">
        <v>26.982900000000001</v>
      </c>
    </row>
    <row r="5496" spans="1:22" x14ac:dyDescent="0.35">
      <c r="A5496" s="3">
        <v>43794</v>
      </c>
      <c r="B5496" t="s">
        <v>51</v>
      </c>
      <c r="C5496">
        <v>18.8</v>
      </c>
      <c r="D5496">
        <v>18.8</v>
      </c>
      <c r="E5496">
        <v>18.600000000000001</v>
      </c>
      <c r="F5496">
        <v>18.600000000000001</v>
      </c>
      <c r="G5496">
        <v>18.625</v>
      </c>
      <c r="H5496">
        <v>-0.27500000000000002</v>
      </c>
      <c r="I5496">
        <v>300</v>
      </c>
      <c r="J5496">
        <v>0</v>
      </c>
      <c r="K5496">
        <v>1624</v>
      </c>
      <c r="L5496">
        <v>166</v>
      </c>
      <c r="M5496">
        <v>240</v>
      </c>
      <c r="N5496" t="s">
        <v>51</v>
      </c>
      <c r="O5496" s="3">
        <v>44034</v>
      </c>
      <c r="P5496">
        <v>-1</v>
      </c>
      <c r="T5496" t="s">
        <v>26</v>
      </c>
      <c r="U5496">
        <v>82</v>
      </c>
      <c r="V5496">
        <v>27.180199999999999</v>
      </c>
    </row>
    <row r="5497" spans="1:22" x14ac:dyDescent="0.35">
      <c r="A5497" s="3">
        <v>43794</v>
      </c>
      <c r="B5497" t="s">
        <v>53</v>
      </c>
      <c r="C5497">
        <v>18.59</v>
      </c>
      <c r="D5497">
        <v>18.59</v>
      </c>
      <c r="E5497">
        <v>18.260000000000002</v>
      </c>
      <c r="F5497">
        <v>18.309999999999999</v>
      </c>
      <c r="G5497">
        <v>18.324999999999999</v>
      </c>
      <c r="H5497">
        <v>-0.3</v>
      </c>
      <c r="I5497">
        <v>2728</v>
      </c>
      <c r="J5497">
        <v>0</v>
      </c>
      <c r="K5497">
        <v>15687</v>
      </c>
      <c r="L5497">
        <v>122</v>
      </c>
      <c r="M5497">
        <v>177</v>
      </c>
      <c r="N5497" t="s">
        <v>53</v>
      </c>
      <c r="O5497" s="3">
        <v>43971</v>
      </c>
      <c r="P5497">
        <v>-1</v>
      </c>
      <c r="T5497" t="s">
        <v>27</v>
      </c>
      <c r="U5497">
        <v>106</v>
      </c>
      <c r="V5497">
        <v>27.6006</v>
      </c>
    </row>
    <row r="5498" spans="1:22" x14ac:dyDescent="0.35">
      <c r="A5498" s="3">
        <v>43794</v>
      </c>
      <c r="B5498" t="s">
        <v>52</v>
      </c>
      <c r="C5498">
        <v>18.71</v>
      </c>
      <c r="D5498">
        <v>18.71</v>
      </c>
      <c r="E5498">
        <v>18.399999999999999</v>
      </c>
      <c r="F5498">
        <v>18.41</v>
      </c>
      <c r="G5498">
        <v>18.425000000000001</v>
      </c>
      <c r="H5498">
        <v>-0.32500000000000001</v>
      </c>
      <c r="I5498">
        <v>1024</v>
      </c>
      <c r="J5498">
        <v>0</v>
      </c>
      <c r="K5498">
        <v>6828</v>
      </c>
      <c r="L5498">
        <v>141</v>
      </c>
      <c r="M5498">
        <v>205</v>
      </c>
      <c r="N5498" t="s">
        <v>52</v>
      </c>
      <c r="O5498" s="3">
        <v>43999</v>
      </c>
      <c r="P5498">
        <v>-1</v>
      </c>
      <c r="T5498" t="s">
        <v>25</v>
      </c>
      <c r="U5498">
        <v>126</v>
      </c>
      <c r="V5498">
        <v>27.886900000000001</v>
      </c>
    </row>
    <row r="5499" spans="1:22" x14ac:dyDescent="0.35">
      <c r="A5499" s="3">
        <v>43794</v>
      </c>
      <c r="B5499" t="s">
        <v>54</v>
      </c>
      <c r="C5499">
        <v>18.399999999999999</v>
      </c>
      <c r="D5499">
        <v>18.399999999999999</v>
      </c>
      <c r="E5499">
        <v>18.05</v>
      </c>
      <c r="F5499">
        <v>18.09</v>
      </c>
      <c r="G5499">
        <v>18.074999999999999</v>
      </c>
      <c r="H5499">
        <v>-0.35</v>
      </c>
      <c r="I5499">
        <v>5535</v>
      </c>
      <c r="J5499">
        <v>0</v>
      </c>
      <c r="K5499">
        <v>17723</v>
      </c>
      <c r="L5499">
        <v>97</v>
      </c>
      <c r="M5499">
        <v>142</v>
      </c>
      <c r="N5499" t="s">
        <v>54</v>
      </c>
      <c r="O5499" s="3">
        <v>43936</v>
      </c>
      <c r="P5499">
        <v>-1</v>
      </c>
      <c r="T5499" t="s">
        <v>20</v>
      </c>
      <c r="U5499">
        <v>146</v>
      </c>
      <c r="V5499">
        <v>27.359500000000001</v>
      </c>
    </row>
    <row r="5500" spans="1:22" x14ac:dyDescent="0.35">
      <c r="A5500" s="3">
        <v>43794</v>
      </c>
      <c r="B5500" t="s">
        <v>50</v>
      </c>
      <c r="C5500">
        <v>19</v>
      </c>
      <c r="D5500">
        <v>19</v>
      </c>
      <c r="E5500">
        <v>18.899999999999999</v>
      </c>
      <c r="F5500">
        <v>19</v>
      </c>
      <c r="G5500">
        <v>18.75</v>
      </c>
      <c r="H5500">
        <v>0</v>
      </c>
      <c r="I5500">
        <v>1</v>
      </c>
      <c r="J5500">
        <v>0</v>
      </c>
      <c r="K5500">
        <v>1</v>
      </c>
      <c r="L5500">
        <v>186</v>
      </c>
      <c r="M5500">
        <v>268</v>
      </c>
      <c r="N5500" t="s">
        <v>50</v>
      </c>
      <c r="O5500" s="3">
        <v>44062</v>
      </c>
      <c r="P5500">
        <v>-1</v>
      </c>
      <c r="T5500" t="s">
        <v>21</v>
      </c>
      <c r="U5500">
        <v>170</v>
      </c>
      <c r="V5500">
        <v>26.524999999999999</v>
      </c>
    </row>
    <row r="5501" spans="1:22" x14ac:dyDescent="0.35">
      <c r="A5501" s="3">
        <v>43794</v>
      </c>
      <c r="B5501" t="s">
        <v>55</v>
      </c>
      <c r="C5501">
        <v>18.03</v>
      </c>
      <c r="D5501">
        <v>18.03</v>
      </c>
      <c r="E5501">
        <v>17.670000000000002</v>
      </c>
      <c r="F5501">
        <v>17.72</v>
      </c>
      <c r="G5501">
        <v>17.725000000000001</v>
      </c>
      <c r="H5501">
        <v>-0.35</v>
      </c>
      <c r="I5501">
        <v>7798</v>
      </c>
      <c r="J5501">
        <v>0</v>
      </c>
      <c r="K5501">
        <v>34110</v>
      </c>
      <c r="L5501">
        <v>77</v>
      </c>
      <c r="M5501">
        <v>114</v>
      </c>
      <c r="N5501" t="s">
        <v>55</v>
      </c>
      <c r="O5501" s="3">
        <v>43908</v>
      </c>
      <c r="P5501">
        <v>-1</v>
      </c>
      <c r="S5501" s="3">
        <v>44673</v>
      </c>
      <c r="T5501" t="s">
        <v>29</v>
      </c>
      <c r="U5501">
        <v>18</v>
      </c>
      <c r="V5501">
        <v>27.9879</v>
      </c>
    </row>
    <row r="5502" spans="1:22" x14ac:dyDescent="0.35">
      <c r="A5502" s="3">
        <v>43791</v>
      </c>
      <c r="B5502" t="s">
        <v>54</v>
      </c>
      <c r="C5502">
        <v>18.649999999999999</v>
      </c>
      <c r="D5502">
        <v>18.670000000000002</v>
      </c>
      <c r="E5502">
        <v>18.399999999999999</v>
      </c>
      <c r="F5502">
        <v>18.399999999999999</v>
      </c>
      <c r="G5502">
        <v>18.425000000000001</v>
      </c>
      <c r="H5502">
        <v>-0.2</v>
      </c>
      <c r="I5502">
        <v>6890</v>
      </c>
      <c r="J5502">
        <v>0</v>
      </c>
      <c r="K5502">
        <v>17248</v>
      </c>
      <c r="L5502">
        <v>98</v>
      </c>
      <c r="M5502">
        <v>145</v>
      </c>
      <c r="N5502" t="s">
        <v>54</v>
      </c>
      <c r="O5502" s="3">
        <v>43936</v>
      </c>
      <c r="P5502">
        <v>-1</v>
      </c>
      <c r="T5502" t="s">
        <v>28</v>
      </c>
      <c r="U5502">
        <v>37</v>
      </c>
      <c r="V5502">
        <v>28.217099999999999</v>
      </c>
    </row>
    <row r="5503" spans="1:22" x14ac:dyDescent="0.35">
      <c r="A5503" s="3">
        <v>43791</v>
      </c>
      <c r="B5503" t="s">
        <v>55</v>
      </c>
      <c r="C5503">
        <v>18.3</v>
      </c>
      <c r="D5503">
        <v>18.32</v>
      </c>
      <c r="E5503">
        <v>18.05</v>
      </c>
      <c r="F5503">
        <v>18.05</v>
      </c>
      <c r="G5503">
        <v>18.074999999999999</v>
      </c>
      <c r="H5503">
        <v>-0.2</v>
      </c>
      <c r="I5503">
        <v>9104</v>
      </c>
      <c r="J5503">
        <v>0</v>
      </c>
      <c r="K5503">
        <v>32559</v>
      </c>
      <c r="L5503">
        <v>78</v>
      </c>
      <c r="M5503">
        <v>117</v>
      </c>
      <c r="N5503" t="s">
        <v>55</v>
      </c>
      <c r="O5503" s="3">
        <v>43908</v>
      </c>
      <c r="P5503">
        <v>-1</v>
      </c>
      <c r="T5503" t="s">
        <v>22</v>
      </c>
      <c r="U5503">
        <v>61</v>
      </c>
      <c r="V5503">
        <v>28.579799999999999</v>
      </c>
    </row>
    <row r="5504" spans="1:22" x14ac:dyDescent="0.35">
      <c r="A5504" s="3">
        <v>43791</v>
      </c>
      <c r="B5504" t="s">
        <v>51</v>
      </c>
      <c r="C5504">
        <v>18.95</v>
      </c>
      <c r="D5504">
        <v>19</v>
      </c>
      <c r="E5504">
        <v>18.850000000000001</v>
      </c>
      <c r="F5504">
        <v>18.86</v>
      </c>
      <c r="G5504">
        <v>18.899999999999999</v>
      </c>
      <c r="H5504">
        <v>-7.4999999999999997E-2</v>
      </c>
      <c r="I5504">
        <v>644</v>
      </c>
      <c r="J5504">
        <v>0</v>
      </c>
      <c r="K5504">
        <v>1442</v>
      </c>
      <c r="L5504">
        <v>167</v>
      </c>
      <c r="M5504">
        <v>243</v>
      </c>
      <c r="N5504" t="s">
        <v>51</v>
      </c>
      <c r="O5504" s="3">
        <v>44034</v>
      </c>
      <c r="P5504">
        <v>-1</v>
      </c>
      <c r="T5504" t="s">
        <v>26</v>
      </c>
      <c r="U5504">
        <v>81</v>
      </c>
      <c r="V5504">
        <v>28.4132</v>
      </c>
    </row>
    <row r="5505" spans="1:22" x14ac:dyDescent="0.35">
      <c r="A5505" s="3">
        <v>43791</v>
      </c>
      <c r="B5505" t="s">
        <v>53</v>
      </c>
      <c r="C5505">
        <v>18.8</v>
      </c>
      <c r="D5505">
        <v>18.809999999999999</v>
      </c>
      <c r="E5505">
        <v>18.59</v>
      </c>
      <c r="F5505">
        <v>18.59</v>
      </c>
      <c r="G5505">
        <v>18.625</v>
      </c>
      <c r="H5505">
        <v>-0.15</v>
      </c>
      <c r="I5505">
        <v>1993</v>
      </c>
      <c r="J5505">
        <v>0</v>
      </c>
      <c r="K5505">
        <v>15993</v>
      </c>
      <c r="L5505">
        <v>123</v>
      </c>
      <c r="M5505">
        <v>180</v>
      </c>
      <c r="N5505" t="s">
        <v>53</v>
      </c>
      <c r="O5505" s="3">
        <v>43971</v>
      </c>
      <c r="P5505">
        <v>-1</v>
      </c>
      <c r="T5505" t="s">
        <v>27</v>
      </c>
      <c r="U5505">
        <v>105</v>
      </c>
      <c r="V5505">
        <v>28.638500000000001</v>
      </c>
    </row>
    <row r="5506" spans="1:22" x14ac:dyDescent="0.35">
      <c r="A5506" s="3">
        <v>43791</v>
      </c>
      <c r="B5506" t="s">
        <v>52</v>
      </c>
      <c r="C5506">
        <v>18.850000000000001</v>
      </c>
      <c r="D5506">
        <v>18.91</v>
      </c>
      <c r="E5506">
        <v>18.71</v>
      </c>
      <c r="F5506">
        <v>18.72</v>
      </c>
      <c r="G5506">
        <v>18.75</v>
      </c>
      <c r="H5506">
        <v>-0.125</v>
      </c>
      <c r="I5506">
        <v>1187</v>
      </c>
      <c r="J5506">
        <v>0</v>
      </c>
      <c r="K5506">
        <v>6735</v>
      </c>
      <c r="L5506">
        <v>142</v>
      </c>
      <c r="M5506">
        <v>208</v>
      </c>
      <c r="N5506" t="s">
        <v>52</v>
      </c>
      <c r="O5506" s="3">
        <v>43999</v>
      </c>
      <c r="P5506">
        <v>-1</v>
      </c>
      <c r="T5506" t="s">
        <v>25</v>
      </c>
      <c r="U5506">
        <v>125</v>
      </c>
      <c r="V5506">
        <v>28.758800000000001</v>
      </c>
    </row>
    <row r="5507" spans="1:22" x14ac:dyDescent="0.35">
      <c r="A5507" s="3">
        <v>43790</v>
      </c>
      <c r="B5507" t="s">
        <v>51</v>
      </c>
      <c r="C5507">
        <v>18.82</v>
      </c>
      <c r="D5507">
        <v>19.05</v>
      </c>
      <c r="E5507">
        <v>18.82</v>
      </c>
      <c r="F5507">
        <v>19</v>
      </c>
      <c r="G5507">
        <v>18.975000000000001</v>
      </c>
      <c r="H5507">
        <v>0.17499999999999999</v>
      </c>
      <c r="I5507">
        <v>244</v>
      </c>
      <c r="J5507">
        <v>0</v>
      </c>
      <c r="K5507">
        <v>1156</v>
      </c>
      <c r="L5507">
        <v>168</v>
      </c>
      <c r="M5507">
        <v>244</v>
      </c>
      <c r="N5507" t="s">
        <v>51</v>
      </c>
      <c r="O5507" s="3">
        <v>44034</v>
      </c>
      <c r="P5507">
        <v>-1</v>
      </c>
      <c r="T5507" t="s">
        <v>20</v>
      </c>
      <c r="U5507">
        <v>145</v>
      </c>
      <c r="V5507">
        <v>28.193200000000001</v>
      </c>
    </row>
    <row r="5508" spans="1:22" x14ac:dyDescent="0.35">
      <c r="A5508" s="3">
        <v>43790</v>
      </c>
      <c r="B5508" t="s">
        <v>53</v>
      </c>
      <c r="C5508">
        <v>18.600000000000001</v>
      </c>
      <c r="D5508">
        <v>18.829999999999998</v>
      </c>
      <c r="E5508">
        <v>18.57</v>
      </c>
      <c r="F5508">
        <v>18.8</v>
      </c>
      <c r="G5508">
        <v>18.774999999999999</v>
      </c>
      <c r="H5508">
        <v>0.2</v>
      </c>
      <c r="I5508">
        <v>2293</v>
      </c>
      <c r="J5508">
        <v>0</v>
      </c>
      <c r="K5508">
        <v>15539</v>
      </c>
      <c r="L5508">
        <v>124</v>
      </c>
      <c r="M5508">
        <v>181</v>
      </c>
      <c r="N5508" t="s">
        <v>53</v>
      </c>
      <c r="O5508" s="3">
        <v>43971</v>
      </c>
      <c r="P5508">
        <v>-1</v>
      </c>
      <c r="T5508" t="s">
        <v>21</v>
      </c>
      <c r="U5508">
        <v>169</v>
      </c>
      <c r="V5508">
        <v>27.35</v>
      </c>
    </row>
    <row r="5509" spans="1:22" x14ac:dyDescent="0.35">
      <c r="A5509" s="3">
        <v>43790</v>
      </c>
      <c r="B5509" t="s">
        <v>52</v>
      </c>
      <c r="C5509">
        <v>18.7</v>
      </c>
      <c r="D5509">
        <v>18.93</v>
      </c>
      <c r="E5509">
        <v>18.66</v>
      </c>
      <c r="F5509">
        <v>18.899999999999999</v>
      </c>
      <c r="G5509">
        <v>18.875</v>
      </c>
      <c r="H5509">
        <v>0.2</v>
      </c>
      <c r="I5509">
        <v>1090</v>
      </c>
      <c r="J5509">
        <v>0</v>
      </c>
      <c r="K5509">
        <v>6274</v>
      </c>
      <c r="L5509">
        <v>143</v>
      </c>
      <c r="M5509">
        <v>209</v>
      </c>
      <c r="N5509" t="s">
        <v>52</v>
      </c>
      <c r="O5509" s="3">
        <v>43999</v>
      </c>
      <c r="P5509">
        <v>-1</v>
      </c>
      <c r="S5509" s="3">
        <v>44676</v>
      </c>
      <c r="T5509" t="s">
        <v>23</v>
      </c>
      <c r="U5509">
        <v>185</v>
      </c>
      <c r="V5509">
        <v>27.25</v>
      </c>
    </row>
    <row r="5510" spans="1:22" x14ac:dyDescent="0.35">
      <c r="A5510" s="3">
        <v>43790</v>
      </c>
      <c r="B5510" t="s">
        <v>54</v>
      </c>
      <c r="C5510">
        <v>18.5</v>
      </c>
      <c r="D5510">
        <v>18.7</v>
      </c>
      <c r="E5510">
        <v>18.399999999999999</v>
      </c>
      <c r="F5510">
        <v>18.670000000000002</v>
      </c>
      <c r="G5510">
        <v>18.625</v>
      </c>
      <c r="H5510">
        <v>0.2</v>
      </c>
      <c r="I5510">
        <v>4355</v>
      </c>
      <c r="J5510">
        <v>0</v>
      </c>
      <c r="K5510">
        <v>16512</v>
      </c>
      <c r="L5510">
        <v>99</v>
      </c>
      <c r="M5510">
        <v>146</v>
      </c>
      <c r="N5510" t="s">
        <v>54</v>
      </c>
      <c r="O5510" s="3">
        <v>43936</v>
      </c>
      <c r="P5510">
        <v>-1</v>
      </c>
      <c r="T5510" t="s">
        <v>29</v>
      </c>
      <c r="U5510">
        <v>17</v>
      </c>
      <c r="V5510">
        <v>27.2576</v>
      </c>
    </row>
    <row r="5511" spans="1:22" x14ac:dyDescent="0.35">
      <c r="A5511" s="3">
        <v>43790</v>
      </c>
      <c r="B5511" t="s">
        <v>55</v>
      </c>
      <c r="C5511">
        <v>18.100000000000001</v>
      </c>
      <c r="D5511">
        <v>18.37</v>
      </c>
      <c r="E5511">
        <v>18.05</v>
      </c>
      <c r="F5511">
        <v>18.3</v>
      </c>
      <c r="G5511">
        <v>18.274999999999999</v>
      </c>
      <c r="H5511">
        <v>0.2</v>
      </c>
      <c r="I5511">
        <v>7676</v>
      </c>
      <c r="J5511">
        <v>0</v>
      </c>
      <c r="K5511">
        <v>29237</v>
      </c>
      <c r="L5511">
        <v>79</v>
      </c>
      <c r="M5511">
        <v>118</v>
      </c>
      <c r="N5511" t="s">
        <v>55</v>
      </c>
      <c r="O5511" s="3">
        <v>43908</v>
      </c>
      <c r="P5511">
        <v>-1</v>
      </c>
      <c r="T5511" t="s">
        <v>28</v>
      </c>
      <c r="U5511">
        <v>36</v>
      </c>
      <c r="V5511">
        <v>27.705100000000002</v>
      </c>
    </row>
    <row r="5512" spans="1:22" x14ac:dyDescent="0.35">
      <c r="A5512" s="3">
        <v>43789</v>
      </c>
      <c r="B5512" t="s">
        <v>54</v>
      </c>
      <c r="C5512">
        <v>18.260000000000002</v>
      </c>
      <c r="D5512">
        <v>18.7</v>
      </c>
      <c r="E5512">
        <v>18.2</v>
      </c>
      <c r="F5512">
        <v>18.399999999999999</v>
      </c>
      <c r="G5512">
        <v>18.425000000000001</v>
      </c>
      <c r="H5512">
        <v>0.2</v>
      </c>
      <c r="I5512">
        <v>7634</v>
      </c>
      <c r="J5512">
        <v>0</v>
      </c>
      <c r="K5512">
        <v>16722</v>
      </c>
      <c r="L5512">
        <v>100</v>
      </c>
      <c r="M5512">
        <v>147</v>
      </c>
      <c r="N5512" t="s">
        <v>54</v>
      </c>
      <c r="O5512" s="3">
        <v>43936</v>
      </c>
      <c r="P5512">
        <v>-1</v>
      </c>
      <c r="T5512" t="s">
        <v>22</v>
      </c>
      <c r="U5512">
        <v>60</v>
      </c>
      <c r="V5512">
        <v>28.1008</v>
      </c>
    </row>
    <row r="5513" spans="1:22" x14ac:dyDescent="0.35">
      <c r="A5513" s="3">
        <v>43789</v>
      </c>
      <c r="B5513" t="s">
        <v>55</v>
      </c>
      <c r="C5513">
        <v>17.899999999999999</v>
      </c>
      <c r="D5513">
        <v>18.37</v>
      </c>
      <c r="E5513">
        <v>17.850000000000001</v>
      </c>
      <c r="F5513">
        <v>18.02</v>
      </c>
      <c r="G5513">
        <v>18.074999999999999</v>
      </c>
      <c r="H5513">
        <v>0.2</v>
      </c>
      <c r="I5513">
        <v>10848</v>
      </c>
      <c r="J5513">
        <v>0</v>
      </c>
      <c r="K5513">
        <v>28320</v>
      </c>
      <c r="L5513">
        <v>80</v>
      </c>
      <c r="M5513">
        <v>119</v>
      </c>
      <c r="N5513" t="s">
        <v>55</v>
      </c>
      <c r="O5513" s="3">
        <v>43908</v>
      </c>
      <c r="P5513">
        <v>-1</v>
      </c>
      <c r="T5513" t="s">
        <v>26</v>
      </c>
      <c r="U5513">
        <v>80</v>
      </c>
      <c r="V5513">
        <v>28.050699999999999</v>
      </c>
    </row>
    <row r="5514" spans="1:22" x14ac:dyDescent="0.35">
      <c r="A5514" s="3">
        <v>43789</v>
      </c>
      <c r="B5514" t="s">
        <v>51</v>
      </c>
      <c r="C5514">
        <v>18.600000000000001</v>
      </c>
      <c r="D5514">
        <v>18.95</v>
      </c>
      <c r="E5514">
        <v>18.579999999999998</v>
      </c>
      <c r="F5514">
        <v>18.8</v>
      </c>
      <c r="G5514">
        <v>18.8</v>
      </c>
      <c r="H5514">
        <v>0.25</v>
      </c>
      <c r="I5514">
        <v>471</v>
      </c>
      <c r="J5514">
        <v>0</v>
      </c>
      <c r="K5514">
        <v>979</v>
      </c>
      <c r="L5514">
        <v>169</v>
      </c>
      <c r="M5514">
        <v>245</v>
      </c>
      <c r="N5514" t="s">
        <v>51</v>
      </c>
      <c r="O5514" s="3">
        <v>44034</v>
      </c>
      <c r="P5514">
        <v>-1</v>
      </c>
      <c r="T5514" t="s">
        <v>27</v>
      </c>
      <c r="U5514">
        <v>104</v>
      </c>
      <c r="V5514">
        <v>28.2453</v>
      </c>
    </row>
    <row r="5515" spans="1:22" x14ac:dyDescent="0.35">
      <c r="A5515" s="3">
        <v>43789</v>
      </c>
      <c r="B5515" t="s">
        <v>53</v>
      </c>
      <c r="C5515">
        <v>18.38</v>
      </c>
      <c r="D5515">
        <v>18.8</v>
      </c>
      <c r="E5515">
        <v>18.350000000000001</v>
      </c>
      <c r="F5515">
        <v>18.52</v>
      </c>
      <c r="G5515">
        <v>18.574999999999999</v>
      </c>
      <c r="H5515">
        <v>0.2</v>
      </c>
      <c r="I5515">
        <v>4598</v>
      </c>
      <c r="J5515">
        <v>0</v>
      </c>
      <c r="K5515">
        <v>15097</v>
      </c>
      <c r="L5515">
        <v>125</v>
      </c>
      <c r="M5515">
        <v>182</v>
      </c>
      <c r="N5515" t="s">
        <v>53</v>
      </c>
      <c r="O5515" s="3">
        <v>43971</v>
      </c>
      <c r="P5515">
        <v>-1</v>
      </c>
      <c r="T5515" t="s">
        <v>25</v>
      </c>
      <c r="U5515">
        <v>124</v>
      </c>
      <c r="V5515">
        <v>28.395299999999999</v>
      </c>
    </row>
    <row r="5516" spans="1:22" x14ac:dyDescent="0.35">
      <c r="A5516" s="3">
        <v>43789</v>
      </c>
      <c r="B5516" t="s">
        <v>52</v>
      </c>
      <c r="C5516">
        <v>18.510000000000002</v>
      </c>
      <c r="D5516">
        <v>18.88</v>
      </c>
      <c r="E5516">
        <v>18.47</v>
      </c>
      <c r="F5516">
        <v>18.649999999999999</v>
      </c>
      <c r="G5516">
        <v>18.675000000000001</v>
      </c>
      <c r="H5516">
        <v>0.2</v>
      </c>
      <c r="I5516">
        <v>1198</v>
      </c>
      <c r="J5516">
        <v>0</v>
      </c>
      <c r="K5516">
        <v>5933</v>
      </c>
      <c r="L5516">
        <v>144</v>
      </c>
      <c r="M5516">
        <v>210</v>
      </c>
      <c r="N5516" t="s">
        <v>52</v>
      </c>
      <c r="O5516" s="3">
        <v>43999</v>
      </c>
      <c r="P5516">
        <v>-1</v>
      </c>
      <c r="T5516" t="s">
        <v>20</v>
      </c>
      <c r="U5516">
        <v>144</v>
      </c>
      <c r="V5516">
        <v>27.85</v>
      </c>
    </row>
    <row r="5517" spans="1:22" x14ac:dyDescent="0.35">
      <c r="A5517" s="3">
        <v>43788</v>
      </c>
      <c r="B5517" t="s">
        <v>51</v>
      </c>
      <c r="C5517">
        <v>18.48</v>
      </c>
      <c r="D5517">
        <v>18.649999999999999</v>
      </c>
      <c r="E5517">
        <v>18.34</v>
      </c>
      <c r="F5517">
        <v>18.559999999999999</v>
      </c>
      <c r="G5517">
        <v>18.55</v>
      </c>
      <c r="H5517">
        <v>0.1</v>
      </c>
      <c r="I5517">
        <v>702</v>
      </c>
      <c r="J5517">
        <v>0</v>
      </c>
      <c r="K5517">
        <v>695</v>
      </c>
      <c r="L5517">
        <v>170</v>
      </c>
      <c r="M5517">
        <v>246</v>
      </c>
      <c r="N5517" t="s">
        <v>51</v>
      </c>
      <c r="O5517" s="3">
        <v>44034</v>
      </c>
      <c r="P5517">
        <v>-1</v>
      </c>
      <c r="T5517" t="s">
        <v>21</v>
      </c>
      <c r="U5517">
        <v>168</v>
      </c>
      <c r="V5517">
        <v>27</v>
      </c>
    </row>
    <row r="5518" spans="1:22" x14ac:dyDescent="0.35">
      <c r="A5518" s="3">
        <v>43788</v>
      </c>
      <c r="B5518" t="s">
        <v>53</v>
      </c>
      <c r="C5518">
        <v>18.25</v>
      </c>
      <c r="D5518">
        <v>18.43</v>
      </c>
      <c r="E5518">
        <v>18.11</v>
      </c>
      <c r="F5518">
        <v>18.36</v>
      </c>
      <c r="G5518">
        <v>18.375</v>
      </c>
      <c r="H5518">
        <v>0.15</v>
      </c>
      <c r="I5518">
        <v>3063</v>
      </c>
      <c r="J5518">
        <v>0</v>
      </c>
      <c r="K5518">
        <v>13754</v>
      </c>
      <c r="L5518">
        <v>126</v>
      </c>
      <c r="M5518">
        <v>183</v>
      </c>
      <c r="N5518" t="s">
        <v>53</v>
      </c>
      <c r="O5518" s="3">
        <v>43971</v>
      </c>
      <c r="P5518">
        <v>-1</v>
      </c>
      <c r="S5518" s="3">
        <v>44677</v>
      </c>
      <c r="T5518" t="s">
        <v>23</v>
      </c>
      <c r="U5518">
        <v>184</v>
      </c>
      <c r="V5518">
        <v>27.8</v>
      </c>
    </row>
    <row r="5519" spans="1:22" x14ac:dyDescent="0.35">
      <c r="A5519" s="3">
        <v>43788</v>
      </c>
      <c r="B5519" t="s">
        <v>52</v>
      </c>
      <c r="C5519">
        <v>18.399999999999999</v>
      </c>
      <c r="D5519">
        <v>18.559999999999999</v>
      </c>
      <c r="E5519">
        <v>18.2</v>
      </c>
      <c r="F5519">
        <v>18.45</v>
      </c>
      <c r="G5519">
        <v>18.475000000000001</v>
      </c>
      <c r="H5519">
        <v>0.125</v>
      </c>
      <c r="I5519">
        <v>1262</v>
      </c>
      <c r="J5519">
        <v>0</v>
      </c>
      <c r="K5519">
        <v>5463</v>
      </c>
      <c r="L5519">
        <v>145</v>
      </c>
      <c r="M5519">
        <v>211</v>
      </c>
      <c r="N5519" t="s">
        <v>52</v>
      </c>
      <c r="O5519" s="3">
        <v>43999</v>
      </c>
      <c r="P5519">
        <v>-1</v>
      </c>
      <c r="T5519" t="s">
        <v>29</v>
      </c>
      <c r="U5519">
        <v>16</v>
      </c>
      <c r="V5519">
        <v>30.3018</v>
      </c>
    </row>
    <row r="5520" spans="1:22" x14ac:dyDescent="0.35">
      <c r="A5520" s="3">
        <v>43788</v>
      </c>
      <c r="B5520" t="s">
        <v>54</v>
      </c>
      <c r="C5520">
        <v>18.149999999999999</v>
      </c>
      <c r="D5520">
        <v>18.3</v>
      </c>
      <c r="E5520">
        <v>17.96</v>
      </c>
      <c r="F5520">
        <v>18.2</v>
      </c>
      <c r="G5520">
        <v>18.225000000000001</v>
      </c>
      <c r="H5520">
        <v>0.15</v>
      </c>
      <c r="I5520">
        <v>6781</v>
      </c>
      <c r="J5520">
        <v>0</v>
      </c>
      <c r="K5520">
        <v>15970</v>
      </c>
      <c r="L5520">
        <v>101</v>
      </c>
      <c r="M5520">
        <v>148</v>
      </c>
      <c r="N5520" t="s">
        <v>54</v>
      </c>
      <c r="O5520" s="3">
        <v>43936</v>
      </c>
      <c r="P5520">
        <v>-1</v>
      </c>
      <c r="T5520" t="s">
        <v>28</v>
      </c>
      <c r="U5520">
        <v>35</v>
      </c>
      <c r="V5520">
        <v>29.954599999999999</v>
      </c>
    </row>
    <row r="5521" spans="1:22" x14ac:dyDescent="0.35">
      <c r="A5521" s="3">
        <v>43788</v>
      </c>
      <c r="B5521" t="s">
        <v>55</v>
      </c>
      <c r="C5521">
        <v>17.78</v>
      </c>
      <c r="D5521">
        <v>17.95</v>
      </c>
      <c r="E5521">
        <v>17.61</v>
      </c>
      <c r="F5521">
        <v>17.850000000000001</v>
      </c>
      <c r="G5521">
        <v>17.875</v>
      </c>
      <c r="H5521">
        <v>0.15</v>
      </c>
      <c r="I5521">
        <v>6813</v>
      </c>
      <c r="J5521">
        <v>0</v>
      </c>
      <c r="K5521">
        <v>28681</v>
      </c>
      <c r="L5521">
        <v>81</v>
      </c>
      <c r="M5521">
        <v>120</v>
      </c>
      <c r="N5521" t="s">
        <v>55</v>
      </c>
      <c r="O5521" s="3">
        <v>43908</v>
      </c>
      <c r="P5521">
        <v>-1</v>
      </c>
      <c r="T5521" t="s">
        <v>22</v>
      </c>
      <c r="U5521">
        <v>59</v>
      </c>
      <c r="V5521">
        <v>29.792400000000001</v>
      </c>
    </row>
    <row r="5522" spans="1:22" x14ac:dyDescent="0.35">
      <c r="A5522" s="3">
        <v>43787</v>
      </c>
      <c r="B5522" t="s">
        <v>54</v>
      </c>
      <c r="C5522">
        <v>18.190000000000001</v>
      </c>
      <c r="D5522">
        <v>18.32</v>
      </c>
      <c r="E5522">
        <v>18.02</v>
      </c>
      <c r="F5522">
        <v>18.11</v>
      </c>
      <c r="G5522">
        <v>18.074999999999999</v>
      </c>
      <c r="H5522">
        <v>-0.05</v>
      </c>
      <c r="I5522">
        <v>4150</v>
      </c>
      <c r="J5522">
        <v>0</v>
      </c>
      <c r="K5522">
        <v>15721</v>
      </c>
      <c r="L5522">
        <v>102</v>
      </c>
      <c r="M5522">
        <v>149</v>
      </c>
      <c r="N5522" t="s">
        <v>54</v>
      </c>
      <c r="O5522" s="3">
        <v>43936</v>
      </c>
      <c r="P5522">
        <v>-1</v>
      </c>
      <c r="T5522" t="s">
        <v>26</v>
      </c>
      <c r="U5522">
        <v>79</v>
      </c>
      <c r="V5522">
        <v>29.412800000000001</v>
      </c>
    </row>
    <row r="5523" spans="1:22" x14ac:dyDescent="0.35">
      <c r="A5523" s="3">
        <v>43787</v>
      </c>
      <c r="B5523" t="s">
        <v>55</v>
      </c>
      <c r="C5523">
        <v>17.899999999999999</v>
      </c>
      <c r="D5523">
        <v>18</v>
      </c>
      <c r="E5523">
        <v>17.68</v>
      </c>
      <c r="F5523">
        <v>17.8</v>
      </c>
      <c r="G5523">
        <v>17.725000000000001</v>
      </c>
      <c r="H5523">
        <v>-0.1</v>
      </c>
      <c r="I5523">
        <v>7809</v>
      </c>
      <c r="J5523">
        <v>0</v>
      </c>
      <c r="K5523">
        <v>27763</v>
      </c>
      <c r="L5523">
        <v>82</v>
      </c>
      <c r="M5523">
        <v>121</v>
      </c>
      <c r="N5523" t="s">
        <v>55</v>
      </c>
      <c r="O5523" s="3">
        <v>43908</v>
      </c>
      <c r="P5523">
        <v>-1</v>
      </c>
      <c r="T5523" t="s">
        <v>27</v>
      </c>
      <c r="U5523">
        <v>103</v>
      </c>
      <c r="V5523">
        <v>29.343800000000002</v>
      </c>
    </row>
    <row r="5524" spans="1:22" x14ac:dyDescent="0.35">
      <c r="A5524" s="3">
        <v>43787</v>
      </c>
      <c r="B5524" t="s">
        <v>51</v>
      </c>
      <c r="C5524">
        <v>18.510000000000002</v>
      </c>
      <c r="D5524">
        <v>18.600000000000001</v>
      </c>
      <c r="E5524">
        <v>18.420000000000002</v>
      </c>
      <c r="F5524">
        <v>18.45</v>
      </c>
      <c r="G5524">
        <v>18.45</v>
      </c>
      <c r="H5524">
        <v>-0.05</v>
      </c>
      <c r="I5524">
        <v>77</v>
      </c>
      <c r="J5524">
        <v>0</v>
      </c>
      <c r="K5524">
        <v>309</v>
      </c>
      <c r="L5524">
        <v>171</v>
      </c>
      <c r="M5524">
        <v>247</v>
      </c>
      <c r="N5524" t="s">
        <v>51</v>
      </c>
      <c r="O5524" s="3">
        <v>44034</v>
      </c>
      <c r="P5524">
        <v>-1</v>
      </c>
      <c r="T5524" t="s">
        <v>25</v>
      </c>
      <c r="U5524">
        <v>123</v>
      </c>
      <c r="V5524">
        <v>29.255299999999998</v>
      </c>
    </row>
    <row r="5525" spans="1:22" x14ac:dyDescent="0.35">
      <c r="A5525" s="3">
        <v>43787</v>
      </c>
      <c r="B5525" t="s">
        <v>53</v>
      </c>
      <c r="C5525">
        <v>18.3</v>
      </c>
      <c r="D5525">
        <v>18.399999999999999</v>
      </c>
      <c r="E5525">
        <v>18.149999999999999</v>
      </c>
      <c r="F5525">
        <v>18.23</v>
      </c>
      <c r="G5525">
        <v>18.225000000000001</v>
      </c>
      <c r="H5525">
        <v>-2.5000000000000001E-2</v>
      </c>
      <c r="I5525">
        <v>1486</v>
      </c>
      <c r="J5525">
        <v>0</v>
      </c>
      <c r="K5525">
        <v>12748</v>
      </c>
      <c r="L5525">
        <v>127</v>
      </c>
      <c r="M5525">
        <v>184</v>
      </c>
      <c r="N5525" t="s">
        <v>53</v>
      </c>
      <c r="O5525" s="3">
        <v>43971</v>
      </c>
      <c r="P5525">
        <v>-1</v>
      </c>
      <c r="T5525" t="s">
        <v>20</v>
      </c>
      <c r="U5525">
        <v>143</v>
      </c>
      <c r="V5525">
        <v>28.7135</v>
      </c>
    </row>
    <row r="5526" spans="1:22" x14ac:dyDescent="0.35">
      <c r="A5526" s="3">
        <v>43787</v>
      </c>
      <c r="B5526" t="s">
        <v>52</v>
      </c>
      <c r="C5526">
        <v>18.399999999999999</v>
      </c>
      <c r="D5526">
        <v>18.510000000000002</v>
      </c>
      <c r="E5526">
        <v>18.28</v>
      </c>
      <c r="F5526">
        <v>18.37</v>
      </c>
      <c r="G5526">
        <v>18.350000000000001</v>
      </c>
      <c r="H5526">
        <v>-0.05</v>
      </c>
      <c r="I5526">
        <v>367</v>
      </c>
      <c r="J5526">
        <v>0</v>
      </c>
      <c r="K5526">
        <v>4905</v>
      </c>
      <c r="L5526">
        <v>146</v>
      </c>
      <c r="M5526">
        <v>212</v>
      </c>
      <c r="N5526" t="s">
        <v>52</v>
      </c>
      <c r="O5526" s="3">
        <v>43999</v>
      </c>
      <c r="P5526">
        <v>-1</v>
      </c>
      <c r="T5526" t="s">
        <v>21</v>
      </c>
      <c r="U5526">
        <v>167</v>
      </c>
      <c r="V5526">
        <v>27.678599999999999</v>
      </c>
    </row>
    <row r="5527" spans="1:22" x14ac:dyDescent="0.35">
      <c r="A5527" s="3">
        <v>43784</v>
      </c>
      <c r="B5527" t="s">
        <v>51</v>
      </c>
      <c r="C5527">
        <v>18.55</v>
      </c>
      <c r="D5527">
        <v>18.600000000000001</v>
      </c>
      <c r="E5527">
        <v>18.399999999999999</v>
      </c>
      <c r="F5527">
        <v>18.5</v>
      </c>
      <c r="G5527">
        <v>18.5</v>
      </c>
      <c r="H5527">
        <v>-0.15</v>
      </c>
      <c r="I5527">
        <v>26</v>
      </c>
      <c r="J5527">
        <v>0</v>
      </c>
      <c r="K5527">
        <v>275</v>
      </c>
      <c r="L5527">
        <v>172</v>
      </c>
      <c r="M5527">
        <v>250</v>
      </c>
      <c r="N5527" t="s">
        <v>51</v>
      </c>
      <c r="O5527" s="3">
        <v>44034</v>
      </c>
      <c r="P5527">
        <v>-1</v>
      </c>
      <c r="S5527" s="3">
        <v>44678</v>
      </c>
      <c r="T5527" t="s">
        <v>23</v>
      </c>
      <c r="U5527">
        <v>183</v>
      </c>
      <c r="V5527">
        <v>27.75</v>
      </c>
    </row>
    <row r="5528" spans="1:22" x14ac:dyDescent="0.35">
      <c r="A5528" s="3">
        <v>43784</v>
      </c>
      <c r="B5528" t="s">
        <v>53</v>
      </c>
      <c r="C5528">
        <v>18.45</v>
      </c>
      <c r="D5528">
        <v>18.45</v>
      </c>
      <c r="E5528">
        <v>18.2</v>
      </c>
      <c r="F5528">
        <v>18.27</v>
      </c>
      <c r="G5528">
        <v>18.25</v>
      </c>
      <c r="H5528">
        <v>-0.17499999999999999</v>
      </c>
      <c r="I5528">
        <v>2126</v>
      </c>
      <c r="J5528">
        <v>0</v>
      </c>
      <c r="K5528">
        <v>12543</v>
      </c>
      <c r="L5528">
        <v>128</v>
      </c>
      <c r="M5528">
        <v>187</v>
      </c>
      <c r="N5528" t="s">
        <v>53</v>
      </c>
      <c r="O5528" s="3">
        <v>43971</v>
      </c>
      <c r="P5528">
        <v>-1</v>
      </c>
      <c r="T5528" t="s">
        <v>29</v>
      </c>
      <c r="U5528">
        <v>15</v>
      </c>
      <c r="V5528">
        <v>30.8249</v>
      </c>
    </row>
    <row r="5529" spans="1:22" x14ac:dyDescent="0.35">
      <c r="A5529" s="3">
        <v>43784</v>
      </c>
      <c r="B5529" t="s">
        <v>52</v>
      </c>
      <c r="C5529">
        <v>18.54</v>
      </c>
      <c r="D5529">
        <v>18.54</v>
      </c>
      <c r="E5529">
        <v>18.309999999999999</v>
      </c>
      <c r="F5529">
        <v>18.350000000000001</v>
      </c>
      <c r="G5529">
        <v>18.399999999999999</v>
      </c>
      <c r="H5529">
        <v>-0.15</v>
      </c>
      <c r="I5529">
        <v>263</v>
      </c>
      <c r="J5529">
        <v>0</v>
      </c>
      <c r="K5529">
        <v>4756</v>
      </c>
      <c r="L5529">
        <v>147</v>
      </c>
      <c r="M5529">
        <v>215</v>
      </c>
      <c r="N5529" t="s">
        <v>52</v>
      </c>
      <c r="O5529" s="3">
        <v>43999</v>
      </c>
      <c r="P5529">
        <v>-1</v>
      </c>
      <c r="T5529" t="s">
        <v>28</v>
      </c>
      <c r="U5529">
        <v>34</v>
      </c>
      <c r="V5529">
        <v>30.394200000000001</v>
      </c>
    </row>
    <row r="5530" spans="1:22" x14ac:dyDescent="0.35">
      <c r="A5530" s="3">
        <v>43784</v>
      </c>
      <c r="B5530" t="s">
        <v>54</v>
      </c>
      <c r="C5530">
        <v>18.3</v>
      </c>
      <c r="D5530">
        <v>18.3</v>
      </c>
      <c r="E5530">
        <v>18.059999999999999</v>
      </c>
      <c r="F5530">
        <v>18.149999999999999</v>
      </c>
      <c r="G5530">
        <v>18.125</v>
      </c>
      <c r="H5530">
        <v>-0.2</v>
      </c>
      <c r="I5530">
        <v>4167</v>
      </c>
      <c r="J5530">
        <v>0</v>
      </c>
      <c r="K5530">
        <v>15423</v>
      </c>
      <c r="L5530">
        <v>103</v>
      </c>
      <c r="M5530">
        <v>152</v>
      </c>
      <c r="N5530" t="s">
        <v>54</v>
      </c>
      <c r="O5530" s="3">
        <v>43936</v>
      </c>
      <c r="P5530">
        <v>-1</v>
      </c>
      <c r="T5530" t="s">
        <v>22</v>
      </c>
      <c r="U5530">
        <v>58</v>
      </c>
      <c r="V5530">
        <v>30.0578</v>
      </c>
    </row>
    <row r="5531" spans="1:22" x14ac:dyDescent="0.35">
      <c r="A5531" s="3">
        <v>43784</v>
      </c>
      <c r="B5531" t="s">
        <v>55</v>
      </c>
      <c r="C5531">
        <v>17.98</v>
      </c>
      <c r="D5531">
        <v>18</v>
      </c>
      <c r="E5531">
        <v>17.7</v>
      </c>
      <c r="F5531">
        <v>17.809999999999999</v>
      </c>
      <c r="G5531">
        <v>17.824999999999999</v>
      </c>
      <c r="H5531">
        <v>-0.15</v>
      </c>
      <c r="I5531">
        <v>11616</v>
      </c>
      <c r="J5531">
        <v>0</v>
      </c>
      <c r="K5531">
        <v>26729</v>
      </c>
      <c r="L5531">
        <v>83</v>
      </c>
      <c r="M5531">
        <v>124</v>
      </c>
      <c r="N5531" t="s">
        <v>55</v>
      </c>
      <c r="O5531" s="3">
        <v>43908</v>
      </c>
      <c r="P5531">
        <v>-1</v>
      </c>
      <c r="T5531" t="s">
        <v>26</v>
      </c>
      <c r="U5531">
        <v>78</v>
      </c>
      <c r="V5531">
        <v>29.5974</v>
      </c>
    </row>
    <row r="5532" spans="1:22" x14ac:dyDescent="0.35">
      <c r="A5532" s="3">
        <v>43783</v>
      </c>
      <c r="B5532" t="s">
        <v>54</v>
      </c>
      <c r="C5532">
        <v>18.45</v>
      </c>
      <c r="D5532">
        <v>18.55</v>
      </c>
      <c r="E5532">
        <v>18.3</v>
      </c>
      <c r="F5532">
        <v>18.3</v>
      </c>
      <c r="G5532">
        <v>18.324999999999999</v>
      </c>
      <c r="H5532">
        <v>-0.1</v>
      </c>
      <c r="I5532">
        <v>2348</v>
      </c>
      <c r="J5532">
        <v>0</v>
      </c>
      <c r="K5532">
        <v>14914</v>
      </c>
      <c r="L5532">
        <v>104</v>
      </c>
      <c r="M5532">
        <v>153</v>
      </c>
      <c r="N5532" t="s">
        <v>54</v>
      </c>
      <c r="O5532" s="3">
        <v>43936</v>
      </c>
      <c r="P5532">
        <v>-1</v>
      </c>
      <c r="T5532" t="s">
        <v>27</v>
      </c>
      <c r="U5532">
        <v>102</v>
      </c>
      <c r="V5532">
        <v>29.401399999999999</v>
      </c>
    </row>
    <row r="5533" spans="1:22" x14ac:dyDescent="0.35">
      <c r="A5533" s="3">
        <v>43783</v>
      </c>
      <c r="B5533" t="s">
        <v>55</v>
      </c>
      <c r="C5533">
        <v>18.12</v>
      </c>
      <c r="D5533">
        <v>18.27</v>
      </c>
      <c r="E5533">
        <v>17.95</v>
      </c>
      <c r="F5533">
        <v>17.98</v>
      </c>
      <c r="G5533">
        <v>17.975000000000001</v>
      </c>
      <c r="H5533">
        <v>-0.15</v>
      </c>
      <c r="I5533">
        <v>4996</v>
      </c>
      <c r="J5533">
        <v>0</v>
      </c>
      <c r="K5533">
        <v>24082</v>
      </c>
      <c r="L5533">
        <v>84</v>
      </c>
      <c r="M5533">
        <v>125</v>
      </c>
      <c r="N5533" t="s">
        <v>55</v>
      </c>
      <c r="O5533" s="3">
        <v>43908</v>
      </c>
      <c r="P5533">
        <v>-1</v>
      </c>
      <c r="T5533" t="s">
        <v>25</v>
      </c>
      <c r="U5533">
        <v>122</v>
      </c>
      <c r="V5533">
        <v>29.199300000000001</v>
      </c>
    </row>
    <row r="5534" spans="1:22" x14ac:dyDescent="0.35">
      <c r="A5534" s="3">
        <v>43783</v>
      </c>
      <c r="B5534" t="s">
        <v>51</v>
      </c>
      <c r="C5534">
        <v>18.760000000000002</v>
      </c>
      <c r="D5534">
        <v>18.8</v>
      </c>
      <c r="E5534">
        <v>18.649999999999999</v>
      </c>
      <c r="F5534">
        <v>18.73</v>
      </c>
      <c r="G5534">
        <v>18.649999999999999</v>
      </c>
      <c r="H5534">
        <v>-7.4999999999999997E-2</v>
      </c>
      <c r="I5534">
        <v>49</v>
      </c>
      <c r="J5534">
        <v>0</v>
      </c>
      <c r="K5534">
        <v>262</v>
      </c>
      <c r="L5534">
        <v>173</v>
      </c>
      <c r="M5534">
        <v>251</v>
      </c>
      <c r="N5534" t="s">
        <v>51</v>
      </c>
      <c r="O5534" s="3">
        <v>44034</v>
      </c>
      <c r="P5534">
        <v>-1</v>
      </c>
      <c r="T5534" t="s">
        <v>20</v>
      </c>
      <c r="U5534">
        <v>142</v>
      </c>
      <c r="V5534">
        <v>28.558900000000001</v>
      </c>
    </row>
    <row r="5535" spans="1:22" x14ac:dyDescent="0.35">
      <c r="A5535" s="3">
        <v>43783</v>
      </c>
      <c r="B5535" t="s">
        <v>53</v>
      </c>
      <c r="C5535">
        <v>18.510000000000002</v>
      </c>
      <c r="D5535">
        <v>18.63</v>
      </c>
      <c r="E5535">
        <v>18.41</v>
      </c>
      <c r="F5535">
        <v>18.420000000000002</v>
      </c>
      <c r="G5535">
        <v>18.425000000000001</v>
      </c>
      <c r="H5535">
        <v>-0.1</v>
      </c>
      <c r="I5535">
        <v>1348</v>
      </c>
      <c r="J5535">
        <v>0</v>
      </c>
      <c r="K5535">
        <v>12752</v>
      </c>
      <c r="L5535">
        <v>129</v>
      </c>
      <c r="M5535">
        <v>188</v>
      </c>
      <c r="N5535" t="s">
        <v>53</v>
      </c>
      <c r="O5535" s="3">
        <v>43971</v>
      </c>
      <c r="P5535">
        <v>-1</v>
      </c>
      <c r="T5535" t="s">
        <v>21</v>
      </c>
      <c r="U5535">
        <v>166</v>
      </c>
      <c r="V5535">
        <v>27.45</v>
      </c>
    </row>
    <row r="5536" spans="1:22" x14ac:dyDescent="0.35">
      <c r="A5536" s="3">
        <v>43783</v>
      </c>
      <c r="B5536" t="s">
        <v>52</v>
      </c>
      <c r="C5536">
        <v>18.649999999999999</v>
      </c>
      <c r="D5536">
        <v>18.75</v>
      </c>
      <c r="E5536">
        <v>18.52</v>
      </c>
      <c r="F5536">
        <v>18.55</v>
      </c>
      <c r="G5536">
        <v>18.55</v>
      </c>
      <c r="H5536">
        <v>-7.4999999999999997E-2</v>
      </c>
      <c r="I5536">
        <v>255</v>
      </c>
      <c r="J5536">
        <v>0</v>
      </c>
      <c r="K5536">
        <v>4663</v>
      </c>
      <c r="L5536">
        <v>148</v>
      </c>
      <c r="M5536">
        <v>216</v>
      </c>
      <c r="N5536" t="s">
        <v>52</v>
      </c>
      <c r="O5536" s="3">
        <v>43999</v>
      </c>
      <c r="P5536">
        <v>-1</v>
      </c>
      <c r="S5536" s="3">
        <v>44679</v>
      </c>
      <c r="T5536" t="s">
        <v>23</v>
      </c>
      <c r="U5536">
        <v>182</v>
      </c>
      <c r="V5536">
        <v>27.35</v>
      </c>
    </row>
    <row r="5537" spans="1:22" x14ac:dyDescent="0.35">
      <c r="A5537" s="3">
        <v>43782</v>
      </c>
      <c r="B5537" t="s">
        <v>51</v>
      </c>
      <c r="C5537">
        <v>18.78</v>
      </c>
      <c r="D5537">
        <v>18.93</v>
      </c>
      <c r="E5537">
        <v>18.649999999999999</v>
      </c>
      <c r="F5537">
        <v>18.7</v>
      </c>
      <c r="G5537">
        <v>18.725000000000001</v>
      </c>
      <c r="H5537">
        <v>-0.05</v>
      </c>
      <c r="I5537">
        <v>103</v>
      </c>
      <c r="J5537">
        <v>0</v>
      </c>
      <c r="K5537">
        <v>239</v>
      </c>
      <c r="L5537">
        <v>174</v>
      </c>
      <c r="M5537">
        <v>252</v>
      </c>
      <c r="N5537" t="s">
        <v>51</v>
      </c>
      <c r="O5537" s="3">
        <v>44034</v>
      </c>
      <c r="P5537">
        <v>-1</v>
      </c>
      <c r="T5537" t="s">
        <v>29</v>
      </c>
      <c r="U5537">
        <v>14</v>
      </c>
      <c r="V5537">
        <v>29.2407</v>
      </c>
    </row>
    <row r="5538" spans="1:22" x14ac:dyDescent="0.35">
      <c r="A5538" s="3">
        <v>43782</v>
      </c>
      <c r="B5538" t="s">
        <v>53</v>
      </c>
      <c r="C5538">
        <v>18.559999999999999</v>
      </c>
      <c r="D5538">
        <v>18.649999999999999</v>
      </c>
      <c r="E5538">
        <v>18.399999999999999</v>
      </c>
      <c r="F5538">
        <v>18.55</v>
      </c>
      <c r="G5538">
        <v>18.524999999999999</v>
      </c>
      <c r="H5538">
        <v>0</v>
      </c>
      <c r="I5538">
        <v>986</v>
      </c>
      <c r="J5538">
        <v>0</v>
      </c>
      <c r="K5538">
        <v>12510</v>
      </c>
      <c r="L5538">
        <v>130</v>
      </c>
      <c r="M5538">
        <v>189</v>
      </c>
      <c r="N5538" t="s">
        <v>53</v>
      </c>
      <c r="O5538" s="3">
        <v>43971</v>
      </c>
      <c r="P5538">
        <v>-1</v>
      </c>
      <c r="T5538" t="s">
        <v>28</v>
      </c>
      <c r="U5538">
        <v>33</v>
      </c>
      <c r="V5538">
        <v>29.281500000000001</v>
      </c>
    </row>
    <row r="5539" spans="1:22" x14ac:dyDescent="0.35">
      <c r="A5539" s="3">
        <v>43782</v>
      </c>
      <c r="B5539" t="s">
        <v>52</v>
      </c>
      <c r="C5539">
        <v>18.649999999999999</v>
      </c>
      <c r="D5539">
        <v>18.75</v>
      </c>
      <c r="E5539">
        <v>18.5</v>
      </c>
      <c r="F5539">
        <v>18.649999999999999</v>
      </c>
      <c r="G5539">
        <v>18.625</v>
      </c>
      <c r="H5539">
        <v>0</v>
      </c>
      <c r="I5539">
        <v>454</v>
      </c>
      <c r="J5539">
        <v>0</v>
      </c>
      <c r="K5539">
        <v>4562</v>
      </c>
      <c r="L5539">
        <v>149</v>
      </c>
      <c r="M5539">
        <v>217</v>
      </c>
      <c r="N5539" t="s">
        <v>52</v>
      </c>
      <c r="O5539" s="3">
        <v>43999</v>
      </c>
      <c r="P5539">
        <v>-1</v>
      </c>
      <c r="T5539" t="s">
        <v>22</v>
      </c>
      <c r="U5539">
        <v>57</v>
      </c>
      <c r="V5539">
        <v>29.221</v>
      </c>
    </row>
    <row r="5540" spans="1:22" x14ac:dyDescent="0.35">
      <c r="A5540" s="3">
        <v>43782</v>
      </c>
      <c r="B5540" t="s">
        <v>54</v>
      </c>
      <c r="C5540">
        <v>18.47</v>
      </c>
      <c r="D5540">
        <v>18.600000000000001</v>
      </c>
      <c r="E5540">
        <v>18.309999999999999</v>
      </c>
      <c r="F5540">
        <v>18.420000000000002</v>
      </c>
      <c r="G5540">
        <v>18.425000000000001</v>
      </c>
      <c r="H5540">
        <v>0</v>
      </c>
      <c r="I5540">
        <v>2094</v>
      </c>
      <c r="J5540">
        <v>0</v>
      </c>
      <c r="K5540">
        <v>15428</v>
      </c>
      <c r="L5540">
        <v>105</v>
      </c>
      <c r="M5540">
        <v>154</v>
      </c>
      <c r="N5540" t="s">
        <v>54</v>
      </c>
      <c r="O5540" s="3">
        <v>43936</v>
      </c>
      <c r="P5540">
        <v>-1</v>
      </c>
      <c r="T5540" t="s">
        <v>26</v>
      </c>
      <c r="U5540">
        <v>77</v>
      </c>
      <c r="V5540">
        <v>28.9084</v>
      </c>
    </row>
    <row r="5541" spans="1:22" x14ac:dyDescent="0.35">
      <c r="A5541" s="3">
        <v>43782</v>
      </c>
      <c r="B5541" t="s">
        <v>55</v>
      </c>
      <c r="C5541">
        <v>18.2</v>
      </c>
      <c r="D5541">
        <v>18.350000000000001</v>
      </c>
      <c r="E5541">
        <v>18.010000000000002</v>
      </c>
      <c r="F5541">
        <v>18.12</v>
      </c>
      <c r="G5541">
        <v>18.125</v>
      </c>
      <c r="H5541">
        <v>-0.05</v>
      </c>
      <c r="I5541">
        <v>6105</v>
      </c>
      <c r="J5541">
        <v>0</v>
      </c>
      <c r="K5541">
        <v>24886</v>
      </c>
      <c r="L5541">
        <v>85</v>
      </c>
      <c r="M5541">
        <v>126</v>
      </c>
      <c r="N5541" t="s">
        <v>55</v>
      </c>
      <c r="O5541" s="3">
        <v>43908</v>
      </c>
      <c r="P5541">
        <v>-1</v>
      </c>
      <c r="T5541" t="s">
        <v>27</v>
      </c>
      <c r="U5541">
        <v>101</v>
      </c>
      <c r="V5541">
        <v>28.843499999999999</v>
      </c>
    </row>
    <row r="5542" spans="1:22" x14ac:dyDescent="0.35">
      <c r="A5542" s="3">
        <v>43781</v>
      </c>
      <c r="B5542" t="s">
        <v>54</v>
      </c>
      <c r="C5542">
        <v>18.420000000000002</v>
      </c>
      <c r="D5542">
        <v>18.52</v>
      </c>
      <c r="E5542">
        <v>18.32</v>
      </c>
      <c r="F5542">
        <v>18.46</v>
      </c>
      <c r="G5542">
        <v>18.425000000000001</v>
      </c>
      <c r="H5542">
        <v>0.05</v>
      </c>
      <c r="I5542">
        <v>1783</v>
      </c>
      <c r="J5542">
        <v>0</v>
      </c>
      <c r="K5542">
        <v>15027</v>
      </c>
      <c r="L5542">
        <v>106</v>
      </c>
      <c r="M5542">
        <v>155</v>
      </c>
      <c r="N5542" t="s">
        <v>54</v>
      </c>
      <c r="O5542" s="3">
        <v>43936</v>
      </c>
      <c r="P5542">
        <v>-1</v>
      </c>
      <c r="T5542" t="s">
        <v>25</v>
      </c>
      <c r="U5542">
        <v>121</v>
      </c>
      <c r="V5542">
        <v>28.733799999999999</v>
      </c>
    </row>
    <row r="5543" spans="1:22" x14ac:dyDescent="0.35">
      <c r="A5543" s="3">
        <v>43781</v>
      </c>
      <c r="B5543" t="s">
        <v>55</v>
      </c>
      <c r="C5543">
        <v>18.149999999999999</v>
      </c>
      <c r="D5543">
        <v>18.25</v>
      </c>
      <c r="E5543">
        <v>18</v>
      </c>
      <c r="F5543">
        <v>18.170000000000002</v>
      </c>
      <c r="G5543">
        <v>18.175000000000001</v>
      </c>
      <c r="H5543">
        <v>0.1</v>
      </c>
      <c r="I5543">
        <v>6104</v>
      </c>
      <c r="J5543">
        <v>0</v>
      </c>
      <c r="K5543">
        <v>24625</v>
      </c>
      <c r="L5543">
        <v>86</v>
      </c>
      <c r="M5543">
        <v>127</v>
      </c>
      <c r="N5543" t="s">
        <v>55</v>
      </c>
      <c r="O5543" s="3">
        <v>43908</v>
      </c>
      <c r="P5543">
        <v>-1</v>
      </c>
      <c r="T5543" t="s">
        <v>20</v>
      </c>
      <c r="U5543">
        <v>141</v>
      </c>
      <c r="V5543">
        <v>28.046399999999998</v>
      </c>
    </row>
    <row r="5544" spans="1:22" x14ac:dyDescent="0.35">
      <c r="A5544" s="3">
        <v>43781</v>
      </c>
      <c r="B5544" t="s">
        <v>51</v>
      </c>
      <c r="C5544">
        <v>18.7</v>
      </c>
      <c r="D5544">
        <v>18.8</v>
      </c>
      <c r="E5544">
        <v>18.68</v>
      </c>
      <c r="F5544">
        <v>18.79</v>
      </c>
      <c r="G5544">
        <v>18.774999999999999</v>
      </c>
      <c r="H5544">
        <v>7.4999999999999997E-2</v>
      </c>
      <c r="I5544">
        <v>59</v>
      </c>
      <c r="J5544">
        <v>0</v>
      </c>
      <c r="K5544">
        <v>204</v>
      </c>
      <c r="L5544">
        <v>175</v>
      </c>
      <c r="M5544">
        <v>253</v>
      </c>
      <c r="N5544" t="s">
        <v>51</v>
      </c>
      <c r="O5544" s="3">
        <v>44034</v>
      </c>
      <c r="P5544">
        <v>-1</v>
      </c>
      <c r="T5544" t="s">
        <v>21</v>
      </c>
      <c r="U5544">
        <v>165</v>
      </c>
      <c r="V5544">
        <v>27.05</v>
      </c>
    </row>
    <row r="5545" spans="1:22" x14ac:dyDescent="0.35">
      <c r="A5545" s="3">
        <v>43781</v>
      </c>
      <c r="B5545" t="s">
        <v>53</v>
      </c>
      <c r="C5545">
        <v>18.5</v>
      </c>
      <c r="D5545">
        <v>18.600000000000001</v>
      </c>
      <c r="E5545">
        <v>18.39</v>
      </c>
      <c r="F5545">
        <v>18.53</v>
      </c>
      <c r="G5545">
        <v>18.524999999999999</v>
      </c>
      <c r="H5545">
        <v>0.05</v>
      </c>
      <c r="I5545">
        <v>2130</v>
      </c>
      <c r="J5545">
        <v>0</v>
      </c>
      <c r="K5545">
        <v>12191</v>
      </c>
      <c r="L5545">
        <v>131</v>
      </c>
      <c r="M5545">
        <v>190</v>
      </c>
      <c r="N5545" t="s">
        <v>53</v>
      </c>
      <c r="O5545" s="3">
        <v>43971</v>
      </c>
      <c r="P5545">
        <v>-1</v>
      </c>
      <c r="S5545" s="3">
        <v>44680</v>
      </c>
      <c r="T5545" t="s">
        <v>23</v>
      </c>
      <c r="U5545">
        <v>181</v>
      </c>
      <c r="V5545">
        <v>27.824999999999999</v>
      </c>
    </row>
    <row r="5546" spans="1:22" x14ac:dyDescent="0.35">
      <c r="A5546" s="3">
        <v>43781</v>
      </c>
      <c r="B5546" t="s">
        <v>52</v>
      </c>
      <c r="C5546">
        <v>18.55</v>
      </c>
      <c r="D5546">
        <v>18.75</v>
      </c>
      <c r="E5546">
        <v>18.55</v>
      </c>
      <c r="F5546">
        <v>18.66</v>
      </c>
      <c r="G5546">
        <v>18.625</v>
      </c>
      <c r="H5546">
        <v>2.5000000000000001E-2</v>
      </c>
      <c r="I5546">
        <v>787</v>
      </c>
      <c r="J5546">
        <v>0</v>
      </c>
      <c r="K5546">
        <v>4313</v>
      </c>
      <c r="L5546">
        <v>150</v>
      </c>
      <c r="M5546">
        <v>218</v>
      </c>
      <c r="N5546" t="s">
        <v>52</v>
      </c>
      <c r="O5546" s="3">
        <v>43999</v>
      </c>
      <c r="P5546">
        <v>-1</v>
      </c>
      <c r="T5546" t="s">
        <v>29</v>
      </c>
      <c r="U5546">
        <v>13</v>
      </c>
      <c r="V5546">
        <v>31.648700000000002</v>
      </c>
    </row>
    <row r="5547" spans="1:22" x14ac:dyDescent="0.35">
      <c r="A5547" s="3">
        <v>43780</v>
      </c>
      <c r="B5547" t="s">
        <v>51</v>
      </c>
      <c r="C5547">
        <v>18.95</v>
      </c>
      <c r="D5547">
        <v>18.95</v>
      </c>
      <c r="E5547">
        <v>18.739999999999998</v>
      </c>
      <c r="F5547">
        <v>18.75</v>
      </c>
      <c r="G5547">
        <v>18.7</v>
      </c>
      <c r="H5547">
        <v>-0.15</v>
      </c>
      <c r="I5547">
        <v>27</v>
      </c>
      <c r="J5547">
        <v>0</v>
      </c>
      <c r="K5547">
        <v>174</v>
      </c>
      <c r="L5547">
        <v>176</v>
      </c>
      <c r="M5547">
        <v>254</v>
      </c>
      <c r="N5547" t="s">
        <v>51</v>
      </c>
      <c r="O5547" s="3">
        <v>44034</v>
      </c>
      <c r="P5547">
        <v>-1</v>
      </c>
      <c r="T5547" t="s">
        <v>28</v>
      </c>
      <c r="U5547">
        <v>32</v>
      </c>
      <c r="V5547">
        <v>31.208500000000001</v>
      </c>
    </row>
    <row r="5548" spans="1:22" x14ac:dyDescent="0.35">
      <c r="A5548" s="3">
        <v>43780</v>
      </c>
      <c r="B5548" t="s">
        <v>53</v>
      </c>
      <c r="C5548">
        <v>18.600000000000001</v>
      </c>
      <c r="D5548">
        <v>18.75</v>
      </c>
      <c r="E5548">
        <v>18.45</v>
      </c>
      <c r="F5548">
        <v>18.47</v>
      </c>
      <c r="G5548">
        <v>18.475000000000001</v>
      </c>
      <c r="H5548">
        <v>-0.1</v>
      </c>
      <c r="I5548">
        <v>1035</v>
      </c>
      <c r="J5548">
        <v>0</v>
      </c>
      <c r="K5548">
        <v>11628</v>
      </c>
      <c r="L5548">
        <v>132</v>
      </c>
      <c r="M5548">
        <v>191</v>
      </c>
      <c r="N5548" t="s">
        <v>53</v>
      </c>
      <c r="O5548" s="3">
        <v>43971</v>
      </c>
      <c r="P5548">
        <v>-1</v>
      </c>
      <c r="T5548" t="s">
        <v>22</v>
      </c>
      <c r="U5548">
        <v>56</v>
      </c>
      <c r="V5548">
        <v>30.6328</v>
      </c>
    </row>
    <row r="5549" spans="1:22" x14ac:dyDescent="0.35">
      <c r="A5549" s="3">
        <v>43780</v>
      </c>
      <c r="B5549" t="s">
        <v>52</v>
      </c>
      <c r="C5549">
        <v>18.8</v>
      </c>
      <c r="D5549">
        <v>18.850000000000001</v>
      </c>
      <c r="E5549">
        <v>18.59</v>
      </c>
      <c r="F5549">
        <v>18.59</v>
      </c>
      <c r="G5549">
        <v>18.600000000000001</v>
      </c>
      <c r="H5549">
        <v>-0.1</v>
      </c>
      <c r="I5549">
        <v>235</v>
      </c>
      <c r="J5549">
        <v>0</v>
      </c>
      <c r="K5549">
        <v>3805</v>
      </c>
      <c r="L5549">
        <v>151</v>
      </c>
      <c r="M5549">
        <v>219</v>
      </c>
      <c r="N5549" t="s">
        <v>52</v>
      </c>
      <c r="O5549" s="3">
        <v>43999</v>
      </c>
      <c r="P5549">
        <v>-1</v>
      </c>
      <c r="T5549" t="s">
        <v>26</v>
      </c>
      <c r="U5549">
        <v>76</v>
      </c>
      <c r="V5549">
        <v>30.004200000000001</v>
      </c>
    </row>
    <row r="5550" spans="1:22" x14ac:dyDescent="0.35">
      <c r="A5550" s="3">
        <v>43780</v>
      </c>
      <c r="B5550" t="s">
        <v>54</v>
      </c>
      <c r="C5550">
        <v>18.55</v>
      </c>
      <c r="D5550">
        <v>18.7</v>
      </c>
      <c r="E5550">
        <v>18.350000000000001</v>
      </c>
      <c r="F5550">
        <v>18.38</v>
      </c>
      <c r="G5550">
        <v>18.375</v>
      </c>
      <c r="H5550">
        <v>-0.125</v>
      </c>
      <c r="I5550">
        <v>2303</v>
      </c>
      <c r="J5550">
        <v>0</v>
      </c>
      <c r="K5550">
        <v>15227</v>
      </c>
      <c r="L5550">
        <v>107</v>
      </c>
      <c r="M5550">
        <v>156</v>
      </c>
      <c r="N5550" t="s">
        <v>54</v>
      </c>
      <c r="O5550" s="3">
        <v>43936</v>
      </c>
      <c r="P5550">
        <v>-1</v>
      </c>
      <c r="T5550" t="s">
        <v>27</v>
      </c>
      <c r="U5550">
        <v>100</v>
      </c>
      <c r="V5550">
        <v>29.786100000000001</v>
      </c>
    </row>
    <row r="5551" spans="1:22" x14ac:dyDescent="0.35">
      <c r="A5551" s="3">
        <v>43780</v>
      </c>
      <c r="B5551" t="s">
        <v>55</v>
      </c>
      <c r="C5551">
        <v>18.3</v>
      </c>
      <c r="D5551">
        <v>18.45</v>
      </c>
      <c r="E5551">
        <v>18.05</v>
      </c>
      <c r="F5551">
        <v>18.100000000000001</v>
      </c>
      <c r="G5551">
        <v>18.074999999999999</v>
      </c>
      <c r="H5551">
        <v>-0.15</v>
      </c>
      <c r="I5551">
        <v>4043</v>
      </c>
      <c r="J5551">
        <v>0</v>
      </c>
      <c r="K5551">
        <v>24449</v>
      </c>
      <c r="L5551">
        <v>87</v>
      </c>
      <c r="M5551">
        <v>128</v>
      </c>
      <c r="N5551" t="s">
        <v>55</v>
      </c>
      <c r="O5551" s="3">
        <v>43908</v>
      </c>
      <c r="P5551">
        <v>-1</v>
      </c>
      <c r="T5551" t="s">
        <v>25</v>
      </c>
      <c r="U5551">
        <v>120</v>
      </c>
      <c r="V5551">
        <v>29.5078</v>
      </c>
    </row>
    <row r="5552" spans="1:22" x14ac:dyDescent="0.35">
      <c r="A5552" s="3">
        <v>43777</v>
      </c>
      <c r="B5552" t="s">
        <v>54</v>
      </c>
      <c r="C5552">
        <v>18.55</v>
      </c>
      <c r="D5552">
        <v>18.68</v>
      </c>
      <c r="E5552">
        <v>18.45</v>
      </c>
      <c r="F5552">
        <v>18.52</v>
      </c>
      <c r="G5552">
        <v>18.5</v>
      </c>
      <c r="H5552">
        <v>-2.5000000000000001E-2</v>
      </c>
      <c r="I5552">
        <v>1205</v>
      </c>
      <c r="J5552">
        <v>0</v>
      </c>
      <c r="K5552">
        <v>15125</v>
      </c>
      <c r="L5552">
        <v>108</v>
      </c>
      <c r="M5552">
        <v>159</v>
      </c>
      <c r="N5552" t="s">
        <v>54</v>
      </c>
      <c r="O5552" s="3">
        <v>43936</v>
      </c>
      <c r="P5552">
        <v>-1</v>
      </c>
      <c r="T5552" t="s">
        <v>20</v>
      </c>
      <c r="U5552">
        <v>140</v>
      </c>
      <c r="V5552">
        <v>28.7865</v>
      </c>
    </row>
    <row r="5553" spans="1:22" x14ac:dyDescent="0.35">
      <c r="A5553" s="3">
        <v>43777</v>
      </c>
      <c r="B5553" t="s">
        <v>55</v>
      </c>
      <c r="C5553">
        <v>18.3</v>
      </c>
      <c r="D5553">
        <v>18.45</v>
      </c>
      <c r="E5553">
        <v>18.149999999999999</v>
      </c>
      <c r="F5553">
        <v>18.239999999999998</v>
      </c>
      <c r="G5553">
        <v>18.225000000000001</v>
      </c>
      <c r="H5553">
        <v>-0.05</v>
      </c>
      <c r="I5553">
        <v>4787</v>
      </c>
      <c r="J5553">
        <v>0</v>
      </c>
      <c r="K5553">
        <v>24049</v>
      </c>
      <c r="L5553">
        <v>88</v>
      </c>
      <c r="M5553">
        <v>131</v>
      </c>
      <c r="N5553" t="s">
        <v>55</v>
      </c>
      <c r="O5553" s="3">
        <v>43908</v>
      </c>
      <c r="P5553">
        <v>-1</v>
      </c>
      <c r="T5553" t="s">
        <v>21</v>
      </c>
      <c r="U5553">
        <v>164</v>
      </c>
      <c r="V5553">
        <v>27.824999999999999</v>
      </c>
    </row>
    <row r="5554" spans="1:22" x14ac:dyDescent="0.35">
      <c r="A5554" s="3">
        <v>43777</v>
      </c>
      <c r="B5554" t="s">
        <v>53</v>
      </c>
      <c r="C5554">
        <v>18.55</v>
      </c>
      <c r="D5554">
        <v>18.72</v>
      </c>
      <c r="E5554">
        <v>18.5</v>
      </c>
      <c r="F5554">
        <v>18.579999999999998</v>
      </c>
      <c r="G5554">
        <v>18.574999999999999</v>
      </c>
      <c r="H5554">
        <v>0</v>
      </c>
      <c r="I5554">
        <v>609</v>
      </c>
      <c r="J5554">
        <v>0</v>
      </c>
      <c r="K5554">
        <v>11458</v>
      </c>
      <c r="L5554">
        <v>133</v>
      </c>
      <c r="M5554">
        <v>194</v>
      </c>
      <c r="N5554" t="s">
        <v>53</v>
      </c>
      <c r="O5554" s="3">
        <v>43971</v>
      </c>
      <c r="P5554">
        <v>-1</v>
      </c>
      <c r="S5554" s="3">
        <v>44683</v>
      </c>
      <c r="T5554" t="s">
        <v>23</v>
      </c>
      <c r="U5554">
        <v>180</v>
      </c>
      <c r="V5554">
        <v>28.024999999999999</v>
      </c>
    </row>
    <row r="5555" spans="1:22" x14ac:dyDescent="0.35">
      <c r="A5555" s="3">
        <v>43777</v>
      </c>
      <c r="B5555" t="s">
        <v>52</v>
      </c>
      <c r="C5555">
        <v>18.760000000000002</v>
      </c>
      <c r="D5555">
        <v>18.8</v>
      </c>
      <c r="E5555">
        <v>18.62</v>
      </c>
      <c r="F5555">
        <v>18.75</v>
      </c>
      <c r="G5555">
        <v>18.7</v>
      </c>
      <c r="H5555">
        <v>0</v>
      </c>
      <c r="I5555">
        <v>89</v>
      </c>
      <c r="J5555">
        <v>0</v>
      </c>
      <c r="K5555">
        <v>3747</v>
      </c>
      <c r="L5555">
        <v>152</v>
      </c>
      <c r="M5555">
        <v>222</v>
      </c>
      <c r="N5555" t="s">
        <v>52</v>
      </c>
      <c r="O5555" s="3">
        <v>43999</v>
      </c>
      <c r="P5555">
        <v>-1</v>
      </c>
      <c r="T5555" t="s">
        <v>29</v>
      </c>
      <c r="U5555">
        <v>12</v>
      </c>
      <c r="V5555">
        <v>30.947700000000001</v>
      </c>
    </row>
    <row r="5556" spans="1:22" x14ac:dyDescent="0.35">
      <c r="A5556" s="3">
        <v>43776</v>
      </c>
      <c r="B5556" t="s">
        <v>53</v>
      </c>
      <c r="C5556">
        <v>18.600000000000001</v>
      </c>
      <c r="D5556">
        <v>18.7</v>
      </c>
      <c r="E5556">
        <v>18.48</v>
      </c>
      <c r="F5556">
        <v>18.57</v>
      </c>
      <c r="G5556">
        <v>18.574999999999999</v>
      </c>
      <c r="H5556">
        <v>-0.05</v>
      </c>
      <c r="I5556">
        <v>1240</v>
      </c>
      <c r="J5556">
        <v>0</v>
      </c>
      <c r="K5556">
        <v>11349</v>
      </c>
      <c r="L5556">
        <v>134</v>
      </c>
      <c r="M5556">
        <v>195</v>
      </c>
      <c r="N5556" t="s">
        <v>53</v>
      </c>
      <c r="O5556" s="3">
        <v>43971</v>
      </c>
      <c r="P5556">
        <v>-1</v>
      </c>
      <c r="T5556" t="s">
        <v>28</v>
      </c>
      <c r="U5556">
        <v>31</v>
      </c>
      <c r="V5556">
        <v>30.901199999999999</v>
      </c>
    </row>
    <row r="5557" spans="1:22" x14ac:dyDescent="0.35">
      <c r="A5557" s="3">
        <v>43776</v>
      </c>
      <c r="B5557" t="s">
        <v>52</v>
      </c>
      <c r="C5557">
        <v>18.72</v>
      </c>
      <c r="D5557">
        <v>18.82</v>
      </c>
      <c r="E5557">
        <v>18.600000000000001</v>
      </c>
      <c r="F5557">
        <v>18.690000000000001</v>
      </c>
      <c r="G5557">
        <v>18.7</v>
      </c>
      <c r="H5557">
        <v>0</v>
      </c>
      <c r="I5557">
        <v>211</v>
      </c>
      <c r="J5557">
        <v>0</v>
      </c>
      <c r="K5557">
        <v>3743</v>
      </c>
      <c r="L5557">
        <v>153</v>
      </c>
      <c r="M5557">
        <v>223</v>
      </c>
      <c r="N5557" t="s">
        <v>52</v>
      </c>
      <c r="O5557" s="3">
        <v>43999</v>
      </c>
      <c r="P5557">
        <v>-1</v>
      </c>
      <c r="T5557" t="s">
        <v>22</v>
      </c>
      <c r="U5557">
        <v>55</v>
      </c>
      <c r="V5557">
        <v>30.503399999999999</v>
      </c>
    </row>
    <row r="5558" spans="1:22" x14ac:dyDescent="0.35">
      <c r="A5558" s="3">
        <v>43776</v>
      </c>
      <c r="B5558" t="s">
        <v>51</v>
      </c>
      <c r="C5558">
        <v>18.899999999999999</v>
      </c>
      <c r="D5558">
        <v>18.899999999999999</v>
      </c>
      <c r="E5558">
        <v>18.850000000000001</v>
      </c>
      <c r="F5558">
        <v>18.850000000000001</v>
      </c>
      <c r="G5558">
        <v>18.75</v>
      </c>
      <c r="H5558">
        <v>-0.05</v>
      </c>
      <c r="I5558">
        <v>6</v>
      </c>
      <c r="J5558">
        <v>0</v>
      </c>
      <c r="K5558">
        <v>161</v>
      </c>
      <c r="L5558">
        <v>178</v>
      </c>
      <c r="M5558">
        <v>258</v>
      </c>
      <c r="N5558" t="s">
        <v>51</v>
      </c>
      <c r="O5558" s="3">
        <v>44034</v>
      </c>
      <c r="P5558">
        <v>-1</v>
      </c>
      <c r="T5558" t="s">
        <v>26</v>
      </c>
      <c r="U5558">
        <v>75</v>
      </c>
      <c r="V5558">
        <v>29.9175</v>
      </c>
    </row>
    <row r="5559" spans="1:22" x14ac:dyDescent="0.35">
      <c r="A5559" s="3">
        <v>43776</v>
      </c>
      <c r="B5559" t="s">
        <v>54</v>
      </c>
      <c r="C5559">
        <v>18.57</v>
      </c>
      <c r="D5559">
        <v>18.66</v>
      </c>
      <c r="E5559">
        <v>18.399999999999999</v>
      </c>
      <c r="F5559">
        <v>18.55</v>
      </c>
      <c r="G5559">
        <v>18.524999999999999</v>
      </c>
      <c r="H5559">
        <v>-0.05</v>
      </c>
      <c r="I5559">
        <v>1788</v>
      </c>
      <c r="J5559">
        <v>0</v>
      </c>
      <c r="K5559">
        <v>15013</v>
      </c>
      <c r="L5559">
        <v>109</v>
      </c>
      <c r="M5559">
        <v>160</v>
      </c>
      <c r="N5559" t="s">
        <v>54</v>
      </c>
      <c r="O5559" s="3">
        <v>43936</v>
      </c>
      <c r="P5559">
        <v>-1</v>
      </c>
      <c r="T5559" t="s">
        <v>27</v>
      </c>
      <c r="U5559">
        <v>99</v>
      </c>
      <c r="V5559">
        <v>29.614100000000001</v>
      </c>
    </row>
    <row r="5560" spans="1:22" x14ac:dyDescent="0.35">
      <c r="A5560" s="3">
        <v>43776</v>
      </c>
      <c r="B5560" t="s">
        <v>55</v>
      </c>
      <c r="C5560">
        <v>18.38</v>
      </c>
      <c r="D5560">
        <v>18.47</v>
      </c>
      <c r="E5560">
        <v>18.2</v>
      </c>
      <c r="F5560">
        <v>18.3</v>
      </c>
      <c r="G5560">
        <v>18.274999999999999</v>
      </c>
      <c r="H5560">
        <v>-0.1</v>
      </c>
      <c r="I5560">
        <v>6200</v>
      </c>
      <c r="J5560">
        <v>0</v>
      </c>
      <c r="K5560">
        <v>23965</v>
      </c>
      <c r="L5560">
        <v>89</v>
      </c>
      <c r="M5560">
        <v>132</v>
      </c>
      <c r="N5560" t="s">
        <v>55</v>
      </c>
      <c r="O5560" s="3">
        <v>43908</v>
      </c>
      <c r="P5560">
        <v>-1</v>
      </c>
      <c r="T5560" t="s">
        <v>25</v>
      </c>
      <c r="U5560">
        <v>119</v>
      </c>
      <c r="V5560">
        <v>29.3491</v>
      </c>
    </row>
    <row r="5561" spans="1:22" x14ac:dyDescent="0.35">
      <c r="A5561" s="3">
        <v>43775</v>
      </c>
      <c r="B5561" t="s">
        <v>51</v>
      </c>
      <c r="C5561">
        <v>18.899999999999999</v>
      </c>
      <c r="D5561">
        <v>18.899999999999999</v>
      </c>
      <c r="E5561">
        <v>18.850000000000001</v>
      </c>
      <c r="F5561">
        <v>18.899999999999999</v>
      </c>
      <c r="G5561">
        <v>18.8</v>
      </c>
      <c r="H5561">
        <v>0.2</v>
      </c>
      <c r="I5561">
        <v>13</v>
      </c>
      <c r="J5561">
        <v>0</v>
      </c>
      <c r="K5561">
        <v>157</v>
      </c>
      <c r="L5561">
        <v>179</v>
      </c>
      <c r="M5561">
        <v>259</v>
      </c>
      <c r="N5561" t="s">
        <v>51</v>
      </c>
      <c r="O5561" s="3">
        <v>44034</v>
      </c>
      <c r="P5561">
        <v>-1</v>
      </c>
      <c r="T5561" t="s">
        <v>20</v>
      </c>
      <c r="U5561">
        <v>139</v>
      </c>
      <c r="V5561">
        <v>28.6433</v>
      </c>
    </row>
    <row r="5562" spans="1:22" x14ac:dyDescent="0.35">
      <c r="A5562" s="3">
        <v>43775</v>
      </c>
      <c r="B5562" t="s">
        <v>54</v>
      </c>
      <c r="C5562">
        <v>18.600000000000001</v>
      </c>
      <c r="D5562">
        <v>18.72</v>
      </c>
      <c r="E5562">
        <v>18.5</v>
      </c>
      <c r="F5562">
        <v>18.559999999999999</v>
      </c>
      <c r="G5562">
        <v>18.574999999999999</v>
      </c>
      <c r="H5562">
        <v>0.05</v>
      </c>
      <c r="I5562">
        <v>1658</v>
      </c>
      <c r="J5562">
        <v>0</v>
      </c>
      <c r="K5562">
        <v>14604</v>
      </c>
      <c r="L5562">
        <v>110</v>
      </c>
      <c r="M5562">
        <v>161</v>
      </c>
      <c r="N5562" t="s">
        <v>54</v>
      </c>
      <c r="O5562" s="3">
        <v>43936</v>
      </c>
      <c r="P5562">
        <v>-1</v>
      </c>
      <c r="T5562" t="s">
        <v>21</v>
      </c>
      <c r="U5562">
        <v>163</v>
      </c>
      <c r="V5562">
        <v>27.7</v>
      </c>
    </row>
    <row r="5563" spans="1:22" x14ac:dyDescent="0.35">
      <c r="A5563" s="3">
        <v>43775</v>
      </c>
      <c r="B5563" t="s">
        <v>55</v>
      </c>
      <c r="C5563">
        <v>18.37</v>
      </c>
      <c r="D5563">
        <v>18.53</v>
      </c>
      <c r="E5563">
        <v>18.3</v>
      </c>
      <c r="F5563">
        <v>18.34</v>
      </c>
      <c r="G5563">
        <v>18.375</v>
      </c>
      <c r="H5563">
        <v>0.05</v>
      </c>
      <c r="I5563">
        <v>6004</v>
      </c>
      <c r="J5563">
        <v>0</v>
      </c>
      <c r="K5563">
        <v>23287</v>
      </c>
      <c r="L5563">
        <v>90</v>
      </c>
      <c r="M5563">
        <v>133</v>
      </c>
      <c r="N5563" t="s">
        <v>55</v>
      </c>
      <c r="O5563" s="3">
        <v>43908</v>
      </c>
      <c r="P5563">
        <v>-1</v>
      </c>
      <c r="S5563" s="3">
        <v>44684</v>
      </c>
      <c r="T5563" t="s">
        <v>23</v>
      </c>
      <c r="U5563">
        <v>179</v>
      </c>
      <c r="V5563">
        <v>27.824999999999999</v>
      </c>
    </row>
    <row r="5564" spans="1:22" x14ac:dyDescent="0.35">
      <c r="A5564" s="3">
        <v>43775</v>
      </c>
      <c r="B5564" t="s">
        <v>53</v>
      </c>
      <c r="C5564">
        <v>18.62</v>
      </c>
      <c r="D5564">
        <v>18.75</v>
      </c>
      <c r="E5564">
        <v>18.53</v>
      </c>
      <c r="F5564">
        <v>18.600000000000001</v>
      </c>
      <c r="G5564">
        <v>18.625</v>
      </c>
      <c r="H5564">
        <v>0.1</v>
      </c>
      <c r="I5564">
        <v>1018</v>
      </c>
      <c r="J5564">
        <v>0</v>
      </c>
      <c r="K5564">
        <v>11008</v>
      </c>
      <c r="L5564">
        <v>135</v>
      </c>
      <c r="M5564">
        <v>196</v>
      </c>
      <c r="N5564" t="s">
        <v>53</v>
      </c>
      <c r="O5564" s="3">
        <v>43971</v>
      </c>
      <c r="P5564">
        <v>-1</v>
      </c>
      <c r="T5564" t="s">
        <v>29</v>
      </c>
      <c r="U5564">
        <v>11</v>
      </c>
      <c r="V5564">
        <v>28.886399999999998</v>
      </c>
    </row>
    <row r="5565" spans="1:22" x14ac:dyDescent="0.35">
      <c r="A5565" s="3">
        <v>43775</v>
      </c>
      <c r="B5565" t="s">
        <v>52</v>
      </c>
      <c r="C5565">
        <v>18.7</v>
      </c>
      <c r="D5565">
        <v>18.82</v>
      </c>
      <c r="E5565">
        <v>18.649999999999999</v>
      </c>
      <c r="F5565">
        <v>18.7</v>
      </c>
      <c r="G5565">
        <v>18.7</v>
      </c>
      <c r="H5565">
        <v>7.4999999999999997E-2</v>
      </c>
      <c r="I5565">
        <v>571</v>
      </c>
      <c r="J5565">
        <v>0</v>
      </c>
      <c r="K5565">
        <v>3641</v>
      </c>
      <c r="L5565">
        <v>154</v>
      </c>
      <c r="M5565">
        <v>224</v>
      </c>
      <c r="N5565" t="s">
        <v>52</v>
      </c>
      <c r="O5565" s="3">
        <v>43999</v>
      </c>
      <c r="P5565">
        <v>-1</v>
      </c>
      <c r="T5565" t="s">
        <v>28</v>
      </c>
      <c r="U5565">
        <v>30</v>
      </c>
      <c r="V5565">
        <v>29.337700000000002</v>
      </c>
    </row>
    <row r="5566" spans="1:22" x14ac:dyDescent="0.35">
      <c r="A5566" s="3">
        <v>43774</v>
      </c>
      <c r="B5566" t="s">
        <v>53</v>
      </c>
      <c r="C5566">
        <v>18.28</v>
      </c>
      <c r="D5566">
        <v>18.579999999999998</v>
      </c>
      <c r="E5566">
        <v>18.239999999999998</v>
      </c>
      <c r="F5566">
        <v>18.57</v>
      </c>
      <c r="G5566">
        <v>18.524999999999999</v>
      </c>
      <c r="H5566">
        <v>0.2</v>
      </c>
      <c r="I5566">
        <v>1349</v>
      </c>
      <c r="J5566">
        <v>0</v>
      </c>
      <c r="K5566">
        <v>10962</v>
      </c>
      <c r="L5566">
        <v>136</v>
      </c>
      <c r="M5566">
        <v>197</v>
      </c>
      <c r="N5566" t="s">
        <v>53</v>
      </c>
      <c r="O5566" s="3">
        <v>43971</v>
      </c>
      <c r="P5566">
        <v>-1</v>
      </c>
      <c r="T5566" t="s">
        <v>22</v>
      </c>
      <c r="U5566">
        <v>54</v>
      </c>
      <c r="V5566">
        <v>29.3553</v>
      </c>
    </row>
    <row r="5567" spans="1:22" x14ac:dyDescent="0.35">
      <c r="A5567" s="3">
        <v>43774</v>
      </c>
      <c r="B5567" t="s">
        <v>52</v>
      </c>
      <c r="C5567">
        <v>18.399999999999999</v>
      </c>
      <c r="D5567">
        <v>18.7</v>
      </c>
      <c r="E5567">
        <v>18.38</v>
      </c>
      <c r="F5567">
        <v>18.7</v>
      </c>
      <c r="G5567">
        <v>18.625</v>
      </c>
      <c r="H5567">
        <v>0.22500000000000001</v>
      </c>
      <c r="I5567">
        <v>778</v>
      </c>
      <c r="J5567">
        <v>0</v>
      </c>
      <c r="K5567">
        <v>3759</v>
      </c>
      <c r="L5567">
        <v>155</v>
      </c>
      <c r="M5567">
        <v>225</v>
      </c>
      <c r="N5567" t="s">
        <v>52</v>
      </c>
      <c r="O5567" s="3">
        <v>43999</v>
      </c>
      <c r="P5567">
        <v>-1</v>
      </c>
      <c r="T5567" t="s">
        <v>26</v>
      </c>
      <c r="U5567">
        <v>74</v>
      </c>
      <c r="V5567">
        <v>29.100999999999999</v>
      </c>
    </row>
    <row r="5568" spans="1:22" x14ac:dyDescent="0.35">
      <c r="A5568" s="3">
        <v>43774</v>
      </c>
      <c r="B5568" t="s">
        <v>54</v>
      </c>
      <c r="C5568">
        <v>18.25</v>
      </c>
      <c r="D5568">
        <v>18.57</v>
      </c>
      <c r="E5568">
        <v>18.2</v>
      </c>
      <c r="F5568">
        <v>18.559999999999999</v>
      </c>
      <c r="G5568">
        <v>18.524999999999999</v>
      </c>
      <c r="H5568">
        <v>0.25</v>
      </c>
      <c r="I5568">
        <v>2813</v>
      </c>
      <c r="J5568">
        <v>0</v>
      </c>
      <c r="K5568">
        <v>14253</v>
      </c>
      <c r="L5568">
        <v>111</v>
      </c>
      <c r="M5568">
        <v>162</v>
      </c>
      <c r="N5568" t="s">
        <v>54</v>
      </c>
      <c r="O5568" s="3">
        <v>43936</v>
      </c>
      <c r="P5568">
        <v>-1</v>
      </c>
      <c r="T5568" t="s">
        <v>27</v>
      </c>
      <c r="U5568">
        <v>98</v>
      </c>
      <c r="V5568">
        <v>29.01</v>
      </c>
    </row>
    <row r="5569" spans="1:22" x14ac:dyDescent="0.35">
      <c r="A5569" s="3">
        <v>43774</v>
      </c>
      <c r="B5569" t="s">
        <v>55</v>
      </c>
      <c r="C5569">
        <v>18.02</v>
      </c>
      <c r="D5569">
        <v>18.399999999999999</v>
      </c>
      <c r="E5569">
        <v>17.95</v>
      </c>
      <c r="F5569">
        <v>18.36</v>
      </c>
      <c r="G5569">
        <v>18.324999999999999</v>
      </c>
      <c r="H5569">
        <v>0.25</v>
      </c>
      <c r="I5569">
        <v>6264</v>
      </c>
      <c r="J5569">
        <v>0</v>
      </c>
      <c r="K5569">
        <v>22631</v>
      </c>
      <c r="L5569">
        <v>91</v>
      </c>
      <c r="M5569">
        <v>134</v>
      </c>
      <c r="N5569" t="s">
        <v>55</v>
      </c>
      <c r="O5569" s="3">
        <v>43908</v>
      </c>
      <c r="P5569">
        <v>-1</v>
      </c>
      <c r="T5569" t="s">
        <v>25</v>
      </c>
      <c r="U5569">
        <v>118</v>
      </c>
      <c r="V5569">
        <v>28.859400000000001</v>
      </c>
    </row>
    <row r="5570" spans="1:22" x14ac:dyDescent="0.35">
      <c r="A5570" s="3">
        <v>43774</v>
      </c>
      <c r="B5570" t="s">
        <v>51</v>
      </c>
      <c r="C5570">
        <v>18.559999999999999</v>
      </c>
      <c r="D5570">
        <v>18.7</v>
      </c>
      <c r="E5570">
        <v>18.559999999999999</v>
      </c>
      <c r="F5570">
        <v>18.649999999999999</v>
      </c>
      <c r="G5570">
        <v>18.600000000000001</v>
      </c>
      <c r="H5570">
        <v>0.1</v>
      </c>
      <c r="I5570">
        <v>36</v>
      </c>
      <c r="J5570">
        <v>0</v>
      </c>
      <c r="K5570">
        <v>149</v>
      </c>
      <c r="L5570">
        <v>180</v>
      </c>
      <c r="M5570">
        <v>260</v>
      </c>
      <c r="N5570" t="s">
        <v>51</v>
      </c>
      <c r="O5570" s="3">
        <v>44034</v>
      </c>
      <c r="P5570">
        <v>-1</v>
      </c>
      <c r="T5570" t="s">
        <v>20</v>
      </c>
      <c r="U5570">
        <v>138</v>
      </c>
      <c r="V5570">
        <v>28.175000000000001</v>
      </c>
    </row>
    <row r="5571" spans="1:22" x14ac:dyDescent="0.35">
      <c r="A5571" s="3">
        <v>43773</v>
      </c>
      <c r="B5571" t="s">
        <v>54</v>
      </c>
      <c r="C5571">
        <v>18.32</v>
      </c>
      <c r="D5571">
        <v>18.350000000000001</v>
      </c>
      <c r="E5571">
        <v>18.21</v>
      </c>
      <c r="F5571">
        <v>18.27</v>
      </c>
      <c r="G5571">
        <v>18.274999999999999</v>
      </c>
      <c r="H5571">
        <v>-0.05</v>
      </c>
      <c r="I5571">
        <v>1761</v>
      </c>
      <c r="J5571">
        <v>0</v>
      </c>
      <c r="K5571">
        <v>14167</v>
      </c>
      <c r="L5571">
        <v>112</v>
      </c>
      <c r="M5571">
        <v>163</v>
      </c>
      <c r="N5571" t="s">
        <v>54</v>
      </c>
      <c r="O5571" s="3">
        <v>43936</v>
      </c>
      <c r="P5571">
        <v>-1</v>
      </c>
      <c r="T5571" t="s">
        <v>21</v>
      </c>
      <c r="U5571">
        <v>162</v>
      </c>
      <c r="V5571">
        <v>27.324999999999999</v>
      </c>
    </row>
    <row r="5572" spans="1:22" x14ac:dyDescent="0.35">
      <c r="A5572" s="3">
        <v>43773</v>
      </c>
      <c r="B5572" t="s">
        <v>55</v>
      </c>
      <c r="C5572">
        <v>18.05</v>
      </c>
      <c r="D5572">
        <v>18.149999999999999</v>
      </c>
      <c r="E5572">
        <v>17.95</v>
      </c>
      <c r="F5572">
        <v>18.059999999999999</v>
      </c>
      <c r="G5572">
        <v>18.074999999999999</v>
      </c>
      <c r="H5572">
        <v>-0.05</v>
      </c>
      <c r="I5572">
        <v>4875</v>
      </c>
      <c r="J5572">
        <v>0</v>
      </c>
      <c r="K5572">
        <v>21219</v>
      </c>
      <c r="L5572">
        <v>92</v>
      </c>
      <c r="M5572">
        <v>135</v>
      </c>
      <c r="N5572" t="s">
        <v>55</v>
      </c>
      <c r="O5572" s="3">
        <v>43908</v>
      </c>
      <c r="P5572">
        <v>-1</v>
      </c>
      <c r="S5572" s="3">
        <v>44685</v>
      </c>
      <c r="T5572" t="s">
        <v>23</v>
      </c>
      <c r="U5572">
        <v>178</v>
      </c>
      <c r="V5572">
        <v>26.925000000000001</v>
      </c>
    </row>
    <row r="5573" spans="1:22" x14ac:dyDescent="0.35">
      <c r="A5573" s="3">
        <v>43773</v>
      </c>
      <c r="B5573" t="s">
        <v>51</v>
      </c>
      <c r="C5573">
        <v>18.46</v>
      </c>
      <c r="D5573">
        <v>18.55</v>
      </c>
      <c r="E5573">
        <v>18.46</v>
      </c>
      <c r="F5573">
        <v>18.53</v>
      </c>
      <c r="G5573">
        <v>18.5</v>
      </c>
      <c r="H5573">
        <v>-0.2</v>
      </c>
      <c r="I5573">
        <v>24</v>
      </c>
      <c r="J5573">
        <v>0</v>
      </c>
      <c r="K5573">
        <v>134</v>
      </c>
      <c r="L5573">
        <v>181</v>
      </c>
      <c r="M5573">
        <v>261</v>
      </c>
      <c r="N5573" t="s">
        <v>51</v>
      </c>
      <c r="O5573" s="3">
        <v>44034</v>
      </c>
      <c r="P5573">
        <v>-1</v>
      </c>
      <c r="T5573" t="s">
        <v>29</v>
      </c>
      <c r="U5573">
        <v>10</v>
      </c>
      <c r="V5573">
        <v>25.762</v>
      </c>
    </row>
    <row r="5574" spans="1:22" x14ac:dyDescent="0.35">
      <c r="A5574" s="3">
        <v>43773</v>
      </c>
      <c r="B5574" t="s">
        <v>53</v>
      </c>
      <c r="C5574">
        <v>18.34</v>
      </c>
      <c r="D5574">
        <v>18.399999999999999</v>
      </c>
      <c r="E5574">
        <v>18.25</v>
      </c>
      <c r="F5574">
        <v>18.3</v>
      </c>
      <c r="G5574">
        <v>18.324999999999999</v>
      </c>
      <c r="H5574">
        <v>-0.05</v>
      </c>
      <c r="I5574">
        <v>1065</v>
      </c>
      <c r="J5574">
        <v>0</v>
      </c>
      <c r="K5574">
        <v>10781</v>
      </c>
      <c r="L5574">
        <v>137</v>
      </c>
      <c r="M5574">
        <v>198</v>
      </c>
      <c r="N5574" t="s">
        <v>53</v>
      </c>
      <c r="O5574" s="3">
        <v>43971</v>
      </c>
      <c r="P5574">
        <v>-1</v>
      </c>
      <c r="T5574" t="s">
        <v>28</v>
      </c>
      <c r="U5574">
        <v>29</v>
      </c>
      <c r="V5574">
        <v>26.985399999999998</v>
      </c>
    </row>
    <row r="5575" spans="1:22" x14ac:dyDescent="0.35">
      <c r="A5575" s="3">
        <v>43773</v>
      </c>
      <c r="B5575" t="s">
        <v>52</v>
      </c>
      <c r="C5575">
        <v>18.45</v>
      </c>
      <c r="D5575">
        <v>18.489999999999998</v>
      </c>
      <c r="E5575">
        <v>18.350000000000001</v>
      </c>
      <c r="F5575">
        <v>18.41</v>
      </c>
      <c r="G5575">
        <v>18.399999999999999</v>
      </c>
      <c r="H5575">
        <v>-0.1</v>
      </c>
      <c r="I5575">
        <v>356</v>
      </c>
      <c r="J5575">
        <v>0</v>
      </c>
      <c r="K5575">
        <v>3319</v>
      </c>
      <c r="L5575">
        <v>156</v>
      </c>
      <c r="M5575">
        <v>226</v>
      </c>
      <c r="N5575" t="s">
        <v>52</v>
      </c>
      <c r="O5575" s="3">
        <v>43999</v>
      </c>
      <c r="P5575">
        <v>-1</v>
      </c>
      <c r="T5575" t="s">
        <v>22</v>
      </c>
      <c r="U5575">
        <v>53</v>
      </c>
      <c r="V5575">
        <v>27.6128</v>
      </c>
    </row>
    <row r="5576" spans="1:22" x14ac:dyDescent="0.35">
      <c r="A5576" s="3">
        <v>43770</v>
      </c>
      <c r="B5576" t="s">
        <v>53</v>
      </c>
      <c r="C5576">
        <v>18.55</v>
      </c>
      <c r="D5576">
        <v>18.600000000000001</v>
      </c>
      <c r="E5576">
        <v>18.28</v>
      </c>
      <c r="F5576">
        <v>18.37</v>
      </c>
      <c r="G5576">
        <v>18.375</v>
      </c>
      <c r="H5576">
        <v>-0.22500000000000001</v>
      </c>
      <c r="I5576">
        <v>1879</v>
      </c>
      <c r="J5576">
        <v>0</v>
      </c>
      <c r="K5576">
        <v>10646</v>
      </c>
      <c r="L5576">
        <v>138</v>
      </c>
      <c r="M5576">
        <v>201</v>
      </c>
      <c r="N5576" t="s">
        <v>53</v>
      </c>
      <c r="O5576" s="3">
        <v>43971</v>
      </c>
      <c r="P5576">
        <v>-1</v>
      </c>
      <c r="T5576" t="s">
        <v>26</v>
      </c>
      <c r="U5576">
        <v>73</v>
      </c>
      <c r="V5576">
        <v>27.644500000000001</v>
      </c>
    </row>
    <row r="5577" spans="1:22" x14ac:dyDescent="0.35">
      <c r="A5577" s="3">
        <v>43770</v>
      </c>
      <c r="B5577" t="s">
        <v>52</v>
      </c>
      <c r="C5577">
        <v>18.7</v>
      </c>
      <c r="D5577">
        <v>18.7</v>
      </c>
      <c r="E5577">
        <v>18.399999999999999</v>
      </c>
      <c r="F5577">
        <v>18.5</v>
      </c>
      <c r="G5577">
        <v>18.5</v>
      </c>
      <c r="H5577">
        <v>-0.17499999999999999</v>
      </c>
      <c r="I5577">
        <v>751</v>
      </c>
      <c r="J5577">
        <v>0</v>
      </c>
      <c r="K5577">
        <v>3343</v>
      </c>
      <c r="L5577">
        <v>157</v>
      </c>
      <c r="M5577">
        <v>229</v>
      </c>
      <c r="N5577" t="s">
        <v>52</v>
      </c>
      <c r="O5577" s="3">
        <v>43999</v>
      </c>
      <c r="P5577">
        <v>-1</v>
      </c>
      <c r="T5577" t="s">
        <v>27</v>
      </c>
      <c r="U5577">
        <v>97</v>
      </c>
      <c r="V5577">
        <v>27.771000000000001</v>
      </c>
    </row>
    <row r="5578" spans="1:22" x14ac:dyDescent="0.35">
      <c r="A5578" s="3">
        <v>43770</v>
      </c>
      <c r="B5578" t="s">
        <v>54</v>
      </c>
      <c r="C5578">
        <v>18.57</v>
      </c>
      <c r="D5578">
        <v>18.57</v>
      </c>
      <c r="E5578">
        <v>18.260000000000002</v>
      </c>
      <c r="F5578">
        <v>18.350000000000001</v>
      </c>
      <c r="G5578">
        <v>18.324999999999999</v>
      </c>
      <c r="H5578">
        <v>-0.25</v>
      </c>
      <c r="I5578">
        <v>2163</v>
      </c>
      <c r="J5578">
        <v>0</v>
      </c>
      <c r="K5578">
        <v>14085</v>
      </c>
      <c r="L5578">
        <v>113</v>
      </c>
      <c r="M5578">
        <v>166</v>
      </c>
      <c r="N5578" t="s">
        <v>54</v>
      </c>
      <c r="O5578" s="3">
        <v>43936</v>
      </c>
      <c r="P5578">
        <v>-1</v>
      </c>
      <c r="T5578" t="s">
        <v>25</v>
      </c>
      <c r="U5578">
        <v>117</v>
      </c>
      <c r="V5578">
        <v>27.781700000000001</v>
      </c>
    </row>
    <row r="5579" spans="1:22" x14ac:dyDescent="0.35">
      <c r="A5579" s="3">
        <v>43770</v>
      </c>
      <c r="B5579" t="s">
        <v>55</v>
      </c>
      <c r="C5579">
        <v>18.38</v>
      </c>
      <c r="D5579">
        <v>18.38</v>
      </c>
      <c r="E5579">
        <v>18.05</v>
      </c>
      <c r="F5579">
        <v>18.11</v>
      </c>
      <c r="G5579">
        <v>18.125</v>
      </c>
      <c r="H5579">
        <v>-0.25</v>
      </c>
      <c r="I5579">
        <v>8016</v>
      </c>
      <c r="J5579">
        <v>0</v>
      </c>
      <c r="K5579">
        <v>21173</v>
      </c>
      <c r="L5579">
        <v>93</v>
      </c>
      <c r="M5579">
        <v>138</v>
      </c>
      <c r="N5579" t="s">
        <v>55</v>
      </c>
      <c r="O5579" s="3">
        <v>43908</v>
      </c>
      <c r="P5579">
        <v>-1</v>
      </c>
      <c r="T5579" t="s">
        <v>20</v>
      </c>
      <c r="U5579">
        <v>137</v>
      </c>
      <c r="V5579">
        <v>27.205300000000001</v>
      </c>
    </row>
    <row r="5580" spans="1:22" x14ac:dyDescent="0.35">
      <c r="A5580" s="3">
        <v>43770</v>
      </c>
      <c r="B5580" t="s">
        <v>51</v>
      </c>
      <c r="C5580">
        <v>18.62</v>
      </c>
      <c r="D5580">
        <v>18.7</v>
      </c>
      <c r="E5580">
        <v>18.62</v>
      </c>
      <c r="F5580">
        <v>18.62</v>
      </c>
      <c r="G5580">
        <v>18.7</v>
      </c>
      <c r="H5580">
        <v>-0.125</v>
      </c>
      <c r="I5580">
        <v>15</v>
      </c>
      <c r="J5580">
        <v>0</v>
      </c>
      <c r="K5580">
        <v>116</v>
      </c>
      <c r="L5580">
        <v>182</v>
      </c>
      <c r="M5580">
        <v>264</v>
      </c>
      <c r="N5580" t="s">
        <v>51</v>
      </c>
      <c r="O5580" s="3">
        <v>44034</v>
      </c>
      <c r="P5580">
        <v>-1</v>
      </c>
      <c r="T5580" t="s">
        <v>21</v>
      </c>
      <c r="U5580">
        <v>161</v>
      </c>
      <c r="V5580">
        <v>26.4</v>
      </c>
    </row>
    <row r="5581" spans="1:22" x14ac:dyDescent="0.35">
      <c r="A5581" s="3">
        <v>43769</v>
      </c>
      <c r="B5581" t="s">
        <v>54</v>
      </c>
      <c r="C5581">
        <v>18.46</v>
      </c>
      <c r="D5581">
        <v>18.77</v>
      </c>
      <c r="E5581">
        <v>18.45</v>
      </c>
      <c r="F5581">
        <v>18.579999999999998</v>
      </c>
      <c r="G5581">
        <v>18.574999999999999</v>
      </c>
      <c r="H5581">
        <v>0.1</v>
      </c>
      <c r="I5581">
        <v>2603</v>
      </c>
      <c r="J5581">
        <v>0</v>
      </c>
      <c r="K5581">
        <v>13729</v>
      </c>
      <c r="L5581">
        <v>114</v>
      </c>
      <c r="M5581">
        <v>167</v>
      </c>
      <c r="N5581" t="s">
        <v>54</v>
      </c>
      <c r="O5581" s="3">
        <v>43936</v>
      </c>
      <c r="P5581">
        <v>-1</v>
      </c>
      <c r="S5581" s="3">
        <v>44686</v>
      </c>
      <c r="T5581" t="s">
        <v>23</v>
      </c>
      <c r="U5581">
        <v>177</v>
      </c>
      <c r="V5581">
        <v>28.475000000000001</v>
      </c>
    </row>
    <row r="5582" spans="1:22" x14ac:dyDescent="0.35">
      <c r="A5582" s="3">
        <v>43769</v>
      </c>
      <c r="B5582" t="s">
        <v>55</v>
      </c>
      <c r="C5582">
        <v>18.25</v>
      </c>
      <c r="D5582">
        <v>18.600000000000001</v>
      </c>
      <c r="E5582">
        <v>18.22</v>
      </c>
      <c r="F5582">
        <v>18.38</v>
      </c>
      <c r="G5582">
        <v>18.375</v>
      </c>
      <c r="H5582">
        <v>0.15</v>
      </c>
      <c r="I5582">
        <v>8492</v>
      </c>
      <c r="J5582">
        <v>0</v>
      </c>
      <c r="K5582">
        <v>22125</v>
      </c>
      <c r="L5582">
        <v>94</v>
      </c>
      <c r="M5582">
        <v>139</v>
      </c>
      <c r="N5582" t="s">
        <v>55</v>
      </c>
      <c r="O5582" s="3">
        <v>43908</v>
      </c>
      <c r="P5582">
        <v>-1</v>
      </c>
      <c r="T5582" t="s">
        <v>29</v>
      </c>
      <c r="U5582">
        <v>9</v>
      </c>
      <c r="V5582">
        <v>31.327100000000002</v>
      </c>
    </row>
    <row r="5583" spans="1:22" x14ac:dyDescent="0.35">
      <c r="A5583" s="3">
        <v>43769</v>
      </c>
      <c r="B5583" t="s">
        <v>51</v>
      </c>
      <c r="C5583">
        <v>18.899999999999999</v>
      </c>
      <c r="D5583">
        <v>18.899999999999999</v>
      </c>
      <c r="E5583">
        <v>18.899999999999999</v>
      </c>
      <c r="F5583">
        <v>18.899999999999999</v>
      </c>
      <c r="G5583">
        <v>18.824999999999999</v>
      </c>
      <c r="H5583">
        <v>2.5000000000000001E-2</v>
      </c>
      <c r="I5583">
        <v>1</v>
      </c>
      <c r="J5583">
        <v>0</v>
      </c>
      <c r="K5583">
        <v>116</v>
      </c>
      <c r="L5583">
        <v>183</v>
      </c>
      <c r="M5583">
        <v>265</v>
      </c>
      <c r="N5583" t="s">
        <v>51</v>
      </c>
      <c r="O5583" s="3">
        <v>44034</v>
      </c>
      <c r="P5583">
        <v>-1</v>
      </c>
      <c r="T5583" t="s">
        <v>28</v>
      </c>
      <c r="U5583">
        <v>28</v>
      </c>
      <c r="V5583">
        <v>31.372199999999999</v>
      </c>
    </row>
    <row r="5584" spans="1:22" x14ac:dyDescent="0.35">
      <c r="A5584" s="3">
        <v>43769</v>
      </c>
      <c r="B5584" t="s">
        <v>53</v>
      </c>
      <c r="C5584">
        <v>18.510000000000002</v>
      </c>
      <c r="D5584">
        <v>18.8</v>
      </c>
      <c r="E5584">
        <v>18.510000000000002</v>
      </c>
      <c r="F5584">
        <v>18.600000000000001</v>
      </c>
      <c r="G5584">
        <v>18.600000000000001</v>
      </c>
      <c r="H5584">
        <v>0.125</v>
      </c>
      <c r="I5584">
        <v>1491</v>
      </c>
      <c r="J5584">
        <v>0</v>
      </c>
      <c r="K5584">
        <v>10084</v>
      </c>
      <c r="L5584">
        <v>139</v>
      </c>
      <c r="M5584">
        <v>202</v>
      </c>
      <c r="N5584" t="s">
        <v>53</v>
      </c>
      <c r="O5584" s="3">
        <v>43971</v>
      </c>
      <c r="P5584">
        <v>-1</v>
      </c>
      <c r="T5584" t="s">
        <v>22</v>
      </c>
      <c r="U5584">
        <v>52</v>
      </c>
      <c r="V5584">
        <v>31.1129</v>
      </c>
    </row>
    <row r="5585" spans="1:22" x14ac:dyDescent="0.35">
      <c r="A5585" s="3">
        <v>43769</v>
      </c>
      <c r="B5585" t="s">
        <v>52</v>
      </c>
      <c r="C5585">
        <v>18.649999999999999</v>
      </c>
      <c r="D5585">
        <v>18.850000000000001</v>
      </c>
      <c r="E5585">
        <v>18.649999999999999</v>
      </c>
      <c r="F5585">
        <v>18.7</v>
      </c>
      <c r="G5585">
        <v>18.675000000000001</v>
      </c>
      <c r="H5585">
        <v>7.4999999999999997E-2</v>
      </c>
      <c r="I5585">
        <v>307</v>
      </c>
      <c r="J5585">
        <v>0</v>
      </c>
      <c r="K5585">
        <v>3030</v>
      </c>
      <c r="L5585">
        <v>158</v>
      </c>
      <c r="M5585">
        <v>230</v>
      </c>
      <c r="N5585" t="s">
        <v>52</v>
      </c>
      <c r="O5585" s="3">
        <v>43999</v>
      </c>
      <c r="P5585">
        <v>-1</v>
      </c>
      <c r="T5585" t="s">
        <v>26</v>
      </c>
      <c r="U5585">
        <v>72</v>
      </c>
      <c r="V5585">
        <v>30.533000000000001</v>
      </c>
    </row>
    <row r="5586" spans="1:22" x14ac:dyDescent="0.35">
      <c r="A5586" s="3">
        <v>43768</v>
      </c>
      <c r="B5586" t="s">
        <v>53</v>
      </c>
      <c r="C5586">
        <v>18.75</v>
      </c>
      <c r="D5586">
        <v>18.86</v>
      </c>
      <c r="E5586">
        <v>18.489999999999998</v>
      </c>
      <c r="F5586">
        <v>18.5</v>
      </c>
      <c r="G5586">
        <v>18.475000000000001</v>
      </c>
      <c r="H5586">
        <v>-0.25</v>
      </c>
      <c r="I5586">
        <v>1558</v>
      </c>
      <c r="J5586">
        <v>0</v>
      </c>
      <c r="K5586">
        <v>9624</v>
      </c>
      <c r="L5586">
        <v>140</v>
      </c>
      <c r="M5586">
        <v>203</v>
      </c>
      <c r="N5586" t="s">
        <v>53</v>
      </c>
      <c r="O5586" s="3">
        <v>43971</v>
      </c>
      <c r="P5586">
        <v>-1</v>
      </c>
      <c r="T5586" t="s">
        <v>27</v>
      </c>
      <c r="U5586">
        <v>96</v>
      </c>
      <c r="V5586">
        <v>30.174700000000001</v>
      </c>
    </row>
    <row r="5587" spans="1:22" x14ac:dyDescent="0.35">
      <c r="A5587" s="3">
        <v>43768</v>
      </c>
      <c r="B5587" t="s">
        <v>52</v>
      </c>
      <c r="C5587">
        <v>18.899999999999999</v>
      </c>
      <c r="D5587">
        <v>18.899999999999999</v>
      </c>
      <c r="E5587">
        <v>18.649999999999999</v>
      </c>
      <c r="F5587">
        <v>18.7</v>
      </c>
      <c r="G5587">
        <v>18.600000000000001</v>
      </c>
      <c r="H5587">
        <v>-0.25</v>
      </c>
      <c r="I5587">
        <v>340</v>
      </c>
      <c r="J5587">
        <v>0</v>
      </c>
      <c r="K5587">
        <v>2912</v>
      </c>
      <c r="L5587">
        <v>159</v>
      </c>
      <c r="M5587">
        <v>231</v>
      </c>
      <c r="N5587" t="s">
        <v>52</v>
      </c>
      <c r="O5587" s="3">
        <v>43999</v>
      </c>
      <c r="P5587">
        <v>-1</v>
      </c>
      <c r="T5587" t="s">
        <v>25</v>
      </c>
      <c r="U5587">
        <v>116</v>
      </c>
      <c r="V5587">
        <v>29.788900000000002</v>
      </c>
    </row>
    <row r="5588" spans="1:22" x14ac:dyDescent="0.35">
      <c r="A5588" s="3">
        <v>43768</v>
      </c>
      <c r="B5588" t="s">
        <v>54</v>
      </c>
      <c r="C5588">
        <v>18.690000000000001</v>
      </c>
      <c r="D5588">
        <v>18.87</v>
      </c>
      <c r="E5588">
        <v>18.45</v>
      </c>
      <c r="F5588">
        <v>18.5</v>
      </c>
      <c r="G5588">
        <v>18.475000000000001</v>
      </c>
      <c r="H5588">
        <v>-0.2</v>
      </c>
      <c r="I5588">
        <v>3715</v>
      </c>
      <c r="J5588">
        <v>0</v>
      </c>
      <c r="K5588">
        <v>13256</v>
      </c>
      <c r="L5588">
        <v>115</v>
      </c>
      <c r="M5588">
        <v>168</v>
      </c>
      <c r="N5588" t="s">
        <v>54</v>
      </c>
      <c r="O5588" s="3">
        <v>43936</v>
      </c>
      <c r="P5588">
        <v>-1</v>
      </c>
      <c r="T5588" t="s">
        <v>20</v>
      </c>
      <c r="U5588">
        <v>136</v>
      </c>
      <c r="V5588">
        <v>29.1069</v>
      </c>
    </row>
    <row r="5589" spans="1:22" x14ac:dyDescent="0.35">
      <c r="A5589" s="3">
        <v>43768</v>
      </c>
      <c r="B5589" t="s">
        <v>55</v>
      </c>
      <c r="C5589">
        <v>18.5</v>
      </c>
      <c r="D5589">
        <v>18.670000000000002</v>
      </c>
      <c r="E5589">
        <v>18.2</v>
      </c>
      <c r="F5589">
        <v>18.239999999999998</v>
      </c>
      <c r="G5589">
        <v>18.225000000000001</v>
      </c>
      <c r="H5589">
        <v>-0.25</v>
      </c>
      <c r="I5589">
        <v>5065</v>
      </c>
      <c r="J5589">
        <v>0</v>
      </c>
      <c r="K5589">
        <v>22013</v>
      </c>
      <c r="L5589">
        <v>95</v>
      </c>
      <c r="M5589">
        <v>140</v>
      </c>
      <c r="N5589" t="s">
        <v>55</v>
      </c>
      <c r="O5589" s="3">
        <v>43908</v>
      </c>
      <c r="P5589">
        <v>-1</v>
      </c>
      <c r="T5589" t="s">
        <v>21</v>
      </c>
      <c r="U5589">
        <v>160</v>
      </c>
      <c r="V5589">
        <v>28.185700000000001</v>
      </c>
    </row>
    <row r="5590" spans="1:22" x14ac:dyDescent="0.35">
      <c r="A5590" s="3">
        <v>43768</v>
      </c>
      <c r="B5590" t="s">
        <v>51</v>
      </c>
      <c r="C5590">
        <v>18.8</v>
      </c>
      <c r="D5590">
        <v>19</v>
      </c>
      <c r="E5590">
        <v>18.8</v>
      </c>
      <c r="F5590">
        <v>18.850000000000001</v>
      </c>
      <c r="G5590">
        <v>18.8</v>
      </c>
      <c r="H5590">
        <v>-7.4999999999999997E-2</v>
      </c>
      <c r="I5590">
        <v>111</v>
      </c>
      <c r="J5590">
        <v>0</v>
      </c>
      <c r="K5590">
        <v>115</v>
      </c>
      <c r="L5590">
        <v>184</v>
      </c>
      <c r="M5590">
        <v>266</v>
      </c>
      <c r="N5590" t="s">
        <v>51</v>
      </c>
      <c r="O5590" s="3">
        <v>44034</v>
      </c>
      <c r="P5590">
        <v>-1</v>
      </c>
      <c r="S5590" s="3">
        <v>44687</v>
      </c>
      <c r="T5590" t="s">
        <v>23</v>
      </c>
      <c r="U5590">
        <v>176</v>
      </c>
      <c r="V5590">
        <v>28.65</v>
      </c>
    </row>
    <row r="5591" spans="1:22" x14ac:dyDescent="0.35">
      <c r="A5591" s="3">
        <v>43767</v>
      </c>
      <c r="B5591" t="s">
        <v>54</v>
      </c>
      <c r="C5591">
        <v>18.63</v>
      </c>
      <c r="D5591">
        <v>18.75</v>
      </c>
      <c r="E5591">
        <v>18.510000000000002</v>
      </c>
      <c r="F5591">
        <v>18.7</v>
      </c>
      <c r="G5591">
        <v>18.675000000000001</v>
      </c>
      <c r="H5591">
        <v>0.05</v>
      </c>
      <c r="I5591">
        <v>2643</v>
      </c>
      <c r="J5591">
        <v>0</v>
      </c>
      <c r="K5591">
        <v>13172</v>
      </c>
      <c r="L5591">
        <v>116</v>
      </c>
      <c r="M5591">
        <v>169</v>
      </c>
      <c r="N5591" t="s">
        <v>54</v>
      </c>
      <c r="O5591" s="3">
        <v>43936</v>
      </c>
      <c r="P5591">
        <v>-1</v>
      </c>
      <c r="T5591" t="s">
        <v>29</v>
      </c>
      <c r="U5591">
        <v>8</v>
      </c>
      <c r="V5591">
        <v>30.811800000000002</v>
      </c>
    </row>
    <row r="5592" spans="1:22" x14ac:dyDescent="0.35">
      <c r="A5592" s="3">
        <v>43767</v>
      </c>
      <c r="B5592" t="s">
        <v>55</v>
      </c>
      <c r="C5592">
        <v>18.399999999999999</v>
      </c>
      <c r="D5592">
        <v>18.55</v>
      </c>
      <c r="E5592">
        <v>18.32</v>
      </c>
      <c r="F5592">
        <v>18.5</v>
      </c>
      <c r="G5592">
        <v>18.475000000000001</v>
      </c>
      <c r="H5592">
        <v>0.05</v>
      </c>
      <c r="I5592">
        <v>4273</v>
      </c>
      <c r="J5592">
        <v>0</v>
      </c>
      <c r="K5592">
        <v>21595</v>
      </c>
      <c r="L5592">
        <v>96</v>
      </c>
      <c r="M5592">
        <v>141</v>
      </c>
      <c r="N5592" t="s">
        <v>55</v>
      </c>
      <c r="O5592" s="3">
        <v>43908</v>
      </c>
      <c r="P5592">
        <v>-1</v>
      </c>
      <c r="T5592" t="s">
        <v>28</v>
      </c>
      <c r="U5592">
        <v>27</v>
      </c>
      <c r="V5592">
        <v>30.789000000000001</v>
      </c>
    </row>
    <row r="5593" spans="1:22" x14ac:dyDescent="0.35">
      <c r="A5593" s="3">
        <v>43767</v>
      </c>
      <c r="B5593" t="s">
        <v>51</v>
      </c>
      <c r="C5593">
        <v>18.899999999999999</v>
      </c>
      <c r="D5593">
        <v>18.95</v>
      </c>
      <c r="E5593">
        <v>18.86</v>
      </c>
      <c r="F5593">
        <v>18.899999999999999</v>
      </c>
      <c r="G5593">
        <v>18.875</v>
      </c>
      <c r="H5593">
        <v>-0.05</v>
      </c>
      <c r="I5593">
        <v>65</v>
      </c>
      <c r="J5593">
        <v>0</v>
      </c>
      <c r="K5593">
        <v>47</v>
      </c>
      <c r="L5593">
        <v>185</v>
      </c>
      <c r="M5593">
        <v>267</v>
      </c>
      <c r="N5593" t="s">
        <v>51</v>
      </c>
      <c r="O5593" s="3">
        <v>44034</v>
      </c>
      <c r="P5593">
        <v>-1</v>
      </c>
      <c r="T5593" t="s">
        <v>22</v>
      </c>
      <c r="U5593">
        <v>51</v>
      </c>
      <c r="V5593">
        <v>30.619599999999998</v>
      </c>
    </row>
    <row r="5594" spans="1:22" x14ac:dyDescent="0.35">
      <c r="A5594" s="3">
        <v>43767</v>
      </c>
      <c r="B5594" t="s">
        <v>53</v>
      </c>
      <c r="C5594">
        <v>18.649999999999999</v>
      </c>
      <c r="D5594">
        <v>18.78</v>
      </c>
      <c r="E5594">
        <v>18.559999999999999</v>
      </c>
      <c r="F5594">
        <v>18.73</v>
      </c>
      <c r="G5594">
        <v>18.725000000000001</v>
      </c>
      <c r="H5594">
        <v>0.05</v>
      </c>
      <c r="I5594">
        <v>1362</v>
      </c>
      <c r="J5594">
        <v>0</v>
      </c>
      <c r="K5594">
        <v>9302</v>
      </c>
      <c r="L5594">
        <v>141</v>
      </c>
      <c r="M5594">
        <v>204</v>
      </c>
      <c r="N5594" t="s">
        <v>53</v>
      </c>
      <c r="O5594" s="3">
        <v>43971</v>
      </c>
      <c r="P5594">
        <v>-1</v>
      </c>
      <c r="T5594" t="s">
        <v>26</v>
      </c>
      <c r="U5594">
        <v>71</v>
      </c>
      <c r="V5594">
        <v>30.238</v>
      </c>
    </row>
    <row r="5595" spans="1:22" x14ac:dyDescent="0.35">
      <c r="A5595" s="3">
        <v>43767</v>
      </c>
      <c r="B5595" t="s">
        <v>52</v>
      </c>
      <c r="C5595">
        <v>18.75</v>
      </c>
      <c r="D5595">
        <v>18.88</v>
      </c>
      <c r="E5595">
        <v>18.72</v>
      </c>
      <c r="F5595">
        <v>18.84</v>
      </c>
      <c r="G5595">
        <v>18.850000000000001</v>
      </c>
      <c r="H5595">
        <v>7.4999999999999997E-2</v>
      </c>
      <c r="I5595">
        <v>470</v>
      </c>
      <c r="J5595">
        <v>0</v>
      </c>
      <c r="K5595">
        <v>2835</v>
      </c>
      <c r="L5595">
        <v>160</v>
      </c>
      <c r="M5595">
        <v>232</v>
      </c>
      <c r="N5595" t="s">
        <v>52</v>
      </c>
      <c r="O5595" s="3">
        <v>43999</v>
      </c>
      <c r="P5595">
        <v>-1</v>
      </c>
      <c r="T5595" t="s">
        <v>27</v>
      </c>
      <c r="U5595">
        <v>95</v>
      </c>
      <c r="V5595">
        <v>29.999700000000001</v>
      </c>
    </row>
    <row r="5596" spans="1:22" x14ac:dyDescent="0.35">
      <c r="A5596" s="3">
        <v>43766</v>
      </c>
      <c r="B5596" t="s">
        <v>53</v>
      </c>
      <c r="C5596">
        <v>18.61</v>
      </c>
      <c r="D5596">
        <v>18.7</v>
      </c>
      <c r="E5596">
        <v>18.52</v>
      </c>
      <c r="F5596">
        <v>18.68</v>
      </c>
      <c r="G5596">
        <v>18.675000000000001</v>
      </c>
      <c r="H5596">
        <v>2.5000000000000001E-2</v>
      </c>
      <c r="I5596">
        <v>1306</v>
      </c>
      <c r="J5596">
        <v>0</v>
      </c>
      <c r="K5596">
        <v>8876</v>
      </c>
      <c r="L5596">
        <v>142</v>
      </c>
      <c r="M5596">
        <v>205</v>
      </c>
      <c r="N5596" t="s">
        <v>53</v>
      </c>
      <c r="O5596" s="3">
        <v>43971</v>
      </c>
      <c r="P5596">
        <v>-1</v>
      </c>
      <c r="T5596" t="s">
        <v>25</v>
      </c>
      <c r="U5596">
        <v>115</v>
      </c>
      <c r="V5596">
        <v>29.746700000000001</v>
      </c>
    </row>
    <row r="5597" spans="1:22" x14ac:dyDescent="0.35">
      <c r="A5597" s="3">
        <v>43766</v>
      </c>
      <c r="B5597" t="s">
        <v>52</v>
      </c>
      <c r="C5597">
        <v>18.760000000000002</v>
      </c>
      <c r="D5597">
        <v>18.8</v>
      </c>
      <c r="E5597">
        <v>18.68</v>
      </c>
      <c r="F5597">
        <v>18.77</v>
      </c>
      <c r="G5597">
        <v>18.774999999999999</v>
      </c>
      <c r="H5597">
        <v>2.5000000000000001E-2</v>
      </c>
      <c r="I5597">
        <v>170</v>
      </c>
      <c r="J5597">
        <v>0</v>
      </c>
      <c r="K5597">
        <v>2524</v>
      </c>
      <c r="L5597">
        <v>161</v>
      </c>
      <c r="M5597">
        <v>233</v>
      </c>
      <c r="N5597" t="s">
        <v>52</v>
      </c>
      <c r="O5597" s="3">
        <v>43999</v>
      </c>
      <c r="P5597">
        <v>-1</v>
      </c>
      <c r="T5597" t="s">
        <v>20</v>
      </c>
      <c r="U5597">
        <v>135</v>
      </c>
      <c r="V5597">
        <v>29.05</v>
      </c>
    </row>
    <row r="5598" spans="1:22" x14ac:dyDescent="0.35">
      <c r="A5598" s="3">
        <v>43766</v>
      </c>
      <c r="B5598" t="s">
        <v>54</v>
      </c>
      <c r="C5598">
        <v>18.53</v>
      </c>
      <c r="D5598">
        <v>18.649999999999999</v>
      </c>
      <c r="E5598">
        <v>18.45</v>
      </c>
      <c r="F5598">
        <v>18.64</v>
      </c>
      <c r="G5598">
        <v>18.625</v>
      </c>
      <c r="H5598">
        <v>0.05</v>
      </c>
      <c r="I5598">
        <v>2145</v>
      </c>
      <c r="J5598">
        <v>0</v>
      </c>
      <c r="K5598">
        <v>12975</v>
      </c>
      <c r="L5598">
        <v>117</v>
      </c>
      <c r="M5598">
        <v>170</v>
      </c>
      <c r="N5598" t="s">
        <v>54</v>
      </c>
      <c r="O5598" s="3">
        <v>43936</v>
      </c>
      <c r="P5598">
        <v>-1</v>
      </c>
      <c r="T5598" t="s">
        <v>21</v>
      </c>
      <c r="U5598">
        <v>159</v>
      </c>
      <c r="V5598">
        <v>28.247199999999999</v>
      </c>
    </row>
    <row r="5599" spans="1:22" x14ac:dyDescent="0.35">
      <c r="A5599" s="3">
        <v>43766</v>
      </c>
      <c r="B5599" t="s">
        <v>55</v>
      </c>
      <c r="C5599">
        <v>18.25</v>
      </c>
      <c r="D5599">
        <v>18.45</v>
      </c>
      <c r="E5599">
        <v>18.22</v>
      </c>
      <c r="F5599">
        <v>18.41</v>
      </c>
      <c r="G5599">
        <v>18.425000000000001</v>
      </c>
      <c r="H5599">
        <v>0.1</v>
      </c>
      <c r="I5599">
        <v>4053</v>
      </c>
      <c r="J5599">
        <v>0</v>
      </c>
      <c r="K5599">
        <v>20989</v>
      </c>
      <c r="L5599">
        <v>97</v>
      </c>
      <c r="M5599">
        <v>142</v>
      </c>
      <c r="N5599" t="s">
        <v>55</v>
      </c>
      <c r="O5599" s="3">
        <v>43908</v>
      </c>
      <c r="P5599">
        <v>-1</v>
      </c>
      <c r="S5599" s="3">
        <v>44690</v>
      </c>
      <c r="T5599" t="s">
        <v>23</v>
      </c>
      <c r="U5599">
        <v>175</v>
      </c>
      <c r="V5599">
        <v>29.5</v>
      </c>
    </row>
    <row r="5600" spans="1:22" x14ac:dyDescent="0.35">
      <c r="A5600" s="3">
        <v>43763</v>
      </c>
      <c r="B5600" t="s">
        <v>54</v>
      </c>
      <c r="C5600">
        <v>18.8</v>
      </c>
      <c r="D5600">
        <v>18.850000000000001</v>
      </c>
      <c r="E5600">
        <v>18.5</v>
      </c>
      <c r="F5600">
        <v>18.53</v>
      </c>
      <c r="G5600">
        <v>18.574999999999999</v>
      </c>
      <c r="H5600">
        <v>-0.2</v>
      </c>
      <c r="I5600">
        <v>2506</v>
      </c>
      <c r="J5600">
        <v>0</v>
      </c>
      <c r="K5600">
        <v>12942</v>
      </c>
      <c r="L5600">
        <v>118</v>
      </c>
      <c r="M5600">
        <v>173</v>
      </c>
      <c r="N5600" t="s">
        <v>54</v>
      </c>
      <c r="O5600" s="3">
        <v>43936</v>
      </c>
      <c r="P5600">
        <v>-1</v>
      </c>
      <c r="T5600" t="s">
        <v>29</v>
      </c>
      <c r="U5600">
        <v>7</v>
      </c>
      <c r="V5600">
        <v>33.816800000000001</v>
      </c>
    </row>
    <row r="5601" spans="1:22" x14ac:dyDescent="0.35">
      <c r="A5601" s="3">
        <v>43763</v>
      </c>
      <c r="B5601" t="s">
        <v>55</v>
      </c>
      <c r="C5601">
        <v>18.600000000000001</v>
      </c>
      <c r="D5601">
        <v>18.649999999999999</v>
      </c>
      <c r="E5601">
        <v>18.25</v>
      </c>
      <c r="F5601">
        <v>18.309999999999999</v>
      </c>
      <c r="G5601">
        <v>18.324999999999999</v>
      </c>
      <c r="H5601">
        <v>-0.25</v>
      </c>
      <c r="I5601">
        <v>3142</v>
      </c>
      <c r="J5601">
        <v>0</v>
      </c>
      <c r="K5601">
        <v>20579</v>
      </c>
      <c r="L5601">
        <v>98</v>
      </c>
      <c r="M5601">
        <v>145</v>
      </c>
      <c r="N5601" t="s">
        <v>55</v>
      </c>
      <c r="O5601" s="3">
        <v>43908</v>
      </c>
      <c r="P5601">
        <v>-1</v>
      </c>
      <c r="T5601" t="s">
        <v>28</v>
      </c>
      <c r="U5601">
        <v>26</v>
      </c>
      <c r="V5601">
        <v>33.070300000000003</v>
      </c>
    </row>
    <row r="5602" spans="1:22" x14ac:dyDescent="0.35">
      <c r="A5602" s="3">
        <v>43763</v>
      </c>
      <c r="B5602" t="s">
        <v>53</v>
      </c>
      <c r="C5602">
        <v>18.899999999999999</v>
      </c>
      <c r="D5602">
        <v>18.899999999999999</v>
      </c>
      <c r="E5602">
        <v>18.600000000000001</v>
      </c>
      <c r="F5602">
        <v>18.62</v>
      </c>
      <c r="G5602">
        <v>18.649999999999999</v>
      </c>
      <c r="H5602">
        <v>-0.17499999999999999</v>
      </c>
      <c r="I5602">
        <v>693</v>
      </c>
      <c r="J5602">
        <v>0</v>
      </c>
      <c r="K5602">
        <v>8835</v>
      </c>
      <c r="L5602">
        <v>143</v>
      </c>
      <c r="M5602">
        <v>208</v>
      </c>
      <c r="N5602" t="s">
        <v>53</v>
      </c>
      <c r="O5602" s="3">
        <v>43971</v>
      </c>
      <c r="P5602">
        <v>-1</v>
      </c>
      <c r="T5602" t="s">
        <v>22</v>
      </c>
      <c r="U5602">
        <v>50</v>
      </c>
      <c r="V5602">
        <v>32.419699999999999</v>
      </c>
    </row>
    <row r="5603" spans="1:22" x14ac:dyDescent="0.35">
      <c r="A5603" s="3">
        <v>43763</v>
      </c>
      <c r="B5603" t="s">
        <v>52</v>
      </c>
      <c r="C5603">
        <v>18.95</v>
      </c>
      <c r="D5603">
        <v>18.95</v>
      </c>
      <c r="E5603">
        <v>18.739999999999998</v>
      </c>
      <c r="F5603">
        <v>18.760000000000002</v>
      </c>
      <c r="G5603">
        <v>18.75</v>
      </c>
      <c r="H5603">
        <v>-0.2</v>
      </c>
      <c r="I5603">
        <v>138</v>
      </c>
      <c r="J5603">
        <v>0</v>
      </c>
      <c r="K5603">
        <v>2406</v>
      </c>
      <c r="L5603">
        <v>162</v>
      </c>
      <c r="M5603">
        <v>236</v>
      </c>
      <c r="N5603" t="s">
        <v>52</v>
      </c>
      <c r="O5603" s="3">
        <v>43999</v>
      </c>
      <c r="P5603">
        <v>-1</v>
      </c>
      <c r="T5603" t="s">
        <v>26</v>
      </c>
      <c r="U5603">
        <v>70</v>
      </c>
      <c r="V5603">
        <v>31.837499999999999</v>
      </c>
    </row>
    <row r="5604" spans="1:22" x14ac:dyDescent="0.35">
      <c r="A5604" s="3">
        <v>43763</v>
      </c>
      <c r="B5604" t="s">
        <v>51</v>
      </c>
      <c r="C5604">
        <v>18.899999999999999</v>
      </c>
      <c r="D5604">
        <v>18.93</v>
      </c>
      <c r="E5604">
        <v>18.899999999999999</v>
      </c>
      <c r="F5604">
        <v>18.93</v>
      </c>
      <c r="G5604">
        <v>18.899999999999999</v>
      </c>
      <c r="H5604">
        <v>-0.125</v>
      </c>
      <c r="I5604">
        <v>2</v>
      </c>
      <c r="J5604">
        <v>0</v>
      </c>
      <c r="K5604">
        <v>1</v>
      </c>
      <c r="L5604">
        <v>187</v>
      </c>
      <c r="M5604">
        <v>271</v>
      </c>
      <c r="N5604" t="s">
        <v>51</v>
      </c>
      <c r="O5604" s="3">
        <v>44034</v>
      </c>
      <c r="P5604">
        <v>-1</v>
      </c>
      <c r="T5604" t="s">
        <v>27</v>
      </c>
      <c r="U5604">
        <v>94</v>
      </c>
      <c r="V5604">
        <v>31.398599999999998</v>
      </c>
    </row>
    <row r="5605" spans="1:22" x14ac:dyDescent="0.35">
      <c r="A5605" s="3">
        <v>43762</v>
      </c>
      <c r="B5605" t="s">
        <v>53</v>
      </c>
      <c r="C5605">
        <v>18.77</v>
      </c>
      <c r="D5605">
        <v>18.899999999999999</v>
      </c>
      <c r="E5605">
        <v>18.7</v>
      </c>
      <c r="F5605">
        <v>18.84</v>
      </c>
      <c r="G5605">
        <v>18.824999999999999</v>
      </c>
      <c r="H5605">
        <v>0.05</v>
      </c>
      <c r="I5605">
        <v>933</v>
      </c>
      <c r="J5605">
        <v>0</v>
      </c>
      <c r="K5605">
        <v>8930</v>
      </c>
      <c r="L5605">
        <v>144</v>
      </c>
      <c r="M5605">
        <v>209</v>
      </c>
      <c r="N5605" t="s">
        <v>53</v>
      </c>
      <c r="O5605" s="3">
        <v>43971</v>
      </c>
      <c r="P5605">
        <v>-1</v>
      </c>
      <c r="T5605" t="s">
        <v>25</v>
      </c>
      <c r="U5605">
        <v>114</v>
      </c>
      <c r="V5605">
        <v>30.917400000000001</v>
      </c>
    </row>
    <row r="5606" spans="1:22" x14ac:dyDescent="0.35">
      <c r="A5606" s="3">
        <v>43762</v>
      </c>
      <c r="B5606" t="s">
        <v>52</v>
      </c>
      <c r="C5606">
        <v>18.850000000000001</v>
      </c>
      <c r="D5606">
        <v>18.97</v>
      </c>
      <c r="E5606">
        <v>18.8</v>
      </c>
      <c r="F5606">
        <v>18.920000000000002</v>
      </c>
      <c r="G5606">
        <v>18.95</v>
      </c>
      <c r="H5606">
        <v>0.1</v>
      </c>
      <c r="I5606">
        <v>221</v>
      </c>
      <c r="J5606">
        <v>0</v>
      </c>
      <c r="K5606">
        <v>2370</v>
      </c>
      <c r="L5606">
        <v>163</v>
      </c>
      <c r="M5606">
        <v>237</v>
      </c>
      <c r="N5606" t="s">
        <v>52</v>
      </c>
      <c r="O5606" s="3">
        <v>43999</v>
      </c>
      <c r="P5606">
        <v>-1</v>
      </c>
      <c r="T5606" t="s">
        <v>20</v>
      </c>
      <c r="U5606">
        <v>134</v>
      </c>
      <c r="V5606">
        <v>30.045300000000001</v>
      </c>
    </row>
    <row r="5607" spans="1:22" x14ac:dyDescent="0.35">
      <c r="A5607" s="3">
        <v>43762</v>
      </c>
      <c r="B5607" t="s">
        <v>54</v>
      </c>
      <c r="C5607">
        <v>18.7</v>
      </c>
      <c r="D5607">
        <v>18.87</v>
      </c>
      <c r="E5607">
        <v>18.66</v>
      </c>
      <c r="F5607">
        <v>18.78</v>
      </c>
      <c r="G5607">
        <v>18.774999999999999</v>
      </c>
      <c r="H5607">
        <v>0.05</v>
      </c>
      <c r="I5607">
        <v>2094</v>
      </c>
      <c r="J5607">
        <v>0</v>
      </c>
      <c r="K5607">
        <v>13272</v>
      </c>
      <c r="L5607">
        <v>119</v>
      </c>
      <c r="M5607">
        <v>174</v>
      </c>
      <c r="N5607" t="s">
        <v>54</v>
      </c>
      <c r="O5607" s="3">
        <v>43936</v>
      </c>
      <c r="P5607">
        <v>-1</v>
      </c>
      <c r="T5607" t="s">
        <v>21</v>
      </c>
      <c r="U5607">
        <v>158</v>
      </c>
      <c r="V5607">
        <v>29.129200000000001</v>
      </c>
    </row>
    <row r="5608" spans="1:22" x14ac:dyDescent="0.35">
      <c r="A5608" s="3">
        <v>43762</v>
      </c>
      <c r="B5608" t="s">
        <v>55</v>
      </c>
      <c r="C5608">
        <v>18.54</v>
      </c>
      <c r="D5608">
        <v>18.690000000000001</v>
      </c>
      <c r="E5608">
        <v>18.45</v>
      </c>
      <c r="F5608">
        <v>18.57</v>
      </c>
      <c r="G5608">
        <v>18.574999999999999</v>
      </c>
      <c r="H5608">
        <v>0.05</v>
      </c>
      <c r="I5608">
        <v>3825</v>
      </c>
      <c r="J5608">
        <v>0</v>
      </c>
      <c r="K5608">
        <v>20701</v>
      </c>
      <c r="L5608">
        <v>99</v>
      </c>
      <c r="M5608">
        <v>146</v>
      </c>
      <c r="N5608" t="s">
        <v>55</v>
      </c>
      <c r="O5608" s="3">
        <v>43908</v>
      </c>
      <c r="P5608">
        <v>-1</v>
      </c>
      <c r="S5608" s="3">
        <v>44691</v>
      </c>
      <c r="T5608" t="s">
        <v>23</v>
      </c>
      <c r="U5608">
        <v>174</v>
      </c>
      <c r="V5608">
        <v>29.074999999999999</v>
      </c>
    </row>
    <row r="5609" spans="1:22" x14ac:dyDescent="0.35">
      <c r="A5609" s="3">
        <v>43761</v>
      </c>
      <c r="B5609" t="s">
        <v>54</v>
      </c>
      <c r="C5609">
        <v>18.96</v>
      </c>
      <c r="D5609">
        <v>19</v>
      </c>
      <c r="E5609">
        <v>18.7</v>
      </c>
      <c r="F5609">
        <v>18.75</v>
      </c>
      <c r="G5609">
        <v>18.725000000000001</v>
      </c>
      <c r="H5609">
        <v>-0.2</v>
      </c>
      <c r="I5609">
        <v>1443</v>
      </c>
      <c r="J5609">
        <v>0</v>
      </c>
      <c r="K5609">
        <v>13122</v>
      </c>
      <c r="L5609">
        <v>120</v>
      </c>
      <c r="M5609">
        <v>175</v>
      </c>
      <c r="N5609" t="s">
        <v>54</v>
      </c>
      <c r="O5609" s="3">
        <v>43936</v>
      </c>
      <c r="P5609">
        <v>-1</v>
      </c>
      <c r="T5609" t="s">
        <v>29</v>
      </c>
      <c r="U5609">
        <v>6</v>
      </c>
      <c r="V5609">
        <v>32.253999999999998</v>
      </c>
    </row>
    <row r="5610" spans="1:22" x14ac:dyDescent="0.35">
      <c r="A5610" s="3">
        <v>43761</v>
      </c>
      <c r="B5610" t="s">
        <v>55</v>
      </c>
      <c r="C5610">
        <v>18.78</v>
      </c>
      <c r="D5610">
        <v>18.850000000000001</v>
      </c>
      <c r="E5610">
        <v>18.5</v>
      </c>
      <c r="F5610">
        <v>18.579999999999998</v>
      </c>
      <c r="G5610">
        <v>18.524999999999999</v>
      </c>
      <c r="H5610">
        <v>-0.2</v>
      </c>
      <c r="I5610">
        <v>5463</v>
      </c>
      <c r="J5610">
        <v>0</v>
      </c>
      <c r="K5610">
        <v>19396</v>
      </c>
      <c r="L5610">
        <v>100</v>
      </c>
      <c r="M5610">
        <v>147</v>
      </c>
      <c r="N5610" t="s">
        <v>55</v>
      </c>
      <c r="O5610" s="3">
        <v>43908</v>
      </c>
      <c r="P5610">
        <v>-1</v>
      </c>
      <c r="T5610" t="s">
        <v>28</v>
      </c>
      <c r="U5610">
        <v>25</v>
      </c>
      <c r="V5610">
        <v>31.961400000000001</v>
      </c>
    </row>
    <row r="5611" spans="1:22" x14ac:dyDescent="0.35">
      <c r="A5611" s="3">
        <v>43761</v>
      </c>
      <c r="B5611" t="s">
        <v>53</v>
      </c>
      <c r="C5611">
        <v>18.989999999999998</v>
      </c>
      <c r="D5611">
        <v>19.05</v>
      </c>
      <c r="E5611">
        <v>18.7</v>
      </c>
      <c r="F5611">
        <v>18.77</v>
      </c>
      <c r="G5611">
        <v>18.774999999999999</v>
      </c>
      <c r="H5611">
        <v>-0.15</v>
      </c>
      <c r="I5611">
        <v>609</v>
      </c>
      <c r="J5611">
        <v>0</v>
      </c>
      <c r="K5611">
        <v>8790</v>
      </c>
      <c r="L5611">
        <v>145</v>
      </c>
      <c r="M5611">
        <v>210</v>
      </c>
      <c r="N5611" t="s">
        <v>53</v>
      </c>
      <c r="O5611" s="3">
        <v>43971</v>
      </c>
      <c r="P5611">
        <v>-1</v>
      </c>
      <c r="T5611" t="s">
        <v>22</v>
      </c>
      <c r="U5611">
        <v>49</v>
      </c>
      <c r="V5611">
        <v>31.5975</v>
      </c>
    </row>
    <row r="5612" spans="1:22" x14ac:dyDescent="0.35">
      <c r="A5612" s="3">
        <v>43761</v>
      </c>
      <c r="B5612" t="s">
        <v>52</v>
      </c>
      <c r="C5612">
        <v>19.05</v>
      </c>
      <c r="D5612">
        <v>19.100000000000001</v>
      </c>
      <c r="E5612">
        <v>18.850000000000001</v>
      </c>
      <c r="F5612">
        <v>18.850000000000001</v>
      </c>
      <c r="G5612">
        <v>18.850000000000001</v>
      </c>
      <c r="H5612">
        <v>-0.15</v>
      </c>
      <c r="I5612">
        <v>428</v>
      </c>
      <c r="J5612">
        <v>0</v>
      </c>
      <c r="K5612">
        <v>2250</v>
      </c>
      <c r="L5612">
        <v>164</v>
      </c>
      <c r="M5612">
        <v>238</v>
      </c>
      <c r="N5612" t="s">
        <v>52</v>
      </c>
      <c r="O5612" s="3">
        <v>43999</v>
      </c>
      <c r="P5612">
        <v>-1</v>
      </c>
      <c r="T5612" t="s">
        <v>26</v>
      </c>
      <c r="U5612">
        <v>69</v>
      </c>
      <c r="V5612">
        <v>31.05</v>
      </c>
    </row>
    <row r="5613" spans="1:22" x14ac:dyDescent="0.35">
      <c r="A5613" s="3">
        <v>43760</v>
      </c>
      <c r="B5613" t="s">
        <v>53</v>
      </c>
      <c r="C5613">
        <v>18.73</v>
      </c>
      <c r="D5613">
        <v>19.010000000000002</v>
      </c>
      <c r="E5613">
        <v>18.64</v>
      </c>
      <c r="F5613">
        <v>19.010000000000002</v>
      </c>
      <c r="G5613">
        <v>18.925000000000001</v>
      </c>
      <c r="H5613">
        <v>0.2</v>
      </c>
      <c r="I5613">
        <v>1287</v>
      </c>
      <c r="J5613">
        <v>0</v>
      </c>
      <c r="K5613">
        <v>8703</v>
      </c>
      <c r="L5613">
        <v>146</v>
      </c>
      <c r="M5613">
        <v>211</v>
      </c>
      <c r="N5613" t="s">
        <v>53</v>
      </c>
      <c r="O5613" s="3">
        <v>43971</v>
      </c>
      <c r="P5613">
        <v>-1</v>
      </c>
      <c r="T5613" t="s">
        <v>27</v>
      </c>
      <c r="U5613">
        <v>93</v>
      </c>
      <c r="V5613">
        <v>30.679300000000001</v>
      </c>
    </row>
    <row r="5614" spans="1:22" x14ac:dyDescent="0.35">
      <c r="A5614" s="3">
        <v>43760</v>
      </c>
      <c r="B5614" t="s">
        <v>52</v>
      </c>
      <c r="C5614">
        <v>18.86</v>
      </c>
      <c r="D5614">
        <v>19.05</v>
      </c>
      <c r="E5614">
        <v>18.75</v>
      </c>
      <c r="F5614">
        <v>19</v>
      </c>
      <c r="G5614">
        <v>19</v>
      </c>
      <c r="H5614">
        <v>0.15</v>
      </c>
      <c r="I5614">
        <v>545</v>
      </c>
      <c r="J5614">
        <v>0</v>
      </c>
      <c r="K5614">
        <v>2285</v>
      </c>
      <c r="L5614">
        <v>165</v>
      </c>
      <c r="M5614">
        <v>239</v>
      </c>
      <c r="N5614" t="s">
        <v>52</v>
      </c>
      <c r="O5614" s="3">
        <v>43999</v>
      </c>
      <c r="P5614">
        <v>-1</v>
      </c>
      <c r="T5614" t="s">
        <v>25</v>
      </c>
      <c r="U5614">
        <v>113</v>
      </c>
      <c r="V5614">
        <v>30.301300000000001</v>
      </c>
    </row>
    <row r="5615" spans="1:22" x14ac:dyDescent="0.35">
      <c r="A5615" s="3">
        <v>43760</v>
      </c>
      <c r="B5615" t="s">
        <v>54</v>
      </c>
      <c r="C5615">
        <v>18.690000000000001</v>
      </c>
      <c r="D5615">
        <v>18.98</v>
      </c>
      <c r="E5615">
        <v>18.600000000000001</v>
      </c>
      <c r="F5615">
        <v>18.97</v>
      </c>
      <c r="G5615">
        <v>18.925000000000001</v>
      </c>
      <c r="H5615">
        <v>0.25</v>
      </c>
      <c r="I5615">
        <v>2354</v>
      </c>
      <c r="J5615">
        <v>0</v>
      </c>
      <c r="K5615">
        <v>13069</v>
      </c>
      <c r="L5615">
        <v>121</v>
      </c>
      <c r="M5615">
        <v>176</v>
      </c>
      <c r="N5615" t="s">
        <v>54</v>
      </c>
      <c r="O5615" s="3">
        <v>43936</v>
      </c>
      <c r="P5615">
        <v>-1</v>
      </c>
      <c r="T5615" t="s">
        <v>20</v>
      </c>
      <c r="U5615">
        <v>133</v>
      </c>
      <c r="V5615">
        <v>29.55</v>
      </c>
    </row>
    <row r="5616" spans="1:22" x14ac:dyDescent="0.35">
      <c r="A5616" s="3">
        <v>43760</v>
      </c>
      <c r="B5616" t="s">
        <v>55</v>
      </c>
      <c r="C5616">
        <v>18.510000000000002</v>
      </c>
      <c r="D5616">
        <v>18.8</v>
      </c>
      <c r="E5616">
        <v>18.399999999999999</v>
      </c>
      <c r="F5616">
        <v>18.8</v>
      </c>
      <c r="G5616">
        <v>18.725000000000001</v>
      </c>
      <c r="H5616">
        <v>0.2</v>
      </c>
      <c r="I5616">
        <v>4457</v>
      </c>
      <c r="J5616">
        <v>0</v>
      </c>
      <c r="K5616">
        <v>18516</v>
      </c>
      <c r="L5616">
        <v>101</v>
      </c>
      <c r="M5616">
        <v>148</v>
      </c>
      <c r="N5616" t="s">
        <v>55</v>
      </c>
      <c r="O5616" s="3">
        <v>43908</v>
      </c>
      <c r="P5616">
        <v>-1</v>
      </c>
      <c r="T5616" t="s">
        <v>21</v>
      </c>
      <c r="U5616">
        <v>157</v>
      </c>
      <c r="V5616">
        <v>28.65</v>
      </c>
    </row>
    <row r="5617" spans="1:22" x14ac:dyDescent="0.35">
      <c r="A5617" s="3">
        <v>43759</v>
      </c>
      <c r="B5617" t="s">
        <v>54</v>
      </c>
      <c r="C5617">
        <v>18.95</v>
      </c>
      <c r="D5617">
        <v>19</v>
      </c>
      <c r="E5617">
        <v>18.670000000000002</v>
      </c>
      <c r="F5617">
        <v>18.7</v>
      </c>
      <c r="G5617">
        <v>18.675000000000001</v>
      </c>
      <c r="H5617">
        <v>-0.3</v>
      </c>
      <c r="I5617">
        <v>1920</v>
      </c>
      <c r="J5617">
        <v>0</v>
      </c>
      <c r="K5617">
        <v>12894</v>
      </c>
      <c r="L5617">
        <v>122</v>
      </c>
      <c r="M5617">
        <v>177</v>
      </c>
      <c r="N5617" t="s">
        <v>54</v>
      </c>
      <c r="O5617" s="3">
        <v>43936</v>
      </c>
      <c r="P5617">
        <v>-1</v>
      </c>
      <c r="S5617" s="3">
        <v>44692</v>
      </c>
      <c r="T5617" t="s">
        <v>23</v>
      </c>
      <c r="U5617">
        <v>173</v>
      </c>
      <c r="V5617">
        <v>29.3</v>
      </c>
    </row>
    <row r="5618" spans="1:22" x14ac:dyDescent="0.35">
      <c r="A5618" s="3">
        <v>43759</v>
      </c>
      <c r="B5618" t="s">
        <v>55</v>
      </c>
      <c r="C5618">
        <v>18.8</v>
      </c>
      <c r="D5618">
        <v>18.850000000000001</v>
      </c>
      <c r="E5618">
        <v>18.48</v>
      </c>
      <c r="F5618">
        <v>18.5</v>
      </c>
      <c r="G5618">
        <v>18.524999999999999</v>
      </c>
      <c r="H5618">
        <v>-0.3</v>
      </c>
      <c r="I5618">
        <v>4273</v>
      </c>
      <c r="J5618">
        <v>0</v>
      </c>
      <c r="K5618">
        <v>17956</v>
      </c>
      <c r="L5618">
        <v>102</v>
      </c>
      <c r="M5618">
        <v>149</v>
      </c>
      <c r="N5618" t="s">
        <v>55</v>
      </c>
      <c r="O5618" s="3">
        <v>43908</v>
      </c>
      <c r="P5618">
        <v>-1</v>
      </c>
      <c r="T5618" t="s">
        <v>29</v>
      </c>
      <c r="U5618">
        <v>5</v>
      </c>
      <c r="V5618">
        <v>32.162700000000001</v>
      </c>
    </row>
    <row r="5619" spans="1:22" x14ac:dyDescent="0.35">
      <c r="A5619" s="3">
        <v>43759</v>
      </c>
      <c r="B5619" t="s">
        <v>53</v>
      </c>
      <c r="C5619">
        <v>18.899999999999999</v>
      </c>
      <c r="D5619">
        <v>19.05</v>
      </c>
      <c r="E5619">
        <v>18.72</v>
      </c>
      <c r="F5619">
        <v>18.75</v>
      </c>
      <c r="G5619">
        <v>18.725000000000001</v>
      </c>
      <c r="H5619">
        <v>-0.3</v>
      </c>
      <c r="I5619">
        <v>931</v>
      </c>
      <c r="J5619">
        <v>0</v>
      </c>
      <c r="K5619">
        <v>8635</v>
      </c>
      <c r="L5619">
        <v>147</v>
      </c>
      <c r="M5619">
        <v>212</v>
      </c>
      <c r="N5619" t="s">
        <v>53</v>
      </c>
      <c r="O5619" s="3">
        <v>43971</v>
      </c>
      <c r="P5619">
        <v>-1</v>
      </c>
      <c r="T5619" t="s">
        <v>28</v>
      </c>
      <c r="U5619">
        <v>24</v>
      </c>
      <c r="V5619">
        <v>31.738900000000001</v>
      </c>
    </row>
    <row r="5620" spans="1:22" x14ac:dyDescent="0.35">
      <c r="A5620" s="3">
        <v>43759</v>
      </c>
      <c r="B5620" t="s">
        <v>52</v>
      </c>
      <c r="C5620">
        <v>19.100000000000001</v>
      </c>
      <c r="D5620">
        <v>19.100000000000001</v>
      </c>
      <c r="E5620">
        <v>18.84</v>
      </c>
      <c r="F5620">
        <v>18.88</v>
      </c>
      <c r="G5620">
        <v>18.850000000000001</v>
      </c>
      <c r="H5620">
        <v>-0.27500000000000002</v>
      </c>
      <c r="I5620">
        <v>901</v>
      </c>
      <c r="J5620">
        <v>0</v>
      </c>
      <c r="K5620">
        <v>2005</v>
      </c>
      <c r="L5620">
        <v>166</v>
      </c>
      <c r="M5620">
        <v>240</v>
      </c>
      <c r="N5620" t="s">
        <v>52</v>
      </c>
      <c r="O5620" s="3">
        <v>43999</v>
      </c>
      <c r="P5620">
        <v>-1</v>
      </c>
      <c r="T5620" t="s">
        <v>22</v>
      </c>
      <c r="U5620">
        <v>48</v>
      </c>
      <c r="V5620">
        <v>31.448899999999998</v>
      </c>
    </row>
    <row r="5621" spans="1:22" x14ac:dyDescent="0.35">
      <c r="A5621" s="3">
        <v>43756</v>
      </c>
      <c r="B5621" t="s">
        <v>53</v>
      </c>
      <c r="C5621">
        <v>18.739999999999998</v>
      </c>
      <c r="D5621">
        <v>19.05</v>
      </c>
      <c r="E5621">
        <v>18.7</v>
      </c>
      <c r="F5621">
        <v>19.010000000000002</v>
      </c>
      <c r="G5621">
        <v>19.024999999999999</v>
      </c>
      <c r="H5621">
        <v>0.3</v>
      </c>
      <c r="I5621">
        <v>1658</v>
      </c>
      <c r="J5621">
        <v>0</v>
      </c>
      <c r="K5621">
        <v>8095</v>
      </c>
      <c r="L5621">
        <v>148</v>
      </c>
      <c r="M5621">
        <v>215</v>
      </c>
      <c r="N5621" t="s">
        <v>53</v>
      </c>
      <c r="O5621" s="3">
        <v>43971</v>
      </c>
      <c r="P5621">
        <v>-1</v>
      </c>
      <c r="T5621" t="s">
        <v>26</v>
      </c>
      <c r="U5621">
        <v>68</v>
      </c>
      <c r="V5621">
        <v>31.061199999999999</v>
      </c>
    </row>
    <row r="5622" spans="1:22" x14ac:dyDescent="0.35">
      <c r="A5622" s="3">
        <v>43756</v>
      </c>
      <c r="B5622" t="s">
        <v>52</v>
      </c>
      <c r="C5622">
        <v>18.829999999999998</v>
      </c>
      <c r="D5622">
        <v>19.16</v>
      </c>
      <c r="E5622">
        <v>18.8</v>
      </c>
      <c r="F5622">
        <v>19.12</v>
      </c>
      <c r="G5622">
        <v>19.125</v>
      </c>
      <c r="H5622">
        <v>0.27500000000000002</v>
      </c>
      <c r="I5622">
        <v>676</v>
      </c>
      <c r="J5622">
        <v>0</v>
      </c>
      <c r="K5622">
        <v>1553</v>
      </c>
      <c r="L5622">
        <v>167</v>
      </c>
      <c r="M5622">
        <v>243</v>
      </c>
      <c r="N5622" t="s">
        <v>52</v>
      </c>
      <c r="O5622" s="3">
        <v>43999</v>
      </c>
      <c r="P5622">
        <v>-1</v>
      </c>
      <c r="T5622" t="s">
        <v>27</v>
      </c>
      <c r="U5622">
        <v>92</v>
      </c>
      <c r="V5622">
        <v>30.840199999999999</v>
      </c>
    </row>
    <row r="5623" spans="1:22" x14ac:dyDescent="0.35">
      <c r="A5623" s="3">
        <v>43756</v>
      </c>
      <c r="B5623" t="s">
        <v>54</v>
      </c>
      <c r="C5623">
        <v>18.739999999999998</v>
      </c>
      <c r="D5623">
        <v>19.03</v>
      </c>
      <c r="E5623">
        <v>18.670000000000002</v>
      </c>
      <c r="F5623">
        <v>19</v>
      </c>
      <c r="G5623">
        <v>18.975000000000001</v>
      </c>
      <c r="H5623">
        <v>0.25</v>
      </c>
      <c r="I5623">
        <v>3432</v>
      </c>
      <c r="J5623">
        <v>0</v>
      </c>
      <c r="K5623">
        <v>12913</v>
      </c>
      <c r="L5623">
        <v>123</v>
      </c>
      <c r="M5623">
        <v>180</v>
      </c>
      <c r="N5623" t="s">
        <v>54</v>
      </c>
      <c r="O5623" s="3">
        <v>43936</v>
      </c>
      <c r="P5623">
        <v>-1</v>
      </c>
      <c r="T5623" t="s">
        <v>25</v>
      </c>
      <c r="U5623">
        <v>112</v>
      </c>
      <c r="V5623">
        <v>30.4404</v>
      </c>
    </row>
    <row r="5624" spans="1:22" x14ac:dyDescent="0.35">
      <c r="A5624" s="3">
        <v>43756</v>
      </c>
      <c r="B5624" t="s">
        <v>55</v>
      </c>
      <c r="C5624">
        <v>18.600000000000001</v>
      </c>
      <c r="D5624">
        <v>18.87</v>
      </c>
      <c r="E5624">
        <v>18.5</v>
      </c>
      <c r="F5624">
        <v>18.8</v>
      </c>
      <c r="G5624">
        <v>18.824999999999999</v>
      </c>
      <c r="H5624">
        <v>0.25</v>
      </c>
      <c r="I5624">
        <v>6587</v>
      </c>
      <c r="J5624">
        <v>0</v>
      </c>
      <c r="K5624">
        <v>16980</v>
      </c>
      <c r="L5624">
        <v>103</v>
      </c>
      <c r="M5624">
        <v>152</v>
      </c>
      <c r="N5624" t="s">
        <v>55</v>
      </c>
      <c r="O5624" s="3">
        <v>43908</v>
      </c>
      <c r="P5624">
        <v>-1</v>
      </c>
      <c r="T5624" t="s">
        <v>20</v>
      </c>
      <c r="U5624">
        <v>132</v>
      </c>
      <c r="V5624">
        <v>29.739100000000001</v>
      </c>
    </row>
    <row r="5625" spans="1:22" x14ac:dyDescent="0.35">
      <c r="A5625" s="3">
        <v>43755</v>
      </c>
      <c r="B5625" t="s">
        <v>54</v>
      </c>
      <c r="C5625">
        <v>18.899999999999999</v>
      </c>
      <c r="D5625">
        <v>18.95</v>
      </c>
      <c r="E5625">
        <v>18.690000000000001</v>
      </c>
      <c r="F5625">
        <v>18.75</v>
      </c>
      <c r="G5625">
        <v>18.725000000000001</v>
      </c>
      <c r="H5625">
        <v>-0.15</v>
      </c>
      <c r="I5625">
        <v>1710</v>
      </c>
      <c r="J5625">
        <v>0</v>
      </c>
      <c r="K5625">
        <v>11889</v>
      </c>
      <c r="L5625">
        <v>124</v>
      </c>
      <c r="M5625">
        <v>181</v>
      </c>
      <c r="N5625" t="s">
        <v>54</v>
      </c>
      <c r="O5625" s="3">
        <v>43936</v>
      </c>
      <c r="P5625">
        <v>-1</v>
      </c>
      <c r="T5625" t="s">
        <v>21</v>
      </c>
      <c r="U5625">
        <v>156</v>
      </c>
      <c r="V5625">
        <v>28.824999999999999</v>
      </c>
    </row>
    <row r="5626" spans="1:22" x14ac:dyDescent="0.35">
      <c r="A5626" s="3">
        <v>43755</v>
      </c>
      <c r="B5626" t="s">
        <v>55</v>
      </c>
      <c r="C5626">
        <v>18.760000000000002</v>
      </c>
      <c r="D5626">
        <v>18.809999999999999</v>
      </c>
      <c r="E5626">
        <v>18.55</v>
      </c>
      <c r="F5626">
        <v>18.57</v>
      </c>
      <c r="G5626">
        <v>18.574999999999999</v>
      </c>
      <c r="H5626">
        <v>-0.2</v>
      </c>
      <c r="I5626">
        <v>3606</v>
      </c>
      <c r="J5626">
        <v>0</v>
      </c>
      <c r="K5626">
        <v>17246</v>
      </c>
      <c r="L5626">
        <v>104</v>
      </c>
      <c r="M5626">
        <v>153</v>
      </c>
      <c r="N5626" t="s">
        <v>55</v>
      </c>
      <c r="O5626" s="3">
        <v>43908</v>
      </c>
      <c r="P5626">
        <v>-1</v>
      </c>
      <c r="S5626" s="3">
        <v>44693</v>
      </c>
      <c r="T5626" t="s">
        <v>23</v>
      </c>
      <c r="U5626">
        <v>172</v>
      </c>
      <c r="V5626">
        <v>29.15</v>
      </c>
    </row>
    <row r="5627" spans="1:22" x14ac:dyDescent="0.35">
      <c r="A5627" s="3">
        <v>43755</v>
      </c>
      <c r="B5627" t="s">
        <v>53</v>
      </c>
      <c r="C5627">
        <v>18.850000000000001</v>
      </c>
      <c r="D5627">
        <v>18.91</v>
      </c>
      <c r="E5627">
        <v>18.7</v>
      </c>
      <c r="F5627">
        <v>18.72</v>
      </c>
      <c r="G5627">
        <v>18.725000000000001</v>
      </c>
      <c r="H5627">
        <v>-0.15</v>
      </c>
      <c r="I5627">
        <v>729</v>
      </c>
      <c r="J5627">
        <v>0</v>
      </c>
      <c r="K5627">
        <v>7379</v>
      </c>
      <c r="L5627">
        <v>149</v>
      </c>
      <c r="M5627">
        <v>216</v>
      </c>
      <c r="N5627" t="s">
        <v>53</v>
      </c>
      <c r="O5627" s="3">
        <v>43971</v>
      </c>
      <c r="P5627">
        <v>-1</v>
      </c>
      <c r="T5627" t="s">
        <v>29</v>
      </c>
      <c r="U5627">
        <v>4</v>
      </c>
      <c r="V5627">
        <v>31.2544</v>
      </c>
    </row>
    <row r="5628" spans="1:22" x14ac:dyDescent="0.35">
      <c r="A5628" s="3">
        <v>43755</v>
      </c>
      <c r="B5628" t="s">
        <v>52</v>
      </c>
      <c r="C5628">
        <v>19</v>
      </c>
      <c r="D5628">
        <v>19.02</v>
      </c>
      <c r="E5628">
        <v>18.82</v>
      </c>
      <c r="F5628">
        <v>18.850000000000001</v>
      </c>
      <c r="G5628">
        <v>18.850000000000001</v>
      </c>
      <c r="H5628">
        <v>-0.1</v>
      </c>
      <c r="I5628">
        <v>192</v>
      </c>
      <c r="J5628">
        <v>0</v>
      </c>
      <c r="K5628">
        <v>1060</v>
      </c>
      <c r="L5628">
        <v>168</v>
      </c>
      <c r="M5628">
        <v>244</v>
      </c>
      <c r="N5628" t="s">
        <v>52</v>
      </c>
      <c r="O5628" s="3">
        <v>43999</v>
      </c>
      <c r="P5628">
        <v>-1</v>
      </c>
      <c r="T5628" t="s">
        <v>28</v>
      </c>
      <c r="U5628">
        <v>23</v>
      </c>
      <c r="V5628">
        <v>31.260999999999999</v>
      </c>
    </row>
    <row r="5629" spans="1:22" x14ac:dyDescent="0.35">
      <c r="A5629" s="3">
        <v>43754</v>
      </c>
      <c r="B5629" t="s">
        <v>53</v>
      </c>
      <c r="C5629">
        <v>19</v>
      </c>
      <c r="D5629">
        <v>19.05</v>
      </c>
      <c r="E5629">
        <v>18.850000000000001</v>
      </c>
      <c r="F5629">
        <v>18.86</v>
      </c>
      <c r="G5629">
        <v>18.875</v>
      </c>
      <c r="H5629">
        <v>-0.1</v>
      </c>
      <c r="I5629">
        <v>1048</v>
      </c>
      <c r="J5629">
        <v>0</v>
      </c>
      <c r="K5629">
        <v>7201</v>
      </c>
      <c r="L5629">
        <v>150</v>
      </c>
      <c r="M5629">
        <v>217</v>
      </c>
      <c r="N5629" t="s">
        <v>53</v>
      </c>
      <c r="O5629" s="3">
        <v>43971</v>
      </c>
      <c r="P5629">
        <v>-1</v>
      </c>
      <c r="T5629" t="s">
        <v>22</v>
      </c>
      <c r="U5629">
        <v>47</v>
      </c>
      <c r="V5629">
        <v>31.106000000000002</v>
      </c>
    </row>
    <row r="5630" spans="1:22" x14ac:dyDescent="0.35">
      <c r="A5630" s="3">
        <v>43754</v>
      </c>
      <c r="B5630" t="s">
        <v>52</v>
      </c>
      <c r="C5630">
        <v>19.11</v>
      </c>
      <c r="D5630">
        <v>19.16</v>
      </c>
      <c r="E5630">
        <v>18.95</v>
      </c>
      <c r="F5630">
        <v>19</v>
      </c>
      <c r="G5630">
        <v>18.95</v>
      </c>
      <c r="H5630">
        <v>-0.1</v>
      </c>
      <c r="I5630">
        <v>75</v>
      </c>
      <c r="J5630">
        <v>0</v>
      </c>
      <c r="K5630">
        <v>965</v>
      </c>
      <c r="L5630">
        <v>169</v>
      </c>
      <c r="M5630">
        <v>245</v>
      </c>
      <c r="N5630" t="s">
        <v>52</v>
      </c>
      <c r="O5630" s="3">
        <v>43999</v>
      </c>
      <c r="P5630">
        <v>-1</v>
      </c>
      <c r="T5630" t="s">
        <v>26</v>
      </c>
      <c r="U5630">
        <v>67</v>
      </c>
      <c r="V5630">
        <v>30.774899999999999</v>
      </c>
    </row>
    <row r="5631" spans="1:22" x14ac:dyDescent="0.35">
      <c r="A5631" s="3">
        <v>43754</v>
      </c>
      <c r="B5631" t="s">
        <v>54</v>
      </c>
      <c r="C5631">
        <v>19.02</v>
      </c>
      <c r="D5631">
        <v>19.13</v>
      </c>
      <c r="E5631">
        <v>18.850000000000001</v>
      </c>
      <c r="F5631">
        <v>18.88</v>
      </c>
      <c r="G5631">
        <v>18.875</v>
      </c>
      <c r="H5631">
        <v>-0.1</v>
      </c>
      <c r="I5631">
        <v>4486</v>
      </c>
      <c r="J5631">
        <v>0</v>
      </c>
      <c r="K5631">
        <v>11642</v>
      </c>
      <c r="L5631">
        <v>125</v>
      </c>
      <c r="M5631">
        <v>182</v>
      </c>
      <c r="N5631" t="s">
        <v>54</v>
      </c>
      <c r="O5631" s="3">
        <v>43936</v>
      </c>
      <c r="P5631">
        <v>-1</v>
      </c>
      <c r="T5631" t="s">
        <v>27</v>
      </c>
      <c r="U5631">
        <v>91</v>
      </c>
      <c r="V5631">
        <v>30.576599999999999</v>
      </c>
    </row>
    <row r="5632" spans="1:22" x14ac:dyDescent="0.35">
      <c r="A5632" s="3">
        <v>43754</v>
      </c>
      <c r="B5632" t="s">
        <v>55</v>
      </c>
      <c r="C5632">
        <v>18.850000000000001</v>
      </c>
      <c r="D5632">
        <v>18.97</v>
      </c>
      <c r="E5632">
        <v>18.7</v>
      </c>
      <c r="F5632">
        <v>18.760000000000002</v>
      </c>
      <c r="G5632">
        <v>18.774999999999999</v>
      </c>
      <c r="H5632">
        <v>-2.5000000000000001E-2</v>
      </c>
      <c r="I5632">
        <v>7204</v>
      </c>
      <c r="J5632">
        <v>0</v>
      </c>
      <c r="K5632">
        <v>17168</v>
      </c>
      <c r="L5632">
        <v>105</v>
      </c>
      <c r="M5632">
        <v>154</v>
      </c>
      <c r="N5632" t="s">
        <v>55</v>
      </c>
      <c r="O5632" s="3">
        <v>43908</v>
      </c>
      <c r="P5632">
        <v>-1</v>
      </c>
      <c r="T5632" t="s">
        <v>25</v>
      </c>
      <c r="U5632">
        <v>111</v>
      </c>
      <c r="V5632">
        <v>30.175899999999999</v>
      </c>
    </row>
    <row r="5633" spans="1:22" x14ac:dyDescent="0.35">
      <c r="A5633" s="3">
        <v>43753</v>
      </c>
      <c r="B5633" t="s">
        <v>54</v>
      </c>
      <c r="C5633">
        <v>19.16</v>
      </c>
      <c r="D5633">
        <v>19.16</v>
      </c>
      <c r="E5633">
        <v>18.8</v>
      </c>
      <c r="F5633">
        <v>19</v>
      </c>
      <c r="G5633">
        <v>18.975000000000001</v>
      </c>
      <c r="H5633">
        <v>-0.15</v>
      </c>
      <c r="I5633">
        <v>2756</v>
      </c>
      <c r="J5633">
        <v>0</v>
      </c>
      <c r="K5633">
        <v>11614</v>
      </c>
      <c r="L5633">
        <v>126</v>
      </c>
      <c r="M5633">
        <v>183</v>
      </c>
      <c r="N5633" t="s">
        <v>54</v>
      </c>
      <c r="O5633" s="3">
        <v>43936</v>
      </c>
      <c r="P5633">
        <v>-1</v>
      </c>
      <c r="T5633" t="s">
        <v>20</v>
      </c>
      <c r="U5633">
        <v>131</v>
      </c>
      <c r="V5633">
        <v>29.45</v>
      </c>
    </row>
    <row r="5634" spans="1:22" x14ac:dyDescent="0.35">
      <c r="A5634" s="3">
        <v>43753</v>
      </c>
      <c r="B5634" t="s">
        <v>55</v>
      </c>
      <c r="C5634">
        <v>19.02</v>
      </c>
      <c r="D5634">
        <v>19.02</v>
      </c>
      <c r="E5634">
        <v>18.649999999999999</v>
      </c>
      <c r="F5634">
        <v>18.829999999999998</v>
      </c>
      <c r="G5634">
        <v>18.8</v>
      </c>
      <c r="H5634">
        <v>-0.17499999999999999</v>
      </c>
      <c r="I5634">
        <v>4201</v>
      </c>
      <c r="J5634">
        <v>0</v>
      </c>
      <c r="K5634">
        <v>16485</v>
      </c>
      <c r="L5634">
        <v>106</v>
      </c>
      <c r="M5634">
        <v>155</v>
      </c>
      <c r="N5634" t="s">
        <v>55</v>
      </c>
      <c r="O5634" s="3">
        <v>43908</v>
      </c>
      <c r="P5634">
        <v>-1</v>
      </c>
      <c r="T5634" t="s">
        <v>21</v>
      </c>
      <c r="U5634">
        <v>155</v>
      </c>
      <c r="V5634">
        <v>28.55</v>
      </c>
    </row>
    <row r="5635" spans="1:22" x14ac:dyDescent="0.35">
      <c r="A5635" s="3">
        <v>43753</v>
      </c>
      <c r="B5635" t="s">
        <v>53</v>
      </c>
      <c r="C5635">
        <v>19</v>
      </c>
      <c r="D5635">
        <v>19.05</v>
      </c>
      <c r="E5635">
        <v>18.79</v>
      </c>
      <c r="F5635">
        <v>18.95</v>
      </c>
      <c r="G5635">
        <v>18.975000000000001</v>
      </c>
      <c r="H5635">
        <v>-7.4999999999999997E-2</v>
      </c>
      <c r="I5635">
        <v>949</v>
      </c>
      <c r="J5635">
        <v>0</v>
      </c>
      <c r="K5635">
        <v>7002</v>
      </c>
      <c r="L5635">
        <v>151</v>
      </c>
      <c r="M5635">
        <v>218</v>
      </c>
      <c r="N5635" t="s">
        <v>53</v>
      </c>
      <c r="O5635" s="3">
        <v>43971</v>
      </c>
      <c r="P5635">
        <v>-1</v>
      </c>
      <c r="S5635" s="3">
        <v>44694</v>
      </c>
      <c r="T5635" t="s">
        <v>23</v>
      </c>
      <c r="U5635">
        <v>171</v>
      </c>
      <c r="V5635">
        <v>28.574999999999999</v>
      </c>
    </row>
    <row r="5636" spans="1:22" x14ac:dyDescent="0.35">
      <c r="A5636" s="3">
        <v>43753</v>
      </c>
      <c r="B5636" t="s">
        <v>52</v>
      </c>
      <c r="C5636">
        <v>19.02</v>
      </c>
      <c r="D5636">
        <v>19.100000000000001</v>
      </c>
      <c r="E5636">
        <v>18.899999999999999</v>
      </c>
      <c r="F5636">
        <v>19.03</v>
      </c>
      <c r="G5636">
        <v>19.05</v>
      </c>
      <c r="H5636">
        <v>-7.4999999999999997E-2</v>
      </c>
      <c r="I5636">
        <v>92</v>
      </c>
      <c r="J5636">
        <v>0</v>
      </c>
      <c r="K5636">
        <v>914</v>
      </c>
      <c r="L5636">
        <v>170</v>
      </c>
      <c r="M5636">
        <v>246</v>
      </c>
      <c r="N5636" t="s">
        <v>52</v>
      </c>
      <c r="O5636" s="3">
        <v>43999</v>
      </c>
      <c r="P5636">
        <v>-1</v>
      </c>
      <c r="T5636" t="s">
        <v>29</v>
      </c>
      <c r="U5636">
        <v>3</v>
      </c>
      <c r="V5636">
        <v>28.819099999999999</v>
      </c>
    </row>
    <row r="5637" spans="1:22" x14ac:dyDescent="0.35">
      <c r="A5637" s="3">
        <v>43752</v>
      </c>
      <c r="B5637" t="s">
        <v>53</v>
      </c>
      <c r="C5637">
        <v>19.2</v>
      </c>
      <c r="D5637">
        <v>19.29</v>
      </c>
      <c r="E5637">
        <v>19.02</v>
      </c>
      <c r="F5637">
        <v>19.05</v>
      </c>
      <c r="G5637">
        <v>19.05</v>
      </c>
      <c r="H5637">
        <v>-0.2</v>
      </c>
      <c r="I5637">
        <v>610</v>
      </c>
      <c r="J5637">
        <v>0</v>
      </c>
      <c r="K5637">
        <v>6710</v>
      </c>
      <c r="L5637">
        <v>152</v>
      </c>
      <c r="M5637">
        <v>219</v>
      </c>
      <c r="N5637" t="s">
        <v>53</v>
      </c>
      <c r="O5637" s="3">
        <v>43971</v>
      </c>
      <c r="P5637">
        <v>-1</v>
      </c>
      <c r="T5637" t="s">
        <v>28</v>
      </c>
      <c r="U5637">
        <v>22</v>
      </c>
      <c r="V5637">
        <v>29.395900000000001</v>
      </c>
    </row>
    <row r="5638" spans="1:22" x14ac:dyDescent="0.35">
      <c r="A5638" s="3">
        <v>43752</v>
      </c>
      <c r="B5638" t="s">
        <v>52</v>
      </c>
      <c r="C5638">
        <v>19.23</v>
      </c>
      <c r="D5638">
        <v>19.38</v>
      </c>
      <c r="E5638">
        <v>19.100000000000001</v>
      </c>
      <c r="F5638">
        <v>19.149999999999999</v>
      </c>
      <c r="G5638">
        <v>19.125</v>
      </c>
      <c r="H5638">
        <v>-0.22500000000000001</v>
      </c>
      <c r="I5638">
        <v>71</v>
      </c>
      <c r="J5638">
        <v>0</v>
      </c>
      <c r="K5638">
        <v>864</v>
      </c>
      <c r="L5638">
        <v>171</v>
      </c>
      <c r="M5638">
        <v>247</v>
      </c>
      <c r="N5638" t="s">
        <v>52</v>
      </c>
      <c r="O5638" s="3">
        <v>43999</v>
      </c>
      <c r="P5638">
        <v>-1</v>
      </c>
      <c r="T5638" t="s">
        <v>22</v>
      </c>
      <c r="U5638">
        <v>46</v>
      </c>
      <c r="V5638">
        <v>29.845600000000001</v>
      </c>
    </row>
    <row r="5639" spans="1:22" x14ac:dyDescent="0.35">
      <c r="A5639" s="3">
        <v>43752</v>
      </c>
      <c r="B5639" t="s">
        <v>54</v>
      </c>
      <c r="C5639">
        <v>19.350000000000001</v>
      </c>
      <c r="D5639">
        <v>19.350000000000001</v>
      </c>
      <c r="E5639">
        <v>19.079999999999998</v>
      </c>
      <c r="F5639">
        <v>19.100000000000001</v>
      </c>
      <c r="G5639">
        <v>19.125</v>
      </c>
      <c r="H5639">
        <v>-0.22500000000000001</v>
      </c>
      <c r="I5639">
        <v>1277</v>
      </c>
      <c r="J5639">
        <v>0</v>
      </c>
      <c r="K5639">
        <v>10658</v>
      </c>
      <c r="L5639">
        <v>127</v>
      </c>
      <c r="M5639">
        <v>184</v>
      </c>
      <c r="N5639" t="s">
        <v>54</v>
      </c>
      <c r="O5639" s="3">
        <v>43936</v>
      </c>
      <c r="P5639">
        <v>-1</v>
      </c>
      <c r="T5639" t="s">
        <v>26</v>
      </c>
      <c r="U5639">
        <v>66</v>
      </c>
      <c r="V5639">
        <v>29.766999999999999</v>
      </c>
    </row>
    <row r="5640" spans="1:22" x14ac:dyDescent="0.35">
      <c r="A5640" s="3">
        <v>43752</v>
      </c>
      <c r="B5640" t="s">
        <v>55</v>
      </c>
      <c r="C5640">
        <v>19.100000000000001</v>
      </c>
      <c r="D5640">
        <v>19.3</v>
      </c>
      <c r="E5640">
        <v>18.940000000000001</v>
      </c>
      <c r="F5640">
        <v>18.97</v>
      </c>
      <c r="G5640">
        <v>18.975000000000001</v>
      </c>
      <c r="H5640">
        <v>-0.25</v>
      </c>
      <c r="I5640">
        <v>2977</v>
      </c>
      <c r="J5640">
        <v>0</v>
      </c>
      <c r="K5640">
        <v>15968</v>
      </c>
      <c r="L5640">
        <v>107</v>
      </c>
      <c r="M5640">
        <v>156</v>
      </c>
      <c r="N5640" t="s">
        <v>55</v>
      </c>
      <c r="O5640" s="3">
        <v>43908</v>
      </c>
      <c r="P5640">
        <v>-1</v>
      </c>
      <c r="T5640" t="s">
        <v>27</v>
      </c>
      <c r="U5640">
        <v>90</v>
      </c>
      <c r="V5640">
        <v>29.823799999999999</v>
      </c>
    </row>
    <row r="5641" spans="1:22" x14ac:dyDescent="0.35">
      <c r="A5641" s="3">
        <v>43749</v>
      </c>
      <c r="B5641" t="s">
        <v>54</v>
      </c>
      <c r="C5641">
        <v>19.45</v>
      </c>
      <c r="D5641">
        <v>19.52</v>
      </c>
      <c r="E5641">
        <v>19.079999999999998</v>
      </c>
      <c r="F5641">
        <v>19.32</v>
      </c>
      <c r="G5641">
        <v>19.350000000000001</v>
      </c>
      <c r="H5641">
        <v>-0.27500000000000002</v>
      </c>
      <c r="I5641">
        <v>2377</v>
      </c>
      <c r="J5641">
        <v>0</v>
      </c>
      <c r="K5641">
        <v>10573</v>
      </c>
      <c r="L5641">
        <v>128</v>
      </c>
      <c r="M5641">
        <v>187</v>
      </c>
      <c r="N5641" t="s">
        <v>54</v>
      </c>
      <c r="O5641" s="3">
        <v>43936</v>
      </c>
      <c r="P5641">
        <v>-1</v>
      </c>
      <c r="T5641" t="s">
        <v>25</v>
      </c>
      <c r="U5641">
        <v>110</v>
      </c>
      <c r="V5641">
        <v>29.567</v>
      </c>
    </row>
    <row r="5642" spans="1:22" x14ac:dyDescent="0.35">
      <c r="A5642" s="3">
        <v>43749</v>
      </c>
      <c r="B5642" t="s">
        <v>55</v>
      </c>
      <c r="C5642">
        <v>19.47</v>
      </c>
      <c r="D5642">
        <v>19.48</v>
      </c>
      <c r="E5642">
        <v>18.95</v>
      </c>
      <c r="F5642">
        <v>19.22</v>
      </c>
      <c r="G5642">
        <v>19.225000000000001</v>
      </c>
      <c r="H5642">
        <v>-0.3</v>
      </c>
      <c r="I5642">
        <v>4044</v>
      </c>
      <c r="J5642">
        <v>0</v>
      </c>
      <c r="K5642">
        <v>15492</v>
      </c>
      <c r="L5642">
        <v>108</v>
      </c>
      <c r="M5642">
        <v>159</v>
      </c>
      <c r="N5642" t="s">
        <v>55</v>
      </c>
      <c r="O5642" s="3">
        <v>43908</v>
      </c>
      <c r="P5642">
        <v>-1</v>
      </c>
      <c r="T5642" t="s">
        <v>20</v>
      </c>
      <c r="U5642">
        <v>130</v>
      </c>
      <c r="V5642">
        <v>28.893799999999999</v>
      </c>
    </row>
    <row r="5643" spans="1:22" x14ac:dyDescent="0.35">
      <c r="A5643" s="3">
        <v>43749</v>
      </c>
      <c r="B5643" t="s">
        <v>53</v>
      </c>
      <c r="C5643">
        <v>19.399999999999999</v>
      </c>
      <c r="D5643">
        <v>19.45</v>
      </c>
      <c r="E5643">
        <v>19.05</v>
      </c>
      <c r="F5643">
        <v>19.239999999999998</v>
      </c>
      <c r="G5643">
        <v>19.25</v>
      </c>
      <c r="H5643">
        <v>-0.27500000000000002</v>
      </c>
      <c r="I5643">
        <v>529</v>
      </c>
      <c r="J5643">
        <v>0</v>
      </c>
      <c r="K5643">
        <v>6593</v>
      </c>
      <c r="L5643">
        <v>153</v>
      </c>
      <c r="M5643">
        <v>222</v>
      </c>
      <c r="N5643" t="s">
        <v>53</v>
      </c>
      <c r="O5643" s="3">
        <v>43971</v>
      </c>
      <c r="P5643">
        <v>-1</v>
      </c>
      <c r="T5643" t="s">
        <v>21</v>
      </c>
      <c r="U5643">
        <v>154</v>
      </c>
      <c r="V5643">
        <v>28.002800000000001</v>
      </c>
    </row>
    <row r="5644" spans="1:22" x14ac:dyDescent="0.35">
      <c r="A5644" s="3">
        <v>43749</v>
      </c>
      <c r="B5644" t="s">
        <v>52</v>
      </c>
      <c r="C5644">
        <v>19.27</v>
      </c>
      <c r="D5644">
        <v>19.45</v>
      </c>
      <c r="E5644">
        <v>19.14</v>
      </c>
      <c r="F5644">
        <v>19.329999999999998</v>
      </c>
      <c r="G5644">
        <v>19.350000000000001</v>
      </c>
      <c r="H5644">
        <v>-0.2</v>
      </c>
      <c r="I5644">
        <v>57</v>
      </c>
      <c r="J5644">
        <v>0</v>
      </c>
      <c r="K5644">
        <v>802</v>
      </c>
      <c r="L5644">
        <v>172</v>
      </c>
      <c r="M5644">
        <v>250</v>
      </c>
      <c r="N5644" t="s">
        <v>52</v>
      </c>
      <c r="O5644" s="3">
        <v>43999</v>
      </c>
      <c r="P5644">
        <v>-1</v>
      </c>
      <c r="S5644" s="3">
        <v>44697</v>
      </c>
      <c r="T5644" t="s">
        <v>23</v>
      </c>
      <c r="U5644">
        <v>170</v>
      </c>
      <c r="V5644">
        <v>28.45</v>
      </c>
    </row>
    <row r="5645" spans="1:22" x14ac:dyDescent="0.35">
      <c r="A5645" s="3">
        <v>43748</v>
      </c>
      <c r="B5645" t="s">
        <v>53</v>
      </c>
      <c r="C5645">
        <v>20</v>
      </c>
      <c r="D5645">
        <v>20.149999999999999</v>
      </c>
      <c r="E5645">
        <v>19.420000000000002</v>
      </c>
      <c r="F5645">
        <v>19.420000000000002</v>
      </c>
      <c r="G5645">
        <v>19.524999999999999</v>
      </c>
      <c r="H5645">
        <v>-0.3</v>
      </c>
      <c r="I5645">
        <v>1163</v>
      </c>
      <c r="J5645">
        <v>0</v>
      </c>
      <c r="K5645">
        <v>6514</v>
      </c>
      <c r="L5645">
        <v>154</v>
      </c>
      <c r="M5645">
        <v>223</v>
      </c>
      <c r="N5645" t="s">
        <v>53</v>
      </c>
      <c r="O5645" s="3">
        <v>43971</v>
      </c>
      <c r="P5645">
        <v>-1</v>
      </c>
      <c r="T5645" t="s">
        <v>29</v>
      </c>
      <c r="U5645">
        <v>2</v>
      </c>
      <c r="V5645">
        <v>27.585599999999999</v>
      </c>
    </row>
    <row r="5646" spans="1:22" x14ac:dyDescent="0.35">
      <c r="A5646" s="3">
        <v>43748</v>
      </c>
      <c r="B5646" t="s">
        <v>52</v>
      </c>
      <c r="C5646">
        <v>20.16</v>
      </c>
      <c r="D5646">
        <v>20.2</v>
      </c>
      <c r="E5646">
        <v>19.45</v>
      </c>
      <c r="F5646">
        <v>19.45</v>
      </c>
      <c r="G5646">
        <v>19.55</v>
      </c>
      <c r="H5646">
        <v>-0.35</v>
      </c>
      <c r="I5646">
        <v>168</v>
      </c>
      <c r="J5646">
        <v>0</v>
      </c>
      <c r="K5646">
        <v>750</v>
      </c>
      <c r="L5646">
        <v>173</v>
      </c>
      <c r="M5646">
        <v>251</v>
      </c>
      <c r="N5646" t="s">
        <v>52</v>
      </c>
      <c r="O5646" s="3">
        <v>43999</v>
      </c>
      <c r="P5646">
        <v>-1</v>
      </c>
      <c r="T5646" t="s">
        <v>28</v>
      </c>
      <c r="U5646">
        <v>21</v>
      </c>
      <c r="V5646">
        <v>28.0855</v>
      </c>
    </row>
    <row r="5647" spans="1:22" x14ac:dyDescent="0.35">
      <c r="A5647" s="3">
        <v>43748</v>
      </c>
      <c r="B5647" t="s">
        <v>54</v>
      </c>
      <c r="C5647">
        <v>20.12</v>
      </c>
      <c r="D5647">
        <v>20.32</v>
      </c>
      <c r="E5647">
        <v>19.47</v>
      </c>
      <c r="F5647">
        <v>19.55</v>
      </c>
      <c r="G5647">
        <v>19.625</v>
      </c>
      <c r="H5647">
        <v>-0.3</v>
      </c>
      <c r="I5647">
        <v>1936</v>
      </c>
      <c r="J5647">
        <v>88</v>
      </c>
      <c r="K5647">
        <v>10151</v>
      </c>
      <c r="L5647">
        <v>129</v>
      </c>
      <c r="M5647">
        <v>188</v>
      </c>
      <c r="N5647" t="s">
        <v>54</v>
      </c>
      <c r="O5647" s="3">
        <v>43936</v>
      </c>
      <c r="P5647">
        <v>-1</v>
      </c>
      <c r="T5647" t="s">
        <v>22</v>
      </c>
      <c r="U5647">
        <v>45</v>
      </c>
      <c r="V5647">
        <v>28.9801</v>
      </c>
    </row>
    <row r="5648" spans="1:22" x14ac:dyDescent="0.35">
      <c r="A5648" s="3">
        <v>43748</v>
      </c>
      <c r="B5648" t="s">
        <v>55</v>
      </c>
      <c r="C5648">
        <v>19.899999999999999</v>
      </c>
      <c r="D5648">
        <v>20.309999999999999</v>
      </c>
      <c r="E5648">
        <v>19.37</v>
      </c>
      <c r="F5648">
        <v>19.45</v>
      </c>
      <c r="G5648">
        <v>19.524999999999999</v>
      </c>
      <c r="H5648">
        <v>-0.35</v>
      </c>
      <c r="I5648">
        <v>4333</v>
      </c>
      <c r="J5648">
        <v>110</v>
      </c>
      <c r="K5648">
        <v>15233</v>
      </c>
      <c r="L5648">
        <v>109</v>
      </c>
      <c r="M5648">
        <v>160</v>
      </c>
      <c r="N5648" t="s">
        <v>55</v>
      </c>
      <c r="O5648" s="3">
        <v>43908</v>
      </c>
      <c r="P5648">
        <v>-1</v>
      </c>
      <c r="T5648" t="s">
        <v>26</v>
      </c>
      <c r="U5648">
        <v>65</v>
      </c>
      <c r="V5648">
        <v>29.132300000000001</v>
      </c>
    </row>
    <row r="5649" spans="1:22" x14ac:dyDescent="0.35">
      <c r="A5649" s="3">
        <v>43747</v>
      </c>
      <c r="B5649" t="s">
        <v>54</v>
      </c>
      <c r="C5649">
        <v>20.2</v>
      </c>
      <c r="D5649">
        <v>20.2</v>
      </c>
      <c r="E5649">
        <v>19.72</v>
      </c>
      <c r="F5649">
        <v>19.87</v>
      </c>
      <c r="G5649">
        <v>19.925000000000001</v>
      </c>
      <c r="H5649">
        <v>-0.25</v>
      </c>
      <c r="I5649">
        <v>1821</v>
      </c>
      <c r="J5649">
        <v>0</v>
      </c>
      <c r="K5649">
        <v>9721</v>
      </c>
      <c r="L5649">
        <v>130</v>
      </c>
      <c r="M5649">
        <v>189</v>
      </c>
      <c r="N5649" t="s">
        <v>54</v>
      </c>
      <c r="O5649" s="3">
        <v>43936</v>
      </c>
      <c r="P5649">
        <v>-1</v>
      </c>
      <c r="T5649" t="s">
        <v>27</v>
      </c>
      <c r="U5649">
        <v>89</v>
      </c>
      <c r="V5649">
        <v>29.3386</v>
      </c>
    </row>
    <row r="5650" spans="1:22" x14ac:dyDescent="0.35">
      <c r="A5650" s="3">
        <v>43747</v>
      </c>
      <c r="B5650" t="s">
        <v>55</v>
      </c>
      <c r="C5650">
        <v>20.05</v>
      </c>
      <c r="D5650">
        <v>20.13</v>
      </c>
      <c r="E5650">
        <v>19.649999999999999</v>
      </c>
      <c r="F5650">
        <v>19.850000000000001</v>
      </c>
      <c r="G5650">
        <v>19.875</v>
      </c>
      <c r="H5650">
        <v>-0.25</v>
      </c>
      <c r="I5650">
        <v>4157</v>
      </c>
      <c r="J5650">
        <v>0</v>
      </c>
      <c r="K5650">
        <v>15157</v>
      </c>
      <c r="L5650">
        <v>110</v>
      </c>
      <c r="M5650">
        <v>161</v>
      </c>
      <c r="N5650" t="s">
        <v>55</v>
      </c>
      <c r="O5650" s="3">
        <v>43908</v>
      </c>
      <c r="P5650">
        <v>-1</v>
      </c>
      <c r="T5650" t="s">
        <v>25</v>
      </c>
      <c r="U5650">
        <v>109</v>
      </c>
      <c r="V5650">
        <v>29.2056</v>
      </c>
    </row>
    <row r="5651" spans="1:22" x14ac:dyDescent="0.35">
      <c r="A5651" s="3">
        <v>43747</v>
      </c>
      <c r="B5651" t="s">
        <v>53</v>
      </c>
      <c r="C5651">
        <v>20.059999999999999</v>
      </c>
      <c r="D5651">
        <v>20.059999999999999</v>
      </c>
      <c r="E5651">
        <v>19.62</v>
      </c>
      <c r="F5651">
        <v>19.78</v>
      </c>
      <c r="G5651">
        <v>19.824999999999999</v>
      </c>
      <c r="H5651">
        <v>-0.22500000000000001</v>
      </c>
      <c r="I5651">
        <v>1715</v>
      </c>
      <c r="J5651">
        <v>0</v>
      </c>
      <c r="K5651">
        <v>6262</v>
      </c>
      <c r="L5651">
        <v>155</v>
      </c>
      <c r="M5651">
        <v>224</v>
      </c>
      <c r="N5651" t="s">
        <v>53</v>
      </c>
      <c r="O5651" s="3">
        <v>43971</v>
      </c>
      <c r="P5651">
        <v>-1</v>
      </c>
      <c r="T5651" t="s">
        <v>20</v>
      </c>
      <c r="U5651">
        <v>129</v>
      </c>
      <c r="V5651">
        <v>28.643599999999999</v>
      </c>
    </row>
    <row r="5652" spans="1:22" x14ac:dyDescent="0.35">
      <c r="A5652" s="3">
        <v>43747</v>
      </c>
      <c r="B5652" t="s">
        <v>52</v>
      </c>
      <c r="C5652">
        <v>20.07</v>
      </c>
      <c r="D5652">
        <v>20.079999999999998</v>
      </c>
      <c r="E5652">
        <v>19.739999999999998</v>
      </c>
      <c r="F5652">
        <v>19.850000000000001</v>
      </c>
      <c r="G5652">
        <v>19.899999999999999</v>
      </c>
      <c r="H5652">
        <v>-0.15</v>
      </c>
      <c r="I5652">
        <v>144</v>
      </c>
      <c r="J5652">
        <v>0</v>
      </c>
      <c r="K5652">
        <v>723</v>
      </c>
      <c r="L5652">
        <v>174</v>
      </c>
      <c r="M5652">
        <v>252</v>
      </c>
      <c r="N5652" t="s">
        <v>52</v>
      </c>
      <c r="O5652" s="3">
        <v>43999</v>
      </c>
      <c r="P5652">
        <v>-1</v>
      </c>
      <c r="T5652" t="s">
        <v>21</v>
      </c>
      <c r="U5652">
        <v>153</v>
      </c>
      <c r="V5652">
        <v>27.85</v>
      </c>
    </row>
    <row r="5653" spans="1:22" x14ac:dyDescent="0.35">
      <c r="A5653" s="3">
        <v>43746</v>
      </c>
      <c r="B5653" t="s">
        <v>53</v>
      </c>
      <c r="C5653">
        <v>19.5</v>
      </c>
      <c r="D5653">
        <v>20.12</v>
      </c>
      <c r="E5653">
        <v>19.37</v>
      </c>
      <c r="F5653">
        <v>20.03</v>
      </c>
      <c r="G5653">
        <v>20.05</v>
      </c>
      <c r="H5653">
        <v>0.57499999999999996</v>
      </c>
      <c r="I5653">
        <v>1124</v>
      </c>
      <c r="J5653">
        <v>0</v>
      </c>
      <c r="K5653">
        <v>5428</v>
      </c>
      <c r="L5653">
        <v>156</v>
      </c>
      <c r="M5653">
        <v>225</v>
      </c>
      <c r="N5653" t="s">
        <v>53</v>
      </c>
      <c r="O5653" s="3">
        <v>43971</v>
      </c>
      <c r="P5653">
        <v>-1</v>
      </c>
      <c r="S5653" s="3">
        <v>44698</v>
      </c>
      <c r="T5653" t="s">
        <v>23</v>
      </c>
      <c r="U5653">
        <v>169</v>
      </c>
      <c r="V5653">
        <v>28.25</v>
      </c>
    </row>
    <row r="5654" spans="1:22" x14ac:dyDescent="0.35">
      <c r="A5654" s="3">
        <v>43746</v>
      </c>
      <c r="B5654" t="s">
        <v>52</v>
      </c>
      <c r="C5654">
        <v>19.46</v>
      </c>
      <c r="D5654">
        <v>20.13</v>
      </c>
      <c r="E5654">
        <v>19.45</v>
      </c>
      <c r="F5654">
        <v>20.059999999999999</v>
      </c>
      <c r="G5654">
        <v>20.05</v>
      </c>
      <c r="H5654">
        <v>0.55000000000000004</v>
      </c>
      <c r="I5654">
        <v>310</v>
      </c>
      <c r="J5654">
        <v>0</v>
      </c>
      <c r="K5654">
        <v>618</v>
      </c>
      <c r="L5654">
        <v>175</v>
      </c>
      <c r="M5654">
        <v>253</v>
      </c>
      <c r="N5654" t="s">
        <v>52</v>
      </c>
      <c r="O5654" s="3">
        <v>43999</v>
      </c>
      <c r="P5654">
        <v>-1</v>
      </c>
      <c r="T5654" t="s">
        <v>29</v>
      </c>
      <c r="U5654">
        <v>1</v>
      </c>
      <c r="V5654">
        <v>26.598800000000001</v>
      </c>
    </row>
    <row r="5655" spans="1:22" x14ac:dyDescent="0.35">
      <c r="A5655" s="3">
        <v>43746</v>
      </c>
      <c r="B5655" t="s">
        <v>54</v>
      </c>
      <c r="C5655">
        <v>19.600000000000001</v>
      </c>
      <c r="D5655">
        <v>20.22</v>
      </c>
      <c r="E5655">
        <v>19.420000000000002</v>
      </c>
      <c r="F5655">
        <v>20.18</v>
      </c>
      <c r="G5655">
        <v>20.175000000000001</v>
      </c>
      <c r="H5655">
        <v>0.625</v>
      </c>
      <c r="I5655">
        <v>1048</v>
      </c>
      <c r="J5655">
        <v>0</v>
      </c>
      <c r="K5655">
        <v>9339</v>
      </c>
      <c r="L5655">
        <v>131</v>
      </c>
      <c r="M5655">
        <v>190</v>
      </c>
      <c r="N5655" t="s">
        <v>54</v>
      </c>
      <c r="O5655" s="3">
        <v>43936</v>
      </c>
      <c r="P5655">
        <v>-1</v>
      </c>
      <c r="T5655" t="s">
        <v>28</v>
      </c>
      <c r="U5655">
        <v>20</v>
      </c>
      <c r="V5655">
        <v>27.489599999999999</v>
      </c>
    </row>
    <row r="5656" spans="1:22" x14ac:dyDescent="0.35">
      <c r="A5656" s="3">
        <v>43746</v>
      </c>
      <c r="B5656" t="s">
        <v>55</v>
      </c>
      <c r="C5656">
        <v>19.5</v>
      </c>
      <c r="D5656">
        <v>20.149999999999999</v>
      </c>
      <c r="E5656">
        <v>19.3</v>
      </c>
      <c r="F5656">
        <v>20.12</v>
      </c>
      <c r="G5656">
        <v>20.125</v>
      </c>
      <c r="H5656">
        <v>0.7</v>
      </c>
      <c r="I5656">
        <v>4488</v>
      </c>
      <c r="J5656">
        <v>0</v>
      </c>
      <c r="K5656">
        <v>14734</v>
      </c>
      <c r="L5656">
        <v>111</v>
      </c>
      <c r="M5656">
        <v>162</v>
      </c>
      <c r="N5656" t="s">
        <v>55</v>
      </c>
      <c r="O5656" s="3">
        <v>43908</v>
      </c>
      <c r="P5656">
        <v>-1</v>
      </c>
      <c r="T5656" t="s">
        <v>22</v>
      </c>
      <c r="U5656">
        <v>44</v>
      </c>
      <c r="V5656">
        <v>28.584399999999999</v>
      </c>
    </row>
    <row r="5657" spans="1:22" x14ac:dyDescent="0.35">
      <c r="A5657" s="3">
        <v>43745</v>
      </c>
      <c r="B5657" t="s">
        <v>54</v>
      </c>
      <c r="C5657">
        <v>19.649999999999999</v>
      </c>
      <c r="D5657">
        <v>19.649999999999999</v>
      </c>
      <c r="E5657">
        <v>19.350000000000001</v>
      </c>
      <c r="F5657">
        <v>19.55</v>
      </c>
      <c r="G5657">
        <v>19.55</v>
      </c>
      <c r="H5657">
        <v>7.4999999999999997E-2</v>
      </c>
      <c r="I5657">
        <v>1631</v>
      </c>
      <c r="J5657">
        <v>0</v>
      </c>
      <c r="K5657">
        <v>9031</v>
      </c>
      <c r="L5657">
        <v>132</v>
      </c>
      <c r="M5657">
        <v>191</v>
      </c>
      <c r="N5657" t="s">
        <v>54</v>
      </c>
      <c r="O5657" s="3">
        <v>43936</v>
      </c>
      <c r="P5657">
        <v>-1</v>
      </c>
      <c r="T5657" t="s">
        <v>26</v>
      </c>
      <c r="U5657">
        <v>64</v>
      </c>
      <c r="V5657">
        <v>28.875800000000002</v>
      </c>
    </row>
    <row r="5658" spans="1:22" x14ac:dyDescent="0.35">
      <c r="A5658" s="3">
        <v>43745</v>
      </c>
      <c r="B5658" t="s">
        <v>55</v>
      </c>
      <c r="C5658">
        <v>19.57</v>
      </c>
      <c r="D5658">
        <v>19.579999999999998</v>
      </c>
      <c r="E5658">
        <v>19.25</v>
      </c>
      <c r="F5658">
        <v>19.45</v>
      </c>
      <c r="G5658">
        <v>19.425000000000001</v>
      </c>
      <c r="H5658">
        <v>0.05</v>
      </c>
      <c r="I5658">
        <v>2766</v>
      </c>
      <c r="J5658">
        <v>0</v>
      </c>
      <c r="K5658">
        <v>15073</v>
      </c>
      <c r="L5658">
        <v>112</v>
      </c>
      <c r="M5658">
        <v>163</v>
      </c>
      <c r="N5658" t="s">
        <v>55</v>
      </c>
      <c r="O5658" s="3">
        <v>43908</v>
      </c>
      <c r="P5658">
        <v>-1</v>
      </c>
      <c r="T5658" t="s">
        <v>27</v>
      </c>
      <c r="U5658">
        <v>88</v>
      </c>
      <c r="V5658">
        <v>29.1526</v>
      </c>
    </row>
    <row r="5659" spans="1:22" x14ac:dyDescent="0.35">
      <c r="A5659" s="3">
        <v>43745</v>
      </c>
      <c r="B5659" t="s">
        <v>53</v>
      </c>
      <c r="C5659">
        <v>19.59</v>
      </c>
      <c r="D5659">
        <v>19.59</v>
      </c>
      <c r="E5659">
        <v>19.27</v>
      </c>
      <c r="F5659">
        <v>19.47</v>
      </c>
      <c r="G5659">
        <v>19.475000000000001</v>
      </c>
      <c r="H5659">
        <v>2.5000000000000001E-2</v>
      </c>
      <c r="I5659">
        <v>635</v>
      </c>
      <c r="J5659">
        <v>0</v>
      </c>
      <c r="K5659">
        <v>4828</v>
      </c>
      <c r="L5659">
        <v>157</v>
      </c>
      <c r="M5659">
        <v>226</v>
      </c>
      <c r="N5659" t="s">
        <v>53</v>
      </c>
      <c r="O5659" s="3">
        <v>43971</v>
      </c>
      <c r="P5659">
        <v>-1</v>
      </c>
      <c r="T5659" t="s">
        <v>25</v>
      </c>
      <c r="U5659">
        <v>108</v>
      </c>
      <c r="V5659">
        <v>29.166599999999999</v>
      </c>
    </row>
    <row r="5660" spans="1:22" x14ac:dyDescent="0.35">
      <c r="A5660" s="3">
        <v>43745</v>
      </c>
      <c r="B5660" t="s">
        <v>52</v>
      </c>
      <c r="C5660">
        <v>19.62</v>
      </c>
      <c r="D5660">
        <v>19.62</v>
      </c>
      <c r="E5660">
        <v>19.309999999999999</v>
      </c>
      <c r="F5660">
        <v>19.45</v>
      </c>
      <c r="G5660">
        <v>19.5</v>
      </c>
      <c r="H5660">
        <v>-2.5000000000000001E-2</v>
      </c>
      <c r="I5660">
        <v>98</v>
      </c>
      <c r="J5660">
        <v>0</v>
      </c>
      <c r="K5660">
        <v>379</v>
      </c>
      <c r="L5660">
        <v>176</v>
      </c>
      <c r="M5660">
        <v>254</v>
      </c>
      <c r="N5660" t="s">
        <v>52</v>
      </c>
      <c r="O5660" s="3">
        <v>43999</v>
      </c>
      <c r="P5660">
        <v>-1</v>
      </c>
      <c r="T5660" t="s">
        <v>20</v>
      </c>
      <c r="U5660">
        <v>128</v>
      </c>
      <c r="V5660">
        <v>28.5762</v>
      </c>
    </row>
    <row r="5661" spans="1:22" x14ac:dyDescent="0.35">
      <c r="A5661" s="3">
        <v>43742</v>
      </c>
      <c r="B5661" t="s">
        <v>53</v>
      </c>
      <c r="C5661">
        <v>19.8</v>
      </c>
      <c r="D5661">
        <v>19.850000000000001</v>
      </c>
      <c r="E5661">
        <v>19.420000000000002</v>
      </c>
      <c r="F5661">
        <v>19.45</v>
      </c>
      <c r="G5661">
        <v>19.45</v>
      </c>
      <c r="H5661">
        <v>-0.3</v>
      </c>
      <c r="I5661">
        <v>425</v>
      </c>
      <c r="J5661">
        <v>0</v>
      </c>
      <c r="K5661">
        <v>4681</v>
      </c>
      <c r="L5661">
        <v>158</v>
      </c>
      <c r="M5661">
        <v>229</v>
      </c>
      <c r="N5661" t="s">
        <v>53</v>
      </c>
      <c r="O5661" s="3">
        <v>43971</v>
      </c>
      <c r="P5661">
        <v>-1</v>
      </c>
      <c r="T5661" t="s">
        <v>21</v>
      </c>
      <c r="U5661">
        <v>152</v>
      </c>
      <c r="V5661">
        <v>27.7439</v>
      </c>
    </row>
    <row r="5662" spans="1:22" x14ac:dyDescent="0.35">
      <c r="A5662" s="3">
        <v>43742</v>
      </c>
      <c r="B5662" t="s">
        <v>52</v>
      </c>
      <c r="C5662">
        <v>19.75</v>
      </c>
      <c r="D5662">
        <v>19.75</v>
      </c>
      <c r="E5662">
        <v>19.510000000000002</v>
      </c>
      <c r="F5662">
        <v>19.510000000000002</v>
      </c>
      <c r="G5662">
        <v>19.524999999999999</v>
      </c>
      <c r="H5662">
        <v>-0.35</v>
      </c>
      <c r="I5662">
        <v>25</v>
      </c>
      <c r="J5662">
        <v>0</v>
      </c>
      <c r="K5662">
        <v>308</v>
      </c>
      <c r="L5662">
        <v>177</v>
      </c>
      <c r="M5662">
        <v>257</v>
      </c>
      <c r="N5662" t="s">
        <v>52</v>
      </c>
      <c r="O5662" s="3">
        <v>43999</v>
      </c>
      <c r="P5662">
        <v>-1</v>
      </c>
      <c r="S5662" s="3">
        <v>44699</v>
      </c>
      <c r="T5662" t="s">
        <v>23</v>
      </c>
      <c r="U5662">
        <v>168</v>
      </c>
      <c r="V5662">
        <v>29.375</v>
      </c>
    </row>
    <row r="5663" spans="1:22" x14ac:dyDescent="0.35">
      <c r="A5663" s="3">
        <v>43742</v>
      </c>
      <c r="B5663" t="s">
        <v>54</v>
      </c>
      <c r="C5663">
        <v>19.850000000000001</v>
      </c>
      <c r="D5663">
        <v>20</v>
      </c>
      <c r="E5663">
        <v>19.45</v>
      </c>
      <c r="F5663">
        <v>19.52</v>
      </c>
      <c r="G5663">
        <v>19.475000000000001</v>
      </c>
      <c r="H5663">
        <v>-0.375</v>
      </c>
      <c r="I5663">
        <v>1095</v>
      </c>
      <c r="J5663">
        <v>0</v>
      </c>
      <c r="K5663">
        <v>8953</v>
      </c>
      <c r="L5663">
        <v>133</v>
      </c>
      <c r="M5663">
        <v>194</v>
      </c>
      <c r="N5663" t="s">
        <v>54</v>
      </c>
      <c r="O5663" s="3">
        <v>43936</v>
      </c>
      <c r="P5663">
        <v>-1</v>
      </c>
      <c r="T5663" t="s">
        <v>29</v>
      </c>
      <c r="U5663">
        <v>0</v>
      </c>
      <c r="V5663">
        <v>27.68</v>
      </c>
    </row>
    <row r="5664" spans="1:22" x14ac:dyDescent="0.35">
      <c r="A5664" s="3">
        <v>43742</v>
      </c>
      <c r="B5664" t="s">
        <v>55</v>
      </c>
      <c r="C5664">
        <v>19.77</v>
      </c>
      <c r="D5664">
        <v>19.920000000000002</v>
      </c>
      <c r="E5664">
        <v>19.3</v>
      </c>
      <c r="F5664">
        <v>19.399999999999999</v>
      </c>
      <c r="G5664">
        <v>19.375</v>
      </c>
      <c r="H5664">
        <v>-0.4</v>
      </c>
      <c r="I5664">
        <v>2214</v>
      </c>
      <c r="J5664">
        <v>0</v>
      </c>
      <c r="K5664">
        <v>14482</v>
      </c>
      <c r="L5664">
        <v>113</v>
      </c>
      <c r="M5664">
        <v>166</v>
      </c>
      <c r="N5664" t="s">
        <v>55</v>
      </c>
      <c r="O5664" s="3">
        <v>43908</v>
      </c>
      <c r="P5664">
        <v>-1</v>
      </c>
      <c r="T5664" t="s">
        <v>28</v>
      </c>
      <c r="U5664">
        <v>19</v>
      </c>
      <c r="V5664">
        <v>31.519500000000001</v>
      </c>
    </row>
    <row r="5665" spans="1:22" x14ac:dyDescent="0.35">
      <c r="A5665" s="3">
        <v>43741</v>
      </c>
      <c r="B5665" t="s">
        <v>54</v>
      </c>
      <c r="C5665">
        <v>20.12</v>
      </c>
      <c r="D5665">
        <v>20.420000000000002</v>
      </c>
      <c r="E5665">
        <v>19.850000000000001</v>
      </c>
      <c r="F5665">
        <v>19.86</v>
      </c>
      <c r="G5665">
        <v>19.850000000000001</v>
      </c>
      <c r="H5665">
        <v>-0.27500000000000002</v>
      </c>
      <c r="I5665">
        <v>1833</v>
      </c>
      <c r="J5665">
        <v>0</v>
      </c>
      <c r="K5665">
        <v>8971</v>
      </c>
      <c r="L5665">
        <v>134</v>
      </c>
      <c r="M5665">
        <v>195</v>
      </c>
      <c r="N5665" t="s">
        <v>54</v>
      </c>
      <c r="O5665" s="3">
        <v>43936</v>
      </c>
      <c r="P5665">
        <v>-1</v>
      </c>
      <c r="T5665" t="s">
        <v>22</v>
      </c>
      <c r="U5665">
        <v>43</v>
      </c>
      <c r="V5665">
        <v>31.382000000000001</v>
      </c>
    </row>
    <row r="5666" spans="1:22" x14ac:dyDescent="0.35">
      <c r="A5666" s="3">
        <v>43741</v>
      </c>
      <c r="B5666" t="s">
        <v>55</v>
      </c>
      <c r="C5666">
        <v>20.05</v>
      </c>
      <c r="D5666">
        <v>20.399999999999999</v>
      </c>
      <c r="E5666">
        <v>19.75</v>
      </c>
      <c r="F5666">
        <v>19.75</v>
      </c>
      <c r="G5666">
        <v>19.774999999999999</v>
      </c>
      <c r="H5666">
        <v>-0.35</v>
      </c>
      <c r="I5666">
        <v>3276</v>
      </c>
      <c r="J5666">
        <v>0</v>
      </c>
      <c r="K5666">
        <v>14424</v>
      </c>
      <c r="L5666">
        <v>114</v>
      </c>
      <c r="M5666">
        <v>167</v>
      </c>
      <c r="N5666" t="s">
        <v>55</v>
      </c>
      <c r="O5666" s="3">
        <v>43908</v>
      </c>
      <c r="P5666">
        <v>-1</v>
      </c>
      <c r="T5666" t="s">
        <v>26</v>
      </c>
      <c r="U5666">
        <v>63</v>
      </c>
      <c r="V5666">
        <v>30.988800000000001</v>
      </c>
    </row>
    <row r="5667" spans="1:22" x14ac:dyDescent="0.35">
      <c r="A5667" s="3">
        <v>43741</v>
      </c>
      <c r="B5667" t="s">
        <v>53</v>
      </c>
      <c r="C5667">
        <v>19.899999999999999</v>
      </c>
      <c r="D5667">
        <v>20.25</v>
      </c>
      <c r="E5667">
        <v>19.79</v>
      </c>
      <c r="F5667">
        <v>19.8</v>
      </c>
      <c r="G5667">
        <v>19.75</v>
      </c>
      <c r="H5667">
        <v>-0.22500000000000001</v>
      </c>
      <c r="I5667">
        <v>662</v>
      </c>
      <c r="J5667">
        <v>0</v>
      </c>
      <c r="K5667">
        <v>4653</v>
      </c>
      <c r="L5667">
        <v>159</v>
      </c>
      <c r="M5667">
        <v>230</v>
      </c>
      <c r="N5667" t="s">
        <v>53</v>
      </c>
      <c r="O5667" s="3">
        <v>43971</v>
      </c>
      <c r="P5667">
        <v>-1</v>
      </c>
      <c r="T5667" t="s">
        <v>27</v>
      </c>
      <c r="U5667">
        <v>87</v>
      </c>
      <c r="V5667">
        <v>30.802399999999999</v>
      </c>
    </row>
    <row r="5668" spans="1:22" x14ac:dyDescent="0.35">
      <c r="A5668" s="3">
        <v>43741</v>
      </c>
      <c r="B5668" t="s">
        <v>52</v>
      </c>
      <c r="C5668">
        <v>19.96</v>
      </c>
      <c r="D5668">
        <v>20.05</v>
      </c>
      <c r="E5668">
        <v>19.84</v>
      </c>
      <c r="F5668">
        <v>19.84</v>
      </c>
      <c r="G5668">
        <v>19.875</v>
      </c>
      <c r="H5668">
        <v>-0.125</v>
      </c>
      <c r="I5668">
        <v>45</v>
      </c>
      <c r="J5668">
        <v>0</v>
      </c>
      <c r="K5668">
        <v>283</v>
      </c>
      <c r="L5668">
        <v>178</v>
      </c>
      <c r="M5668">
        <v>258</v>
      </c>
      <c r="N5668" t="s">
        <v>52</v>
      </c>
      <c r="O5668" s="3">
        <v>43999</v>
      </c>
      <c r="P5668">
        <v>-1</v>
      </c>
      <c r="T5668" t="s">
        <v>25</v>
      </c>
      <c r="U5668">
        <v>107</v>
      </c>
      <c r="V5668">
        <v>30.520399999999999</v>
      </c>
    </row>
    <row r="5669" spans="1:22" x14ac:dyDescent="0.35">
      <c r="A5669" s="3">
        <v>43740</v>
      </c>
      <c r="B5669" t="s">
        <v>53</v>
      </c>
      <c r="C5669">
        <v>19.559999999999999</v>
      </c>
      <c r="D5669">
        <v>20</v>
      </c>
      <c r="E5669">
        <v>19.5</v>
      </c>
      <c r="F5669">
        <v>19.98</v>
      </c>
      <c r="G5669">
        <v>19.975000000000001</v>
      </c>
      <c r="H5669">
        <v>0.35</v>
      </c>
      <c r="I5669">
        <v>1172</v>
      </c>
      <c r="J5669">
        <v>0</v>
      </c>
      <c r="K5669">
        <v>4462</v>
      </c>
      <c r="L5669">
        <v>160</v>
      </c>
      <c r="M5669">
        <v>231</v>
      </c>
      <c r="N5669" t="s">
        <v>53</v>
      </c>
      <c r="O5669" s="3">
        <v>43971</v>
      </c>
      <c r="P5669">
        <v>-1</v>
      </c>
      <c r="T5669" t="s">
        <v>20</v>
      </c>
      <c r="U5669">
        <v>127</v>
      </c>
      <c r="V5669">
        <v>29.866800000000001</v>
      </c>
    </row>
    <row r="5670" spans="1:22" x14ac:dyDescent="0.35">
      <c r="A5670" s="3">
        <v>43740</v>
      </c>
      <c r="B5670" t="s">
        <v>52</v>
      </c>
      <c r="C5670">
        <v>19.95</v>
      </c>
      <c r="D5670">
        <v>20</v>
      </c>
      <c r="E5670">
        <v>19.850000000000001</v>
      </c>
      <c r="F5670">
        <v>19.97</v>
      </c>
      <c r="G5670">
        <v>20</v>
      </c>
      <c r="H5670">
        <v>0.42499999999999999</v>
      </c>
      <c r="I5670">
        <v>153</v>
      </c>
      <c r="J5670">
        <v>0</v>
      </c>
      <c r="K5670">
        <v>238</v>
      </c>
      <c r="L5670">
        <v>179</v>
      </c>
      <c r="M5670">
        <v>259</v>
      </c>
      <c r="N5670" t="s">
        <v>52</v>
      </c>
      <c r="O5670" s="3">
        <v>43999</v>
      </c>
      <c r="P5670">
        <v>-1</v>
      </c>
      <c r="T5670" t="s">
        <v>21</v>
      </c>
      <c r="U5670">
        <v>151</v>
      </c>
      <c r="V5670">
        <v>28.887699999999999</v>
      </c>
    </row>
    <row r="5671" spans="1:22" x14ac:dyDescent="0.35">
      <c r="A5671" s="3">
        <v>43740</v>
      </c>
      <c r="B5671" t="s">
        <v>54</v>
      </c>
      <c r="C5671">
        <v>19.649999999999999</v>
      </c>
      <c r="D5671">
        <v>20.170000000000002</v>
      </c>
      <c r="E5671">
        <v>19.559999999999999</v>
      </c>
      <c r="F5671">
        <v>20.12</v>
      </c>
      <c r="G5671">
        <v>20.125</v>
      </c>
      <c r="H5671">
        <v>0.4</v>
      </c>
      <c r="I5671">
        <v>3013</v>
      </c>
      <c r="J5671">
        <v>0</v>
      </c>
      <c r="K5671">
        <v>8583</v>
      </c>
      <c r="L5671">
        <v>135</v>
      </c>
      <c r="M5671">
        <v>196</v>
      </c>
      <c r="N5671" t="s">
        <v>54</v>
      </c>
      <c r="O5671" s="3">
        <v>43936</v>
      </c>
      <c r="P5671">
        <v>-1</v>
      </c>
      <c r="S5671" s="3">
        <v>44700</v>
      </c>
      <c r="T5671" t="s">
        <v>23</v>
      </c>
      <c r="U5671">
        <v>167</v>
      </c>
      <c r="V5671">
        <v>28.95</v>
      </c>
    </row>
    <row r="5672" spans="1:22" x14ac:dyDescent="0.35">
      <c r="A5672" s="3">
        <v>43740</v>
      </c>
      <c r="B5672" t="s">
        <v>55</v>
      </c>
      <c r="C5672">
        <v>19.55</v>
      </c>
      <c r="D5672">
        <v>20.149999999999999</v>
      </c>
      <c r="E5672">
        <v>19.440000000000001</v>
      </c>
      <c r="F5672">
        <v>20.07</v>
      </c>
      <c r="G5672">
        <v>20.125</v>
      </c>
      <c r="H5672">
        <v>0.5</v>
      </c>
      <c r="I5672">
        <v>7288</v>
      </c>
      <c r="J5672">
        <v>0</v>
      </c>
      <c r="K5672">
        <v>14519</v>
      </c>
      <c r="L5672">
        <v>115</v>
      </c>
      <c r="M5672">
        <v>168</v>
      </c>
      <c r="N5672" t="s">
        <v>55</v>
      </c>
      <c r="O5672" s="3">
        <v>43908</v>
      </c>
      <c r="P5672">
        <v>-1</v>
      </c>
      <c r="T5672" t="s">
        <v>28</v>
      </c>
      <c r="U5672">
        <v>18</v>
      </c>
      <c r="V5672">
        <v>29.286000000000001</v>
      </c>
    </row>
    <row r="5673" spans="1:22" x14ac:dyDescent="0.35">
      <c r="A5673" s="3">
        <v>43739</v>
      </c>
      <c r="B5673" t="s">
        <v>54</v>
      </c>
      <c r="C5673">
        <v>19.25</v>
      </c>
      <c r="D5673">
        <v>19.72</v>
      </c>
      <c r="E5673">
        <v>19.09</v>
      </c>
      <c r="F5673">
        <v>19.670000000000002</v>
      </c>
      <c r="G5673">
        <v>19.725000000000001</v>
      </c>
      <c r="H5673">
        <v>0.5</v>
      </c>
      <c r="I5673">
        <v>1435</v>
      </c>
      <c r="J5673">
        <v>0</v>
      </c>
      <c r="K5673">
        <v>7676</v>
      </c>
      <c r="L5673">
        <v>136</v>
      </c>
      <c r="M5673">
        <v>197</v>
      </c>
      <c r="N5673" t="s">
        <v>54</v>
      </c>
      <c r="O5673" s="3">
        <v>43936</v>
      </c>
      <c r="P5673">
        <v>-1</v>
      </c>
      <c r="T5673" t="s">
        <v>22</v>
      </c>
      <c r="U5673">
        <v>42</v>
      </c>
      <c r="V5673">
        <v>29.755500000000001</v>
      </c>
    </row>
    <row r="5674" spans="1:22" x14ac:dyDescent="0.35">
      <c r="A5674" s="3">
        <v>43739</v>
      </c>
      <c r="B5674" t="s">
        <v>55</v>
      </c>
      <c r="C5674">
        <v>19.100000000000001</v>
      </c>
      <c r="D5674">
        <v>19.649999999999999</v>
      </c>
      <c r="E5674">
        <v>18.95</v>
      </c>
      <c r="F5674">
        <v>19.57</v>
      </c>
      <c r="G5674">
        <v>19.625</v>
      </c>
      <c r="H5674">
        <v>0.55000000000000004</v>
      </c>
      <c r="I5674">
        <v>4874</v>
      </c>
      <c r="J5674">
        <v>0</v>
      </c>
      <c r="K5674">
        <v>13773</v>
      </c>
      <c r="L5674">
        <v>116</v>
      </c>
      <c r="M5674">
        <v>169</v>
      </c>
      <c r="N5674" t="s">
        <v>55</v>
      </c>
      <c r="O5674" s="3">
        <v>43908</v>
      </c>
      <c r="P5674">
        <v>-1</v>
      </c>
      <c r="T5674" t="s">
        <v>26</v>
      </c>
      <c r="U5674">
        <v>62</v>
      </c>
      <c r="V5674">
        <v>29.683700000000002</v>
      </c>
    </row>
    <row r="5675" spans="1:22" x14ac:dyDescent="0.35">
      <c r="A5675" s="3">
        <v>43739</v>
      </c>
      <c r="B5675" t="s">
        <v>53</v>
      </c>
      <c r="C5675">
        <v>19.149999999999999</v>
      </c>
      <c r="D5675">
        <v>19.600000000000001</v>
      </c>
      <c r="E5675">
        <v>19.05</v>
      </c>
      <c r="F5675">
        <v>19.600000000000001</v>
      </c>
      <c r="G5675">
        <v>19.625</v>
      </c>
      <c r="H5675">
        <v>0.42499999999999999</v>
      </c>
      <c r="I5675">
        <v>554</v>
      </c>
      <c r="J5675">
        <v>0</v>
      </c>
      <c r="K5675">
        <v>3883</v>
      </c>
      <c r="L5675">
        <v>161</v>
      </c>
      <c r="M5675">
        <v>232</v>
      </c>
      <c r="N5675" t="s">
        <v>53</v>
      </c>
      <c r="O5675" s="3">
        <v>43971</v>
      </c>
      <c r="P5675">
        <v>-1</v>
      </c>
      <c r="T5675" t="s">
        <v>27</v>
      </c>
      <c r="U5675">
        <v>86</v>
      </c>
      <c r="V5675">
        <v>29.799900000000001</v>
      </c>
    </row>
    <row r="5676" spans="1:22" x14ac:dyDescent="0.35">
      <c r="A5676" s="3">
        <v>43739</v>
      </c>
      <c r="B5676" t="s">
        <v>52</v>
      </c>
      <c r="C5676">
        <v>19.2</v>
      </c>
      <c r="D5676">
        <v>19.649999999999999</v>
      </c>
      <c r="E5676">
        <v>19.16</v>
      </c>
      <c r="F5676">
        <v>19.64</v>
      </c>
      <c r="G5676">
        <v>19.574999999999999</v>
      </c>
      <c r="H5676">
        <v>0.375</v>
      </c>
      <c r="I5676">
        <v>38</v>
      </c>
      <c r="J5676">
        <v>0</v>
      </c>
      <c r="K5676">
        <v>97</v>
      </c>
      <c r="L5676">
        <v>180</v>
      </c>
      <c r="M5676">
        <v>260</v>
      </c>
      <c r="N5676" t="s">
        <v>52</v>
      </c>
      <c r="O5676" s="3">
        <v>43999</v>
      </c>
      <c r="P5676">
        <v>-1</v>
      </c>
      <c r="T5676" t="s">
        <v>25</v>
      </c>
      <c r="U5676">
        <v>106</v>
      </c>
      <c r="V5676">
        <v>29.735099999999999</v>
      </c>
    </row>
    <row r="5677" spans="1:22" x14ac:dyDescent="0.35">
      <c r="A5677" s="3">
        <v>43738</v>
      </c>
      <c r="B5677" t="s">
        <v>53</v>
      </c>
      <c r="C5677">
        <v>19.350000000000001</v>
      </c>
      <c r="D5677">
        <v>19.39</v>
      </c>
      <c r="E5677">
        <v>19.12</v>
      </c>
      <c r="F5677">
        <v>19.2</v>
      </c>
      <c r="G5677">
        <v>19.2</v>
      </c>
      <c r="H5677">
        <v>-0.22500000000000001</v>
      </c>
      <c r="I5677">
        <v>206</v>
      </c>
      <c r="J5677">
        <v>0</v>
      </c>
      <c r="K5677">
        <v>4633</v>
      </c>
      <c r="L5677">
        <v>162</v>
      </c>
      <c r="M5677">
        <v>233</v>
      </c>
      <c r="N5677" t="s">
        <v>53</v>
      </c>
      <c r="O5677" s="3">
        <v>43971</v>
      </c>
      <c r="P5677">
        <v>-1</v>
      </c>
      <c r="T5677" t="s">
        <v>20</v>
      </c>
      <c r="U5677">
        <v>126</v>
      </c>
      <c r="V5677">
        <v>29.1968</v>
      </c>
    </row>
    <row r="5678" spans="1:22" x14ac:dyDescent="0.35">
      <c r="A5678" s="3">
        <v>43738</v>
      </c>
      <c r="B5678" t="s">
        <v>52</v>
      </c>
      <c r="C5678">
        <v>19.28</v>
      </c>
      <c r="D5678">
        <v>19.3</v>
      </c>
      <c r="E5678">
        <v>19.190000000000001</v>
      </c>
      <c r="F5678">
        <v>19.25</v>
      </c>
      <c r="G5678">
        <v>19.2</v>
      </c>
      <c r="H5678">
        <v>-0.1</v>
      </c>
      <c r="I5678">
        <v>48</v>
      </c>
      <c r="J5678">
        <v>0</v>
      </c>
      <c r="K5678">
        <v>66</v>
      </c>
      <c r="L5678">
        <v>181</v>
      </c>
      <c r="M5678">
        <v>261</v>
      </c>
      <c r="N5678" t="s">
        <v>52</v>
      </c>
      <c r="O5678" s="3">
        <v>43999</v>
      </c>
      <c r="P5678">
        <v>-1</v>
      </c>
      <c r="T5678" t="s">
        <v>21</v>
      </c>
      <c r="U5678">
        <v>150</v>
      </c>
      <c r="V5678">
        <v>28.2896</v>
      </c>
    </row>
    <row r="5679" spans="1:22" x14ac:dyDescent="0.35">
      <c r="A5679" s="3">
        <v>43738</v>
      </c>
      <c r="B5679" t="s">
        <v>55</v>
      </c>
      <c r="C5679">
        <v>19.36</v>
      </c>
      <c r="D5679">
        <v>19.399999999999999</v>
      </c>
      <c r="E5679">
        <v>19.05</v>
      </c>
      <c r="F5679">
        <v>19.100000000000001</v>
      </c>
      <c r="G5679">
        <v>19.074999999999999</v>
      </c>
      <c r="H5679">
        <v>-0.35</v>
      </c>
      <c r="I5679">
        <v>2403</v>
      </c>
      <c r="J5679">
        <v>0</v>
      </c>
      <c r="K5679">
        <v>12733</v>
      </c>
      <c r="L5679">
        <v>117</v>
      </c>
      <c r="M5679">
        <v>170</v>
      </c>
      <c r="N5679" t="s">
        <v>55</v>
      </c>
      <c r="O5679" s="3">
        <v>43908</v>
      </c>
      <c r="P5679">
        <v>-1</v>
      </c>
      <c r="S5679" s="3">
        <v>44701</v>
      </c>
      <c r="T5679" t="s">
        <v>23</v>
      </c>
      <c r="U5679">
        <v>166</v>
      </c>
      <c r="V5679">
        <v>29.15</v>
      </c>
    </row>
    <row r="5680" spans="1:22" x14ac:dyDescent="0.35">
      <c r="A5680" s="3">
        <v>43738</v>
      </c>
      <c r="B5680" t="s">
        <v>54</v>
      </c>
      <c r="C5680">
        <v>19.350000000000001</v>
      </c>
      <c r="D5680">
        <v>19.45</v>
      </c>
      <c r="E5680">
        <v>19.16</v>
      </c>
      <c r="F5680">
        <v>19.21</v>
      </c>
      <c r="G5680">
        <v>19.225000000000001</v>
      </c>
      <c r="H5680">
        <v>-0.27500000000000002</v>
      </c>
      <c r="I5680">
        <v>1678</v>
      </c>
      <c r="J5680">
        <v>0</v>
      </c>
      <c r="K5680">
        <v>7492</v>
      </c>
      <c r="L5680">
        <v>137</v>
      </c>
      <c r="M5680">
        <v>198</v>
      </c>
      <c r="N5680" t="s">
        <v>54</v>
      </c>
      <c r="O5680" s="3">
        <v>43936</v>
      </c>
      <c r="P5680">
        <v>-1</v>
      </c>
      <c r="T5680" t="s">
        <v>28</v>
      </c>
      <c r="U5680">
        <v>17</v>
      </c>
      <c r="V5680">
        <v>29.4224</v>
      </c>
    </row>
    <row r="5681" spans="1:22" x14ac:dyDescent="0.35">
      <c r="A5681" s="3">
        <v>43735</v>
      </c>
      <c r="B5681" t="s">
        <v>55</v>
      </c>
      <c r="C5681">
        <v>19.149999999999999</v>
      </c>
      <c r="D5681">
        <v>19.600000000000001</v>
      </c>
      <c r="E5681">
        <v>19</v>
      </c>
      <c r="F5681">
        <v>19.350000000000001</v>
      </c>
      <c r="G5681">
        <v>19.425000000000001</v>
      </c>
      <c r="H5681">
        <v>0.25</v>
      </c>
      <c r="I5681">
        <v>4445</v>
      </c>
      <c r="J5681">
        <v>0</v>
      </c>
      <c r="K5681">
        <v>12313</v>
      </c>
      <c r="L5681">
        <v>118</v>
      </c>
      <c r="M5681">
        <v>173</v>
      </c>
      <c r="N5681" t="s">
        <v>55</v>
      </c>
      <c r="O5681" s="3">
        <v>43908</v>
      </c>
      <c r="P5681">
        <v>-1</v>
      </c>
      <c r="T5681" t="s">
        <v>22</v>
      </c>
      <c r="U5681">
        <v>41</v>
      </c>
      <c r="V5681">
        <v>29.961099999999998</v>
      </c>
    </row>
    <row r="5682" spans="1:22" x14ac:dyDescent="0.35">
      <c r="A5682" s="3">
        <v>43735</v>
      </c>
      <c r="B5682" t="s">
        <v>54</v>
      </c>
      <c r="C5682">
        <v>19.23</v>
      </c>
      <c r="D5682">
        <v>19.649999999999999</v>
      </c>
      <c r="E5682">
        <v>19.100000000000001</v>
      </c>
      <c r="F5682">
        <v>19.46</v>
      </c>
      <c r="G5682">
        <v>19.5</v>
      </c>
      <c r="H5682">
        <v>0.22500000000000001</v>
      </c>
      <c r="I5682">
        <v>1935</v>
      </c>
      <c r="J5682">
        <v>0</v>
      </c>
      <c r="K5682">
        <v>7214</v>
      </c>
      <c r="L5682">
        <v>138</v>
      </c>
      <c r="M5682">
        <v>201</v>
      </c>
      <c r="N5682" t="s">
        <v>54</v>
      </c>
      <c r="O5682" s="3">
        <v>43936</v>
      </c>
      <c r="P5682">
        <v>-1</v>
      </c>
      <c r="T5682" t="s">
        <v>26</v>
      </c>
      <c r="U5682">
        <v>61</v>
      </c>
      <c r="V5682">
        <v>29.9071</v>
      </c>
    </row>
    <row r="5683" spans="1:22" x14ac:dyDescent="0.35">
      <c r="A5683" s="3">
        <v>43735</v>
      </c>
      <c r="B5683" t="s">
        <v>53</v>
      </c>
      <c r="C5683">
        <v>19.2</v>
      </c>
      <c r="D5683">
        <v>19.55</v>
      </c>
      <c r="E5683">
        <v>19.02</v>
      </c>
      <c r="F5683">
        <v>19.37</v>
      </c>
      <c r="G5683">
        <v>19.425000000000001</v>
      </c>
      <c r="H5683">
        <v>0.22500000000000001</v>
      </c>
      <c r="I5683">
        <v>585</v>
      </c>
      <c r="J5683">
        <v>0</v>
      </c>
      <c r="K5683">
        <v>4589</v>
      </c>
      <c r="L5683">
        <v>163</v>
      </c>
      <c r="M5683">
        <v>236</v>
      </c>
      <c r="N5683" t="s">
        <v>53</v>
      </c>
      <c r="O5683" s="3">
        <v>43971</v>
      </c>
      <c r="P5683">
        <v>-1</v>
      </c>
      <c r="T5683" t="s">
        <v>27</v>
      </c>
      <c r="U5683">
        <v>85</v>
      </c>
      <c r="V5683">
        <v>29.994199999999999</v>
      </c>
    </row>
    <row r="5684" spans="1:22" x14ac:dyDescent="0.35">
      <c r="A5684" s="3">
        <v>43735</v>
      </c>
      <c r="B5684" t="s">
        <v>52</v>
      </c>
      <c r="C5684">
        <v>19.39</v>
      </c>
      <c r="D5684">
        <v>19.600000000000001</v>
      </c>
      <c r="E5684">
        <v>19.39</v>
      </c>
      <c r="F5684">
        <v>19.59</v>
      </c>
      <c r="G5684">
        <v>19.3</v>
      </c>
      <c r="H5684">
        <v>0.625</v>
      </c>
      <c r="I5684">
        <v>7</v>
      </c>
      <c r="J5684">
        <v>0</v>
      </c>
      <c r="K5684">
        <v>22</v>
      </c>
      <c r="L5684">
        <v>182</v>
      </c>
      <c r="M5684">
        <v>264</v>
      </c>
      <c r="N5684" t="s">
        <v>52</v>
      </c>
      <c r="O5684" s="3">
        <v>43999</v>
      </c>
      <c r="P5684">
        <v>-1</v>
      </c>
      <c r="T5684" t="s">
        <v>25</v>
      </c>
      <c r="U5684">
        <v>105</v>
      </c>
      <c r="V5684">
        <v>29.939599999999999</v>
      </c>
    </row>
    <row r="5685" spans="1:22" x14ac:dyDescent="0.35">
      <c r="A5685" s="3">
        <v>43734</v>
      </c>
      <c r="B5685" t="s">
        <v>53</v>
      </c>
      <c r="C5685">
        <v>19.3</v>
      </c>
      <c r="D5685">
        <v>19.350000000000001</v>
      </c>
      <c r="E5685">
        <v>19.100000000000001</v>
      </c>
      <c r="F5685">
        <v>19.2</v>
      </c>
      <c r="G5685">
        <v>19.2</v>
      </c>
      <c r="H5685">
        <v>-0.1</v>
      </c>
      <c r="I5685">
        <v>1598</v>
      </c>
      <c r="J5685">
        <v>0</v>
      </c>
      <c r="K5685">
        <v>4359</v>
      </c>
      <c r="L5685">
        <v>164</v>
      </c>
      <c r="M5685">
        <v>237</v>
      </c>
      <c r="N5685" t="s">
        <v>53</v>
      </c>
      <c r="O5685" s="3">
        <v>43971</v>
      </c>
      <c r="P5685">
        <v>-1</v>
      </c>
      <c r="T5685" t="s">
        <v>20</v>
      </c>
      <c r="U5685">
        <v>125</v>
      </c>
      <c r="V5685">
        <v>29.4192</v>
      </c>
    </row>
    <row r="5686" spans="1:22" x14ac:dyDescent="0.35">
      <c r="A5686" s="3">
        <v>43734</v>
      </c>
      <c r="B5686" t="s">
        <v>52</v>
      </c>
      <c r="C5686">
        <v>19.399999999999999</v>
      </c>
      <c r="D5686">
        <v>19.399999999999999</v>
      </c>
      <c r="E5686">
        <v>19.399999999999999</v>
      </c>
      <c r="F5686">
        <v>19.399999999999999</v>
      </c>
      <c r="G5686">
        <v>18.675000000000001</v>
      </c>
      <c r="H5686">
        <v>-0.8</v>
      </c>
      <c r="I5686">
        <v>1</v>
      </c>
      <c r="J5686">
        <v>0</v>
      </c>
      <c r="K5686">
        <v>16</v>
      </c>
      <c r="L5686">
        <v>183</v>
      </c>
      <c r="M5686">
        <v>265</v>
      </c>
      <c r="N5686" t="s">
        <v>52</v>
      </c>
      <c r="O5686" s="3">
        <v>43999</v>
      </c>
      <c r="P5686">
        <v>-1</v>
      </c>
      <c r="T5686" t="s">
        <v>21</v>
      </c>
      <c r="U5686">
        <v>149</v>
      </c>
      <c r="V5686">
        <v>28.5792</v>
      </c>
    </row>
    <row r="5687" spans="1:22" x14ac:dyDescent="0.35">
      <c r="A5687" s="3">
        <v>43734</v>
      </c>
      <c r="B5687" t="s">
        <v>55</v>
      </c>
      <c r="C5687">
        <v>19.149999999999999</v>
      </c>
      <c r="D5687">
        <v>19.3</v>
      </c>
      <c r="E5687">
        <v>18.95</v>
      </c>
      <c r="F5687">
        <v>19.2</v>
      </c>
      <c r="G5687">
        <v>19.175000000000001</v>
      </c>
      <c r="H5687">
        <v>0.1</v>
      </c>
      <c r="I5687">
        <v>4842</v>
      </c>
      <c r="J5687">
        <v>0</v>
      </c>
      <c r="K5687">
        <v>11520</v>
      </c>
      <c r="L5687">
        <v>119</v>
      </c>
      <c r="M5687">
        <v>174</v>
      </c>
      <c r="N5687" t="s">
        <v>55</v>
      </c>
      <c r="O5687" s="3">
        <v>43908</v>
      </c>
      <c r="P5687">
        <v>-1</v>
      </c>
      <c r="S5687" s="3">
        <v>44704</v>
      </c>
      <c r="T5687" t="s">
        <v>23</v>
      </c>
      <c r="U5687">
        <v>165</v>
      </c>
      <c r="V5687">
        <v>28.95</v>
      </c>
    </row>
    <row r="5688" spans="1:22" x14ac:dyDescent="0.35">
      <c r="A5688" s="3">
        <v>43734</v>
      </c>
      <c r="B5688" t="s">
        <v>54</v>
      </c>
      <c r="C5688">
        <v>19.3</v>
      </c>
      <c r="D5688">
        <v>19.38</v>
      </c>
      <c r="E5688">
        <v>19.170000000000002</v>
      </c>
      <c r="F5688">
        <v>19.25</v>
      </c>
      <c r="G5688">
        <v>19.274999999999999</v>
      </c>
      <c r="H5688">
        <v>0</v>
      </c>
      <c r="I5688">
        <v>4355</v>
      </c>
      <c r="J5688">
        <v>0</v>
      </c>
      <c r="K5688">
        <v>6425</v>
      </c>
      <c r="L5688">
        <v>139</v>
      </c>
      <c r="M5688">
        <v>202</v>
      </c>
      <c r="N5688" t="s">
        <v>54</v>
      </c>
      <c r="O5688" s="3">
        <v>43936</v>
      </c>
      <c r="P5688">
        <v>-1</v>
      </c>
      <c r="T5688" t="s">
        <v>24</v>
      </c>
      <c r="U5688">
        <v>185</v>
      </c>
      <c r="V5688">
        <v>29.125</v>
      </c>
    </row>
    <row r="5689" spans="1:22" x14ac:dyDescent="0.35">
      <c r="A5689" s="3">
        <v>43733</v>
      </c>
      <c r="B5689" t="s">
        <v>55</v>
      </c>
      <c r="C5689">
        <v>19.22</v>
      </c>
      <c r="D5689">
        <v>19.41</v>
      </c>
      <c r="E5689">
        <v>19.05</v>
      </c>
      <c r="F5689">
        <v>19.100000000000001</v>
      </c>
      <c r="G5689">
        <v>19.074999999999999</v>
      </c>
      <c r="H5689">
        <v>-0.17499999999999999</v>
      </c>
      <c r="I5689">
        <v>2806</v>
      </c>
      <c r="J5689">
        <v>0</v>
      </c>
      <c r="K5689">
        <v>11239</v>
      </c>
      <c r="L5689">
        <v>120</v>
      </c>
      <c r="M5689">
        <v>175</v>
      </c>
      <c r="N5689" t="s">
        <v>55</v>
      </c>
      <c r="O5689" s="3">
        <v>43908</v>
      </c>
      <c r="P5689">
        <v>-1</v>
      </c>
      <c r="T5689" t="s">
        <v>28</v>
      </c>
      <c r="U5689">
        <v>16</v>
      </c>
      <c r="V5689">
        <v>29.079699999999999</v>
      </c>
    </row>
    <row r="5690" spans="1:22" x14ac:dyDescent="0.35">
      <c r="A5690" s="3">
        <v>43733</v>
      </c>
      <c r="B5690" t="s">
        <v>54</v>
      </c>
      <c r="C5690">
        <v>19.43</v>
      </c>
      <c r="D5690">
        <v>19.57</v>
      </c>
      <c r="E5690">
        <v>19.22</v>
      </c>
      <c r="F5690">
        <v>19.27</v>
      </c>
      <c r="G5690">
        <v>19.274999999999999</v>
      </c>
      <c r="H5690">
        <v>-0.15</v>
      </c>
      <c r="I5690">
        <v>828</v>
      </c>
      <c r="J5690">
        <v>0</v>
      </c>
      <c r="K5690">
        <v>4874</v>
      </c>
      <c r="L5690">
        <v>140</v>
      </c>
      <c r="M5690">
        <v>203</v>
      </c>
      <c r="N5690" t="s">
        <v>54</v>
      </c>
      <c r="O5690" s="3">
        <v>43936</v>
      </c>
      <c r="P5690">
        <v>-1</v>
      </c>
      <c r="T5690" t="s">
        <v>22</v>
      </c>
      <c r="U5690">
        <v>40</v>
      </c>
      <c r="V5690">
        <v>29.827999999999999</v>
      </c>
    </row>
    <row r="5691" spans="1:22" x14ac:dyDescent="0.35">
      <c r="A5691" s="3">
        <v>43733</v>
      </c>
      <c r="B5691" t="s">
        <v>53</v>
      </c>
      <c r="C5691">
        <v>19.48</v>
      </c>
      <c r="D5691">
        <v>19.61</v>
      </c>
      <c r="E5691">
        <v>19.25</v>
      </c>
      <c r="F5691">
        <v>19.3</v>
      </c>
      <c r="G5691">
        <v>19.3</v>
      </c>
      <c r="H5691">
        <v>-0.17499999999999999</v>
      </c>
      <c r="I5691">
        <v>740</v>
      </c>
      <c r="J5691">
        <v>0</v>
      </c>
      <c r="K5691">
        <v>2412</v>
      </c>
      <c r="L5691">
        <v>165</v>
      </c>
      <c r="M5691">
        <v>238</v>
      </c>
      <c r="N5691" t="s">
        <v>53</v>
      </c>
      <c r="O5691" s="3">
        <v>43971</v>
      </c>
      <c r="P5691">
        <v>-1</v>
      </c>
      <c r="T5691" t="s">
        <v>26</v>
      </c>
      <c r="U5691">
        <v>60</v>
      </c>
      <c r="V5691">
        <v>29.799399999999999</v>
      </c>
    </row>
    <row r="5692" spans="1:22" x14ac:dyDescent="0.35">
      <c r="A5692" s="3">
        <v>43733</v>
      </c>
      <c r="B5692" t="s">
        <v>52</v>
      </c>
      <c r="C5692">
        <v>19.55</v>
      </c>
      <c r="D5692">
        <v>19.600000000000001</v>
      </c>
      <c r="E5692">
        <v>19.55</v>
      </c>
      <c r="F5692">
        <v>19.600000000000001</v>
      </c>
      <c r="G5692">
        <v>19.475000000000001</v>
      </c>
      <c r="H5692">
        <v>0.1</v>
      </c>
      <c r="I5692">
        <v>6</v>
      </c>
      <c r="J5692">
        <v>0</v>
      </c>
      <c r="K5692">
        <v>16</v>
      </c>
      <c r="L5692">
        <v>184</v>
      </c>
      <c r="M5692">
        <v>266</v>
      </c>
      <c r="N5692" t="s">
        <v>52</v>
      </c>
      <c r="O5692" s="3">
        <v>43999</v>
      </c>
      <c r="P5692">
        <v>-1</v>
      </c>
      <c r="T5692" t="s">
        <v>27</v>
      </c>
      <c r="U5692">
        <v>84</v>
      </c>
      <c r="V5692">
        <v>29.894600000000001</v>
      </c>
    </row>
    <row r="5693" spans="1:22" x14ac:dyDescent="0.35">
      <c r="A5693" s="3">
        <v>43732</v>
      </c>
      <c r="B5693" t="s">
        <v>53</v>
      </c>
      <c r="C5693">
        <v>19</v>
      </c>
      <c r="D5693">
        <v>19.55</v>
      </c>
      <c r="E5693">
        <v>18.940000000000001</v>
      </c>
      <c r="F5693">
        <v>19.47</v>
      </c>
      <c r="G5693">
        <v>19.475000000000001</v>
      </c>
      <c r="H5693">
        <v>0.42499999999999999</v>
      </c>
      <c r="I5693">
        <v>1670</v>
      </c>
      <c r="J5693">
        <v>0</v>
      </c>
      <c r="K5693">
        <v>2071</v>
      </c>
      <c r="L5693">
        <v>166</v>
      </c>
      <c r="M5693">
        <v>239</v>
      </c>
      <c r="N5693" t="s">
        <v>53</v>
      </c>
      <c r="O5693" s="3">
        <v>43971</v>
      </c>
      <c r="P5693">
        <v>-1</v>
      </c>
      <c r="T5693" t="s">
        <v>25</v>
      </c>
      <c r="U5693">
        <v>104</v>
      </c>
      <c r="V5693">
        <v>29.816099999999999</v>
      </c>
    </row>
    <row r="5694" spans="1:22" x14ac:dyDescent="0.35">
      <c r="A5694" s="3">
        <v>43732</v>
      </c>
      <c r="B5694" t="s">
        <v>52</v>
      </c>
      <c r="C5694">
        <v>19.399999999999999</v>
      </c>
      <c r="D5694">
        <v>19.600000000000001</v>
      </c>
      <c r="E5694">
        <v>19.399999999999999</v>
      </c>
      <c r="F5694">
        <v>19.600000000000001</v>
      </c>
      <c r="G5694">
        <v>19.375</v>
      </c>
      <c r="H5694">
        <v>0.3</v>
      </c>
      <c r="I5694">
        <v>11</v>
      </c>
      <c r="J5694">
        <v>0</v>
      </c>
      <c r="K5694">
        <v>10</v>
      </c>
      <c r="L5694">
        <v>185</v>
      </c>
      <c r="M5694">
        <v>267</v>
      </c>
      <c r="N5694" t="s">
        <v>52</v>
      </c>
      <c r="O5694" s="3">
        <v>43999</v>
      </c>
      <c r="P5694">
        <v>-1</v>
      </c>
      <c r="T5694" t="s">
        <v>20</v>
      </c>
      <c r="U5694">
        <v>124</v>
      </c>
      <c r="V5694">
        <v>29.268799999999999</v>
      </c>
    </row>
    <row r="5695" spans="1:22" x14ac:dyDescent="0.35">
      <c r="A5695" s="3">
        <v>43732</v>
      </c>
      <c r="B5695" t="s">
        <v>55</v>
      </c>
      <c r="C5695">
        <v>18.850000000000001</v>
      </c>
      <c r="D5695">
        <v>19.329999999999998</v>
      </c>
      <c r="E5695">
        <v>18.77</v>
      </c>
      <c r="F5695">
        <v>19.25</v>
      </c>
      <c r="G5695">
        <v>19.25</v>
      </c>
      <c r="H5695">
        <v>0.32500000000000001</v>
      </c>
      <c r="I5695">
        <v>3836</v>
      </c>
      <c r="J5695">
        <v>0</v>
      </c>
      <c r="K5695">
        <v>10866</v>
      </c>
      <c r="L5695">
        <v>121</v>
      </c>
      <c r="M5695">
        <v>176</v>
      </c>
      <c r="N5695" t="s">
        <v>55</v>
      </c>
      <c r="O5695" s="3">
        <v>43908</v>
      </c>
      <c r="P5695">
        <v>-1</v>
      </c>
      <c r="T5695" t="s">
        <v>21</v>
      </c>
      <c r="U5695">
        <v>148</v>
      </c>
      <c r="V5695">
        <v>28.425000000000001</v>
      </c>
    </row>
    <row r="5696" spans="1:22" x14ac:dyDescent="0.35">
      <c r="A5696" s="3">
        <v>43732</v>
      </c>
      <c r="B5696" t="s">
        <v>54</v>
      </c>
      <c r="C5696">
        <v>19</v>
      </c>
      <c r="D5696">
        <v>19.5</v>
      </c>
      <c r="E5696">
        <v>18.95</v>
      </c>
      <c r="F5696">
        <v>19.43</v>
      </c>
      <c r="G5696">
        <v>19.425000000000001</v>
      </c>
      <c r="H5696">
        <v>0.3</v>
      </c>
      <c r="I5696">
        <v>1308</v>
      </c>
      <c r="J5696">
        <v>0</v>
      </c>
      <c r="K5696">
        <v>4699</v>
      </c>
      <c r="L5696">
        <v>141</v>
      </c>
      <c r="M5696">
        <v>204</v>
      </c>
      <c r="N5696" t="s">
        <v>54</v>
      </c>
      <c r="O5696" s="3">
        <v>43936</v>
      </c>
      <c r="P5696">
        <v>-1</v>
      </c>
      <c r="S5696" s="3">
        <v>44705</v>
      </c>
      <c r="T5696" t="s">
        <v>23</v>
      </c>
      <c r="U5696">
        <v>164</v>
      </c>
      <c r="V5696">
        <v>28.95</v>
      </c>
    </row>
    <row r="5697" spans="1:22" x14ac:dyDescent="0.35">
      <c r="A5697" s="3">
        <v>43731</v>
      </c>
      <c r="B5697" t="s">
        <v>55</v>
      </c>
      <c r="C5697">
        <v>19.05</v>
      </c>
      <c r="D5697">
        <v>19.100000000000001</v>
      </c>
      <c r="E5697">
        <v>18.850000000000001</v>
      </c>
      <c r="F5697">
        <v>18.899999999999999</v>
      </c>
      <c r="G5697">
        <v>18.925000000000001</v>
      </c>
      <c r="H5697">
        <v>-0.15</v>
      </c>
      <c r="I5697">
        <v>1853</v>
      </c>
      <c r="J5697">
        <v>0</v>
      </c>
      <c r="K5697">
        <v>10655</v>
      </c>
      <c r="L5697">
        <v>122</v>
      </c>
      <c r="M5697">
        <v>177</v>
      </c>
      <c r="N5697" t="s">
        <v>55</v>
      </c>
      <c r="O5697" s="3">
        <v>43908</v>
      </c>
      <c r="P5697">
        <v>-1</v>
      </c>
      <c r="T5697" t="s">
        <v>24</v>
      </c>
      <c r="U5697">
        <v>184</v>
      </c>
      <c r="V5697">
        <v>29.225000000000001</v>
      </c>
    </row>
    <row r="5698" spans="1:22" x14ac:dyDescent="0.35">
      <c r="A5698" s="3">
        <v>43731</v>
      </c>
      <c r="B5698" t="s">
        <v>54</v>
      </c>
      <c r="C5698">
        <v>19.16</v>
      </c>
      <c r="D5698">
        <v>19.22</v>
      </c>
      <c r="E5698">
        <v>19</v>
      </c>
      <c r="F5698">
        <v>19.07</v>
      </c>
      <c r="G5698">
        <v>19.125</v>
      </c>
      <c r="H5698">
        <v>-0.1</v>
      </c>
      <c r="I5698">
        <v>1307</v>
      </c>
      <c r="J5698">
        <v>0</v>
      </c>
      <c r="K5698">
        <v>4641</v>
      </c>
      <c r="L5698">
        <v>142</v>
      </c>
      <c r="M5698">
        <v>205</v>
      </c>
      <c r="N5698" t="s">
        <v>54</v>
      </c>
      <c r="O5698" s="3">
        <v>43936</v>
      </c>
      <c r="P5698">
        <v>-1</v>
      </c>
      <c r="T5698" t="s">
        <v>28</v>
      </c>
      <c r="U5698">
        <v>15</v>
      </c>
      <c r="V5698">
        <v>29.185500000000001</v>
      </c>
    </row>
    <row r="5699" spans="1:22" x14ac:dyDescent="0.35">
      <c r="A5699" s="3">
        <v>43731</v>
      </c>
      <c r="B5699" t="s">
        <v>53</v>
      </c>
      <c r="C5699">
        <v>19.2</v>
      </c>
      <c r="D5699">
        <v>19.2</v>
      </c>
      <c r="E5699">
        <v>19</v>
      </c>
      <c r="F5699">
        <v>19.059999999999999</v>
      </c>
      <c r="G5699">
        <v>19.05</v>
      </c>
      <c r="H5699">
        <v>-0.15</v>
      </c>
      <c r="I5699">
        <v>107</v>
      </c>
      <c r="J5699">
        <v>0</v>
      </c>
      <c r="K5699">
        <v>1221</v>
      </c>
      <c r="L5699">
        <v>167</v>
      </c>
      <c r="M5699">
        <v>240</v>
      </c>
      <c r="N5699" t="s">
        <v>53</v>
      </c>
      <c r="O5699" s="3">
        <v>43971</v>
      </c>
      <c r="P5699">
        <v>-1</v>
      </c>
      <c r="T5699" t="s">
        <v>22</v>
      </c>
      <c r="U5699">
        <v>39</v>
      </c>
      <c r="V5699">
        <v>29.851800000000001</v>
      </c>
    </row>
    <row r="5700" spans="1:22" x14ac:dyDescent="0.35">
      <c r="A5700" s="3">
        <v>43728</v>
      </c>
      <c r="B5700" t="s">
        <v>53</v>
      </c>
      <c r="C5700">
        <v>18.600000000000001</v>
      </c>
      <c r="D5700">
        <v>19.25</v>
      </c>
      <c r="E5700">
        <v>18.53</v>
      </c>
      <c r="F5700">
        <v>19.2</v>
      </c>
      <c r="G5700">
        <v>19.2</v>
      </c>
      <c r="H5700">
        <v>0.55000000000000004</v>
      </c>
      <c r="I5700">
        <v>819</v>
      </c>
      <c r="J5700">
        <v>0</v>
      </c>
      <c r="K5700">
        <v>1158</v>
      </c>
      <c r="L5700">
        <v>168</v>
      </c>
      <c r="M5700">
        <v>243</v>
      </c>
      <c r="N5700" t="s">
        <v>53</v>
      </c>
      <c r="O5700" s="3">
        <v>43971</v>
      </c>
      <c r="P5700">
        <v>-1</v>
      </c>
      <c r="T5700" t="s">
        <v>26</v>
      </c>
      <c r="U5700">
        <v>59</v>
      </c>
      <c r="V5700">
        <v>29.857399999999998</v>
      </c>
    </row>
    <row r="5701" spans="1:22" x14ac:dyDescent="0.35">
      <c r="A5701" s="3">
        <v>43728</v>
      </c>
      <c r="B5701" t="s">
        <v>55</v>
      </c>
      <c r="C5701">
        <v>18.57</v>
      </c>
      <c r="D5701">
        <v>19.100000000000001</v>
      </c>
      <c r="E5701">
        <v>18.41</v>
      </c>
      <c r="F5701">
        <v>19.079999999999998</v>
      </c>
      <c r="G5701">
        <v>19.074999999999999</v>
      </c>
      <c r="H5701">
        <v>0.5</v>
      </c>
      <c r="I5701">
        <v>3317</v>
      </c>
      <c r="J5701">
        <v>0</v>
      </c>
      <c r="K5701">
        <v>10290</v>
      </c>
      <c r="L5701">
        <v>123</v>
      </c>
      <c r="M5701">
        <v>180</v>
      </c>
      <c r="N5701" t="s">
        <v>55</v>
      </c>
      <c r="O5701" s="3">
        <v>43908</v>
      </c>
      <c r="P5701">
        <v>-1</v>
      </c>
      <c r="T5701" t="s">
        <v>27</v>
      </c>
      <c r="U5701">
        <v>83</v>
      </c>
      <c r="V5701">
        <v>29.918299999999999</v>
      </c>
    </row>
    <row r="5702" spans="1:22" x14ac:dyDescent="0.35">
      <c r="A5702" s="3">
        <v>43728</v>
      </c>
      <c r="B5702" t="s">
        <v>54</v>
      </c>
      <c r="C5702">
        <v>18.71</v>
      </c>
      <c r="D5702">
        <v>19.27</v>
      </c>
      <c r="E5702">
        <v>18.57</v>
      </c>
      <c r="F5702">
        <v>19.22</v>
      </c>
      <c r="G5702">
        <v>19.225000000000001</v>
      </c>
      <c r="H5702">
        <v>0.5</v>
      </c>
      <c r="I5702">
        <v>1415</v>
      </c>
      <c r="J5702">
        <v>0</v>
      </c>
      <c r="K5702">
        <v>4357</v>
      </c>
      <c r="L5702">
        <v>143</v>
      </c>
      <c r="M5702">
        <v>208</v>
      </c>
      <c r="N5702" t="s">
        <v>54</v>
      </c>
      <c r="O5702" s="3">
        <v>43936</v>
      </c>
      <c r="P5702">
        <v>-1</v>
      </c>
      <c r="T5702" t="s">
        <v>25</v>
      </c>
      <c r="U5702">
        <v>103</v>
      </c>
      <c r="V5702">
        <v>29.8827</v>
      </c>
    </row>
    <row r="5703" spans="1:22" x14ac:dyDescent="0.35">
      <c r="A5703" s="3">
        <v>43727</v>
      </c>
      <c r="B5703" t="s">
        <v>55</v>
      </c>
      <c r="C5703">
        <v>18.55</v>
      </c>
      <c r="D5703">
        <v>18.75</v>
      </c>
      <c r="E5703">
        <v>18.32</v>
      </c>
      <c r="F5703">
        <v>18.559999999999999</v>
      </c>
      <c r="G5703">
        <v>18.574999999999999</v>
      </c>
      <c r="H5703">
        <v>0</v>
      </c>
      <c r="I5703">
        <v>2844</v>
      </c>
      <c r="J5703">
        <v>0</v>
      </c>
      <c r="K5703">
        <v>9468</v>
      </c>
      <c r="L5703">
        <v>124</v>
      </c>
      <c r="M5703">
        <v>181</v>
      </c>
      <c r="N5703" t="s">
        <v>55</v>
      </c>
      <c r="O5703" s="3">
        <v>43908</v>
      </c>
      <c r="P5703">
        <v>-1</v>
      </c>
      <c r="T5703" t="s">
        <v>20</v>
      </c>
      <c r="U5703">
        <v>123</v>
      </c>
      <c r="V5703">
        <v>29.346499999999999</v>
      </c>
    </row>
    <row r="5704" spans="1:22" x14ac:dyDescent="0.35">
      <c r="A5704" s="3">
        <v>43727</v>
      </c>
      <c r="B5704" t="s">
        <v>54</v>
      </c>
      <c r="C5704">
        <v>18.75</v>
      </c>
      <c r="D5704">
        <v>18.899999999999999</v>
      </c>
      <c r="E5704">
        <v>18.5</v>
      </c>
      <c r="F5704">
        <v>18.73</v>
      </c>
      <c r="G5704">
        <v>18.725000000000001</v>
      </c>
      <c r="H5704">
        <v>-2.5000000000000001E-2</v>
      </c>
      <c r="I5704">
        <v>492</v>
      </c>
      <c r="J5704">
        <v>0</v>
      </c>
      <c r="K5704">
        <v>4311</v>
      </c>
      <c r="L5704">
        <v>144</v>
      </c>
      <c r="M5704">
        <v>209</v>
      </c>
      <c r="N5704" t="s">
        <v>54</v>
      </c>
      <c r="O5704" s="3">
        <v>43936</v>
      </c>
      <c r="P5704">
        <v>-1</v>
      </c>
      <c r="T5704" t="s">
        <v>21</v>
      </c>
      <c r="U5704">
        <v>147</v>
      </c>
      <c r="V5704">
        <v>28.5</v>
      </c>
    </row>
    <row r="5705" spans="1:22" x14ac:dyDescent="0.35">
      <c r="A5705" s="3">
        <v>43727</v>
      </c>
      <c r="B5705" t="s">
        <v>53</v>
      </c>
      <c r="C5705">
        <v>18.75</v>
      </c>
      <c r="D5705">
        <v>18.8</v>
      </c>
      <c r="E5705">
        <v>18.45</v>
      </c>
      <c r="F5705">
        <v>18.68</v>
      </c>
      <c r="G5705">
        <v>18.649999999999999</v>
      </c>
      <c r="H5705">
        <v>-0.05</v>
      </c>
      <c r="I5705">
        <v>388</v>
      </c>
      <c r="J5705">
        <v>0</v>
      </c>
      <c r="K5705">
        <v>936</v>
      </c>
      <c r="L5705">
        <v>169</v>
      </c>
      <c r="M5705">
        <v>244</v>
      </c>
      <c r="N5705" t="s">
        <v>53</v>
      </c>
      <c r="O5705" s="3">
        <v>43971</v>
      </c>
      <c r="P5705">
        <v>-1</v>
      </c>
      <c r="S5705" s="3">
        <v>44706</v>
      </c>
      <c r="T5705" t="s">
        <v>23</v>
      </c>
      <c r="U5705">
        <v>163</v>
      </c>
      <c r="V5705">
        <v>28.6</v>
      </c>
    </row>
    <row r="5706" spans="1:22" x14ac:dyDescent="0.35">
      <c r="A5706" s="3">
        <v>43726</v>
      </c>
      <c r="B5706" t="s">
        <v>53</v>
      </c>
      <c r="C5706">
        <v>18.8</v>
      </c>
      <c r="D5706">
        <v>18.98</v>
      </c>
      <c r="E5706">
        <v>18.7</v>
      </c>
      <c r="F5706">
        <v>18.7</v>
      </c>
      <c r="G5706">
        <v>18.7</v>
      </c>
      <c r="H5706">
        <v>-0.1</v>
      </c>
      <c r="I5706">
        <v>464</v>
      </c>
      <c r="J5706">
        <v>0</v>
      </c>
      <c r="K5706">
        <v>892</v>
      </c>
      <c r="L5706">
        <v>170</v>
      </c>
      <c r="M5706">
        <v>245</v>
      </c>
      <c r="N5706" t="s">
        <v>53</v>
      </c>
      <c r="O5706" s="3">
        <v>43971</v>
      </c>
      <c r="P5706">
        <v>-1</v>
      </c>
      <c r="T5706" t="s">
        <v>24</v>
      </c>
      <c r="U5706">
        <v>183</v>
      </c>
      <c r="V5706">
        <v>28.925000000000001</v>
      </c>
    </row>
    <row r="5707" spans="1:22" x14ac:dyDescent="0.35">
      <c r="A5707" s="3">
        <v>43726</v>
      </c>
      <c r="B5707" t="s">
        <v>55</v>
      </c>
      <c r="C5707">
        <v>18.77</v>
      </c>
      <c r="D5707">
        <v>18.87</v>
      </c>
      <c r="E5707">
        <v>18.52</v>
      </c>
      <c r="F5707">
        <v>18.55</v>
      </c>
      <c r="G5707">
        <v>18.574999999999999</v>
      </c>
      <c r="H5707">
        <v>-0.2</v>
      </c>
      <c r="I5707">
        <v>3611</v>
      </c>
      <c r="J5707">
        <v>0</v>
      </c>
      <c r="K5707">
        <v>8895</v>
      </c>
      <c r="L5707">
        <v>125</v>
      </c>
      <c r="M5707">
        <v>182</v>
      </c>
      <c r="N5707" t="s">
        <v>55</v>
      </c>
      <c r="O5707" s="3">
        <v>43908</v>
      </c>
      <c r="P5707">
        <v>-1</v>
      </c>
      <c r="T5707" t="s">
        <v>28</v>
      </c>
      <c r="U5707">
        <v>14</v>
      </c>
      <c r="V5707">
        <v>28.485900000000001</v>
      </c>
    </row>
    <row r="5708" spans="1:22" x14ac:dyDescent="0.35">
      <c r="A5708" s="3">
        <v>43726</v>
      </c>
      <c r="B5708" t="s">
        <v>54</v>
      </c>
      <c r="C5708">
        <v>18.95</v>
      </c>
      <c r="D5708">
        <v>19</v>
      </c>
      <c r="E5708">
        <v>18.7</v>
      </c>
      <c r="F5708">
        <v>18.7</v>
      </c>
      <c r="G5708">
        <v>18.75</v>
      </c>
      <c r="H5708">
        <v>-0.15</v>
      </c>
      <c r="I5708">
        <v>1150</v>
      </c>
      <c r="J5708">
        <v>0</v>
      </c>
      <c r="K5708">
        <v>4284</v>
      </c>
      <c r="L5708">
        <v>145</v>
      </c>
      <c r="M5708">
        <v>210</v>
      </c>
      <c r="N5708" t="s">
        <v>54</v>
      </c>
      <c r="O5708" s="3">
        <v>43936</v>
      </c>
      <c r="P5708">
        <v>-1</v>
      </c>
      <c r="T5708" t="s">
        <v>22</v>
      </c>
      <c r="U5708">
        <v>38</v>
      </c>
      <c r="V5708">
        <v>29.1357</v>
      </c>
    </row>
    <row r="5709" spans="1:22" x14ac:dyDescent="0.35">
      <c r="A5709" s="3">
        <v>43725</v>
      </c>
      <c r="B5709" t="s">
        <v>55</v>
      </c>
      <c r="C5709">
        <v>18.57</v>
      </c>
      <c r="D5709">
        <v>18.809999999999999</v>
      </c>
      <c r="E5709">
        <v>18.55</v>
      </c>
      <c r="F5709">
        <v>18.760000000000002</v>
      </c>
      <c r="G5709">
        <v>18.774999999999999</v>
      </c>
      <c r="H5709">
        <v>0.15</v>
      </c>
      <c r="I5709">
        <v>2099</v>
      </c>
      <c r="J5709">
        <v>0</v>
      </c>
      <c r="K5709">
        <v>8728</v>
      </c>
      <c r="L5709">
        <v>126</v>
      </c>
      <c r="M5709">
        <v>183</v>
      </c>
      <c r="N5709" t="s">
        <v>55</v>
      </c>
      <c r="O5709" s="3">
        <v>43908</v>
      </c>
      <c r="P5709">
        <v>-1</v>
      </c>
      <c r="T5709" t="s">
        <v>26</v>
      </c>
      <c r="U5709">
        <v>58</v>
      </c>
      <c r="V5709">
        <v>29.150099999999998</v>
      </c>
    </row>
    <row r="5710" spans="1:22" x14ac:dyDescent="0.35">
      <c r="A5710" s="3">
        <v>43725</v>
      </c>
      <c r="B5710" t="s">
        <v>54</v>
      </c>
      <c r="C5710">
        <v>18.7</v>
      </c>
      <c r="D5710">
        <v>18.95</v>
      </c>
      <c r="E5710">
        <v>18.7</v>
      </c>
      <c r="F5710">
        <v>18.920000000000002</v>
      </c>
      <c r="G5710">
        <v>18.899999999999999</v>
      </c>
      <c r="H5710">
        <v>0.17499999999999999</v>
      </c>
      <c r="I5710">
        <v>1071</v>
      </c>
      <c r="J5710">
        <v>0</v>
      </c>
      <c r="K5710">
        <v>4161</v>
      </c>
      <c r="L5710">
        <v>146</v>
      </c>
      <c r="M5710">
        <v>211</v>
      </c>
      <c r="N5710" t="s">
        <v>54</v>
      </c>
      <c r="O5710" s="3">
        <v>43936</v>
      </c>
      <c r="P5710">
        <v>-1</v>
      </c>
      <c r="T5710" t="s">
        <v>27</v>
      </c>
      <c r="U5710">
        <v>82</v>
      </c>
      <c r="V5710">
        <v>29.299900000000001</v>
      </c>
    </row>
    <row r="5711" spans="1:22" x14ac:dyDescent="0.35">
      <c r="A5711" s="3">
        <v>43725</v>
      </c>
      <c r="B5711" t="s">
        <v>53</v>
      </c>
      <c r="C5711">
        <v>18.62</v>
      </c>
      <c r="D5711">
        <v>18.850000000000001</v>
      </c>
      <c r="E5711">
        <v>18.62</v>
      </c>
      <c r="F5711">
        <v>18.850000000000001</v>
      </c>
      <c r="G5711">
        <v>18.8</v>
      </c>
      <c r="H5711">
        <v>0.17499999999999999</v>
      </c>
      <c r="I5711">
        <v>274</v>
      </c>
      <c r="J5711">
        <v>0</v>
      </c>
      <c r="K5711">
        <v>755</v>
      </c>
      <c r="L5711">
        <v>171</v>
      </c>
      <c r="M5711">
        <v>246</v>
      </c>
      <c r="N5711" t="s">
        <v>53</v>
      </c>
      <c r="O5711" s="3">
        <v>43971</v>
      </c>
      <c r="P5711">
        <v>-1</v>
      </c>
      <c r="T5711" t="s">
        <v>25</v>
      </c>
      <c r="U5711">
        <v>102</v>
      </c>
      <c r="V5711">
        <v>29.364699999999999</v>
      </c>
    </row>
    <row r="5712" spans="1:22" x14ac:dyDescent="0.35">
      <c r="A5712" s="3">
        <v>43724</v>
      </c>
      <c r="B5712" t="s">
        <v>53</v>
      </c>
      <c r="C5712">
        <v>18.57</v>
      </c>
      <c r="D5712">
        <v>18.61</v>
      </c>
      <c r="E5712">
        <v>18.41</v>
      </c>
      <c r="F5712">
        <v>18.61</v>
      </c>
      <c r="G5712">
        <v>18.625</v>
      </c>
      <c r="H5712">
        <v>0.17499999999999999</v>
      </c>
      <c r="I5712">
        <v>187</v>
      </c>
      <c r="J5712">
        <v>0</v>
      </c>
      <c r="K5712">
        <v>658</v>
      </c>
      <c r="L5712">
        <v>172</v>
      </c>
      <c r="M5712">
        <v>247</v>
      </c>
      <c r="N5712" t="s">
        <v>53</v>
      </c>
      <c r="O5712" s="3">
        <v>43971</v>
      </c>
      <c r="P5712">
        <v>-1</v>
      </c>
      <c r="T5712" t="s">
        <v>20</v>
      </c>
      <c r="U5712">
        <v>122</v>
      </c>
      <c r="V5712">
        <v>28.903700000000001</v>
      </c>
    </row>
    <row r="5713" spans="1:22" x14ac:dyDescent="0.35">
      <c r="A5713" s="3">
        <v>43724</v>
      </c>
      <c r="B5713" t="s">
        <v>55</v>
      </c>
      <c r="C5713">
        <v>18.45</v>
      </c>
      <c r="D5713">
        <v>18.649999999999999</v>
      </c>
      <c r="E5713">
        <v>18.309999999999999</v>
      </c>
      <c r="F5713">
        <v>18.61</v>
      </c>
      <c r="G5713">
        <v>18.625</v>
      </c>
      <c r="H5713">
        <v>0.25</v>
      </c>
      <c r="I5713">
        <v>1771</v>
      </c>
      <c r="J5713">
        <v>0</v>
      </c>
      <c r="K5713">
        <v>8022</v>
      </c>
      <c r="L5713">
        <v>127</v>
      </c>
      <c r="M5713">
        <v>184</v>
      </c>
      <c r="N5713" t="s">
        <v>55</v>
      </c>
      <c r="O5713" s="3">
        <v>43908</v>
      </c>
      <c r="P5713">
        <v>-1</v>
      </c>
      <c r="T5713" t="s">
        <v>21</v>
      </c>
      <c r="U5713">
        <v>146</v>
      </c>
      <c r="V5713">
        <v>28.1294</v>
      </c>
    </row>
    <row r="5714" spans="1:22" x14ac:dyDescent="0.35">
      <c r="A5714" s="3">
        <v>43724</v>
      </c>
      <c r="B5714" t="s">
        <v>54</v>
      </c>
      <c r="C5714">
        <v>18.55</v>
      </c>
      <c r="D5714">
        <v>18.75</v>
      </c>
      <c r="E5714">
        <v>18.489999999999998</v>
      </c>
      <c r="F5714">
        <v>18.72</v>
      </c>
      <c r="G5714">
        <v>18.725000000000001</v>
      </c>
      <c r="H5714">
        <v>0.25</v>
      </c>
      <c r="I5714">
        <v>570</v>
      </c>
      <c r="J5714">
        <v>0</v>
      </c>
      <c r="K5714">
        <v>3793</v>
      </c>
      <c r="L5714">
        <v>147</v>
      </c>
      <c r="M5714">
        <v>212</v>
      </c>
      <c r="N5714" t="s">
        <v>54</v>
      </c>
      <c r="O5714" s="3">
        <v>43936</v>
      </c>
      <c r="P5714">
        <v>-1</v>
      </c>
      <c r="S5714" s="3">
        <v>44707</v>
      </c>
      <c r="T5714" t="s">
        <v>23</v>
      </c>
      <c r="U5714">
        <v>162</v>
      </c>
      <c r="V5714">
        <v>28.65</v>
      </c>
    </row>
    <row r="5715" spans="1:22" x14ac:dyDescent="0.35">
      <c r="A5715" s="3">
        <v>43721</v>
      </c>
      <c r="B5715" t="s">
        <v>55</v>
      </c>
      <c r="C5715">
        <v>18.34</v>
      </c>
      <c r="D5715">
        <v>18.399999999999999</v>
      </c>
      <c r="E5715">
        <v>18.16</v>
      </c>
      <c r="F5715">
        <v>18.350000000000001</v>
      </c>
      <c r="G5715">
        <v>18.375</v>
      </c>
      <c r="H5715">
        <v>0</v>
      </c>
      <c r="I5715">
        <v>2074</v>
      </c>
      <c r="J5715">
        <v>0</v>
      </c>
      <c r="K5715">
        <v>7284</v>
      </c>
      <c r="L5715">
        <v>128</v>
      </c>
      <c r="M5715">
        <v>187</v>
      </c>
      <c r="N5715" t="s">
        <v>55</v>
      </c>
      <c r="O5715" s="3">
        <v>43908</v>
      </c>
      <c r="P5715">
        <v>-1</v>
      </c>
      <c r="T5715" t="s">
        <v>24</v>
      </c>
      <c r="U5715">
        <v>182</v>
      </c>
      <c r="V5715">
        <v>28.625</v>
      </c>
    </row>
    <row r="5716" spans="1:22" x14ac:dyDescent="0.35">
      <c r="A5716" s="3">
        <v>43721</v>
      </c>
      <c r="B5716" t="s">
        <v>54</v>
      </c>
      <c r="C5716">
        <v>18.45</v>
      </c>
      <c r="D5716">
        <v>18.5</v>
      </c>
      <c r="E5716">
        <v>18.329999999999998</v>
      </c>
      <c r="F5716">
        <v>18.48</v>
      </c>
      <c r="G5716">
        <v>18.475000000000001</v>
      </c>
      <c r="H5716">
        <v>0</v>
      </c>
      <c r="I5716">
        <v>827</v>
      </c>
      <c r="J5716">
        <v>0</v>
      </c>
      <c r="K5716">
        <v>3720</v>
      </c>
      <c r="L5716">
        <v>148</v>
      </c>
      <c r="M5716">
        <v>215</v>
      </c>
      <c r="N5716" t="s">
        <v>54</v>
      </c>
      <c r="O5716" s="3">
        <v>43936</v>
      </c>
      <c r="P5716">
        <v>-1</v>
      </c>
      <c r="T5716" t="s">
        <v>28</v>
      </c>
      <c r="U5716">
        <v>13</v>
      </c>
      <c r="V5716">
        <v>28.063600000000001</v>
      </c>
    </row>
    <row r="5717" spans="1:22" x14ac:dyDescent="0.35">
      <c r="A5717" s="3">
        <v>43721</v>
      </c>
      <c r="B5717" t="s">
        <v>53</v>
      </c>
      <c r="C5717">
        <v>18.32</v>
      </c>
      <c r="D5717">
        <v>18.47</v>
      </c>
      <c r="E5717">
        <v>18.29</v>
      </c>
      <c r="F5717">
        <v>18.45</v>
      </c>
      <c r="G5717">
        <v>18.45</v>
      </c>
      <c r="H5717">
        <v>0.05</v>
      </c>
      <c r="I5717">
        <v>215</v>
      </c>
      <c r="J5717">
        <v>0</v>
      </c>
      <c r="K5717">
        <v>633</v>
      </c>
      <c r="L5717">
        <v>173</v>
      </c>
      <c r="M5717">
        <v>250</v>
      </c>
      <c r="N5717" t="s">
        <v>53</v>
      </c>
      <c r="O5717" s="3">
        <v>43971</v>
      </c>
      <c r="P5717">
        <v>-1</v>
      </c>
      <c r="T5717" t="s">
        <v>22</v>
      </c>
      <c r="U5717">
        <v>37</v>
      </c>
      <c r="V5717">
        <v>29.060400000000001</v>
      </c>
    </row>
    <row r="5718" spans="1:22" x14ac:dyDescent="0.35">
      <c r="A5718" s="3">
        <v>43720</v>
      </c>
      <c r="B5718" t="s">
        <v>53</v>
      </c>
      <c r="C5718">
        <v>18.399999999999999</v>
      </c>
      <c r="D5718">
        <v>18.5</v>
      </c>
      <c r="E5718">
        <v>18.32</v>
      </c>
      <c r="F5718">
        <v>18.399999999999999</v>
      </c>
      <c r="G5718">
        <v>18.399999999999999</v>
      </c>
      <c r="H5718">
        <v>-7.4999999999999997E-2</v>
      </c>
      <c r="I5718">
        <v>297</v>
      </c>
      <c r="J5718">
        <v>0</v>
      </c>
      <c r="K5718">
        <v>555</v>
      </c>
      <c r="L5718">
        <v>174</v>
      </c>
      <c r="M5718">
        <v>251</v>
      </c>
      <c r="N5718" t="s">
        <v>53</v>
      </c>
      <c r="O5718" s="3">
        <v>43971</v>
      </c>
      <c r="P5718">
        <v>-1</v>
      </c>
      <c r="T5718" t="s">
        <v>26</v>
      </c>
      <c r="U5718">
        <v>57</v>
      </c>
      <c r="V5718">
        <v>29.197900000000001</v>
      </c>
    </row>
    <row r="5719" spans="1:22" x14ac:dyDescent="0.35">
      <c r="A5719" s="3">
        <v>43720</v>
      </c>
      <c r="B5719" t="s">
        <v>55</v>
      </c>
      <c r="C5719">
        <v>18.45</v>
      </c>
      <c r="D5719">
        <v>18.46</v>
      </c>
      <c r="E5719">
        <v>18.25</v>
      </c>
      <c r="F5719">
        <v>18.32</v>
      </c>
      <c r="G5719">
        <v>18.375</v>
      </c>
      <c r="H5719">
        <v>-0.05</v>
      </c>
      <c r="I5719">
        <v>1974</v>
      </c>
      <c r="J5719">
        <v>0</v>
      </c>
      <c r="K5719">
        <v>6976</v>
      </c>
      <c r="L5719">
        <v>129</v>
      </c>
      <c r="M5719">
        <v>188</v>
      </c>
      <c r="N5719" t="s">
        <v>55</v>
      </c>
      <c r="O5719" s="3">
        <v>43908</v>
      </c>
      <c r="P5719">
        <v>-1</v>
      </c>
      <c r="T5719" t="s">
        <v>27</v>
      </c>
      <c r="U5719">
        <v>81</v>
      </c>
      <c r="V5719">
        <v>29.4</v>
      </c>
    </row>
    <row r="5720" spans="1:22" x14ac:dyDescent="0.35">
      <c r="A5720" s="3">
        <v>43720</v>
      </c>
      <c r="B5720" t="s">
        <v>54</v>
      </c>
      <c r="C5720">
        <v>18.5</v>
      </c>
      <c r="D5720">
        <v>18.55</v>
      </c>
      <c r="E5720">
        <v>18.37</v>
      </c>
      <c r="F5720">
        <v>18.48</v>
      </c>
      <c r="G5720">
        <v>18.475000000000001</v>
      </c>
      <c r="H5720">
        <v>-0.05</v>
      </c>
      <c r="I5720">
        <v>1175</v>
      </c>
      <c r="J5720">
        <v>0</v>
      </c>
      <c r="K5720">
        <v>3598</v>
      </c>
      <c r="L5720">
        <v>149</v>
      </c>
      <c r="M5720">
        <v>216</v>
      </c>
      <c r="N5720" t="s">
        <v>54</v>
      </c>
      <c r="O5720" s="3">
        <v>43936</v>
      </c>
      <c r="P5720">
        <v>-1</v>
      </c>
      <c r="T5720" t="s">
        <v>25</v>
      </c>
      <c r="U5720">
        <v>101</v>
      </c>
      <c r="V5720">
        <v>29.437799999999999</v>
      </c>
    </row>
    <row r="5721" spans="1:22" x14ac:dyDescent="0.35">
      <c r="A5721" s="3">
        <v>43719</v>
      </c>
      <c r="B5721" t="s">
        <v>55</v>
      </c>
      <c r="C5721">
        <v>18.57</v>
      </c>
      <c r="D5721">
        <v>18.600000000000001</v>
      </c>
      <c r="E5721">
        <v>18.329999999999998</v>
      </c>
      <c r="F5721">
        <v>18.420000000000002</v>
      </c>
      <c r="G5721">
        <v>18.425000000000001</v>
      </c>
      <c r="H5721">
        <v>-0.15</v>
      </c>
      <c r="I5721">
        <v>1716</v>
      </c>
      <c r="J5721">
        <v>0</v>
      </c>
      <c r="K5721">
        <v>6156</v>
      </c>
      <c r="L5721">
        <v>130</v>
      </c>
      <c r="M5721">
        <v>189</v>
      </c>
      <c r="N5721" t="s">
        <v>55</v>
      </c>
      <c r="O5721" s="3">
        <v>43908</v>
      </c>
      <c r="P5721">
        <v>-1</v>
      </c>
      <c r="T5721" t="s">
        <v>20</v>
      </c>
      <c r="U5721">
        <v>121</v>
      </c>
      <c r="V5721">
        <v>28.994800000000001</v>
      </c>
    </row>
    <row r="5722" spans="1:22" x14ac:dyDescent="0.35">
      <c r="A5722" s="3">
        <v>43719</v>
      </c>
      <c r="B5722" t="s">
        <v>54</v>
      </c>
      <c r="C5722">
        <v>18.649999999999999</v>
      </c>
      <c r="D5722">
        <v>18.649999999999999</v>
      </c>
      <c r="E5722">
        <v>18.43</v>
      </c>
      <c r="F5722">
        <v>18.52</v>
      </c>
      <c r="G5722">
        <v>18.524999999999999</v>
      </c>
      <c r="H5722">
        <v>-0.125</v>
      </c>
      <c r="I5722">
        <v>843</v>
      </c>
      <c r="J5722">
        <v>0</v>
      </c>
      <c r="K5722">
        <v>3157</v>
      </c>
      <c r="L5722">
        <v>150</v>
      </c>
      <c r="M5722">
        <v>217</v>
      </c>
      <c r="N5722" t="s">
        <v>54</v>
      </c>
      <c r="O5722" s="3">
        <v>43936</v>
      </c>
      <c r="P5722">
        <v>-1</v>
      </c>
      <c r="T5722" t="s">
        <v>21</v>
      </c>
      <c r="U5722">
        <v>145</v>
      </c>
      <c r="V5722">
        <v>28.175000000000001</v>
      </c>
    </row>
    <row r="5723" spans="1:22" x14ac:dyDescent="0.35">
      <c r="A5723" s="3">
        <v>43719</v>
      </c>
      <c r="B5723" t="s">
        <v>53</v>
      </c>
      <c r="C5723">
        <v>18.600000000000001</v>
      </c>
      <c r="D5723">
        <v>18.600000000000001</v>
      </c>
      <c r="E5723">
        <v>18.350000000000001</v>
      </c>
      <c r="F5723">
        <v>18.47</v>
      </c>
      <c r="G5723">
        <v>18.475000000000001</v>
      </c>
      <c r="H5723">
        <v>-0.15</v>
      </c>
      <c r="I5723">
        <v>352</v>
      </c>
      <c r="J5723">
        <v>0</v>
      </c>
      <c r="K5723">
        <v>432</v>
      </c>
      <c r="L5723">
        <v>175</v>
      </c>
      <c r="M5723">
        <v>252</v>
      </c>
      <c r="N5723" t="s">
        <v>53</v>
      </c>
      <c r="O5723" s="3">
        <v>43971</v>
      </c>
      <c r="P5723">
        <v>-1</v>
      </c>
      <c r="S5723" s="3">
        <v>44708</v>
      </c>
      <c r="T5723" t="s">
        <v>23</v>
      </c>
      <c r="U5723">
        <v>161</v>
      </c>
      <c r="V5723">
        <v>28.3</v>
      </c>
    </row>
    <row r="5724" spans="1:22" x14ac:dyDescent="0.35">
      <c r="A5724" s="3">
        <v>43718</v>
      </c>
      <c r="B5724" t="s">
        <v>53</v>
      </c>
      <c r="C5724">
        <v>18.649999999999999</v>
      </c>
      <c r="D5724">
        <v>18.68</v>
      </c>
      <c r="E5724">
        <v>18.55</v>
      </c>
      <c r="F5724">
        <v>18.649999999999999</v>
      </c>
      <c r="G5724">
        <v>18.625</v>
      </c>
      <c r="H5724">
        <v>7.4999999999999997E-2</v>
      </c>
      <c r="I5724">
        <v>85</v>
      </c>
      <c r="J5724">
        <v>0</v>
      </c>
      <c r="K5724">
        <v>196</v>
      </c>
      <c r="L5724">
        <v>176</v>
      </c>
      <c r="M5724">
        <v>253</v>
      </c>
      <c r="N5724" t="s">
        <v>53</v>
      </c>
      <c r="O5724" s="3">
        <v>43971</v>
      </c>
      <c r="P5724">
        <v>-1</v>
      </c>
      <c r="T5724" t="s">
        <v>24</v>
      </c>
      <c r="U5724">
        <v>181</v>
      </c>
      <c r="V5724">
        <v>28.375</v>
      </c>
    </row>
    <row r="5725" spans="1:22" x14ac:dyDescent="0.35">
      <c r="A5725" s="3">
        <v>43718</v>
      </c>
      <c r="B5725" t="s">
        <v>55</v>
      </c>
      <c r="C5725">
        <v>18.420000000000002</v>
      </c>
      <c r="D5725">
        <v>18.649999999999999</v>
      </c>
      <c r="E5725">
        <v>18.399999999999999</v>
      </c>
      <c r="F5725">
        <v>18.55</v>
      </c>
      <c r="G5725">
        <v>18.574999999999999</v>
      </c>
      <c r="H5725">
        <v>0.15</v>
      </c>
      <c r="I5725">
        <v>1270</v>
      </c>
      <c r="J5725">
        <v>0</v>
      </c>
      <c r="K5725">
        <v>5933</v>
      </c>
      <c r="L5725">
        <v>131</v>
      </c>
      <c r="M5725">
        <v>190</v>
      </c>
      <c r="N5725" t="s">
        <v>55</v>
      </c>
      <c r="O5725" s="3">
        <v>43908</v>
      </c>
      <c r="P5725">
        <v>-1</v>
      </c>
      <c r="T5725" t="s">
        <v>28</v>
      </c>
      <c r="U5725">
        <v>12</v>
      </c>
      <c r="V5725">
        <v>26.867799999999999</v>
      </c>
    </row>
    <row r="5726" spans="1:22" x14ac:dyDescent="0.35">
      <c r="A5726" s="3">
        <v>43718</v>
      </c>
      <c r="B5726" t="s">
        <v>54</v>
      </c>
      <c r="C5726">
        <v>18.55</v>
      </c>
      <c r="D5726">
        <v>18.71</v>
      </c>
      <c r="E5726">
        <v>18.55</v>
      </c>
      <c r="F5726">
        <v>18.649999999999999</v>
      </c>
      <c r="G5726">
        <v>18.649999999999999</v>
      </c>
      <c r="H5726">
        <v>0.1</v>
      </c>
      <c r="I5726">
        <v>272</v>
      </c>
      <c r="J5726">
        <v>0</v>
      </c>
      <c r="K5726">
        <v>3055</v>
      </c>
      <c r="L5726">
        <v>151</v>
      </c>
      <c r="M5726">
        <v>218</v>
      </c>
      <c r="N5726" t="s">
        <v>54</v>
      </c>
      <c r="O5726" s="3">
        <v>43936</v>
      </c>
      <c r="P5726">
        <v>-1</v>
      </c>
      <c r="T5726" t="s">
        <v>22</v>
      </c>
      <c r="U5726">
        <v>36</v>
      </c>
      <c r="V5726">
        <v>28.173999999999999</v>
      </c>
    </row>
    <row r="5727" spans="1:22" x14ac:dyDescent="0.35">
      <c r="A5727" s="3">
        <v>43717</v>
      </c>
      <c r="B5727" t="s">
        <v>55</v>
      </c>
      <c r="C5727">
        <v>18.350000000000001</v>
      </c>
      <c r="D5727">
        <v>18.600000000000001</v>
      </c>
      <c r="E5727">
        <v>18.27</v>
      </c>
      <c r="F5727">
        <v>18.420000000000002</v>
      </c>
      <c r="G5727">
        <v>18.425000000000001</v>
      </c>
      <c r="H5727">
        <v>0</v>
      </c>
      <c r="I5727">
        <v>1208</v>
      </c>
      <c r="J5727">
        <v>0</v>
      </c>
      <c r="K5727">
        <v>5677</v>
      </c>
      <c r="L5727">
        <v>132</v>
      </c>
      <c r="M5727">
        <v>191</v>
      </c>
      <c r="N5727" t="s">
        <v>55</v>
      </c>
      <c r="O5727" s="3">
        <v>43908</v>
      </c>
      <c r="P5727">
        <v>-1</v>
      </c>
      <c r="T5727" t="s">
        <v>26</v>
      </c>
      <c r="U5727">
        <v>56</v>
      </c>
      <c r="V5727">
        <v>28.431999999999999</v>
      </c>
    </row>
    <row r="5728" spans="1:22" x14ac:dyDescent="0.35">
      <c r="A5728" s="3">
        <v>43717</v>
      </c>
      <c r="B5728" t="s">
        <v>54</v>
      </c>
      <c r="C5728">
        <v>18.420000000000002</v>
      </c>
      <c r="D5728">
        <v>18.7</v>
      </c>
      <c r="E5728">
        <v>18.399999999999999</v>
      </c>
      <c r="F5728">
        <v>18.53</v>
      </c>
      <c r="G5728">
        <v>18.55</v>
      </c>
      <c r="H5728">
        <v>7.4999999999999997E-2</v>
      </c>
      <c r="I5728">
        <v>317</v>
      </c>
      <c r="J5728">
        <v>0</v>
      </c>
      <c r="K5728">
        <v>2980</v>
      </c>
      <c r="L5728">
        <v>152</v>
      </c>
      <c r="M5728">
        <v>219</v>
      </c>
      <c r="N5728" t="s">
        <v>54</v>
      </c>
      <c r="O5728" s="3">
        <v>43936</v>
      </c>
      <c r="P5728">
        <v>-1</v>
      </c>
      <c r="T5728" t="s">
        <v>27</v>
      </c>
      <c r="U5728">
        <v>80</v>
      </c>
      <c r="V5728">
        <v>28.801600000000001</v>
      </c>
    </row>
    <row r="5729" spans="1:22" x14ac:dyDescent="0.35">
      <c r="A5729" s="3">
        <v>43717</v>
      </c>
      <c r="B5729" t="s">
        <v>53</v>
      </c>
      <c r="C5729">
        <v>18.43</v>
      </c>
      <c r="D5729">
        <v>18.649999999999999</v>
      </c>
      <c r="E5729">
        <v>18.420000000000002</v>
      </c>
      <c r="F5729">
        <v>18.55</v>
      </c>
      <c r="G5729">
        <v>18.55</v>
      </c>
      <c r="H5729">
        <v>0.05</v>
      </c>
      <c r="I5729">
        <v>57</v>
      </c>
      <c r="J5729">
        <v>0</v>
      </c>
      <c r="K5729">
        <v>133</v>
      </c>
      <c r="L5729">
        <v>177</v>
      </c>
      <c r="M5729">
        <v>254</v>
      </c>
      <c r="N5729" t="s">
        <v>53</v>
      </c>
      <c r="O5729" s="3">
        <v>43971</v>
      </c>
      <c r="P5729">
        <v>-1</v>
      </c>
      <c r="T5729" t="s">
        <v>25</v>
      </c>
      <c r="U5729">
        <v>100</v>
      </c>
      <c r="V5729">
        <v>28.9359</v>
      </c>
    </row>
    <row r="5730" spans="1:22" x14ac:dyDescent="0.35">
      <c r="A5730" s="3">
        <v>43714</v>
      </c>
      <c r="B5730" t="s">
        <v>53</v>
      </c>
      <c r="C5730">
        <v>18.61</v>
      </c>
      <c r="D5730">
        <v>18.61</v>
      </c>
      <c r="E5730">
        <v>18.53</v>
      </c>
      <c r="F5730">
        <v>18.53</v>
      </c>
      <c r="G5730">
        <v>18.5</v>
      </c>
      <c r="H5730">
        <v>-0.15</v>
      </c>
      <c r="I5730">
        <v>21</v>
      </c>
      <c r="J5730">
        <v>0</v>
      </c>
      <c r="K5730">
        <v>90</v>
      </c>
      <c r="L5730">
        <v>178</v>
      </c>
      <c r="M5730">
        <v>257</v>
      </c>
      <c r="N5730" t="s">
        <v>53</v>
      </c>
      <c r="O5730" s="3">
        <v>43971</v>
      </c>
      <c r="P5730">
        <v>-1</v>
      </c>
      <c r="T5730" t="s">
        <v>20</v>
      </c>
      <c r="U5730">
        <v>120</v>
      </c>
      <c r="V5730">
        <v>28.546800000000001</v>
      </c>
    </row>
    <row r="5731" spans="1:22" x14ac:dyDescent="0.35">
      <c r="A5731" s="3">
        <v>43714</v>
      </c>
      <c r="B5731" t="s">
        <v>55</v>
      </c>
      <c r="C5731">
        <v>18.649999999999999</v>
      </c>
      <c r="D5731">
        <v>18.649999999999999</v>
      </c>
      <c r="E5731">
        <v>18.37</v>
      </c>
      <c r="F5731">
        <v>18.399999999999999</v>
      </c>
      <c r="G5731">
        <v>18.425000000000001</v>
      </c>
      <c r="H5731">
        <v>-0.17499999999999999</v>
      </c>
      <c r="I5731">
        <v>1357</v>
      </c>
      <c r="J5731">
        <v>0</v>
      </c>
      <c r="K5731">
        <v>5597</v>
      </c>
      <c r="L5731">
        <v>133</v>
      </c>
      <c r="M5731">
        <v>194</v>
      </c>
      <c r="N5731" t="s">
        <v>55</v>
      </c>
      <c r="O5731" s="3">
        <v>43908</v>
      </c>
      <c r="P5731">
        <v>-1</v>
      </c>
      <c r="T5731" t="s">
        <v>21</v>
      </c>
      <c r="U5731">
        <v>144</v>
      </c>
      <c r="V5731">
        <v>27.7958</v>
      </c>
    </row>
    <row r="5732" spans="1:22" x14ac:dyDescent="0.35">
      <c r="A5732" s="3">
        <v>43714</v>
      </c>
      <c r="B5732" t="s">
        <v>54</v>
      </c>
      <c r="C5732">
        <v>18.600000000000001</v>
      </c>
      <c r="D5732">
        <v>18.649999999999999</v>
      </c>
      <c r="E5732">
        <v>18.399999999999999</v>
      </c>
      <c r="F5732">
        <v>18.5</v>
      </c>
      <c r="G5732">
        <v>18.475000000000001</v>
      </c>
      <c r="H5732">
        <v>-0.22500000000000001</v>
      </c>
      <c r="I5732">
        <v>274</v>
      </c>
      <c r="J5732">
        <v>0</v>
      </c>
      <c r="K5732">
        <v>2889</v>
      </c>
      <c r="L5732">
        <v>153</v>
      </c>
      <c r="M5732">
        <v>222</v>
      </c>
      <c r="N5732" t="s">
        <v>54</v>
      </c>
      <c r="O5732" s="3">
        <v>43936</v>
      </c>
      <c r="P5732">
        <v>-1</v>
      </c>
      <c r="S5732" s="3">
        <v>44712</v>
      </c>
      <c r="T5732" t="s">
        <v>23</v>
      </c>
      <c r="U5732">
        <v>160</v>
      </c>
      <c r="V5732">
        <v>28.5</v>
      </c>
    </row>
    <row r="5733" spans="1:22" x14ac:dyDescent="0.35">
      <c r="A5733" s="3">
        <v>43713</v>
      </c>
      <c r="B5733" t="s">
        <v>55</v>
      </c>
      <c r="C5733">
        <v>18.850000000000001</v>
      </c>
      <c r="D5733">
        <v>18.850000000000001</v>
      </c>
      <c r="E5733">
        <v>18.43</v>
      </c>
      <c r="F5733">
        <v>18.649999999999999</v>
      </c>
      <c r="G5733">
        <v>18.600000000000001</v>
      </c>
      <c r="H5733">
        <v>-0.22500000000000001</v>
      </c>
      <c r="I5733">
        <v>1548</v>
      </c>
      <c r="J5733">
        <v>0</v>
      </c>
      <c r="K5733">
        <v>5682</v>
      </c>
      <c r="L5733">
        <v>134</v>
      </c>
      <c r="M5733">
        <v>195</v>
      </c>
      <c r="N5733" t="s">
        <v>55</v>
      </c>
      <c r="O5733" s="3">
        <v>43908</v>
      </c>
      <c r="P5733">
        <v>-1</v>
      </c>
      <c r="T5733" t="s">
        <v>24</v>
      </c>
      <c r="U5733">
        <v>180</v>
      </c>
      <c r="V5733">
        <v>28.7</v>
      </c>
    </row>
    <row r="5734" spans="1:22" x14ac:dyDescent="0.35">
      <c r="A5734" s="3">
        <v>43713</v>
      </c>
      <c r="B5734" t="s">
        <v>54</v>
      </c>
      <c r="C5734">
        <v>18.91</v>
      </c>
      <c r="D5734">
        <v>18.95</v>
      </c>
      <c r="E5734">
        <v>18.55</v>
      </c>
      <c r="F5734">
        <v>18.72</v>
      </c>
      <c r="G5734">
        <v>18.7</v>
      </c>
      <c r="H5734">
        <v>-0.22500000000000001</v>
      </c>
      <c r="I5734">
        <v>380</v>
      </c>
      <c r="J5734">
        <v>0</v>
      </c>
      <c r="K5734">
        <v>2874</v>
      </c>
      <c r="L5734">
        <v>154</v>
      </c>
      <c r="M5734">
        <v>223</v>
      </c>
      <c r="N5734" t="s">
        <v>54</v>
      </c>
      <c r="O5734" s="3">
        <v>43936</v>
      </c>
      <c r="P5734">
        <v>-1</v>
      </c>
      <c r="T5734" t="s">
        <v>28</v>
      </c>
      <c r="U5734">
        <v>11</v>
      </c>
      <c r="V5734">
        <v>26.412299999999998</v>
      </c>
    </row>
    <row r="5735" spans="1:22" x14ac:dyDescent="0.35">
      <c r="A5735" s="3">
        <v>43713</v>
      </c>
      <c r="B5735" t="s">
        <v>53</v>
      </c>
      <c r="C5735">
        <v>18.95</v>
      </c>
      <c r="D5735">
        <v>18.98</v>
      </c>
      <c r="E5735">
        <v>18.57</v>
      </c>
      <c r="F5735">
        <v>18.57</v>
      </c>
      <c r="G5735">
        <v>18.649999999999999</v>
      </c>
      <c r="H5735">
        <v>-0.32500000000000001</v>
      </c>
      <c r="I5735">
        <v>31</v>
      </c>
      <c r="J5735">
        <v>0</v>
      </c>
      <c r="K5735">
        <v>71</v>
      </c>
      <c r="L5735">
        <v>179</v>
      </c>
      <c r="M5735">
        <v>258</v>
      </c>
      <c r="N5735" t="s">
        <v>53</v>
      </c>
      <c r="O5735" s="3">
        <v>43971</v>
      </c>
      <c r="P5735">
        <v>-1</v>
      </c>
      <c r="T5735" t="s">
        <v>22</v>
      </c>
      <c r="U5735">
        <v>35</v>
      </c>
      <c r="V5735">
        <v>27.790800000000001</v>
      </c>
    </row>
    <row r="5736" spans="1:22" x14ac:dyDescent="0.35">
      <c r="A5736" s="3">
        <v>43712</v>
      </c>
      <c r="B5736" t="s">
        <v>53</v>
      </c>
      <c r="C5736">
        <v>19.14</v>
      </c>
      <c r="D5736">
        <v>19.14</v>
      </c>
      <c r="E5736">
        <v>18.86</v>
      </c>
      <c r="F5736">
        <v>18.86</v>
      </c>
      <c r="G5736">
        <v>18.975000000000001</v>
      </c>
      <c r="H5736">
        <v>-0.375</v>
      </c>
      <c r="I5736">
        <v>32</v>
      </c>
      <c r="J5736">
        <v>0</v>
      </c>
      <c r="K5736">
        <v>42</v>
      </c>
      <c r="L5736">
        <v>180</v>
      </c>
      <c r="M5736">
        <v>259</v>
      </c>
      <c r="N5736" t="s">
        <v>53</v>
      </c>
      <c r="O5736" s="3">
        <v>43971</v>
      </c>
      <c r="P5736">
        <v>-1</v>
      </c>
      <c r="T5736" t="s">
        <v>26</v>
      </c>
      <c r="U5736">
        <v>55</v>
      </c>
      <c r="V5736">
        <v>28.238399999999999</v>
      </c>
    </row>
    <row r="5737" spans="1:22" x14ac:dyDescent="0.35">
      <c r="A5737" s="3">
        <v>43712</v>
      </c>
      <c r="B5737" t="s">
        <v>55</v>
      </c>
      <c r="C5737">
        <v>19.37</v>
      </c>
      <c r="D5737">
        <v>19.37</v>
      </c>
      <c r="E5737">
        <v>18.84</v>
      </c>
      <c r="F5737">
        <v>18.86</v>
      </c>
      <c r="G5737">
        <v>18.824999999999999</v>
      </c>
      <c r="H5737">
        <v>-0.52500000000000002</v>
      </c>
      <c r="I5737">
        <v>1040</v>
      </c>
      <c r="J5737">
        <v>0</v>
      </c>
      <c r="K5737">
        <v>5786</v>
      </c>
      <c r="L5737">
        <v>135</v>
      </c>
      <c r="M5737">
        <v>196</v>
      </c>
      <c r="N5737" t="s">
        <v>55</v>
      </c>
      <c r="O5737" s="3">
        <v>43908</v>
      </c>
      <c r="P5737">
        <v>-1</v>
      </c>
      <c r="T5737" t="s">
        <v>27</v>
      </c>
      <c r="U5737">
        <v>79</v>
      </c>
      <c r="V5737">
        <v>28.6233</v>
      </c>
    </row>
    <row r="5738" spans="1:22" x14ac:dyDescent="0.35">
      <c r="A5738" s="3">
        <v>43712</v>
      </c>
      <c r="B5738" t="s">
        <v>54</v>
      </c>
      <c r="C5738">
        <v>19.420000000000002</v>
      </c>
      <c r="D5738">
        <v>19.420000000000002</v>
      </c>
      <c r="E5738">
        <v>18.87</v>
      </c>
      <c r="F5738">
        <v>18.920000000000002</v>
      </c>
      <c r="G5738">
        <v>18.925000000000001</v>
      </c>
      <c r="H5738">
        <v>-0.45</v>
      </c>
      <c r="I5738">
        <v>275</v>
      </c>
      <c r="J5738">
        <v>0</v>
      </c>
      <c r="K5738">
        <v>2871</v>
      </c>
      <c r="L5738">
        <v>155</v>
      </c>
      <c r="M5738">
        <v>224</v>
      </c>
      <c r="N5738" t="s">
        <v>54</v>
      </c>
      <c r="O5738" s="3">
        <v>43936</v>
      </c>
      <c r="P5738">
        <v>-1</v>
      </c>
      <c r="T5738" t="s">
        <v>25</v>
      </c>
      <c r="U5738">
        <v>99</v>
      </c>
      <c r="V5738">
        <v>28.852399999999999</v>
      </c>
    </row>
    <row r="5739" spans="1:22" x14ac:dyDescent="0.35">
      <c r="A5739" s="3">
        <v>43711</v>
      </c>
      <c r="B5739" t="s">
        <v>55</v>
      </c>
      <c r="C5739">
        <v>19.149999999999999</v>
      </c>
      <c r="D5739">
        <v>19.46</v>
      </c>
      <c r="E5739">
        <v>18.93</v>
      </c>
      <c r="F5739">
        <v>19.37</v>
      </c>
      <c r="G5739">
        <v>19.350000000000001</v>
      </c>
      <c r="H5739">
        <v>0.375</v>
      </c>
      <c r="I5739">
        <v>2039</v>
      </c>
      <c r="J5739">
        <v>0</v>
      </c>
      <c r="K5739">
        <v>5749</v>
      </c>
      <c r="L5739">
        <v>136</v>
      </c>
      <c r="M5739">
        <v>197</v>
      </c>
      <c r="N5739" t="s">
        <v>55</v>
      </c>
      <c r="O5739" s="3">
        <v>43908</v>
      </c>
      <c r="P5739">
        <v>-1</v>
      </c>
      <c r="T5739" t="s">
        <v>20</v>
      </c>
      <c r="U5739">
        <v>119</v>
      </c>
      <c r="V5739">
        <v>28.554500000000001</v>
      </c>
    </row>
    <row r="5740" spans="1:22" x14ac:dyDescent="0.35">
      <c r="A5740" s="3">
        <v>43711</v>
      </c>
      <c r="B5740" t="s">
        <v>54</v>
      </c>
      <c r="C5740">
        <v>19.149999999999999</v>
      </c>
      <c r="D5740">
        <v>19.5</v>
      </c>
      <c r="E5740">
        <v>19.05</v>
      </c>
      <c r="F5740">
        <v>19.420000000000002</v>
      </c>
      <c r="G5740">
        <v>19.375</v>
      </c>
      <c r="H5740">
        <v>0.3</v>
      </c>
      <c r="I5740">
        <v>350</v>
      </c>
      <c r="J5740">
        <v>0</v>
      </c>
      <c r="K5740">
        <v>2805</v>
      </c>
      <c r="L5740">
        <v>156</v>
      </c>
      <c r="M5740">
        <v>225</v>
      </c>
      <c r="N5740" t="s">
        <v>54</v>
      </c>
      <c r="O5740" s="3">
        <v>43936</v>
      </c>
      <c r="P5740">
        <v>-1</v>
      </c>
      <c r="T5740" t="s">
        <v>21</v>
      </c>
      <c r="U5740">
        <v>143</v>
      </c>
      <c r="V5740">
        <v>27.817399999999999</v>
      </c>
    </row>
    <row r="5741" spans="1:22" x14ac:dyDescent="0.35">
      <c r="A5741" s="3">
        <v>43711</v>
      </c>
      <c r="B5741" t="s">
        <v>53</v>
      </c>
      <c r="C5741">
        <v>19.18</v>
      </c>
      <c r="D5741">
        <v>19.45</v>
      </c>
      <c r="E5741">
        <v>19.18</v>
      </c>
      <c r="F5741">
        <v>19.45</v>
      </c>
      <c r="G5741">
        <v>19.350000000000001</v>
      </c>
      <c r="H5741">
        <v>0.35</v>
      </c>
      <c r="I5741">
        <v>6</v>
      </c>
      <c r="J5741">
        <v>0</v>
      </c>
      <c r="K5741">
        <v>18</v>
      </c>
      <c r="L5741">
        <v>181</v>
      </c>
      <c r="M5741">
        <v>260</v>
      </c>
      <c r="N5741" t="s">
        <v>53</v>
      </c>
      <c r="O5741" s="3">
        <v>43971</v>
      </c>
      <c r="P5741">
        <v>-1</v>
      </c>
      <c r="S5741" s="3">
        <v>44713</v>
      </c>
      <c r="T5741" t="s">
        <v>23</v>
      </c>
      <c r="U5741">
        <v>159</v>
      </c>
      <c r="V5741">
        <v>28.35</v>
      </c>
    </row>
    <row r="5742" spans="1:22" x14ac:dyDescent="0.35">
      <c r="A5742" s="3">
        <v>43707</v>
      </c>
      <c r="B5742" t="s">
        <v>55</v>
      </c>
      <c r="C5742">
        <v>18.899999999999999</v>
      </c>
      <c r="D5742">
        <v>19.100000000000001</v>
      </c>
      <c r="E5742">
        <v>18.7</v>
      </c>
      <c r="F5742">
        <v>18.989999999999998</v>
      </c>
      <c r="G5742">
        <v>18.975000000000001</v>
      </c>
      <c r="H5742">
        <v>0.1</v>
      </c>
      <c r="I5742">
        <v>1073</v>
      </c>
      <c r="J5742">
        <v>0</v>
      </c>
      <c r="K5742">
        <v>6106</v>
      </c>
      <c r="L5742">
        <v>137</v>
      </c>
      <c r="M5742">
        <v>201</v>
      </c>
      <c r="N5742" t="s">
        <v>55</v>
      </c>
      <c r="O5742" s="3">
        <v>43908</v>
      </c>
      <c r="P5742">
        <v>-1</v>
      </c>
      <c r="T5742" t="s">
        <v>24</v>
      </c>
      <c r="U5742">
        <v>179</v>
      </c>
      <c r="V5742">
        <v>28.35</v>
      </c>
    </row>
    <row r="5743" spans="1:22" x14ac:dyDescent="0.35">
      <c r="A5743" s="3">
        <v>43707</v>
      </c>
      <c r="B5743" t="s">
        <v>54</v>
      </c>
      <c r="C5743">
        <v>18.899999999999999</v>
      </c>
      <c r="D5743">
        <v>19.149999999999999</v>
      </c>
      <c r="E5743">
        <v>18.8</v>
      </c>
      <c r="F5743">
        <v>19.100000000000001</v>
      </c>
      <c r="G5743">
        <v>19.074999999999999</v>
      </c>
      <c r="H5743">
        <v>0.15</v>
      </c>
      <c r="I5743">
        <v>342</v>
      </c>
      <c r="J5743">
        <v>0</v>
      </c>
      <c r="K5743">
        <v>2789</v>
      </c>
      <c r="L5743">
        <v>157</v>
      </c>
      <c r="M5743">
        <v>229</v>
      </c>
      <c r="N5743" t="s">
        <v>54</v>
      </c>
      <c r="O5743" s="3">
        <v>43936</v>
      </c>
      <c r="P5743">
        <v>-1</v>
      </c>
      <c r="T5743" t="s">
        <v>28</v>
      </c>
      <c r="U5743">
        <v>10</v>
      </c>
      <c r="V5743">
        <v>26.1937</v>
      </c>
    </row>
    <row r="5744" spans="1:22" x14ac:dyDescent="0.35">
      <c r="A5744" s="3">
        <v>43706</v>
      </c>
      <c r="B5744" t="s">
        <v>53</v>
      </c>
      <c r="C5744">
        <v>18.850000000000001</v>
      </c>
      <c r="D5744">
        <v>18.850000000000001</v>
      </c>
      <c r="E5744">
        <v>18.850000000000001</v>
      </c>
      <c r="F5744">
        <v>18.850000000000001</v>
      </c>
      <c r="G5744">
        <v>18.8</v>
      </c>
      <c r="H5744">
        <v>-0.6</v>
      </c>
      <c r="I5744">
        <v>1</v>
      </c>
      <c r="J5744">
        <v>0</v>
      </c>
      <c r="K5744">
        <v>12</v>
      </c>
      <c r="L5744">
        <v>183</v>
      </c>
      <c r="M5744">
        <v>265</v>
      </c>
      <c r="N5744" t="s">
        <v>53</v>
      </c>
      <c r="O5744" s="3">
        <v>43971</v>
      </c>
      <c r="P5744">
        <v>-1</v>
      </c>
      <c r="T5744" t="s">
        <v>22</v>
      </c>
      <c r="U5744">
        <v>34</v>
      </c>
      <c r="V5744">
        <v>27.571400000000001</v>
      </c>
    </row>
    <row r="5745" spans="1:22" x14ac:dyDescent="0.35">
      <c r="A5745" s="3">
        <v>43706</v>
      </c>
      <c r="B5745" t="s">
        <v>55</v>
      </c>
      <c r="C5745">
        <v>19.2</v>
      </c>
      <c r="D5745">
        <v>19.350000000000001</v>
      </c>
      <c r="E5745">
        <v>18.8</v>
      </c>
      <c r="F5745">
        <v>18.87</v>
      </c>
      <c r="G5745">
        <v>18.875</v>
      </c>
      <c r="H5745">
        <v>-0.3</v>
      </c>
      <c r="I5745">
        <v>1440</v>
      </c>
      <c r="J5745">
        <v>0</v>
      </c>
      <c r="K5745">
        <v>5767</v>
      </c>
      <c r="L5745">
        <v>138</v>
      </c>
      <c r="M5745">
        <v>202</v>
      </c>
      <c r="N5745" t="s">
        <v>55</v>
      </c>
      <c r="O5745" s="3">
        <v>43908</v>
      </c>
      <c r="P5745">
        <v>-1</v>
      </c>
      <c r="T5745" t="s">
        <v>26</v>
      </c>
      <c r="U5745">
        <v>54</v>
      </c>
      <c r="V5745">
        <v>28.049600000000002</v>
      </c>
    </row>
    <row r="5746" spans="1:22" x14ac:dyDescent="0.35">
      <c r="A5746" s="3">
        <v>43706</v>
      </c>
      <c r="B5746" t="s">
        <v>54</v>
      </c>
      <c r="C5746">
        <v>19.3</v>
      </c>
      <c r="D5746">
        <v>19.350000000000001</v>
      </c>
      <c r="E5746">
        <v>18.850000000000001</v>
      </c>
      <c r="F5746">
        <v>18.95</v>
      </c>
      <c r="G5746">
        <v>18.925000000000001</v>
      </c>
      <c r="H5746">
        <v>-0.35</v>
      </c>
      <c r="I5746">
        <v>211</v>
      </c>
      <c r="J5746">
        <v>0</v>
      </c>
      <c r="K5746">
        <v>2763</v>
      </c>
      <c r="L5746">
        <v>158</v>
      </c>
      <c r="M5746">
        <v>230</v>
      </c>
      <c r="N5746" t="s">
        <v>54</v>
      </c>
      <c r="O5746" s="3">
        <v>43936</v>
      </c>
      <c r="P5746">
        <v>-1</v>
      </c>
      <c r="T5746" t="s">
        <v>27</v>
      </c>
      <c r="U5746">
        <v>78</v>
      </c>
      <c r="V5746">
        <v>28.513000000000002</v>
      </c>
    </row>
    <row r="5747" spans="1:22" x14ac:dyDescent="0.35">
      <c r="A5747" s="3">
        <v>43705</v>
      </c>
      <c r="B5747" t="s">
        <v>55</v>
      </c>
      <c r="C5747">
        <v>19.350000000000001</v>
      </c>
      <c r="D5747">
        <v>19.68</v>
      </c>
      <c r="E5747">
        <v>19.170000000000002</v>
      </c>
      <c r="F5747">
        <v>19.25</v>
      </c>
      <c r="G5747">
        <v>19.175000000000001</v>
      </c>
      <c r="H5747">
        <v>-0.25</v>
      </c>
      <c r="I5747">
        <v>1237</v>
      </c>
      <c r="J5747">
        <v>0</v>
      </c>
      <c r="K5747">
        <v>5494</v>
      </c>
      <c r="L5747">
        <v>139</v>
      </c>
      <c r="M5747">
        <v>203</v>
      </c>
      <c r="N5747" t="s">
        <v>55</v>
      </c>
      <c r="O5747" s="3">
        <v>43908</v>
      </c>
      <c r="P5747">
        <v>-1</v>
      </c>
      <c r="T5747" t="s">
        <v>25</v>
      </c>
      <c r="U5747">
        <v>98</v>
      </c>
      <c r="V5747">
        <v>28.702100000000002</v>
      </c>
    </row>
    <row r="5748" spans="1:22" x14ac:dyDescent="0.35">
      <c r="A5748" s="3">
        <v>43705</v>
      </c>
      <c r="B5748" t="s">
        <v>54</v>
      </c>
      <c r="C5748">
        <v>19.399999999999999</v>
      </c>
      <c r="D5748">
        <v>19.75</v>
      </c>
      <c r="E5748">
        <v>19.25</v>
      </c>
      <c r="F5748">
        <v>19.25</v>
      </c>
      <c r="G5748">
        <v>19.274999999999999</v>
      </c>
      <c r="H5748">
        <v>-0.22500000000000001</v>
      </c>
      <c r="I5748">
        <v>656</v>
      </c>
      <c r="J5748">
        <v>0</v>
      </c>
      <c r="K5748">
        <v>2711</v>
      </c>
      <c r="L5748">
        <v>159</v>
      </c>
      <c r="M5748">
        <v>231</v>
      </c>
      <c r="N5748" t="s">
        <v>54</v>
      </c>
      <c r="O5748" s="3">
        <v>43936</v>
      </c>
      <c r="P5748">
        <v>-1</v>
      </c>
      <c r="T5748" t="s">
        <v>20</v>
      </c>
      <c r="U5748">
        <v>118</v>
      </c>
      <c r="V5748">
        <v>28.4466</v>
      </c>
    </row>
    <row r="5749" spans="1:22" x14ac:dyDescent="0.35">
      <c r="A5749" s="3">
        <v>43704</v>
      </c>
      <c r="B5749" t="s">
        <v>55</v>
      </c>
      <c r="C5749">
        <v>19.149999999999999</v>
      </c>
      <c r="D5749">
        <v>19.55</v>
      </c>
      <c r="E5749">
        <v>18.989999999999998</v>
      </c>
      <c r="F5749">
        <v>19.350000000000001</v>
      </c>
      <c r="G5749">
        <v>19.425000000000001</v>
      </c>
      <c r="H5749">
        <v>0.3</v>
      </c>
      <c r="I5749">
        <v>1627</v>
      </c>
      <c r="J5749">
        <v>0</v>
      </c>
      <c r="K5749">
        <v>5312</v>
      </c>
      <c r="L5749">
        <v>140</v>
      </c>
      <c r="M5749">
        <v>204</v>
      </c>
      <c r="N5749" t="s">
        <v>55</v>
      </c>
      <c r="O5749" s="3">
        <v>43908</v>
      </c>
      <c r="P5749">
        <v>-1</v>
      </c>
      <c r="T5749" t="s">
        <v>21</v>
      </c>
      <c r="U5749">
        <v>142</v>
      </c>
      <c r="V5749">
        <v>27.741700000000002</v>
      </c>
    </row>
    <row r="5750" spans="1:22" x14ac:dyDescent="0.35">
      <c r="A5750" s="3">
        <v>43704</v>
      </c>
      <c r="B5750" t="s">
        <v>54</v>
      </c>
      <c r="C5750">
        <v>19.23</v>
      </c>
      <c r="D5750">
        <v>19.600000000000001</v>
      </c>
      <c r="E5750">
        <v>19.100000000000001</v>
      </c>
      <c r="F5750">
        <v>19.45</v>
      </c>
      <c r="G5750">
        <v>19.5</v>
      </c>
      <c r="H5750">
        <v>0.25</v>
      </c>
      <c r="I5750">
        <v>445</v>
      </c>
      <c r="J5750">
        <v>0</v>
      </c>
      <c r="K5750">
        <v>2425</v>
      </c>
      <c r="L5750">
        <v>160</v>
      </c>
      <c r="M5750">
        <v>232</v>
      </c>
      <c r="N5750" t="s">
        <v>54</v>
      </c>
      <c r="O5750" s="3">
        <v>43936</v>
      </c>
      <c r="P5750">
        <v>-1</v>
      </c>
      <c r="S5750" s="3">
        <v>44714</v>
      </c>
      <c r="T5750" t="s">
        <v>23</v>
      </c>
      <c r="U5750">
        <v>158</v>
      </c>
      <c r="V5750">
        <v>27.9</v>
      </c>
    </row>
    <row r="5751" spans="1:22" x14ac:dyDescent="0.35">
      <c r="A5751" s="3">
        <v>43704</v>
      </c>
      <c r="B5751" t="s">
        <v>53</v>
      </c>
      <c r="C5751">
        <v>19.5</v>
      </c>
      <c r="D5751">
        <v>19.52</v>
      </c>
      <c r="E5751">
        <v>19.46</v>
      </c>
      <c r="F5751">
        <v>19.52</v>
      </c>
      <c r="G5751">
        <v>19.5</v>
      </c>
      <c r="H5751">
        <v>0.25</v>
      </c>
      <c r="I5751">
        <v>10</v>
      </c>
      <c r="J5751">
        <v>0</v>
      </c>
      <c r="K5751">
        <v>11</v>
      </c>
      <c r="L5751">
        <v>185</v>
      </c>
      <c r="M5751">
        <v>267</v>
      </c>
      <c r="N5751" t="s">
        <v>53</v>
      </c>
      <c r="O5751" s="3">
        <v>43971</v>
      </c>
      <c r="P5751">
        <v>-1</v>
      </c>
      <c r="T5751" t="s">
        <v>24</v>
      </c>
      <c r="U5751">
        <v>178</v>
      </c>
      <c r="V5751">
        <v>27.9</v>
      </c>
    </row>
    <row r="5752" spans="1:22" x14ac:dyDescent="0.35">
      <c r="A5752" s="3">
        <v>43703</v>
      </c>
      <c r="B5752" t="s">
        <v>53</v>
      </c>
      <c r="C5752">
        <v>19.28</v>
      </c>
      <c r="D5752">
        <v>19.3</v>
      </c>
      <c r="E5752">
        <v>19.22</v>
      </c>
      <c r="F5752">
        <v>19.23</v>
      </c>
      <c r="G5752">
        <v>19.25</v>
      </c>
      <c r="H5752">
        <v>0</v>
      </c>
      <c r="I5752">
        <v>10</v>
      </c>
      <c r="J5752">
        <v>0</v>
      </c>
      <c r="K5752">
        <v>6</v>
      </c>
      <c r="L5752">
        <v>186</v>
      </c>
      <c r="M5752">
        <v>268</v>
      </c>
      <c r="N5752" t="s">
        <v>53</v>
      </c>
      <c r="O5752" s="3">
        <v>43971</v>
      </c>
      <c r="P5752">
        <v>-1</v>
      </c>
      <c r="T5752" t="s">
        <v>28</v>
      </c>
      <c r="U5752">
        <v>9</v>
      </c>
      <c r="V5752">
        <v>25.600100000000001</v>
      </c>
    </row>
    <row r="5753" spans="1:22" x14ac:dyDescent="0.35">
      <c r="A5753" s="3">
        <v>43703</v>
      </c>
      <c r="B5753" t="s">
        <v>55</v>
      </c>
      <c r="C5753">
        <v>19.399999999999999</v>
      </c>
      <c r="D5753">
        <v>19.63</v>
      </c>
      <c r="E5753">
        <v>18.899999999999999</v>
      </c>
      <c r="F5753">
        <v>19.149999999999999</v>
      </c>
      <c r="G5753">
        <v>19.125</v>
      </c>
      <c r="H5753">
        <v>-0.1</v>
      </c>
      <c r="I5753">
        <v>2273</v>
      </c>
      <c r="J5753">
        <v>0</v>
      </c>
      <c r="K5753">
        <v>5200</v>
      </c>
      <c r="L5753">
        <v>141</v>
      </c>
      <c r="M5753">
        <v>205</v>
      </c>
      <c r="N5753" t="s">
        <v>55</v>
      </c>
      <c r="O5753" s="3">
        <v>43908</v>
      </c>
      <c r="P5753">
        <v>-1</v>
      </c>
      <c r="T5753" t="s">
        <v>22</v>
      </c>
      <c r="U5753">
        <v>33</v>
      </c>
      <c r="V5753">
        <v>27.082799999999999</v>
      </c>
    </row>
    <row r="5754" spans="1:22" x14ac:dyDescent="0.35">
      <c r="A5754" s="3">
        <v>43703</v>
      </c>
      <c r="B5754" t="s">
        <v>54</v>
      </c>
      <c r="C5754">
        <v>19.48</v>
      </c>
      <c r="D5754">
        <v>19.72</v>
      </c>
      <c r="E5754">
        <v>19</v>
      </c>
      <c r="F5754">
        <v>19.25</v>
      </c>
      <c r="G5754">
        <v>19.25</v>
      </c>
      <c r="H5754">
        <v>-0.05</v>
      </c>
      <c r="I5754">
        <v>1290</v>
      </c>
      <c r="J5754">
        <v>0</v>
      </c>
      <c r="K5754">
        <v>2265</v>
      </c>
      <c r="L5754">
        <v>161</v>
      </c>
      <c r="M5754">
        <v>233</v>
      </c>
      <c r="N5754" t="s">
        <v>54</v>
      </c>
      <c r="O5754" s="3">
        <v>43936</v>
      </c>
      <c r="P5754">
        <v>-1</v>
      </c>
      <c r="T5754" t="s">
        <v>26</v>
      </c>
      <c r="U5754">
        <v>53</v>
      </c>
      <c r="V5754">
        <v>27.472899999999999</v>
      </c>
    </row>
    <row r="5755" spans="1:22" x14ac:dyDescent="0.35">
      <c r="A5755" s="3">
        <v>43700</v>
      </c>
      <c r="B5755" t="s">
        <v>55</v>
      </c>
      <c r="C5755">
        <v>18.3</v>
      </c>
      <c r="D5755">
        <v>19.5</v>
      </c>
      <c r="E5755">
        <v>18.27</v>
      </c>
      <c r="F5755">
        <v>19.2</v>
      </c>
      <c r="G5755">
        <v>19.225000000000001</v>
      </c>
      <c r="H5755">
        <v>0.8</v>
      </c>
      <c r="I5755">
        <v>1983</v>
      </c>
      <c r="J5755">
        <v>0</v>
      </c>
      <c r="K5755">
        <v>4830</v>
      </c>
      <c r="L5755">
        <v>142</v>
      </c>
      <c r="M5755">
        <v>208</v>
      </c>
      <c r="N5755" t="s">
        <v>55</v>
      </c>
      <c r="O5755" s="3">
        <v>43908</v>
      </c>
      <c r="P5755">
        <v>-1</v>
      </c>
      <c r="T5755" t="s">
        <v>27</v>
      </c>
      <c r="U5755">
        <v>77</v>
      </c>
      <c r="V5755">
        <v>27.998999999999999</v>
      </c>
    </row>
    <row r="5756" spans="1:22" x14ac:dyDescent="0.35">
      <c r="A5756" s="3">
        <v>43700</v>
      </c>
      <c r="B5756" t="s">
        <v>54</v>
      </c>
      <c r="C5756">
        <v>18.45</v>
      </c>
      <c r="D5756">
        <v>19.579999999999998</v>
      </c>
      <c r="E5756">
        <v>18.399999999999999</v>
      </c>
      <c r="F5756">
        <v>19.29</v>
      </c>
      <c r="G5756">
        <v>19.3</v>
      </c>
      <c r="H5756">
        <v>0.75</v>
      </c>
      <c r="I5756">
        <v>735</v>
      </c>
      <c r="J5756">
        <v>0</v>
      </c>
      <c r="K5756">
        <v>1791</v>
      </c>
      <c r="L5756">
        <v>162</v>
      </c>
      <c r="M5756">
        <v>236</v>
      </c>
      <c r="N5756" t="s">
        <v>54</v>
      </c>
      <c r="O5756" s="3">
        <v>43936</v>
      </c>
      <c r="P5756">
        <v>-1</v>
      </c>
      <c r="T5756" t="s">
        <v>25</v>
      </c>
      <c r="U5756">
        <v>97</v>
      </c>
      <c r="V5756">
        <v>28.2224</v>
      </c>
    </row>
    <row r="5757" spans="1:22" x14ac:dyDescent="0.35">
      <c r="A5757" s="3">
        <v>43699</v>
      </c>
      <c r="B5757" t="s">
        <v>55</v>
      </c>
      <c r="C5757">
        <v>18.25</v>
      </c>
      <c r="D5757">
        <v>18.52</v>
      </c>
      <c r="E5757">
        <v>18.170000000000002</v>
      </c>
      <c r="F5757">
        <v>18.37</v>
      </c>
      <c r="G5757">
        <v>18.425000000000001</v>
      </c>
      <c r="H5757">
        <v>0.125</v>
      </c>
      <c r="I5757">
        <v>1436</v>
      </c>
      <c r="J5757">
        <v>0</v>
      </c>
      <c r="K5757">
        <v>4198</v>
      </c>
      <c r="L5757">
        <v>143</v>
      </c>
      <c r="M5757">
        <v>209</v>
      </c>
      <c r="N5757" t="s">
        <v>55</v>
      </c>
      <c r="O5757" s="3">
        <v>43908</v>
      </c>
      <c r="P5757">
        <v>-1</v>
      </c>
      <c r="T5757" t="s">
        <v>20</v>
      </c>
      <c r="U5757">
        <v>117</v>
      </c>
      <c r="V5757">
        <v>28</v>
      </c>
    </row>
    <row r="5758" spans="1:22" x14ac:dyDescent="0.35">
      <c r="A5758" s="3">
        <v>43699</v>
      </c>
      <c r="B5758" t="s">
        <v>54</v>
      </c>
      <c r="C5758">
        <v>18.350000000000001</v>
      </c>
      <c r="D5758">
        <v>18.649999999999999</v>
      </c>
      <c r="E5758">
        <v>18.3</v>
      </c>
      <c r="F5758">
        <v>18.5</v>
      </c>
      <c r="G5758">
        <v>18.55</v>
      </c>
      <c r="H5758">
        <v>0.125</v>
      </c>
      <c r="I5758">
        <v>860</v>
      </c>
      <c r="J5758">
        <v>0</v>
      </c>
      <c r="K5758">
        <v>1514</v>
      </c>
      <c r="L5758">
        <v>163</v>
      </c>
      <c r="M5758">
        <v>237</v>
      </c>
      <c r="N5758" t="s">
        <v>54</v>
      </c>
      <c r="O5758" s="3">
        <v>43936</v>
      </c>
      <c r="P5758">
        <v>-1</v>
      </c>
      <c r="T5758" t="s">
        <v>21</v>
      </c>
      <c r="U5758">
        <v>141</v>
      </c>
      <c r="V5758">
        <v>27.3</v>
      </c>
    </row>
    <row r="5759" spans="1:22" x14ac:dyDescent="0.35">
      <c r="A5759" s="3">
        <v>43698</v>
      </c>
      <c r="B5759" t="s">
        <v>55</v>
      </c>
      <c r="C5759">
        <v>18.55</v>
      </c>
      <c r="D5759">
        <v>18.55</v>
      </c>
      <c r="E5759">
        <v>18.190000000000001</v>
      </c>
      <c r="F5759">
        <v>18.25</v>
      </c>
      <c r="G5759">
        <v>18.3</v>
      </c>
      <c r="H5759">
        <v>-0.25</v>
      </c>
      <c r="I5759">
        <v>974</v>
      </c>
      <c r="J5759">
        <v>0</v>
      </c>
      <c r="K5759">
        <v>3856</v>
      </c>
      <c r="L5759">
        <v>144</v>
      </c>
      <c r="M5759">
        <v>210</v>
      </c>
      <c r="N5759" t="s">
        <v>55</v>
      </c>
      <c r="O5759" s="3">
        <v>43908</v>
      </c>
      <c r="P5759">
        <v>-1</v>
      </c>
      <c r="S5759" s="3">
        <v>44715</v>
      </c>
      <c r="T5759" t="s">
        <v>23</v>
      </c>
      <c r="U5759">
        <v>157</v>
      </c>
      <c r="V5759">
        <v>28.274999999999999</v>
      </c>
    </row>
    <row r="5760" spans="1:22" x14ac:dyDescent="0.35">
      <c r="A5760" s="3">
        <v>43698</v>
      </c>
      <c r="B5760" t="s">
        <v>54</v>
      </c>
      <c r="C5760">
        <v>18.5</v>
      </c>
      <c r="D5760">
        <v>18.649999999999999</v>
      </c>
      <c r="E5760">
        <v>18.34</v>
      </c>
      <c r="F5760">
        <v>18.38</v>
      </c>
      <c r="G5760">
        <v>18.425000000000001</v>
      </c>
      <c r="H5760">
        <v>-0.3</v>
      </c>
      <c r="I5760">
        <v>360</v>
      </c>
      <c r="J5760">
        <v>0</v>
      </c>
      <c r="K5760">
        <v>1236</v>
      </c>
      <c r="L5760">
        <v>164</v>
      </c>
      <c r="M5760">
        <v>238</v>
      </c>
      <c r="N5760" t="s">
        <v>54</v>
      </c>
      <c r="O5760" s="3">
        <v>43936</v>
      </c>
      <c r="P5760">
        <v>-1</v>
      </c>
      <c r="T5760" t="s">
        <v>24</v>
      </c>
      <c r="U5760">
        <v>177</v>
      </c>
      <c r="V5760">
        <v>28.2</v>
      </c>
    </row>
    <row r="5761" spans="1:22" x14ac:dyDescent="0.35">
      <c r="A5761" s="3">
        <v>43697</v>
      </c>
      <c r="B5761" t="s">
        <v>55</v>
      </c>
      <c r="C5761">
        <v>18.12</v>
      </c>
      <c r="D5761">
        <v>18.55</v>
      </c>
      <c r="E5761">
        <v>18.07</v>
      </c>
      <c r="F5761">
        <v>18.55</v>
      </c>
      <c r="G5761">
        <v>18.55</v>
      </c>
      <c r="H5761">
        <v>0.42499999999999999</v>
      </c>
      <c r="I5761">
        <v>726</v>
      </c>
      <c r="J5761">
        <v>0</v>
      </c>
      <c r="K5761">
        <v>3551</v>
      </c>
      <c r="L5761">
        <v>145</v>
      </c>
      <c r="M5761">
        <v>211</v>
      </c>
      <c r="N5761" t="s">
        <v>55</v>
      </c>
      <c r="O5761" s="3">
        <v>43908</v>
      </c>
      <c r="P5761">
        <v>-1</v>
      </c>
      <c r="T5761" t="s">
        <v>28</v>
      </c>
      <c r="U5761">
        <v>8</v>
      </c>
      <c r="V5761">
        <v>25.962700000000002</v>
      </c>
    </row>
    <row r="5762" spans="1:22" x14ac:dyDescent="0.35">
      <c r="A5762" s="3">
        <v>43697</v>
      </c>
      <c r="B5762" t="s">
        <v>54</v>
      </c>
      <c r="C5762">
        <v>18.3</v>
      </c>
      <c r="D5762">
        <v>18.649999999999999</v>
      </c>
      <c r="E5762">
        <v>18.25</v>
      </c>
      <c r="F5762">
        <v>18.62</v>
      </c>
      <c r="G5762">
        <v>18.725000000000001</v>
      </c>
      <c r="H5762">
        <v>0.5</v>
      </c>
      <c r="I5762">
        <v>226</v>
      </c>
      <c r="J5762">
        <v>0</v>
      </c>
      <c r="K5762">
        <v>1026</v>
      </c>
      <c r="L5762">
        <v>165</v>
      </c>
      <c r="M5762">
        <v>239</v>
      </c>
      <c r="N5762" t="s">
        <v>54</v>
      </c>
      <c r="O5762" s="3">
        <v>43936</v>
      </c>
      <c r="P5762">
        <v>-1</v>
      </c>
      <c r="T5762" t="s">
        <v>22</v>
      </c>
      <c r="U5762">
        <v>32</v>
      </c>
      <c r="V5762">
        <v>27.303899999999999</v>
      </c>
    </row>
    <row r="5763" spans="1:22" x14ac:dyDescent="0.35">
      <c r="A5763" s="3">
        <v>43696</v>
      </c>
      <c r="B5763" t="s">
        <v>55</v>
      </c>
      <c r="C5763">
        <v>18.399999999999999</v>
      </c>
      <c r="D5763">
        <v>18.399999999999999</v>
      </c>
      <c r="E5763">
        <v>18.07</v>
      </c>
      <c r="F5763">
        <v>18.12</v>
      </c>
      <c r="G5763">
        <v>18.125</v>
      </c>
      <c r="H5763">
        <v>-0.375</v>
      </c>
      <c r="I5763">
        <v>971</v>
      </c>
      <c r="J5763">
        <v>0</v>
      </c>
      <c r="K5763">
        <v>3381</v>
      </c>
      <c r="L5763">
        <v>146</v>
      </c>
      <c r="M5763">
        <v>212</v>
      </c>
      <c r="N5763" t="s">
        <v>55</v>
      </c>
      <c r="O5763" s="3">
        <v>43908</v>
      </c>
      <c r="P5763">
        <v>-1</v>
      </c>
      <c r="T5763" t="s">
        <v>26</v>
      </c>
      <c r="U5763">
        <v>52</v>
      </c>
      <c r="V5763">
        <v>27.742000000000001</v>
      </c>
    </row>
    <row r="5764" spans="1:22" x14ac:dyDescent="0.35">
      <c r="A5764" s="3">
        <v>43696</v>
      </c>
      <c r="B5764" t="s">
        <v>54</v>
      </c>
      <c r="C5764">
        <v>18.55</v>
      </c>
      <c r="D5764">
        <v>18.55</v>
      </c>
      <c r="E5764">
        <v>18.2</v>
      </c>
      <c r="F5764">
        <v>18.2</v>
      </c>
      <c r="G5764">
        <v>18.225000000000001</v>
      </c>
      <c r="H5764">
        <v>-0.4</v>
      </c>
      <c r="I5764">
        <v>441</v>
      </c>
      <c r="J5764">
        <v>0</v>
      </c>
      <c r="K5764">
        <v>980</v>
      </c>
      <c r="L5764">
        <v>166</v>
      </c>
      <c r="M5764">
        <v>240</v>
      </c>
      <c r="N5764" t="s">
        <v>54</v>
      </c>
      <c r="O5764" s="3">
        <v>43936</v>
      </c>
      <c r="P5764">
        <v>-1</v>
      </c>
      <c r="T5764" t="s">
        <v>27</v>
      </c>
      <c r="U5764">
        <v>76</v>
      </c>
      <c r="V5764">
        <v>28.220600000000001</v>
      </c>
    </row>
    <row r="5765" spans="1:22" x14ac:dyDescent="0.35">
      <c r="A5765" s="3">
        <v>43693</v>
      </c>
      <c r="B5765" t="s">
        <v>55</v>
      </c>
      <c r="C5765">
        <v>18.8</v>
      </c>
      <c r="D5765">
        <v>18.8</v>
      </c>
      <c r="E5765">
        <v>18.45</v>
      </c>
      <c r="F5765">
        <v>18.45</v>
      </c>
      <c r="G5765">
        <v>18.5</v>
      </c>
      <c r="H5765">
        <v>-0.375</v>
      </c>
      <c r="I5765">
        <v>336</v>
      </c>
      <c r="J5765">
        <v>0</v>
      </c>
      <c r="K5765">
        <v>3404</v>
      </c>
      <c r="L5765">
        <v>147</v>
      </c>
      <c r="M5765">
        <v>215</v>
      </c>
      <c r="N5765" t="s">
        <v>55</v>
      </c>
      <c r="O5765" s="3">
        <v>43908</v>
      </c>
      <c r="P5765">
        <v>-1</v>
      </c>
      <c r="T5765" t="s">
        <v>25</v>
      </c>
      <c r="U5765">
        <v>96</v>
      </c>
      <c r="V5765">
        <v>28.55</v>
      </c>
    </row>
    <row r="5766" spans="1:22" x14ac:dyDescent="0.35">
      <c r="A5766" s="3">
        <v>43693</v>
      </c>
      <c r="B5766" t="s">
        <v>54</v>
      </c>
      <c r="C5766">
        <v>18.78</v>
      </c>
      <c r="D5766">
        <v>18.850000000000001</v>
      </c>
      <c r="E5766">
        <v>18.62</v>
      </c>
      <c r="F5766">
        <v>18.62</v>
      </c>
      <c r="G5766">
        <v>18.625</v>
      </c>
      <c r="H5766">
        <v>-0.3</v>
      </c>
      <c r="I5766">
        <v>168</v>
      </c>
      <c r="J5766">
        <v>0</v>
      </c>
      <c r="K5766">
        <v>651</v>
      </c>
      <c r="L5766">
        <v>167</v>
      </c>
      <c r="M5766">
        <v>243</v>
      </c>
      <c r="N5766" t="s">
        <v>54</v>
      </c>
      <c r="O5766" s="3">
        <v>43936</v>
      </c>
      <c r="P5766">
        <v>-1</v>
      </c>
      <c r="T5766" t="s">
        <v>20</v>
      </c>
      <c r="U5766">
        <v>116</v>
      </c>
      <c r="V5766">
        <v>28.348199999999999</v>
      </c>
    </row>
    <row r="5767" spans="1:22" x14ac:dyDescent="0.35">
      <c r="A5767" s="3">
        <v>43692</v>
      </c>
      <c r="B5767" t="s">
        <v>55</v>
      </c>
      <c r="C5767">
        <v>18.91</v>
      </c>
      <c r="D5767">
        <v>19.25</v>
      </c>
      <c r="E5767">
        <v>18.77</v>
      </c>
      <c r="F5767">
        <v>18.84</v>
      </c>
      <c r="G5767">
        <v>18.875</v>
      </c>
      <c r="H5767">
        <v>-0.1</v>
      </c>
      <c r="I5767">
        <v>975</v>
      </c>
      <c r="J5767">
        <v>0</v>
      </c>
      <c r="K5767">
        <v>3467</v>
      </c>
      <c r="L5767">
        <v>148</v>
      </c>
      <c r="M5767">
        <v>216</v>
      </c>
      <c r="N5767" t="s">
        <v>55</v>
      </c>
      <c r="O5767" s="3">
        <v>43908</v>
      </c>
      <c r="P5767">
        <v>-1</v>
      </c>
      <c r="T5767" t="s">
        <v>21</v>
      </c>
      <c r="U5767">
        <v>140</v>
      </c>
      <c r="V5767">
        <v>27.707599999999999</v>
      </c>
    </row>
    <row r="5768" spans="1:22" x14ac:dyDescent="0.35">
      <c r="A5768" s="3">
        <v>43692</v>
      </c>
      <c r="B5768" t="s">
        <v>54</v>
      </c>
      <c r="C5768">
        <v>19.059999999999999</v>
      </c>
      <c r="D5768">
        <v>19.350000000000001</v>
      </c>
      <c r="E5768">
        <v>18.88</v>
      </c>
      <c r="F5768">
        <v>18.91</v>
      </c>
      <c r="G5768">
        <v>18.925000000000001</v>
      </c>
      <c r="H5768">
        <v>-0.15</v>
      </c>
      <c r="I5768">
        <v>347</v>
      </c>
      <c r="J5768">
        <v>0</v>
      </c>
      <c r="K5768">
        <v>588</v>
      </c>
      <c r="L5768">
        <v>168</v>
      </c>
      <c r="M5768">
        <v>244</v>
      </c>
      <c r="N5768" t="s">
        <v>54</v>
      </c>
      <c r="O5768" s="3">
        <v>43936</v>
      </c>
      <c r="P5768">
        <v>-1</v>
      </c>
      <c r="S5768" s="3">
        <v>44718</v>
      </c>
      <c r="T5768" t="s">
        <v>23</v>
      </c>
      <c r="U5768">
        <v>156</v>
      </c>
      <c r="V5768">
        <v>28.45</v>
      </c>
    </row>
    <row r="5769" spans="1:22" x14ac:dyDescent="0.35">
      <c r="A5769" s="3">
        <v>43691</v>
      </c>
      <c r="B5769" t="s">
        <v>55</v>
      </c>
      <c r="C5769">
        <v>18.100000000000001</v>
      </c>
      <c r="D5769">
        <v>19.18</v>
      </c>
      <c r="E5769">
        <v>18.05</v>
      </c>
      <c r="F5769">
        <v>18.95</v>
      </c>
      <c r="G5769">
        <v>18.975000000000001</v>
      </c>
      <c r="H5769">
        <v>0.95</v>
      </c>
      <c r="I5769">
        <v>686</v>
      </c>
      <c r="J5769">
        <v>0</v>
      </c>
      <c r="K5769">
        <v>3187</v>
      </c>
      <c r="L5769">
        <v>149</v>
      </c>
      <c r="M5769">
        <v>217</v>
      </c>
      <c r="N5769" t="s">
        <v>55</v>
      </c>
      <c r="O5769" s="3">
        <v>43908</v>
      </c>
      <c r="P5769">
        <v>-1</v>
      </c>
      <c r="T5769" t="s">
        <v>24</v>
      </c>
      <c r="U5769">
        <v>176</v>
      </c>
      <c r="V5769">
        <v>28.274999999999999</v>
      </c>
    </row>
    <row r="5770" spans="1:22" x14ac:dyDescent="0.35">
      <c r="A5770" s="3">
        <v>43691</v>
      </c>
      <c r="B5770" t="s">
        <v>54</v>
      </c>
      <c r="C5770">
        <v>18.72</v>
      </c>
      <c r="D5770">
        <v>19.32</v>
      </c>
      <c r="E5770">
        <v>18.25</v>
      </c>
      <c r="F5770">
        <v>19.21</v>
      </c>
      <c r="G5770">
        <v>19.074999999999999</v>
      </c>
      <c r="H5770">
        <v>0.9</v>
      </c>
      <c r="I5770">
        <v>19</v>
      </c>
      <c r="J5770">
        <v>0</v>
      </c>
      <c r="K5770">
        <v>458</v>
      </c>
      <c r="L5770">
        <v>169</v>
      </c>
      <c r="M5770">
        <v>245</v>
      </c>
      <c r="N5770" t="s">
        <v>54</v>
      </c>
      <c r="O5770" s="3">
        <v>43936</v>
      </c>
      <c r="P5770">
        <v>-1</v>
      </c>
      <c r="T5770" t="s">
        <v>28</v>
      </c>
      <c r="U5770">
        <v>7</v>
      </c>
      <c r="V5770">
        <v>25.5854</v>
      </c>
    </row>
    <row r="5771" spans="1:22" x14ac:dyDescent="0.35">
      <c r="A5771" s="3">
        <v>43690</v>
      </c>
      <c r="B5771" t="s">
        <v>55</v>
      </c>
      <c r="C5771">
        <v>18.55</v>
      </c>
      <c r="D5771">
        <v>18.7</v>
      </c>
      <c r="E5771">
        <v>18.02</v>
      </c>
      <c r="F5771">
        <v>18.05</v>
      </c>
      <c r="G5771">
        <v>18.024999999999999</v>
      </c>
      <c r="H5771">
        <v>-0.57499999999999996</v>
      </c>
      <c r="I5771">
        <v>616</v>
      </c>
      <c r="J5771">
        <v>0</v>
      </c>
      <c r="K5771">
        <v>3022</v>
      </c>
      <c r="L5771">
        <v>150</v>
      </c>
      <c r="M5771">
        <v>218</v>
      </c>
      <c r="N5771" t="s">
        <v>55</v>
      </c>
      <c r="O5771" s="3">
        <v>43908</v>
      </c>
      <c r="P5771">
        <v>-1</v>
      </c>
      <c r="T5771" t="s">
        <v>22</v>
      </c>
      <c r="U5771">
        <v>31</v>
      </c>
      <c r="V5771">
        <v>26.9709</v>
      </c>
    </row>
    <row r="5772" spans="1:22" x14ac:dyDescent="0.35">
      <c r="A5772" s="3">
        <v>43690</v>
      </c>
      <c r="B5772" t="s">
        <v>54</v>
      </c>
      <c r="C5772">
        <v>18.82</v>
      </c>
      <c r="D5772">
        <v>18.829999999999998</v>
      </c>
      <c r="E5772">
        <v>18.18</v>
      </c>
      <c r="F5772">
        <v>18.18</v>
      </c>
      <c r="G5772">
        <v>18.175000000000001</v>
      </c>
      <c r="H5772">
        <v>-0.55000000000000004</v>
      </c>
      <c r="I5772">
        <v>31</v>
      </c>
      <c r="J5772">
        <v>0</v>
      </c>
      <c r="K5772">
        <v>447</v>
      </c>
      <c r="L5772">
        <v>170</v>
      </c>
      <c r="M5772">
        <v>246</v>
      </c>
      <c r="N5772" t="s">
        <v>54</v>
      </c>
      <c r="O5772" s="3">
        <v>43936</v>
      </c>
      <c r="P5772">
        <v>-1</v>
      </c>
      <c r="T5772" t="s">
        <v>26</v>
      </c>
      <c r="U5772">
        <v>51</v>
      </c>
      <c r="V5772">
        <v>27.532</v>
      </c>
    </row>
    <row r="5773" spans="1:22" x14ac:dyDescent="0.35">
      <c r="A5773" s="3">
        <v>43689</v>
      </c>
      <c r="B5773" t="s">
        <v>55</v>
      </c>
      <c r="C5773">
        <v>17.95</v>
      </c>
      <c r="D5773">
        <v>18.62</v>
      </c>
      <c r="E5773">
        <v>17.850000000000001</v>
      </c>
      <c r="F5773">
        <v>18.62</v>
      </c>
      <c r="G5773">
        <v>18.600000000000001</v>
      </c>
      <c r="H5773">
        <v>0.65</v>
      </c>
      <c r="I5773">
        <v>498</v>
      </c>
      <c r="J5773">
        <v>0</v>
      </c>
      <c r="K5773">
        <v>3012</v>
      </c>
      <c r="L5773">
        <v>151</v>
      </c>
      <c r="M5773">
        <v>219</v>
      </c>
      <c r="N5773" t="s">
        <v>55</v>
      </c>
      <c r="O5773" s="3">
        <v>43908</v>
      </c>
      <c r="P5773">
        <v>-1</v>
      </c>
      <c r="T5773" t="s">
        <v>27</v>
      </c>
      <c r="U5773">
        <v>75</v>
      </c>
      <c r="V5773">
        <v>28.083400000000001</v>
      </c>
    </row>
    <row r="5774" spans="1:22" x14ac:dyDescent="0.35">
      <c r="A5774" s="3">
        <v>43689</v>
      </c>
      <c r="B5774" t="s">
        <v>54</v>
      </c>
      <c r="C5774">
        <v>18.170000000000002</v>
      </c>
      <c r="D5774">
        <v>18.7</v>
      </c>
      <c r="E5774">
        <v>18.05</v>
      </c>
      <c r="F5774">
        <v>18.32</v>
      </c>
      <c r="G5774">
        <v>18.725000000000001</v>
      </c>
      <c r="H5774">
        <v>0.625</v>
      </c>
      <c r="I5774">
        <v>11</v>
      </c>
      <c r="J5774">
        <v>0</v>
      </c>
      <c r="K5774">
        <v>429</v>
      </c>
      <c r="L5774">
        <v>171</v>
      </c>
      <c r="M5774">
        <v>247</v>
      </c>
      <c r="N5774" t="s">
        <v>54</v>
      </c>
      <c r="O5774" s="3">
        <v>43936</v>
      </c>
      <c r="P5774">
        <v>-1</v>
      </c>
      <c r="T5774" t="s">
        <v>25</v>
      </c>
      <c r="U5774">
        <v>95</v>
      </c>
      <c r="V5774">
        <v>28.4955</v>
      </c>
    </row>
    <row r="5775" spans="1:22" x14ac:dyDescent="0.35">
      <c r="A5775" s="3">
        <v>43686</v>
      </c>
      <c r="B5775" t="s">
        <v>55</v>
      </c>
      <c r="C5775">
        <v>17.850000000000001</v>
      </c>
      <c r="D5775">
        <v>18.100000000000001</v>
      </c>
      <c r="E5775">
        <v>17.75</v>
      </c>
      <c r="F5775">
        <v>17.95</v>
      </c>
      <c r="G5775">
        <v>17.95</v>
      </c>
      <c r="H5775">
        <v>0.17499999999999999</v>
      </c>
      <c r="I5775">
        <v>282</v>
      </c>
      <c r="J5775">
        <v>0</v>
      </c>
      <c r="K5775">
        <v>2786</v>
      </c>
      <c r="L5775">
        <v>152</v>
      </c>
      <c r="M5775">
        <v>222</v>
      </c>
      <c r="N5775" t="s">
        <v>55</v>
      </c>
      <c r="O5775" s="3">
        <v>43908</v>
      </c>
      <c r="P5775">
        <v>-1</v>
      </c>
      <c r="T5775" t="s">
        <v>20</v>
      </c>
      <c r="U5775">
        <v>115</v>
      </c>
      <c r="V5775">
        <v>28.384899999999998</v>
      </c>
    </row>
    <row r="5776" spans="1:22" x14ac:dyDescent="0.35">
      <c r="A5776" s="3">
        <v>43686</v>
      </c>
      <c r="B5776" t="s">
        <v>54</v>
      </c>
      <c r="C5776">
        <v>18.149999999999999</v>
      </c>
      <c r="D5776">
        <v>18.149999999999999</v>
      </c>
      <c r="E5776">
        <v>18</v>
      </c>
      <c r="F5776">
        <v>18.149999999999999</v>
      </c>
      <c r="G5776">
        <v>18.100000000000001</v>
      </c>
      <c r="H5776">
        <v>0.15</v>
      </c>
      <c r="I5776">
        <v>1</v>
      </c>
      <c r="J5776">
        <v>0</v>
      </c>
      <c r="K5776">
        <v>420</v>
      </c>
      <c r="L5776">
        <v>172</v>
      </c>
      <c r="M5776">
        <v>250</v>
      </c>
      <c r="N5776" t="s">
        <v>54</v>
      </c>
      <c r="O5776" s="3">
        <v>43936</v>
      </c>
      <c r="P5776">
        <v>-1</v>
      </c>
      <c r="T5776" t="s">
        <v>21</v>
      </c>
      <c r="U5776">
        <v>139</v>
      </c>
      <c r="V5776">
        <v>27.791699999999999</v>
      </c>
    </row>
    <row r="5777" spans="1:22" x14ac:dyDescent="0.35">
      <c r="A5777" s="3">
        <v>43685</v>
      </c>
      <c r="B5777" t="s">
        <v>55</v>
      </c>
      <c r="C5777">
        <v>18.350000000000001</v>
      </c>
      <c r="D5777">
        <v>18.350000000000001</v>
      </c>
      <c r="E5777">
        <v>17.72</v>
      </c>
      <c r="F5777">
        <v>17.75</v>
      </c>
      <c r="G5777">
        <v>17.774999999999999</v>
      </c>
      <c r="H5777">
        <v>-0.52500000000000002</v>
      </c>
      <c r="I5777">
        <v>523</v>
      </c>
      <c r="J5777">
        <v>0</v>
      </c>
      <c r="K5777">
        <v>2841</v>
      </c>
      <c r="L5777">
        <v>153</v>
      </c>
      <c r="M5777">
        <v>223</v>
      </c>
      <c r="N5777" t="s">
        <v>55</v>
      </c>
      <c r="O5777" s="3">
        <v>43908</v>
      </c>
      <c r="P5777">
        <v>-1</v>
      </c>
      <c r="S5777" s="3">
        <v>44719</v>
      </c>
      <c r="T5777" t="s">
        <v>23</v>
      </c>
      <c r="U5777">
        <v>155</v>
      </c>
      <c r="V5777">
        <v>28.295200000000001</v>
      </c>
    </row>
    <row r="5778" spans="1:22" x14ac:dyDescent="0.35">
      <c r="A5778" s="3">
        <v>43685</v>
      </c>
      <c r="B5778" t="s">
        <v>54</v>
      </c>
      <c r="C5778">
        <v>18.39</v>
      </c>
      <c r="D5778">
        <v>18.39</v>
      </c>
      <c r="E5778">
        <v>17.93</v>
      </c>
      <c r="F5778">
        <v>17.93</v>
      </c>
      <c r="G5778">
        <v>17.95</v>
      </c>
      <c r="H5778">
        <v>-0.375</v>
      </c>
      <c r="I5778">
        <v>50</v>
      </c>
      <c r="J5778">
        <v>0</v>
      </c>
      <c r="K5778">
        <v>419</v>
      </c>
      <c r="L5778">
        <v>173</v>
      </c>
      <c r="M5778">
        <v>251</v>
      </c>
      <c r="N5778" t="s">
        <v>54</v>
      </c>
      <c r="O5778" s="3">
        <v>43936</v>
      </c>
      <c r="P5778">
        <v>-1</v>
      </c>
      <c r="T5778" t="s">
        <v>24</v>
      </c>
      <c r="U5778">
        <v>175</v>
      </c>
      <c r="V5778">
        <v>28.225000000000001</v>
      </c>
    </row>
    <row r="5779" spans="1:22" x14ac:dyDescent="0.35">
      <c r="A5779" s="3">
        <v>43684</v>
      </c>
      <c r="B5779" t="s">
        <v>55</v>
      </c>
      <c r="C5779">
        <v>18.45</v>
      </c>
      <c r="D5779">
        <v>18.75</v>
      </c>
      <c r="E5779">
        <v>18.21</v>
      </c>
      <c r="F5779">
        <v>18.29</v>
      </c>
      <c r="G5779">
        <v>18.3</v>
      </c>
      <c r="H5779">
        <v>-7.4999999999999997E-2</v>
      </c>
      <c r="I5779">
        <v>1121</v>
      </c>
      <c r="J5779">
        <v>0</v>
      </c>
      <c r="K5779">
        <v>2579</v>
      </c>
      <c r="L5779">
        <v>154</v>
      </c>
      <c r="M5779">
        <v>224</v>
      </c>
      <c r="N5779" t="s">
        <v>55</v>
      </c>
      <c r="O5779" s="3">
        <v>43908</v>
      </c>
      <c r="P5779">
        <v>-1</v>
      </c>
      <c r="T5779" t="s">
        <v>28</v>
      </c>
      <c r="U5779">
        <v>6</v>
      </c>
      <c r="V5779">
        <v>24.680499999999999</v>
      </c>
    </row>
    <row r="5780" spans="1:22" x14ac:dyDescent="0.35">
      <c r="A5780" s="3">
        <v>43684</v>
      </c>
      <c r="B5780" t="s">
        <v>54</v>
      </c>
      <c r="C5780">
        <v>18.45</v>
      </c>
      <c r="D5780">
        <v>18.649999999999999</v>
      </c>
      <c r="E5780">
        <v>18.37</v>
      </c>
      <c r="F5780">
        <v>18.37</v>
      </c>
      <c r="G5780">
        <v>18.324999999999999</v>
      </c>
      <c r="H5780">
        <v>0.35</v>
      </c>
      <c r="I5780">
        <v>82</v>
      </c>
      <c r="J5780">
        <v>0</v>
      </c>
      <c r="K5780">
        <v>369</v>
      </c>
      <c r="L5780">
        <v>174</v>
      </c>
      <c r="M5780">
        <v>252</v>
      </c>
      <c r="N5780" t="s">
        <v>54</v>
      </c>
      <c r="O5780" s="3">
        <v>43936</v>
      </c>
      <c r="P5780">
        <v>-1</v>
      </c>
      <c r="T5780" t="s">
        <v>22</v>
      </c>
      <c r="U5780">
        <v>30</v>
      </c>
      <c r="V5780">
        <v>26.304500000000001</v>
      </c>
    </row>
    <row r="5781" spans="1:22" x14ac:dyDescent="0.35">
      <c r="A5781" s="3">
        <v>43683</v>
      </c>
      <c r="B5781" t="s">
        <v>55</v>
      </c>
      <c r="C5781">
        <v>18.75</v>
      </c>
      <c r="D5781">
        <v>19.05</v>
      </c>
      <c r="E5781">
        <v>18.079999999999998</v>
      </c>
      <c r="F5781">
        <v>18.399999999999999</v>
      </c>
      <c r="G5781">
        <v>18.375</v>
      </c>
      <c r="H5781">
        <v>-0.17499999999999999</v>
      </c>
      <c r="I5781">
        <v>1243</v>
      </c>
      <c r="J5781">
        <v>0</v>
      </c>
      <c r="K5781">
        <v>2397</v>
      </c>
      <c r="L5781">
        <v>155</v>
      </c>
      <c r="M5781">
        <v>225</v>
      </c>
      <c r="N5781" t="s">
        <v>55</v>
      </c>
      <c r="O5781" s="3">
        <v>43908</v>
      </c>
      <c r="P5781">
        <v>-1</v>
      </c>
      <c r="T5781" t="s">
        <v>26</v>
      </c>
      <c r="U5781">
        <v>50</v>
      </c>
      <c r="V5781">
        <v>26.896000000000001</v>
      </c>
    </row>
    <row r="5782" spans="1:22" x14ac:dyDescent="0.35">
      <c r="A5782" s="3">
        <v>43683</v>
      </c>
      <c r="B5782" t="s">
        <v>54</v>
      </c>
      <c r="C5782">
        <v>18.899999999999999</v>
      </c>
      <c r="D5782">
        <v>19.3</v>
      </c>
      <c r="E5782">
        <v>18.100000000000001</v>
      </c>
      <c r="F5782">
        <v>18.100000000000001</v>
      </c>
      <c r="G5782">
        <v>17.975000000000001</v>
      </c>
      <c r="H5782">
        <v>-0.17499999999999999</v>
      </c>
      <c r="I5782">
        <v>148</v>
      </c>
      <c r="J5782">
        <v>0</v>
      </c>
      <c r="K5782">
        <v>295</v>
      </c>
      <c r="L5782">
        <v>175</v>
      </c>
      <c r="M5782">
        <v>253</v>
      </c>
      <c r="N5782" t="s">
        <v>54</v>
      </c>
      <c r="O5782" s="3">
        <v>43936</v>
      </c>
      <c r="P5782">
        <v>-1</v>
      </c>
      <c r="T5782" t="s">
        <v>27</v>
      </c>
      <c r="U5782">
        <v>74</v>
      </c>
      <c r="V5782">
        <v>27.610499999999998</v>
      </c>
    </row>
    <row r="5783" spans="1:22" x14ac:dyDescent="0.35">
      <c r="A5783" s="3">
        <v>43682</v>
      </c>
      <c r="B5783" t="s">
        <v>55</v>
      </c>
      <c r="C5783">
        <v>17.899999999999999</v>
      </c>
      <c r="D5783">
        <v>18.649999999999999</v>
      </c>
      <c r="E5783">
        <v>17.850000000000001</v>
      </c>
      <c r="F5783">
        <v>18.649999999999999</v>
      </c>
      <c r="G5783">
        <v>18.55</v>
      </c>
      <c r="H5783">
        <v>0.67500000000000004</v>
      </c>
      <c r="I5783">
        <v>661</v>
      </c>
      <c r="J5783">
        <v>0</v>
      </c>
      <c r="K5783">
        <v>2263</v>
      </c>
      <c r="L5783">
        <v>156</v>
      </c>
      <c r="M5783">
        <v>226</v>
      </c>
      <c r="N5783" t="s">
        <v>55</v>
      </c>
      <c r="O5783" s="3">
        <v>43908</v>
      </c>
      <c r="P5783">
        <v>-1</v>
      </c>
      <c r="T5783" t="s">
        <v>25</v>
      </c>
      <c r="U5783">
        <v>94</v>
      </c>
      <c r="V5783">
        <v>28.097799999999999</v>
      </c>
    </row>
    <row r="5784" spans="1:22" x14ac:dyDescent="0.35">
      <c r="A5784" s="3">
        <v>43682</v>
      </c>
      <c r="B5784" t="s">
        <v>54</v>
      </c>
      <c r="C5784">
        <v>18.25</v>
      </c>
      <c r="D5784">
        <v>18.850000000000001</v>
      </c>
      <c r="E5784">
        <v>18.21</v>
      </c>
      <c r="F5784">
        <v>18.850000000000001</v>
      </c>
      <c r="G5784">
        <v>18.149999999999999</v>
      </c>
      <c r="H5784">
        <v>0.25</v>
      </c>
      <c r="I5784">
        <v>73</v>
      </c>
      <c r="J5784">
        <v>0</v>
      </c>
      <c r="K5784">
        <v>295</v>
      </c>
      <c r="L5784">
        <v>176</v>
      </c>
      <c r="M5784">
        <v>254</v>
      </c>
      <c r="N5784" t="s">
        <v>54</v>
      </c>
      <c r="O5784" s="3">
        <v>43936</v>
      </c>
      <c r="P5784">
        <v>-1</v>
      </c>
      <c r="T5784" t="s">
        <v>20</v>
      </c>
      <c r="U5784">
        <v>114</v>
      </c>
      <c r="V5784">
        <v>28.111499999999999</v>
      </c>
    </row>
    <row r="5785" spans="1:22" x14ac:dyDescent="0.35">
      <c r="A5785" s="3">
        <v>43679</v>
      </c>
      <c r="B5785" t="s">
        <v>55</v>
      </c>
      <c r="C5785">
        <v>17.899999999999999</v>
      </c>
      <c r="D5785">
        <v>18.100000000000001</v>
      </c>
      <c r="E5785">
        <v>17.75</v>
      </c>
      <c r="F5785">
        <v>17.82</v>
      </c>
      <c r="G5785">
        <v>17.875</v>
      </c>
      <c r="H5785">
        <v>-7.4999999999999997E-2</v>
      </c>
      <c r="I5785">
        <v>944</v>
      </c>
      <c r="J5785">
        <v>0</v>
      </c>
      <c r="K5785">
        <v>1872</v>
      </c>
      <c r="L5785">
        <v>157</v>
      </c>
      <c r="M5785">
        <v>229</v>
      </c>
      <c r="N5785" t="s">
        <v>55</v>
      </c>
      <c r="O5785" s="3">
        <v>43908</v>
      </c>
      <c r="P5785">
        <v>-1</v>
      </c>
      <c r="T5785" t="s">
        <v>21</v>
      </c>
      <c r="U5785">
        <v>138</v>
      </c>
      <c r="V5785">
        <v>27.599</v>
      </c>
    </row>
    <row r="5786" spans="1:22" x14ac:dyDescent="0.35">
      <c r="A5786" s="3">
        <v>43679</v>
      </c>
      <c r="B5786" t="s">
        <v>54</v>
      </c>
      <c r="C5786">
        <v>17.95</v>
      </c>
      <c r="D5786">
        <v>18.149999999999999</v>
      </c>
      <c r="E5786">
        <v>17.95</v>
      </c>
      <c r="F5786">
        <v>18.14</v>
      </c>
      <c r="G5786">
        <v>17.899999999999999</v>
      </c>
      <c r="H5786">
        <v>0.1</v>
      </c>
      <c r="I5786">
        <v>7</v>
      </c>
      <c r="J5786">
        <v>0</v>
      </c>
      <c r="K5786">
        <v>273</v>
      </c>
      <c r="L5786">
        <v>177</v>
      </c>
      <c r="M5786">
        <v>257</v>
      </c>
      <c r="N5786" t="s">
        <v>54</v>
      </c>
      <c r="O5786" s="3">
        <v>43936</v>
      </c>
      <c r="P5786">
        <v>-1</v>
      </c>
      <c r="S5786" s="3">
        <v>44720</v>
      </c>
      <c r="T5786" t="s">
        <v>23</v>
      </c>
      <c r="U5786">
        <v>154</v>
      </c>
      <c r="V5786">
        <v>28.375</v>
      </c>
    </row>
    <row r="5787" spans="1:22" x14ac:dyDescent="0.35">
      <c r="A5787" s="3">
        <v>43678</v>
      </c>
      <c r="B5787" t="s">
        <v>55</v>
      </c>
      <c r="C5787">
        <v>17.73</v>
      </c>
      <c r="D5787">
        <v>17.96</v>
      </c>
      <c r="E5787">
        <v>17.3</v>
      </c>
      <c r="F5787">
        <v>17.920000000000002</v>
      </c>
      <c r="G5787">
        <v>17.95</v>
      </c>
      <c r="H5787">
        <v>0.27500000000000002</v>
      </c>
      <c r="I5787">
        <v>1168</v>
      </c>
      <c r="J5787">
        <v>0</v>
      </c>
      <c r="K5787">
        <v>1659</v>
      </c>
      <c r="L5787">
        <v>158</v>
      </c>
      <c r="M5787">
        <v>230</v>
      </c>
      <c r="N5787" t="s">
        <v>55</v>
      </c>
      <c r="O5787" s="3">
        <v>43908</v>
      </c>
      <c r="P5787">
        <v>-1</v>
      </c>
      <c r="T5787" t="s">
        <v>24</v>
      </c>
      <c r="U5787">
        <v>174</v>
      </c>
      <c r="V5787">
        <v>28.274999999999999</v>
      </c>
    </row>
    <row r="5788" spans="1:22" x14ac:dyDescent="0.35">
      <c r="A5788" s="3">
        <v>43678</v>
      </c>
      <c r="B5788" t="s">
        <v>54</v>
      </c>
      <c r="C5788">
        <v>17.600000000000001</v>
      </c>
      <c r="D5788">
        <v>18</v>
      </c>
      <c r="E5788">
        <v>17.579999999999998</v>
      </c>
      <c r="F5788">
        <v>17.940000000000001</v>
      </c>
      <c r="G5788">
        <v>17.8</v>
      </c>
      <c r="H5788">
        <v>0.375</v>
      </c>
      <c r="I5788">
        <v>32</v>
      </c>
      <c r="J5788">
        <v>0</v>
      </c>
      <c r="K5788">
        <v>267</v>
      </c>
      <c r="L5788">
        <v>178</v>
      </c>
      <c r="M5788">
        <v>258</v>
      </c>
      <c r="N5788" t="s">
        <v>54</v>
      </c>
      <c r="O5788" s="3">
        <v>43936</v>
      </c>
      <c r="P5788">
        <v>-1</v>
      </c>
      <c r="T5788" t="s">
        <v>28</v>
      </c>
      <c r="U5788">
        <v>5</v>
      </c>
      <c r="V5788">
        <v>24.699300000000001</v>
      </c>
    </row>
    <row r="5789" spans="1:22" x14ac:dyDescent="0.35">
      <c r="A5789" s="3">
        <v>43677</v>
      </c>
      <c r="B5789" t="s">
        <v>55</v>
      </c>
      <c r="C5789">
        <v>17.3</v>
      </c>
      <c r="D5789">
        <v>17.75</v>
      </c>
      <c r="E5789">
        <v>17.170000000000002</v>
      </c>
      <c r="F5789">
        <v>17.7</v>
      </c>
      <c r="G5789">
        <v>17.675000000000001</v>
      </c>
      <c r="H5789">
        <v>0.32500000000000001</v>
      </c>
      <c r="I5789">
        <v>540</v>
      </c>
      <c r="J5789">
        <v>0</v>
      </c>
      <c r="K5789">
        <v>1663</v>
      </c>
      <c r="L5789">
        <v>159</v>
      </c>
      <c r="M5789">
        <v>231</v>
      </c>
      <c r="N5789" t="s">
        <v>55</v>
      </c>
      <c r="O5789" s="3">
        <v>43908</v>
      </c>
      <c r="P5789">
        <v>-1</v>
      </c>
      <c r="T5789" t="s">
        <v>22</v>
      </c>
      <c r="U5789">
        <v>29</v>
      </c>
      <c r="V5789">
        <v>26.256</v>
      </c>
    </row>
    <row r="5790" spans="1:22" x14ac:dyDescent="0.35">
      <c r="A5790" s="3">
        <v>43677</v>
      </c>
      <c r="B5790" t="s">
        <v>54</v>
      </c>
      <c r="C5790">
        <v>17.600000000000001</v>
      </c>
      <c r="D5790">
        <v>17.899999999999999</v>
      </c>
      <c r="E5790">
        <v>17.55</v>
      </c>
      <c r="F5790">
        <v>17.829999999999998</v>
      </c>
      <c r="G5790">
        <v>17.425000000000001</v>
      </c>
      <c r="H5790">
        <v>0.1</v>
      </c>
      <c r="I5790">
        <v>37</v>
      </c>
      <c r="J5790">
        <v>0</v>
      </c>
      <c r="K5790">
        <v>246</v>
      </c>
      <c r="L5790">
        <v>179</v>
      </c>
      <c r="M5790">
        <v>259</v>
      </c>
      <c r="N5790" t="s">
        <v>54</v>
      </c>
      <c r="O5790" s="3">
        <v>43936</v>
      </c>
      <c r="P5790">
        <v>-1</v>
      </c>
      <c r="T5790" t="s">
        <v>26</v>
      </c>
      <c r="U5790">
        <v>49</v>
      </c>
      <c r="V5790">
        <v>26.928599999999999</v>
      </c>
    </row>
    <row r="5791" spans="1:22" x14ac:dyDescent="0.35">
      <c r="A5791" s="3">
        <v>43676</v>
      </c>
      <c r="B5791" t="s">
        <v>55</v>
      </c>
      <c r="C5791">
        <v>17.100000000000001</v>
      </c>
      <c r="D5791">
        <v>17.45</v>
      </c>
      <c r="E5791">
        <v>17.100000000000001</v>
      </c>
      <c r="F5791">
        <v>17.350000000000001</v>
      </c>
      <c r="G5791">
        <v>17.350000000000001</v>
      </c>
      <c r="H5791">
        <v>0.22500000000000001</v>
      </c>
      <c r="I5791">
        <v>476</v>
      </c>
      <c r="J5791">
        <v>0</v>
      </c>
      <c r="K5791">
        <v>1433</v>
      </c>
      <c r="L5791">
        <v>160</v>
      </c>
      <c r="M5791">
        <v>232</v>
      </c>
      <c r="N5791" t="s">
        <v>55</v>
      </c>
      <c r="O5791" s="3">
        <v>43908</v>
      </c>
      <c r="P5791">
        <v>-1</v>
      </c>
      <c r="T5791" t="s">
        <v>27</v>
      </c>
      <c r="U5791">
        <v>73</v>
      </c>
      <c r="V5791">
        <v>27.6113</v>
      </c>
    </row>
    <row r="5792" spans="1:22" x14ac:dyDescent="0.35">
      <c r="A5792" s="3">
        <v>43676</v>
      </c>
      <c r="B5792" t="s">
        <v>54</v>
      </c>
      <c r="C5792">
        <v>17.5</v>
      </c>
      <c r="D5792">
        <v>17.5</v>
      </c>
      <c r="E5792">
        <v>17.36</v>
      </c>
      <c r="F5792">
        <v>17.47</v>
      </c>
      <c r="G5792">
        <v>17.324999999999999</v>
      </c>
      <c r="H5792">
        <v>0.17499999999999999</v>
      </c>
      <c r="I5792">
        <v>197</v>
      </c>
      <c r="J5792">
        <v>0</v>
      </c>
      <c r="K5792">
        <v>221</v>
      </c>
      <c r="L5792">
        <v>180</v>
      </c>
      <c r="M5792">
        <v>260</v>
      </c>
      <c r="N5792" t="s">
        <v>54</v>
      </c>
      <c r="O5792" s="3">
        <v>43936</v>
      </c>
      <c r="P5792">
        <v>-1</v>
      </c>
      <c r="T5792" t="s">
        <v>25</v>
      </c>
      <c r="U5792">
        <v>93</v>
      </c>
      <c r="V5792">
        <v>28.1038</v>
      </c>
    </row>
    <row r="5793" spans="1:24" x14ac:dyDescent="0.35">
      <c r="A5793" s="3">
        <v>43675</v>
      </c>
      <c r="B5793" t="s">
        <v>55</v>
      </c>
      <c r="C5793">
        <v>17.2</v>
      </c>
      <c r="D5793">
        <v>17.22</v>
      </c>
      <c r="E5793">
        <v>17.100000000000001</v>
      </c>
      <c r="F5793">
        <v>17.11</v>
      </c>
      <c r="G5793">
        <v>17.125</v>
      </c>
      <c r="H5793">
        <v>0</v>
      </c>
      <c r="I5793">
        <v>89</v>
      </c>
      <c r="J5793">
        <v>0</v>
      </c>
      <c r="K5793">
        <v>1110</v>
      </c>
      <c r="L5793">
        <v>161</v>
      </c>
      <c r="M5793">
        <v>233</v>
      </c>
      <c r="N5793" t="s">
        <v>55</v>
      </c>
      <c r="O5793" s="3">
        <v>43908</v>
      </c>
      <c r="P5793">
        <v>-1</v>
      </c>
      <c r="T5793" t="s">
        <v>20</v>
      </c>
      <c r="U5793">
        <v>113</v>
      </c>
      <c r="V5793">
        <v>28.1</v>
      </c>
    </row>
    <row r="5794" spans="1:24" x14ac:dyDescent="0.35">
      <c r="A5794" s="3">
        <v>43675</v>
      </c>
      <c r="B5794" t="s">
        <v>54</v>
      </c>
      <c r="C5794">
        <v>17.350000000000001</v>
      </c>
      <c r="D5794">
        <v>17.350000000000001</v>
      </c>
      <c r="E5794">
        <v>17.350000000000001</v>
      </c>
      <c r="F5794">
        <v>17.350000000000001</v>
      </c>
      <c r="G5794">
        <v>17.149999999999999</v>
      </c>
      <c r="H5794">
        <v>-0.2</v>
      </c>
      <c r="I5794">
        <v>5</v>
      </c>
      <c r="J5794">
        <v>0</v>
      </c>
      <c r="K5794">
        <v>25</v>
      </c>
      <c r="L5794">
        <v>181</v>
      </c>
      <c r="M5794">
        <v>261</v>
      </c>
      <c r="N5794" t="s">
        <v>54</v>
      </c>
      <c r="O5794" s="3">
        <v>43936</v>
      </c>
      <c r="P5794">
        <v>-1</v>
      </c>
      <c r="T5794" t="s">
        <v>21</v>
      </c>
      <c r="U5794">
        <v>137</v>
      </c>
      <c r="V5794">
        <v>27.7</v>
      </c>
    </row>
    <row r="5795" spans="1:24" x14ac:dyDescent="0.35">
      <c r="A5795" s="3">
        <v>43672</v>
      </c>
      <c r="B5795" t="s">
        <v>55</v>
      </c>
      <c r="C5795">
        <v>17.3</v>
      </c>
      <c r="D5795">
        <v>17.3</v>
      </c>
      <c r="E5795">
        <v>17</v>
      </c>
      <c r="F5795">
        <v>17.149999999999999</v>
      </c>
      <c r="G5795">
        <v>17.125</v>
      </c>
      <c r="H5795">
        <v>-0.15</v>
      </c>
      <c r="I5795">
        <v>355</v>
      </c>
      <c r="J5795">
        <v>0</v>
      </c>
      <c r="K5795">
        <v>1077</v>
      </c>
      <c r="L5795">
        <v>162</v>
      </c>
      <c r="M5795">
        <v>236</v>
      </c>
      <c r="N5795" t="s">
        <v>55</v>
      </c>
      <c r="O5795" s="3">
        <v>43908</v>
      </c>
      <c r="P5795">
        <v>-1</v>
      </c>
      <c r="S5795" s="3">
        <v>44721</v>
      </c>
      <c r="T5795" t="s">
        <v>23</v>
      </c>
      <c r="U5795">
        <v>153</v>
      </c>
      <c r="V5795">
        <v>28.95</v>
      </c>
      <c r="W5795" s="5">
        <v>4</v>
      </c>
      <c r="X5795" s="5">
        <v>26.424499999999998</v>
      </c>
    </row>
    <row r="5796" spans="1:24" x14ac:dyDescent="0.35">
      <c r="A5796" s="3">
        <v>43672</v>
      </c>
      <c r="B5796" t="s">
        <v>54</v>
      </c>
      <c r="C5796">
        <v>17.34</v>
      </c>
      <c r="D5796">
        <v>17.34</v>
      </c>
      <c r="E5796">
        <v>17.25</v>
      </c>
      <c r="F5796">
        <v>17.3</v>
      </c>
      <c r="G5796">
        <v>17.350000000000001</v>
      </c>
      <c r="H5796">
        <v>-2.5000000000000001E-2</v>
      </c>
      <c r="I5796">
        <v>15</v>
      </c>
      <c r="J5796">
        <v>0</v>
      </c>
      <c r="K5796">
        <v>20</v>
      </c>
      <c r="L5796">
        <v>182</v>
      </c>
      <c r="M5796">
        <v>264</v>
      </c>
      <c r="N5796" t="s">
        <v>54</v>
      </c>
      <c r="O5796" s="3">
        <v>43936</v>
      </c>
      <c r="P5796">
        <v>-1</v>
      </c>
      <c r="T5796" t="s">
        <v>24</v>
      </c>
      <c r="U5796">
        <v>173</v>
      </c>
      <c r="V5796">
        <v>28.8</v>
      </c>
      <c r="W5796" s="5">
        <v>28</v>
      </c>
      <c r="X5796" s="5">
        <v>27.499400000000001</v>
      </c>
    </row>
    <row r="5797" spans="1:24" x14ac:dyDescent="0.35">
      <c r="A5797" s="3">
        <v>43671</v>
      </c>
      <c r="B5797" t="s">
        <v>55</v>
      </c>
      <c r="C5797">
        <v>17.05</v>
      </c>
      <c r="D5797">
        <v>17.3</v>
      </c>
      <c r="E5797">
        <v>17</v>
      </c>
      <c r="F5797">
        <v>17.27</v>
      </c>
      <c r="G5797">
        <v>17.274999999999999</v>
      </c>
      <c r="H5797">
        <v>0.22500000000000001</v>
      </c>
      <c r="I5797">
        <v>266</v>
      </c>
      <c r="J5797">
        <v>0</v>
      </c>
      <c r="K5797">
        <v>973</v>
      </c>
      <c r="L5797">
        <v>163</v>
      </c>
      <c r="M5797">
        <v>237</v>
      </c>
      <c r="N5797" t="s">
        <v>55</v>
      </c>
      <c r="O5797" s="3">
        <v>43908</v>
      </c>
      <c r="P5797">
        <v>-1</v>
      </c>
      <c r="T5797" t="s">
        <v>28</v>
      </c>
      <c r="U5797">
        <v>4</v>
      </c>
      <c r="V5797">
        <v>26.424499999999998</v>
      </c>
      <c r="W5797" s="5">
        <v>48</v>
      </c>
      <c r="X5797" s="5">
        <v>27.869199999999999</v>
      </c>
    </row>
    <row r="5798" spans="1:24" x14ac:dyDescent="0.35">
      <c r="A5798" s="3">
        <v>43671</v>
      </c>
      <c r="B5798" t="s">
        <v>54</v>
      </c>
      <c r="C5798">
        <v>17.38</v>
      </c>
      <c r="D5798">
        <v>17.38</v>
      </c>
      <c r="E5798">
        <v>17.38</v>
      </c>
      <c r="F5798">
        <v>17.38</v>
      </c>
      <c r="G5798">
        <v>17.375</v>
      </c>
      <c r="H5798">
        <v>-7.4999999999999997E-2</v>
      </c>
      <c r="I5798">
        <v>5</v>
      </c>
      <c r="J5798">
        <v>0</v>
      </c>
      <c r="K5798">
        <v>5</v>
      </c>
      <c r="L5798">
        <v>183</v>
      </c>
      <c r="M5798">
        <v>265</v>
      </c>
      <c r="N5798" t="s">
        <v>54</v>
      </c>
      <c r="O5798" s="3">
        <v>43936</v>
      </c>
      <c r="P5798">
        <v>-1</v>
      </c>
      <c r="T5798" t="s">
        <v>22</v>
      </c>
      <c r="U5798">
        <v>28</v>
      </c>
      <c r="V5798">
        <v>27.499400000000001</v>
      </c>
      <c r="W5798" s="5">
        <v>72</v>
      </c>
      <c r="X5798" s="5">
        <v>28.385400000000001</v>
      </c>
    </row>
    <row r="5799" spans="1:24" x14ac:dyDescent="0.35">
      <c r="A5799" s="3">
        <v>43670</v>
      </c>
      <c r="B5799" t="s">
        <v>55</v>
      </c>
      <c r="C5799">
        <v>17.309999999999999</v>
      </c>
      <c r="D5799">
        <v>17.309999999999999</v>
      </c>
      <c r="E5799">
        <v>17.02</v>
      </c>
      <c r="F5799">
        <v>17.05</v>
      </c>
      <c r="G5799">
        <v>17.05</v>
      </c>
      <c r="H5799">
        <v>-0.22500000000000001</v>
      </c>
      <c r="I5799">
        <v>330</v>
      </c>
      <c r="J5799">
        <v>0</v>
      </c>
      <c r="K5799">
        <v>938</v>
      </c>
      <c r="L5799">
        <v>164</v>
      </c>
      <c r="M5799">
        <v>238</v>
      </c>
      <c r="N5799" t="s">
        <v>55</v>
      </c>
      <c r="O5799" s="3">
        <v>43908</v>
      </c>
      <c r="P5799">
        <v>-1</v>
      </c>
      <c r="T5799" t="s">
        <v>26</v>
      </c>
      <c r="U5799">
        <v>48</v>
      </c>
      <c r="V5799">
        <v>27.869199999999999</v>
      </c>
      <c r="W5799" s="5">
        <v>92</v>
      </c>
      <c r="X5799" s="5">
        <v>28.772600000000001</v>
      </c>
    </row>
    <row r="5800" spans="1:24" x14ac:dyDescent="0.35">
      <c r="A5800" s="3">
        <v>43669</v>
      </c>
      <c r="B5800" t="s">
        <v>55</v>
      </c>
      <c r="C5800">
        <v>17.5</v>
      </c>
      <c r="D5800">
        <v>17.5</v>
      </c>
      <c r="E5800">
        <v>17.25</v>
      </c>
      <c r="F5800">
        <v>17.3</v>
      </c>
      <c r="G5800">
        <v>17.274999999999999</v>
      </c>
      <c r="H5800">
        <v>-0.25</v>
      </c>
      <c r="I5800">
        <v>192</v>
      </c>
      <c r="J5800">
        <v>0</v>
      </c>
      <c r="K5800">
        <v>769</v>
      </c>
      <c r="L5800">
        <v>165</v>
      </c>
      <c r="M5800">
        <v>239</v>
      </c>
      <c r="N5800" t="s">
        <v>55</v>
      </c>
      <c r="O5800" s="3">
        <v>43908</v>
      </c>
      <c r="P5800">
        <v>-1</v>
      </c>
      <c r="T5800" t="s">
        <v>27</v>
      </c>
      <c r="U5800">
        <v>72</v>
      </c>
      <c r="V5800">
        <v>28.385400000000001</v>
      </c>
      <c r="W5800" s="5">
        <v>112</v>
      </c>
      <c r="X5800" s="5">
        <v>28.724699999999999</v>
      </c>
    </row>
    <row r="5801" spans="1:24" x14ac:dyDescent="0.35">
      <c r="A5801" s="3">
        <v>43668</v>
      </c>
      <c r="B5801" t="s">
        <v>55</v>
      </c>
      <c r="C5801">
        <v>17.600000000000001</v>
      </c>
      <c r="D5801">
        <v>17.68</v>
      </c>
      <c r="E5801">
        <v>17.46</v>
      </c>
      <c r="F5801">
        <v>17.54</v>
      </c>
      <c r="G5801">
        <v>17.524999999999999</v>
      </c>
      <c r="H5801">
        <v>-0.05</v>
      </c>
      <c r="I5801">
        <v>62</v>
      </c>
      <c r="J5801">
        <v>0</v>
      </c>
      <c r="K5801">
        <v>722</v>
      </c>
      <c r="L5801">
        <v>166</v>
      </c>
      <c r="M5801">
        <v>240</v>
      </c>
      <c r="N5801" t="s">
        <v>55</v>
      </c>
      <c r="O5801" s="3">
        <v>43908</v>
      </c>
      <c r="P5801">
        <v>-1</v>
      </c>
      <c r="T5801" t="s">
        <v>25</v>
      </c>
      <c r="U5801">
        <v>92</v>
      </c>
      <c r="V5801">
        <v>28.772600000000001</v>
      </c>
      <c r="W5801" s="5">
        <v>136</v>
      </c>
      <c r="X5801" s="5">
        <v>28.3096</v>
      </c>
    </row>
    <row r="5802" spans="1:24" x14ac:dyDescent="0.35">
      <c r="A5802" s="3">
        <v>43665</v>
      </c>
      <c r="B5802" t="s">
        <v>55</v>
      </c>
      <c r="C5802">
        <v>17.399999999999999</v>
      </c>
      <c r="D5802">
        <v>17.649999999999999</v>
      </c>
      <c r="E5802">
        <v>17.399999999999999</v>
      </c>
      <c r="F5802">
        <v>17.649999999999999</v>
      </c>
      <c r="G5802">
        <v>17.574999999999999</v>
      </c>
      <c r="H5802">
        <v>0.125</v>
      </c>
      <c r="I5802">
        <v>200</v>
      </c>
      <c r="J5802">
        <v>0</v>
      </c>
      <c r="K5802">
        <v>710</v>
      </c>
      <c r="L5802">
        <v>167</v>
      </c>
      <c r="M5802">
        <v>243</v>
      </c>
      <c r="N5802" t="s">
        <v>55</v>
      </c>
      <c r="O5802" s="3">
        <v>43908</v>
      </c>
      <c r="P5802">
        <v>-1</v>
      </c>
      <c r="T5802" t="s">
        <v>20</v>
      </c>
      <c r="U5802">
        <v>112</v>
      </c>
      <c r="V5802">
        <v>28.724699999999999</v>
      </c>
      <c r="W5802" s="5">
        <v>153</v>
      </c>
      <c r="X5802" s="5">
        <v>28.95</v>
      </c>
    </row>
    <row r="5803" spans="1:24" x14ac:dyDescent="0.35">
      <c r="A5803" s="3">
        <v>43664</v>
      </c>
      <c r="B5803" t="s">
        <v>55</v>
      </c>
      <c r="C5803">
        <v>17.649999999999999</v>
      </c>
      <c r="D5803">
        <v>17.649999999999999</v>
      </c>
      <c r="E5803">
        <v>17.350000000000001</v>
      </c>
      <c r="F5803">
        <v>17.41</v>
      </c>
      <c r="G5803">
        <v>17.45</v>
      </c>
      <c r="H5803">
        <v>-0.125</v>
      </c>
      <c r="I5803">
        <v>206</v>
      </c>
      <c r="J5803">
        <v>0</v>
      </c>
      <c r="K5803">
        <v>657</v>
      </c>
      <c r="L5803">
        <v>168</v>
      </c>
      <c r="M5803">
        <v>244</v>
      </c>
      <c r="N5803" t="s">
        <v>55</v>
      </c>
      <c r="O5803" s="3">
        <v>43908</v>
      </c>
      <c r="P5803">
        <v>-1</v>
      </c>
      <c r="T5803" t="s">
        <v>21</v>
      </c>
      <c r="U5803">
        <v>136</v>
      </c>
      <c r="V5803">
        <v>28.3096</v>
      </c>
      <c r="W5803" s="5">
        <v>173</v>
      </c>
      <c r="X5803" s="5">
        <v>28.8</v>
      </c>
    </row>
    <row r="5804" spans="1:24" x14ac:dyDescent="0.35">
      <c r="A5804" s="3">
        <v>43663</v>
      </c>
      <c r="B5804" t="s">
        <v>55</v>
      </c>
      <c r="C5804">
        <v>17.45</v>
      </c>
      <c r="D5804">
        <v>17.600000000000001</v>
      </c>
      <c r="E5804">
        <v>17.25</v>
      </c>
      <c r="F5804">
        <v>17.600000000000001</v>
      </c>
      <c r="G5804">
        <v>17.574999999999999</v>
      </c>
      <c r="H5804">
        <v>0.15</v>
      </c>
      <c r="I5804">
        <v>341</v>
      </c>
      <c r="J5804">
        <v>0</v>
      </c>
      <c r="K5804">
        <v>548</v>
      </c>
      <c r="L5804">
        <v>169</v>
      </c>
      <c r="M5804">
        <v>245</v>
      </c>
      <c r="N5804" t="s">
        <v>55</v>
      </c>
      <c r="O5804" s="3">
        <v>43908</v>
      </c>
      <c r="P5804">
        <v>-1</v>
      </c>
      <c r="S5804" s="3">
        <v>44722</v>
      </c>
      <c r="T5804" t="s">
        <v>23</v>
      </c>
      <c r="U5804">
        <v>152</v>
      </c>
      <c r="V5804">
        <v>29.7</v>
      </c>
      <c r="W5804" s="5">
        <v>3</v>
      </c>
      <c r="X5804" s="5">
        <v>28.289200000000001</v>
      </c>
    </row>
    <row r="5805" spans="1:24" x14ac:dyDescent="0.35">
      <c r="A5805" s="3">
        <v>43662</v>
      </c>
      <c r="B5805" t="s">
        <v>55</v>
      </c>
      <c r="C5805">
        <v>17.23</v>
      </c>
      <c r="D5805">
        <v>17.45</v>
      </c>
      <c r="E5805">
        <v>17.23</v>
      </c>
      <c r="F5805">
        <v>17.43</v>
      </c>
      <c r="G5805">
        <v>17.425000000000001</v>
      </c>
      <c r="H5805">
        <v>0.17499999999999999</v>
      </c>
      <c r="I5805">
        <v>168</v>
      </c>
      <c r="J5805">
        <v>0</v>
      </c>
      <c r="K5805">
        <v>279</v>
      </c>
      <c r="L5805">
        <v>170</v>
      </c>
      <c r="M5805">
        <v>246</v>
      </c>
      <c r="N5805" t="s">
        <v>55</v>
      </c>
      <c r="O5805" s="3">
        <v>43908</v>
      </c>
      <c r="P5805">
        <v>-1</v>
      </c>
      <c r="T5805" t="s">
        <v>24</v>
      </c>
      <c r="U5805">
        <v>172</v>
      </c>
      <c r="V5805">
        <v>29.524999999999999</v>
      </c>
      <c r="W5805" s="5">
        <v>27</v>
      </c>
      <c r="X5805" s="5">
        <v>29.085799999999999</v>
      </c>
    </row>
    <row r="5806" spans="1:24" x14ac:dyDescent="0.35">
      <c r="A5806" s="3">
        <v>43661</v>
      </c>
      <c r="B5806" t="s">
        <v>55</v>
      </c>
      <c r="C5806">
        <v>17.29</v>
      </c>
      <c r="D5806">
        <v>17.29</v>
      </c>
      <c r="E5806">
        <v>17.170000000000002</v>
      </c>
      <c r="F5806">
        <v>17.2</v>
      </c>
      <c r="G5806">
        <v>17.25</v>
      </c>
      <c r="H5806">
        <v>0</v>
      </c>
      <c r="I5806">
        <v>33</v>
      </c>
      <c r="J5806">
        <v>0</v>
      </c>
      <c r="K5806">
        <v>118</v>
      </c>
      <c r="L5806">
        <v>171</v>
      </c>
      <c r="M5806">
        <v>247</v>
      </c>
      <c r="N5806" t="s">
        <v>55</v>
      </c>
      <c r="O5806" s="3">
        <v>43908</v>
      </c>
      <c r="P5806">
        <v>-1</v>
      </c>
      <c r="T5806" t="s">
        <v>28</v>
      </c>
      <c r="U5806">
        <v>3</v>
      </c>
      <c r="V5806">
        <v>28.289200000000001</v>
      </c>
      <c r="W5806" s="5">
        <v>47</v>
      </c>
      <c r="X5806" s="5">
        <v>29.341899999999999</v>
      </c>
    </row>
    <row r="5807" spans="1:24" x14ac:dyDescent="0.35">
      <c r="A5807" s="3">
        <v>43658</v>
      </c>
      <c r="B5807" t="s">
        <v>55</v>
      </c>
      <c r="C5807">
        <v>17.25</v>
      </c>
      <c r="D5807">
        <v>17.260000000000002</v>
      </c>
      <c r="E5807">
        <v>17.2</v>
      </c>
      <c r="F5807">
        <v>17.2</v>
      </c>
      <c r="G5807">
        <v>17.25</v>
      </c>
      <c r="H5807">
        <v>0</v>
      </c>
      <c r="I5807">
        <v>13</v>
      </c>
      <c r="J5807">
        <v>0</v>
      </c>
      <c r="K5807">
        <v>95</v>
      </c>
      <c r="L5807">
        <v>172</v>
      </c>
      <c r="M5807">
        <v>250</v>
      </c>
      <c r="N5807" t="s">
        <v>55</v>
      </c>
      <c r="O5807" s="3">
        <v>43908</v>
      </c>
      <c r="P5807">
        <v>-1</v>
      </c>
      <c r="T5807" t="s">
        <v>22</v>
      </c>
      <c r="U5807">
        <v>27</v>
      </c>
      <c r="V5807">
        <v>29.085799999999999</v>
      </c>
      <c r="W5807" s="5">
        <v>71</v>
      </c>
      <c r="X5807" s="5">
        <v>29.734200000000001</v>
      </c>
    </row>
    <row r="5808" spans="1:24" x14ac:dyDescent="0.35">
      <c r="A5808" s="3">
        <v>43657</v>
      </c>
      <c r="B5808" t="s">
        <v>55</v>
      </c>
      <c r="C5808">
        <v>17.25</v>
      </c>
      <c r="D5808">
        <v>17.32</v>
      </c>
      <c r="E5808">
        <v>17.149999999999999</v>
      </c>
      <c r="F5808">
        <v>17.2</v>
      </c>
      <c r="G5808">
        <v>17.25</v>
      </c>
      <c r="H5808">
        <v>-2.5000000000000001E-2</v>
      </c>
      <c r="I5808">
        <v>17</v>
      </c>
      <c r="J5808">
        <v>0</v>
      </c>
      <c r="K5808">
        <v>90</v>
      </c>
      <c r="L5808">
        <v>173</v>
      </c>
      <c r="M5808">
        <v>251</v>
      </c>
      <c r="N5808" t="s">
        <v>55</v>
      </c>
      <c r="O5808" s="3">
        <v>43908</v>
      </c>
      <c r="P5808">
        <v>-1</v>
      </c>
      <c r="T5808" t="s">
        <v>26</v>
      </c>
      <c r="U5808">
        <v>47</v>
      </c>
      <c r="V5808">
        <v>29.341899999999999</v>
      </c>
      <c r="W5808" s="5">
        <v>91</v>
      </c>
      <c r="X5808" s="5">
        <v>29.789899999999999</v>
      </c>
    </row>
    <row r="5809" spans="1:24" x14ac:dyDescent="0.35">
      <c r="A5809" s="3">
        <v>43656</v>
      </c>
      <c r="B5809" t="s">
        <v>55</v>
      </c>
      <c r="C5809">
        <v>17.27</v>
      </c>
      <c r="D5809">
        <v>17.37</v>
      </c>
      <c r="E5809">
        <v>17.239999999999998</v>
      </c>
      <c r="F5809">
        <v>17.329999999999998</v>
      </c>
      <c r="G5809">
        <v>17.274999999999999</v>
      </c>
      <c r="H5809">
        <v>-0.1</v>
      </c>
      <c r="I5809">
        <v>38</v>
      </c>
      <c r="J5809">
        <v>0</v>
      </c>
      <c r="K5809">
        <v>78</v>
      </c>
      <c r="L5809">
        <v>174</v>
      </c>
      <c r="M5809">
        <v>252</v>
      </c>
      <c r="N5809" t="s">
        <v>55</v>
      </c>
      <c r="O5809" s="3">
        <v>43908</v>
      </c>
      <c r="P5809">
        <v>-1</v>
      </c>
      <c r="T5809" t="s">
        <v>27</v>
      </c>
      <c r="U5809">
        <v>71</v>
      </c>
      <c r="V5809">
        <v>29.734200000000001</v>
      </c>
      <c r="W5809" s="5">
        <v>111</v>
      </c>
      <c r="X5809" s="5">
        <v>29.617000000000001</v>
      </c>
    </row>
    <row r="5810" spans="1:24" x14ac:dyDescent="0.35">
      <c r="A5810" s="3">
        <v>43655</v>
      </c>
      <c r="B5810" t="s">
        <v>55</v>
      </c>
      <c r="C5810">
        <v>17.420000000000002</v>
      </c>
      <c r="D5810">
        <v>17.45</v>
      </c>
      <c r="E5810">
        <v>17.37</v>
      </c>
      <c r="F5810">
        <v>17.399999999999999</v>
      </c>
      <c r="G5810">
        <v>17.375</v>
      </c>
      <c r="H5810">
        <v>2.5000000000000001E-2</v>
      </c>
      <c r="I5810">
        <v>29</v>
      </c>
      <c r="J5810">
        <v>0</v>
      </c>
      <c r="K5810">
        <v>46</v>
      </c>
      <c r="L5810">
        <v>175</v>
      </c>
      <c r="M5810">
        <v>253</v>
      </c>
      <c r="N5810" t="s">
        <v>55</v>
      </c>
      <c r="O5810" s="3">
        <v>43908</v>
      </c>
      <c r="P5810">
        <v>-1</v>
      </c>
      <c r="T5810" t="s">
        <v>25</v>
      </c>
      <c r="U5810">
        <v>91</v>
      </c>
      <c r="V5810">
        <v>29.789899999999999</v>
      </c>
      <c r="W5810" s="5">
        <v>135</v>
      </c>
      <c r="X5810" s="5">
        <v>29.110600000000002</v>
      </c>
    </row>
    <row r="5811" spans="1:24" x14ac:dyDescent="0.35">
      <c r="A5811" s="3">
        <v>43654</v>
      </c>
      <c r="B5811" t="s">
        <v>55</v>
      </c>
      <c r="C5811">
        <v>17.32</v>
      </c>
      <c r="D5811">
        <v>17.399999999999999</v>
      </c>
      <c r="E5811">
        <v>17.260000000000002</v>
      </c>
      <c r="F5811">
        <v>17.260000000000002</v>
      </c>
      <c r="G5811">
        <v>17.350000000000001</v>
      </c>
      <c r="H5811">
        <v>0.05</v>
      </c>
      <c r="I5811">
        <v>24</v>
      </c>
      <c r="J5811">
        <v>0</v>
      </c>
      <c r="K5811">
        <v>19</v>
      </c>
      <c r="L5811">
        <v>176</v>
      </c>
      <c r="M5811">
        <v>254</v>
      </c>
      <c r="N5811" t="s">
        <v>55</v>
      </c>
      <c r="O5811" s="3">
        <v>43908</v>
      </c>
      <c r="P5811">
        <v>-1</v>
      </c>
      <c r="T5811" t="s">
        <v>20</v>
      </c>
      <c r="U5811">
        <v>111</v>
      </c>
      <c r="V5811">
        <v>29.617000000000001</v>
      </c>
      <c r="W5811" s="5">
        <v>152</v>
      </c>
      <c r="X5811" s="5">
        <v>29.7</v>
      </c>
    </row>
    <row r="5812" spans="1:24" x14ac:dyDescent="0.35">
      <c r="T5812" t="s">
        <v>21</v>
      </c>
      <c r="U5812">
        <v>135</v>
      </c>
      <c r="V5812">
        <v>29.110600000000002</v>
      </c>
      <c r="W5812" s="5">
        <v>172</v>
      </c>
      <c r="X5812" s="5">
        <v>29.524999999999999</v>
      </c>
    </row>
    <row r="5813" spans="1:24" x14ac:dyDescent="0.35">
      <c r="S5813" s="3" t="s">
        <v>56</v>
      </c>
      <c r="V5813">
        <v>148210.03849999965</v>
      </c>
    </row>
  </sheetData>
  <sortState xmlns:xlrd2="http://schemas.microsoft.com/office/spreadsheetml/2017/richdata2" ref="W5795:X5803">
    <sortCondition ref="W5795:W5803"/>
  </sortState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Tom O'Brien</cp:lastModifiedBy>
  <dcterms:created xsi:type="dcterms:W3CDTF">2022-06-09T18:35:18Z</dcterms:created>
  <dcterms:modified xsi:type="dcterms:W3CDTF">2026-07-24T20:02:44Z</dcterms:modified>
</cp:coreProperties>
</file>