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7011"/>
  <workbookPr/>
  <mc:AlternateContent xmlns:mc="http://schemas.openxmlformats.org/markup-compatibility/2006">
    <mc:Choice Requires="x15">
      <x15ac:absPath xmlns:x15ac="http://schemas.microsoft.com/office/spreadsheetml/2010/11/ac" url="/Users/tomobrien/Git/Vol/"/>
    </mc:Choice>
  </mc:AlternateContent>
  <bookViews>
    <workbookView xWindow="7800" yWindow="900" windowWidth="28560" windowHeight="18320" activeTab="1"/>
  </bookViews>
  <sheets>
    <sheet name="Data" sheetId="1" r:id="rId1"/>
    <sheet name="Charts" sheetId="2" r:id="rId2"/>
  </sheet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I3" i="1" l="1"/>
  <c r="AI4" i="1"/>
  <c r="AI5" i="1"/>
  <c r="AI6" i="1"/>
  <c r="AI7" i="1"/>
  <c r="AI8" i="1"/>
  <c r="AI9" i="1"/>
  <c r="AI10" i="1"/>
  <c r="AI11" i="1"/>
  <c r="AI12" i="1"/>
  <c r="AI13" i="1"/>
  <c r="AI14" i="1"/>
  <c r="AI15" i="1"/>
  <c r="AI16" i="1"/>
  <c r="AI17" i="1"/>
  <c r="AI18" i="1"/>
  <c r="AI19" i="1"/>
  <c r="AI20" i="1"/>
  <c r="AI21" i="1"/>
  <c r="AI22" i="1"/>
  <c r="AI23" i="1"/>
  <c r="AI24" i="1"/>
  <c r="AI25" i="1"/>
  <c r="AI26" i="1"/>
  <c r="AI27" i="1"/>
  <c r="AI28" i="1"/>
  <c r="AI29" i="1"/>
  <c r="AI30" i="1"/>
  <c r="AI31" i="1"/>
  <c r="AI32" i="1"/>
  <c r="AI33" i="1"/>
  <c r="AI34" i="1"/>
  <c r="AI35" i="1"/>
  <c r="AI36" i="1"/>
  <c r="AI37" i="1"/>
  <c r="AI38" i="1"/>
  <c r="AI39" i="1"/>
  <c r="AI40" i="1"/>
  <c r="AI41" i="1"/>
  <c r="AI42" i="1"/>
  <c r="AI43" i="1"/>
  <c r="AI44" i="1"/>
  <c r="AI45" i="1"/>
  <c r="AI46" i="1"/>
  <c r="AI47" i="1"/>
  <c r="AI48" i="1"/>
  <c r="AI49" i="1"/>
  <c r="AI50" i="1"/>
  <c r="AI51" i="1"/>
  <c r="AI52" i="1"/>
  <c r="AI53" i="1"/>
  <c r="AI54" i="1"/>
  <c r="AI55" i="1"/>
  <c r="AI56" i="1"/>
  <c r="AI57" i="1"/>
  <c r="AI58" i="1"/>
  <c r="AI59" i="1"/>
  <c r="AI60" i="1"/>
  <c r="AI61" i="1"/>
  <c r="AI62" i="1"/>
  <c r="AI63" i="1"/>
  <c r="AI64" i="1"/>
  <c r="AI65" i="1"/>
  <c r="AI66" i="1"/>
  <c r="AI67" i="1"/>
  <c r="AI68" i="1"/>
  <c r="AI69" i="1"/>
  <c r="AI70" i="1"/>
  <c r="AI71" i="1"/>
  <c r="AI72" i="1"/>
  <c r="AI73" i="1"/>
  <c r="AI74" i="1"/>
  <c r="AI75" i="1"/>
  <c r="AI76" i="1"/>
  <c r="AI77" i="1"/>
  <c r="AI78" i="1"/>
  <c r="AI79" i="1"/>
  <c r="AI80" i="1"/>
  <c r="AI81" i="1"/>
  <c r="AI82" i="1"/>
  <c r="AI83" i="1"/>
  <c r="AI84" i="1"/>
  <c r="AI85" i="1"/>
  <c r="AI86" i="1"/>
  <c r="AI87" i="1"/>
  <c r="AI88" i="1"/>
  <c r="AI89" i="1"/>
  <c r="AI2" i="1"/>
  <c r="J24" i="2"/>
  <c r="J23" i="2"/>
  <c r="J22" i="2"/>
  <c r="J13" i="2"/>
  <c r="J12" i="2"/>
  <c r="J11" i="2"/>
</calcChain>
</file>

<file path=xl/sharedStrings.xml><?xml version="1.0" encoding="utf-8"?>
<sst xmlns="http://schemas.openxmlformats.org/spreadsheetml/2006/main" count="295" uniqueCount="108">
  <si>
    <t>2016-06-20</t>
  </si>
  <si>
    <t>2016-06-21</t>
  </si>
  <si>
    <t>2016-06-22</t>
  </si>
  <si>
    <t>2016-06-23</t>
  </si>
  <si>
    <t>2016-06-24</t>
  </si>
  <si>
    <t>2016-06-27</t>
  </si>
  <si>
    <t>2016-06-28</t>
  </si>
  <si>
    <t>2016-06-29</t>
  </si>
  <si>
    <t>2016-06-30</t>
  </si>
  <si>
    <t>2016-07-01</t>
  </si>
  <si>
    <t>2016-07-05</t>
  </si>
  <si>
    <t>2016-07-06</t>
  </si>
  <si>
    <t>2016-07-07</t>
  </si>
  <si>
    <t>2016-07-08</t>
  </si>
  <si>
    <t>2016-07-11</t>
  </si>
  <si>
    <t>2016-07-12</t>
  </si>
  <si>
    <t>2016-07-13</t>
  </si>
  <si>
    <t>2016-07-14</t>
  </si>
  <si>
    <t>2016-07-15</t>
  </si>
  <si>
    <t>2016-07-18</t>
  </si>
  <si>
    <t>2016-07-19</t>
  </si>
  <si>
    <t>2016-07-20</t>
  </si>
  <si>
    <t>2016-07-21</t>
  </si>
  <si>
    <t>2016-07-22</t>
  </si>
  <si>
    <t>2016-07-25</t>
  </si>
  <si>
    <t>2016-07-26</t>
  </si>
  <si>
    <t>2016-07-27</t>
  </si>
  <si>
    <t>2016-07-28</t>
  </si>
  <si>
    <t>2016-07-29</t>
  </si>
  <si>
    <t>2016-08-01</t>
  </si>
  <si>
    <t>2016-08-02</t>
  </si>
  <si>
    <t>2016-08-03</t>
  </si>
  <si>
    <t>2016-08-04</t>
  </si>
  <si>
    <t>2016-08-05</t>
  </si>
  <si>
    <t>2016-08-08</t>
  </si>
  <si>
    <t>2016-08-09</t>
  </si>
  <si>
    <t>2016-08-10</t>
  </si>
  <si>
    <t>2016-08-11</t>
  </si>
  <si>
    <t>2016-08-12</t>
  </si>
  <si>
    <t>2016-08-15</t>
  </si>
  <si>
    <t>2016-08-16</t>
  </si>
  <si>
    <t>2016-08-17</t>
  </si>
  <si>
    <t>2016-08-18</t>
  </si>
  <si>
    <t>2016-08-19</t>
  </si>
  <si>
    <t>2016-08-22</t>
  </si>
  <si>
    <t>2016-08-23</t>
  </si>
  <si>
    <t>2016-08-24</t>
  </si>
  <si>
    <t>2016-08-25</t>
  </si>
  <si>
    <t>2016-08-26</t>
  </si>
  <si>
    <t>2016-08-29</t>
  </si>
  <si>
    <t>2016-08-30</t>
  </si>
  <si>
    <t>2016-08-31</t>
  </si>
  <si>
    <t>2016-09-01</t>
  </si>
  <si>
    <t>2016-09-02</t>
  </si>
  <si>
    <t>2016-09-06</t>
  </si>
  <si>
    <t>2016-09-07</t>
  </si>
  <si>
    <t>2016-09-08</t>
  </si>
  <si>
    <t>2016-09-09</t>
  </si>
  <si>
    <t>2016-09-12</t>
  </si>
  <si>
    <t>2016-09-13</t>
  </si>
  <si>
    <t>2016-09-14</t>
  </si>
  <si>
    <t>2016-09-15</t>
  </si>
  <si>
    <t>2016-09-16</t>
  </si>
  <si>
    <t>2016-09-19</t>
  </si>
  <si>
    <t>2016-09-20</t>
  </si>
  <si>
    <t>2016-09-21</t>
  </si>
  <si>
    <t>2016-09-22</t>
  </si>
  <si>
    <t>2016-09-23</t>
  </si>
  <si>
    <t>2016-09-26</t>
  </si>
  <si>
    <t>2016-09-27</t>
  </si>
  <si>
    <t>2016-09-28</t>
  </si>
  <si>
    <t>2016-09-29</t>
  </si>
  <si>
    <t>2016-09-30</t>
  </si>
  <si>
    <t>2016-10-03</t>
  </si>
  <si>
    <t>2016-10-04</t>
  </si>
  <si>
    <t>2016-10-05</t>
  </si>
  <si>
    <t>2016-10-06</t>
  </si>
  <si>
    <t>2016-10-07</t>
  </si>
  <si>
    <t>2016-10-10</t>
  </si>
  <si>
    <t>2016-10-11</t>
  </si>
  <si>
    <t>2016-10-12</t>
  </si>
  <si>
    <t>2016-10-13</t>
  </si>
  <si>
    <t>2016-10-14</t>
  </si>
  <si>
    <t>2016-10-17</t>
  </si>
  <si>
    <t>2016-10-18</t>
  </si>
  <si>
    <t>2016-10-19</t>
  </si>
  <si>
    <t>2016-10-20</t>
  </si>
  <si>
    <t>quote_raw</t>
  </si>
  <si>
    <t>expiration</t>
  </si>
  <si>
    <t>strike</t>
  </si>
  <si>
    <t>option_type</t>
  </si>
  <si>
    <t>delta</t>
  </si>
  <si>
    <t>imp_vol</t>
  </si>
  <si>
    <t>vega</t>
  </si>
  <si>
    <t>deltaless0.5</t>
  </si>
  <si>
    <t>deltaless0.7</t>
  </si>
  <si>
    <t>c</t>
  </si>
  <si>
    <t>Underlying</t>
  </si>
  <si>
    <t>VIX Future</t>
  </si>
  <si>
    <t>CalcVIX</t>
  </si>
  <si>
    <t>bid</t>
  </si>
  <si>
    <t>ask</t>
  </si>
  <si>
    <t>mid</t>
  </si>
  <si>
    <t>Sell 70D and buy 5D</t>
  </si>
  <si>
    <t>Cost to sell</t>
  </si>
  <si>
    <t>Buy back</t>
  </si>
  <si>
    <t>70D rebased</t>
  </si>
  <si>
    <t>Need to test other put deltas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</si>
</sst>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0"/>
      <name val="Arial"/>
      <charset val="1"/>
    </font>
    <font>
      <sz val="10"/>
      <name val="Arial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 applyNumberFormat="0" applyFill="0" applyBorder="0" applyAlignment="0" applyProtection="0"/>
  </cellStyleXfs>
  <cellXfs count="6">
    <xf numFmtId="0" fontId="0" fillId="0" borderId="0" xfId="0"/>
    <xf numFmtId="0" fontId="1" fillId="0" borderId="0" xfId="0" applyFont="1" applyFill="1" applyBorder="1" applyAlignment="1" applyProtection="1"/>
    <xf numFmtId="0" fontId="0" fillId="0" borderId="0" xfId="0"/>
    <xf numFmtId="22" fontId="0" fillId="0" borderId="0" xfId="0" applyNumberFormat="1"/>
    <xf numFmtId="11" fontId="0" fillId="0" borderId="0" xfId="0" applyNumberFormat="1"/>
    <xf numFmtId="3" fontId="0" fillId="0" borderId="0" xfId="0" applyNumberFormat="1"/>
  </cellXfs>
  <cellStyles count="1">
    <cellStyle name="Normal" xfId="0" builtinId="0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4" Type="http://schemas.openxmlformats.org/officeDocument/2006/relationships/styles" Target="styles.xml"/><Relationship Id="rId5" Type="http://schemas.openxmlformats.org/officeDocument/2006/relationships/sharedStrings" Target="sharedStrings.xml"/><Relationship Id="rId6" Type="http://schemas.openxmlformats.org/officeDocument/2006/relationships/calcChain" Target="calcChain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charts/_rels/chart1.xml.rels><?xml version="1.0" encoding="UTF-8" standalone="yes"?>
<Relationships xmlns="http://schemas.openxmlformats.org/package/2006/relationships"><Relationship Id="rId1" Type="http://schemas.microsoft.com/office/2011/relationships/chartStyle" Target="style1.xml"/><Relationship Id="rId2" Type="http://schemas.microsoft.com/office/2011/relationships/chartColorStyle" Target="colors1.xml"/></Relationships>
</file>

<file path=xl/charts/_rels/chart2.xml.rels><?xml version="1.0" encoding="UTF-8" standalone="yes"?>
<Relationships xmlns="http://schemas.openxmlformats.org/package/2006/relationships"><Relationship Id="rId1" Type="http://schemas.microsoft.com/office/2011/relationships/chartStyle" Target="style2.xml"/><Relationship Id="rId2" Type="http://schemas.microsoft.com/office/2011/relationships/chartColorStyle" Target="colors2.xml"/></Relationships>
</file>

<file path=xl/charts/_rels/chart3.xml.rels><?xml version="1.0" encoding="UTF-8" standalone="yes"?>
<Relationships xmlns="http://schemas.openxmlformats.org/package/2006/relationships"><Relationship Id="rId1" Type="http://schemas.microsoft.com/office/2011/relationships/chartStyle" Target="style3.xml"/><Relationship Id="rId2" Type="http://schemas.microsoft.com/office/2011/relationships/chartColorStyle" Target="colors3.xml"/></Relationships>
</file>

<file path=xl/charts/_rels/chart4.xml.rels><?xml version="1.0" encoding="UTF-8" standalone="yes"?>
<Relationships xmlns="http://schemas.openxmlformats.org/package/2006/relationships"><Relationship Id="rId1" Type="http://schemas.microsoft.com/office/2011/relationships/chartStyle" Target="style4.xml"/><Relationship Id="rId2" Type="http://schemas.microsoft.com/office/2011/relationships/chartColorStyle" Target="colors4.xml"/></Relationships>
</file>

<file path=xl/charts/_rels/chart5.xml.rels><?xml version="1.0" encoding="UTF-8" standalone="yes"?>
<Relationships xmlns="http://schemas.openxmlformats.org/package/2006/relationships"><Relationship Id="rId1" Type="http://schemas.microsoft.com/office/2011/relationships/chartStyle" Target="style5.xml"/><Relationship Id="rId2" Type="http://schemas.microsoft.com/office/2011/relationships/chartColorStyle" Target="colors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NZ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Data!$B$1</c:f>
              <c:strCache>
                <c:ptCount val="1"/>
                <c:pt idx="0">
                  <c:v>CalcVIX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Data!$B$2:$B$88</c:f>
              <c:numCache>
                <c:formatCode>General</c:formatCode>
                <c:ptCount val="87"/>
                <c:pt idx="0">
                  <c:v>39.59760171236578</c:v>
                </c:pt>
                <c:pt idx="1">
                  <c:v>40.01949163520146</c:v>
                </c:pt>
                <c:pt idx="2">
                  <c:v>41.53687193910616</c:v>
                </c:pt>
                <c:pt idx="3">
                  <c:v>37.76913831608562</c:v>
                </c:pt>
                <c:pt idx="4">
                  <c:v>45.52886111242703</c:v>
                </c:pt>
                <c:pt idx="5">
                  <c:v>45.1628630463579</c:v>
                </c:pt>
                <c:pt idx="6">
                  <c:v>40.08785467520894</c:v>
                </c:pt>
                <c:pt idx="7">
                  <c:v>37.63775557094574</c:v>
                </c:pt>
                <c:pt idx="8">
                  <c:v>36.31776431284639</c:v>
                </c:pt>
                <c:pt idx="9">
                  <c:v>35.23950517355381</c:v>
                </c:pt>
                <c:pt idx="10">
                  <c:v>35.75527668843023</c:v>
                </c:pt>
                <c:pt idx="11">
                  <c:v>34.7690522155866</c:v>
                </c:pt>
                <c:pt idx="12">
                  <c:v>34.26528139727264</c:v>
                </c:pt>
                <c:pt idx="13">
                  <c:v>31.45926437950324</c:v>
                </c:pt>
                <c:pt idx="14">
                  <c:v>30.59687741474913</c:v>
                </c:pt>
                <c:pt idx="15">
                  <c:v>29.96739109894279</c:v>
                </c:pt>
                <c:pt idx="16">
                  <c:v>29.16285129523321</c:v>
                </c:pt>
                <c:pt idx="17">
                  <c:v>29.15492062720448</c:v>
                </c:pt>
                <c:pt idx="18">
                  <c:v>28.72419370174299</c:v>
                </c:pt>
                <c:pt idx="19">
                  <c:v>27.95727872335161</c:v>
                </c:pt>
                <c:pt idx="20">
                  <c:v>28.28019428825182</c:v>
                </c:pt>
                <c:pt idx="21">
                  <c:v>26.97194863440094</c:v>
                </c:pt>
                <c:pt idx="22">
                  <c:v>28.21389740439876</c:v>
                </c:pt>
                <c:pt idx="23">
                  <c:v>27.04904269406196</c:v>
                </c:pt>
                <c:pt idx="24">
                  <c:v>27.52015289541001</c:v>
                </c:pt>
                <c:pt idx="25">
                  <c:v>27.16245290320346</c:v>
                </c:pt>
                <c:pt idx="26">
                  <c:v>26.08188574946587</c:v>
                </c:pt>
                <c:pt idx="27">
                  <c:v>25.7723583164992</c:v>
                </c:pt>
                <c:pt idx="28">
                  <c:v>24.78333873178798</c:v>
                </c:pt>
                <c:pt idx="29">
                  <c:v>24.68040804799722</c:v>
                </c:pt>
                <c:pt idx="30">
                  <c:v>25.56195478988576</c:v>
                </c:pt>
                <c:pt idx="31">
                  <c:v>24.80258665887003</c:v>
                </c:pt>
                <c:pt idx="32">
                  <c:v>24.06621767392964</c:v>
                </c:pt>
                <c:pt idx="33">
                  <c:v>22.7131475846361</c:v>
                </c:pt>
                <c:pt idx="34">
                  <c:v>22.2211934680671</c:v>
                </c:pt>
                <c:pt idx="35">
                  <c:v>21.99526411500238</c:v>
                </c:pt>
                <c:pt idx="36">
                  <c:v>22.56118568937733</c:v>
                </c:pt>
                <c:pt idx="37">
                  <c:v>21.85002580514224</c:v>
                </c:pt>
                <c:pt idx="38">
                  <c:v>21.42922534636552</c:v>
                </c:pt>
                <c:pt idx="39">
                  <c:v>20.93547439361189</c:v>
                </c:pt>
                <c:pt idx="40">
                  <c:v>21.54335893324326</c:v>
                </c:pt>
                <c:pt idx="41">
                  <c:v>20.82489406181324</c:v>
                </c:pt>
                <c:pt idx="42">
                  <c:v>19.95960016006219</c:v>
                </c:pt>
                <c:pt idx="43">
                  <c:v>19.6249497777611</c:v>
                </c:pt>
                <c:pt idx="44">
                  <c:v>19.53026392559436</c:v>
                </c:pt>
                <c:pt idx="45">
                  <c:v>18.90263238100316</c:v>
                </c:pt>
                <c:pt idx="46">
                  <c:v>20.12557844884919</c:v>
                </c:pt>
                <c:pt idx="47">
                  <c:v>19.98446331729328</c:v>
                </c:pt>
                <c:pt idx="48">
                  <c:v>19.99831129257395</c:v>
                </c:pt>
                <c:pt idx="49">
                  <c:v>18.46202659549521</c:v>
                </c:pt>
                <c:pt idx="50">
                  <c:v>18.2363418561671</c:v>
                </c:pt>
                <c:pt idx="51">
                  <c:v>18.07424815046327</c:v>
                </c:pt>
                <c:pt idx="52">
                  <c:v>18.21687355730893</c:v>
                </c:pt>
                <c:pt idx="53">
                  <c:v>16.36005563108194</c:v>
                </c:pt>
                <c:pt idx="54">
                  <c:v>15.55489476064405</c:v>
                </c:pt>
                <c:pt idx="55">
                  <c:v>15.04866382244563</c:v>
                </c:pt>
                <c:pt idx="56">
                  <c:v>15.05817662005152</c:v>
                </c:pt>
                <c:pt idx="57">
                  <c:v>19.51956392579995</c:v>
                </c:pt>
                <c:pt idx="58">
                  <c:v>17.01596249843931</c:v>
                </c:pt>
                <c:pt idx="59">
                  <c:v>20.54548011947723</c:v>
                </c:pt>
                <c:pt idx="60">
                  <c:v>19.55655281376431</c:v>
                </c:pt>
                <c:pt idx="61">
                  <c:v>17.45259541102188</c:v>
                </c:pt>
                <c:pt idx="62">
                  <c:v>16.75656084375193</c:v>
                </c:pt>
                <c:pt idx="63">
                  <c:v>15.96014446097112</c:v>
                </c:pt>
                <c:pt idx="64">
                  <c:v>15.677933518657</c:v>
                </c:pt>
                <c:pt idx="65">
                  <c:v>13.18109368329348</c:v>
                </c:pt>
                <c:pt idx="66">
                  <c:v>11.41421334686677</c:v>
                </c:pt>
                <c:pt idx="67">
                  <c:v>11.46289374577585</c:v>
                </c:pt>
                <c:pt idx="68">
                  <c:v>12.95921126711072</c:v>
                </c:pt>
                <c:pt idx="69">
                  <c:v>11.31094399687331</c:v>
                </c:pt>
                <c:pt idx="70">
                  <c:v>10.50682751629101</c:v>
                </c:pt>
                <c:pt idx="71">
                  <c:v>11.99261149596743</c:v>
                </c:pt>
                <c:pt idx="72">
                  <c:v>10.18269756836767</c:v>
                </c:pt>
                <c:pt idx="73">
                  <c:v>9.996366210785486</c:v>
                </c:pt>
                <c:pt idx="74">
                  <c:v>9.924320286552076</c:v>
                </c:pt>
                <c:pt idx="75">
                  <c:v>8.80479697736936</c:v>
                </c:pt>
                <c:pt idx="76">
                  <c:v>8.239329510061745</c:v>
                </c:pt>
                <c:pt idx="77">
                  <c:v>7.903318178285181</c:v>
                </c:pt>
                <c:pt idx="78">
                  <c:v>6.496392131475774</c:v>
                </c:pt>
                <c:pt idx="79">
                  <c:v>7.812685286805805</c:v>
                </c:pt>
                <c:pt idx="80">
                  <c:v>7.000178096786708</c:v>
                </c:pt>
                <c:pt idx="81">
                  <c:v>7.014790945095569</c:v>
                </c:pt>
                <c:pt idx="82">
                  <c:v>5.774972488992496</c:v>
                </c:pt>
                <c:pt idx="83">
                  <c:v>5.150829613579791</c:v>
                </c:pt>
                <c:pt idx="84">
                  <c:v>3.75841506471677</c:v>
                </c:pt>
                <c:pt idx="85">
                  <c:v>2.939678398388197</c:v>
                </c:pt>
                <c:pt idx="86">
                  <c:v>1.950471934210895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Data!$C$1</c:f>
              <c:strCache>
                <c:ptCount val="1"/>
                <c:pt idx="0">
                  <c:v>VIX Future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Data!$C$2:$C$88</c:f>
              <c:numCache>
                <c:formatCode>General</c:formatCode>
                <c:ptCount val="87"/>
                <c:pt idx="0">
                  <c:v>19.925</c:v>
                </c:pt>
                <c:pt idx="1">
                  <c:v>19.925</c:v>
                </c:pt>
                <c:pt idx="2">
                  <c:v>20.025</c:v>
                </c:pt>
                <c:pt idx="3">
                  <c:v>18.425</c:v>
                </c:pt>
                <c:pt idx="4">
                  <c:v>22.025</c:v>
                </c:pt>
                <c:pt idx="5">
                  <c:v>22.95</c:v>
                </c:pt>
                <c:pt idx="6">
                  <c:v>20.05</c:v>
                </c:pt>
                <c:pt idx="7">
                  <c:v>19.375</c:v>
                </c:pt>
                <c:pt idx="8">
                  <c:v>19.25</c:v>
                </c:pt>
                <c:pt idx="9">
                  <c:v>19.325</c:v>
                </c:pt>
                <c:pt idx="10">
                  <c:v>19.375</c:v>
                </c:pt>
                <c:pt idx="11">
                  <c:v>19.025</c:v>
                </c:pt>
                <c:pt idx="12">
                  <c:v>18.925</c:v>
                </c:pt>
                <c:pt idx="13">
                  <c:v>18.275</c:v>
                </c:pt>
                <c:pt idx="14">
                  <c:v>18.175</c:v>
                </c:pt>
                <c:pt idx="15">
                  <c:v>17.775</c:v>
                </c:pt>
                <c:pt idx="16">
                  <c:v>17.675</c:v>
                </c:pt>
                <c:pt idx="17">
                  <c:v>17.575</c:v>
                </c:pt>
                <c:pt idx="18">
                  <c:v>17.775</c:v>
                </c:pt>
                <c:pt idx="19">
                  <c:v>17.275</c:v>
                </c:pt>
                <c:pt idx="20">
                  <c:v>17.35</c:v>
                </c:pt>
                <c:pt idx="21">
                  <c:v>17.225</c:v>
                </c:pt>
                <c:pt idx="22">
                  <c:v>17.775</c:v>
                </c:pt>
                <c:pt idx="23">
                  <c:v>17.525</c:v>
                </c:pt>
                <c:pt idx="24">
                  <c:v>17.575</c:v>
                </c:pt>
                <c:pt idx="25">
                  <c:v>17.475</c:v>
                </c:pt>
                <c:pt idx="26">
                  <c:v>17.275</c:v>
                </c:pt>
                <c:pt idx="27">
                  <c:v>16.925</c:v>
                </c:pt>
                <c:pt idx="28">
                  <c:v>16.425</c:v>
                </c:pt>
                <c:pt idx="29">
                  <c:v>16.225</c:v>
                </c:pt>
                <c:pt idx="30">
                  <c:v>16.625</c:v>
                </c:pt>
                <c:pt idx="31">
                  <c:v>16.275</c:v>
                </c:pt>
                <c:pt idx="32">
                  <c:v>15.875</c:v>
                </c:pt>
                <c:pt idx="33">
                  <c:v>15.325</c:v>
                </c:pt>
                <c:pt idx="34">
                  <c:v>15.125</c:v>
                </c:pt>
                <c:pt idx="35">
                  <c:v>14.875</c:v>
                </c:pt>
                <c:pt idx="36">
                  <c:v>15.175</c:v>
                </c:pt>
                <c:pt idx="37">
                  <c:v>15.075</c:v>
                </c:pt>
                <c:pt idx="38">
                  <c:v>14.975</c:v>
                </c:pt>
                <c:pt idx="39">
                  <c:v>14.825</c:v>
                </c:pt>
                <c:pt idx="40">
                  <c:v>15.325</c:v>
                </c:pt>
                <c:pt idx="41">
                  <c:v>14.825</c:v>
                </c:pt>
                <c:pt idx="42">
                  <c:v>14.575</c:v>
                </c:pt>
                <c:pt idx="43">
                  <c:v>14.675</c:v>
                </c:pt>
                <c:pt idx="44">
                  <c:v>14.725</c:v>
                </c:pt>
                <c:pt idx="45">
                  <c:v>14.675</c:v>
                </c:pt>
                <c:pt idx="46">
                  <c:v>15.125</c:v>
                </c:pt>
                <c:pt idx="47">
                  <c:v>14.975</c:v>
                </c:pt>
                <c:pt idx="48">
                  <c:v>15.125</c:v>
                </c:pt>
                <c:pt idx="49">
                  <c:v>14.675</c:v>
                </c:pt>
                <c:pt idx="50">
                  <c:v>14.525</c:v>
                </c:pt>
                <c:pt idx="51">
                  <c:v>14.575</c:v>
                </c:pt>
                <c:pt idx="52">
                  <c:v>14.575</c:v>
                </c:pt>
                <c:pt idx="53">
                  <c:v>13.925</c:v>
                </c:pt>
                <c:pt idx="54">
                  <c:v>13.375</c:v>
                </c:pt>
                <c:pt idx="55">
                  <c:v>13.225</c:v>
                </c:pt>
                <c:pt idx="56">
                  <c:v>13.375</c:v>
                </c:pt>
                <c:pt idx="57">
                  <c:v>16.475</c:v>
                </c:pt>
                <c:pt idx="58">
                  <c:v>15.325</c:v>
                </c:pt>
                <c:pt idx="59">
                  <c:v>17.775</c:v>
                </c:pt>
                <c:pt idx="60">
                  <c:v>18.375</c:v>
                </c:pt>
                <c:pt idx="61">
                  <c:v>17.075</c:v>
                </c:pt>
                <c:pt idx="62">
                  <c:v>16.025</c:v>
                </c:pt>
                <c:pt idx="63">
                  <c:v>15.675</c:v>
                </c:pt>
                <c:pt idx="64">
                  <c:v>15.875</c:v>
                </c:pt>
                <c:pt idx="65">
                  <c:v>14.92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2138806352"/>
        <c:axId val="-2135192704"/>
      </c:lineChart>
      <c:catAx>
        <c:axId val="-21388063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135192704"/>
        <c:crosses val="autoZero"/>
        <c:auto val="1"/>
        <c:lblAlgn val="ctr"/>
        <c:lblOffset val="100"/>
        <c:noMultiLvlLbl val="0"/>
      </c:catAx>
      <c:valAx>
        <c:axId val="-21351927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1388063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NZ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Theo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50D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Data!$O$2:$O$89</c:f>
              <c:numCache>
                <c:formatCode>General</c:formatCode>
                <c:ptCount val="88"/>
                <c:pt idx="0">
                  <c:v>78.05</c:v>
                </c:pt>
                <c:pt idx="1">
                  <c:v>76.3</c:v>
                </c:pt>
                <c:pt idx="2">
                  <c:v>77.05</c:v>
                </c:pt>
                <c:pt idx="3">
                  <c:v>71.6</c:v>
                </c:pt>
                <c:pt idx="4">
                  <c:v>79.8</c:v>
                </c:pt>
                <c:pt idx="5">
                  <c:v>78.9499999999999</c:v>
                </c:pt>
                <c:pt idx="6">
                  <c:v>75.15000000000001</c:v>
                </c:pt>
                <c:pt idx="7">
                  <c:v>71.65000000000001</c:v>
                </c:pt>
                <c:pt idx="8">
                  <c:v>72.25</c:v>
                </c:pt>
                <c:pt idx="9">
                  <c:v>64.1</c:v>
                </c:pt>
                <c:pt idx="10">
                  <c:v>68.65000000000001</c:v>
                </c:pt>
                <c:pt idx="11">
                  <c:v>73.6</c:v>
                </c:pt>
                <c:pt idx="12">
                  <c:v>65.0</c:v>
                </c:pt>
                <c:pt idx="13">
                  <c:v>60.65</c:v>
                </c:pt>
                <c:pt idx="14">
                  <c:v>59.55</c:v>
                </c:pt>
                <c:pt idx="15">
                  <c:v>60.5</c:v>
                </c:pt>
                <c:pt idx="16">
                  <c:v>59.55</c:v>
                </c:pt>
                <c:pt idx="17">
                  <c:v>60.0</c:v>
                </c:pt>
                <c:pt idx="18">
                  <c:v>57.8</c:v>
                </c:pt>
                <c:pt idx="19">
                  <c:v>54.05</c:v>
                </c:pt>
                <c:pt idx="20">
                  <c:v>56.85</c:v>
                </c:pt>
                <c:pt idx="21">
                  <c:v>57.45</c:v>
                </c:pt>
                <c:pt idx="22">
                  <c:v>58.4</c:v>
                </c:pt>
                <c:pt idx="23">
                  <c:v>57.75</c:v>
                </c:pt>
                <c:pt idx="24">
                  <c:v>53.5</c:v>
                </c:pt>
                <c:pt idx="25">
                  <c:v>54.15</c:v>
                </c:pt>
                <c:pt idx="26">
                  <c:v>54.0</c:v>
                </c:pt>
                <c:pt idx="27">
                  <c:v>55.0</c:v>
                </c:pt>
                <c:pt idx="28">
                  <c:v>54.0999999999999</c:v>
                </c:pt>
                <c:pt idx="29">
                  <c:v>50.55</c:v>
                </c:pt>
                <c:pt idx="30">
                  <c:v>51.2</c:v>
                </c:pt>
                <c:pt idx="31">
                  <c:v>51.75</c:v>
                </c:pt>
                <c:pt idx="32">
                  <c:v>46.9</c:v>
                </c:pt>
                <c:pt idx="33">
                  <c:v>45.75</c:v>
                </c:pt>
                <c:pt idx="34">
                  <c:v>46.05</c:v>
                </c:pt>
                <c:pt idx="35">
                  <c:v>43.6</c:v>
                </c:pt>
                <c:pt idx="36">
                  <c:v>46.7</c:v>
                </c:pt>
                <c:pt idx="37">
                  <c:v>45.0</c:v>
                </c:pt>
                <c:pt idx="38">
                  <c:v>45.3499999999999</c:v>
                </c:pt>
                <c:pt idx="39">
                  <c:v>42.45</c:v>
                </c:pt>
                <c:pt idx="40">
                  <c:v>44.3</c:v>
                </c:pt>
                <c:pt idx="41">
                  <c:v>43.9</c:v>
                </c:pt>
                <c:pt idx="42">
                  <c:v>41.15</c:v>
                </c:pt>
                <c:pt idx="43">
                  <c:v>39.15</c:v>
                </c:pt>
                <c:pt idx="44">
                  <c:v>40.9</c:v>
                </c:pt>
                <c:pt idx="45">
                  <c:v>40.4</c:v>
                </c:pt>
                <c:pt idx="46">
                  <c:v>43.2</c:v>
                </c:pt>
                <c:pt idx="47">
                  <c:v>42.65</c:v>
                </c:pt>
                <c:pt idx="48">
                  <c:v>40.9</c:v>
                </c:pt>
                <c:pt idx="49">
                  <c:v>38.3</c:v>
                </c:pt>
                <c:pt idx="50">
                  <c:v>38.55</c:v>
                </c:pt>
                <c:pt idx="51">
                  <c:v>39.3499999999999</c:v>
                </c:pt>
                <c:pt idx="52">
                  <c:v>37.65</c:v>
                </c:pt>
                <c:pt idx="53">
                  <c:v>35.0</c:v>
                </c:pt>
                <c:pt idx="54">
                  <c:v>32.75</c:v>
                </c:pt>
                <c:pt idx="55">
                  <c:v>32.5</c:v>
                </c:pt>
                <c:pt idx="56">
                  <c:v>31.05</c:v>
                </c:pt>
                <c:pt idx="57">
                  <c:v>41.4</c:v>
                </c:pt>
                <c:pt idx="58">
                  <c:v>35.45</c:v>
                </c:pt>
                <c:pt idx="59">
                  <c:v>42.05</c:v>
                </c:pt>
                <c:pt idx="60">
                  <c:v>39.7</c:v>
                </c:pt>
                <c:pt idx="61">
                  <c:v>37.9</c:v>
                </c:pt>
                <c:pt idx="62">
                  <c:v>36.6</c:v>
                </c:pt>
                <c:pt idx="63">
                  <c:v>33.15</c:v>
                </c:pt>
                <c:pt idx="64">
                  <c:v>34.2</c:v>
                </c:pt>
                <c:pt idx="65">
                  <c:v>29.45</c:v>
                </c:pt>
                <c:pt idx="66">
                  <c:v>25.6</c:v>
                </c:pt>
                <c:pt idx="67">
                  <c:v>24.2</c:v>
                </c:pt>
                <c:pt idx="68">
                  <c:v>28.2</c:v>
                </c:pt>
                <c:pt idx="69">
                  <c:v>26.6</c:v>
                </c:pt>
                <c:pt idx="70">
                  <c:v>24.5</c:v>
                </c:pt>
                <c:pt idx="71">
                  <c:v>26.15</c:v>
                </c:pt>
                <c:pt idx="72">
                  <c:v>23.6</c:v>
                </c:pt>
                <c:pt idx="73">
                  <c:v>22.8</c:v>
                </c:pt>
                <c:pt idx="74">
                  <c:v>22.95</c:v>
                </c:pt>
                <c:pt idx="75">
                  <c:v>20.1</c:v>
                </c:pt>
                <c:pt idx="76">
                  <c:v>18.7999999999999</c:v>
                </c:pt>
                <c:pt idx="77">
                  <c:v>17.7</c:v>
                </c:pt>
                <c:pt idx="78">
                  <c:v>13.4</c:v>
                </c:pt>
                <c:pt idx="79">
                  <c:v>18.7</c:v>
                </c:pt>
                <c:pt idx="80">
                  <c:v>16.55</c:v>
                </c:pt>
                <c:pt idx="81">
                  <c:v>15.6</c:v>
                </c:pt>
                <c:pt idx="82">
                  <c:v>12.3</c:v>
                </c:pt>
                <c:pt idx="83">
                  <c:v>12.9</c:v>
                </c:pt>
                <c:pt idx="84">
                  <c:v>8.5</c:v>
                </c:pt>
                <c:pt idx="85">
                  <c:v>7.2</c:v>
                </c:pt>
                <c:pt idx="86">
                  <c:v>3.95</c:v>
                </c:pt>
                <c:pt idx="87">
                  <c:v>0.0</c:v>
                </c:pt>
              </c:numCache>
            </c:numRef>
          </c:val>
          <c:smooth val="0"/>
        </c:ser>
        <c:ser>
          <c:idx val="1"/>
          <c:order val="1"/>
          <c:tx>
            <c:v>70D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Data!$AC$2:$AC$89</c:f>
              <c:numCache>
                <c:formatCode>General</c:formatCode>
                <c:ptCount val="88"/>
                <c:pt idx="0">
                  <c:v>169.45</c:v>
                </c:pt>
                <c:pt idx="1">
                  <c:v>171.25</c:v>
                </c:pt>
                <c:pt idx="2">
                  <c:v>170.95</c:v>
                </c:pt>
                <c:pt idx="3">
                  <c:v>162.899999999999</c:v>
                </c:pt>
                <c:pt idx="4">
                  <c:v>179.05</c:v>
                </c:pt>
                <c:pt idx="5">
                  <c:v>177.15</c:v>
                </c:pt>
                <c:pt idx="6">
                  <c:v>163.85</c:v>
                </c:pt>
                <c:pt idx="7">
                  <c:v>158.05</c:v>
                </c:pt>
                <c:pt idx="8">
                  <c:v>159.899999999999</c:v>
                </c:pt>
                <c:pt idx="9">
                  <c:v>150.7</c:v>
                </c:pt>
                <c:pt idx="10">
                  <c:v>156.45</c:v>
                </c:pt>
                <c:pt idx="11">
                  <c:v>146.95</c:v>
                </c:pt>
                <c:pt idx="12">
                  <c:v>144.75</c:v>
                </c:pt>
                <c:pt idx="13">
                  <c:v>141.6</c:v>
                </c:pt>
                <c:pt idx="14">
                  <c:v>132.85</c:v>
                </c:pt>
                <c:pt idx="15">
                  <c:v>134.0</c:v>
                </c:pt>
                <c:pt idx="16">
                  <c:v>126.25</c:v>
                </c:pt>
                <c:pt idx="17">
                  <c:v>126.75</c:v>
                </c:pt>
                <c:pt idx="18">
                  <c:v>124.1</c:v>
                </c:pt>
                <c:pt idx="19">
                  <c:v>128.25</c:v>
                </c:pt>
                <c:pt idx="20">
                  <c:v>123.9</c:v>
                </c:pt>
                <c:pt idx="21">
                  <c:v>120.35</c:v>
                </c:pt>
                <c:pt idx="22">
                  <c:v>125.25</c:v>
                </c:pt>
                <c:pt idx="23">
                  <c:v>121.1</c:v>
                </c:pt>
                <c:pt idx="24">
                  <c:v>119.3</c:v>
                </c:pt>
                <c:pt idx="25">
                  <c:v>120.4</c:v>
                </c:pt>
                <c:pt idx="26">
                  <c:v>116.699999999999</c:v>
                </c:pt>
                <c:pt idx="27">
                  <c:v>117.7</c:v>
                </c:pt>
                <c:pt idx="28">
                  <c:v>113.6</c:v>
                </c:pt>
                <c:pt idx="29">
                  <c:v>113.2</c:v>
                </c:pt>
                <c:pt idx="30">
                  <c:v>117.0</c:v>
                </c:pt>
                <c:pt idx="31">
                  <c:v>110.6</c:v>
                </c:pt>
                <c:pt idx="32">
                  <c:v>109.3</c:v>
                </c:pt>
                <c:pt idx="33">
                  <c:v>104.85</c:v>
                </c:pt>
                <c:pt idx="34">
                  <c:v>101.85</c:v>
                </c:pt>
                <c:pt idx="35">
                  <c:v>99.15000000000001</c:v>
                </c:pt>
                <c:pt idx="36">
                  <c:v>102.4</c:v>
                </c:pt>
                <c:pt idx="37">
                  <c:v>100.75</c:v>
                </c:pt>
                <c:pt idx="38">
                  <c:v>97.65000000000001</c:v>
                </c:pt>
                <c:pt idx="39">
                  <c:v>94.55</c:v>
                </c:pt>
                <c:pt idx="40">
                  <c:v>100.05</c:v>
                </c:pt>
                <c:pt idx="41">
                  <c:v>95.9</c:v>
                </c:pt>
                <c:pt idx="42">
                  <c:v>93.05</c:v>
                </c:pt>
                <c:pt idx="43">
                  <c:v>91.1999999999999</c:v>
                </c:pt>
                <c:pt idx="44">
                  <c:v>89.6999999999999</c:v>
                </c:pt>
                <c:pt idx="45">
                  <c:v>85.15000000000001</c:v>
                </c:pt>
                <c:pt idx="46">
                  <c:v>91.65000000000001</c:v>
                </c:pt>
                <c:pt idx="47">
                  <c:v>90.9</c:v>
                </c:pt>
                <c:pt idx="48">
                  <c:v>93.0</c:v>
                </c:pt>
                <c:pt idx="49">
                  <c:v>82.75</c:v>
                </c:pt>
                <c:pt idx="50">
                  <c:v>82.95</c:v>
                </c:pt>
                <c:pt idx="51">
                  <c:v>83.6</c:v>
                </c:pt>
                <c:pt idx="52">
                  <c:v>85.45</c:v>
                </c:pt>
                <c:pt idx="53">
                  <c:v>75.55</c:v>
                </c:pt>
                <c:pt idx="54">
                  <c:v>73.35</c:v>
                </c:pt>
                <c:pt idx="55">
                  <c:v>69.5</c:v>
                </c:pt>
                <c:pt idx="56">
                  <c:v>71.9</c:v>
                </c:pt>
                <c:pt idx="57">
                  <c:v>88.8</c:v>
                </c:pt>
                <c:pt idx="58">
                  <c:v>79.65000000000001</c:v>
                </c:pt>
                <c:pt idx="59">
                  <c:v>92.1999999999999</c:v>
                </c:pt>
                <c:pt idx="60">
                  <c:v>85.8</c:v>
                </c:pt>
                <c:pt idx="61">
                  <c:v>77.95</c:v>
                </c:pt>
                <c:pt idx="62">
                  <c:v>76.35</c:v>
                </c:pt>
                <c:pt idx="63">
                  <c:v>72.25</c:v>
                </c:pt>
                <c:pt idx="64">
                  <c:v>69.7</c:v>
                </c:pt>
                <c:pt idx="65">
                  <c:v>61.95</c:v>
                </c:pt>
                <c:pt idx="66">
                  <c:v>54.7</c:v>
                </c:pt>
                <c:pt idx="67">
                  <c:v>53.0</c:v>
                </c:pt>
                <c:pt idx="68">
                  <c:v>60.05</c:v>
                </c:pt>
                <c:pt idx="69">
                  <c:v>55.75</c:v>
                </c:pt>
                <c:pt idx="70">
                  <c:v>49.8499999999999</c:v>
                </c:pt>
                <c:pt idx="71">
                  <c:v>54.5999999999999</c:v>
                </c:pt>
                <c:pt idx="72">
                  <c:v>49.3499999999999</c:v>
                </c:pt>
                <c:pt idx="73">
                  <c:v>47.75</c:v>
                </c:pt>
                <c:pt idx="74">
                  <c:v>47.45</c:v>
                </c:pt>
                <c:pt idx="75">
                  <c:v>41.05</c:v>
                </c:pt>
                <c:pt idx="76">
                  <c:v>39.9</c:v>
                </c:pt>
                <c:pt idx="77">
                  <c:v>38.8499999999999</c:v>
                </c:pt>
                <c:pt idx="78">
                  <c:v>30.65</c:v>
                </c:pt>
                <c:pt idx="79">
                  <c:v>35.65</c:v>
                </c:pt>
                <c:pt idx="80">
                  <c:v>33.55</c:v>
                </c:pt>
                <c:pt idx="81">
                  <c:v>32.25</c:v>
                </c:pt>
                <c:pt idx="82">
                  <c:v>25.5499999999999</c:v>
                </c:pt>
                <c:pt idx="83">
                  <c:v>23.1</c:v>
                </c:pt>
                <c:pt idx="84">
                  <c:v>15.05</c:v>
                </c:pt>
                <c:pt idx="85">
                  <c:v>14.3999999999999</c:v>
                </c:pt>
                <c:pt idx="86">
                  <c:v>7.8</c:v>
                </c:pt>
                <c:pt idx="87">
                  <c:v>0.0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129822128"/>
        <c:axId val="2129818848"/>
      </c:lineChart>
      <c:catAx>
        <c:axId val="21298221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29818848"/>
        <c:crosses val="autoZero"/>
        <c:auto val="1"/>
        <c:lblAlgn val="ctr"/>
        <c:lblOffset val="100"/>
        <c:noMultiLvlLbl val="0"/>
      </c:catAx>
      <c:valAx>
        <c:axId val="21298188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29822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NZ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70D</a:t>
            </a:r>
            <a:r>
              <a:rPr lang="en-US" baseline="0"/>
              <a:t> strike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val>
            <c:numRef>
              <c:f>Data!$X$2:$X$89</c:f>
              <c:numCache>
                <c:formatCode>General</c:formatCode>
                <c:ptCount val="88"/>
                <c:pt idx="0">
                  <c:v>1950.0</c:v>
                </c:pt>
                <c:pt idx="1">
                  <c:v>1950.0</c:v>
                </c:pt>
                <c:pt idx="2">
                  <c:v>1950.0</c:v>
                </c:pt>
                <c:pt idx="3">
                  <c:v>1975.0</c:v>
                </c:pt>
                <c:pt idx="4">
                  <c:v>1900.0</c:v>
                </c:pt>
                <c:pt idx="5">
                  <c:v>1860.0</c:v>
                </c:pt>
                <c:pt idx="6">
                  <c:v>1900.0</c:v>
                </c:pt>
                <c:pt idx="7">
                  <c:v>1940.0</c:v>
                </c:pt>
                <c:pt idx="8">
                  <c:v>1960.0</c:v>
                </c:pt>
                <c:pt idx="9">
                  <c:v>1980.0</c:v>
                </c:pt>
                <c:pt idx="10">
                  <c:v>1960.0</c:v>
                </c:pt>
                <c:pt idx="11">
                  <c:v>1980.0</c:v>
                </c:pt>
                <c:pt idx="12">
                  <c:v>1980.0</c:v>
                </c:pt>
                <c:pt idx="13">
                  <c:v>2010.0</c:v>
                </c:pt>
                <c:pt idx="14">
                  <c:v>2030.0</c:v>
                </c:pt>
                <c:pt idx="15">
                  <c:v>2040.0</c:v>
                </c:pt>
                <c:pt idx="16">
                  <c:v>2050.0</c:v>
                </c:pt>
                <c:pt idx="17">
                  <c:v>2060.0</c:v>
                </c:pt>
                <c:pt idx="18">
                  <c:v>2060.0</c:v>
                </c:pt>
                <c:pt idx="19">
                  <c:v>2060.0</c:v>
                </c:pt>
                <c:pt idx="20">
                  <c:v>2060.0</c:v>
                </c:pt>
                <c:pt idx="21">
                  <c:v>2075.0</c:v>
                </c:pt>
                <c:pt idx="22">
                  <c:v>2060.0</c:v>
                </c:pt>
                <c:pt idx="23">
                  <c:v>2075.0</c:v>
                </c:pt>
                <c:pt idx="24">
                  <c:v>2070.0</c:v>
                </c:pt>
                <c:pt idx="25">
                  <c:v>2070.0</c:v>
                </c:pt>
                <c:pt idx="26">
                  <c:v>2075.0</c:v>
                </c:pt>
                <c:pt idx="27">
                  <c:v>2075.0</c:v>
                </c:pt>
                <c:pt idx="28">
                  <c:v>2080.0</c:v>
                </c:pt>
                <c:pt idx="29">
                  <c:v>2075.0</c:v>
                </c:pt>
                <c:pt idx="30">
                  <c:v>2060.0</c:v>
                </c:pt>
                <c:pt idx="31">
                  <c:v>2070.0</c:v>
                </c:pt>
                <c:pt idx="32">
                  <c:v>2075.0</c:v>
                </c:pt>
                <c:pt idx="33">
                  <c:v>2095.0</c:v>
                </c:pt>
                <c:pt idx="34">
                  <c:v>2095.0</c:v>
                </c:pt>
                <c:pt idx="35">
                  <c:v>2100.0</c:v>
                </c:pt>
                <c:pt idx="36">
                  <c:v>2090.0</c:v>
                </c:pt>
                <c:pt idx="37">
                  <c:v>2105.0</c:v>
                </c:pt>
                <c:pt idx="38">
                  <c:v>2105.0</c:v>
                </c:pt>
                <c:pt idx="39">
                  <c:v>2115.0</c:v>
                </c:pt>
                <c:pt idx="40">
                  <c:v>2100.0</c:v>
                </c:pt>
                <c:pt idx="41">
                  <c:v>2105.0</c:v>
                </c:pt>
                <c:pt idx="42">
                  <c:v>2110.0</c:v>
                </c:pt>
                <c:pt idx="43">
                  <c:v>2110.0</c:v>
                </c:pt>
                <c:pt idx="44">
                  <c:v>2110.0</c:v>
                </c:pt>
                <c:pt idx="45">
                  <c:v>2120.0</c:v>
                </c:pt>
                <c:pt idx="46">
                  <c:v>2100.0</c:v>
                </c:pt>
                <c:pt idx="47">
                  <c:v>2100.0</c:v>
                </c:pt>
                <c:pt idx="48">
                  <c:v>2095.0</c:v>
                </c:pt>
                <c:pt idx="49">
                  <c:v>2115.0</c:v>
                </c:pt>
                <c:pt idx="50">
                  <c:v>2110.0</c:v>
                </c:pt>
                <c:pt idx="51">
                  <c:v>2105.0</c:v>
                </c:pt>
                <c:pt idx="52">
                  <c:v>2100.0</c:v>
                </c:pt>
                <c:pt idx="53">
                  <c:v>2120.0</c:v>
                </c:pt>
                <c:pt idx="54">
                  <c:v>2125.0</c:v>
                </c:pt>
                <c:pt idx="55">
                  <c:v>2130.0</c:v>
                </c:pt>
                <c:pt idx="56">
                  <c:v>2125.0</c:v>
                </c:pt>
                <c:pt idx="57">
                  <c:v>2065.0</c:v>
                </c:pt>
                <c:pt idx="58">
                  <c:v>2100.0</c:v>
                </c:pt>
                <c:pt idx="59">
                  <c:v>2055.0</c:v>
                </c:pt>
                <c:pt idx="60">
                  <c:v>2060.0</c:v>
                </c:pt>
                <c:pt idx="61">
                  <c:v>2090.0</c:v>
                </c:pt>
                <c:pt idx="62">
                  <c:v>2080.0</c:v>
                </c:pt>
                <c:pt idx="63">
                  <c:v>2085.0</c:v>
                </c:pt>
                <c:pt idx="64">
                  <c:v>2090.0</c:v>
                </c:pt>
                <c:pt idx="65">
                  <c:v>2115.0</c:v>
                </c:pt>
                <c:pt idx="66">
                  <c:v>2135.0</c:v>
                </c:pt>
                <c:pt idx="67">
                  <c:v>2125.0</c:v>
                </c:pt>
                <c:pt idx="68">
                  <c:v>2100.0</c:v>
                </c:pt>
                <c:pt idx="69">
                  <c:v>2115.0</c:v>
                </c:pt>
                <c:pt idx="70">
                  <c:v>2130.0</c:v>
                </c:pt>
                <c:pt idx="71">
                  <c:v>2115.0</c:v>
                </c:pt>
                <c:pt idx="72">
                  <c:v>2135.0</c:v>
                </c:pt>
                <c:pt idx="73">
                  <c:v>2125.0</c:v>
                </c:pt>
                <c:pt idx="74">
                  <c:v>2115.0</c:v>
                </c:pt>
                <c:pt idx="75">
                  <c:v>2130.0</c:v>
                </c:pt>
                <c:pt idx="76">
                  <c:v>2130.0</c:v>
                </c:pt>
                <c:pt idx="77">
                  <c:v>2125.0</c:v>
                </c:pt>
                <c:pt idx="78">
                  <c:v>2140.0</c:v>
                </c:pt>
                <c:pt idx="79">
                  <c:v>2110.0</c:v>
                </c:pt>
                <c:pt idx="80">
                  <c:v>2115.0</c:v>
                </c:pt>
                <c:pt idx="81">
                  <c:v>2110.0</c:v>
                </c:pt>
                <c:pt idx="82">
                  <c:v>2120.0</c:v>
                </c:pt>
                <c:pt idx="83">
                  <c:v>2110.0</c:v>
                </c:pt>
                <c:pt idx="84">
                  <c:v>2130.0</c:v>
                </c:pt>
                <c:pt idx="85">
                  <c:v>2135.0</c:v>
                </c:pt>
                <c:pt idx="86">
                  <c:v>2135.0</c:v>
                </c:pt>
                <c:pt idx="87">
                  <c:v>300.0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29791984"/>
        <c:axId val="2129786288"/>
      </c:lineChart>
      <c:catAx>
        <c:axId val="21297919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29786288"/>
        <c:crosses val="autoZero"/>
        <c:auto val="1"/>
        <c:lblAlgn val="ctr"/>
        <c:lblOffset val="100"/>
        <c:noMultiLvlLbl val="0"/>
      </c:catAx>
      <c:valAx>
        <c:axId val="2129786288"/>
        <c:scaling>
          <c:orientation val="minMax"/>
          <c:min val="1800.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29791984"/>
        <c:crosses val="autoZero"/>
        <c:crossBetween val="between"/>
        <c:majorUnit val="25.0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NZ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Underlying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yVal>
            <c:numRef>
              <c:f>Data!$D$2:$D$88</c:f>
              <c:numCache>
                <c:formatCode>General</c:formatCode>
                <c:ptCount val="87"/>
                <c:pt idx="0">
                  <c:v>2088.21</c:v>
                </c:pt>
                <c:pt idx="1">
                  <c:v>2089.84</c:v>
                </c:pt>
                <c:pt idx="2">
                  <c:v>2086.53</c:v>
                </c:pt>
                <c:pt idx="3">
                  <c:v>2107.87</c:v>
                </c:pt>
                <c:pt idx="4">
                  <c:v>2042.1</c:v>
                </c:pt>
                <c:pt idx="5">
                  <c:v>2001.67</c:v>
                </c:pt>
                <c:pt idx="6">
                  <c:v>2033.16</c:v>
                </c:pt>
                <c:pt idx="7">
                  <c:v>2069.44</c:v>
                </c:pt>
                <c:pt idx="8">
                  <c:v>2092.96</c:v>
                </c:pt>
                <c:pt idx="9">
                  <c:v>2103.41</c:v>
                </c:pt>
                <c:pt idx="10">
                  <c:v>2090.31</c:v>
                </c:pt>
                <c:pt idx="11">
                  <c:v>2098.94</c:v>
                </c:pt>
                <c:pt idx="12">
                  <c:v>2097.07</c:v>
                </c:pt>
                <c:pt idx="13">
                  <c:v>2127.44</c:v>
                </c:pt>
                <c:pt idx="14">
                  <c:v>2138.67</c:v>
                </c:pt>
                <c:pt idx="15">
                  <c:v>2151.8</c:v>
                </c:pt>
                <c:pt idx="16">
                  <c:v>2153.44</c:v>
                </c:pt>
                <c:pt idx="17">
                  <c:v>2163.67</c:v>
                </c:pt>
                <c:pt idx="18">
                  <c:v>2161.37</c:v>
                </c:pt>
                <c:pt idx="19">
                  <c:v>2167.79</c:v>
                </c:pt>
                <c:pt idx="20">
                  <c:v>2162.26</c:v>
                </c:pt>
                <c:pt idx="21">
                  <c:v>2174.48</c:v>
                </c:pt>
                <c:pt idx="22">
                  <c:v>2162.62</c:v>
                </c:pt>
                <c:pt idx="23">
                  <c:v>2174.64</c:v>
                </c:pt>
                <c:pt idx="24">
                  <c:v>2166.6</c:v>
                </c:pt>
                <c:pt idx="25">
                  <c:v>2168.57</c:v>
                </c:pt>
                <c:pt idx="26">
                  <c:v>2170.56</c:v>
                </c:pt>
                <c:pt idx="27">
                  <c:v>2172.16</c:v>
                </c:pt>
                <c:pt idx="28">
                  <c:v>2174.38</c:v>
                </c:pt>
                <c:pt idx="29">
                  <c:v>2169.59</c:v>
                </c:pt>
                <c:pt idx="30">
                  <c:v>2157.46</c:v>
                </c:pt>
                <c:pt idx="31">
                  <c:v>2160.19</c:v>
                </c:pt>
                <c:pt idx="32">
                  <c:v>2164.68</c:v>
                </c:pt>
                <c:pt idx="33">
                  <c:v>2182.05</c:v>
                </c:pt>
                <c:pt idx="34">
                  <c:v>2179.18</c:v>
                </c:pt>
                <c:pt idx="35">
                  <c:v>2181.66</c:v>
                </c:pt>
                <c:pt idx="36">
                  <c:v>2173.44</c:v>
                </c:pt>
                <c:pt idx="37">
                  <c:v>2187.66</c:v>
                </c:pt>
                <c:pt idx="38">
                  <c:v>2184.56</c:v>
                </c:pt>
                <c:pt idx="39">
                  <c:v>2191.66</c:v>
                </c:pt>
                <c:pt idx="40">
                  <c:v>2181.25</c:v>
                </c:pt>
                <c:pt idx="41">
                  <c:v>2182.23</c:v>
                </c:pt>
                <c:pt idx="42">
                  <c:v>2185.78</c:v>
                </c:pt>
                <c:pt idx="43">
                  <c:v>2183.71</c:v>
                </c:pt>
                <c:pt idx="44">
                  <c:v>2182.87</c:v>
                </c:pt>
                <c:pt idx="45">
                  <c:v>2187.78</c:v>
                </c:pt>
                <c:pt idx="46">
                  <c:v>2172.56</c:v>
                </c:pt>
                <c:pt idx="47">
                  <c:v>2171.96</c:v>
                </c:pt>
                <c:pt idx="48">
                  <c:v>2169.44</c:v>
                </c:pt>
                <c:pt idx="49">
                  <c:v>2179.87</c:v>
                </c:pt>
                <c:pt idx="50">
                  <c:v>2175.55</c:v>
                </c:pt>
                <c:pt idx="51">
                  <c:v>2171.08</c:v>
                </c:pt>
                <c:pt idx="52">
                  <c:v>2168.4</c:v>
                </c:pt>
                <c:pt idx="53">
                  <c:v>2180.02</c:v>
                </c:pt>
                <c:pt idx="54">
                  <c:v>2184.15</c:v>
                </c:pt>
                <c:pt idx="55">
                  <c:v>2185.44</c:v>
                </c:pt>
                <c:pt idx="56">
                  <c:v>2182.6</c:v>
                </c:pt>
                <c:pt idx="57">
                  <c:v>2134.55</c:v>
                </c:pt>
                <c:pt idx="58">
                  <c:v>2162.81</c:v>
                </c:pt>
                <c:pt idx="59">
                  <c:v>2126.17</c:v>
                </c:pt>
                <c:pt idx="60">
                  <c:v>2125.15</c:v>
                </c:pt>
                <c:pt idx="61">
                  <c:v>2149.28</c:v>
                </c:pt>
                <c:pt idx="62">
                  <c:v>2139.75</c:v>
                </c:pt>
                <c:pt idx="63">
                  <c:v>2141.15</c:v>
                </c:pt>
                <c:pt idx="64">
                  <c:v>2143.11</c:v>
                </c:pt>
                <c:pt idx="65">
                  <c:v>2163.54</c:v>
                </c:pt>
                <c:pt idx="66">
                  <c:v>2178.78</c:v>
                </c:pt>
                <c:pt idx="67">
                  <c:v>2166.67</c:v>
                </c:pt>
                <c:pt idx="68">
                  <c:v>2146.62</c:v>
                </c:pt>
                <c:pt idx="69">
                  <c:v>2159.92</c:v>
                </c:pt>
                <c:pt idx="70">
                  <c:v>2169.15</c:v>
                </c:pt>
                <c:pt idx="71">
                  <c:v>2156.31</c:v>
                </c:pt>
                <c:pt idx="72">
                  <c:v>2174.39</c:v>
                </c:pt>
                <c:pt idx="73">
                  <c:v>2162.53</c:v>
                </c:pt>
                <c:pt idx="74">
                  <c:v>2152.15</c:v>
                </c:pt>
                <c:pt idx="75">
                  <c:v>2160.75</c:v>
                </c:pt>
                <c:pt idx="76">
                  <c:v>2161.04</c:v>
                </c:pt>
                <c:pt idx="77">
                  <c:v>2154.96</c:v>
                </c:pt>
                <c:pt idx="78">
                  <c:v>2163.67</c:v>
                </c:pt>
                <c:pt idx="79">
                  <c:v>2136.8</c:v>
                </c:pt>
                <c:pt idx="80">
                  <c:v>2140.63</c:v>
                </c:pt>
                <c:pt idx="81">
                  <c:v>2134.42</c:v>
                </c:pt>
                <c:pt idx="82">
                  <c:v>2137.79</c:v>
                </c:pt>
                <c:pt idx="83">
                  <c:v>2126.5</c:v>
                </c:pt>
                <c:pt idx="84">
                  <c:v>2139.7</c:v>
                </c:pt>
                <c:pt idx="85">
                  <c:v>2146.35</c:v>
                </c:pt>
                <c:pt idx="86">
                  <c:v>2140.775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29754624"/>
        <c:axId val="2129751648"/>
      </c:scatterChart>
      <c:valAx>
        <c:axId val="21297546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29751648"/>
        <c:crosses val="autoZero"/>
        <c:crossBetween val="midCat"/>
      </c:valAx>
      <c:valAx>
        <c:axId val="2129751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297546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NZ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Calc VIX vs 70D put theo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Data!$B$1</c:f>
              <c:strCache>
                <c:ptCount val="1"/>
                <c:pt idx="0">
                  <c:v>CalcVIX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Data!$B$2:$B$88</c:f>
              <c:numCache>
                <c:formatCode>General</c:formatCode>
                <c:ptCount val="87"/>
                <c:pt idx="0">
                  <c:v>39.59760171236578</c:v>
                </c:pt>
                <c:pt idx="1">
                  <c:v>40.01949163520146</c:v>
                </c:pt>
                <c:pt idx="2">
                  <c:v>41.53687193910616</c:v>
                </c:pt>
                <c:pt idx="3">
                  <c:v>37.76913831608562</c:v>
                </c:pt>
                <c:pt idx="4">
                  <c:v>45.52886111242703</c:v>
                </c:pt>
                <c:pt idx="5">
                  <c:v>45.1628630463579</c:v>
                </c:pt>
                <c:pt idx="6">
                  <c:v>40.08785467520894</c:v>
                </c:pt>
                <c:pt idx="7">
                  <c:v>37.63775557094574</c:v>
                </c:pt>
                <c:pt idx="8">
                  <c:v>36.31776431284639</c:v>
                </c:pt>
                <c:pt idx="9">
                  <c:v>35.23950517355381</c:v>
                </c:pt>
                <c:pt idx="10">
                  <c:v>35.75527668843023</c:v>
                </c:pt>
                <c:pt idx="11">
                  <c:v>34.7690522155866</c:v>
                </c:pt>
                <c:pt idx="12">
                  <c:v>34.26528139727264</c:v>
                </c:pt>
                <c:pt idx="13">
                  <c:v>31.45926437950324</c:v>
                </c:pt>
                <c:pt idx="14">
                  <c:v>30.59687741474913</c:v>
                </c:pt>
                <c:pt idx="15">
                  <c:v>29.96739109894279</c:v>
                </c:pt>
                <c:pt idx="16">
                  <c:v>29.16285129523321</c:v>
                </c:pt>
                <c:pt idx="17">
                  <c:v>29.15492062720448</c:v>
                </c:pt>
                <c:pt idx="18">
                  <c:v>28.72419370174299</c:v>
                </c:pt>
                <c:pt idx="19">
                  <c:v>27.95727872335161</c:v>
                </c:pt>
                <c:pt idx="20">
                  <c:v>28.28019428825182</c:v>
                </c:pt>
                <c:pt idx="21">
                  <c:v>26.97194863440094</c:v>
                </c:pt>
                <c:pt idx="22">
                  <c:v>28.21389740439876</c:v>
                </c:pt>
                <c:pt idx="23">
                  <c:v>27.04904269406196</c:v>
                </c:pt>
                <c:pt idx="24">
                  <c:v>27.52015289541001</c:v>
                </c:pt>
                <c:pt idx="25">
                  <c:v>27.16245290320346</c:v>
                </c:pt>
                <c:pt idx="26">
                  <c:v>26.08188574946587</c:v>
                </c:pt>
                <c:pt idx="27">
                  <c:v>25.7723583164992</c:v>
                </c:pt>
                <c:pt idx="28">
                  <c:v>24.78333873178798</c:v>
                </c:pt>
                <c:pt idx="29">
                  <c:v>24.68040804799722</c:v>
                </c:pt>
                <c:pt idx="30">
                  <c:v>25.56195478988576</c:v>
                </c:pt>
                <c:pt idx="31">
                  <c:v>24.80258665887003</c:v>
                </c:pt>
                <c:pt idx="32">
                  <c:v>24.06621767392964</c:v>
                </c:pt>
                <c:pt idx="33">
                  <c:v>22.7131475846361</c:v>
                </c:pt>
                <c:pt idx="34">
                  <c:v>22.2211934680671</c:v>
                </c:pt>
                <c:pt idx="35">
                  <c:v>21.99526411500238</c:v>
                </c:pt>
                <c:pt idx="36">
                  <c:v>22.56118568937733</c:v>
                </c:pt>
                <c:pt idx="37">
                  <c:v>21.85002580514224</c:v>
                </c:pt>
                <c:pt idx="38">
                  <c:v>21.42922534636552</c:v>
                </c:pt>
                <c:pt idx="39">
                  <c:v>20.93547439361189</c:v>
                </c:pt>
                <c:pt idx="40">
                  <c:v>21.54335893324326</c:v>
                </c:pt>
                <c:pt idx="41">
                  <c:v>20.82489406181324</c:v>
                </c:pt>
                <c:pt idx="42">
                  <c:v>19.95960016006219</c:v>
                </c:pt>
                <c:pt idx="43">
                  <c:v>19.6249497777611</c:v>
                </c:pt>
                <c:pt idx="44">
                  <c:v>19.53026392559436</c:v>
                </c:pt>
                <c:pt idx="45">
                  <c:v>18.90263238100316</c:v>
                </c:pt>
                <c:pt idx="46">
                  <c:v>20.12557844884919</c:v>
                </c:pt>
                <c:pt idx="47">
                  <c:v>19.98446331729328</c:v>
                </c:pt>
                <c:pt idx="48">
                  <c:v>19.99831129257395</c:v>
                </c:pt>
                <c:pt idx="49">
                  <c:v>18.46202659549521</c:v>
                </c:pt>
                <c:pt idx="50">
                  <c:v>18.2363418561671</c:v>
                </c:pt>
                <c:pt idx="51">
                  <c:v>18.07424815046327</c:v>
                </c:pt>
                <c:pt idx="52">
                  <c:v>18.21687355730893</c:v>
                </c:pt>
                <c:pt idx="53">
                  <c:v>16.36005563108194</c:v>
                </c:pt>
                <c:pt idx="54">
                  <c:v>15.55489476064405</c:v>
                </c:pt>
                <c:pt idx="55">
                  <c:v>15.04866382244563</c:v>
                </c:pt>
                <c:pt idx="56">
                  <c:v>15.05817662005152</c:v>
                </c:pt>
                <c:pt idx="57">
                  <c:v>19.51956392579995</c:v>
                </c:pt>
                <c:pt idx="58">
                  <c:v>17.01596249843931</c:v>
                </c:pt>
                <c:pt idx="59">
                  <c:v>20.54548011947723</c:v>
                </c:pt>
                <c:pt idx="60">
                  <c:v>19.55655281376431</c:v>
                </c:pt>
                <c:pt idx="61">
                  <c:v>17.45259541102188</c:v>
                </c:pt>
                <c:pt idx="62">
                  <c:v>16.75656084375193</c:v>
                </c:pt>
                <c:pt idx="63">
                  <c:v>15.96014446097112</c:v>
                </c:pt>
                <c:pt idx="64">
                  <c:v>15.677933518657</c:v>
                </c:pt>
                <c:pt idx="65">
                  <c:v>13.18109368329348</c:v>
                </c:pt>
                <c:pt idx="66">
                  <c:v>11.41421334686677</c:v>
                </c:pt>
                <c:pt idx="67">
                  <c:v>11.46289374577585</c:v>
                </c:pt>
                <c:pt idx="68">
                  <c:v>12.95921126711072</c:v>
                </c:pt>
                <c:pt idx="69">
                  <c:v>11.31094399687331</c:v>
                </c:pt>
                <c:pt idx="70">
                  <c:v>10.50682751629101</c:v>
                </c:pt>
                <c:pt idx="71">
                  <c:v>11.99261149596743</c:v>
                </c:pt>
                <c:pt idx="72">
                  <c:v>10.18269756836767</c:v>
                </c:pt>
                <c:pt idx="73">
                  <c:v>9.996366210785486</c:v>
                </c:pt>
                <c:pt idx="74">
                  <c:v>9.924320286552076</c:v>
                </c:pt>
                <c:pt idx="75">
                  <c:v>8.80479697736936</c:v>
                </c:pt>
                <c:pt idx="76">
                  <c:v>8.239329510061745</c:v>
                </c:pt>
                <c:pt idx="77">
                  <c:v>7.903318178285181</c:v>
                </c:pt>
                <c:pt idx="78">
                  <c:v>6.496392131475774</c:v>
                </c:pt>
                <c:pt idx="79">
                  <c:v>7.812685286805805</c:v>
                </c:pt>
                <c:pt idx="80">
                  <c:v>7.000178096786708</c:v>
                </c:pt>
                <c:pt idx="81">
                  <c:v>7.014790945095569</c:v>
                </c:pt>
                <c:pt idx="82">
                  <c:v>5.774972488992496</c:v>
                </c:pt>
                <c:pt idx="83">
                  <c:v>5.150829613579791</c:v>
                </c:pt>
                <c:pt idx="84">
                  <c:v>3.75841506471677</c:v>
                </c:pt>
                <c:pt idx="85">
                  <c:v>2.939678398388197</c:v>
                </c:pt>
                <c:pt idx="86">
                  <c:v>1.950471934210895</c:v>
                </c:pt>
              </c:numCache>
            </c:numRef>
          </c:val>
          <c:smooth val="0"/>
        </c:ser>
        <c:ser>
          <c:idx val="1"/>
          <c:order val="1"/>
          <c:tx>
            <c:v>70D put theo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Data!$AI$2:$AI$88</c:f>
              <c:numCache>
                <c:formatCode>General</c:formatCode>
                <c:ptCount val="87"/>
                <c:pt idx="0">
                  <c:v>39.59760171236578</c:v>
                </c:pt>
                <c:pt idx="1">
                  <c:v>40.0182312967993</c:v>
                </c:pt>
                <c:pt idx="2">
                  <c:v>39.94812636606037</c:v>
                </c:pt>
                <c:pt idx="3">
                  <c:v>38.0669773912325</c:v>
                </c:pt>
                <c:pt idx="4">
                  <c:v>41.84095949601118</c:v>
                </c:pt>
                <c:pt idx="5">
                  <c:v>41.39696160133136</c:v>
                </c:pt>
                <c:pt idx="6">
                  <c:v>38.28897633857263</c:v>
                </c:pt>
                <c:pt idx="7">
                  <c:v>36.93361434428689</c:v>
                </c:pt>
                <c:pt idx="8">
                  <c:v>37.36592808384331</c:v>
                </c:pt>
                <c:pt idx="9">
                  <c:v>35.21604354118337</c:v>
                </c:pt>
                <c:pt idx="10">
                  <c:v>36.55972138034598</c:v>
                </c:pt>
                <c:pt idx="11">
                  <c:v>34.3397319069469</c:v>
                </c:pt>
                <c:pt idx="12">
                  <c:v>33.82562908152816</c:v>
                </c:pt>
                <c:pt idx="13">
                  <c:v>33.08952730876952</c:v>
                </c:pt>
                <c:pt idx="14">
                  <c:v>31.04480016221772</c:v>
                </c:pt>
                <c:pt idx="15">
                  <c:v>31.31353573005025</c:v>
                </c:pt>
                <c:pt idx="16">
                  <c:v>29.50249168596152</c:v>
                </c:pt>
                <c:pt idx="17">
                  <c:v>29.61933323719305</c:v>
                </c:pt>
                <c:pt idx="18">
                  <c:v>29.00007301566594</c:v>
                </c:pt>
                <c:pt idx="19">
                  <c:v>29.96985789088765</c:v>
                </c:pt>
                <c:pt idx="20">
                  <c:v>28.95333639517333</c:v>
                </c:pt>
                <c:pt idx="21">
                  <c:v>28.12376138142946</c:v>
                </c:pt>
                <c:pt idx="22">
                  <c:v>29.26880858349846</c:v>
                </c:pt>
                <c:pt idx="23">
                  <c:v>28.29902370827676</c:v>
                </c:pt>
                <c:pt idx="24">
                  <c:v>27.87839412384325</c:v>
                </c:pt>
                <c:pt idx="25">
                  <c:v>28.13544553655261</c:v>
                </c:pt>
                <c:pt idx="26">
                  <c:v>27.27081805743905</c:v>
                </c:pt>
                <c:pt idx="27">
                  <c:v>27.50450115990235</c:v>
                </c:pt>
                <c:pt idx="28">
                  <c:v>26.54640043980379</c:v>
                </c:pt>
                <c:pt idx="29">
                  <c:v>26.45292719881857</c:v>
                </c:pt>
                <c:pt idx="30">
                  <c:v>27.3409229881782</c:v>
                </c:pt>
                <c:pt idx="31">
                  <c:v>25.84535113241461</c:v>
                </c:pt>
                <c:pt idx="32">
                  <c:v>25.54156309921263</c:v>
                </c:pt>
                <c:pt idx="33">
                  <c:v>24.501673293252</c:v>
                </c:pt>
                <c:pt idx="34">
                  <c:v>23.80062398586282</c:v>
                </c:pt>
                <c:pt idx="35">
                  <c:v>23.16967960921255</c:v>
                </c:pt>
                <c:pt idx="36">
                  <c:v>23.92914969221751</c:v>
                </c:pt>
                <c:pt idx="37">
                  <c:v>23.54357257315345</c:v>
                </c:pt>
                <c:pt idx="38">
                  <c:v>22.81915495551796</c:v>
                </c:pt>
                <c:pt idx="39">
                  <c:v>22.09473733788247</c:v>
                </c:pt>
                <c:pt idx="40">
                  <c:v>23.37999440142931</c:v>
                </c:pt>
                <c:pt idx="41">
                  <c:v>22.41020952620761</c:v>
                </c:pt>
                <c:pt idx="42">
                  <c:v>21.74421268418788</c:v>
                </c:pt>
                <c:pt idx="43">
                  <c:v>21.3118989446312</c:v>
                </c:pt>
                <c:pt idx="44">
                  <c:v>20.9613742909366</c:v>
                </c:pt>
                <c:pt idx="45">
                  <c:v>19.89811617472969</c:v>
                </c:pt>
                <c:pt idx="46">
                  <c:v>21.4170563407396</c:v>
                </c:pt>
                <c:pt idx="47">
                  <c:v>21.2417940138923</c:v>
                </c:pt>
                <c:pt idx="48">
                  <c:v>21.73252852906473</c:v>
                </c:pt>
                <c:pt idx="49">
                  <c:v>19.33727672881834</c:v>
                </c:pt>
                <c:pt idx="50">
                  <c:v>19.38401334931096</c:v>
                </c:pt>
                <c:pt idx="51">
                  <c:v>19.53590736591195</c:v>
                </c:pt>
                <c:pt idx="52">
                  <c:v>19.96822110546861</c:v>
                </c:pt>
                <c:pt idx="53">
                  <c:v>17.6547583910843</c:v>
                </c:pt>
                <c:pt idx="54">
                  <c:v>17.14065556566556</c:v>
                </c:pt>
                <c:pt idx="55">
                  <c:v>16.24097562118278</c:v>
                </c:pt>
                <c:pt idx="56">
                  <c:v>16.80181506709412</c:v>
                </c:pt>
                <c:pt idx="57">
                  <c:v>20.75105949871987</c:v>
                </c:pt>
                <c:pt idx="58">
                  <c:v>18.61285911118285</c:v>
                </c:pt>
                <c:pt idx="59">
                  <c:v>21.54558204709425</c:v>
                </c:pt>
                <c:pt idx="60">
                  <c:v>20.05001019133068</c:v>
                </c:pt>
                <c:pt idx="61">
                  <c:v>18.21559783699565</c:v>
                </c:pt>
                <c:pt idx="62">
                  <c:v>17.84170487305475</c:v>
                </c:pt>
                <c:pt idx="63">
                  <c:v>16.8836041529562</c:v>
                </c:pt>
                <c:pt idx="64">
                  <c:v>16.28771224167539</c:v>
                </c:pt>
                <c:pt idx="65">
                  <c:v>14.47666819758667</c:v>
                </c:pt>
                <c:pt idx="66">
                  <c:v>12.78246570472947</c:v>
                </c:pt>
                <c:pt idx="67">
                  <c:v>12.38520443054226</c:v>
                </c:pt>
                <c:pt idx="68">
                  <c:v>14.03267030290685</c:v>
                </c:pt>
                <c:pt idx="69">
                  <c:v>13.02783296231568</c:v>
                </c:pt>
                <c:pt idx="70">
                  <c:v>11.6491026577836</c:v>
                </c:pt>
                <c:pt idx="71">
                  <c:v>12.75909739448314</c:v>
                </c:pt>
                <c:pt idx="72">
                  <c:v>11.53226110655207</c:v>
                </c:pt>
                <c:pt idx="73">
                  <c:v>11.15836814261119</c:v>
                </c:pt>
                <c:pt idx="74">
                  <c:v>11.08826321187227</c:v>
                </c:pt>
                <c:pt idx="75">
                  <c:v>9.592691356108677</c:v>
                </c:pt>
                <c:pt idx="76">
                  <c:v>9.323955788276155</c:v>
                </c:pt>
                <c:pt idx="77">
                  <c:v>9.078588530689918</c:v>
                </c:pt>
                <c:pt idx="78">
                  <c:v>7.162387090492837</c:v>
                </c:pt>
                <c:pt idx="79">
                  <c:v>8.330802602808144</c:v>
                </c:pt>
                <c:pt idx="80">
                  <c:v>7.840068087635715</c:v>
                </c:pt>
                <c:pt idx="81">
                  <c:v>7.536280054433735</c:v>
                </c:pt>
                <c:pt idx="82">
                  <c:v>5.9706032679312</c:v>
                </c:pt>
                <c:pt idx="83">
                  <c:v>5.398079666896723</c:v>
                </c:pt>
                <c:pt idx="84">
                  <c:v>3.516930692069077</c:v>
                </c:pt>
                <c:pt idx="85">
                  <c:v>3.365036675468064</c:v>
                </c:pt>
                <c:pt idx="86">
                  <c:v>1.82272819921188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2123698848"/>
        <c:axId val="-2123527456"/>
      </c:lineChart>
      <c:catAx>
        <c:axId val="-21236988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123527456"/>
        <c:crosses val="autoZero"/>
        <c:auto val="1"/>
        <c:lblAlgn val="ctr"/>
        <c:lblOffset val="100"/>
        <c:noMultiLvlLbl val="0"/>
      </c:catAx>
      <c:valAx>
        <c:axId val="-21235274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1236988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4" Type="http://schemas.openxmlformats.org/officeDocument/2006/relationships/chart" Target="../charts/chart4.xml"/><Relationship Id="rId5" Type="http://schemas.openxmlformats.org/officeDocument/2006/relationships/chart" Target="../charts/chart5.xml"/><Relationship Id="rId1" Type="http://schemas.openxmlformats.org/officeDocument/2006/relationships/chart" Target="../charts/chart1.xml"/><Relationship Id="rId2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6</xdr:col>
      <xdr:colOff>444500</xdr:colOff>
      <xdr:row>17</xdr:row>
      <xdr:rowOff>101600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21</xdr:row>
      <xdr:rowOff>0</xdr:rowOff>
    </xdr:from>
    <xdr:to>
      <xdr:col>6</xdr:col>
      <xdr:colOff>444500</xdr:colOff>
      <xdr:row>37</xdr:row>
      <xdr:rowOff>101600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368300</xdr:colOff>
      <xdr:row>19</xdr:row>
      <xdr:rowOff>127000</xdr:rowOff>
    </xdr:from>
    <xdr:to>
      <xdr:col>15</xdr:col>
      <xdr:colOff>812800</xdr:colOff>
      <xdr:row>36</xdr:row>
      <xdr:rowOff>63500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304800</xdr:colOff>
      <xdr:row>2</xdr:row>
      <xdr:rowOff>0</xdr:rowOff>
    </xdr:from>
    <xdr:to>
      <xdr:col>15</xdr:col>
      <xdr:colOff>749300</xdr:colOff>
      <xdr:row>18</xdr:row>
      <xdr:rowOff>101600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0</xdr:colOff>
      <xdr:row>39</xdr:row>
      <xdr:rowOff>0</xdr:rowOff>
    </xdr:from>
    <xdr:to>
      <xdr:col>6</xdr:col>
      <xdr:colOff>444500</xdr:colOff>
      <xdr:row>55</xdr:row>
      <xdr:rowOff>101600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enableFormatConditionsCalculation="0">
    <outlinePr summaryBelow="0" summaryRight="0"/>
  </sheetPr>
  <dimension ref="B1:AI89"/>
  <sheetViews>
    <sheetView topLeftCell="T1" workbookViewId="0">
      <selection activeCell="AJ4" sqref="AJ4"/>
    </sheetView>
  </sheetViews>
  <sheetFormatPr baseColWidth="10" defaultRowHeight="13" x14ac:dyDescent="0.15"/>
  <cols>
    <col min="8" max="8" width="12.1640625" bestFit="1" customWidth="1"/>
    <col min="9" max="9" width="11.33203125" bestFit="1" customWidth="1"/>
    <col min="19" max="19" width="12.1640625" bestFit="1" customWidth="1"/>
    <col min="20" max="20" width="11.33203125" bestFit="1" customWidth="1"/>
    <col min="22" max="22" width="12.1640625" bestFit="1" customWidth="1"/>
    <col min="23" max="23" width="11.33203125" bestFit="1" customWidth="1"/>
  </cols>
  <sheetData>
    <row r="1" spans="2:35" x14ac:dyDescent="0.15">
      <c r="B1" t="s">
        <v>99</v>
      </c>
      <c r="C1" t="s">
        <v>98</v>
      </c>
      <c r="D1" t="s">
        <v>97</v>
      </c>
      <c r="G1" s="2"/>
      <c r="H1" s="2" t="s">
        <v>87</v>
      </c>
      <c r="I1" s="2" t="s">
        <v>88</v>
      </c>
      <c r="J1" s="2" t="s">
        <v>89</v>
      </c>
      <c r="K1" s="2" t="s">
        <v>90</v>
      </c>
      <c r="L1" s="2" t="s">
        <v>91</v>
      </c>
      <c r="M1" s="2" t="s">
        <v>100</v>
      </c>
      <c r="N1" s="2" t="s">
        <v>101</v>
      </c>
      <c r="O1" s="2" t="s">
        <v>102</v>
      </c>
      <c r="P1" s="2" t="s">
        <v>92</v>
      </c>
      <c r="Q1" s="2" t="s">
        <v>93</v>
      </c>
      <c r="R1" s="2" t="s">
        <v>94</v>
      </c>
      <c r="S1" s="2" t="s">
        <v>95</v>
      </c>
      <c r="T1" s="2"/>
      <c r="U1" s="2"/>
      <c r="V1" s="2" t="s">
        <v>87</v>
      </c>
      <c r="W1" s="2" t="s">
        <v>88</v>
      </c>
      <c r="X1" s="2" t="s">
        <v>89</v>
      </c>
      <c r="Y1" s="2" t="s">
        <v>90</v>
      </c>
      <c r="Z1" s="2" t="s">
        <v>91</v>
      </c>
      <c r="AA1" s="2" t="s">
        <v>100</v>
      </c>
      <c r="AB1" s="2" t="s">
        <v>101</v>
      </c>
      <c r="AC1" s="2" t="s">
        <v>102</v>
      </c>
      <c r="AD1" s="2" t="s">
        <v>92</v>
      </c>
      <c r="AE1" s="2" t="s">
        <v>93</v>
      </c>
      <c r="AF1" s="2" t="s">
        <v>94</v>
      </c>
      <c r="AG1" s="2" t="s">
        <v>95</v>
      </c>
      <c r="AI1" t="s">
        <v>106</v>
      </c>
    </row>
    <row r="2" spans="2:35" x14ac:dyDescent="0.15">
      <c r="B2" s="1">
        <v>39.59760171236578</v>
      </c>
      <c r="C2" s="1">
        <v>19.925000000000001</v>
      </c>
      <c r="D2" s="1">
        <v>2088.21</v>
      </c>
      <c r="E2" s="1" t="s">
        <v>0</v>
      </c>
      <c r="G2" s="2">
        <v>55</v>
      </c>
      <c r="H2" s="3">
        <v>42541.65625</v>
      </c>
      <c r="I2" s="3">
        <v>42664.354166666664</v>
      </c>
      <c r="J2" s="2">
        <v>2075</v>
      </c>
      <c r="K2" s="2" t="s">
        <v>96</v>
      </c>
      <c r="L2" s="2">
        <v>0.5071</v>
      </c>
      <c r="M2" s="2">
        <v>77.3</v>
      </c>
      <c r="N2" s="2">
        <v>78.8</v>
      </c>
      <c r="O2" s="2">
        <v>78.05</v>
      </c>
      <c r="P2" s="2">
        <v>0.16900000000000001</v>
      </c>
      <c r="Q2" s="2">
        <v>4.7685430000000002</v>
      </c>
      <c r="R2" s="2">
        <v>7.09999999999999E-3</v>
      </c>
      <c r="S2" s="2">
        <v>0.19289999999999899</v>
      </c>
      <c r="T2" s="3"/>
      <c r="U2" s="2">
        <v>50</v>
      </c>
      <c r="V2" s="3">
        <v>42541.65625</v>
      </c>
      <c r="W2" s="3">
        <v>42664.354166666664</v>
      </c>
      <c r="X2" s="2">
        <v>1950</v>
      </c>
      <c r="Y2" s="2" t="s">
        <v>96</v>
      </c>
      <c r="Z2" s="2">
        <v>0.70389999999999997</v>
      </c>
      <c r="AA2" s="2">
        <v>168.4</v>
      </c>
      <c r="AB2" s="2">
        <v>170.5</v>
      </c>
      <c r="AC2" s="2">
        <v>169.45</v>
      </c>
      <c r="AD2" s="2">
        <v>0.21310000000000001</v>
      </c>
      <c r="AE2" s="2">
        <v>4.1146989999999999</v>
      </c>
      <c r="AF2" s="2">
        <v>0.203899999999999</v>
      </c>
      <c r="AG2" s="2">
        <v>3.9000000000000098E-3</v>
      </c>
      <c r="AI2">
        <f>AC2/$AC$2*$B$2</f>
        <v>39.59760171236578</v>
      </c>
    </row>
    <row r="3" spans="2:35" x14ac:dyDescent="0.15">
      <c r="B3" s="1">
        <v>40.019491635201462</v>
      </c>
      <c r="C3" s="1">
        <v>19.925000000000001</v>
      </c>
      <c r="D3" s="1">
        <v>2089.84</v>
      </c>
      <c r="E3" s="1" t="s">
        <v>1</v>
      </c>
      <c r="G3" s="2">
        <v>157</v>
      </c>
      <c r="H3" s="3">
        <v>42542.65625</v>
      </c>
      <c r="I3" s="3">
        <v>42664.354166666664</v>
      </c>
      <c r="J3" s="2">
        <v>2080</v>
      </c>
      <c r="K3" s="2" t="s">
        <v>96</v>
      </c>
      <c r="L3" s="2">
        <v>0.501</v>
      </c>
      <c r="M3" s="2">
        <v>75.5</v>
      </c>
      <c r="N3" s="2">
        <v>77.099999999999994</v>
      </c>
      <c r="O3" s="2">
        <v>76.3</v>
      </c>
      <c r="P3" s="2">
        <v>0.16880000000000001</v>
      </c>
      <c r="Q3" s="2">
        <v>4.7548300000000001</v>
      </c>
      <c r="R3" s="2">
        <v>1E-3</v>
      </c>
      <c r="S3" s="2">
        <v>0.19899999999999901</v>
      </c>
      <c r="T3" s="3"/>
      <c r="U3" s="2">
        <v>146</v>
      </c>
      <c r="V3" s="3">
        <v>42542.65625</v>
      </c>
      <c r="W3" s="3">
        <v>42664.354166666664</v>
      </c>
      <c r="X3" s="2">
        <v>1950</v>
      </c>
      <c r="Y3" s="2" t="s">
        <v>96</v>
      </c>
      <c r="Z3" s="2">
        <v>0.70589999999999997</v>
      </c>
      <c r="AA3" s="2">
        <v>170.1</v>
      </c>
      <c r="AB3" s="2">
        <v>172.4</v>
      </c>
      <c r="AC3" s="2">
        <v>171.25</v>
      </c>
      <c r="AD3" s="2">
        <v>0.215</v>
      </c>
      <c r="AE3" s="2">
        <v>4.0891149999999996</v>
      </c>
      <c r="AF3" s="2">
        <v>0.205899999999999</v>
      </c>
      <c r="AG3" s="2">
        <v>5.9000000000000103E-3</v>
      </c>
      <c r="AI3" s="2">
        <f t="shared" ref="AI3:AI66" si="0">AC3/$AC$2*$B$2</f>
        <v>40.018231296799293</v>
      </c>
    </row>
    <row r="4" spans="2:35" x14ac:dyDescent="0.15">
      <c r="B4" s="1">
        <v>41.536871939106163</v>
      </c>
      <c r="C4" s="1">
        <v>20.024999999999999</v>
      </c>
      <c r="D4" s="1">
        <v>2086.5300000000002</v>
      </c>
      <c r="E4" s="1" t="s">
        <v>2</v>
      </c>
      <c r="G4" s="2">
        <v>269</v>
      </c>
      <c r="H4" s="3">
        <v>42543.65625</v>
      </c>
      <c r="I4" s="3">
        <v>42664.354166666664</v>
      </c>
      <c r="J4" s="2">
        <v>2080</v>
      </c>
      <c r="K4" s="2" t="s">
        <v>96</v>
      </c>
      <c r="L4" s="2">
        <v>0.49519999999999997</v>
      </c>
      <c r="M4" s="2">
        <v>76</v>
      </c>
      <c r="N4" s="2">
        <v>78.099999999999994</v>
      </c>
      <c r="O4" s="2">
        <v>77.05</v>
      </c>
      <c r="P4" s="2">
        <v>0.17499999999999999</v>
      </c>
      <c r="Q4" s="2">
        <v>4.7270909999999997</v>
      </c>
      <c r="R4" s="2">
        <v>4.8000000000000204E-3</v>
      </c>
      <c r="S4" s="2">
        <v>0.20479999999999901</v>
      </c>
      <c r="T4" s="3"/>
      <c r="U4" s="2">
        <v>258</v>
      </c>
      <c r="V4" s="3">
        <v>42543.65625</v>
      </c>
      <c r="W4" s="3">
        <v>42664.354166666664</v>
      </c>
      <c r="X4" s="2">
        <v>1950</v>
      </c>
      <c r="Y4" s="2" t="s">
        <v>96</v>
      </c>
      <c r="Z4" s="2">
        <v>0.6976</v>
      </c>
      <c r="AA4" s="2">
        <v>169.6</v>
      </c>
      <c r="AB4" s="2">
        <v>172.3</v>
      </c>
      <c r="AC4" s="2">
        <v>170.95</v>
      </c>
      <c r="AD4" s="2">
        <v>0.22140000000000001</v>
      </c>
      <c r="AE4" s="2">
        <v>4.1186610000000003</v>
      </c>
      <c r="AF4" s="2">
        <v>0.1976</v>
      </c>
      <c r="AG4" s="2">
        <v>2.3999999999999499E-3</v>
      </c>
      <c r="AI4" s="2">
        <f t="shared" si="0"/>
        <v>39.948126366060372</v>
      </c>
    </row>
    <row r="5" spans="2:35" x14ac:dyDescent="0.15">
      <c r="B5" s="1">
        <v>37.769138316085623</v>
      </c>
      <c r="C5" s="1">
        <v>18.425000000000001</v>
      </c>
      <c r="D5" s="1">
        <v>2107.87</v>
      </c>
      <c r="E5" s="1" t="s">
        <v>3</v>
      </c>
      <c r="G5" s="2">
        <v>382</v>
      </c>
      <c r="H5" s="3">
        <v>42544.65625</v>
      </c>
      <c r="I5" s="3">
        <v>42664.354166666664</v>
      </c>
      <c r="J5" s="2">
        <v>2100</v>
      </c>
      <c r="K5" s="2" t="s">
        <v>96</v>
      </c>
      <c r="L5" s="2">
        <v>0.49519999999999997</v>
      </c>
      <c r="M5" s="2">
        <v>70.2</v>
      </c>
      <c r="N5" s="2">
        <v>73</v>
      </c>
      <c r="O5" s="2">
        <v>71.599999999999994</v>
      </c>
      <c r="P5" s="2">
        <v>0.16070000000000001</v>
      </c>
      <c r="Q5" s="2">
        <v>4.7570600000000001</v>
      </c>
      <c r="R5" s="2">
        <v>4.8000000000000204E-3</v>
      </c>
      <c r="S5" s="2">
        <v>0.20479999999999901</v>
      </c>
      <c r="T5" s="3"/>
      <c r="U5" s="2">
        <v>372</v>
      </c>
      <c r="V5" s="3">
        <v>42544.65625</v>
      </c>
      <c r="W5" s="3">
        <v>42664.354166666664</v>
      </c>
      <c r="X5" s="2">
        <v>1975</v>
      </c>
      <c r="Y5" s="2" t="s">
        <v>96</v>
      </c>
      <c r="Z5" s="2">
        <v>0.70220000000000005</v>
      </c>
      <c r="AA5" s="2">
        <v>161.1</v>
      </c>
      <c r="AB5" s="2">
        <v>164.7</v>
      </c>
      <c r="AC5" s="2">
        <v>162.89999999999901</v>
      </c>
      <c r="AD5" s="2">
        <v>0.2056</v>
      </c>
      <c r="AE5" s="2">
        <v>4.115863</v>
      </c>
      <c r="AF5" s="2">
        <v>0.20219999999999999</v>
      </c>
      <c r="AG5" s="2">
        <v>2.2000000000000899E-3</v>
      </c>
      <c r="AI5" s="2">
        <f t="shared" si="0"/>
        <v>38.066977391232498</v>
      </c>
    </row>
    <row r="6" spans="2:35" x14ac:dyDescent="0.15">
      <c r="B6" s="1">
        <v>45.52886111242703</v>
      </c>
      <c r="C6" s="1">
        <v>22.024999999999999</v>
      </c>
      <c r="D6" s="1">
        <v>2042.1</v>
      </c>
      <c r="E6" s="1" t="s">
        <v>4</v>
      </c>
      <c r="G6" s="2">
        <v>489</v>
      </c>
      <c r="H6" s="3">
        <v>42545.65625</v>
      </c>
      <c r="I6" s="3">
        <v>42664.354166666664</v>
      </c>
      <c r="J6" s="2">
        <v>2040</v>
      </c>
      <c r="K6" s="2" t="s">
        <v>96</v>
      </c>
      <c r="L6" s="2">
        <v>0.4884</v>
      </c>
      <c r="M6" s="2">
        <v>79</v>
      </c>
      <c r="N6" s="2">
        <v>80.599999999999994</v>
      </c>
      <c r="O6" s="2">
        <v>79.8</v>
      </c>
      <c r="P6" s="2">
        <v>0.1918</v>
      </c>
      <c r="Q6" s="2">
        <v>4.5835290000000004</v>
      </c>
      <c r="R6" s="2">
        <v>1.1599999999999999E-2</v>
      </c>
      <c r="S6" s="2">
        <v>0.21159999999999901</v>
      </c>
      <c r="T6" s="3"/>
      <c r="U6" s="2">
        <v>478</v>
      </c>
      <c r="V6" s="3">
        <v>42545.65625</v>
      </c>
      <c r="W6" s="3">
        <v>42664.354166666664</v>
      </c>
      <c r="X6" s="2">
        <v>1900</v>
      </c>
      <c r="Y6" s="2" t="s">
        <v>96</v>
      </c>
      <c r="Z6" s="2">
        <v>0.69669999999999999</v>
      </c>
      <c r="AA6" s="2">
        <v>177.9</v>
      </c>
      <c r="AB6" s="2">
        <v>180.2</v>
      </c>
      <c r="AC6" s="2">
        <v>179.05</v>
      </c>
      <c r="AD6" s="2">
        <v>0.2414</v>
      </c>
      <c r="AE6" s="2">
        <v>4.0004679999999997</v>
      </c>
      <c r="AF6" s="2">
        <v>0.19669999999999899</v>
      </c>
      <c r="AG6" s="2">
        <v>3.2999999999999601E-3</v>
      </c>
      <c r="AI6" s="2">
        <f t="shared" si="0"/>
        <v>41.84095949601118</v>
      </c>
    </row>
    <row r="7" spans="2:35" x14ac:dyDescent="0.15">
      <c r="B7" s="1">
        <v>45.162863046357906</v>
      </c>
      <c r="C7" s="1">
        <v>22.95</v>
      </c>
      <c r="D7" s="1">
        <v>2001.67</v>
      </c>
      <c r="E7" s="1" t="s">
        <v>5</v>
      </c>
      <c r="G7" s="2">
        <v>598</v>
      </c>
      <c r="H7" s="3">
        <v>42548.65625</v>
      </c>
      <c r="I7" s="3">
        <v>42664.354166666664</v>
      </c>
      <c r="J7" s="2">
        <v>2000</v>
      </c>
      <c r="K7" s="2" t="s">
        <v>96</v>
      </c>
      <c r="L7" s="2">
        <v>0.48859999999999998</v>
      </c>
      <c r="M7" s="2">
        <v>78.099999999999994</v>
      </c>
      <c r="N7" s="2">
        <v>79.8</v>
      </c>
      <c r="O7" s="2">
        <v>78.949999999999903</v>
      </c>
      <c r="P7" s="2">
        <v>0.1961</v>
      </c>
      <c r="Q7" s="2">
        <v>4.4365050000000004</v>
      </c>
      <c r="R7" s="2">
        <v>1.14E-2</v>
      </c>
      <c r="S7" s="2">
        <v>0.21139999999999901</v>
      </c>
      <c r="T7" s="3"/>
      <c r="U7" s="2">
        <v>587</v>
      </c>
      <c r="V7" s="3">
        <v>42548.65625</v>
      </c>
      <c r="W7" s="3">
        <v>42664.354166666664</v>
      </c>
      <c r="X7" s="2">
        <v>1860</v>
      </c>
      <c r="Y7" s="2" t="s">
        <v>96</v>
      </c>
      <c r="Z7" s="2">
        <v>0.70020000000000004</v>
      </c>
      <c r="AA7" s="2">
        <v>176</v>
      </c>
      <c r="AB7" s="2">
        <v>178.3</v>
      </c>
      <c r="AC7" s="2">
        <v>177.15</v>
      </c>
      <c r="AD7" s="2">
        <v>0.24440000000000001</v>
      </c>
      <c r="AE7" s="2">
        <v>3.8514979999999999</v>
      </c>
      <c r="AF7" s="2">
        <v>0.20019999999999999</v>
      </c>
      <c r="AG7" s="2">
        <v>2.00000000000089E-4</v>
      </c>
      <c r="AI7" s="2">
        <f t="shared" si="0"/>
        <v>41.396961601331355</v>
      </c>
    </row>
    <row r="8" spans="2:35" x14ac:dyDescent="0.15">
      <c r="B8" s="1">
        <v>40.087854675208945</v>
      </c>
      <c r="C8" s="1">
        <v>20.05</v>
      </c>
      <c r="D8" s="1">
        <v>2033.16</v>
      </c>
      <c r="E8" s="1" t="s">
        <v>6</v>
      </c>
      <c r="G8" s="2">
        <v>712</v>
      </c>
      <c r="H8" s="3">
        <v>42549.65625</v>
      </c>
      <c r="I8" s="3">
        <v>42664.354166666664</v>
      </c>
      <c r="J8" s="2">
        <v>2025</v>
      </c>
      <c r="K8" s="2" t="s">
        <v>96</v>
      </c>
      <c r="L8" s="2">
        <v>0.49709999999999999</v>
      </c>
      <c r="M8" s="2">
        <v>74.3</v>
      </c>
      <c r="N8" s="2">
        <v>76</v>
      </c>
      <c r="O8" s="2">
        <v>75.150000000000006</v>
      </c>
      <c r="P8" s="2">
        <v>0.17860000000000001</v>
      </c>
      <c r="Q8" s="2">
        <v>4.4895389999999997</v>
      </c>
      <c r="R8" s="2">
        <v>2.9000000000000102E-3</v>
      </c>
      <c r="S8" s="2">
        <v>0.202899999999999</v>
      </c>
      <c r="T8" s="3"/>
      <c r="U8" s="2">
        <v>702</v>
      </c>
      <c r="V8" s="3">
        <v>42549.65625</v>
      </c>
      <c r="W8" s="3">
        <v>42664.354166666664</v>
      </c>
      <c r="X8" s="2">
        <v>1900</v>
      </c>
      <c r="Y8" s="2" t="s">
        <v>96</v>
      </c>
      <c r="Z8" s="2">
        <v>0.7006</v>
      </c>
      <c r="AA8" s="2">
        <v>162.69999999999999</v>
      </c>
      <c r="AB8" s="2">
        <v>165</v>
      </c>
      <c r="AC8" s="2">
        <v>163.85</v>
      </c>
      <c r="AD8" s="2">
        <v>0.22109999999999999</v>
      </c>
      <c r="AE8" s="2">
        <v>3.8946299999999998</v>
      </c>
      <c r="AF8" s="2">
        <v>0.2006</v>
      </c>
      <c r="AG8" s="2">
        <v>6.0000000000004397E-4</v>
      </c>
      <c r="AI8" s="2">
        <f t="shared" si="0"/>
        <v>38.288976338572638</v>
      </c>
    </row>
    <row r="9" spans="2:35" x14ac:dyDescent="0.15">
      <c r="B9" s="1">
        <v>37.63775557094575</v>
      </c>
      <c r="C9" s="1">
        <v>19.375</v>
      </c>
      <c r="D9" s="1">
        <v>2069.44</v>
      </c>
      <c r="E9" s="1" t="s">
        <v>7</v>
      </c>
      <c r="G9" s="2">
        <v>827</v>
      </c>
      <c r="H9" s="3">
        <v>42550.65625</v>
      </c>
      <c r="I9" s="3">
        <v>42664.354166666664</v>
      </c>
      <c r="J9" s="2">
        <v>2060</v>
      </c>
      <c r="K9" s="2" t="s">
        <v>96</v>
      </c>
      <c r="L9" s="2">
        <v>0.4975</v>
      </c>
      <c r="M9" s="2">
        <v>70.8</v>
      </c>
      <c r="N9" s="2">
        <v>72.5</v>
      </c>
      <c r="O9" s="2">
        <v>71.650000000000006</v>
      </c>
      <c r="P9" s="2">
        <v>0.1671</v>
      </c>
      <c r="Q9" s="2">
        <v>4.5508129999999998</v>
      </c>
      <c r="R9" s="2">
        <v>2.5000000000000001E-3</v>
      </c>
      <c r="S9" s="2">
        <v>0.20249999999999899</v>
      </c>
      <c r="T9" s="3"/>
      <c r="U9" s="2">
        <v>817</v>
      </c>
      <c r="V9" s="3">
        <v>42550.65625</v>
      </c>
      <c r="W9" s="3">
        <v>42664.354166666664</v>
      </c>
      <c r="X9" s="2">
        <v>1940</v>
      </c>
      <c r="Y9" s="2" t="s">
        <v>96</v>
      </c>
      <c r="Z9" s="2">
        <v>0.7006</v>
      </c>
      <c r="AA9" s="2">
        <v>156.9</v>
      </c>
      <c r="AB9" s="2">
        <v>159.19999999999999</v>
      </c>
      <c r="AC9" s="2">
        <v>158.05000000000001</v>
      </c>
      <c r="AD9" s="2">
        <v>0.2094</v>
      </c>
      <c r="AE9" s="2">
        <v>3.9478</v>
      </c>
      <c r="AF9" s="2">
        <v>0.2006</v>
      </c>
      <c r="AG9" s="2">
        <v>6.0000000000004397E-4</v>
      </c>
      <c r="AI9" s="2">
        <f t="shared" si="0"/>
        <v>36.933614344286887</v>
      </c>
    </row>
    <row r="10" spans="2:35" x14ac:dyDescent="0.15">
      <c r="B10" s="1">
        <v>36.317764312846393</v>
      </c>
      <c r="C10" s="1">
        <v>19.25</v>
      </c>
      <c r="D10" s="1">
        <v>2092.96</v>
      </c>
      <c r="E10" s="1" t="s">
        <v>8</v>
      </c>
      <c r="G10" s="2">
        <v>941</v>
      </c>
      <c r="H10" s="3">
        <v>42551.65625</v>
      </c>
      <c r="I10" s="3">
        <v>42664.354166666664</v>
      </c>
      <c r="J10" s="2">
        <v>2080</v>
      </c>
      <c r="K10" s="2" t="s">
        <v>96</v>
      </c>
      <c r="L10" s="2">
        <v>0.50580000000000003</v>
      </c>
      <c r="M10" s="2">
        <v>71.3</v>
      </c>
      <c r="N10" s="2">
        <v>73.2</v>
      </c>
      <c r="O10" s="2">
        <v>72.25</v>
      </c>
      <c r="P10" s="2">
        <v>0.1628</v>
      </c>
      <c r="Q10" s="2">
        <v>4.5839309999999998</v>
      </c>
      <c r="R10" s="2">
        <v>5.8000000000000204E-3</v>
      </c>
      <c r="S10" s="2">
        <v>0.19419999999999901</v>
      </c>
      <c r="T10" s="3"/>
      <c r="U10" s="2">
        <v>931</v>
      </c>
      <c r="V10" s="3">
        <v>42551.65625</v>
      </c>
      <c r="W10" s="3">
        <v>42664.354166666664</v>
      </c>
      <c r="X10" s="2">
        <v>1960</v>
      </c>
      <c r="Y10" s="2" t="s">
        <v>96</v>
      </c>
      <c r="Z10" s="2">
        <v>0.70889999999999997</v>
      </c>
      <c r="AA10" s="2">
        <v>158.69999999999999</v>
      </c>
      <c r="AB10" s="2">
        <v>161.1</v>
      </c>
      <c r="AC10" s="2">
        <v>159.89999999999901</v>
      </c>
      <c r="AD10" s="2">
        <v>0.2051</v>
      </c>
      <c r="AE10" s="2">
        <v>3.924919</v>
      </c>
      <c r="AF10" s="2">
        <v>0.208899999999999</v>
      </c>
      <c r="AG10" s="2">
        <v>8.9000000000000103E-3</v>
      </c>
      <c r="AI10" s="2">
        <f t="shared" si="0"/>
        <v>37.365928083843315</v>
      </c>
    </row>
    <row r="11" spans="2:35" x14ac:dyDescent="0.15">
      <c r="B11" s="1">
        <v>35.239505173553816</v>
      </c>
      <c r="C11" s="1">
        <v>19.324999999999999</v>
      </c>
      <c r="D11" s="1">
        <v>2103.41</v>
      </c>
      <c r="E11" s="1" t="s">
        <v>9</v>
      </c>
      <c r="G11" s="2">
        <v>1054</v>
      </c>
      <c r="H11" s="3">
        <v>42552.65625</v>
      </c>
      <c r="I11" s="3">
        <v>42664.354166666664</v>
      </c>
      <c r="J11" s="2">
        <v>2100</v>
      </c>
      <c r="K11" s="2" t="s">
        <v>96</v>
      </c>
      <c r="L11" s="2">
        <v>0.48309999999999997</v>
      </c>
      <c r="M11" s="2">
        <v>63.2</v>
      </c>
      <c r="N11" s="2">
        <v>65</v>
      </c>
      <c r="O11" s="2">
        <v>64.099999999999994</v>
      </c>
      <c r="P11" s="2">
        <v>0.15440000000000001</v>
      </c>
      <c r="Q11" s="2">
        <v>4.5842590000000003</v>
      </c>
      <c r="R11" s="2">
        <v>1.6899999999999998E-2</v>
      </c>
      <c r="S11" s="2">
        <v>0.21689999999999901</v>
      </c>
      <c r="T11" s="3"/>
      <c r="U11" s="2">
        <v>1045</v>
      </c>
      <c r="V11" s="3">
        <v>42552.65625</v>
      </c>
      <c r="W11" s="3">
        <v>42664.354166666664</v>
      </c>
      <c r="X11" s="2">
        <v>1980</v>
      </c>
      <c r="Y11" s="2" t="s">
        <v>96</v>
      </c>
      <c r="Z11" s="2">
        <v>0.69940000000000002</v>
      </c>
      <c r="AA11" s="2">
        <v>149.19999999999999</v>
      </c>
      <c r="AB11" s="2">
        <v>152.19999999999999</v>
      </c>
      <c r="AC11" s="2">
        <v>150.69999999999999</v>
      </c>
      <c r="AD11" s="2">
        <v>0.19769999999999999</v>
      </c>
      <c r="AE11" s="2">
        <v>3.9873919999999998</v>
      </c>
      <c r="AF11" s="2">
        <v>0.19939999999999999</v>
      </c>
      <c r="AG11" s="2">
        <v>5.9999999999993305E-4</v>
      </c>
      <c r="AI11" s="2">
        <f t="shared" si="0"/>
        <v>35.216043541183375</v>
      </c>
    </row>
    <row r="12" spans="2:35" x14ac:dyDescent="0.15">
      <c r="B12" s="1">
        <v>35.755276688430229</v>
      </c>
      <c r="C12" s="1">
        <v>19.375</v>
      </c>
      <c r="D12" s="1">
        <v>2090.31</v>
      </c>
      <c r="E12" s="1" t="s">
        <v>10</v>
      </c>
      <c r="G12" s="2">
        <v>1165</v>
      </c>
      <c r="H12" s="3">
        <v>42556.65625</v>
      </c>
      <c r="I12" s="3">
        <v>42664.354166666664</v>
      </c>
      <c r="J12" s="2">
        <v>2080</v>
      </c>
      <c r="K12" s="2" t="s">
        <v>96</v>
      </c>
      <c r="L12" s="2">
        <v>0.50019999999999998</v>
      </c>
      <c r="M12" s="2">
        <v>67.900000000000006</v>
      </c>
      <c r="N12" s="2">
        <v>69.400000000000006</v>
      </c>
      <c r="O12" s="2">
        <v>68.650000000000006</v>
      </c>
      <c r="P12" s="2">
        <v>0.16089999999999999</v>
      </c>
      <c r="Q12" s="2">
        <v>4.4779280000000004</v>
      </c>
      <c r="R12" s="2">
        <v>1.99999999999977E-4</v>
      </c>
      <c r="S12" s="2">
        <v>0.19979999999999901</v>
      </c>
      <c r="T12" s="3"/>
      <c r="U12" s="2">
        <v>1155</v>
      </c>
      <c r="V12" s="3">
        <v>42556.65625</v>
      </c>
      <c r="W12" s="3">
        <v>42664.354166666664</v>
      </c>
      <c r="X12" s="2">
        <v>1960</v>
      </c>
      <c r="Y12" s="2" t="s">
        <v>96</v>
      </c>
      <c r="Z12" s="2">
        <v>0.70960000000000001</v>
      </c>
      <c r="AA12" s="2">
        <v>155.4</v>
      </c>
      <c r="AB12" s="2">
        <v>157.5</v>
      </c>
      <c r="AC12" s="2">
        <v>156.44999999999999</v>
      </c>
      <c r="AD12" s="2">
        <v>0.20469999999999999</v>
      </c>
      <c r="AE12" s="2">
        <v>3.8298760000000001</v>
      </c>
      <c r="AF12" s="2">
        <v>0.20960000000000001</v>
      </c>
      <c r="AG12" s="2">
        <v>9.6000000000000495E-3</v>
      </c>
      <c r="AI12" s="2">
        <f t="shared" si="0"/>
        <v>36.559721380345977</v>
      </c>
    </row>
    <row r="13" spans="2:35" x14ac:dyDescent="0.15">
      <c r="B13" s="1">
        <v>34.769052215586591</v>
      </c>
      <c r="C13" s="1">
        <v>19.024999999999999</v>
      </c>
      <c r="D13" s="1">
        <v>2098.94</v>
      </c>
      <c r="E13" s="1" t="s">
        <v>11</v>
      </c>
      <c r="G13" s="2">
        <v>1277</v>
      </c>
      <c r="H13" s="3">
        <v>42557.65625</v>
      </c>
      <c r="I13" s="3">
        <v>42664.354166666664</v>
      </c>
      <c r="J13" s="2">
        <v>2080</v>
      </c>
      <c r="K13" s="2" t="s">
        <v>96</v>
      </c>
      <c r="L13" s="2">
        <v>0.52159999999999995</v>
      </c>
      <c r="M13" s="2">
        <v>72.900000000000006</v>
      </c>
      <c r="N13" s="2">
        <v>74.3</v>
      </c>
      <c r="O13" s="2">
        <v>73.599999999999994</v>
      </c>
      <c r="P13" s="2">
        <v>0.1615</v>
      </c>
      <c r="Q13" s="2">
        <v>4.4706590000000004</v>
      </c>
      <c r="R13" s="2">
        <v>2.1599999999999901E-2</v>
      </c>
      <c r="S13" s="2">
        <v>0.1784</v>
      </c>
      <c r="T13" s="3"/>
      <c r="U13" s="2">
        <v>1269</v>
      </c>
      <c r="V13" s="3">
        <v>42557.65625</v>
      </c>
      <c r="W13" s="3">
        <v>42664.354166666664</v>
      </c>
      <c r="X13" s="2">
        <v>1980</v>
      </c>
      <c r="Y13" s="2" t="s">
        <v>96</v>
      </c>
      <c r="Z13" s="2">
        <v>0.69840000000000002</v>
      </c>
      <c r="AA13" s="2">
        <v>145.9</v>
      </c>
      <c r="AB13" s="2">
        <v>148</v>
      </c>
      <c r="AC13" s="2">
        <v>146.94999999999999</v>
      </c>
      <c r="AD13" s="2">
        <v>0.19769999999999999</v>
      </c>
      <c r="AE13" s="2">
        <v>3.8990320000000001</v>
      </c>
      <c r="AF13" s="2">
        <v>0.19839999999999999</v>
      </c>
      <c r="AG13" s="2">
        <v>1.59999999999993E-3</v>
      </c>
      <c r="AI13" s="2">
        <f t="shared" si="0"/>
        <v>34.339731906946895</v>
      </c>
    </row>
    <row r="14" spans="2:35" x14ac:dyDescent="0.15">
      <c r="B14" s="1">
        <v>34.265281397272638</v>
      </c>
      <c r="C14" s="1">
        <v>18.925000000000001</v>
      </c>
      <c r="D14" s="1">
        <v>2097.0700000000002</v>
      </c>
      <c r="E14" s="1" t="s">
        <v>12</v>
      </c>
      <c r="G14" s="2">
        <v>1420</v>
      </c>
      <c r="H14" s="3">
        <v>42558.65625</v>
      </c>
      <c r="I14" s="3">
        <v>42664.354166666664</v>
      </c>
      <c r="J14" s="2">
        <v>2090</v>
      </c>
      <c r="K14" s="2" t="s">
        <v>96</v>
      </c>
      <c r="L14" s="2">
        <v>0.4945</v>
      </c>
      <c r="M14" s="2">
        <v>64.3</v>
      </c>
      <c r="N14" s="2">
        <v>65.7</v>
      </c>
      <c r="O14" s="2">
        <v>65</v>
      </c>
      <c r="P14" s="2">
        <v>0.1555</v>
      </c>
      <c r="Q14" s="2">
        <v>4.4536360000000004</v>
      </c>
      <c r="R14" s="2">
        <v>5.4999999999999997E-3</v>
      </c>
      <c r="S14" s="2">
        <v>0.20549999999999899</v>
      </c>
      <c r="T14" s="3"/>
      <c r="U14" s="2">
        <v>1407</v>
      </c>
      <c r="V14" s="3">
        <v>42558.65625</v>
      </c>
      <c r="W14" s="3">
        <v>42664.354166666664</v>
      </c>
      <c r="X14" s="2">
        <v>1980</v>
      </c>
      <c r="Y14" s="2" t="s">
        <v>96</v>
      </c>
      <c r="Z14" s="2">
        <v>0.69779999999999998</v>
      </c>
      <c r="AA14" s="2">
        <v>143.69999999999999</v>
      </c>
      <c r="AB14" s="2">
        <v>145.80000000000001</v>
      </c>
      <c r="AC14" s="2">
        <v>144.75</v>
      </c>
      <c r="AD14" s="2">
        <v>0.19600000000000001</v>
      </c>
      <c r="AE14" s="2">
        <v>3.8814359999999999</v>
      </c>
      <c r="AF14" s="2">
        <v>0.197799999999999</v>
      </c>
      <c r="AG14" s="2">
        <v>2.1999999999999702E-3</v>
      </c>
      <c r="AI14" s="2">
        <f t="shared" si="0"/>
        <v>33.825629081528163</v>
      </c>
    </row>
    <row r="15" spans="2:35" x14ac:dyDescent="0.15">
      <c r="B15" s="1">
        <v>31.459264379503239</v>
      </c>
      <c r="C15" s="1">
        <v>18.274999999999999</v>
      </c>
      <c r="D15" s="1">
        <v>2127.44</v>
      </c>
      <c r="E15" s="1" t="s">
        <v>13</v>
      </c>
      <c r="G15" s="2">
        <v>1569</v>
      </c>
      <c r="H15" s="3">
        <v>42559.65625</v>
      </c>
      <c r="I15" s="3">
        <v>42664.354166666664</v>
      </c>
      <c r="J15" s="2">
        <v>2120</v>
      </c>
      <c r="K15" s="2" t="s">
        <v>96</v>
      </c>
      <c r="L15" s="2">
        <v>0.49399999999999999</v>
      </c>
      <c r="M15" s="2">
        <v>59.9</v>
      </c>
      <c r="N15" s="2">
        <v>61.4</v>
      </c>
      <c r="O15" s="2">
        <v>60.65</v>
      </c>
      <c r="P15" s="2">
        <v>0.14330000000000001</v>
      </c>
      <c r="Q15" s="2">
        <v>4.4985749999999998</v>
      </c>
      <c r="R15" s="2">
        <v>6.0000000000000001E-3</v>
      </c>
      <c r="S15" s="2">
        <v>0.20599999999999899</v>
      </c>
      <c r="T15" s="3"/>
      <c r="U15" s="2">
        <v>1556</v>
      </c>
      <c r="V15" s="3">
        <v>42559.65625</v>
      </c>
      <c r="W15" s="3">
        <v>42664.354166666664</v>
      </c>
      <c r="X15" s="2">
        <v>2010</v>
      </c>
      <c r="Y15" s="2" t="s">
        <v>96</v>
      </c>
      <c r="Z15" s="2">
        <v>0.70689999999999997</v>
      </c>
      <c r="AA15" s="2">
        <v>140.6</v>
      </c>
      <c r="AB15" s="2">
        <v>142.6</v>
      </c>
      <c r="AC15" s="2">
        <v>141.6</v>
      </c>
      <c r="AD15" s="2">
        <v>0.1842</v>
      </c>
      <c r="AE15" s="2">
        <v>3.8651469999999999</v>
      </c>
      <c r="AF15" s="2">
        <v>0.206899999999999</v>
      </c>
      <c r="AG15" s="2">
        <v>6.9000000000000103E-3</v>
      </c>
      <c r="AI15" s="2">
        <f t="shared" si="0"/>
        <v>33.089527308769519</v>
      </c>
    </row>
    <row r="16" spans="2:35" x14ac:dyDescent="0.15">
      <c r="B16" s="1">
        <v>30.59687741474913</v>
      </c>
      <c r="C16" s="1">
        <v>18.175000000000001</v>
      </c>
      <c r="D16" s="1">
        <v>2138.67</v>
      </c>
      <c r="E16" s="1" t="s">
        <v>14</v>
      </c>
      <c r="G16" s="2">
        <v>1717</v>
      </c>
      <c r="H16" s="3">
        <v>42562.65625</v>
      </c>
      <c r="I16" s="3">
        <v>42664.354166666664</v>
      </c>
      <c r="J16" s="2">
        <v>2130</v>
      </c>
      <c r="K16" s="2" t="s">
        <v>96</v>
      </c>
      <c r="L16" s="2">
        <v>0.49640000000000001</v>
      </c>
      <c r="M16" s="2">
        <v>58.9</v>
      </c>
      <c r="N16" s="2">
        <v>60.2</v>
      </c>
      <c r="O16" s="2">
        <v>59.55</v>
      </c>
      <c r="P16" s="2">
        <v>0.14069999999999999</v>
      </c>
      <c r="Q16" s="2">
        <v>4.4580929999999999</v>
      </c>
      <c r="R16" s="2">
        <v>3.5999999999999899E-3</v>
      </c>
      <c r="S16" s="2">
        <v>0.203599999999999</v>
      </c>
      <c r="T16" s="3"/>
      <c r="U16" s="2">
        <v>1705</v>
      </c>
      <c r="V16" s="3">
        <v>42562.65625</v>
      </c>
      <c r="W16" s="3">
        <v>42664.354166666664</v>
      </c>
      <c r="X16" s="2">
        <v>2030</v>
      </c>
      <c r="Y16" s="2" t="s">
        <v>96</v>
      </c>
      <c r="Z16" s="2">
        <v>0.69799999999999995</v>
      </c>
      <c r="AA16" s="2">
        <v>131.80000000000001</v>
      </c>
      <c r="AB16" s="2">
        <v>133.9</v>
      </c>
      <c r="AC16" s="2">
        <v>132.85</v>
      </c>
      <c r="AD16" s="2">
        <v>0.17810000000000001</v>
      </c>
      <c r="AE16" s="2">
        <v>3.884423</v>
      </c>
      <c r="AF16" s="2">
        <v>0.19799999999999901</v>
      </c>
      <c r="AG16" s="2">
        <v>2E-3</v>
      </c>
      <c r="AI16" s="2">
        <f t="shared" si="0"/>
        <v>31.044800162217726</v>
      </c>
    </row>
    <row r="17" spans="2:35" x14ac:dyDescent="0.15">
      <c r="B17" s="1">
        <v>29.967391098942791</v>
      </c>
      <c r="C17" s="1">
        <v>17.774999999999999</v>
      </c>
      <c r="D17" s="1">
        <v>2151.8000000000002</v>
      </c>
      <c r="E17" s="1" t="s">
        <v>15</v>
      </c>
      <c r="G17" s="2">
        <v>1864</v>
      </c>
      <c r="H17" s="3">
        <v>42563.65625</v>
      </c>
      <c r="I17" s="3">
        <v>42664.354166666664</v>
      </c>
      <c r="J17" s="2">
        <v>2140</v>
      </c>
      <c r="K17" s="2" t="s">
        <v>96</v>
      </c>
      <c r="L17" s="2">
        <v>0.505</v>
      </c>
      <c r="M17" s="2">
        <v>60</v>
      </c>
      <c r="N17" s="2">
        <v>61</v>
      </c>
      <c r="O17" s="2">
        <v>60.5</v>
      </c>
      <c r="P17" s="2">
        <v>0.1389</v>
      </c>
      <c r="Q17" s="2">
        <v>4.464016</v>
      </c>
      <c r="R17" s="2">
        <v>5.0000000000000001E-3</v>
      </c>
      <c r="S17" s="2">
        <v>0.19499999999999901</v>
      </c>
      <c r="T17" s="3"/>
      <c r="U17" s="2">
        <v>1852</v>
      </c>
      <c r="V17" s="3">
        <v>42563.65625</v>
      </c>
      <c r="W17" s="3">
        <v>42664.354166666664</v>
      </c>
      <c r="X17" s="2">
        <v>2040</v>
      </c>
      <c r="Y17" s="2" t="s">
        <v>96</v>
      </c>
      <c r="Z17" s="2">
        <v>0.70709999999999995</v>
      </c>
      <c r="AA17" s="2">
        <v>133</v>
      </c>
      <c r="AB17" s="2">
        <v>135</v>
      </c>
      <c r="AC17" s="2">
        <v>134</v>
      </c>
      <c r="AD17" s="2">
        <v>0.17469999999999999</v>
      </c>
      <c r="AE17" s="2">
        <v>3.8351160000000002</v>
      </c>
      <c r="AF17" s="2">
        <v>0.20709999999999901</v>
      </c>
      <c r="AG17" s="2">
        <v>7.09999999999999E-3</v>
      </c>
      <c r="AI17" s="2">
        <f t="shared" si="0"/>
        <v>31.313535730050251</v>
      </c>
    </row>
    <row r="18" spans="2:35" x14ac:dyDescent="0.15">
      <c r="B18" s="1">
        <v>29.162851295233207</v>
      </c>
      <c r="C18" s="1">
        <v>17.675000000000001</v>
      </c>
      <c r="D18" s="1">
        <v>2153.44</v>
      </c>
      <c r="E18" s="1" t="s">
        <v>16</v>
      </c>
      <c r="G18" s="2">
        <v>2010</v>
      </c>
      <c r="H18" s="3">
        <v>42564.65625</v>
      </c>
      <c r="I18" s="3">
        <v>42664.354166666664</v>
      </c>
      <c r="J18" s="2">
        <v>2140</v>
      </c>
      <c r="K18" s="2" t="s">
        <v>96</v>
      </c>
      <c r="L18" s="2">
        <v>0.50770000000000004</v>
      </c>
      <c r="M18" s="2">
        <v>58.8</v>
      </c>
      <c r="N18" s="2">
        <v>60.3</v>
      </c>
      <c r="O18" s="2">
        <v>59.55</v>
      </c>
      <c r="P18" s="2">
        <v>0.13600000000000001</v>
      </c>
      <c r="Q18" s="2">
        <v>4.4439780000000004</v>
      </c>
      <c r="R18" s="2">
        <v>7.7000000000000401E-3</v>
      </c>
      <c r="S18" s="2">
        <v>0.192299999999999</v>
      </c>
      <c r="T18" s="3"/>
      <c r="U18" s="2">
        <v>1999</v>
      </c>
      <c r="V18" s="3">
        <v>42564.65625</v>
      </c>
      <c r="W18" s="3">
        <v>42664.354166666664</v>
      </c>
      <c r="X18" s="2">
        <v>2050</v>
      </c>
      <c r="Y18" s="2" t="s">
        <v>96</v>
      </c>
      <c r="Z18" s="2">
        <v>0.69520000000000004</v>
      </c>
      <c r="AA18" s="2">
        <v>125.2</v>
      </c>
      <c r="AB18" s="2">
        <v>127.3</v>
      </c>
      <c r="AC18" s="2">
        <v>126.25</v>
      </c>
      <c r="AD18" s="2">
        <v>0.17050000000000001</v>
      </c>
      <c r="AE18" s="2">
        <v>3.8894169999999999</v>
      </c>
      <c r="AF18" s="2">
        <v>0.19520000000000001</v>
      </c>
      <c r="AG18" s="2">
        <v>4.7999999999999102E-3</v>
      </c>
      <c r="AI18" s="2">
        <f t="shared" si="0"/>
        <v>29.502491685961523</v>
      </c>
    </row>
    <row r="19" spans="2:35" x14ac:dyDescent="0.15">
      <c r="B19" s="1">
        <v>29.15492062720449</v>
      </c>
      <c r="C19" s="1">
        <v>17.574999999999999</v>
      </c>
      <c r="D19" s="1">
        <v>2163.67</v>
      </c>
      <c r="E19" s="1" t="s">
        <v>17</v>
      </c>
      <c r="G19" s="2">
        <v>2157</v>
      </c>
      <c r="H19" s="3">
        <v>42565.65625</v>
      </c>
      <c r="I19" s="3">
        <v>42664.354166666664</v>
      </c>
      <c r="J19" s="2">
        <v>2150</v>
      </c>
      <c r="K19" s="2" t="s">
        <v>96</v>
      </c>
      <c r="L19" s="2">
        <v>0.51</v>
      </c>
      <c r="M19" s="2">
        <v>58.9</v>
      </c>
      <c r="N19" s="2">
        <v>61.1</v>
      </c>
      <c r="O19" s="2">
        <v>60</v>
      </c>
      <c r="P19" s="2">
        <v>0.1361</v>
      </c>
      <c r="Q19" s="2">
        <v>4.4436439999999999</v>
      </c>
      <c r="R19" s="2">
        <v>0.01</v>
      </c>
      <c r="S19" s="2">
        <v>0.189999999999999</v>
      </c>
      <c r="T19" s="3"/>
      <c r="U19" s="2">
        <v>2146</v>
      </c>
      <c r="V19" s="3">
        <v>42565.65625</v>
      </c>
      <c r="W19" s="3">
        <v>42664.354166666664</v>
      </c>
      <c r="X19" s="2">
        <v>2060</v>
      </c>
      <c r="Y19" s="2" t="s">
        <v>96</v>
      </c>
      <c r="Z19" s="2">
        <v>0.69710000000000005</v>
      </c>
      <c r="AA19" s="2">
        <v>125.6</v>
      </c>
      <c r="AB19" s="2">
        <v>127.9</v>
      </c>
      <c r="AC19" s="2">
        <v>126.75</v>
      </c>
      <c r="AD19" s="2">
        <v>0.17019999999999999</v>
      </c>
      <c r="AE19" s="2">
        <v>3.879057</v>
      </c>
      <c r="AF19" s="2">
        <v>0.1971</v>
      </c>
      <c r="AG19" s="2">
        <v>2.8999999999999001E-3</v>
      </c>
      <c r="AI19" s="2">
        <f t="shared" si="0"/>
        <v>29.619333237193054</v>
      </c>
    </row>
    <row r="20" spans="2:35" x14ac:dyDescent="0.15">
      <c r="B20" s="1">
        <v>28.724193701742994</v>
      </c>
      <c r="C20" s="1">
        <v>17.774999999999999</v>
      </c>
      <c r="D20" s="1">
        <v>2161.37</v>
      </c>
      <c r="E20" s="1" t="s">
        <v>18</v>
      </c>
      <c r="G20" s="2">
        <v>2305</v>
      </c>
      <c r="H20" s="3">
        <v>42566.65625</v>
      </c>
      <c r="I20" s="3">
        <v>42664.354166666664</v>
      </c>
      <c r="J20" s="2">
        <v>2150</v>
      </c>
      <c r="K20" s="2" t="s">
        <v>96</v>
      </c>
      <c r="L20" s="2">
        <v>0.50260000000000005</v>
      </c>
      <c r="M20" s="2">
        <v>56.8</v>
      </c>
      <c r="N20" s="2">
        <v>58.8</v>
      </c>
      <c r="O20" s="2">
        <v>57.8</v>
      </c>
      <c r="P20" s="2">
        <v>0.13489999999999999</v>
      </c>
      <c r="Q20" s="2">
        <v>4.4173039999999997</v>
      </c>
      <c r="R20" s="2">
        <v>2.6000000000000402E-3</v>
      </c>
      <c r="S20" s="2">
        <v>0.19739999999999899</v>
      </c>
      <c r="T20" s="3"/>
      <c r="U20" s="2">
        <v>2294</v>
      </c>
      <c r="V20" s="3">
        <v>42566.65625</v>
      </c>
      <c r="W20" s="3">
        <v>42664.354166666664</v>
      </c>
      <c r="X20" s="2">
        <v>2060</v>
      </c>
      <c r="Y20" s="2" t="s">
        <v>96</v>
      </c>
      <c r="Z20" s="2">
        <v>0.69389999999999996</v>
      </c>
      <c r="AA20" s="2">
        <v>122.7</v>
      </c>
      <c r="AB20" s="2">
        <v>125.5</v>
      </c>
      <c r="AC20" s="2">
        <v>124.1</v>
      </c>
      <c r="AD20" s="2">
        <v>0.1691</v>
      </c>
      <c r="AE20" s="2">
        <v>3.872833</v>
      </c>
      <c r="AF20" s="2">
        <v>0.19389999999999899</v>
      </c>
      <c r="AG20" s="2">
        <v>6.09999999999999E-3</v>
      </c>
      <c r="AI20" s="2">
        <f t="shared" si="0"/>
        <v>29.00007301566594</v>
      </c>
    </row>
    <row r="21" spans="2:35" x14ac:dyDescent="0.15">
      <c r="B21" s="1">
        <v>27.957278723351607</v>
      </c>
      <c r="C21" s="1">
        <v>17.274999999999999</v>
      </c>
      <c r="D21" s="1">
        <v>2167.79</v>
      </c>
      <c r="E21" s="1" t="s">
        <v>19</v>
      </c>
      <c r="G21" s="2">
        <v>2464</v>
      </c>
      <c r="H21" s="3">
        <v>42569.65625</v>
      </c>
      <c r="I21" s="3">
        <v>42664.354166666664</v>
      </c>
      <c r="J21" s="2">
        <v>2160</v>
      </c>
      <c r="K21" s="2" t="s">
        <v>96</v>
      </c>
      <c r="L21" s="2">
        <v>0.4929</v>
      </c>
      <c r="M21" s="2">
        <v>53.4</v>
      </c>
      <c r="N21" s="2">
        <v>54.7</v>
      </c>
      <c r="O21" s="2">
        <v>54.05</v>
      </c>
      <c r="P21" s="2">
        <v>0.13139999999999999</v>
      </c>
      <c r="Q21" s="2">
        <v>4.3629100000000003</v>
      </c>
      <c r="R21" s="2">
        <v>7.09999999999999E-3</v>
      </c>
      <c r="S21" s="2">
        <v>0.20709999999999901</v>
      </c>
      <c r="T21" s="3"/>
      <c r="U21" s="2">
        <v>2452</v>
      </c>
      <c r="V21" s="3">
        <v>42569.65625</v>
      </c>
      <c r="W21" s="3">
        <v>42664.354166666664</v>
      </c>
      <c r="X21" s="2">
        <v>2060</v>
      </c>
      <c r="Y21" s="2" t="s">
        <v>96</v>
      </c>
      <c r="Z21" s="2">
        <v>0.70789999999999997</v>
      </c>
      <c r="AA21" s="2">
        <v>127.3</v>
      </c>
      <c r="AB21" s="2">
        <v>129.19999999999999</v>
      </c>
      <c r="AC21" s="2">
        <v>128.25</v>
      </c>
      <c r="AD21" s="2">
        <v>0.1701</v>
      </c>
      <c r="AE21" s="2">
        <v>3.7437839999999998</v>
      </c>
      <c r="AF21" s="2">
        <v>0.207899999999999</v>
      </c>
      <c r="AG21" s="2">
        <v>7.9000000000000094E-3</v>
      </c>
      <c r="AI21" s="2">
        <f t="shared" si="0"/>
        <v>29.969857890887646</v>
      </c>
    </row>
    <row r="22" spans="2:35" x14ac:dyDescent="0.15">
      <c r="B22" s="1">
        <v>28.280194288251824</v>
      </c>
      <c r="C22" s="1">
        <v>17.350000000000001</v>
      </c>
      <c r="D22" s="1">
        <v>2162.2600000000002</v>
      </c>
      <c r="E22" s="1" t="s">
        <v>20</v>
      </c>
      <c r="G22" s="2">
        <v>2623</v>
      </c>
      <c r="H22" s="3">
        <v>42570.65625</v>
      </c>
      <c r="I22" s="3">
        <v>42664.354166666664</v>
      </c>
      <c r="J22" s="2">
        <v>2150</v>
      </c>
      <c r="K22" s="2" t="s">
        <v>96</v>
      </c>
      <c r="L22" s="2">
        <v>0.505</v>
      </c>
      <c r="M22" s="2">
        <v>56.2</v>
      </c>
      <c r="N22" s="2">
        <v>57.5</v>
      </c>
      <c r="O22" s="2">
        <v>56.85</v>
      </c>
      <c r="P22" s="2">
        <v>0.1343</v>
      </c>
      <c r="Q22" s="2">
        <v>4.328303</v>
      </c>
      <c r="R22" s="2">
        <v>5.0000000000000001E-3</v>
      </c>
      <c r="S22" s="2">
        <v>0.19499999999999901</v>
      </c>
      <c r="T22" s="3"/>
      <c r="U22" s="2">
        <v>2612</v>
      </c>
      <c r="V22" s="3">
        <v>42570.65625</v>
      </c>
      <c r="W22" s="3">
        <v>42664.354166666664</v>
      </c>
      <c r="X22" s="2">
        <v>2060</v>
      </c>
      <c r="Y22" s="2" t="s">
        <v>96</v>
      </c>
      <c r="Z22" s="2">
        <v>0.69820000000000004</v>
      </c>
      <c r="AA22" s="2">
        <v>122.8</v>
      </c>
      <c r="AB22" s="2">
        <v>125</v>
      </c>
      <c r="AC22" s="2">
        <v>123.9</v>
      </c>
      <c r="AD22" s="2">
        <v>0.1701</v>
      </c>
      <c r="AE22" s="2">
        <v>3.7715589999999999</v>
      </c>
      <c r="AF22" s="2">
        <v>0.19819999999999999</v>
      </c>
      <c r="AG22" s="2">
        <v>1.79999999999991E-3</v>
      </c>
      <c r="AI22" s="2">
        <f t="shared" si="0"/>
        <v>28.953336395173331</v>
      </c>
    </row>
    <row r="23" spans="2:35" x14ac:dyDescent="0.15">
      <c r="B23" s="1">
        <v>26.971948634400938</v>
      </c>
      <c r="C23" s="1">
        <v>17.225000000000001</v>
      </c>
      <c r="D23" s="1">
        <v>2174.48</v>
      </c>
      <c r="E23" s="1" t="s">
        <v>21</v>
      </c>
      <c r="G23" s="2">
        <v>2784</v>
      </c>
      <c r="H23" s="3">
        <v>42571.65625</v>
      </c>
      <c r="I23" s="3">
        <v>42664.354166666664</v>
      </c>
      <c r="J23" s="2">
        <v>2160</v>
      </c>
      <c r="K23" s="2" t="s">
        <v>96</v>
      </c>
      <c r="L23" s="2">
        <v>0.51219999999999999</v>
      </c>
      <c r="M23" s="2">
        <v>56.7</v>
      </c>
      <c r="N23" s="2">
        <v>58.2</v>
      </c>
      <c r="O23" s="2">
        <v>57.45</v>
      </c>
      <c r="P23" s="2">
        <v>0.13250000000000001</v>
      </c>
      <c r="Q23" s="2">
        <v>4.3288520000000004</v>
      </c>
      <c r="R23" s="2">
        <v>1.21999999999999E-2</v>
      </c>
      <c r="S23" s="2">
        <v>0.187799999999999</v>
      </c>
      <c r="T23" s="3"/>
      <c r="U23" s="2">
        <v>2774</v>
      </c>
      <c r="V23" s="3">
        <v>42571.65625</v>
      </c>
      <c r="W23" s="3">
        <v>42664.354166666664</v>
      </c>
      <c r="X23" s="2">
        <v>2075</v>
      </c>
      <c r="Y23" s="2" t="s">
        <v>96</v>
      </c>
      <c r="Z23" s="2">
        <v>0.6986</v>
      </c>
      <c r="AA23" s="2">
        <v>119.5</v>
      </c>
      <c r="AB23" s="2">
        <v>121.2</v>
      </c>
      <c r="AC23" s="2">
        <v>120.35</v>
      </c>
      <c r="AD23" s="2">
        <v>0.1646</v>
      </c>
      <c r="AE23" s="2">
        <v>3.771541</v>
      </c>
      <c r="AF23" s="2">
        <v>0.1986</v>
      </c>
      <c r="AG23" s="2">
        <v>1.3999999999999499E-3</v>
      </c>
      <c r="AI23" s="2">
        <f t="shared" si="0"/>
        <v>28.12376138142946</v>
      </c>
    </row>
    <row r="24" spans="2:35" x14ac:dyDescent="0.15">
      <c r="B24" s="1">
        <v>28.213897404398764</v>
      </c>
      <c r="C24" s="1">
        <v>17.774999999999999</v>
      </c>
      <c r="D24" s="1">
        <v>2162.62</v>
      </c>
      <c r="E24" s="1" t="s">
        <v>22</v>
      </c>
      <c r="G24" s="2">
        <v>2943</v>
      </c>
      <c r="H24" s="3">
        <v>42572.65625</v>
      </c>
      <c r="I24" s="3">
        <v>42664.354166666664</v>
      </c>
      <c r="J24" s="2">
        <v>2150</v>
      </c>
      <c r="K24" s="2" t="s">
        <v>96</v>
      </c>
      <c r="L24" s="2">
        <v>0.50870000000000004</v>
      </c>
      <c r="M24" s="2">
        <v>57.8</v>
      </c>
      <c r="N24" s="2">
        <v>59</v>
      </c>
      <c r="O24" s="2">
        <v>58.4</v>
      </c>
      <c r="P24" s="2">
        <v>0.13789999999999999</v>
      </c>
      <c r="Q24" s="2">
        <v>4.2838070000000004</v>
      </c>
      <c r="R24" s="2">
        <v>8.7000000000000393E-3</v>
      </c>
      <c r="S24" s="2">
        <v>0.191299999999999</v>
      </c>
      <c r="T24" s="3"/>
      <c r="U24" s="2">
        <v>2932</v>
      </c>
      <c r="V24" s="3">
        <v>42572.65625</v>
      </c>
      <c r="W24" s="3">
        <v>42664.354166666664</v>
      </c>
      <c r="X24" s="2">
        <v>2060</v>
      </c>
      <c r="Y24" s="2" t="s">
        <v>96</v>
      </c>
      <c r="Z24" s="2">
        <v>0.69940000000000002</v>
      </c>
      <c r="AA24" s="2">
        <v>124.4</v>
      </c>
      <c r="AB24" s="2">
        <v>126.1</v>
      </c>
      <c r="AC24" s="2">
        <v>125.25</v>
      </c>
      <c r="AD24" s="2">
        <v>0.17319999999999999</v>
      </c>
      <c r="AE24" s="2">
        <v>3.7267269999999999</v>
      </c>
      <c r="AF24" s="2">
        <v>0.19939999999999999</v>
      </c>
      <c r="AG24" s="2">
        <v>5.9999999999993305E-4</v>
      </c>
      <c r="AI24" s="2">
        <f t="shared" si="0"/>
        <v>29.268808583498462</v>
      </c>
    </row>
    <row r="25" spans="2:35" x14ac:dyDescent="0.15">
      <c r="B25" s="1">
        <v>27.049042694061963</v>
      </c>
      <c r="C25" s="1">
        <v>17.524999999999999</v>
      </c>
      <c r="D25" s="1">
        <v>2174.64</v>
      </c>
      <c r="E25" s="1" t="s">
        <v>23</v>
      </c>
      <c r="G25" s="2">
        <v>3104</v>
      </c>
      <c r="H25" s="3">
        <v>42573.65625</v>
      </c>
      <c r="I25" s="3">
        <v>42664.354166666664</v>
      </c>
      <c r="J25" s="2">
        <v>2160</v>
      </c>
      <c r="K25" s="2" t="s">
        <v>96</v>
      </c>
      <c r="L25" s="2">
        <v>0.51270000000000004</v>
      </c>
      <c r="M25" s="2">
        <v>57.1</v>
      </c>
      <c r="N25" s="2">
        <v>58.4</v>
      </c>
      <c r="O25" s="2">
        <v>57.75</v>
      </c>
      <c r="P25" s="2">
        <v>0.13450000000000001</v>
      </c>
      <c r="Q25" s="2">
        <v>4.2822959999999997</v>
      </c>
      <c r="R25" s="2">
        <v>1.2699999999999999E-2</v>
      </c>
      <c r="S25" s="2">
        <v>0.187299999999999</v>
      </c>
      <c r="T25" s="3"/>
      <c r="U25" s="2">
        <v>3094</v>
      </c>
      <c r="V25" s="3">
        <v>42573.65625</v>
      </c>
      <c r="W25" s="3">
        <v>42664.354166666664</v>
      </c>
      <c r="X25" s="2">
        <v>2075</v>
      </c>
      <c r="Y25" s="2" t="s">
        <v>96</v>
      </c>
      <c r="Z25" s="2">
        <v>0.69730000000000003</v>
      </c>
      <c r="AA25" s="2">
        <v>120.3</v>
      </c>
      <c r="AB25" s="2">
        <v>121.9</v>
      </c>
      <c r="AC25" s="2">
        <v>121.1</v>
      </c>
      <c r="AD25" s="2">
        <v>0.1681</v>
      </c>
      <c r="AE25" s="2">
        <v>3.7385730000000001</v>
      </c>
      <c r="AF25" s="2">
        <v>0.1973</v>
      </c>
      <c r="AG25" s="2">
        <v>2.6999999999999199E-3</v>
      </c>
      <c r="AI25" s="2">
        <f t="shared" si="0"/>
        <v>28.299023708276756</v>
      </c>
    </row>
    <row r="26" spans="2:35" x14ac:dyDescent="0.15">
      <c r="B26" s="1">
        <v>27.520152895410011</v>
      </c>
      <c r="C26" s="1">
        <v>17.574999999999999</v>
      </c>
      <c r="D26" s="1">
        <v>2166.6</v>
      </c>
      <c r="E26" s="1" t="s">
        <v>24</v>
      </c>
      <c r="G26" s="2">
        <v>3264</v>
      </c>
      <c r="H26" s="3">
        <v>42576.65625</v>
      </c>
      <c r="I26" s="3">
        <v>42664.354166666664</v>
      </c>
      <c r="J26" s="2">
        <v>2160</v>
      </c>
      <c r="K26" s="2" t="s">
        <v>96</v>
      </c>
      <c r="L26" s="2">
        <v>0.49220000000000003</v>
      </c>
      <c r="M26" s="2">
        <v>52.9</v>
      </c>
      <c r="N26" s="2">
        <v>54.1</v>
      </c>
      <c r="O26" s="2">
        <v>53.5</v>
      </c>
      <c r="P26" s="2">
        <v>0.13539999999999999</v>
      </c>
      <c r="Q26" s="2">
        <v>4.1991129999999997</v>
      </c>
      <c r="R26" s="2">
        <v>7.7999999999999702E-3</v>
      </c>
      <c r="S26" s="2">
        <v>0.20779999999999901</v>
      </c>
      <c r="T26" s="3"/>
      <c r="U26" s="2">
        <v>3253</v>
      </c>
      <c r="V26" s="3">
        <v>42576.65625</v>
      </c>
      <c r="W26" s="3">
        <v>42664.354166666664</v>
      </c>
      <c r="X26" s="2">
        <v>2070</v>
      </c>
      <c r="Y26" s="2" t="s">
        <v>96</v>
      </c>
      <c r="Z26" s="2">
        <v>0.69340000000000002</v>
      </c>
      <c r="AA26" s="2">
        <v>118.4</v>
      </c>
      <c r="AB26" s="2">
        <v>120.2</v>
      </c>
      <c r="AC26" s="2">
        <v>119.3</v>
      </c>
      <c r="AD26" s="2">
        <v>0.17080000000000001</v>
      </c>
      <c r="AE26" s="2">
        <v>3.6857820000000001</v>
      </c>
      <c r="AF26" s="2">
        <v>0.19339999999999999</v>
      </c>
      <c r="AG26" s="2">
        <v>6.5999999999999297E-3</v>
      </c>
      <c r="AI26" s="2">
        <f t="shared" si="0"/>
        <v>27.878394123843247</v>
      </c>
    </row>
    <row r="27" spans="2:35" x14ac:dyDescent="0.15">
      <c r="B27" s="1">
        <v>27.162452903203459</v>
      </c>
      <c r="C27" s="1">
        <v>17.475000000000001</v>
      </c>
      <c r="D27" s="1">
        <v>2168.5700000000002</v>
      </c>
      <c r="E27" s="1" t="s">
        <v>25</v>
      </c>
      <c r="G27" s="2">
        <v>3424</v>
      </c>
      <c r="H27" s="3">
        <v>42577.65625</v>
      </c>
      <c r="I27" s="3">
        <v>42664.354166666664</v>
      </c>
      <c r="J27" s="2">
        <v>2160</v>
      </c>
      <c r="K27" s="2" t="s">
        <v>96</v>
      </c>
      <c r="L27" s="2">
        <v>0.49719999999999998</v>
      </c>
      <c r="M27" s="2">
        <v>53.6</v>
      </c>
      <c r="N27" s="2">
        <v>54.7</v>
      </c>
      <c r="O27" s="2">
        <v>54.15</v>
      </c>
      <c r="P27" s="2">
        <v>0.1356</v>
      </c>
      <c r="Q27" s="2">
        <v>4.1792629999999997</v>
      </c>
      <c r="R27" s="2">
        <v>2.8000000000000199E-3</v>
      </c>
      <c r="S27" s="2">
        <v>0.20279999999999901</v>
      </c>
      <c r="T27" s="3"/>
      <c r="U27" s="2">
        <v>3413</v>
      </c>
      <c r="V27" s="3">
        <v>42577.65625</v>
      </c>
      <c r="W27" s="3">
        <v>42664.354166666664</v>
      </c>
      <c r="X27" s="2">
        <v>2070</v>
      </c>
      <c r="Y27" s="2" t="s">
        <v>96</v>
      </c>
      <c r="Z27" s="2">
        <v>0.69730000000000003</v>
      </c>
      <c r="AA27" s="2">
        <v>119.7</v>
      </c>
      <c r="AB27" s="2">
        <v>121.1</v>
      </c>
      <c r="AC27" s="2">
        <v>120.4</v>
      </c>
      <c r="AD27" s="2">
        <v>0.1714</v>
      </c>
      <c r="AE27" s="2">
        <v>3.6468340000000001</v>
      </c>
      <c r="AF27" s="2">
        <v>0.1973</v>
      </c>
      <c r="AG27" s="2">
        <v>2.6999999999999199E-3</v>
      </c>
      <c r="AI27" s="2">
        <f t="shared" si="0"/>
        <v>28.135445536552613</v>
      </c>
    </row>
    <row r="28" spans="2:35" x14ac:dyDescent="0.15">
      <c r="B28" s="1">
        <v>26.081885749465872</v>
      </c>
      <c r="C28" s="1">
        <v>17.274999999999999</v>
      </c>
      <c r="D28" s="1">
        <v>2170.56</v>
      </c>
      <c r="E28" s="1" t="s">
        <v>26</v>
      </c>
      <c r="G28" s="2">
        <v>3584</v>
      </c>
      <c r="H28" s="3">
        <v>42578.65625</v>
      </c>
      <c r="I28" s="3">
        <v>42664.354166666664</v>
      </c>
      <c r="J28" s="2">
        <v>2160</v>
      </c>
      <c r="K28" s="2" t="s">
        <v>96</v>
      </c>
      <c r="L28" s="2">
        <v>0.50290000000000001</v>
      </c>
      <c r="M28" s="2">
        <v>53.3</v>
      </c>
      <c r="N28" s="2">
        <v>54.7</v>
      </c>
      <c r="O28" s="2">
        <v>54</v>
      </c>
      <c r="P28" s="2">
        <v>0.13339999999999999</v>
      </c>
      <c r="Q28" s="2">
        <v>4.1592799999999999</v>
      </c>
      <c r="R28" s="2">
        <v>2.9000000000000102E-3</v>
      </c>
      <c r="S28" s="2">
        <v>0.197099999999999</v>
      </c>
      <c r="T28" s="3"/>
      <c r="U28" s="2">
        <v>3574</v>
      </c>
      <c r="V28" s="3">
        <v>42578.65625</v>
      </c>
      <c r="W28" s="3">
        <v>42664.354166666664</v>
      </c>
      <c r="X28" s="2">
        <v>2075</v>
      </c>
      <c r="Y28" s="2" t="s">
        <v>96</v>
      </c>
      <c r="Z28" s="2">
        <v>0.69620000000000004</v>
      </c>
      <c r="AA28" s="2">
        <v>115.8</v>
      </c>
      <c r="AB28" s="2">
        <v>117.6</v>
      </c>
      <c r="AC28" s="2">
        <v>116.69999999999899</v>
      </c>
      <c r="AD28" s="2">
        <v>0.1671</v>
      </c>
      <c r="AE28" s="2">
        <v>3.6359759999999999</v>
      </c>
      <c r="AF28" s="2">
        <v>0.19620000000000001</v>
      </c>
      <c r="AG28" s="2">
        <v>3.7999999999999098E-3</v>
      </c>
      <c r="AI28" s="2">
        <f t="shared" si="0"/>
        <v>27.270818057439051</v>
      </c>
    </row>
    <row r="29" spans="2:35" x14ac:dyDescent="0.15">
      <c r="B29" s="1">
        <v>25.772358316499201</v>
      </c>
      <c r="C29" s="1">
        <v>16.925000000000001</v>
      </c>
      <c r="D29" s="1">
        <v>2172.16</v>
      </c>
      <c r="E29" s="1" t="s">
        <v>27</v>
      </c>
      <c r="G29" s="2">
        <v>3744</v>
      </c>
      <c r="H29" s="3">
        <v>42579.65625</v>
      </c>
      <c r="I29" s="3">
        <v>42664.354166666664</v>
      </c>
      <c r="J29" s="2">
        <v>2160</v>
      </c>
      <c r="K29" s="2" t="s">
        <v>96</v>
      </c>
      <c r="L29" s="2">
        <v>0.50790000000000002</v>
      </c>
      <c r="M29" s="2">
        <v>54.3</v>
      </c>
      <c r="N29" s="2">
        <v>55.7</v>
      </c>
      <c r="O29" s="2">
        <v>55</v>
      </c>
      <c r="P29" s="2">
        <v>0.13439999999999999</v>
      </c>
      <c r="Q29" s="2">
        <v>4.1375500000000001</v>
      </c>
      <c r="R29" s="2">
        <v>7.9000000000000094E-3</v>
      </c>
      <c r="S29" s="2">
        <v>0.19209999999999899</v>
      </c>
      <c r="T29" s="3"/>
      <c r="U29" s="2">
        <v>3734</v>
      </c>
      <c r="V29" s="3">
        <v>42579.65625</v>
      </c>
      <c r="W29" s="3">
        <v>42664.354166666664</v>
      </c>
      <c r="X29" s="2">
        <v>2075</v>
      </c>
      <c r="Y29" s="2" t="s">
        <v>96</v>
      </c>
      <c r="Z29" s="2">
        <v>0.70020000000000004</v>
      </c>
      <c r="AA29" s="2">
        <v>116.9</v>
      </c>
      <c r="AB29" s="2">
        <v>118.5</v>
      </c>
      <c r="AC29" s="2">
        <v>117.7</v>
      </c>
      <c r="AD29" s="2">
        <v>0.16750000000000001</v>
      </c>
      <c r="AE29" s="2">
        <v>3.5957520000000001</v>
      </c>
      <c r="AF29" s="2">
        <v>0.20019999999999999</v>
      </c>
      <c r="AG29" s="2">
        <v>2.00000000000089E-4</v>
      </c>
      <c r="AI29" s="2">
        <f t="shared" si="0"/>
        <v>27.50450115990235</v>
      </c>
    </row>
    <row r="30" spans="2:35" x14ac:dyDescent="0.15">
      <c r="B30" s="1">
        <v>24.783338731787978</v>
      </c>
      <c r="C30" s="1">
        <v>16.425000000000001</v>
      </c>
      <c r="D30" s="1">
        <v>2174.38</v>
      </c>
      <c r="E30" s="1" t="s">
        <v>28</v>
      </c>
      <c r="G30" s="2">
        <v>3904</v>
      </c>
      <c r="H30" s="3">
        <v>42580.65625</v>
      </c>
      <c r="I30" s="3">
        <v>42664.354166666664</v>
      </c>
      <c r="J30" s="2">
        <v>2160</v>
      </c>
      <c r="K30" s="2" t="s">
        <v>96</v>
      </c>
      <c r="L30" s="2">
        <v>0.51359999999999995</v>
      </c>
      <c r="M30" s="2">
        <v>53.4</v>
      </c>
      <c r="N30" s="2">
        <v>54.8</v>
      </c>
      <c r="O30" s="2">
        <v>54.099999999999902</v>
      </c>
      <c r="P30" s="2">
        <v>0.13039999999999999</v>
      </c>
      <c r="Q30" s="2">
        <v>4.1154659999999996</v>
      </c>
      <c r="R30" s="2">
        <v>1.35999999999999E-2</v>
      </c>
      <c r="S30" s="2">
        <v>0.18640000000000001</v>
      </c>
      <c r="T30" s="3"/>
      <c r="U30" s="2">
        <v>3895</v>
      </c>
      <c r="V30" s="3">
        <v>42580.65625</v>
      </c>
      <c r="W30" s="3">
        <v>42664.354166666664</v>
      </c>
      <c r="X30" s="2">
        <v>2080</v>
      </c>
      <c r="Y30" s="2" t="s">
        <v>96</v>
      </c>
      <c r="Z30" s="2">
        <v>0.69989999999999997</v>
      </c>
      <c r="AA30" s="2">
        <v>112.7</v>
      </c>
      <c r="AB30" s="2">
        <v>114.5</v>
      </c>
      <c r="AC30" s="2">
        <v>113.6</v>
      </c>
      <c r="AD30" s="2">
        <v>0.1623</v>
      </c>
      <c r="AE30" s="2">
        <v>3.579977</v>
      </c>
      <c r="AF30" s="2">
        <v>0.199899999999999</v>
      </c>
      <c r="AG30" s="4">
        <v>9.9999999999988905E-5</v>
      </c>
      <c r="AI30" s="2">
        <f t="shared" si="0"/>
        <v>26.54640043980379</v>
      </c>
    </row>
    <row r="31" spans="2:35" x14ac:dyDescent="0.15">
      <c r="B31" s="1">
        <v>24.680408047997219</v>
      </c>
      <c r="C31" s="1">
        <v>16.225000000000001</v>
      </c>
      <c r="D31" s="1">
        <v>2169.59</v>
      </c>
      <c r="E31" s="1" t="s">
        <v>29</v>
      </c>
      <c r="G31" s="2">
        <v>4064</v>
      </c>
      <c r="H31" s="3">
        <v>42583.65625</v>
      </c>
      <c r="I31" s="3">
        <v>42664.354166666664</v>
      </c>
      <c r="J31" s="2">
        <v>2160</v>
      </c>
      <c r="K31" s="2" t="s">
        <v>96</v>
      </c>
      <c r="L31" s="2">
        <v>0.4995</v>
      </c>
      <c r="M31" s="2">
        <v>49.9</v>
      </c>
      <c r="N31" s="2">
        <v>51.2</v>
      </c>
      <c r="O31" s="2">
        <v>50.55</v>
      </c>
      <c r="P31" s="2">
        <v>0.1298</v>
      </c>
      <c r="Q31" s="2">
        <v>4.0356759999999996</v>
      </c>
      <c r="R31" s="2">
        <v>5.0000000000000001E-4</v>
      </c>
      <c r="S31" s="2">
        <v>0.20049999999999901</v>
      </c>
      <c r="T31" s="3"/>
      <c r="U31" s="2">
        <v>4054</v>
      </c>
      <c r="V31" s="3">
        <v>42583.65625</v>
      </c>
      <c r="W31" s="3">
        <v>42664.354166666664</v>
      </c>
      <c r="X31" s="2">
        <v>2075</v>
      </c>
      <c r="Y31" s="2" t="s">
        <v>96</v>
      </c>
      <c r="Z31" s="2">
        <v>0.70279999999999998</v>
      </c>
      <c r="AA31" s="2">
        <v>112.2</v>
      </c>
      <c r="AB31" s="2">
        <v>114.2</v>
      </c>
      <c r="AC31" s="2">
        <v>113.2</v>
      </c>
      <c r="AD31" s="2">
        <v>0.16370000000000001</v>
      </c>
      <c r="AE31" s="2">
        <v>3.4930080000000001</v>
      </c>
      <c r="AF31" s="2">
        <v>0.20279999999999901</v>
      </c>
      <c r="AG31" s="2">
        <v>2.8000000000000199E-3</v>
      </c>
      <c r="AI31" s="2">
        <f t="shared" si="0"/>
        <v>26.452927198818568</v>
      </c>
    </row>
    <row r="32" spans="2:35" x14ac:dyDescent="0.15">
      <c r="B32" s="1">
        <v>25.56195478988576</v>
      </c>
      <c r="C32" s="1">
        <v>16.625</v>
      </c>
      <c r="D32" s="1">
        <v>2157.46</v>
      </c>
      <c r="E32" s="1" t="s">
        <v>30</v>
      </c>
      <c r="G32" s="2">
        <v>4223</v>
      </c>
      <c r="H32" s="3">
        <v>42584.65625</v>
      </c>
      <c r="I32" s="3">
        <v>42664.354166666664</v>
      </c>
      <c r="J32" s="2">
        <v>2150</v>
      </c>
      <c r="K32" s="2" t="s">
        <v>96</v>
      </c>
      <c r="L32" s="2">
        <v>0.49309999999999998</v>
      </c>
      <c r="M32" s="2">
        <v>50.6</v>
      </c>
      <c r="N32" s="2">
        <v>51.8</v>
      </c>
      <c r="O32" s="2">
        <v>51.2</v>
      </c>
      <c r="P32" s="2">
        <v>0.13589999999999999</v>
      </c>
      <c r="Q32" s="2">
        <v>3.9870519999999998</v>
      </c>
      <c r="R32" s="2">
        <v>6.9000000000000103E-3</v>
      </c>
      <c r="S32" s="2">
        <v>0.206899999999999</v>
      </c>
      <c r="T32" s="3"/>
      <c r="U32" s="2">
        <v>4212</v>
      </c>
      <c r="V32" s="3">
        <v>42584.65625</v>
      </c>
      <c r="W32" s="3">
        <v>42664.354166666664</v>
      </c>
      <c r="X32" s="2">
        <v>2060</v>
      </c>
      <c r="Y32" s="2" t="s">
        <v>96</v>
      </c>
      <c r="Z32" s="2">
        <v>0.70240000000000002</v>
      </c>
      <c r="AA32" s="2">
        <v>116.2</v>
      </c>
      <c r="AB32" s="2">
        <v>117.8</v>
      </c>
      <c r="AC32" s="2">
        <v>117</v>
      </c>
      <c r="AD32" s="2">
        <v>0.17180000000000001</v>
      </c>
      <c r="AE32" s="2">
        <v>3.4534389999999999</v>
      </c>
      <c r="AF32" s="2">
        <v>0.2024</v>
      </c>
      <c r="AG32" s="2">
        <v>2.4000000000000601E-3</v>
      </c>
      <c r="AI32" s="2">
        <f t="shared" si="0"/>
        <v>27.340922988178203</v>
      </c>
    </row>
    <row r="33" spans="2:35" x14ac:dyDescent="0.15">
      <c r="B33" s="1">
        <v>24.802586658870034</v>
      </c>
      <c r="C33" s="1">
        <v>16.274999999999999</v>
      </c>
      <c r="D33" s="1">
        <v>2160.19</v>
      </c>
      <c r="E33" s="1" t="s">
        <v>31</v>
      </c>
      <c r="G33" s="2">
        <v>4383</v>
      </c>
      <c r="H33" s="3">
        <v>42585.65625</v>
      </c>
      <c r="I33" s="3">
        <v>42664.354166666664</v>
      </c>
      <c r="J33" s="2">
        <v>2150</v>
      </c>
      <c r="K33" s="2" t="s">
        <v>96</v>
      </c>
      <c r="L33" s="2">
        <v>0.50439999999999996</v>
      </c>
      <c r="M33" s="2">
        <v>51.2</v>
      </c>
      <c r="N33" s="2">
        <v>52.3</v>
      </c>
      <c r="O33" s="2">
        <v>51.75</v>
      </c>
      <c r="P33" s="2">
        <v>0.1331</v>
      </c>
      <c r="Q33" s="2">
        <v>3.9695999999999998</v>
      </c>
      <c r="R33" s="2">
        <v>4.39999999999995E-3</v>
      </c>
      <c r="S33" s="2">
        <v>0.1956</v>
      </c>
      <c r="T33" s="3"/>
      <c r="U33" s="2">
        <v>4373</v>
      </c>
      <c r="V33" s="3">
        <v>42585.65625</v>
      </c>
      <c r="W33" s="3">
        <v>42664.354166666664</v>
      </c>
      <c r="X33" s="2">
        <v>2070</v>
      </c>
      <c r="Y33" s="2" t="s">
        <v>96</v>
      </c>
      <c r="Z33" s="2">
        <v>0.69610000000000005</v>
      </c>
      <c r="AA33" s="2">
        <v>109.8</v>
      </c>
      <c r="AB33" s="2">
        <v>111.4</v>
      </c>
      <c r="AC33" s="2">
        <v>110.6</v>
      </c>
      <c r="AD33" s="2">
        <v>0.1656</v>
      </c>
      <c r="AE33" s="2">
        <v>3.4713660000000002</v>
      </c>
      <c r="AF33" s="2">
        <v>0.1961</v>
      </c>
      <c r="AG33" s="2">
        <v>3.8999999999999001E-3</v>
      </c>
      <c r="AI33" s="2">
        <f t="shared" si="0"/>
        <v>25.845351132414606</v>
      </c>
    </row>
    <row r="34" spans="2:35" x14ac:dyDescent="0.15">
      <c r="B34" s="1">
        <v>24.066217673929636</v>
      </c>
      <c r="C34" s="1">
        <v>15.875</v>
      </c>
      <c r="D34" s="1">
        <v>2164.6799999999998</v>
      </c>
      <c r="E34" s="1" t="s">
        <v>32</v>
      </c>
      <c r="G34" s="2">
        <v>4544</v>
      </c>
      <c r="H34" s="3">
        <v>42586.65625</v>
      </c>
      <c r="I34" s="3">
        <v>42664.354166666664</v>
      </c>
      <c r="J34" s="2">
        <v>2160</v>
      </c>
      <c r="K34" s="2" t="s">
        <v>96</v>
      </c>
      <c r="L34" s="2">
        <v>0.48799999999999999</v>
      </c>
      <c r="M34" s="2">
        <v>46.3</v>
      </c>
      <c r="N34" s="2">
        <v>47.5</v>
      </c>
      <c r="O34" s="2">
        <v>46.9</v>
      </c>
      <c r="P34" s="2">
        <v>0.12720000000000001</v>
      </c>
      <c r="Q34" s="2">
        <v>3.9526940000000002</v>
      </c>
      <c r="R34" s="2">
        <v>1.2E-2</v>
      </c>
      <c r="S34" s="2">
        <v>0.21199999999999899</v>
      </c>
      <c r="T34" s="3"/>
      <c r="U34" s="2">
        <v>4534</v>
      </c>
      <c r="V34" s="3">
        <v>42586.65625</v>
      </c>
      <c r="W34" s="3">
        <v>42664.354166666664</v>
      </c>
      <c r="X34" s="2">
        <v>2075</v>
      </c>
      <c r="Y34" s="2" t="s">
        <v>96</v>
      </c>
      <c r="Z34" s="2">
        <v>0.7</v>
      </c>
      <c r="AA34" s="2">
        <v>108.5</v>
      </c>
      <c r="AB34" s="2">
        <v>110.1</v>
      </c>
      <c r="AC34" s="2">
        <v>109.3</v>
      </c>
      <c r="AD34" s="2">
        <v>0.1623</v>
      </c>
      <c r="AE34" s="2">
        <v>3.4375749999999998</v>
      </c>
      <c r="AF34" s="2">
        <v>0.19999999999999901</v>
      </c>
      <c r="AG34" s="2">
        <v>0</v>
      </c>
      <c r="AI34" s="2">
        <f t="shared" si="0"/>
        <v>25.541563099212631</v>
      </c>
    </row>
    <row r="35" spans="2:35" x14ac:dyDescent="0.15">
      <c r="B35" s="1">
        <v>22.713147584636097</v>
      </c>
      <c r="C35" s="1">
        <v>15.324999999999999</v>
      </c>
      <c r="D35" s="1">
        <v>2182.0500000000002</v>
      </c>
      <c r="E35" s="1" t="s">
        <v>33</v>
      </c>
      <c r="G35" s="2">
        <v>4766</v>
      </c>
      <c r="H35" s="3">
        <v>42587.65625</v>
      </c>
      <c r="I35" s="3">
        <v>42664.354166666664</v>
      </c>
      <c r="J35" s="2">
        <v>2175</v>
      </c>
      <c r="K35" s="2" t="s">
        <v>96</v>
      </c>
      <c r="L35" s="2">
        <v>0.49370000000000003</v>
      </c>
      <c r="M35" s="2">
        <v>45.1</v>
      </c>
      <c r="N35" s="2">
        <v>46.4</v>
      </c>
      <c r="O35" s="2">
        <v>45.75</v>
      </c>
      <c r="P35" s="2">
        <v>0.1215</v>
      </c>
      <c r="Q35" s="2">
        <v>3.9598309999999999</v>
      </c>
      <c r="R35" s="2">
        <v>6.2999999999999697E-3</v>
      </c>
      <c r="S35" s="2">
        <v>0.20629999999999901</v>
      </c>
      <c r="T35" s="3"/>
      <c r="U35" s="2">
        <v>4750</v>
      </c>
      <c r="V35" s="3">
        <v>42587.65625</v>
      </c>
      <c r="W35" s="3">
        <v>42664.354166666664</v>
      </c>
      <c r="X35" s="2">
        <v>2095</v>
      </c>
      <c r="Y35" s="2" t="s">
        <v>96</v>
      </c>
      <c r="Z35" s="2">
        <v>0.70099999999999996</v>
      </c>
      <c r="AA35" s="2">
        <v>104</v>
      </c>
      <c r="AB35" s="2">
        <v>105.7</v>
      </c>
      <c r="AC35" s="2">
        <v>104.85</v>
      </c>
      <c r="AD35" s="2">
        <v>0.15459999999999999</v>
      </c>
      <c r="AE35" s="2">
        <v>3.4373900000000002</v>
      </c>
      <c r="AF35" s="2">
        <v>0.20099999999999901</v>
      </c>
      <c r="AG35" s="2">
        <v>1E-3</v>
      </c>
      <c r="AI35" s="2">
        <f t="shared" si="0"/>
        <v>24.501673293252004</v>
      </c>
    </row>
    <row r="36" spans="2:35" x14ac:dyDescent="0.15">
      <c r="B36" s="1">
        <v>22.221193468067096</v>
      </c>
      <c r="C36" s="1">
        <v>15.125</v>
      </c>
      <c r="D36" s="1">
        <v>2179.1799999999998</v>
      </c>
      <c r="E36" s="1" t="s">
        <v>34</v>
      </c>
      <c r="G36" s="2">
        <v>5001</v>
      </c>
      <c r="H36" s="3">
        <v>42590.65625</v>
      </c>
      <c r="I36" s="3">
        <v>42664.354166666664</v>
      </c>
      <c r="J36" s="2">
        <v>2170</v>
      </c>
      <c r="K36" s="2" t="s">
        <v>96</v>
      </c>
      <c r="L36" s="2">
        <v>0.50239999999999996</v>
      </c>
      <c r="M36" s="2">
        <v>45.4</v>
      </c>
      <c r="N36" s="2">
        <v>46.7</v>
      </c>
      <c r="O36" s="2">
        <v>46.05</v>
      </c>
      <c r="P36" s="2">
        <v>0.1215</v>
      </c>
      <c r="Q36" s="2">
        <v>3.878199</v>
      </c>
      <c r="R36" s="2">
        <v>2.3999999999999499E-3</v>
      </c>
      <c r="S36" s="2">
        <v>0.1976</v>
      </c>
      <c r="T36" s="3"/>
      <c r="U36" s="2">
        <v>4986</v>
      </c>
      <c r="V36" s="3">
        <v>42590.65625</v>
      </c>
      <c r="W36" s="3">
        <v>42664.354166666664</v>
      </c>
      <c r="X36" s="2">
        <v>2095</v>
      </c>
      <c r="Y36" s="2" t="s">
        <v>96</v>
      </c>
      <c r="Z36" s="2">
        <v>0.70040000000000002</v>
      </c>
      <c r="AA36" s="2">
        <v>101</v>
      </c>
      <c r="AB36" s="2">
        <v>102.7</v>
      </c>
      <c r="AC36" s="2">
        <v>101.85</v>
      </c>
      <c r="AD36" s="2">
        <v>0.15340000000000001</v>
      </c>
      <c r="AE36" s="2">
        <v>3.3698480000000002</v>
      </c>
      <c r="AF36" s="2">
        <v>0.20039999999999999</v>
      </c>
      <c r="AG36" s="2">
        <v>4.0000000000006599E-4</v>
      </c>
      <c r="AI36" s="2">
        <f t="shared" si="0"/>
        <v>23.800623985862821</v>
      </c>
    </row>
    <row r="37" spans="2:35" x14ac:dyDescent="0.15">
      <c r="B37" s="1">
        <v>21.995264115002378</v>
      </c>
      <c r="C37" s="1">
        <v>14.875</v>
      </c>
      <c r="D37" s="1">
        <v>2181.66</v>
      </c>
      <c r="E37" s="1" t="s">
        <v>35</v>
      </c>
      <c r="G37" s="2">
        <v>5238</v>
      </c>
      <c r="H37" s="3">
        <v>42591.65625</v>
      </c>
      <c r="I37" s="3">
        <v>42664.354166666664</v>
      </c>
      <c r="J37" s="2">
        <v>2175</v>
      </c>
      <c r="K37" s="2" t="s">
        <v>96</v>
      </c>
      <c r="L37" s="2">
        <v>0.4924</v>
      </c>
      <c r="M37" s="2">
        <v>43</v>
      </c>
      <c r="N37" s="2">
        <v>44.2</v>
      </c>
      <c r="O37" s="2">
        <v>43.6</v>
      </c>
      <c r="P37" s="2">
        <v>0.1193</v>
      </c>
      <c r="Q37" s="2">
        <v>3.8554810000000002</v>
      </c>
      <c r="R37" s="2">
        <v>7.5999999999999896E-3</v>
      </c>
      <c r="S37" s="2">
        <v>0.20759999999999901</v>
      </c>
      <c r="T37" s="3"/>
      <c r="U37" s="2">
        <v>5223</v>
      </c>
      <c r="V37" s="3">
        <v>42591.65625</v>
      </c>
      <c r="W37" s="3">
        <v>42664.354166666664</v>
      </c>
      <c r="X37" s="2">
        <v>2100</v>
      </c>
      <c r="Y37" s="2" t="s">
        <v>96</v>
      </c>
      <c r="Z37" s="2">
        <v>0.69610000000000005</v>
      </c>
      <c r="AA37" s="2">
        <v>98.4</v>
      </c>
      <c r="AB37" s="2">
        <v>99.9</v>
      </c>
      <c r="AC37" s="2">
        <v>99.15</v>
      </c>
      <c r="AD37" s="2">
        <v>0.15190000000000001</v>
      </c>
      <c r="AE37" s="2">
        <v>3.372198</v>
      </c>
      <c r="AF37" s="2">
        <v>0.1961</v>
      </c>
      <c r="AG37" s="2">
        <v>3.8999999999999001E-3</v>
      </c>
      <c r="AI37" s="2">
        <f t="shared" si="0"/>
        <v>23.169679609212555</v>
      </c>
    </row>
    <row r="38" spans="2:35" x14ac:dyDescent="0.15">
      <c r="B38" s="1">
        <v>22.561185689377332</v>
      </c>
      <c r="C38" s="1">
        <v>15.175000000000001</v>
      </c>
      <c r="D38" s="1">
        <v>2173.44</v>
      </c>
      <c r="E38" s="1" t="s">
        <v>36</v>
      </c>
      <c r="G38" s="2">
        <v>5472</v>
      </c>
      <c r="H38" s="3">
        <v>42592.65625</v>
      </c>
      <c r="I38" s="3">
        <v>42664.354166666664</v>
      </c>
      <c r="J38" s="2">
        <v>2165</v>
      </c>
      <c r="K38" s="2" t="s">
        <v>96</v>
      </c>
      <c r="L38" s="2">
        <v>0.50380000000000003</v>
      </c>
      <c r="M38" s="2">
        <v>46.1</v>
      </c>
      <c r="N38" s="2">
        <v>47.3</v>
      </c>
      <c r="O38" s="2">
        <v>46.7</v>
      </c>
      <c r="P38" s="2">
        <v>0.12470000000000001</v>
      </c>
      <c r="Q38" s="2">
        <v>3.8171080000000002</v>
      </c>
      <c r="R38" s="2">
        <v>3.8000000000000199E-3</v>
      </c>
      <c r="S38" s="2">
        <v>0.19619999999999899</v>
      </c>
      <c r="T38" s="3"/>
      <c r="U38" s="2">
        <v>5457</v>
      </c>
      <c r="V38" s="3">
        <v>42592.65625</v>
      </c>
      <c r="W38" s="3">
        <v>42664.354166666664</v>
      </c>
      <c r="X38" s="2">
        <v>2090</v>
      </c>
      <c r="Y38" s="2" t="s">
        <v>96</v>
      </c>
      <c r="Z38" s="2">
        <v>0.70030000000000003</v>
      </c>
      <c r="AA38" s="2">
        <v>101.6</v>
      </c>
      <c r="AB38" s="2">
        <v>103.2</v>
      </c>
      <c r="AC38" s="2">
        <v>102.4</v>
      </c>
      <c r="AD38" s="2">
        <v>0.15679999999999999</v>
      </c>
      <c r="AE38" s="2">
        <v>3.3177590000000001</v>
      </c>
      <c r="AF38" s="2">
        <v>0.20030000000000001</v>
      </c>
      <c r="AG38" s="2">
        <v>3.0000000000007798E-4</v>
      </c>
      <c r="AI38" s="2">
        <f t="shared" si="0"/>
        <v>23.929149692217507</v>
      </c>
    </row>
    <row r="39" spans="2:35" x14ac:dyDescent="0.15">
      <c r="B39" s="1">
        <v>21.850025805142241</v>
      </c>
      <c r="C39" s="1">
        <v>15.074999999999999</v>
      </c>
      <c r="D39" s="1">
        <v>2187.66</v>
      </c>
      <c r="E39" s="1" t="s">
        <v>37</v>
      </c>
      <c r="G39" s="2">
        <v>5711</v>
      </c>
      <c r="H39" s="3">
        <v>42593.65625</v>
      </c>
      <c r="I39" s="3">
        <v>42664.354166666664</v>
      </c>
      <c r="J39" s="2">
        <v>2180</v>
      </c>
      <c r="K39" s="2" t="s">
        <v>96</v>
      </c>
      <c r="L39" s="2">
        <v>0.50009999999999999</v>
      </c>
      <c r="M39" s="2">
        <v>44.2</v>
      </c>
      <c r="N39" s="2">
        <v>45.8</v>
      </c>
      <c r="O39" s="2">
        <v>45</v>
      </c>
      <c r="P39" s="2">
        <v>0.1215</v>
      </c>
      <c r="Q39" s="2">
        <v>3.8154560000000002</v>
      </c>
      <c r="R39" s="4">
        <v>9.9999999999988905E-5</v>
      </c>
      <c r="S39" s="2">
        <v>0.199899999999999</v>
      </c>
      <c r="T39" s="3"/>
      <c r="U39" s="2">
        <v>5696</v>
      </c>
      <c r="V39" s="3">
        <v>42593.65625</v>
      </c>
      <c r="W39" s="3">
        <v>42664.354166666664</v>
      </c>
      <c r="X39" s="2">
        <v>2105</v>
      </c>
      <c r="Y39" s="2" t="s">
        <v>96</v>
      </c>
      <c r="Z39" s="2">
        <v>0.70120000000000005</v>
      </c>
      <c r="AA39" s="2">
        <v>99.9</v>
      </c>
      <c r="AB39" s="2">
        <v>101.6</v>
      </c>
      <c r="AC39" s="2">
        <v>100.75</v>
      </c>
      <c r="AD39" s="2">
        <v>0.15379999999999999</v>
      </c>
      <c r="AE39" s="2">
        <v>3.311652</v>
      </c>
      <c r="AF39" s="2">
        <v>0.20119999999999999</v>
      </c>
      <c r="AG39" s="2">
        <v>1.2000000000000799E-3</v>
      </c>
      <c r="AI39" s="2">
        <f t="shared" si="0"/>
        <v>23.543572573153451</v>
      </c>
    </row>
    <row r="40" spans="2:35" x14ac:dyDescent="0.15">
      <c r="B40" s="1">
        <v>21.42922534636552</v>
      </c>
      <c r="C40" s="1">
        <v>14.975</v>
      </c>
      <c r="D40" s="1">
        <v>2184.56</v>
      </c>
      <c r="E40" s="1" t="s">
        <v>38</v>
      </c>
      <c r="G40" s="2">
        <v>5946</v>
      </c>
      <c r="H40" s="3">
        <v>42594.65625</v>
      </c>
      <c r="I40" s="3">
        <v>42664.354166666664</v>
      </c>
      <c r="J40" s="2">
        <v>2175</v>
      </c>
      <c r="K40" s="2" t="s">
        <v>96</v>
      </c>
      <c r="L40" s="2">
        <v>0.50729999999999997</v>
      </c>
      <c r="M40" s="2">
        <v>44.9</v>
      </c>
      <c r="N40" s="2">
        <v>45.8</v>
      </c>
      <c r="O40" s="2">
        <v>45.349999999999902</v>
      </c>
      <c r="P40" s="2">
        <v>0.1207</v>
      </c>
      <c r="Q40" s="2">
        <v>3.7827419999999998</v>
      </c>
      <c r="R40" s="2">
        <v>7.2999999999999697E-3</v>
      </c>
      <c r="S40" s="2">
        <v>0.19269999999999901</v>
      </c>
      <c r="T40" s="3"/>
      <c r="U40" s="2">
        <v>5932</v>
      </c>
      <c r="V40" s="3">
        <v>42594.65625</v>
      </c>
      <c r="W40" s="3">
        <v>42664.354166666664</v>
      </c>
      <c r="X40" s="2">
        <v>2105</v>
      </c>
      <c r="Y40" s="2" t="s">
        <v>96</v>
      </c>
      <c r="Z40" s="2">
        <v>0.69799999999999995</v>
      </c>
      <c r="AA40" s="2">
        <v>96.8</v>
      </c>
      <c r="AB40" s="2">
        <v>98.5</v>
      </c>
      <c r="AC40" s="2">
        <v>97.65</v>
      </c>
      <c r="AD40" s="2">
        <v>0.1515</v>
      </c>
      <c r="AE40" s="2">
        <v>3.3001200000000002</v>
      </c>
      <c r="AF40" s="2">
        <v>0.19799999999999901</v>
      </c>
      <c r="AG40" s="2">
        <v>2E-3</v>
      </c>
      <c r="AI40" s="2">
        <f t="shared" si="0"/>
        <v>22.819154955517963</v>
      </c>
    </row>
    <row r="41" spans="2:35" x14ac:dyDescent="0.15">
      <c r="B41" s="1">
        <v>20.935474393611894</v>
      </c>
      <c r="C41" s="1">
        <v>14.824999999999999</v>
      </c>
      <c r="D41" s="1">
        <v>2191.66</v>
      </c>
      <c r="E41" s="1" t="s">
        <v>39</v>
      </c>
      <c r="G41" s="2">
        <v>6184</v>
      </c>
      <c r="H41" s="3">
        <v>42597.65625</v>
      </c>
      <c r="I41" s="3">
        <v>42664.354166666664</v>
      </c>
      <c r="J41" s="2">
        <v>2185</v>
      </c>
      <c r="K41" s="2" t="s">
        <v>96</v>
      </c>
      <c r="L41" s="2">
        <v>0.49790000000000001</v>
      </c>
      <c r="M41" s="2">
        <v>41.8</v>
      </c>
      <c r="N41" s="2">
        <v>43.1</v>
      </c>
      <c r="O41" s="2">
        <v>42.45</v>
      </c>
      <c r="P41" s="2">
        <v>0.1183</v>
      </c>
      <c r="Q41" s="2">
        <v>3.714413</v>
      </c>
      <c r="R41" s="2">
        <v>2.0999999999999899E-3</v>
      </c>
      <c r="S41" s="2">
        <v>0.202099999999999</v>
      </c>
      <c r="T41" s="3"/>
      <c r="U41" s="2">
        <v>6170</v>
      </c>
      <c r="V41" s="3">
        <v>42597.65625</v>
      </c>
      <c r="W41" s="3">
        <v>42664.354166666664</v>
      </c>
      <c r="X41" s="2">
        <v>2115</v>
      </c>
      <c r="Y41" s="2" t="s">
        <v>96</v>
      </c>
      <c r="Z41" s="2">
        <v>0.69630000000000003</v>
      </c>
      <c r="AA41" s="2">
        <v>93.6</v>
      </c>
      <c r="AB41" s="2">
        <v>95.5</v>
      </c>
      <c r="AC41" s="2">
        <v>94.55</v>
      </c>
      <c r="AD41" s="2">
        <v>0.14990000000000001</v>
      </c>
      <c r="AE41" s="2">
        <v>3.2484549999999999</v>
      </c>
      <c r="AF41" s="2">
        <v>0.1963</v>
      </c>
      <c r="AG41" s="2">
        <v>3.6999999999999199E-3</v>
      </c>
      <c r="AI41" s="2">
        <f t="shared" si="0"/>
        <v>22.094737337882471</v>
      </c>
    </row>
    <row r="42" spans="2:35" x14ac:dyDescent="0.15">
      <c r="B42" s="1">
        <v>21.543358933243258</v>
      </c>
      <c r="C42" s="1">
        <v>15.324999999999999</v>
      </c>
      <c r="D42" s="1">
        <v>2181.25</v>
      </c>
      <c r="E42" s="1" t="s">
        <v>40</v>
      </c>
      <c r="G42" s="2">
        <v>6418</v>
      </c>
      <c r="H42" s="3">
        <v>42598.65625</v>
      </c>
      <c r="I42" s="3">
        <v>42664.354166666664</v>
      </c>
      <c r="J42" s="2">
        <v>2175</v>
      </c>
      <c r="K42" s="2" t="s">
        <v>96</v>
      </c>
      <c r="L42" s="2">
        <v>0.50039999999999996</v>
      </c>
      <c r="M42" s="2">
        <v>43.8</v>
      </c>
      <c r="N42" s="2">
        <v>44.8</v>
      </c>
      <c r="O42" s="2">
        <v>44.3</v>
      </c>
      <c r="P42" s="2">
        <v>0.1242</v>
      </c>
      <c r="Q42" s="2">
        <v>3.6705040000000002</v>
      </c>
      <c r="R42" s="2">
        <v>3.9999999999995502E-4</v>
      </c>
      <c r="S42" s="2">
        <v>0.1996</v>
      </c>
      <c r="T42" s="3"/>
      <c r="U42" s="2">
        <v>6403</v>
      </c>
      <c r="V42" s="3">
        <v>42598.65625</v>
      </c>
      <c r="W42" s="3">
        <v>42664.354166666664</v>
      </c>
      <c r="X42" s="2">
        <v>2100</v>
      </c>
      <c r="Y42" s="2" t="s">
        <v>96</v>
      </c>
      <c r="Z42" s="2">
        <v>0.70430000000000004</v>
      </c>
      <c r="AA42" s="2">
        <v>99.2</v>
      </c>
      <c r="AB42" s="2">
        <v>100.9</v>
      </c>
      <c r="AC42" s="2">
        <v>100.05</v>
      </c>
      <c r="AD42" s="2">
        <v>0.1573</v>
      </c>
      <c r="AE42" s="2">
        <v>3.1710539999999998</v>
      </c>
      <c r="AF42" s="2">
        <v>0.20430000000000001</v>
      </c>
      <c r="AG42" s="2">
        <v>4.3000000000000798E-3</v>
      </c>
      <c r="AI42" s="2">
        <f t="shared" si="0"/>
        <v>23.379994401429311</v>
      </c>
    </row>
    <row r="43" spans="2:35" x14ac:dyDescent="0.15">
      <c r="B43" s="1">
        <v>20.824894061813236</v>
      </c>
      <c r="C43" s="1">
        <v>14.824999999999999</v>
      </c>
      <c r="D43" s="1">
        <v>2182.23</v>
      </c>
      <c r="E43" s="1" t="s">
        <v>41</v>
      </c>
      <c r="G43" s="2">
        <v>6654</v>
      </c>
      <c r="H43" s="3">
        <v>42599.65625</v>
      </c>
      <c r="I43" s="3">
        <v>42664.354166666664</v>
      </c>
      <c r="J43" s="2">
        <v>2175</v>
      </c>
      <c r="K43" s="2" t="s">
        <v>96</v>
      </c>
      <c r="L43" s="2">
        <v>0.50319999999999998</v>
      </c>
      <c r="M43" s="2">
        <v>43.5</v>
      </c>
      <c r="N43" s="2">
        <v>44.3</v>
      </c>
      <c r="O43" s="2">
        <v>43.9</v>
      </c>
      <c r="P43" s="2">
        <v>0.12280000000000001</v>
      </c>
      <c r="Q43" s="2">
        <v>3.6439089999999998</v>
      </c>
      <c r="R43" s="2">
        <v>3.1999999999999802E-3</v>
      </c>
      <c r="S43" s="2">
        <v>0.196799999999999</v>
      </c>
      <c r="T43" s="3"/>
      <c r="U43" s="2">
        <v>6640</v>
      </c>
      <c r="V43" s="3">
        <v>42599.65625</v>
      </c>
      <c r="W43" s="3">
        <v>42664.354166666664</v>
      </c>
      <c r="X43" s="2">
        <v>2105</v>
      </c>
      <c r="Y43" s="2" t="s">
        <v>96</v>
      </c>
      <c r="Z43" s="2">
        <v>0.69850000000000001</v>
      </c>
      <c r="AA43" s="2">
        <v>95.4</v>
      </c>
      <c r="AB43" s="2">
        <v>96.4</v>
      </c>
      <c r="AC43" s="2">
        <v>95.9</v>
      </c>
      <c r="AD43" s="2">
        <v>0.1542</v>
      </c>
      <c r="AE43" s="2">
        <v>3.1765099999999999</v>
      </c>
      <c r="AF43" s="2">
        <v>0.19850000000000001</v>
      </c>
      <c r="AG43" s="2">
        <v>1.49999999999994E-3</v>
      </c>
      <c r="AI43" s="2">
        <f t="shared" si="0"/>
        <v>22.410209526207606</v>
      </c>
    </row>
    <row r="44" spans="2:35" x14ac:dyDescent="0.15">
      <c r="B44" s="1">
        <v>19.959600160062188</v>
      </c>
      <c r="C44" s="1">
        <v>14.574999999999999</v>
      </c>
      <c r="D44" s="1">
        <v>2185.7800000000002</v>
      </c>
      <c r="E44" s="1" t="s">
        <v>42</v>
      </c>
      <c r="G44" s="2">
        <v>6891</v>
      </c>
      <c r="H44" s="3">
        <v>42600.65625</v>
      </c>
      <c r="I44" s="3">
        <v>42664.354166666664</v>
      </c>
      <c r="J44" s="2">
        <v>2180</v>
      </c>
      <c r="K44" s="2" t="s">
        <v>96</v>
      </c>
      <c r="L44" s="2">
        <v>0.49780000000000002</v>
      </c>
      <c r="M44" s="2">
        <v>40.5</v>
      </c>
      <c r="N44" s="2">
        <v>41.8</v>
      </c>
      <c r="O44" s="2">
        <v>41.15</v>
      </c>
      <c r="P44" s="2">
        <v>0.11749999999999999</v>
      </c>
      <c r="Q44" s="2">
        <v>3.6222509999999999</v>
      </c>
      <c r="R44" s="2">
        <v>2.1999999999999702E-3</v>
      </c>
      <c r="S44" s="2">
        <v>0.20219999999999899</v>
      </c>
      <c r="T44" s="3"/>
      <c r="U44" s="2">
        <v>6877</v>
      </c>
      <c r="V44" s="3">
        <v>42600.65625</v>
      </c>
      <c r="W44" s="3">
        <v>42664.354166666664</v>
      </c>
      <c r="X44" s="2">
        <v>2110</v>
      </c>
      <c r="Y44" s="2" t="s">
        <v>96</v>
      </c>
      <c r="Z44" s="2">
        <v>0.70220000000000005</v>
      </c>
      <c r="AA44" s="2">
        <v>92.3</v>
      </c>
      <c r="AB44" s="2">
        <v>93.8</v>
      </c>
      <c r="AC44" s="2">
        <v>93.05</v>
      </c>
      <c r="AD44" s="2">
        <v>0.14860000000000001</v>
      </c>
      <c r="AE44" s="2">
        <v>3.1397189999999999</v>
      </c>
      <c r="AF44" s="2">
        <v>0.20219999999999999</v>
      </c>
      <c r="AG44" s="2">
        <v>2.2000000000000899E-3</v>
      </c>
      <c r="AI44" s="2">
        <f t="shared" si="0"/>
        <v>21.744212684187879</v>
      </c>
    </row>
    <row r="45" spans="2:35" x14ac:dyDescent="0.15">
      <c r="B45" s="1">
        <v>19.624949777761096</v>
      </c>
      <c r="C45" s="1">
        <v>14.675000000000001</v>
      </c>
      <c r="D45" s="1">
        <v>2183.71</v>
      </c>
      <c r="E45" s="1" t="s">
        <v>43</v>
      </c>
      <c r="G45" s="2">
        <v>7127</v>
      </c>
      <c r="H45" s="3">
        <v>42601.65625</v>
      </c>
      <c r="I45" s="3">
        <v>42664.354166666664</v>
      </c>
      <c r="J45" s="2">
        <v>2180</v>
      </c>
      <c r="K45" s="2" t="s">
        <v>96</v>
      </c>
      <c r="L45" s="2">
        <v>0.4914</v>
      </c>
      <c r="M45" s="2">
        <v>38.799999999999997</v>
      </c>
      <c r="N45" s="2">
        <v>39.5</v>
      </c>
      <c r="O45" s="2">
        <v>39.15</v>
      </c>
      <c r="P45" s="2">
        <v>0.115</v>
      </c>
      <c r="Q45" s="2">
        <v>3.5906950000000002</v>
      </c>
      <c r="R45" s="2">
        <v>8.5999999999999896E-3</v>
      </c>
      <c r="S45" s="2">
        <v>0.20859999999999901</v>
      </c>
      <c r="T45" s="3"/>
      <c r="U45" s="2">
        <v>7113</v>
      </c>
      <c r="V45" s="3">
        <v>42601.65625</v>
      </c>
      <c r="W45" s="3">
        <v>42664.354166666664</v>
      </c>
      <c r="X45" s="2">
        <v>2110</v>
      </c>
      <c r="Y45" s="2" t="s">
        <v>96</v>
      </c>
      <c r="Z45" s="2">
        <v>0.70109999999999995</v>
      </c>
      <c r="AA45" s="2">
        <v>90.6</v>
      </c>
      <c r="AB45" s="2">
        <v>91.8</v>
      </c>
      <c r="AC45" s="2">
        <v>91.199999999999903</v>
      </c>
      <c r="AD45" s="2">
        <v>0.14729999999999999</v>
      </c>
      <c r="AE45" s="2">
        <v>3.1183369999999999</v>
      </c>
      <c r="AF45" s="2">
        <v>0.201099999999999</v>
      </c>
      <c r="AG45" s="2">
        <v>1.0999999999999799E-3</v>
      </c>
      <c r="AI45" s="2">
        <f t="shared" si="0"/>
        <v>21.311898944631192</v>
      </c>
    </row>
    <row r="46" spans="2:35" x14ac:dyDescent="0.15">
      <c r="B46" s="1">
        <v>19.530263925594362</v>
      </c>
      <c r="C46" s="1">
        <v>14.725</v>
      </c>
      <c r="D46" s="1">
        <v>2182.87</v>
      </c>
      <c r="E46" s="1" t="s">
        <v>44</v>
      </c>
      <c r="G46" s="2">
        <v>7362</v>
      </c>
      <c r="H46" s="3">
        <v>42604.65625</v>
      </c>
      <c r="I46" s="3">
        <v>42664.354166666664</v>
      </c>
      <c r="J46" s="2">
        <v>2175</v>
      </c>
      <c r="K46" s="2" t="s">
        <v>96</v>
      </c>
      <c r="L46" s="2">
        <v>0.50680000000000003</v>
      </c>
      <c r="M46" s="2">
        <v>40.5</v>
      </c>
      <c r="N46" s="2">
        <v>41.3</v>
      </c>
      <c r="O46" s="2">
        <v>40.9</v>
      </c>
      <c r="P46" s="2">
        <v>0.1174</v>
      </c>
      <c r="Q46" s="2">
        <v>3.5024980000000001</v>
      </c>
      <c r="R46" s="2">
        <v>6.8000000000000196E-3</v>
      </c>
      <c r="S46" s="2">
        <v>0.19319999999999901</v>
      </c>
      <c r="T46" s="3"/>
      <c r="U46" s="2">
        <v>7349</v>
      </c>
      <c r="V46" s="3">
        <v>42604.65625</v>
      </c>
      <c r="W46" s="3">
        <v>42664.354166666664</v>
      </c>
      <c r="X46" s="2">
        <v>2110</v>
      </c>
      <c r="Y46" s="2" t="s">
        <v>96</v>
      </c>
      <c r="Z46" s="2">
        <v>0.70140000000000002</v>
      </c>
      <c r="AA46" s="2">
        <v>89.1</v>
      </c>
      <c r="AB46" s="2">
        <v>90.3</v>
      </c>
      <c r="AC46" s="2">
        <v>89.699999999999903</v>
      </c>
      <c r="AD46" s="2">
        <v>0.14829999999999999</v>
      </c>
      <c r="AE46" s="2">
        <v>3.0404810000000002</v>
      </c>
      <c r="AF46" s="2">
        <v>0.2014</v>
      </c>
      <c r="AG46" s="2">
        <v>1.4000000000000601E-3</v>
      </c>
      <c r="AI46" s="2">
        <f t="shared" si="0"/>
        <v>20.9613742909366</v>
      </c>
    </row>
    <row r="47" spans="2:35" x14ac:dyDescent="0.15">
      <c r="B47" s="1">
        <v>18.902632381003162</v>
      </c>
      <c r="C47" s="1">
        <v>14.675000000000001</v>
      </c>
      <c r="D47" s="1">
        <v>2187.7800000000002</v>
      </c>
      <c r="E47" s="1" t="s">
        <v>45</v>
      </c>
      <c r="G47" s="2">
        <v>7599</v>
      </c>
      <c r="H47" s="3">
        <v>42605.65625</v>
      </c>
      <c r="I47" s="3">
        <v>42664.354166666664</v>
      </c>
      <c r="J47" s="2">
        <v>2180</v>
      </c>
      <c r="K47" s="2" t="s">
        <v>96</v>
      </c>
      <c r="L47" s="2">
        <v>0.51</v>
      </c>
      <c r="M47" s="2">
        <v>39.9</v>
      </c>
      <c r="N47" s="2">
        <v>40.9</v>
      </c>
      <c r="O47" s="2">
        <v>40.4</v>
      </c>
      <c r="P47" s="2">
        <v>0.1154</v>
      </c>
      <c r="Q47" s="2">
        <v>3.4819049999999998</v>
      </c>
      <c r="R47" s="2">
        <v>0.01</v>
      </c>
      <c r="S47" s="2">
        <v>0.189999999999999</v>
      </c>
      <c r="T47" s="3"/>
      <c r="U47" s="2">
        <v>7587</v>
      </c>
      <c r="V47" s="3">
        <v>42605.65625</v>
      </c>
      <c r="W47" s="3">
        <v>42664.354166666664</v>
      </c>
      <c r="X47" s="2">
        <v>2120</v>
      </c>
      <c r="Y47" s="2" t="s">
        <v>96</v>
      </c>
      <c r="Z47" s="2">
        <v>0.69630000000000003</v>
      </c>
      <c r="AA47" s="2">
        <v>84.7</v>
      </c>
      <c r="AB47" s="2">
        <v>85.6</v>
      </c>
      <c r="AC47" s="2">
        <v>85.15</v>
      </c>
      <c r="AD47" s="2">
        <v>0.14330000000000001</v>
      </c>
      <c r="AE47" s="2">
        <v>3.0467650000000002</v>
      </c>
      <c r="AF47" s="2">
        <v>0.1963</v>
      </c>
      <c r="AG47" s="2">
        <v>3.6999999999999199E-3</v>
      </c>
      <c r="AI47" s="2">
        <f t="shared" si="0"/>
        <v>19.898116174729694</v>
      </c>
    </row>
    <row r="48" spans="2:35" x14ac:dyDescent="0.15">
      <c r="B48" s="1">
        <v>20.125578448849193</v>
      </c>
      <c r="C48" s="1">
        <v>15.125</v>
      </c>
      <c r="D48" s="1">
        <v>2172.56</v>
      </c>
      <c r="E48" s="1" t="s">
        <v>46</v>
      </c>
      <c r="G48" s="2">
        <v>7832</v>
      </c>
      <c r="H48" s="3">
        <v>42606.65625</v>
      </c>
      <c r="I48" s="3">
        <v>42664.354166666664</v>
      </c>
      <c r="J48" s="2">
        <v>2165</v>
      </c>
      <c r="K48" s="2" t="s">
        <v>96</v>
      </c>
      <c r="L48" s="2">
        <v>0.50890000000000002</v>
      </c>
      <c r="M48" s="2">
        <v>42.8</v>
      </c>
      <c r="N48" s="2">
        <v>43.6</v>
      </c>
      <c r="O48" s="2">
        <v>43.2</v>
      </c>
      <c r="P48" s="2">
        <v>0.12609999999999999</v>
      </c>
      <c r="Q48" s="2">
        <v>3.4279999999999999</v>
      </c>
      <c r="R48" s="2">
        <v>8.9000000000000103E-3</v>
      </c>
      <c r="S48" s="2">
        <v>0.19109999999999899</v>
      </c>
      <c r="T48" s="3"/>
      <c r="U48" s="2">
        <v>7819</v>
      </c>
      <c r="V48" s="3">
        <v>42606.65625</v>
      </c>
      <c r="W48" s="3">
        <v>42664.354166666664</v>
      </c>
      <c r="X48" s="2">
        <v>2100</v>
      </c>
      <c r="Y48" s="2" t="s">
        <v>96</v>
      </c>
      <c r="Z48" s="2">
        <v>0.69679999999999997</v>
      </c>
      <c r="AA48" s="2">
        <v>91.2</v>
      </c>
      <c r="AB48" s="2">
        <v>92.1</v>
      </c>
      <c r="AC48" s="2">
        <v>91.65</v>
      </c>
      <c r="AD48" s="2">
        <v>0.15709999999999999</v>
      </c>
      <c r="AE48" s="2">
        <v>2.9971770000000002</v>
      </c>
      <c r="AF48" s="2">
        <v>0.196799999999999</v>
      </c>
      <c r="AG48" s="2">
        <v>3.1999999999999802E-3</v>
      </c>
      <c r="AI48" s="2">
        <f t="shared" si="0"/>
        <v>21.417056340739595</v>
      </c>
    </row>
    <row r="49" spans="2:35" x14ac:dyDescent="0.15">
      <c r="B49" s="1">
        <v>19.984463317293276</v>
      </c>
      <c r="C49" s="1">
        <v>14.975</v>
      </c>
      <c r="D49" s="1">
        <v>2171.96</v>
      </c>
      <c r="E49" s="1" t="s">
        <v>47</v>
      </c>
      <c r="G49" s="2">
        <v>8068</v>
      </c>
      <c r="H49" s="3">
        <v>42607.65625</v>
      </c>
      <c r="I49" s="3">
        <v>42664.354166666664</v>
      </c>
      <c r="J49" s="2">
        <v>2165</v>
      </c>
      <c r="K49" s="2" t="s">
        <v>96</v>
      </c>
      <c r="L49" s="2">
        <v>0.50800000000000001</v>
      </c>
      <c r="M49" s="2">
        <v>42.3</v>
      </c>
      <c r="N49" s="2">
        <v>43</v>
      </c>
      <c r="O49" s="2">
        <v>42.65</v>
      </c>
      <c r="P49" s="2">
        <v>0.12590000000000001</v>
      </c>
      <c r="Q49" s="2">
        <v>3.3981150000000002</v>
      </c>
      <c r="R49" s="2">
        <v>8.0000000000000002E-3</v>
      </c>
      <c r="S49" s="2">
        <v>0.191999999999999</v>
      </c>
      <c r="T49" s="3"/>
      <c r="U49" s="2">
        <v>8055</v>
      </c>
      <c r="V49" s="3">
        <v>42607.65625</v>
      </c>
      <c r="W49" s="3">
        <v>42664.354166666664</v>
      </c>
      <c r="X49" s="2">
        <v>2100</v>
      </c>
      <c r="Y49" s="2" t="s">
        <v>96</v>
      </c>
      <c r="Z49" s="2">
        <v>0.69820000000000004</v>
      </c>
      <c r="AA49" s="2">
        <v>90.4</v>
      </c>
      <c r="AB49" s="2">
        <v>91.4</v>
      </c>
      <c r="AC49" s="2">
        <v>90.9</v>
      </c>
      <c r="AD49" s="2">
        <v>0.1565</v>
      </c>
      <c r="AE49" s="2">
        <v>2.9646849999999998</v>
      </c>
      <c r="AF49" s="2">
        <v>0.19819999999999999</v>
      </c>
      <c r="AG49" s="2">
        <v>1.79999999999991E-3</v>
      </c>
      <c r="AI49" s="2">
        <f t="shared" si="0"/>
        <v>21.241794013892299</v>
      </c>
    </row>
    <row r="50" spans="2:35" x14ac:dyDescent="0.15">
      <c r="B50" s="1">
        <v>19.998311292573952</v>
      </c>
      <c r="C50" s="1">
        <v>15.125</v>
      </c>
      <c r="D50" s="1">
        <v>2169.44</v>
      </c>
      <c r="E50" s="1" t="s">
        <v>48</v>
      </c>
      <c r="G50" s="2">
        <v>8304</v>
      </c>
      <c r="H50" s="3">
        <v>42608.65625</v>
      </c>
      <c r="I50" s="3">
        <v>42664.354166666664</v>
      </c>
      <c r="J50" s="2">
        <v>2165</v>
      </c>
      <c r="K50" s="2" t="s">
        <v>96</v>
      </c>
      <c r="L50" s="2">
        <v>0.49790000000000001</v>
      </c>
      <c r="M50" s="2">
        <v>40.299999999999997</v>
      </c>
      <c r="N50" s="2">
        <v>41.5</v>
      </c>
      <c r="O50" s="2">
        <v>40.9</v>
      </c>
      <c r="P50" s="2">
        <v>0.1258</v>
      </c>
      <c r="Q50" s="2">
        <v>3.3648150000000001</v>
      </c>
      <c r="R50" s="2">
        <v>2.0999999999999899E-3</v>
      </c>
      <c r="S50" s="2">
        <v>0.202099999999999</v>
      </c>
      <c r="T50" s="3"/>
      <c r="U50" s="2">
        <v>8290</v>
      </c>
      <c r="V50" s="3">
        <v>42608.65625</v>
      </c>
      <c r="W50" s="3">
        <v>42664.354166666664</v>
      </c>
      <c r="X50" s="2">
        <v>2095</v>
      </c>
      <c r="Y50" s="2" t="s">
        <v>96</v>
      </c>
      <c r="Z50" s="2">
        <v>0.70269999999999999</v>
      </c>
      <c r="AA50" s="2">
        <v>92</v>
      </c>
      <c r="AB50" s="2">
        <v>94</v>
      </c>
      <c r="AC50" s="2">
        <v>93</v>
      </c>
      <c r="AD50" s="2">
        <v>0.1598</v>
      </c>
      <c r="AE50" s="2">
        <v>2.9150149999999999</v>
      </c>
      <c r="AF50" s="2">
        <v>0.20269999999999999</v>
      </c>
      <c r="AG50" s="2">
        <v>2.7000000000000301E-3</v>
      </c>
      <c r="AI50" s="2">
        <f t="shared" si="0"/>
        <v>21.732528529064727</v>
      </c>
    </row>
    <row r="51" spans="2:35" x14ac:dyDescent="0.15">
      <c r="B51" s="1">
        <v>18.46202659549521</v>
      </c>
      <c r="C51" s="1">
        <v>14.675000000000001</v>
      </c>
      <c r="D51" s="1">
        <v>2179.87</v>
      </c>
      <c r="E51" s="1" t="s">
        <v>49</v>
      </c>
      <c r="G51" s="2">
        <v>8542</v>
      </c>
      <c r="H51" s="3">
        <v>42611.65625</v>
      </c>
      <c r="I51" s="3">
        <v>42664.354166666664</v>
      </c>
      <c r="J51" s="2">
        <v>2175</v>
      </c>
      <c r="K51" s="2" t="s">
        <v>96</v>
      </c>
      <c r="L51" s="2">
        <v>0.50270000000000004</v>
      </c>
      <c r="M51" s="2">
        <v>37.9</v>
      </c>
      <c r="N51" s="2">
        <v>38.700000000000003</v>
      </c>
      <c r="O51" s="2">
        <v>38.299999999999997</v>
      </c>
      <c r="P51" s="2">
        <v>0.11840000000000001</v>
      </c>
      <c r="Q51" s="2">
        <v>3.2907790000000001</v>
      </c>
      <c r="R51" s="2">
        <v>2.7000000000000301E-3</v>
      </c>
      <c r="S51" s="2">
        <v>0.197299999999999</v>
      </c>
      <c r="T51" s="3"/>
      <c r="U51" s="2">
        <v>8530</v>
      </c>
      <c r="V51" s="3">
        <v>42611.65625</v>
      </c>
      <c r="W51" s="3">
        <v>42664.354166666664</v>
      </c>
      <c r="X51" s="2">
        <v>2115</v>
      </c>
      <c r="Y51" s="2" t="s">
        <v>96</v>
      </c>
      <c r="Z51" s="2">
        <v>0.69599999999999995</v>
      </c>
      <c r="AA51" s="2">
        <v>82.3</v>
      </c>
      <c r="AB51" s="2">
        <v>83.2</v>
      </c>
      <c r="AC51" s="2">
        <v>82.75</v>
      </c>
      <c r="AD51" s="2">
        <v>0.14749999999999999</v>
      </c>
      <c r="AE51" s="2">
        <v>2.8805239999999999</v>
      </c>
      <c r="AF51" s="2">
        <v>0.19599999999999901</v>
      </c>
      <c r="AG51" s="2">
        <v>4.0000000000000001E-3</v>
      </c>
      <c r="AI51" s="2">
        <f t="shared" si="0"/>
        <v>19.337276728818345</v>
      </c>
    </row>
    <row r="52" spans="2:35" x14ac:dyDescent="0.15">
      <c r="B52" s="1">
        <v>18.236341856167105</v>
      </c>
      <c r="C52" s="1">
        <v>14.525</v>
      </c>
      <c r="D52" s="1">
        <v>2175.5500000000002</v>
      </c>
      <c r="E52" s="1" t="s">
        <v>50</v>
      </c>
      <c r="G52" s="2">
        <v>8777</v>
      </c>
      <c r="H52" s="3">
        <v>42612.65625</v>
      </c>
      <c r="I52" s="3">
        <v>42664.354166666664</v>
      </c>
      <c r="J52" s="2">
        <v>2170</v>
      </c>
      <c r="K52" s="2" t="s">
        <v>96</v>
      </c>
      <c r="L52" s="2">
        <v>0.505</v>
      </c>
      <c r="M52" s="2">
        <v>38.1</v>
      </c>
      <c r="N52" s="2">
        <v>39</v>
      </c>
      <c r="O52" s="2">
        <v>38.549999999999997</v>
      </c>
      <c r="P52" s="2">
        <v>0.1197</v>
      </c>
      <c r="Q52" s="2">
        <v>3.2526470000000001</v>
      </c>
      <c r="R52" s="2">
        <v>5.0000000000000001E-3</v>
      </c>
      <c r="S52" s="2">
        <v>0.19499999999999901</v>
      </c>
      <c r="T52" s="3"/>
      <c r="U52" s="2">
        <v>8765</v>
      </c>
      <c r="V52" s="3">
        <v>42612.65625</v>
      </c>
      <c r="W52" s="3">
        <v>42664.354166666664</v>
      </c>
      <c r="X52" s="2">
        <v>2110</v>
      </c>
      <c r="Y52" s="2" t="s">
        <v>96</v>
      </c>
      <c r="Z52" s="2">
        <v>0.69830000000000003</v>
      </c>
      <c r="AA52" s="2">
        <v>82.5</v>
      </c>
      <c r="AB52" s="2">
        <v>83.4</v>
      </c>
      <c r="AC52" s="2">
        <v>82.95</v>
      </c>
      <c r="AD52" s="2">
        <v>0.14860000000000001</v>
      </c>
      <c r="AE52" s="2">
        <v>2.8374769999999998</v>
      </c>
      <c r="AF52" s="2">
        <v>0.1983</v>
      </c>
      <c r="AG52" s="2">
        <v>1.6999999999999201E-3</v>
      </c>
      <c r="AI52" s="2">
        <f t="shared" si="0"/>
        <v>19.384013349310958</v>
      </c>
    </row>
    <row r="53" spans="2:35" x14ac:dyDescent="0.15">
      <c r="B53" s="1">
        <v>18.074248150463269</v>
      </c>
      <c r="C53" s="1">
        <v>14.574999999999999</v>
      </c>
      <c r="D53" s="1">
        <v>2171.08</v>
      </c>
      <c r="E53" s="1" t="s">
        <v>51</v>
      </c>
      <c r="G53" s="2">
        <v>9012</v>
      </c>
      <c r="H53" s="3">
        <v>42613.65625</v>
      </c>
      <c r="I53" s="3">
        <v>42664.354166666664</v>
      </c>
      <c r="J53" s="2">
        <v>2165</v>
      </c>
      <c r="K53" s="2" t="s">
        <v>96</v>
      </c>
      <c r="L53" s="2">
        <v>0.50660000000000005</v>
      </c>
      <c r="M53" s="2">
        <v>38.9</v>
      </c>
      <c r="N53" s="2">
        <v>39.799999999999997</v>
      </c>
      <c r="O53" s="2">
        <v>39.349999999999902</v>
      </c>
      <c r="P53" s="2">
        <v>0.1231</v>
      </c>
      <c r="Q53" s="2">
        <v>3.2140330000000001</v>
      </c>
      <c r="R53" s="2">
        <v>6.6000000000000503E-3</v>
      </c>
      <c r="S53" s="2">
        <v>0.19339999999999899</v>
      </c>
      <c r="T53" s="3"/>
      <c r="U53" s="2">
        <v>9000</v>
      </c>
      <c r="V53" s="3">
        <v>42613.65625</v>
      </c>
      <c r="W53" s="3">
        <v>42664.354166666664</v>
      </c>
      <c r="X53" s="2">
        <v>2105</v>
      </c>
      <c r="Y53" s="2" t="s">
        <v>96</v>
      </c>
      <c r="Z53" s="2">
        <v>0.69779999999999998</v>
      </c>
      <c r="AA53" s="2">
        <v>83.1</v>
      </c>
      <c r="AB53" s="2">
        <v>84.1</v>
      </c>
      <c r="AC53" s="2">
        <v>83.6</v>
      </c>
      <c r="AD53" s="2">
        <v>0.15179999999999999</v>
      </c>
      <c r="AE53" s="2">
        <v>2.8063090000000002</v>
      </c>
      <c r="AF53" s="2">
        <v>0.197799999999999</v>
      </c>
      <c r="AG53" s="2">
        <v>2.1999999999999702E-3</v>
      </c>
      <c r="AI53" s="2">
        <f t="shared" si="0"/>
        <v>19.535907365911946</v>
      </c>
    </row>
    <row r="54" spans="2:35" x14ac:dyDescent="0.15">
      <c r="B54" s="1">
        <v>18.216873557308926</v>
      </c>
      <c r="C54" s="1">
        <v>14.574999999999999</v>
      </c>
      <c r="D54" s="1">
        <v>2168.4</v>
      </c>
      <c r="E54" s="1" t="s">
        <v>52</v>
      </c>
      <c r="G54" s="2">
        <v>9248</v>
      </c>
      <c r="H54" s="3">
        <v>42614.65625</v>
      </c>
      <c r="I54" s="3">
        <v>42664.354166666664</v>
      </c>
      <c r="J54" s="2">
        <v>2165</v>
      </c>
      <c r="K54" s="2" t="s">
        <v>96</v>
      </c>
      <c r="L54" s="2">
        <v>0.49530000000000002</v>
      </c>
      <c r="M54" s="2">
        <v>37.1</v>
      </c>
      <c r="N54" s="2">
        <v>38.200000000000003</v>
      </c>
      <c r="O54" s="2">
        <v>37.65</v>
      </c>
      <c r="P54" s="2">
        <v>0.12330000000000001</v>
      </c>
      <c r="Q54" s="2">
        <v>3.1786099999999999</v>
      </c>
      <c r="R54" s="2">
        <v>4.6999999999999802E-3</v>
      </c>
      <c r="S54" s="2">
        <v>0.20469999999999899</v>
      </c>
      <c r="T54" s="3"/>
      <c r="U54" s="2">
        <v>9235</v>
      </c>
      <c r="V54" s="3">
        <v>42614.65625</v>
      </c>
      <c r="W54" s="3">
        <v>42664.354166666664</v>
      </c>
      <c r="X54" s="2">
        <v>2100</v>
      </c>
      <c r="Y54" s="2" t="s">
        <v>96</v>
      </c>
      <c r="Z54" s="2">
        <v>0.70299999999999996</v>
      </c>
      <c r="AA54" s="2">
        <v>84.9</v>
      </c>
      <c r="AB54" s="2">
        <v>86</v>
      </c>
      <c r="AC54" s="2">
        <v>85.45</v>
      </c>
      <c r="AD54" s="2">
        <v>0.15479999999999999</v>
      </c>
      <c r="AE54" s="2">
        <v>2.7533110000000001</v>
      </c>
      <c r="AF54" s="2">
        <v>0.20299999999999899</v>
      </c>
      <c r="AG54" s="2">
        <v>3.0000000000000001E-3</v>
      </c>
      <c r="AI54" s="2">
        <f t="shared" si="0"/>
        <v>19.968221105468611</v>
      </c>
    </row>
    <row r="55" spans="2:35" x14ac:dyDescent="0.15">
      <c r="B55" s="1">
        <v>16.360055631081941</v>
      </c>
      <c r="C55" s="1">
        <v>13.925000000000001</v>
      </c>
      <c r="D55" s="1">
        <v>2180.02</v>
      </c>
      <c r="E55" s="1" t="s">
        <v>53</v>
      </c>
      <c r="G55" s="2">
        <v>9486</v>
      </c>
      <c r="H55" s="3">
        <v>42615.65625</v>
      </c>
      <c r="I55" s="3">
        <v>42664.354166666664</v>
      </c>
      <c r="J55" s="2">
        <v>2175</v>
      </c>
      <c r="K55" s="2" t="s">
        <v>96</v>
      </c>
      <c r="L55" s="2">
        <v>0.50080000000000002</v>
      </c>
      <c r="M55" s="2">
        <v>34.6</v>
      </c>
      <c r="N55" s="2">
        <v>35.4</v>
      </c>
      <c r="O55" s="2">
        <v>35</v>
      </c>
      <c r="P55" s="2">
        <v>0.113</v>
      </c>
      <c r="Q55" s="2">
        <v>3.1637689999999998</v>
      </c>
      <c r="R55" s="2">
        <v>8.0000000000002205E-4</v>
      </c>
      <c r="S55" s="2">
        <v>0.19919999999999899</v>
      </c>
      <c r="T55" s="3"/>
      <c r="U55" s="2">
        <v>9475</v>
      </c>
      <c r="V55" s="3">
        <v>42615.65625</v>
      </c>
      <c r="W55" s="3">
        <v>42664.354166666664</v>
      </c>
      <c r="X55" s="2">
        <v>2120</v>
      </c>
      <c r="Y55" s="2" t="s">
        <v>96</v>
      </c>
      <c r="Z55" s="2">
        <v>0.69479999999999997</v>
      </c>
      <c r="AA55" s="2">
        <v>75</v>
      </c>
      <c r="AB55" s="2">
        <v>76.099999999999994</v>
      </c>
      <c r="AC55" s="2">
        <v>75.55</v>
      </c>
      <c r="AD55" s="2">
        <v>0.14000000000000001</v>
      </c>
      <c r="AE55" s="2">
        <v>2.7742369999999998</v>
      </c>
      <c r="AF55" s="2">
        <v>0.194799999999999</v>
      </c>
      <c r="AG55" s="2">
        <v>5.1999999999999798E-3</v>
      </c>
      <c r="AI55" s="2">
        <f t="shared" si="0"/>
        <v>17.6547583910843</v>
      </c>
    </row>
    <row r="56" spans="2:35" x14ac:dyDescent="0.15">
      <c r="B56" s="1">
        <v>15.554894760644048</v>
      </c>
      <c r="C56" s="1">
        <v>13.375</v>
      </c>
      <c r="D56" s="1">
        <v>2184.15</v>
      </c>
      <c r="E56" s="1" t="s">
        <v>54</v>
      </c>
      <c r="G56" s="2">
        <v>9723</v>
      </c>
      <c r="H56" s="3">
        <v>42619.65625</v>
      </c>
      <c r="I56" s="3">
        <v>42664.354166666664</v>
      </c>
      <c r="J56" s="2">
        <v>2180</v>
      </c>
      <c r="K56" s="2" t="s">
        <v>96</v>
      </c>
      <c r="L56" s="2">
        <v>0.49619999999999997</v>
      </c>
      <c r="M56" s="2">
        <v>32.200000000000003</v>
      </c>
      <c r="N56" s="2">
        <v>33.299999999999997</v>
      </c>
      <c r="O56" s="2">
        <v>32.75</v>
      </c>
      <c r="P56" s="2">
        <v>0.1115</v>
      </c>
      <c r="Q56" s="2">
        <v>3.0373039999999998</v>
      </c>
      <c r="R56" s="2">
        <v>3.8000000000000199E-3</v>
      </c>
      <c r="S56" s="2">
        <v>0.20379999999999901</v>
      </c>
      <c r="T56" s="3"/>
      <c r="U56" s="2">
        <v>9712</v>
      </c>
      <c r="V56" s="3">
        <v>42619.65625</v>
      </c>
      <c r="W56" s="3">
        <v>42664.354166666664</v>
      </c>
      <c r="X56" s="2">
        <v>2125</v>
      </c>
      <c r="Y56" s="2" t="s">
        <v>96</v>
      </c>
      <c r="Z56" s="2">
        <v>0.69930000000000003</v>
      </c>
      <c r="AA56" s="2">
        <v>72.8</v>
      </c>
      <c r="AB56" s="2">
        <v>73.900000000000006</v>
      </c>
      <c r="AC56" s="2">
        <v>73.349999999999994</v>
      </c>
      <c r="AD56" s="2">
        <v>0.13969999999999999</v>
      </c>
      <c r="AE56" s="2">
        <v>2.6459630000000001</v>
      </c>
      <c r="AF56" s="2">
        <v>0.1993</v>
      </c>
      <c r="AG56" s="2">
        <v>6.9999999999992204E-4</v>
      </c>
      <c r="AI56" s="2">
        <f t="shared" si="0"/>
        <v>17.140655565665565</v>
      </c>
    </row>
    <row r="57" spans="2:35" x14ac:dyDescent="0.15">
      <c r="B57" s="1">
        <v>15.048663822445633</v>
      </c>
      <c r="C57" s="1">
        <v>13.225</v>
      </c>
      <c r="D57" s="1">
        <v>2185.44</v>
      </c>
      <c r="E57" s="1" t="s">
        <v>55</v>
      </c>
      <c r="G57" s="2">
        <v>9959</v>
      </c>
      <c r="H57" s="3">
        <v>42620.65625</v>
      </c>
      <c r="I57" s="3">
        <v>42664.354166666664</v>
      </c>
      <c r="J57" s="2">
        <v>2180</v>
      </c>
      <c r="K57" s="2" t="s">
        <v>96</v>
      </c>
      <c r="L57" s="2">
        <v>0.50529999999999997</v>
      </c>
      <c r="M57" s="2">
        <v>31.9</v>
      </c>
      <c r="N57" s="2">
        <v>33.1</v>
      </c>
      <c r="O57" s="2">
        <v>32.5</v>
      </c>
      <c r="P57" s="2">
        <v>0.1086</v>
      </c>
      <c r="Q57" s="2">
        <v>3.0057930000000002</v>
      </c>
      <c r="R57" s="2">
        <v>5.2999999999999697E-3</v>
      </c>
      <c r="S57" s="2">
        <v>0.19469999999999901</v>
      </c>
      <c r="T57" s="3"/>
      <c r="U57" s="2">
        <v>9949</v>
      </c>
      <c r="V57" s="3">
        <v>42620.65625</v>
      </c>
      <c r="W57" s="3">
        <v>42664.354166666664</v>
      </c>
      <c r="X57" s="2">
        <v>2130</v>
      </c>
      <c r="Y57" s="2" t="s">
        <v>96</v>
      </c>
      <c r="Z57" s="2">
        <v>0.69750000000000001</v>
      </c>
      <c r="AA57" s="2">
        <v>68.900000000000006</v>
      </c>
      <c r="AB57" s="2">
        <v>70.099999999999994</v>
      </c>
      <c r="AC57" s="2">
        <v>69.5</v>
      </c>
      <c r="AD57" s="2">
        <v>0.13420000000000001</v>
      </c>
      <c r="AE57" s="2">
        <v>2.6262050000000001</v>
      </c>
      <c r="AF57" s="2">
        <v>0.19750000000000001</v>
      </c>
      <c r="AG57" s="2">
        <v>2.4999999999999402E-3</v>
      </c>
      <c r="AI57" s="2">
        <f t="shared" si="0"/>
        <v>16.24097562118278</v>
      </c>
    </row>
    <row r="58" spans="2:35" x14ac:dyDescent="0.15">
      <c r="B58" s="1">
        <v>15.058176620051517</v>
      </c>
      <c r="C58" s="1">
        <v>13.375</v>
      </c>
      <c r="D58" s="1">
        <v>2182.6</v>
      </c>
      <c r="E58" s="1" t="s">
        <v>56</v>
      </c>
      <c r="G58" s="2">
        <v>10195</v>
      </c>
      <c r="H58" s="3">
        <v>42621.65625</v>
      </c>
      <c r="I58" s="3">
        <v>42664.354166666664</v>
      </c>
      <c r="J58" s="2">
        <v>2180</v>
      </c>
      <c r="K58" s="2" t="s">
        <v>96</v>
      </c>
      <c r="L58" s="2">
        <v>0.49249999999999999</v>
      </c>
      <c r="M58" s="2">
        <v>30.5</v>
      </c>
      <c r="N58" s="2">
        <v>31.6</v>
      </c>
      <c r="O58" s="2">
        <v>31.05</v>
      </c>
      <c r="P58" s="2">
        <v>0.1094</v>
      </c>
      <c r="Q58" s="2">
        <v>2.9676399999999998</v>
      </c>
      <c r="R58" s="2">
        <v>7.4999999999999997E-3</v>
      </c>
      <c r="S58" s="2">
        <v>0.20749999999999899</v>
      </c>
      <c r="T58" s="3"/>
      <c r="U58" s="2">
        <v>10184</v>
      </c>
      <c r="V58" s="3">
        <v>42621.65625</v>
      </c>
      <c r="W58" s="3">
        <v>42664.354166666664</v>
      </c>
      <c r="X58" s="2">
        <v>2125</v>
      </c>
      <c r="Y58" s="2" t="s">
        <v>96</v>
      </c>
      <c r="Z58" s="2">
        <v>0.70209999999999995</v>
      </c>
      <c r="AA58" s="2">
        <v>71.3</v>
      </c>
      <c r="AB58" s="2">
        <v>72.5</v>
      </c>
      <c r="AC58" s="2">
        <v>71.900000000000006</v>
      </c>
      <c r="AD58" s="2">
        <v>0.1389</v>
      </c>
      <c r="AE58" s="2">
        <v>2.5749680000000001</v>
      </c>
      <c r="AF58" s="2">
        <v>0.202099999999999</v>
      </c>
      <c r="AG58" s="2">
        <v>2.0999999999999899E-3</v>
      </c>
      <c r="AI58" s="2">
        <f t="shared" si="0"/>
        <v>16.801815067094129</v>
      </c>
    </row>
    <row r="59" spans="2:35" x14ac:dyDescent="0.15">
      <c r="B59" s="1">
        <v>19.51956392579995</v>
      </c>
      <c r="C59" s="1">
        <v>16.475000000000001</v>
      </c>
      <c r="D59" s="1">
        <v>2134.5500000000002</v>
      </c>
      <c r="E59" s="1" t="s">
        <v>57</v>
      </c>
      <c r="G59" s="2">
        <v>10421</v>
      </c>
      <c r="H59" s="3">
        <v>42622.65625</v>
      </c>
      <c r="I59" s="3">
        <v>42664.354166666664</v>
      </c>
      <c r="J59" s="2">
        <v>2130</v>
      </c>
      <c r="K59" s="2" t="s">
        <v>96</v>
      </c>
      <c r="L59" s="2">
        <v>0.50480000000000003</v>
      </c>
      <c r="M59" s="2">
        <v>40.9</v>
      </c>
      <c r="N59" s="2">
        <v>41.9</v>
      </c>
      <c r="O59" s="2">
        <v>41.4</v>
      </c>
      <c r="P59" s="2">
        <v>0.14630000000000001</v>
      </c>
      <c r="Q59" s="2">
        <v>2.8679860000000001</v>
      </c>
      <c r="R59" s="2">
        <v>4.8000000000000204E-3</v>
      </c>
      <c r="S59" s="2">
        <v>0.19519999999999901</v>
      </c>
      <c r="T59" s="3"/>
      <c r="U59" s="2">
        <v>10408</v>
      </c>
      <c r="V59" s="3">
        <v>42622.65625</v>
      </c>
      <c r="W59" s="3">
        <v>42664.354166666664</v>
      </c>
      <c r="X59" s="2">
        <v>2065</v>
      </c>
      <c r="Y59" s="2" t="s">
        <v>96</v>
      </c>
      <c r="Z59" s="2">
        <v>0.70179999999999998</v>
      </c>
      <c r="AA59" s="2">
        <v>88.1</v>
      </c>
      <c r="AB59" s="2">
        <v>89.5</v>
      </c>
      <c r="AC59" s="2">
        <v>88.8</v>
      </c>
      <c r="AD59" s="2">
        <v>0.1794</v>
      </c>
      <c r="AE59" s="2">
        <v>2.489563</v>
      </c>
      <c r="AF59" s="2">
        <v>0.20179999999999901</v>
      </c>
      <c r="AG59" s="2">
        <v>1.8000000000000199E-3</v>
      </c>
      <c r="AI59" s="2">
        <f t="shared" si="0"/>
        <v>20.751059498719865</v>
      </c>
    </row>
    <row r="60" spans="2:35" x14ac:dyDescent="0.15">
      <c r="B60" s="1">
        <v>17.015962498439315</v>
      </c>
      <c r="C60" s="1">
        <v>15.324999999999999</v>
      </c>
      <c r="D60" s="1">
        <v>2162.81</v>
      </c>
      <c r="E60" s="1" t="s">
        <v>58</v>
      </c>
      <c r="G60" s="2">
        <v>10663</v>
      </c>
      <c r="H60" s="3">
        <v>42625.65625</v>
      </c>
      <c r="I60" s="3">
        <v>42664.354166666664</v>
      </c>
      <c r="J60" s="2">
        <v>2160</v>
      </c>
      <c r="K60" s="2" t="s">
        <v>96</v>
      </c>
      <c r="L60" s="2">
        <v>0.49659999999999999</v>
      </c>
      <c r="M60" s="2">
        <v>35</v>
      </c>
      <c r="N60" s="2">
        <v>35.9</v>
      </c>
      <c r="O60" s="2">
        <v>35.450000000000003</v>
      </c>
      <c r="P60" s="2">
        <v>0.13120000000000001</v>
      </c>
      <c r="Q60" s="2">
        <v>2.8004880000000001</v>
      </c>
      <c r="R60" s="2">
        <v>3.4000000000000098E-3</v>
      </c>
      <c r="S60" s="2">
        <v>0.203399999999999</v>
      </c>
      <c r="T60" s="3"/>
      <c r="U60" s="2">
        <v>10651</v>
      </c>
      <c r="V60" s="3">
        <v>42625.65625</v>
      </c>
      <c r="W60" s="3">
        <v>42664.354166666664</v>
      </c>
      <c r="X60" s="2">
        <v>2100</v>
      </c>
      <c r="Y60" s="2" t="s">
        <v>96</v>
      </c>
      <c r="Z60" s="2">
        <v>0.70130000000000003</v>
      </c>
      <c r="AA60" s="2">
        <v>78.8</v>
      </c>
      <c r="AB60" s="2">
        <v>80.5</v>
      </c>
      <c r="AC60" s="2">
        <v>79.650000000000006</v>
      </c>
      <c r="AD60" s="2">
        <v>0.16420000000000001</v>
      </c>
      <c r="AE60" s="2">
        <v>2.4326919999999999</v>
      </c>
      <c r="AF60" s="2">
        <v>0.20130000000000001</v>
      </c>
      <c r="AG60" s="2">
        <v>1.30000000000007E-3</v>
      </c>
      <c r="AI60" s="2">
        <f t="shared" si="0"/>
        <v>18.612859111182853</v>
      </c>
    </row>
    <row r="61" spans="2:35" x14ac:dyDescent="0.15">
      <c r="B61" s="1">
        <v>20.545480119477226</v>
      </c>
      <c r="C61" s="1">
        <v>17.774999999999999</v>
      </c>
      <c r="D61" s="1">
        <v>2126.17</v>
      </c>
      <c r="E61" s="1" t="s">
        <v>59</v>
      </c>
      <c r="G61" s="2">
        <v>10892</v>
      </c>
      <c r="H61" s="3">
        <v>42626.65625</v>
      </c>
      <c r="I61" s="3">
        <v>42664.354166666664</v>
      </c>
      <c r="J61" s="2">
        <v>2125</v>
      </c>
      <c r="K61" s="2" t="s">
        <v>96</v>
      </c>
      <c r="L61" s="2">
        <v>0.497</v>
      </c>
      <c r="M61" s="2">
        <v>41.5</v>
      </c>
      <c r="N61" s="2">
        <v>42.6</v>
      </c>
      <c r="O61" s="2">
        <v>42.05</v>
      </c>
      <c r="P61" s="2">
        <v>0.161</v>
      </c>
      <c r="Q61" s="2">
        <v>2.7182330000000001</v>
      </c>
      <c r="R61" s="2">
        <v>3.0000000000000001E-3</v>
      </c>
      <c r="S61" s="2">
        <v>0.20299999999999899</v>
      </c>
      <c r="T61" s="3"/>
      <c r="U61" s="2">
        <v>10878</v>
      </c>
      <c r="V61" s="3">
        <v>42626.65625</v>
      </c>
      <c r="W61" s="3">
        <v>42664.354166666664</v>
      </c>
      <c r="X61" s="2">
        <v>2055</v>
      </c>
      <c r="Y61" s="2" t="s">
        <v>96</v>
      </c>
      <c r="Z61" s="2">
        <v>0.70340000000000003</v>
      </c>
      <c r="AA61" s="2">
        <v>91.6</v>
      </c>
      <c r="AB61" s="2">
        <v>92.8</v>
      </c>
      <c r="AC61" s="2">
        <v>92.199999999999903</v>
      </c>
      <c r="AD61" s="2">
        <v>0.19600000000000001</v>
      </c>
      <c r="AE61" s="2">
        <v>2.3537499999999998</v>
      </c>
      <c r="AF61" s="2">
        <v>0.2034</v>
      </c>
      <c r="AG61" s="2">
        <v>3.4000000000000601E-3</v>
      </c>
      <c r="AI61" s="2">
        <f t="shared" si="0"/>
        <v>21.545582047094253</v>
      </c>
    </row>
    <row r="62" spans="2:35" x14ac:dyDescent="0.15">
      <c r="B62" s="1">
        <v>19.556552813764309</v>
      </c>
      <c r="C62" s="1">
        <v>18.375</v>
      </c>
      <c r="D62" s="1">
        <v>2125.15</v>
      </c>
      <c r="E62" s="1" t="s">
        <v>60</v>
      </c>
      <c r="G62" s="2">
        <v>11128</v>
      </c>
      <c r="H62" s="3">
        <v>42627.65625</v>
      </c>
      <c r="I62" s="3">
        <v>42664.354166666664</v>
      </c>
      <c r="J62" s="2">
        <v>2125</v>
      </c>
      <c r="K62" s="2" t="s">
        <v>96</v>
      </c>
      <c r="L62" s="2">
        <v>0.49359999999999998</v>
      </c>
      <c r="M62" s="2">
        <v>39</v>
      </c>
      <c r="N62" s="2">
        <v>40.4</v>
      </c>
      <c r="O62" s="2">
        <v>39.700000000000003</v>
      </c>
      <c r="P62" s="2">
        <v>0.1555</v>
      </c>
      <c r="Q62" s="2">
        <v>2.6810679999999998</v>
      </c>
      <c r="R62" s="2">
        <v>6.4000000000000098E-3</v>
      </c>
      <c r="S62" s="2">
        <v>0.206399999999999</v>
      </c>
      <c r="T62" s="3"/>
      <c r="U62" s="2">
        <v>11115</v>
      </c>
      <c r="V62" s="3">
        <v>42627.65625</v>
      </c>
      <c r="W62" s="3">
        <v>42664.354166666664</v>
      </c>
      <c r="X62" s="2">
        <v>2060</v>
      </c>
      <c r="Y62" s="2" t="s">
        <v>96</v>
      </c>
      <c r="Z62" s="2">
        <v>0.69740000000000002</v>
      </c>
      <c r="AA62" s="2">
        <v>85.1</v>
      </c>
      <c r="AB62" s="2">
        <v>86.5</v>
      </c>
      <c r="AC62" s="2">
        <v>85.8</v>
      </c>
      <c r="AD62" s="2">
        <v>0.18759999999999999</v>
      </c>
      <c r="AE62" s="2">
        <v>2.3432680000000001</v>
      </c>
      <c r="AF62" s="2">
        <v>0.19739999999999999</v>
      </c>
      <c r="AG62" s="2">
        <v>2.5999999999999301E-3</v>
      </c>
      <c r="AI62" s="2">
        <f t="shared" si="0"/>
        <v>20.050010191330681</v>
      </c>
    </row>
    <row r="63" spans="2:35" x14ac:dyDescent="0.15">
      <c r="B63" s="1">
        <v>17.452595411021878</v>
      </c>
      <c r="C63" s="1">
        <v>17.074999999999999</v>
      </c>
      <c r="D63" s="1">
        <v>2149.2800000000002</v>
      </c>
      <c r="E63" s="1" t="s">
        <v>61</v>
      </c>
      <c r="G63" s="2">
        <v>11368</v>
      </c>
      <c r="H63" s="3">
        <v>42628.65625</v>
      </c>
      <c r="I63" s="3">
        <v>42664.354166666664</v>
      </c>
      <c r="J63" s="2">
        <v>2145</v>
      </c>
      <c r="K63" s="2" t="s">
        <v>96</v>
      </c>
      <c r="L63" s="2">
        <v>0.50990000000000002</v>
      </c>
      <c r="M63" s="2">
        <v>37.1</v>
      </c>
      <c r="N63" s="2">
        <v>38.700000000000003</v>
      </c>
      <c r="O63" s="2">
        <v>37.9</v>
      </c>
      <c r="P63" s="2">
        <v>0.14099999999999999</v>
      </c>
      <c r="Q63" s="2">
        <v>2.6743320000000002</v>
      </c>
      <c r="R63" s="2">
        <v>9.9000000000000199E-3</v>
      </c>
      <c r="S63" s="2">
        <v>0.19009999999999899</v>
      </c>
      <c r="T63" s="3"/>
      <c r="U63" s="2">
        <v>11357</v>
      </c>
      <c r="V63" s="3">
        <v>42628.65625</v>
      </c>
      <c r="W63" s="3">
        <v>42664.354166666664</v>
      </c>
      <c r="X63" s="2">
        <v>2090</v>
      </c>
      <c r="Y63" s="2" t="s">
        <v>96</v>
      </c>
      <c r="Z63" s="2">
        <v>0.69679999999999997</v>
      </c>
      <c r="AA63" s="2">
        <v>76.900000000000006</v>
      </c>
      <c r="AB63" s="2">
        <v>79</v>
      </c>
      <c r="AC63" s="2">
        <v>77.95</v>
      </c>
      <c r="AD63" s="2">
        <v>0.17030000000000001</v>
      </c>
      <c r="AE63" s="2">
        <v>2.340004</v>
      </c>
      <c r="AF63" s="2">
        <v>0.196799999999999</v>
      </c>
      <c r="AG63" s="2">
        <v>3.1999999999999802E-3</v>
      </c>
      <c r="AI63" s="2">
        <f t="shared" si="0"/>
        <v>18.215597836995649</v>
      </c>
    </row>
    <row r="64" spans="2:35" x14ac:dyDescent="0.15">
      <c r="B64" s="1">
        <v>16.756560843751934</v>
      </c>
      <c r="C64" s="1">
        <v>16.024999999999999</v>
      </c>
      <c r="D64" s="1">
        <v>2139.75</v>
      </c>
      <c r="E64" s="1" t="s">
        <v>62</v>
      </c>
      <c r="G64" s="2">
        <v>11602</v>
      </c>
      <c r="H64" s="3">
        <v>42629.65625</v>
      </c>
      <c r="I64" s="3">
        <v>42664.354166666664</v>
      </c>
      <c r="J64" s="2">
        <v>2135</v>
      </c>
      <c r="K64" s="2" t="s">
        <v>96</v>
      </c>
      <c r="L64" s="2">
        <v>0.50970000000000004</v>
      </c>
      <c r="M64" s="2">
        <v>36</v>
      </c>
      <c r="N64" s="2">
        <v>37.200000000000003</v>
      </c>
      <c r="O64" s="2">
        <v>36.6</v>
      </c>
      <c r="P64" s="2">
        <v>0.13869999999999999</v>
      </c>
      <c r="Q64" s="2">
        <v>2.6244740000000002</v>
      </c>
      <c r="R64" s="2">
        <v>9.7000000000000402E-3</v>
      </c>
      <c r="S64" s="2">
        <v>0.190299999999999</v>
      </c>
      <c r="T64" s="3"/>
      <c r="U64" s="2">
        <v>11591</v>
      </c>
      <c r="V64" s="3">
        <v>42629.65625</v>
      </c>
      <c r="W64" s="3">
        <v>42664.354166666664</v>
      </c>
      <c r="X64" s="2">
        <v>2080</v>
      </c>
      <c r="Y64" s="2" t="s">
        <v>96</v>
      </c>
      <c r="Z64" s="2">
        <v>0.7036</v>
      </c>
      <c r="AA64" s="2">
        <v>75.7</v>
      </c>
      <c r="AB64" s="2">
        <v>77</v>
      </c>
      <c r="AC64" s="2">
        <v>76.349999999999994</v>
      </c>
      <c r="AD64" s="2">
        <v>0.1666</v>
      </c>
      <c r="AE64" s="2">
        <v>2.2728229999999998</v>
      </c>
      <c r="AF64" s="2">
        <v>0.2036</v>
      </c>
      <c r="AG64" s="2">
        <v>3.6000000000000398E-3</v>
      </c>
      <c r="AI64" s="2">
        <f t="shared" si="0"/>
        <v>17.841704873054749</v>
      </c>
    </row>
    <row r="65" spans="2:35" x14ac:dyDescent="0.15">
      <c r="B65" s="1">
        <v>15.960144460971119</v>
      </c>
      <c r="C65" s="1">
        <v>15.675000000000001</v>
      </c>
      <c r="D65" s="1">
        <v>2141.15</v>
      </c>
      <c r="E65" s="1" t="s">
        <v>63</v>
      </c>
      <c r="G65" s="2">
        <v>11839</v>
      </c>
      <c r="H65" s="3">
        <v>42632.65625</v>
      </c>
      <c r="I65" s="3">
        <v>42664.354166666664</v>
      </c>
      <c r="J65" s="2">
        <v>2140</v>
      </c>
      <c r="K65" s="2" t="s">
        <v>96</v>
      </c>
      <c r="L65" s="2">
        <v>0.49370000000000003</v>
      </c>
      <c r="M65" s="2">
        <v>32.700000000000003</v>
      </c>
      <c r="N65" s="2">
        <v>33.6</v>
      </c>
      <c r="O65" s="2">
        <v>33.15</v>
      </c>
      <c r="P65" s="2">
        <v>0.13789999999999999</v>
      </c>
      <c r="Q65" s="2">
        <v>2.5112489999999998</v>
      </c>
      <c r="R65" s="2">
        <v>6.2999999999999697E-3</v>
      </c>
      <c r="S65" s="2">
        <v>0.20629999999999901</v>
      </c>
      <c r="T65" s="3"/>
      <c r="U65" s="2">
        <v>11828</v>
      </c>
      <c r="V65" s="3">
        <v>42632.65625</v>
      </c>
      <c r="W65" s="3">
        <v>42664.354166666664</v>
      </c>
      <c r="X65" s="2">
        <v>2085</v>
      </c>
      <c r="Y65" s="2" t="s">
        <v>96</v>
      </c>
      <c r="Z65" s="2">
        <v>0.70030000000000003</v>
      </c>
      <c r="AA65" s="2">
        <v>71.8</v>
      </c>
      <c r="AB65" s="2">
        <v>72.7</v>
      </c>
      <c r="AC65" s="2">
        <v>72.25</v>
      </c>
      <c r="AD65" s="2">
        <v>0.16600000000000001</v>
      </c>
      <c r="AE65" s="2">
        <v>2.18554</v>
      </c>
      <c r="AF65" s="2">
        <v>0.20030000000000001</v>
      </c>
      <c r="AG65" s="2">
        <v>3.0000000000007798E-4</v>
      </c>
      <c r="AI65" s="2">
        <f t="shared" si="0"/>
        <v>16.883604152956199</v>
      </c>
    </row>
    <row r="66" spans="2:35" x14ac:dyDescent="0.15">
      <c r="B66" s="1">
        <v>15.677933518657003</v>
      </c>
      <c r="C66" s="1">
        <v>15.875</v>
      </c>
      <c r="D66" s="1">
        <v>2143.11</v>
      </c>
      <c r="E66" s="1" t="s">
        <v>64</v>
      </c>
      <c r="G66" s="2">
        <v>12075</v>
      </c>
      <c r="H66" s="3">
        <v>42633.65625</v>
      </c>
      <c r="I66" s="3">
        <v>42664.354166666664</v>
      </c>
      <c r="J66" s="2">
        <v>2140</v>
      </c>
      <c r="K66" s="2" t="s">
        <v>96</v>
      </c>
      <c r="L66" s="2">
        <v>0.50600000000000001</v>
      </c>
      <c r="M66" s="2">
        <v>33.700000000000003</v>
      </c>
      <c r="N66" s="2">
        <v>34.700000000000003</v>
      </c>
      <c r="O66" s="2">
        <v>34.200000000000003</v>
      </c>
      <c r="P66" s="2">
        <v>0.1389</v>
      </c>
      <c r="Q66" s="2">
        <v>2.474491</v>
      </c>
      <c r="R66" s="2">
        <v>6.0000000000000001E-3</v>
      </c>
      <c r="S66" s="2">
        <v>0.19399999999999901</v>
      </c>
      <c r="T66" s="3"/>
      <c r="U66" s="2">
        <v>12065</v>
      </c>
      <c r="V66" s="3">
        <v>42633.65625</v>
      </c>
      <c r="W66" s="3">
        <v>42664.354166666664</v>
      </c>
      <c r="X66" s="2">
        <v>2090</v>
      </c>
      <c r="Y66" s="2" t="s">
        <v>96</v>
      </c>
      <c r="Z66" s="2">
        <v>0.69679999999999997</v>
      </c>
      <c r="AA66" s="2">
        <v>69.2</v>
      </c>
      <c r="AB66" s="2">
        <v>70.2</v>
      </c>
      <c r="AC66" s="2">
        <v>69.7</v>
      </c>
      <c r="AD66" s="2">
        <v>0.16400000000000001</v>
      </c>
      <c r="AE66" s="2">
        <v>2.1650710000000002</v>
      </c>
      <c r="AF66" s="2">
        <v>0.196799999999999</v>
      </c>
      <c r="AG66" s="2">
        <v>3.1999999999999802E-3</v>
      </c>
      <c r="AI66" s="2">
        <f t="shared" si="0"/>
        <v>16.28771224167539</v>
      </c>
    </row>
    <row r="67" spans="2:35" x14ac:dyDescent="0.15">
      <c r="B67" s="1">
        <v>13.181093683293485</v>
      </c>
      <c r="C67" s="1">
        <v>14.92</v>
      </c>
      <c r="D67" s="1">
        <v>2163.54</v>
      </c>
      <c r="E67" s="1" t="s">
        <v>65</v>
      </c>
      <c r="G67" s="2">
        <v>12315</v>
      </c>
      <c r="H67" s="3">
        <v>42634.65625</v>
      </c>
      <c r="I67" s="3">
        <v>42664.354166666664</v>
      </c>
      <c r="J67" s="2">
        <v>2160</v>
      </c>
      <c r="K67" s="2" t="s">
        <v>96</v>
      </c>
      <c r="L67" s="2">
        <v>0.50249999999999995</v>
      </c>
      <c r="M67" s="2">
        <v>28.5</v>
      </c>
      <c r="N67" s="2">
        <v>30.4</v>
      </c>
      <c r="O67" s="2">
        <v>29.45</v>
      </c>
      <c r="P67" s="2">
        <v>0.12139999999999999</v>
      </c>
      <c r="Q67" s="2">
        <v>2.4565459999999999</v>
      </c>
      <c r="R67" s="2">
        <v>2.4999999999999402E-3</v>
      </c>
      <c r="S67" s="2">
        <v>0.19750000000000001</v>
      </c>
      <c r="T67" s="3"/>
      <c r="U67" s="2">
        <v>12306</v>
      </c>
      <c r="V67" s="3">
        <v>42634.65625</v>
      </c>
      <c r="W67" s="3">
        <v>42664.354166666664</v>
      </c>
      <c r="X67" s="2">
        <v>2115</v>
      </c>
      <c r="Y67" s="2" t="s">
        <v>96</v>
      </c>
      <c r="Z67" s="2">
        <v>0.69679999999999997</v>
      </c>
      <c r="AA67" s="2">
        <v>60.6</v>
      </c>
      <c r="AB67" s="2">
        <v>63.3</v>
      </c>
      <c r="AC67" s="2">
        <v>61.95</v>
      </c>
      <c r="AD67" s="2">
        <v>0.1462</v>
      </c>
      <c r="AE67" s="2">
        <v>2.1490710000000002</v>
      </c>
      <c r="AF67" s="2">
        <v>0.196799999999999</v>
      </c>
      <c r="AG67" s="2">
        <v>3.1999999999999802E-3</v>
      </c>
      <c r="AI67" s="2">
        <f t="shared" ref="AI67:AI89" si="1">AC67/$AC$2*$B$2</f>
        <v>14.476668197586665</v>
      </c>
    </row>
    <row r="68" spans="2:35" x14ac:dyDescent="0.15">
      <c r="B68" s="1">
        <v>11.41421334686677</v>
      </c>
      <c r="C68" s="1">
        <v>0</v>
      </c>
      <c r="D68" s="1">
        <v>2178.7800000000002</v>
      </c>
      <c r="E68" s="1" t="s">
        <v>66</v>
      </c>
      <c r="G68" s="2">
        <v>12554</v>
      </c>
      <c r="H68" s="3">
        <v>42635.65625</v>
      </c>
      <c r="I68" s="3">
        <v>42664.354166666664</v>
      </c>
      <c r="J68" s="2">
        <v>2175</v>
      </c>
      <c r="K68" s="2" t="s">
        <v>96</v>
      </c>
      <c r="L68" s="2">
        <v>0.501</v>
      </c>
      <c r="M68" s="2">
        <v>25.3</v>
      </c>
      <c r="N68" s="2">
        <v>25.9</v>
      </c>
      <c r="O68" s="2">
        <v>25.6</v>
      </c>
      <c r="P68" s="2">
        <v>0.10680000000000001</v>
      </c>
      <c r="Q68" s="2">
        <v>2.4317959999999998</v>
      </c>
      <c r="R68" s="2">
        <v>1E-3</v>
      </c>
      <c r="S68" s="2">
        <v>0.19899999999999901</v>
      </c>
      <c r="T68" s="3"/>
      <c r="U68" s="2">
        <v>12546</v>
      </c>
      <c r="V68" s="3">
        <v>42635.65625</v>
      </c>
      <c r="W68" s="3">
        <v>42664.354166666664</v>
      </c>
      <c r="X68" s="2">
        <v>2135</v>
      </c>
      <c r="Y68" s="2" t="s">
        <v>96</v>
      </c>
      <c r="Z68" s="2">
        <v>0.69750000000000001</v>
      </c>
      <c r="AA68" s="2">
        <v>54.2</v>
      </c>
      <c r="AB68" s="2">
        <v>55.2</v>
      </c>
      <c r="AC68" s="2">
        <v>54.7</v>
      </c>
      <c r="AD68" s="2">
        <v>0.12970000000000001</v>
      </c>
      <c r="AE68" s="2">
        <v>2.1252550000000001</v>
      </c>
      <c r="AF68" s="2">
        <v>0.19750000000000001</v>
      </c>
      <c r="AG68" s="2">
        <v>2.4999999999999402E-3</v>
      </c>
      <c r="AI68" s="2">
        <f t="shared" si="1"/>
        <v>12.78246570472947</v>
      </c>
    </row>
    <row r="69" spans="2:35" x14ac:dyDescent="0.15">
      <c r="B69" s="1">
        <v>11.462893745775855</v>
      </c>
      <c r="C69" s="1">
        <v>0</v>
      </c>
      <c r="D69" s="1">
        <v>2166.67</v>
      </c>
      <c r="E69" s="1" t="s">
        <v>67</v>
      </c>
      <c r="G69" s="2">
        <v>12788</v>
      </c>
      <c r="H69" s="3">
        <v>42636.65625</v>
      </c>
      <c r="I69" s="3">
        <v>42664.354166666664</v>
      </c>
      <c r="J69" s="2">
        <v>2165</v>
      </c>
      <c r="K69" s="2" t="s">
        <v>96</v>
      </c>
      <c r="L69" s="2">
        <v>0.49249999999999999</v>
      </c>
      <c r="M69" s="2">
        <v>23.8</v>
      </c>
      <c r="N69" s="2">
        <v>24.6</v>
      </c>
      <c r="O69" s="2">
        <v>24.2</v>
      </c>
      <c r="P69" s="2">
        <v>0.106</v>
      </c>
      <c r="Q69" s="2">
        <v>2.3763909999999999</v>
      </c>
      <c r="R69" s="2">
        <v>7.4999999999999997E-3</v>
      </c>
      <c r="S69" s="2">
        <v>0.20749999999999899</v>
      </c>
      <c r="T69" s="3"/>
      <c r="U69" s="2">
        <v>12780</v>
      </c>
      <c r="V69" s="3">
        <v>42636.65625</v>
      </c>
      <c r="W69" s="3">
        <v>42664.354166666664</v>
      </c>
      <c r="X69" s="2">
        <v>2125</v>
      </c>
      <c r="Y69" s="2" t="s">
        <v>96</v>
      </c>
      <c r="Z69" s="2">
        <v>0.69650000000000001</v>
      </c>
      <c r="AA69" s="2">
        <v>52.6</v>
      </c>
      <c r="AB69" s="2">
        <v>53.4</v>
      </c>
      <c r="AC69" s="2">
        <v>53</v>
      </c>
      <c r="AD69" s="2">
        <v>0.1288</v>
      </c>
      <c r="AE69" s="2">
        <v>2.0803219999999998</v>
      </c>
      <c r="AF69" s="2">
        <v>0.19650000000000001</v>
      </c>
      <c r="AG69" s="2">
        <v>3.4999999999999398E-3</v>
      </c>
      <c r="AI69" s="2">
        <f t="shared" si="1"/>
        <v>12.385204430542263</v>
      </c>
    </row>
    <row r="70" spans="2:35" x14ac:dyDescent="0.15">
      <c r="B70" s="1">
        <v>12.959211267110716</v>
      </c>
      <c r="C70" s="1">
        <v>0</v>
      </c>
      <c r="D70" s="1">
        <v>2146.62</v>
      </c>
      <c r="E70" s="1" t="s">
        <v>68</v>
      </c>
      <c r="G70" s="2">
        <v>13020</v>
      </c>
      <c r="H70" s="3">
        <v>42639.65625</v>
      </c>
      <c r="I70" s="3">
        <v>42664.354166666664</v>
      </c>
      <c r="J70" s="2">
        <v>2145</v>
      </c>
      <c r="K70" s="2" t="s">
        <v>96</v>
      </c>
      <c r="L70" s="2">
        <v>0.49659999999999999</v>
      </c>
      <c r="M70" s="2">
        <v>27.6</v>
      </c>
      <c r="N70" s="2">
        <v>28.8</v>
      </c>
      <c r="O70" s="2">
        <v>28.2</v>
      </c>
      <c r="P70" s="2">
        <v>0.13070000000000001</v>
      </c>
      <c r="Q70" s="2">
        <v>2.2242320000000002</v>
      </c>
      <c r="R70" s="2">
        <v>3.4000000000000098E-3</v>
      </c>
      <c r="S70" s="2">
        <v>0.203399999999999</v>
      </c>
      <c r="T70" s="3"/>
      <c r="U70" s="2">
        <v>13011</v>
      </c>
      <c r="V70" s="3">
        <v>42639.65625</v>
      </c>
      <c r="W70" s="3">
        <v>42664.354166666664</v>
      </c>
      <c r="X70" s="2">
        <v>2100</v>
      </c>
      <c r="Y70" s="2" t="s">
        <v>96</v>
      </c>
      <c r="Z70" s="2">
        <v>0.69920000000000004</v>
      </c>
      <c r="AA70" s="2">
        <v>59.4</v>
      </c>
      <c r="AB70" s="2">
        <v>60.7</v>
      </c>
      <c r="AC70" s="2">
        <v>60.05</v>
      </c>
      <c r="AD70" s="2">
        <v>0.15540000000000001</v>
      </c>
      <c r="AE70" s="2">
        <v>1.939263</v>
      </c>
      <c r="AF70" s="2">
        <v>0.19919999999999999</v>
      </c>
      <c r="AG70" s="2">
        <v>7.9999999999991103E-4</v>
      </c>
      <c r="AI70" s="2">
        <f t="shared" si="1"/>
        <v>14.032670302906846</v>
      </c>
    </row>
    <row r="71" spans="2:35" x14ac:dyDescent="0.15">
      <c r="B71" s="1">
        <v>11.310943996873311</v>
      </c>
      <c r="C71" s="1">
        <v>0</v>
      </c>
      <c r="D71" s="1">
        <v>2159.92</v>
      </c>
      <c r="E71" s="1" t="s">
        <v>69</v>
      </c>
      <c r="G71" s="2">
        <v>13258</v>
      </c>
      <c r="H71" s="3">
        <v>42640.65625</v>
      </c>
      <c r="I71" s="3">
        <v>42664.354166666664</v>
      </c>
      <c r="J71" s="2">
        <v>2155</v>
      </c>
      <c r="K71" s="2" t="s">
        <v>96</v>
      </c>
      <c r="L71" s="2">
        <v>0.51380000000000003</v>
      </c>
      <c r="M71" s="2">
        <v>26.1</v>
      </c>
      <c r="N71" s="2">
        <v>27.1</v>
      </c>
      <c r="O71" s="2">
        <v>26.6</v>
      </c>
      <c r="P71" s="2">
        <v>0.1183</v>
      </c>
      <c r="Q71" s="2">
        <v>2.190896</v>
      </c>
      <c r="R71" s="2">
        <v>1.38E-2</v>
      </c>
      <c r="S71" s="2">
        <v>0.18619999999999901</v>
      </c>
      <c r="T71" s="3"/>
      <c r="U71" s="2">
        <v>13250</v>
      </c>
      <c r="V71" s="3">
        <v>42640.65625</v>
      </c>
      <c r="W71" s="3">
        <v>42664.354166666664</v>
      </c>
      <c r="X71" s="2">
        <v>2115</v>
      </c>
      <c r="Y71" s="2" t="s">
        <v>96</v>
      </c>
      <c r="Z71" s="2">
        <v>0.70940000000000003</v>
      </c>
      <c r="AA71" s="2">
        <v>55.2</v>
      </c>
      <c r="AB71" s="2">
        <v>56.3</v>
      </c>
      <c r="AC71" s="2">
        <v>55.75</v>
      </c>
      <c r="AD71" s="2">
        <v>0.14180000000000001</v>
      </c>
      <c r="AE71" s="2">
        <v>1.8813029999999999</v>
      </c>
      <c r="AF71" s="2">
        <v>0.2094</v>
      </c>
      <c r="AG71" s="2">
        <v>9.4000000000000698E-3</v>
      </c>
      <c r="AI71" s="2">
        <f t="shared" si="1"/>
        <v>13.027832962315681</v>
      </c>
    </row>
    <row r="72" spans="2:35" x14ac:dyDescent="0.15">
      <c r="B72" s="1">
        <v>10.506827516291011</v>
      </c>
      <c r="C72" s="1">
        <v>0</v>
      </c>
      <c r="D72" s="1">
        <v>2169.15</v>
      </c>
      <c r="E72" s="1" t="s">
        <v>70</v>
      </c>
      <c r="G72" s="2">
        <v>13496</v>
      </c>
      <c r="H72" s="3">
        <v>42641.65625</v>
      </c>
      <c r="I72" s="3">
        <v>42664.354166666664</v>
      </c>
      <c r="J72" s="2">
        <v>2165</v>
      </c>
      <c r="K72" s="2" t="s">
        <v>96</v>
      </c>
      <c r="L72" s="2">
        <v>0.51280000000000003</v>
      </c>
      <c r="M72" s="2">
        <v>24</v>
      </c>
      <c r="N72" s="2">
        <v>25</v>
      </c>
      <c r="O72" s="2">
        <v>24.5</v>
      </c>
      <c r="P72" s="2">
        <v>0.111</v>
      </c>
      <c r="Q72" s="2">
        <v>2.154274</v>
      </c>
      <c r="R72" s="2">
        <v>1.2800000000000001E-2</v>
      </c>
      <c r="S72" s="2">
        <v>0.18719999999999901</v>
      </c>
      <c r="T72" s="3"/>
      <c r="U72" s="2">
        <v>13489</v>
      </c>
      <c r="V72" s="3">
        <v>42641.65625</v>
      </c>
      <c r="W72" s="3">
        <v>42664.354166666664</v>
      </c>
      <c r="X72" s="2">
        <v>2130</v>
      </c>
      <c r="Y72" s="2" t="s">
        <v>96</v>
      </c>
      <c r="Z72" s="2">
        <v>0.7006</v>
      </c>
      <c r="AA72" s="2">
        <v>49.3</v>
      </c>
      <c r="AB72" s="2">
        <v>50.4</v>
      </c>
      <c r="AC72" s="2">
        <v>49.849999999999902</v>
      </c>
      <c r="AD72" s="2">
        <v>0.13189999999999999</v>
      </c>
      <c r="AE72" s="2">
        <v>1.875375</v>
      </c>
      <c r="AF72" s="2">
        <v>0.2006</v>
      </c>
      <c r="AG72" s="2">
        <v>6.0000000000004397E-4</v>
      </c>
      <c r="AI72" s="2">
        <f t="shared" si="1"/>
        <v>11.649102657783596</v>
      </c>
    </row>
    <row r="73" spans="2:35" x14ac:dyDescent="0.15">
      <c r="B73" s="1">
        <v>11.992611495967427</v>
      </c>
      <c r="C73" s="1">
        <v>0</v>
      </c>
      <c r="D73" s="1">
        <v>2156.31</v>
      </c>
      <c r="E73" s="1" t="s">
        <v>71</v>
      </c>
      <c r="G73" s="2">
        <v>13730</v>
      </c>
      <c r="H73" s="3">
        <v>42642.65625</v>
      </c>
      <c r="I73" s="3">
        <v>42664.354166666664</v>
      </c>
      <c r="J73" s="2">
        <v>2155</v>
      </c>
      <c r="K73" s="2" t="s">
        <v>96</v>
      </c>
      <c r="L73" s="2">
        <v>0.49659999999999999</v>
      </c>
      <c r="M73" s="2">
        <v>25.4</v>
      </c>
      <c r="N73" s="2">
        <v>26.9</v>
      </c>
      <c r="O73" s="2">
        <v>26.15</v>
      </c>
      <c r="P73" s="2">
        <v>0.1285</v>
      </c>
      <c r="Q73" s="2">
        <v>2.0951390000000001</v>
      </c>
      <c r="R73" s="2">
        <v>3.4000000000000098E-3</v>
      </c>
      <c r="S73" s="2">
        <v>0.203399999999999</v>
      </c>
      <c r="T73" s="3"/>
      <c r="U73" s="2">
        <v>13722</v>
      </c>
      <c r="V73" s="3">
        <v>42642.65625</v>
      </c>
      <c r="W73" s="3">
        <v>42664.354166666664</v>
      </c>
      <c r="X73" s="2">
        <v>2115</v>
      </c>
      <c r="Y73" s="2" t="s">
        <v>96</v>
      </c>
      <c r="Z73" s="2">
        <v>0.69120000000000004</v>
      </c>
      <c r="AA73" s="2">
        <v>53.8</v>
      </c>
      <c r="AB73" s="2">
        <v>55.4</v>
      </c>
      <c r="AC73" s="2">
        <v>54.599999999999902</v>
      </c>
      <c r="AD73" s="2">
        <v>0.15310000000000001</v>
      </c>
      <c r="AE73" s="2">
        <v>1.8484389999999999</v>
      </c>
      <c r="AF73" s="2">
        <v>0.19120000000000001</v>
      </c>
      <c r="AG73" s="2">
        <v>8.7999999999999103E-3</v>
      </c>
      <c r="AI73" s="2">
        <f t="shared" si="1"/>
        <v>12.759097394483138</v>
      </c>
    </row>
    <row r="74" spans="2:35" x14ac:dyDescent="0.15">
      <c r="B74" s="1">
        <v>10.18269756836767</v>
      </c>
      <c r="C74" s="1">
        <v>0</v>
      </c>
      <c r="D74" s="1">
        <v>2174.39</v>
      </c>
      <c r="E74" s="1" t="s">
        <v>72</v>
      </c>
      <c r="G74" s="2">
        <v>13969</v>
      </c>
      <c r="H74" s="3">
        <v>42643.65625</v>
      </c>
      <c r="I74" s="3">
        <v>42664.354166666664</v>
      </c>
      <c r="J74" s="2">
        <v>2170</v>
      </c>
      <c r="K74" s="2" t="s">
        <v>96</v>
      </c>
      <c r="L74" s="2">
        <v>0.5121</v>
      </c>
      <c r="M74" s="2">
        <v>23</v>
      </c>
      <c r="N74" s="2">
        <v>24.2</v>
      </c>
      <c r="O74" s="2">
        <v>23.6</v>
      </c>
      <c r="P74" s="2">
        <v>0.1119</v>
      </c>
      <c r="Q74" s="2">
        <v>2.0622440000000002</v>
      </c>
      <c r="R74" s="2">
        <v>1.21E-2</v>
      </c>
      <c r="S74" s="2">
        <v>0.18789999999999901</v>
      </c>
      <c r="T74" s="3"/>
      <c r="U74" s="2">
        <v>13962</v>
      </c>
      <c r="V74" s="3">
        <v>42643.65625</v>
      </c>
      <c r="W74" s="3">
        <v>42664.354166666664</v>
      </c>
      <c r="X74" s="2">
        <v>2135</v>
      </c>
      <c r="Y74" s="2" t="s">
        <v>96</v>
      </c>
      <c r="Z74" s="2">
        <v>0.70309999999999995</v>
      </c>
      <c r="AA74" s="2">
        <v>48.8</v>
      </c>
      <c r="AB74" s="2">
        <v>49.9</v>
      </c>
      <c r="AC74" s="2">
        <v>49.349999999999902</v>
      </c>
      <c r="AD74" s="2">
        <v>0.13539999999999999</v>
      </c>
      <c r="AE74" s="2">
        <v>1.7884990000000001</v>
      </c>
      <c r="AF74" s="2">
        <v>0.203099999999999</v>
      </c>
      <c r="AG74" s="2">
        <v>3.0999999999999899E-3</v>
      </c>
      <c r="AI74" s="2">
        <f t="shared" si="1"/>
        <v>11.532261106552067</v>
      </c>
    </row>
    <row r="75" spans="2:35" x14ac:dyDescent="0.15">
      <c r="B75" s="1">
        <v>9.9963662107854869</v>
      </c>
      <c r="C75" s="1">
        <v>0</v>
      </c>
      <c r="D75" s="1">
        <v>2162.5300000000002</v>
      </c>
      <c r="E75" s="1" t="s">
        <v>73</v>
      </c>
      <c r="G75" s="2">
        <v>14203</v>
      </c>
      <c r="H75" s="3">
        <v>42646.65625</v>
      </c>
      <c r="I75" s="3">
        <v>42664.354166666664</v>
      </c>
      <c r="J75" s="2">
        <v>2160</v>
      </c>
      <c r="K75" s="2" t="s">
        <v>96</v>
      </c>
      <c r="L75" s="2">
        <v>0.50529999999999997</v>
      </c>
      <c r="M75" s="2">
        <v>22.3</v>
      </c>
      <c r="N75" s="2">
        <v>23.3</v>
      </c>
      <c r="O75" s="2">
        <v>22.8</v>
      </c>
      <c r="P75" s="2">
        <v>0.12</v>
      </c>
      <c r="Q75" s="2">
        <v>1.898525</v>
      </c>
      <c r="R75" s="2">
        <v>5.2999999999999697E-3</v>
      </c>
      <c r="S75" s="2">
        <v>0.19469999999999901</v>
      </c>
      <c r="T75" s="3"/>
      <c r="U75" s="2">
        <v>14196</v>
      </c>
      <c r="V75" s="3">
        <v>42646.65625</v>
      </c>
      <c r="W75" s="3">
        <v>42664.354166666664</v>
      </c>
      <c r="X75" s="2">
        <v>2125</v>
      </c>
      <c r="Y75" s="2" t="s">
        <v>96</v>
      </c>
      <c r="Z75" s="2">
        <v>0.70489999999999997</v>
      </c>
      <c r="AA75" s="2">
        <v>47.2</v>
      </c>
      <c r="AB75" s="2">
        <v>48.3</v>
      </c>
      <c r="AC75" s="2">
        <v>47.75</v>
      </c>
      <c r="AD75" s="2">
        <v>0.1416</v>
      </c>
      <c r="AE75" s="2">
        <v>1.6414310000000001</v>
      </c>
      <c r="AF75" s="2">
        <v>0.204899999999999</v>
      </c>
      <c r="AG75" s="2">
        <v>4.9000000000000103E-3</v>
      </c>
      <c r="AI75" s="2">
        <f t="shared" si="1"/>
        <v>11.15836814261119</v>
      </c>
    </row>
    <row r="76" spans="2:35" x14ac:dyDescent="0.15">
      <c r="B76" s="1">
        <v>9.9243202865520761</v>
      </c>
      <c r="C76" s="1">
        <v>0</v>
      </c>
      <c r="D76" s="1">
        <v>2152.15</v>
      </c>
      <c r="E76" s="1" t="s">
        <v>74</v>
      </c>
      <c r="G76" s="2">
        <v>14437</v>
      </c>
      <c r="H76" s="3">
        <v>42647.65625</v>
      </c>
      <c r="I76" s="3">
        <v>42664.354166666664</v>
      </c>
      <c r="J76" s="2">
        <v>2150</v>
      </c>
      <c r="K76" s="2" t="s">
        <v>96</v>
      </c>
      <c r="L76" s="2">
        <v>0.50480000000000003</v>
      </c>
      <c r="M76" s="2">
        <v>22.4</v>
      </c>
      <c r="N76" s="2">
        <v>23.5</v>
      </c>
      <c r="O76" s="2">
        <v>22.95</v>
      </c>
      <c r="P76" s="2">
        <v>0.12509999999999999</v>
      </c>
      <c r="Q76" s="2">
        <v>1.83572</v>
      </c>
      <c r="R76" s="2">
        <v>4.8000000000000204E-3</v>
      </c>
      <c r="S76" s="2">
        <v>0.19519999999999901</v>
      </c>
      <c r="T76" s="3"/>
      <c r="U76" s="2">
        <v>14430</v>
      </c>
      <c r="V76" s="3">
        <v>42647.65625</v>
      </c>
      <c r="W76" s="3">
        <v>42664.354166666664</v>
      </c>
      <c r="X76" s="2">
        <v>2115</v>
      </c>
      <c r="Y76" s="2" t="s">
        <v>96</v>
      </c>
      <c r="Z76" s="2">
        <v>0.70640000000000003</v>
      </c>
      <c r="AA76" s="2">
        <v>46.9</v>
      </c>
      <c r="AB76" s="2">
        <v>48</v>
      </c>
      <c r="AC76" s="2">
        <v>47.45</v>
      </c>
      <c r="AD76" s="2">
        <v>0.1449</v>
      </c>
      <c r="AE76" s="2">
        <v>1.583324</v>
      </c>
      <c r="AF76" s="2">
        <v>0.2064</v>
      </c>
      <c r="AG76" s="2">
        <v>6.4000000000000697E-3</v>
      </c>
      <c r="AI76" s="2">
        <f t="shared" si="1"/>
        <v>11.08826321187227</v>
      </c>
    </row>
    <row r="77" spans="2:35" x14ac:dyDescent="0.15">
      <c r="B77" s="1">
        <v>8.8047969773693602</v>
      </c>
      <c r="C77" s="1">
        <v>0</v>
      </c>
      <c r="D77" s="1">
        <v>2160.75</v>
      </c>
      <c r="E77" s="1" t="s">
        <v>75</v>
      </c>
      <c r="G77" s="2">
        <v>14675</v>
      </c>
      <c r="H77" s="3">
        <v>42648.65625</v>
      </c>
      <c r="I77" s="3">
        <v>42664.354166666664</v>
      </c>
      <c r="J77" s="2">
        <v>2160</v>
      </c>
      <c r="K77" s="2" t="s">
        <v>96</v>
      </c>
      <c r="L77" s="2">
        <v>0.49669999999999997</v>
      </c>
      <c r="M77" s="2">
        <v>19.600000000000001</v>
      </c>
      <c r="N77" s="2">
        <v>20.6</v>
      </c>
      <c r="O77" s="2">
        <v>20.100000000000001</v>
      </c>
      <c r="P77" s="2">
        <v>0.1152</v>
      </c>
      <c r="Q77" s="2">
        <v>1.787655</v>
      </c>
      <c r="R77" s="2">
        <v>3.3000000000000199E-3</v>
      </c>
      <c r="S77" s="2">
        <v>0.20329999999999901</v>
      </c>
      <c r="T77" s="3"/>
      <c r="U77" s="2">
        <v>14669</v>
      </c>
      <c r="V77" s="3">
        <v>42648.65625</v>
      </c>
      <c r="W77" s="3">
        <v>42664.354166666664</v>
      </c>
      <c r="X77" s="2">
        <v>2130</v>
      </c>
      <c r="Y77" s="2" t="s">
        <v>96</v>
      </c>
      <c r="Z77" s="2">
        <v>0.69079999999999997</v>
      </c>
      <c r="AA77" s="2">
        <v>40.4</v>
      </c>
      <c r="AB77" s="2">
        <v>41.7</v>
      </c>
      <c r="AC77" s="2">
        <v>41.05</v>
      </c>
      <c r="AD77" s="2">
        <v>0.1341</v>
      </c>
      <c r="AE77" s="2">
        <v>1.578387</v>
      </c>
      <c r="AF77" s="2">
        <v>0.190799999999999</v>
      </c>
      <c r="AG77" s="2">
        <v>9.1999999999999808E-3</v>
      </c>
      <c r="AI77" s="2">
        <f t="shared" si="1"/>
        <v>9.5926913561086771</v>
      </c>
    </row>
    <row r="78" spans="2:35" x14ac:dyDescent="0.15">
      <c r="B78" s="1">
        <v>8.2393295100617454</v>
      </c>
      <c r="C78" s="1">
        <v>0</v>
      </c>
      <c r="D78" s="1">
        <v>2161.04</v>
      </c>
      <c r="E78" s="1" t="s">
        <v>76</v>
      </c>
      <c r="G78" s="2">
        <v>14911</v>
      </c>
      <c r="H78" s="3">
        <v>42649.65625</v>
      </c>
      <c r="I78" s="3">
        <v>42664.354166666664</v>
      </c>
      <c r="J78" s="2">
        <v>2160</v>
      </c>
      <c r="K78" s="2" t="s">
        <v>96</v>
      </c>
      <c r="L78" s="2">
        <v>0.49959999999999999</v>
      </c>
      <c r="M78" s="2">
        <v>18.2</v>
      </c>
      <c r="N78" s="2">
        <v>19.399999999999999</v>
      </c>
      <c r="O78" s="2">
        <v>18.799999999999901</v>
      </c>
      <c r="P78" s="2">
        <v>0.11020000000000001</v>
      </c>
      <c r="Q78" s="2">
        <v>1.730418</v>
      </c>
      <c r="R78" s="2">
        <v>4.0000000000001102E-4</v>
      </c>
      <c r="S78" s="2">
        <v>0.200399999999999</v>
      </c>
      <c r="T78" s="3"/>
      <c r="U78" s="2">
        <v>14905</v>
      </c>
      <c r="V78" s="3">
        <v>42649.65625</v>
      </c>
      <c r="W78" s="3">
        <v>42664.354166666664</v>
      </c>
      <c r="X78" s="2">
        <v>2130</v>
      </c>
      <c r="Y78" s="2" t="s">
        <v>96</v>
      </c>
      <c r="Z78" s="2">
        <v>0.70620000000000005</v>
      </c>
      <c r="AA78" s="2">
        <v>39.200000000000003</v>
      </c>
      <c r="AB78" s="2">
        <v>40.6</v>
      </c>
      <c r="AC78" s="2">
        <v>39.9</v>
      </c>
      <c r="AD78" s="2">
        <v>0.1288</v>
      </c>
      <c r="AE78" s="2">
        <v>1.492915</v>
      </c>
      <c r="AF78" s="2">
        <v>0.20619999999999999</v>
      </c>
      <c r="AG78" s="2">
        <v>6.20000000000009E-3</v>
      </c>
      <c r="AI78" s="2">
        <f t="shared" si="1"/>
        <v>9.3239557882761552</v>
      </c>
    </row>
    <row r="79" spans="2:35" x14ac:dyDescent="0.15">
      <c r="B79" s="1">
        <v>7.9033181782851809</v>
      </c>
      <c r="C79" s="1">
        <v>0</v>
      </c>
      <c r="D79" s="1">
        <v>2154.96</v>
      </c>
      <c r="E79" s="1" t="s">
        <v>77</v>
      </c>
      <c r="G79" s="2">
        <v>15146</v>
      </c>
      <c r="H79" s="3">
        <v>42650.65625</v>
      </c>
      <c r="I79" s="3">
        <v>42664.354166666664</v>
      </c>
      <c r="J79" s="2">
        <v>2155</v>
      </c>
      <c r="K79" s="2" t="s">
        <v>96</v>
      </c>
      <c r="L79" s="2">
        <v>0.49170000000000003</v>
      </c>
      <c r="M79" s="2">
        <v>17.3</v>
      </c>
      <c r="N79" s="2">
        <v>18.100000000000001</v>
      </c>
      <c r="O79" s="2">
        <v>17.7</v>
      </c>
      <c r="P79" s="2">
        <v>0.1104</v>
      </c>
      <c r="Q79" s="2">
        <v>1.6658500000000001</v>
      </c>
      <c r="R79" s="2">
        <v>8.2999999999999706E-3</v>
      </c>
      <c r="S79" s="2">
        <v>0.20829999999999901</v>
      </c>
      <c r="T79" s="3"/>
      <c r="U79" s="2">
        <v>15140</v>
      </c>
      <c r="V79" s="3">
        <v>42650.65625</v>
      </c>
      <c r="W79" s="3">
        <v>42664.354166666664</v>
      </c>
      <c r="X79" s="2">
        <v>2125</v>
      </c>
      <c r="Y79" s="2" t="s">
        <v>96</v>
      </c>
      <c r="Z79" s="2">
        <v>0.70479999999999998</v>
      </c>
      <c r="AA79" s="2">
        <v>38.4</v>
      </c>
      <c r="AB79" s="2">
        <v>39.299999999999997</v>
      </c>
      <c r="AC79" s="2">
        <v>38.849999999999902</v>
      </c>
      <c r="AD79" s="2">
        <v>0.13070000000000001</v>
      </c>
      <c r="AE79" s="2">
        <v>1.440739</v>
      </c>
      <c r="AF79" s="2">
        <v>0.20479999999999901</v>
      </c>
      <c r="AG79" s="2">
        <v>4.8000000000000204E-3</v>
      </c>
      <c r="AI79" s="2">
        <f t="shared" si="1"/>
        <v>9.0785885306899186</v>
      </c>
    </row>
    <row r="80" spans="2:35" x14ac:dyDescent="0.15">
      <c r="B80" s="1">
        <v>6.4963921314757744</v>
      </c>
      <c r="C80" s="1">
        <v>0</v>
      </c>
      <c r="D80" s="1">
        <v>2163.67</v>
      </c>
      <c r="E80" s="1" t="s">
        <v>78</v>
      </c>
      <c r="G80" s="2">
        <v>15384</v>
      </c>
      <c r="H80" s="3">
        <v>42653.65625</v>
      </c>
      <c r="I80" s="3">
        <v>42664.354166666664</v>
      </c>
      <c r="J80" s="2">
        <v>2165</v>
      </c>
      <c r="K80" s="2" t="s">
        <v>96</v>
      </c>
      <c r="L80" s="2">
        <v>0.4748</v>
      </c>
      <c r="M80" s="2">
        <v>13</v>
      </c>
      <c r="N80" s="2">
        <v>13.8</v>
      </c>
      <c r="O80" s="2">
        <v>13.4</v>
      </c>
      <c r="P80" s="2">
        <v>9.9199999999999997E-2</v>
      </c>
      <c r="Q80" s="2">
        <v>1.476335</v>
      </c>
      <c r="R80" s="2">
        <v>2.52E-2</v>
      </c>
      <c r="S80" s="2">
        <v>0.22519999999999901</v>
      </c>
      <c r="T80" s="3"/>
      <c r="U80" s="2">
        <v>15379</v>
      </c>
      <c r="V80" s="3">
        <v>42653.65625</v>
      </c>
      <c r="W80" s="3">
        <v>42664.354166666664</v>
      </c>
      <c r="X80" s="2">
        <v>2140</v>
      </c>
      <c r="Y80" s="2" t="s">
        <v>96</v>
      </c>
      <c r="Z80" s="2">
        <v>0.70120000000000005</v>
      </c>
      <c r="AA80" s="2">
        <v>30.2</v>
      </c>
      <c r="AB80" s="2">
        <v>31.1</v>
      </c>
      <c r="AC80" s="2">
        <v>30.65</v>
      </c>
      <c r="AD80" s="2">
        <v>0.1169</v>
      </c>
      <c r="AE80" s="2">
        <v>1.286349</v>
      </c>
      <c r="AF80" s="2">
        <v>0.20119999999999999</v>
      </c>
      <c r="AG80" s="2">
        <v>1.2000000000000799E-3</v>
      </c>
      <c r="AI80" s="2">
        <f t="shared" si="1"/>
        <v>7.1623870904928371</v>
      </c>
    </row>
    <row r="81" spans="2:35" x14ac:dyDescent="0.15">
      <c r="B81" s="1">
        <v>7.812685286805805</v>
      </c>
      <c r="C81" s="1">
        <v>0</v>
      </c>
      <c r="D81" s="1">
        <v>2136.8000000000002</v>
      </c>
      <c r="E81" s="1" t="s">
        <v>79</v>
      </c>
      <c r="G81" s="2">
        <v>15614</v>
      </c>
      <c r="H81" s="3">
        <v>42654.65625</v>
      </c>
      <c r="I81" s="3">
        <v>42664.354166666664</v>
      </c>
      <c r="J81" s="2">
        <v>2135</v>
      </c>
      <c r="K81" s="2" t="s">
        <v>96</v>
      </c>
      <c r="L81" s="2">
        <v>0.50800000000000001</v>
      </c>
      <c r="M81" s="2">
        <v>18.100000000000001</v>
      </c>
      <c r="N81" s="2">
        <v>19.3</v>
      </c>
      <c r="O81" s="2">
        <v>18.7</v>
      </c>
      <c r="P81" s="2">
        <v>0.1328</v>
      </c>
      <c r="Q81" s="2">
        <v>1.390914</v>
      </c>
      <c r="R81" s="2">
        <v>8.0000000000000002E-3</v>
      </c>
      <c r="S81" s="2">
        <v>0.191999999999999</v>
      </c>
      <c r="T81" s="3"/>
      <c r="U81" s="2">
        <v>15609</v>
      </c>
      <c r="V81" s="3">
        <v>42654.65625</v>
      </c>
      <c r="W81" s="3">
        <v>42664.354166666664</v>
      </c>
      <c r="X81" s="2">
        <v>2110</v>
      </c>
      <c r="Y81" s="2" t="s">
        <v>96</v>
      </c>
      <c r="Z81" s="2">
        <v>0.69410000000000005</v>
      </c>
      <c r="AA81" s="2">
        <v>35</v>
      </c>
      <c r="AB81" s="2">
        <v>36.299999999999997</v>
      </c>
      <c r="AC81" s="2">
        <v>35.65</v>
      </c>
      <c r="AD81" s="2">
        <v>0.14799999999999999</v>
      </c>
      <c r="AE81" s="2">
        <v>1.2228000000000001</v>
      </c>
      <c r="AF81" s="2">
        <v>0.19409999999999999</v>
      </c>
      <c r="AG81" s="2">
        <v>5.8999999999999001E-3</v>
      </c>
      <c r="AI81" s="2">
        <f t="shared" si="1"/>
        <v>8.330802602808145</v>
      </c>
    </row>
    <row r="82" spans="2:35" x14ac:dyDescent="0.15">
      <c r="B82" s="1">
        <v>7.0001780967867075</v>
      </c>
      <c r="C82" s="1">
        <v>0</v>
      </c>
      <c r="D82" s="1">
        <v>2140.63</v>
      </c>
      <c r="E82" s="1" t="s">
        <v>80</v>
      </c>
      <c r="G82" s="2">
        <v>15851</v>
      </c>
      <c r="H82" s="3">
        <v>42655.65625</v>
      </c>
      <c r="I82" s="3">
        <v>42664.354166666664</v>
      </c>
      <c r="J82" s="2">
        <v>2140</v>
      </c>
      <c r="K82" s="2" t="s">
        <v>96</v>
      </c>
      <c r="L82" s="2">
        <v>0.50060000000000004</v>
      </c>
      <c r="M82" s="2">
        <v>16.100000000000001</v>
      </c>
      <c r="N82" s="2">
        <v>17</v>
      </c>
      <c r="O82" s="2">
        <v>16.55</v>
      </c>
      <c r="P82" s="2">
        <v>0.12659999999999999</v>
      </c>
      <c r="Q82" s="2">
        <v>1.3204929999999999</v>
      </c>
      <c r="R82" s="2">
        <v>6.0000000000004397E-4</v>
      </c>
      <c r="S82" s="2">
        <v>0.19939999999999899</v>
      </c>
      <c r="T82" s="3"/>
      <c r="U82" s="2">
        <v>15846</v>
      </c>
      <c r="V82" s="3">
        <v>42655.65625</v>
      </c>
      <c r="W82" s="3">
        <v>42664.354166666664</v>
      </c>
      <c r="X82" s="2">
        <v>2115</v>
      </c>
      <c r="Y82" s="2" t="s">
        <v>96</v>
      </c>
      <c r="Z82" s="2">
        <v>0.70430000000000004</v>
      </c>
      <c r="AA82" s="2">
        <v>33</v>
      </c>
      <c r="AB82" s="2">
        <v>34.1</v>
      </c>
      <c r="AC82" s="2">
        <v>33.549999999999997</v>
      </c>
      <c r="AD82" s="2">
        <v>0.1424</v>
      </c>
      <c r="AE82" s="2">
        <v>1.143019</v>
      </c>
      <c r="AF82" s="2">
        <v>0.20430000000000001</v>
      </c>
      <c r="AG82" s="2">
        <v>4.3000000000000798E-3</v>
      </c>
      <c r="AI82" s="2">
        <f t="shared" si="1"/>
        <v>7.8400680876357152</v>
      </c>
    </row>
    <row r="83" spans="2:35" x14ac:dyDescent="0.15">
      <c r="B83" s="1">
        <v>7.0147909450955694</v>
      </c>
      <c r="C83" s="1">
        <v>0</v>
      </c>
      <c r="D83" s="1">
        <v>2134.42</v>
      </c>
      <c r="E83" s="1" t="s">
        <v>81</v>
      </c>
      <c r="G83" s="2">
        <v>16086</v>
      </c>
      <c r="H83" s="3">
        <v>42656.65625</v>
      </c>
      <c r="I83" s="3">
        <v>42664.354166666664</v>
      </c>
      <c r="J83" s="2">
        <v>2135</v>
      </c>
      <c r="K83" s="2" t="s">
        <v>96</v>
      </c>
      <c r="L83" s="2">
        <v>0.49170000000000003</v>
      </c>
      <c r="M83" s="2">
        <v>15.2</v>
      </c>
      <c r="N83" s="2">
        <v>16</v>
      </c>
      <c r="O83" s="2">
        <v>15.6</v>
      </c>
      <c r="P83" s="2">
        <v>0.13070000000000001</v>
      </c>
      <c r="Q83" s="2">
        <v>1.2390159999999999</v>
      </c>
      <c r="R83" s="2">
        <v>8.2999999999999706E-3</v>
      </c>
      <c r="S83" s="2">
        <v>0.20829999999999901</v>
      </c>
      <c r="T83" s="3"/>
      <c r="U83" s="2">
        <v>16081</v>
      </c>
      <c r="V83" s="3">
        <v>42656.65625</v>
      </c>
      <c r="W83" s="3">
        <v>42664.354166666664</v>
      </c>
      <c r="X83" s="2">
        <v>2110</v>
      </c>
      <c r="Y83" s="2" t="s">
        <v>96</v>
      </c>
      <c r="Z83" s="2">
        <v>0.70530000000000004</v>
      </c>
      <c r="AA83" s="2">
        <v>31.8</v>
      </c>
      <c r="AB83" s="2">
        <v>32.700000000000003</v>
      </c>
      <c r="AC83" s="2">
        <v>32.25</v>
      </c>
      <c r="AD83" s="2">
        <v>0.14530000000000001</v>
      </c>
      <c r="AE83" s="2">
        <v>1.071016</v>
      </c>
      <c r="AF83" s="2">
        <v>0.20530000000000001</v>
      </c>
      <c r="AG83" s="2">
        <v>5.3000000000000798E-3</v>
      </c>
      <c r="AI83" s="2">
        <f t="shared" si="1"/>
        <v>7.5362800544337354</v>
      </c>
    </row>
    <row r="84" spans="2:35" x14ac:dyDescent="0.15">
      <c r="B84" s="1">
        <v>5.7749724889924963</v>
      </c>
      <c r="C84" s="1">
        <v>0</v>
      </c>
      <c r="D84" s="1">
        <v>2137.79</v>
      </c>
      <c r="E84" s="1" t="s">
        <v>82</v>
      </c>
      <c r="G84" s="2">
        <v>16323</v>
      </c>
      <c r="H84" s="3">
        <v>42657.65625</v>
      </c>
      <c r="I84" s="3">
        <v>42664.354166666664</v>
      </c>
      <c r="J84" s="2">
        <v>2140</v>
      </c>
      <c r="K84" s="2" t="s">
        <v>96</v>
      </c>
      <c r="L84" s="2">
        <v>0.4758</v>
      </c>
      <c r="M84" s="2">
        <v>11.8</v>
      </c>
      <c r="N84" s="2">
        <v>12.8</v>
      </c>
      <c r="O84" s="2">
        <v>12.3</v>
      </c>
      <c r="P84" s="2">
        <v>0.1158</v>
      </c>
      <c r="Q84" s="2">
        <v>1.156487</v>
      </c>
      <c r="R84" s="2">
        <v>2.4199999999999999E-2</v>
      </c>
      <c r="S84" s="2">
        <v>0.22419999999999901</v>
      </c>
      <c r="T84" s="3"/>
      <c r="U84" s="2">
        <v>16319</v>
      </c>
      <c r="V84" s="3">
        <v>42657.65625</v>
      </c>
      <c r="W84" s="3">
        <v>42664.354166666664</v>
      </c>
      <c r="X84" s="2">
        <v>2120</v>
      </c>
      <c r="Y84" s="2" t="s">
        <v>96</v>
      </c>
      <c r="Z84" s="2">
        <v>0.68320000000000003</v>
      </c>
      <c r="AA84" s="2">
        <v>24.7</v>
      </c>
      <c r="AB84" s="2">
        <v>26.4</v>
      </c>
      <c r="AC84" s="2">
        <v>25.549999999999901</v>
      </c>
      <c r="AD84" s="2">
        <v>0.13070000000000001</v>
      </c>
      <c r="AE84" s="2">
        <v>1.0340119999999999</v>
      </c>
      <c r="AF84" s="2">
        <v>0.1832</v>
      </c>
      <c r="AG84" s="2">
        <v>1.6799999999999898E-2</v>
      </c>
      <c r="AI84" s="2">
        <f t="shared" si="1"/>
        <v>5.9706032679312004</v>
      </c>
    </row>
    <row r="85" spans="2:35" x14ac:dyDescent="0.15">
      <c r="B85" s="1">
        <v>5.1508296135797913</v>
      </c>
      <c r="C85" s="1">
        <v>0</v>
      </c>
      <c r="D85" s="1">
        <v>2126.5</v>
      </c>
      <c r="E85" s="1" t="s">
        <v>83</v>
      </c>
      <c r="G85" s="2">
        <v>16556</v>
      </c>
      <c r="H85" s="3">
        <v>42660.65625</v>
      </c>
      <c r="I85" s="3">
        <v>42664.354166666664</v>
      </c>
      <c r="J85" s="2">
        <v>2125</v>
      </c>
      <c r="K85" s="2" t="s">
        <v>96</v>
      </c>
      <c r="L85" s="2">
        <v>0.52249999999999996</v>
      </c>
      <c r="M85" s="2">
        <v>12.4</v>
      </c>
      <c r="N85" s="2">
        <v>13.4</v>
      </c>
      <c r="O85" s="2">
        <v>12.9</v>
      </c>
      <c r="P85" s="2">
        <v>0.157</v>
      </c>
      <c r="Q85" s="2">
        <v>77.186000000000007</v>
      </c>
      <c r="R85" s="2">
        <v>2.2499999999999899E-2</v>
      </c>
      <c r="S85" s="2">
        <v>0.17749999999999999</v>
      </c>
      <c r="T85" s="3"/>
      <c r="U85" s="2">
        <v>16553</v>
      </c>
      <c r="V85" s="3">
        <v>42660.65625</v>
      </c>
      <c r="W85" s="3">
        <v>42664.354166666664</v>
      </c>
      <c r="X85" s="2">
        <v>2110</v>
      </c>
      <c r="Y85" s="2" t="s">
        <v>96</v>
      </c>
      <c r="Z85" s="2">
        <v>0.69730000000000003</v>
      </c>
      <c r="AA85" s="2">
        <v>22.2</v>
      </c>
      <c r="AB85" s="2">
        <v>24</v>
      </c>
      <c r="AC85" s="2">
        <v>23.1</v>
      </c>
      <c r="AD85" s="2">
        <v>0.17</v>
      </c>
      <c r="AE85" s="2">
        <v>67.654899999999998</v>
      </c>
      <c r="AF85" s="2">
        <v>0.1973</v>
      </c>
      <c r="AG85" s="2">
        <v>2.6999999999999199E-3</v>
      </c>
      <c r="AI85" s="2">
        <f t="shared" si="1"/>
        <v>5.3980796668967228</v>
      </c>
    </row>
    <row r="86" spans="2:35" x14ac:dyDescent="0.15">
      <c r="B86" s="1">
        <v>3.7584150647167704</v>
      </c>
      <c r="C86" s="1">
        <v>0</v>
      </c>
      <c r="D86" s="1">
        <v>2139.6999999999998</v>
      </c>
      <c r="E86" s="1" t="s">
        <v>84</v>
      </c>
      <c r="G86" s="2">
        <v>16795</v>
      </c>
      <c r="H86" s="3">
        <v>42661.65625</v>
      </c>
      <c r="I86" s="3">
        <v>42664.354166666664</v>
      </c>
      <c r="J86" s="2">
        <v>2140</v>
      </c>
      <c r="K86" s="2" t="s">
        <v>96</v>
      </c>
      <c r="L86" s="2">
        <v>0.4965</v>
      </c>
      <c r="M86" s="2">
        <v>7.9</v>
      </c>
      <c r="N86" s="2">
        <v>9.1</v>
      </c>
      <c r="O86" s="2">
        <v>8.5</v>
      </c>
      <c r="P86" s="2">
        <v>0.1358</v>
      </c>
      <c r="Q86" s="2">
        <v>63.676000000000002</v>
      </c>
      <c r="R86" s="2">
        <v>3.5000000000000001E-3</v>
      </c>
      <c r="S86" s="2">
        <v>0.20349999999999899</v>
      </c>
      <c r="T86" s="3"/>
      <c r="U86" s="2">
        <v>16793</v>
      </c>
      <c r="V86" s="3">
        <v>42661.65625</v>
      </c>
      <c r="W86" s="3">
        <v>42664.354166666664</v>
      </c>
      <c r="X86" s="2">
        <v>2130</v>
      </c>
      <c r="Y86" s="2" t="s">
        <v>96</v>
      </c>
      <c r="Z86" s="2">
        <v>0.66969999999999996</v>
      </c>
      <c r="AA86" s="2">
        <v>14.3</v>
      </c>
      <c r="AB86" s="2">
        <v>15.8</v>
      </c>
      <c r="AC86" s="2">
        <v>15.05</v>
      </c>
      <c r="AD86" s="2">
        <v>0.1447</v>
      </c>
      <c r="AE86" s="2">
        <v>57.832000000000001</v>
      </c>
      <c r="AF86" s="2">
        <v>0.16969999999999899</v>
      </c>
      <c r="AG86" s="2">
        <v>3.02999999999999E-2</v>
      </c>
      <c r="AI86" s="2">
        <f t="shared" si="1"/>
        <v>3.5169306920690766</v>
      </c>
    </row>
    <row r="87" spans="2:35" x14ac:dyDescent="0.15">
      <c r="B87" s="1">
        <v>2.9396783983881973</v>
      </c>
      <c r="C87" s="1">
        <v>0</v>
      </c>
      <c r="D87" s="1">
        <v>2146.35</v>
      </c>
      <c r="E87" s="1" t="s">
        <v>85</v>
      </c>
      <c r="G87" s="2">
        <v>17032</v>
      </c>
      <c r="H87" s="3">
        <v>42662.65625</v>
      </c>
      <c r="I87" s="3">
        <v>42664.354166666664</v>
      </c>
      <c r="J87" s="2">
        <v>2145</v>
      </c>
      <c r="K87" s="2" t="s">
        <v>96</v>
      </c>
      <c r="L87" s="2">
        <v>0.53449999999999998</v>
      </c>
      <c r="M87" s="2">
        <v>6.4</v>
      </c>
      <c r="N87" s="2">
        <v>8</v>
      </c>
      <c r="O87" s="2">
        <v>7.2</v>
      </c>
      <c r="P87" s="2">
        <v>0.1429</v>
      </c>
      <c r="Q87" s="2">
        <v>45.343400000000003</v>
      </c>
      <c r="R87" s="2">
        <v>3.4499999999999899E-2</v>
      </c>
      <c r="S87" s="2">
        <v>0.16549999999999901</v>
      </c>
      <c r="T87" s="3"/>
      <c r="U87" s="2">
        <v>17030</v>
      </c>
      <c r="V87" s="3">
        <v>42662.65625</v>
      </c>
      <c r="W87" s="3">
        <v>42664.354166666664</v>
      </c>
      <c r="X87" s="2">
        <v>2135</v>
      </c>
      <c r="Y87" s="2" t="s">
        <v>96</v>
      </c>
      <c r="Z87" s="2">
        <v>0.73380000000000001</v>
      </c>
      <c r="AA87" s="2">
        <v>13.2</v>
      </c>
      <c r="AB87" s="2">
        <v>15.6</v>
      </c>
      <c r="AC87" s="2">
        <v>14.399999999999901</v>
      </c>
      <c r="AD87" s="2">
        <v>0.1615</v>
      </c>
      <c r="AE87" s="2">
        <v>37.451799999999999</v>
      </c>
      <c r="AF87" s="2">
        <v>0.23380000000000001</v>
      </c>
      <c r="AG87" s="2">
        <v>3.3799999999999997E-2</v>
      </c>
      <c r="AI87" s="2">
        <f t="shared" si="1"/>
        <v>3.3650366754680636</v>
      </c>
    </row>
    <row r="88" spans="2:35" x14ac:dyDescent="0.15">
      <c r="B88" s="1">
        <v>1.9504719342108949</v>
      </c>
      <c r="C88" s="1">
        <v>0</v>
      </c>
      <c r="D88" s="1">
        <v>2140.7750000000001</v>
      </c>
      <c r="E88" s="1" t="s">
        <v>86</v>
      </c>
      <c r="G88" s="2">
        <v>17267</v>
      </c>
      <c r="H88" s="3">
        <v>42663.65625</v>
      </c>
      <c r="I88" s="3">
        <v>42664.354166666664</v>
      </c>
      <c r="J88" s="2">
        <v>2140</v>
      </c>
      <c r="K88" s="2" t="s">
        <v>96</v>
      </c>
      <c r="L88" s="2">
        <v>0.53549999999999998</v>
      </c>
      <c r="M88" s="2">
        <v>3.1</v>
      </c>
      <c r="N88" s="2">
        <v>4.8</v>
      </c>
      <c r="O88" s="2">
        <v>3.95</v>
      </c>
      <c r="P88" s="2">
        <v>0.44919999999999999</v>
      </c>
      <c r="Q88" s="2">
        <v>7.8710000000000004</v>
      </c>
      <c r="R88" s="2">
        <v>3.54999999999999E-2</v>
      </c>
      <c r="S88" s="2">
        <v>0.16449999999999901</v>
      </c>
      <c r="T88" s="3"/>
      <c r="U88" s="2">
        <v>17266</v>
      </c>
      <c r="V88" s="3">
        <v>42663.65625</v>
      </c>
      <c r="W88" s="3">
        <v>42664.354166666664</v>
      </c>
      <c r="X88" s="2">
        <v>2135</v>
      </c>
      <c r="Y88" s="2" t="s">
        <v>96</v>
      </c>
      <c r="Z88" s="2">
        <v>0.71460000000000001</v>
      </c>
      <c r="AA88" s="2">
        <v>6.7</v>
      </c>
      <c r="AB88" s="2">
        <v>8.9</v>
      </c>
      <c r="AC88" s="2">
        <v>7.8</v>
      </c>
      <c r="AD88" s="2">
        <v>0.53059999999999996</v>
      </c>
      <c r="AE88" s="2">
        <v>6.7297000000000002</v>
      </c>
      <c r="AF88" s="2">
        <v>0.21460000000000001</v>
      </c>
      <c r="AG88" s="2">
        <v>1.46E-2</v>
      </c>
      <c r="AI88" s="2">
        <f t="shared" si="1"/>
        <v>1.82272819921188</v>
      </c>
    </row>
    <row r="89" spans="2:35" x14ac:dyDescent="0.15">
      <c r="G89" s="2">
        <v>17324</v>
      </c>
      <c r="H89" s="3">
        <v>42664.65625</v>
      </c>
      <c r="I89" s="3">
        <v>42664.354166666664</v>
      </c>
      <c r="J89" s="2">
        <v>300</v>
      </c>
      <c r="K89" s="2" t="s">
        <v>96</v>
      </c>
      <c r="L89" s="2">
        <v>0</v>
      </c>
      <c r="M89" s="2">
        <v>0</v>
      </c>
      <c r="N89" s="2">
        <v>0</v>
      </c>
      <c r="O89" s="2">
        <v>0</v>
      </c>
      <c r="P89" s="2">
        <v>0</v>
      </c>
      <c r="Q89" s="2">
        <v>0</v>
      </c>
      <c r="R89" s="2">
        <v>0.5</v>
      </c>
      <c r="S89" s="2">
        <v>0.7</v>
      </c>
      <c r="T89" s="3"/>
      <c r="U89" s="2">
        <v>17324</v>
      </c>
      <c r="V89" s="3">
        <v>42664.65625</v>
      </c>
      <c r="W89" s="3">
        <v>42664.354166666664</v>
      </c>
      <c r="X89" s="2">
        <v>300</v>
      </c>
      <c r="Y89" s="2" t="s">
        <v>96</v>
      </c>
      <c r="Z89" s="2">
        <v>0</v>
      </c>
      <c r="AA89" s="2">
        <v>0</v>
      </c>
      <c r="AB89" s="2">
        <v>0</v>
      </c>
      <c r="AC89" s="2">
        <v>0</v>
      </c>
      <c r="AD89" s="2">
        <v>0</v>
      </c>
      <c r="AE89" s="2">
        <v>0</v>
      </c>
      <c r="AF89" s="2">
        <v>0.5</v>
      </c>
      <c r="AG89" s="2">
        <v>0.7</v>
      </c>
      <c r="AI89" s="2">
        <f t="shared" si="1"/>
        <v>0</v>
      </c>
    </row>
  </sheetData>
  <printOptions horizontalCentered="1"/>
  <pageMargins left="0.3" right="0.3" top="0.61" bottom="0.37" header="0.1" footer="0.1"/>
  <pageSetup paperSize="9" pageOrder="overThenDown" orientation="portrait" useFirstPageNumber="1" horizontalDpi="300" verticalDpi="300"/>
  <headerFooter>
    <oddHeader>&amp;P</oddHeader>
    <oddFooter>&amp;F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D9:J45"/>
  <sheetViews>
    <sheetView tabSelected="1" topLeftCell="A8" workbookViewId="0">
      <selection activeCell="H44" sqref="H44"/>
    </sheetView>
  </sheetViews>
  <sheetFormatPr baseColWidth="10" defaultRowHeight="13" x14ac:dyDescent="0.15"/>
  <sheetData>
    <row r="9" spans="8:10" x14ac:dyDescent="0.15">
      <c r="I9" t="s">
        <v>103</v>
      </c>
    </row>
    <row r="11" spans="8:10" x14ac:dyDescent="0.15">
      <c r="H11">
        <v>40</v>
      </c>
      <c r="I11">
        <v>14.92</v>
      </c>
      <c r="J11">
        <f>H11-I11</f>
        <v>25.08</v>
      </c>
    </row>
    <row r="12" spans="8:10" x14ac:dyDescent="0.15">
      <c r="H12">
        <v>20</v>
      </c>
      <c r="I12" s="2">
        <v>14.92</v>
      </c>
      <c r="J12" s="2">
        <f>I12-H12</f>
        <v>-5.08</v>
      </c>
    </row>
    <row r="13" spans="8:10" x14ac:dyDescent="0.15">
      <c r="J13" s="5">
        <f>J12*1000</f>
        <v>-5080</v>
      </c>
    </row>
    <row r="22" spans="8:10" x14ac:dyDescent="0.15">
      <c r="H22" t="s">
        <v>104</v>
      </c>
      <c r="I22">
        <v>170</v>
      </c>
      <c r="J22" s="5">
        <f>I22*100</f>
        <v>17000</v>
      </c>
    </row>
    <row r="23" spans="8:10" x14ac:dyDescent="0.15">
      <c r="H23" t="s">
        <v>105</v>
      </c>
      <c r="I23">
        <v>61.95</v>
      </c>
      <c r="J23">
        <f>I23*100</f>
        <v>6195</v>
      </c>
    </row>
    <row r="24" spans="8:10" x14ac:dyDescent="0.15">
      <c r="J24" s="5">
        <f>J22-J23</f>
        <v>10805</v>
      </c>
    </row>
    <row r="42" spans="4:8" x14ac:dyDescent="0.15">
      <c r="D42" s="5"/>
    </row>
    <row r="43" spans="4:8" x14ac:dyDescent="0.15">
      <c r="D43" s="5"/>
      <c r="H43" t="s">
        <v>107</v>
      </c>
    </row>
    <row r="44" spans="4:8" x14ac:dyDescent="0.15">
      <c r="D44" s="5"/>
    </row>
    <row r="45" spans="4:8" x14ac:dyDescent="0.15">
      <c r="D45" s="5"/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Data</vt:lpstr>
      <vt:lpstr>Charts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Microsoft Office User</cp:lastModifiedBy>
  <dcterms:created xsi:type="dcterms:W3CDTF">2017-01-29T08:08:16Z</dcterms:created>
  <dcterms:modified xsi:type="dcterms:W3CDTF">2017-02-01T07:48:26Z</dcterms:modified>
</cp:coreProperties>
</file>